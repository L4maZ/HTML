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tables/table15.xml" ContentType="application/vnd.openxmlformats-officedocument.spreadsheetml.table+xml"/>
  <Override PartName="/xl/queryTables/queryTable14.xml" ContentType="application/vnd.openxmlformats-officedocument.spreadsheetml.queryTable+xml"/>
  <Override PartName="/xl/tables/table16.xml" ContentType="application/vnd.openxmlformats-officedocument.spreadsheetml.table+xml"/>
  <Override PartName="/xl/queryTables/queryTable15.xml" ContentType="application/vnd.openxmlformats-officedocument.spreadsheetml.queryTable+xml"/>
  <Override PartName="/xl/tables/table17.xml" ContentType="application/vnd.openxmlformats-officedocument.spreadsheetml.table+xml"/>
  <Override PartName="/xl/queryTables/queryTable16.xml" ContentType="application/vnd.openxmlformats-officedocument.spreadsheetml.queryTable+xml"/>
  <Override PartName="/xl/tables/table18.xml" ContentType="application/vnd.openxmlformats-officedocument.spreadsheetml.table+xml"/>
  <Override PartName="/xl/queryTables/queryTable17.xml" ContentType="application/vnd.openxmlformats-officedocument.spreadsheetml.queryTable+xml"/>
  <Override PartName="/xl/tables/table19.xml" ContentType="application/vnd.openxmlformats-officedocument.spreadsheetml.table+xml"/>
  <Override PartName="/xl/queryTables/queryTable18.xml" ContentType="application/vnd.openxmlformats-officedocument.spreadsheetml.queryTable+xml"/>
  <Override PartName="/xl/drawings/drawing2.xml" ContentType="application/vnd.openxmlformats-officedocument.drawing+xml"/>
  <Override PartName="/xl/tables/table20.xml" ContentType="application/vnd.openxmlformats-officedocument.spreadsheetml.table+xml"/>
  <Override PartName="/xl/queryTables/queryTable19.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1.xml" ContentType="application/vnd.openxmlformats-officedocument.spreadsheetml.table+xml"/>
  <Override PartName="/xl/queryTables/queryTable20.xml" ContentType="application/vnd.openxmlformats-officedocument.spreadsheetml.queryTable+xml"/>
  <Override PartName="/xl/tables/table22.xml" ContentType="application/vnd.openxmlformats-officedocument.spreadsheetml.table+xml"/>
  <Override PartName="/xl/queryTables/queryTable21.xml" ContentType="application/vnd.openxmlformats-officedocument.spreadsheetml.queryTable+xml"/>
  <Override PartName="/xl/tables/table23.xml" ContentType="application/vnd.openxmlformats-officedocument.spreadsheetml.table+xml"/>
  <Override PartName="/xl/queryTables/queryTable22.xml" ContentType="application/vnd.openxmlformats-officedocument.spreadsheetml.query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lampd3\Desktop\"/>
    </mc:Choice>
  </mc:AlternateContent>
  <xr:revisionPtr revIDLastSave="0" documentId="8_{20F93C71-6B2D-42FD-8626-5495C0154667}" xr6:coauthVersionLast="47" xr6:coauthVersionMax="47" xr10:uidLastSave="{00000000-0000-0000-0000-000000000000}"/>
  <bookViews>
    <workbookView xWindow="-100" yWindow="-100" windowWidth="21467" windowHeight="11443" tabRatio="861" activeTab="8" xr2:uid="{00000000-000D-0000-FFFF-FFFF00000000}"/>
  </bookViews>
  <sheets>
    <sheet name="Run Tool" sheetId="5" r:id="rId1"/>
    <sheet name="Log" sheetId="18" r:id="rId2"/>
    <sheet name="Import" sheetId="38" r:id="rId3"/>
    <sheet name="MR&gt;&gt;" sheetId="45" r:id="rId4"/>
    <sheet name="Code" sheetId="6" r:id="rId5"/>
    <sheet name="BOND" sheetId="1" r:id="rId6"/>
    <sheet name="NIM" sheetId="11" r:id="rId7"/>
    <sheet name="Market" sheetId="9" r:id="rId8"/>
    <sheet name="Executive" sheetId="29" r:id="rId9"/>
    <sheet name="Thị trường" sheetId="41" r:id="rId10"/>
    <sheet name="Chi tiết DM" sheetId="32" r:id="rId11"/>
    <sheet name="LR&gt;&gt;" sheetId="46" r:id="rId12"/>
    <sheet name="Available rpt" sheetId="48" r:id="rId13"/>
    <sheet name="BK Gbond" sheetId="42" r:id="rId14"/>
    <sheet name="BS_TT2" sheetId="49" r:id="rId15"/>
    <sheet name="Market II_BS FI" sheetId="43" r:id="rId16"/>
    <sheet name="Market II Input" sheetId="50" r:id="rId17"/>
    <sheet name="AI Input&gt;&gt;" sheetId="47" r:id="rId18"/>
    <sheet name="AI module" sheetId="39" r:id="rId19"/>
    <sheet name="Module name" sheetId="40" r:id="rId20"/>
    <sheet name="Import module" sheetId="44" r:id="rId21"/>
  </sheets>
  <definedNames>
    <definedName name="__a129" localSheetId="18"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20" hidden="1">{"Offgrid",#N/A,FALSE,"OFFGRID";"Region",#N/A,FALSE,"REGION";"Offgrid -2",#N/A,FALSE,"OFFGRID";"WTP",#N/A,FALSE,"WTP";"WTP -2",#N/A,FALSE,"WTP";"Project",#N/A,FALSE,"PROJECT";"Summary -2",#N/A,FALSE,"SUMMARY"}</definedName>
    <definedName name="__a129" localSheetId="16" hidden="1">{"Offgrid",#N/A,FALSE,"OFFGRID";"Region",#N/A,FALSE,"REGION";"Offgrid -2",#N/A,FALSE,"OFFGRID";"WTP",#N/A,FALSE,"WTP";"WTP -2",#N/A,FALSE,"WTP";"Project",#N/A,FALSE,"PROJECT";"Summary -2",#N/A,FALSE,"SUMMARY"}</definedName>
    <definedName name="__a129" localSheetId="15" hidden="1">{"Offgrid",#N/A,FALSE,"OFFGRID";"Region",#N/A,FALSE,"REGION";"Offgrid -2",#N/A,FALSE,"OFFGRID";"WTP",#N/A,FALSE,"WTP";"WTP -2",#N/A,FALSE,"WTP";"Project",#N/A,FALSE,"PROJECT";"Summary -2",#N/A,FALSE,"SUMMARY"}</definedName>
    <definedName name="__a129" localSheetId="19" hidden="1">{"Offgrid",#N/A,FALSE,"OFFGRID";"Region",#N/A,FALSE,"REGION";"Offgrid -2",#N/A,FALSE,"OFFGRID";"WTP",#N/A,FALSE,"WTP";"WTP -2",#N/A,FALSE,"WTP";"Project",#N/A,FALSE,"PROJECT";"Summary -2",#N/A,FALSE,"SUMMARY"}</definedName>
    <definedName name="__a129" localSheetId="9"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18"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20" hidden="1">{"Offgrid",#N/A,FALSE,"OFFGRID";"Region",#N/A,FALSE,"REGION";"Offgrid -2",#N/A,FALSE,"OFFGRID";"WTP",#N/A,FALSE,"WTP";"WTP -2",#N/A,FALSE,"WTP";"Project",#N/A,FALSE,"PROJECT";"Summary -2",#N/A,FALSE,"SUMMARY"}</definedName>
    <definedName name="__a130" localSheetId="16" hidden="1">{"Offgrid",#N/A,FALSE,"OFFGRID";"Region",#N/A,FALSE,"REGION";"Offgrid -2",#N/A,FALSE,"OFFGRID";"WTP",#N/A,FALSE,"WTP";"WTP -2",#N/A,FALSE,"WTP";"Project",#N/A,FALSE,"PROJECT";"Summary -2",#N/A,FALSE,"SUMMARY"}</definedName>
    <definedName name="__a130" localSheetId="15" hidden="1">{"Offgrid",#N/A,FALSE,"OFFGRID";"Region",#N/A,FALSE,"REGION";"Offgrid -2",#N/A,FALSE,"OFFGRID";"WTP",#N/A,FALSE,"WTP";"WTP -2",#N/A,FALSE,"WTP";"Project",#N/A,FALSE,"PROJECT";"Summary -2",#N/A,FALSE,"SUMMARY"}</definedName>
    <definedName name="__a130" localSheetId="19"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BC1" localSheetId="18" hidden="1">{"'Sheet1'!$L$16"}</definedName>
    <definedName name="__BC1" localSheetId="13" hidden="1">{"'Sheet1'!$L$16"}</definedName>
    <definedName name="__BC1" localSheetId="10" hidden="1">{"'Sheet1'!$L$16"}</definedName>
    <definedName name="__BC1" localSheetId="2" hidden="1">{"'Sheet1'!$L$16"}</definedName>
    <definedName name="__BC1" localSheetId="20" hidden="1">{"'Sheet1'!$L$16"}</definedName>
    <definedName name="__BC1" localSheetId="16" hidden="1">{"'Sheet1'!$L$16"}</definedName>
    <definedName name="__BC1" localSheetId="15" hidden="1">{"'Sheet1'!$L$16"}</definedName>
    <definedName name="__BC1" localSheetId="19" hidden="1">{"'Sheet1'!$L$16"}</definedName>
    <definedName name="__BC1" localSheetId="9" hidden="1">{"'Sheet1'!$L$16"}</definedName>
    <definedName name="__BC1" hidden="1">{"'Sheet1'!$L$16"}</definedName>
    <definedName name="_10.1.77.53_8888_GS_RRTT_Bond_Banking_Historical" localSheetId="5" hidden="1">BOND!#REF!</definedName>
    <definedName name="_10.1.77.53_8888_GS_RRTT_FIBond_Historical" localSheetId="5" hidden="1">BOND!$AN$3:$AQ$755</definedName>
    <definedName name="_10.1.77.53_8888_GS_RRTT_FIBond_Historical_3" localSheetId="5" hidden="1">BOND!#REF!</definedName>
    <definedName name="_10.1.77.53_8888_master_anhntn45_all_market_data" localSheetId="5" hidden="1">BOND!$A$3:$E$433</definedName>
    <definedName name="_10.1.77.53_8888_master_anhntn45_all_market_data" localSheetId="7" hidden="1">Market!#REF!</definedName>
    <definedName name="_10.1.77.53_8888_master_anhntn45_all_market_data_1" localSheetId="5" hidden="1">BOND!$G$3:$K$433</definedName>
    <definedName name="_10.1.77.53_8888_master_anhntn45_all_market_data_1" localSheetId="7" hidden="1">Market!#REF!</definedName>
    <definedName name="_10.1.77.53_8888_master_anhntn45_all_market_data_10" localSheetId="5" hidden="1">BOND!#REF!</definedName>
    <definedName name="_10.1.77.53_8888_master_anhntn45_all_market_data_2" localSheetId="5" hidden="1">BOND!$M$3:$P$22</definedName>
    <definedName name="_10.1.77.53_8888_master_anhntn45_all_market_data_2" localSheetId="7" hidden="1">Market!$A$3:$C$4303</definedName>
    <definedName name="_10.1.77.53_8888_master_anhntn45_all_market_data_2_3" localSheetId="7" hidden="1">Market!$E$3:$G$1723</definedName>
    <definedName name="_10.1.77.53_8888_master_anhntn45_all_market_data_2_3_3" localSheetId="7" hidden="1">Market!$I$3:$K$4358</definedName>
    <definedName name="_10.1.77.53_8888_master_anhntn45_all_market_data_3" localSheetId="5" hidden="1">BOND!$R$3:$V$22</definedName>
    <definedName name="_10.1.77.53_8888_master_anhntn45_all_market_data_3" localSheetId="7" hidden="1">Market!#REF!</definedName>
    <definedName name="_10.1.77.53_8888_master_anhntn45_all_market_data_4" localSheetId="5" hidden="1">BOND!$X$3:$AA$22</definedName>
    <definedName name="_10.1.77.53_8888_master_anhntn45_all_market_data_4" localSheetId="7" hidden="1">Market!#REF!</definedName>
    <definedName name="_10.1.77.53_8888_master_anhntn45_all_market_data_4" localSheetId="3" hidden="1">'MR&gt;&gt;'!#REF!</definedName>
    <definedName name="_10.1.77.53_8888_master_anhntn45_all_market_data_4_3" localSheetId="11" hidden="1">'LR&gt;&gt;'!$A$1:$B$423</definedName>
    <definedName name="_10.1.77.53_8888_master_anhntn45_all_market_data_4_3" localSheetId="7" hidden="1">Market!$M$3:$N$433</definedName>
    <definedName name="_10.1.77.53_8888_master_anhntn45_all_market_data_5" localSheetId="5" hidden="1">BOND!$AC$3:$AF$22</definedName>
    <definedName name="_10.1.77.53_8888_master_anhntn45_all_market_data_6" localSheetId="5" hidden="1">BOND!#REF!</definedName>
    <definedName name="_10.1.77.53_8888_master_anhntn45_all_market_data_7" localSheetId="5" hidden="1">BOND!#REF!</definedName>
    <definedName name="_10.1.77.53_8888_master_anhntn45_all_market_data_8" localSheetId="5" hidden="1">BOND!#REF!</definedName>
    <definedName name="_10.1.77.53_8888_master_anhntn45_all_market_data_9" localSheetId="5" hidden="1">BOND!$AH$3:$AL$7461</definedName>
    <definedName name="_10.1.77.53_8888_master_anhntn45_all_market_data_9" localSheetId="3" hidden="1">'MR&gt;&gt;'!#REF!</definedName>
    <definedName name="_a129" localSheetId="18"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20" hidden="1">{"Offgrid",#N/A,FALSE,"OFFGRID";"Region",#N/A,FALSE,"REGION";"Offgrid -2",#N/A,FALSE,"OFFGRID";"WTP",#N/A,FALSE,"WTP";"WTP -2",#N/A,FALSE,"WTP";"Project",#N/A,FALSE,"PROJECT";"Summary -2",#N/A,FALSE,"SUMMARY"}</definedName>
    <definedName name="_a129" localSheetId="16" hidden="1">{"Offgrid",#N/A,FALSE,"OFFGRID";"Region",#N/A,FALSE,"REGION";"Offgrid -2",#N/A,FALSE,"OFFGRID";"WTP",#N/A,FALSE,"WTP";"WTP -2",#N/A,FALSE,"WTP";"Project",#N/A,FALSE,"PROJECT";"Summary -2",#N/A,FALSE,"SUMMARY"}</definedName>
    <definedName name="_a129" localSheetId="15" hidden="1">{"Offgrid",#N/A,FALSE,"OFFGRID";"Region",#N/A,FALSE,"REGION";"Offgrid -2",#N/A,FALSE,"OFFGRID";"WTP",#N/A,FALSE,"WTP";"WTP -2",#N/A,FALSE,"WTP";"Project",#N/A,FALSE,"PROJECT";"Summary -2",#N/A,FALSE,"SUMMARY"}</definedName>
    <definedName name="_a129" localSheetId="19"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8"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20" hidden="1">{"Offgrid",#N/A,FALSE,"OFFGRID";"Region",#N/A,FALSE,"REGION";"Offgrid -2",#N/A,FALSE,"OFFGRID";"WTP",#N/A,FALSE,"WTP";"WTP -2",#N/A,FALSE,"WTP";"Project",#N/A,FALSE,"PROJECT";"Summary -2",#N/A,FALSE,"SUMMARY"}</definedName>
    <definedName name="_a130" localSheetId="16" hidden="1">{"Offgrid",#N/A,FALSE,"OFFGRID";"Region",#N/A,FALSE,"REGION";"Offgrid -2",#N/A,FALSE,"OFFGRID";"WTP",#N/A,FALSE,"WTP";"WTP -2",#N/A,FALSE,"WTP";"Project",#N/A,FALSE,"PROJECT";"Summary -2",#N/A,FALSE,"SUMMARY"}</definedName>
    <definedName name="_a130" localSheetId="15" hidden="1">{"Offgrid",#N/A,FALSE,"OFFGRID";"Region",#N/A,FALSE,"REGION";"Offgrid -2",#N/A,FALSE,"OFFGRID";"WTP",#N/A,FALSE,"WTP";"WTP -2",#N/A,FALSE,"WTP";"Project",#N/A,FALSE,"PROJECT";"Summary -2",#N/A,FALSE,"SUMMARY"}</definedName>
    <definedName name="_a130" localSheetId="19"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4" hidden="1">Code!$A$1:$F$18</definedName>
    <definedName name="_xlnm._FilterDatabase" localSheetId="8" hidden="1">Executive!$A$1:$E$190</definedName>
    <definedName name="_xlnm._FilterDatabase" localSheetId="2" hidden="1">Import!$A$1:$G$848</definedName>
    <definedName name="_xlnm._FilterDatabase" localSheetId="3" hidden="1">'MR&gt;&gt;'!#REF!</definedName>
    <definedName name="_Order1" hidden="1">255</definedName>
    <definedName name="_Order2" hidden="1">255</definedName>
    <definedName name="_Regression_Int" hidden="1">1</definedName>
    <definedName name="BOND.1">Code!$D$3</definedName>
    <definedName name="BOND.10">Code!$D$12</definedName>
    <definedName name="BOND.11">Code!$D$13</definedName>
    <definedName name="BOND.12">Code!$D$14</definedName>
    <definedName name="BOND.13">Code!$D$15</definedName>
    <definedName name="BOND.2">Code!$D$4</definedName>
    <definedName name="BOND.3">Code!$D$5</definedName>
    <definedName name="BOND.4">Code!$D$6</definedName>
    <definedName name="BOND.5">Code!$D$7</definedName>
    <definedName name="BOND.6">Code!$D$8</definedName>
    <definedName name="BOND.7">Code!$D$9</definedName>
    <definedName name="BOND.8">Code!$D$10</definedName>
    <definedName name="BOND.9">Code!$D$11</definedName>
    <definedName name="dfasfasfas" localSheetId="18" hidden="1">{#N/A,#N/A,TRUE,"Non-Curr Assets BS"}</definedName>
    <definedName name="dfasfasfas" localSheetId="13" hidden="1">{#N/A,#N/A,TRUE,"Non-Curr Assets BS"}</definedName>
    <definedName name="dfasfasfas" localSheetId="10" hidden="1">{#N/A,#N/A,TRUE,"Non-Curr Assets BS"}</definedName>
    <definedName name="dfasfasfas" localSheetId="2" hidden="1">{#N/A,#N/A,TRUE,"Non-Curr Assets BS"}</definedName>
    <definedName name="dfasfasfas" localSheetId="20" hidden="1">{#N/A,#N/A,TRUE,"Non-Curr Assets BS"}</definedName>
    <definedName name="dfasfasfas" localSheetId="16" hidden="1">{#N/A,#N/A,TRUE,"Non-Curr Assets BS"}</definedName>
    <definedName name="dfasfasfas" localSheetId="15" hidden="1">{#N/A,#N/A,TRUE,"Non-Curr Assets BS"}</definedName>
    <definedName name="dfasfasfas" localSheetId="19" hidden="1">{#N/A,#N/A,TRUE,"Non-Curr Assets BS"}</definedName>
    <definedName name="dfasfasfas" localSheetId="9" hidden="1">{#N/A,#N/A,TRUE,"Non-Curr Assets BS"}</definedName>
    <definedName name="dfasfasfas" hidden="1">{#N/A,#N/A,TRUE,"Non-Curr Assets BS"}</definedName>
    <definedName name="ExternalData_1" localSheetId="5" hidden="1">BOND!$AS$3:$AV$3553</definedName>
    <definedName name="ExternalData_1" localSheetId="14" hidden="1">BS_TT2!$B$2:$P$27</definedName>
    <definedName name="ExternalData_1" localSheetId="7" hidden="1">Market!#REF!</definedName>
    <definedName name="ExternalData_10" localSheetId="12" hidden="1">'Available rpt'!$A$3:$F$14</definedName>
    <definedName name="ExternalData_2" localSheetId="5" hidden="1">BOND!#REF!</definedName>
    <definedName name="ExternalData_3" localSheetId="5" hidden="1">BOND!$AX$3:$AZ$103</definedName>
    <definedName name="ExternalData_4" localSheetId="5" hidden="1">BOND!$BJ$3:$BL$6</definedName>
    <definedName name="ExternalData_5" localSheetId="5" hidden="1">BOND!$BB$3:$BD$27</definedName>
    <definedName name="ExternalData_6" localSheetId="5" hidden="1">BOND!$BF$3:$BH$9</definedName>
    <definedName name="ExternalData_7" localSheetId="5" hidden="1">BOND!$BN$3:$BQ$51</definedName>
    <definedName name="ExternalData_9" localSheetId="12" hidden="1">'Available rpt'!$H$2:$L$10</definedName>
    <definedName name="fds" localSheetId="18" hidden="1">{"'Sheet1'!$L$16"}</definedName>
    <definedName name="fds" localSheetId="13" hidden="1">{"'Sheet1'!$L$16"}</definedName>
    <definedName name="fds" localSheetId="10" hidden="1">{"'Sheet1'!$L$16"}</definedName>
    <definedName name="fds" localSheetId="2" hidden="1">{"'Sheet1'!$L$16"}</definedName>
    <definedName name="fds" localSheetId="20" hidden="1">{"'Sheet1'!$L$16"}</definedName>
    <definedName name="fds" localSheetId="16" hidden="1">{"'Sheet1'!$L$16"}</definedName>
    <definedName name="fds" localSheetId="15" hidden="1">{"'Sheet1'!$L$16"}</definedName>
    <definedName name="fds" localSheetId="19" hidden="1">{"'Sheet1'!$L$16"}</definedName>
    <definedName name="fds" localSheetId="9" hidden="1">{"'Sheet1'!$L$16"}</definedName>
    <definedName name="fds" hidden="1">{"'Sheet1'!$L$16"}</definedName>
    <definedName name="h" localSheetId="18" hidden="1">{"'Sheet1'!$L$16"}</definedName>
    <definedName name="h" localSheetId="13" hidden="1">{"'Sheet1'!$L$16"}</definedName>
    <definedName name="h" localSheetId="10" hidden="1">{"'Sheet1'!$L$16"}</definedName>
    <definedName name="h" localSheetId="2" hidden="1">{"'Sheet1'!$L$16"}</definedName>
    <definedName name="h" localSheetId="20" hidden="1">{"'Sheet1'!$L$16"}</definedName>
    <definedName name="h" localSheetId="16" hidden="1">{"'Sheet1'!$L$16"}</definedName>
    <definedName name="h" localSheetId="15" hidden="1">{"'Sheet1'!$L$16"}</definedName>
    <definedName name="h" localSheetId="19" hidden="1">{"'Sheet1'!$L$16"}</definedName>
    <definedName name="h" localSheetId="9" hidden="1">{"'Sheet1'!$L$16"}</definedName>
    <definedName name="h" hidden="1">{"'Sheet1'!$L$16"}</definedName>
    <definedName name="HTML_CodePage" hidden="1">950</definedName>
    <definedName name="HTML_Control" localSheetId="18" hidden="1">{"'Sheet1'!$L$16"}</definedName>
    <definedName name="HTML_Control" localSheetId="13" hidden="1">{"'Sheet1'!$L$16"}</definedName>
    <definedName name="HTML_Control" localSheetId="10" hidden="1">{"'Sheet1'!$L$16"}</definedName>
    <definedName name="HTML_Control" localSheetId="2" hidden="1">{"'Sheet1'!$L$16"}</definedName>
    <definedName name="HTML_Control" localSheetId="20" hidden="1">{"'Sheet1'!$L$16"}</definedName>
    <definedName name="HTML_Control" localSheetId="16" hidden="1">{"'Sheet1'!$L$16"}</definedName>
    <definedName name="HTML_Control" localSheetId="15" hidden="1">{"'Sheet1'!$L$16"}</definedName>
    <definedName name="HTML_Control" localSheetId="19" hidden="1">{"'Sheet1'!$L$16"}</definedName>
    <definedName name="HTML_Control" localSheetId="9"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Title" hidden="1">"00Q3961-SUM"</definedName>
    <definedName name="huy" localSheetId="18" hidden="1">{"'Sheet1'!$L$16"}</definedName>
    <definedName name="huy" localSheetId="13" hidden="1">{"'Sheet1'!$L$16"}</definedName>
    <definedName name="huy" localSheetId="10" hidden="1">{"'Sheet1'!$L$16"}</definedName>
    <definedName name="huy" localSheetId="2" hidden="1">{"'Sheet1'!$L$16"}</definedName>
    <definedName name="huy" localSheetId="20" hidden="1">{"'Sheet1'!$L$16"}</definedName>
    <definedName name="huy" localSheetId="16" hidden="1">{"'Sheet1'!$L$16"}</definedName>
    <definedName name="huy" localSheetId="15" hidden="1">{"'Sheet1'!$L$16"}</definedName>
    <definedName name="huy" localSheetId="19" hidden="1">{"'Sheet1'!$L$16"}</definedName>
    <definedName name="huy" localSheetId="9" hidden="1">{"'Sheet1'!$L$16"}</definedName>
    <definedName name="huy" hidden="1">{"'Sheet1'!$L$16"}</definedName>
    <definedName name="k" localSheetId="18" hidden="1">{"Offgrid",#N/A,FALSE,"OFFGRID";"Region",#N/A,FALSE,"REGION";"Offgrid -2",#N/A,FALSE,"OFFGRID";"WTP",#N/A,FALSE,"WTP";"WTP -2",#N/A,FALSE,"WTP";"Project",#N/A,FALSE,"PROJECT";"Summary -2",#N/A,FALSE,"SUMMARY"}</definedName>
    <definedName name="k" localSheetId="13" hidden="1">{"Offgrid",#N/A,FALSE,"OFFGRID";"Region",#N/A,FALSE,"REGION";"Offgrid -2",#N/A,FALSE,"OFFGRID";"WTP",#N/A,FALSE,"WTP";"WTP -2",#N/A,FALSE,"WTP";"Project",#N/A,FALSE,"PROJECT";"Summary -2",#N/A,FALSE,"SUMMARY"}</definedName>
    <definedName name="k" localSheetId="10" hidden="1">{"Offgrid",#N/A,FALSE,"OFFGRID";"Region",#N/A,FALSE,"REGION";"Offgrid -2",#N/A,FALSE,"OFFGRID";"WTP",#N/A,FALSE,"WTP";"WTP -2",#N/A,FALSE,"WTP";"Project",#N/A,FALSE,"PROJECT";"Summary -2",#N/A,FALSE,"SUMMARY"}</definedName>
    <definedName name="k" localSheetId="2" hidden="1">{"Offgrid",#N/A,FALSE,"OFFGRID";"Region",#N/A,FALSE,"REGION";"Offgrid -2",#N/A,FALSE,"OFFGRID";"WTP",#N/A,FALSE,"WTP";"WTP -2",#N/A,FALSE,"WTP";"Project",#N/A,FALSE,"PROJECT";"Summary -2",#N/A,FALSE,"SUMMARY"}</definedName>
    <definedName name="k" localSheetId="20" hidden="1">{"Offgrid",#N/A,FALSE,"OFFGRID";"Region",#N/A,FALSE,"REGION";"Offgrid -2",#N/A,FALSE,"OFFGRID";"WTP",#N/A,FALSE,"WTP";"WTP -2",#N/A,FALSE,"WTP";"Project",#N/A,FALSE,"PROJECT";"Summary -2",#N/A,FALSE,"SUMMARY"}</definedName>
    <definedName name="k" localSheetId="16" hidden="1">{"Offgrid",#N/A,FALSE,"OFFGRID";"Region",#N/A,FALSE,"REGION";"Offgrid -2",#N/A,FALSE,"OFFGRID";"WTP",#N/A,FALSE,"WTP";"WTP -2",#N/A,FALSE,"WTP";"Project",#N/A,FALSE,"PROJECT";"Summary -2",#N/A,FALSE,"SUMMARY"}</definedName>
    <definedName name="k" localSheetId="15" hidden="1">{"Offgrid",#N/A,FALSE,"OFFGRID";"Region",#N/A,FALSE,"REGION";"Offgrid -2",#N/A,FALSE,"OFFGRID";"WTP",#N/A,FALSE,"WTP";"WTP -2",#N/A,FALSE,"WTP";"Project",#N/A,FALSE,"PROJECT";"Summary -2",#N/A,FALSE,"SUMMARY"}</definedName>
    <definedName name="k" localSheetId="19" hidden="1">{"Offgrid",#N/A,FALSE,"OFFGRID";"Region",#N/A,FALSE,"REGION";"Offgrid -2",#N/A,FALSE,"OFFGRID";"WTP",#N/A,FALSE,"WTP";"WTP -2",#N/A,FALSE,"WTP";"Project",#N/A,FALSE,"PROJECT";"Summary -2",#N/A,FALSE,"SUMMARY"}</definedName>
    <definedName name="k" localSheetId="9"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lai" localSheetId="18" hidden="1">{"Offgrid",#N/A,FALSE,"OFFGRID";"Region",#N/A,FALSE,"REGION";"Offgrid -2",#N/A,FALSE,"OFFGRID";"WTP",#N/A,FALSE,"WTP";"WTP -2",#N/A,FALSE,"WTP";"Project",#N/A,FALSE,"PROJECT";"Summary -2",#N/A,FALSE,"SUMMARY"}</definedName>
    <definedName name="lai" localSheetId="13" hidden="1">{"Offgrid",#N/A,FALSE,"OFFGRID";"Region",#N/A,FALSE,"REGION";"Offgrid -2",#N/A,FALSE,"OFFGRID";"WTP",#N/A,FALSE,"WTP";"WTP -2",#N/A,FALSE,"WTP";"Project",#N/A,FALSE,"PROJECT";"Summary -2",#N/A,FALSE,"SUMMARY"}</definedName>
    <definedName name="lai" localSheetId="10" hidden="1">{"Offgrid",#N/A,FALSE,"OFFGRID";"Region",#N/A,FALSE,"REGION";"Offgrid -2",#N/A,FALSE,"OFFGRID";"WTP",#N/A,FALSE,"WTP";"WTP -2",#N/A,FALSE,"WTP";"Project",#N/A,FALSE,"PROJECT";"Summary -2",#N/A,FALSE,"SUMMARY"}</definedName>
    <definedName name="lai" localSheetId="2" hidden="1">{"Offgrid",#N/A,FALSE,"OFFGRID";"Region",#N/A,FALSE,"REGION";"Offgrid -2",#N/A,FALSE,"OFFGRID";"WTP",#N/A,FALSE,"WTP";"WTP -2",#N/A,FALSE,"WTP";"Project",#N/A,FALSE,"PROJECT";"Summary -2",#N/A,FALSE,"SUMMARY"}</definedName>
    <definedName name="lai" localSheetId="20" hidden="1">{"Offgrid",#N/A,FALSE,"OFFGRID";"Region",#N/A,FALSE,"REGION";"Offgrid -2",#N/A,FALSE,"OFFGRID";"WTP",#N/A,FALSE,"WTP";"WTP -2",#N/A,FALSE,"WTP";"Project",#N/A,FALSE,"PROJECT";"Summary -2",#N/A,FALSE,"SUMMARY"}</definedName>
    <definedName name="lai" localSheetId="16" hidden="1">{"Offgrid",#N/A,FALSE,"OFFGRID";"Region",#N/A,FALSE,"REGION";"Offgrid -2",#N/A,FALSE,"OFFGRID";"WTP",#N/A,FALSE,"WTP";"WTP -2",#N/A,FALSE,"WTP";"Project",#N/A,FALSE,"PROJECT";"Summary -2",#N/A,FALSE,"SUMMARY"}</definedName>
    <definedName name="lai" localSheetId="15" hidden="1">{"Offgrid",#N/A,FALSE,"OFFGRID";"Region",#N/A,FALSE,"REGION";"Offgrid -2",#N/A,FALSE,"OFFGRID";"WTP",#N/A,FALSE,"WTP";"WTP -2",#N/A,FALSE,"WTP";"Project",#N/A,FALSE,"PROJECT";"Summary -2",#N/A,FALSE,"SUMMARY"}</definedName>
    <definedName name="lai" localSheetId="19" hidden="1">{"Offgrid",#N/A,FALSE,"OFFGRID";"Region",#N/A,FALSE,"REGION";"Offgrid -2",#N/A,FALSE,"OFFGRID";"WTP",#N/A,FALSE,"WTP";"WTP -2",#N/A,FALSE,"WTP";"Project",#N/A,FALSE,"PROJECT";"Summary -2",#N/A,FALSE,"SUMMARY"}</definedName>
    <definedName name="lai" localSheetId="9" hidden="1">{"Offgrid",#N/A,FALSE,"OFFGRID";"Region",#N/A,FALSE,"REGION";"Offgrid -2",#N/A,FALSE,"OFFGRID";"WTP",#N/A,FALSE,"WTP";"WTP -2",#N/A,FALSE,"WTP";"Project",#N/A,FALSE,"PROJECT";"Summary -2",#N/A,FALSE,"SUMMARY"}</definedName>
    <definedName name="lai" hidden="1">{"Offgrid",#N/A,FALSE,"OFFGRID";"Region",#N/A,FALSE,"REGION";"Offgrid -2",#N/A,FALSE,"OFFGRID";"WTP",#N/A,FALSE,"WTP";"WTP -2",#N/A,FALSE,"WTP";"Project",#N/A,FALSE,"PROJECT";"Summary -2",#N/A,FALSE,"SUMMARY"}</definedName>
    <definedName name="laivon" localSheetId="18" hidden="1">{#N/A,#N/A,FALSE,"Curr-Liabilities BS"}</definedName>
    <definedName name="laivon" localSheetId="13" hidden="1">{#N/A,#N/A,FALSE,"Curr-Liabilities BS"}</definedName>
    <definedName name="laivon" localSheetId="10" hidden="1">{#N/A,#N/A,FALSE,"Curr-Liabilities BS"}</definedName>
    <definedName name="laivon" localSheetId="2" hidden="1">{#N/A,#N/A,FALSE,"Curr-Liabilities BS"}</definedName>
    <definedName name="laivon" localSheetId="20" hidden="1">{#N/A,#N/A,FALSE,"Curr-Liabilities BS"}</definedName>
    <definedName name="laivon" localSheetId="16" hidden="1">{#N/A,#N/A,FALSE,"Curr-Liabilities BS"}</definedName>
    <definedName name="laivon" localSheetId="15" hidden="1">{#N/A,#N/A,FALSE,"Curr-Liabilities BS"}</definedName>
    <definedName name="laivon" localSheetId="19" hidden="1">{#N/A,#N/A,FALSE,"Curr-Liabilities BS"}</definedName>
    <definedName name="laivon" localSheetId="9" hidden="1">{#N/A,#N/A,FALSE,"Curr-Liabilities BS"}</definedName>
    <definedName name="laivon" hidden="1">{#N/A,#N/A,FALSE,"Curr-Liabilities BS"}</definedName>
    <definedName name="Lastmonth">'Run Tool'!$B$4</definedName>
    <definedName name="Lastquater">'Run Tool'!$B$8</definedName>
    <definedName name="Lastweek">'Run Tool'!$B$6</definedName>
    <definedName name="Lastyear">'Run Tool'!$B$5</definedName>
    <definedName name="May53.">Code!$A$1</definedName>
    <definedName name="MK.1">Code!$D$16</definedName>
    <definedName name="MK.2">Code!$D$17</definedName>
    <definedName name="MK.3">Code!$D$18</definedName>
    <definedName name="MK.4">Code!$D$19</definedName>
    <definedName name="nhung" localSheetId="18" hidden="1">{"Offgrid",#N/A,FALSE,"OFFGRID";"Region",#N/A,FALSE,"REGION";"Offgrid -2",#N/A,FALSE,"OFFGRID";"WTP",#N/A,FALSE,"WTP";"WTP -2",#N/A,FALSE,"WTP";"Project",#N/A,FALSE,"PROJECT";"Summary -2",#N/A,FALSE,"SUMMARY"}</definedName>
    <definedName name="nhung" localSheetId="13" hidden="1">{"Offgrid",#N/A,FALSE,"OFFGRID";"Region",#N/A,FALSE,"REGION";"Offgrid -2",#N/A,FALSE,"OFFGRID";"WTP",#N/A,FALSE,"WTP";"WTP -2",#N/A,FALSE,"WTP";"Project",#N/A,FALSE,"PROJECT";"Summary -2",#N/A,FALSE,"SUMMARY"}</definedName>
    <definedName name="nhung" localSheetId="10" hidden="1">{"Offgrid",#N/A,FALSE,"OFFGRID";"Region",#N/A,FALSE,"REGION";"Offgrid -2",#N/A,FALSE,"OFFGRID";"WTP",#N/A,FALSE,"WTP";"WTP -2",#N/A,FALSE,"WTP";"Project",#N/A,FALSE,"PROJECT";"Summary -2",#N/A,FALSE,"SUMMARY"}</definedName>
    <definedName name="nhung" localSheetId="2" hidden="1">{"Offgrid",#N/A,FALSE,"OFFGRID";"Region",#N/A,FALSE,"REGION";"Offgrid -2",#N/A,FALSE,"OFFGRID";"WTP",#N/A,FALSE,"WTP";"WTP -2",#N/A,FALSE,"WTP";"Project",#N/A,FALSE,"PROJECT";"Summary -2",#N/A,FALSE,"SUMMARY"}</definedName>
    <definedName name="nhung" localSheetId="20" hidden="1">{"Offgrid",#N/A,FALSE,"OFFGRID";"Region",#N/A,FALSE,"REGION";"Offgrid -2",#N/A,FALSE,"OFFGRID";"WTP",#N/A,FALSE,"WTP";"WTP -2",#N/A,FALSE,"WTP";"Project",#N/A,FALSE,"PROJECT";"Summary -2",#N/A,FALSE,"SUMMARY"}</definedName>
    <definedName name="nhung" localSheetId="16" hidden="1">{"Offgrid",#N/A,FALSE,"OFFGRID";"Region",#N/A,FALSE,"REGION";"Offgrid -2",#N/A,FALSE,"OFFGRID";"WTP",#N/A,FALSE,"WTP";"WTP -2",#N/A,FALSE,"WTP";"Project",#N/A,FALSE,"PROJECT";"Summary -2",#N/A,FALSE,"SUMMARY"}</definedName>
    <definedName name="nhung" localSheetId="15" hidden="1">{"Offgrid",#N/A,FALSE,"OFFGRID";"Region",#N/A,FALSE,"REGION";"Offgrid -2",#N/A,FALSE,"OFFGRID";"WTP",#N/A,FALSE,"WTP";"WTP -2",#N/A,FALSE,"WTP";"Project",#N/A,FALSE,"PROJECT";"Summary -2",#N/A,FALSE,"SUMMARY"}</definedName>
    <definedName name="nhung" localSheetId="19" hidden="1">{"Offgrid",#N/A,FALSE,"OFFGRID";"Region",#N/A,FALSE,"REGION";"Offgrid -2",#N/A,FALSE,"OFFGRID";"WTP",#N/A,FALSE,"WTP";"WTP -2",#N/A,FALSE,"WTP";"Project",#N/A,FALSE,"PROJECT";"Summary -2",#N/A,FALSE,"SUMMARY"}</definedName>
    <definedName name="nhung" localSheetId="9" hidden="1">{"Offgrid",#N/A,FALSE,"OFFGRID";"Region",#N/A,FALSE,"REGION";"Offgrid -2",#N/A,FALSE,"OFFGRID";"WTP",#N/A,FALSE,"WTP";"WTP -2",#N/A,FALSE,"WTP";"Project",#N/A,FALSE,"PROJECT";"Summary -2",#N/A,FALSE,"SUMMARY"}</definedName>
    <definedName name="nhung" hidden="1">{"Offgrid",#N/A,FALSE,"OFFGRID";"Region",#N/A,FALSE,"REGION";"Offgrid -2",#N/A,FALSE,"OFFGRID";"WTP",#N/A,FALSE,"WTP";"WTP -2",#N/A,FALSE,"WTP";"Project",#N/A,FALSE,"PROJECT";"Summary -2",#N/A,FALSE,"SUMMARY"}</definedName>
    <definedName name="nhung1" localSheetId="18" hidden="1">{"'Sheet1'!$L$16"}</definedName>
    <definedName name="nhung1" localSheetId="13" hidden="1">{"'Sheet1'!$L$16"}</definedName>
    <definedName name="nhung1" localSheetId="10" hidden="1">{"'Sheet1'!$L$16"}</definedName>
    <definedName name="nhung1" localSheetId="2" hidden="1">{"'Sheet1'!$L$16"}</definedName>
    <definedName name="nhung1" localSheetId="20" hidden="1">{"'Sheet1'!$L$16"}</definedName>
    <definedName name="nhung1" localSheetId="16" hidden="1">{"'Sheet1'!$L$16"}</definedName>
    <definedName name="nhung1" localSheetId="15" hidden="1">{"'Sheet1'!$L$16"}</definedName>
    <definedName name="nhung1" localSheetId="19" hidden="1">{"'Sheet1'!$L$16"}</definedName>
    <definedName name="nhung1" localSheetId="9" hidden="1">{"'Sheet1'!$L$16"}</definedName>
    <definedName name="nhung1" hidden="1">{"'Sheet1'!$L$16"}</definedName>
    <definedName name="nhung2" localSheetId="18" hidden="1">{"'Sheet1'!$L$16"}</definedName>
    <definedName name="nhung2" localSheetId="13" hidden="1">{"'Sheet1'!$L$16"}</definedName>
    <definedName name="nhung2" localSheetId="10" hidden="1">{"'Sheet1'!$L$16"}</definedName>
    <definedName name="nhung2" localSheetId="2" hidden="1">{"'Sheet1'!$L$16"}</definedName>
    <definedName name="nhung2" localSheetId="20" hidden="1">{"'Sheet1'!$L$16"}</definedName>
    <definedName name="nhung2" localSheetId="16" hidden="1">{"'Sheet1'!$L$16"}</definedName>
    <definedName name="nhung2" localSheetId="15" hidden="1">{"'Sheet1'!$L$16"}</definedName>
    <definedName name="nhung2" localSheetId="19" hidden="1">{"'Sheet1'!$L$16"}</definedName>
    <definedName name="nhung2" localSheetId="9" hidden="1">{"'Sheet1'!$L$16"}</definedName>
    <definedName name="nhung2" hidden="1">{"'Sheet1'!$L$16"}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PT">'Run Tool'!$B$2</definedName>
    <definedName name="RPT_LR">'Run Tool'!$B$12</definedName>
    <definedName name="RPT_LR1">'Run Tool'!$B$13</definedName>
    <definedName name="sencount" hidden="1">1</definedName>
    <definedName name="wrn.cccc." localSheetId="18" hidden="1">{#N/A,#N/A,FALSE,"Curr-Liabilities BS"}</definedName>
    <definedName name="wrn.cccc." localSheetId="13" hidden="1">{#N/A,#N/A,FALSE,"Curr-Liabilities BS"}</definedName>
    <definedName name="wrn.cccc." localSheetId="10" hidden="1">{#N/A,#N/A,FALSE,"Curr-Liabilities BS"}</definedName>
    <definedName name="wrn.cccc." localSheetId="2" hidden="1">{#N/A,#N/A,FALSE,"Curr-Liabilities BS"}</definedName>
    <definedName name="wrn.cccc." localSheetId="20" hidden="1">{#N/A,#N/A,FALSE,"Curr-Liabilities BS"}</definedName>
    <definedName name="wrn.cccc." localSheetId="16" hidden="1">{#N/A,#N/A,FALSE,"Curr-Liabilities BS"}</definedName>
    <definedName name="wrn.cccc." localSheetId="15" hidden="1">{#N/A,#N/A,FALSE,"Curr-Liabilities BS"}</definedName>
    <definedName name="wrn.cccc." localSheetId="19" hidden="1">{#N/A,#N/A,FALSE,"Curr-Liabilities BS"}</definedName>
    <definedName name="wrn.cccc." localSheetId="9" hidden="1">{#N/A,#N/A,FALSE,"Curr-Liabilities BS"}</definedName>
    <definedName name="wrn.cccc." hidden="1">{#N/A,#N/A,FALSE,"Curr-Liabilities BS"}</definedName>
    <definedName name="wrn.chi._.tiÆt." localSheetId="18" hidden="1">{#N/A,#N/A,FALSE,"Chi tiÆt"}</definedName>
    <definedName name="wrn.chi._.tiÆt." localSheetId="13" hidden="1">{#N/A,#N/A,FALSE,"Chi tiÆt"}</definedName>
    <definedName name="wrn.chi._.tiÆt." localSheetId="10" hidden="1">{#N/A,#N/A,FALSE,"Chi tiÆt"}</definedName>
    <definedName name="wrn.chi._.tiÆt." localSheetId="2" hidden="1">{#N/A,#N/A,FALSE,"Chi tiÆt"}</definedName>
    <definedName name="wrn.chi._.tiÆt." localSheetId="20" hidden="1">{#N/A,#N/A,FALSE,"Chi tiÆt"}</definedName>
    <definedName name="wrn.chi._.tiÆt." localSheetId="16" hidden="1">{#N/A,#N/A,FALSE,"Chi tiÆt"}</definedName>
    <definedName name="wrn.chi._.tiÆt." localSheetId="15" hidden="1">{#N/A,#N/A,FALSE,"Chi tiÆt"}</definedName>
    <definedName name="wrn.chi._.tiÆt." localSheetId="19" hidden="1">{#N/A,#N/A,FALSE,"Chi tiÆt"}</definedName>
    <definedName name="wrn.chi._.tiÆt." localSheetId="9" hidden="1">{#N/A,#N/A,FALSE,"Chi tiÆt"}</definedName>
    <definedName name="wrn.chi._.tiÆt." hidden="1">{#N/A,#N/A,FALSE,"Chi tiÆt"}</definedName>
    <definedName name="wrn.curr." localSheetId="18" hidden="1">{#N/A,#N/A,FALSE,"Non-Curr Assets BS"}</definedName>
    <definedName name="wrn.curr." localSheetId="13" hidden="1">{#N/A,#N/A,FALSE,"Non-Curr Assets BS"}</definedName>
    <definedName name="wrn.curr." localSheetId="10" hidden="1">{#N/A,#N/A,FALSE,"Non-Curr Assets BS"}</definedName>
    <definedName name="wrn.curr." localSheetId="2" hidden="1">{#N/A,#N/A,FALSE,"Non-Curr Assets BS"}</definedName>
    <definedName name="wrn.curr." localSheetId="20" hidden="1">{#N/A,#N/A,FALSE,"Non-Curr Assets BS"}</definedName>
    <definedName name="wrn.curr." localSheetId="16" hidden="1">{#N/A,#N/A,FALSE,"Non-Curr Assets BS"}</definedName>
    <definedName name="wrn.curr." localSheetId="15" hidden="1">{#N/A,#N/A,FALSE,"Non-Curr Assets BS"}</definedName>
    <definedName name="wrn.curr." localSheetId="19" hidden="1">{#N/A,#N/A,FALSE,"Non-Curr Assets BS"}</definedName>
    <definedName name="wrn.curr." localSheetId="9" hidden="1">{#N/A,#N/A,FALSE,"Non-Curr Assets BS"}</definedName>
    <definedName name="wrn.curr." hidden="1">{#N/A,#N/A,FALSE,"Non-Curr Assets BS"}</definedName>
    <definedName name="wrn.Non._.Current._.Assets." localSheetId="18" hidden="1">{#N/A,#N/A,TRUE,"Non-Curr Assets BS"}</definedName>
    <definedName name="wrn.Non._.Current._.Assets." localSheetId="13" hidden="1">{#N/A,#N/A,TRUE,"Non-Curr Assets BS"}</definedName>
    <definedName name="wrn.Non._.Current._.Assets." localSheetId="10" hidden="1">{#N/A,#N/A,TRUE,"Non-Curr Assets BS"}</definedName>
    <definedName name="wrn.Non._.Current._.Assets." localSheetId="2" hidden="1">{#N/A,#N/A,TRUE,"Non-Curr Assets BS"}</definedName>
    <definedName name="wrn.Non._.Current._.Assets." localSheetId="20" hidden="1">{#N/A,#N/A,TRUE,"Non-Curr Assets BS"}</definedName>
    <definedName name="wrn.Non._.Current._.Assets." localSheetId="16" hidden="1">{#N/A,#N/A,TRUE,"Non-Curr Assets BS"}</definedName>
    <definedName name="wrn.Non._.Current._.Assets." localSheetId="15" hidden="1">{#N/A,#N/A,TRUE,"Non-Curr Assets BS"}</definedName>
    <definedName name="wrn.Non._.Current._.Assets." localSheetId="19" hidden="1">{#N/A,#N/A,TRUE,"Non-Curr Assets BS"}</definedName>
    <definedName name="wrn.Non._.Current._.Assets." localSheetId="9" hidden="1">{#N/A,#N/A,TRUE,"Non-Curr Assets BS"}</definedName>
    <definedName name="wrn.Non._.Current._.Assets." hidden="1">{#N/A,#N/A,TRUE,"Non-Curr Assets BS"}</definedName>
    <definedName name="wrn.Report." localSheetId="18" hidden="1">{"Offgrid",#N/A,FALSE,"OFFGRID";"Region",#N/A,FALSE,"REGION";"Offgrid -2",#N/A,FALSE,"OFFGRID";"WTP",#N/A,FALSE,"WTP";"WTP -2",#N/A,FALSE,"WTP";"Project",#N/A,FALSE,"PROJECT";"Summary -2",#N/A,FALSE,"SUMMARY"}</definedName>
    <definedName name="wrn.Report." localSheetId="13"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20" hidden="1">{"Offgrid",#N/A,FALSE,"OFFGRID";"Region",#N/A,FALSE,"REGION";"Offgrid -2",#N/A,FALSE,"OFFGRID";"WTP",#N/A,FALSE,"WTP";"WTP -2",#N/A,FALSE,"WTP";"Project",#N/A,FALSE,"PROJECT";"Summary -2",#N/A,FALSE,"SUMMARY"}</definedName>
    <definedName name="wrn.Report." localSheetId="16" hidden="1">{"Offgrid",#N/A,FALSE,"OFFGRID";"Region",#N/A,FALSE,"REGION";"Offgrid -2",#N/A,FALSE,"OFFGRID";"WTP",#N/A,FALSE,"WTP";"WTP -2",#N/A,FALSE,"WTP";"Project",#N/A,FALSE,"PROJECT";"Summary -2",#N/A,FALSE,"SUMMARY"}</definedName>
    <definedName name="wrn.Report." localSheetId="15" hidden="1">{"Offgrid",#N/A,FALSE,"OFFGRID";"Region",#N/A,FALSE,"REGION";"Offgrid -2",#N/A,FALSE,"OFFGRID";"WTP",#N/A,FALSE,"WTP";"WTP -2",#N/A,FALSE,"WTP";"Project",#N/A,FALSE,"PROJECT";"Summary -2",#N/A,FALSE,"SUMMARY"}</definedName>
    <definedName name="wrn.Report." localSheetId="19" hidden="1">{"Offgrid",#N/A,FALSE,"OFFGRID";"Region",#N/A,FALSE,"REGION";"Offgrid -2",#N/A,FALSE,"OFFGRID";"WTP",#N/A,FALSE,"WTP";"WTP -2",#N/A,FALSE,"WTP";"Project",#N/A,FALSE,"PROJECT";"Summary -2",#N/A,FALSE,"SUMMARY"}</definedName>
    <definedName name="wrn.Report." localSheetId="9"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thang." localSheetId="18" hidden="1">{#N/A,#N/A,FALSE,"Summarized-BS";#N/A,#N/A,FALSE,"Cashflow Statement ";#N/A,#N/A,FALSE,"Summarized IS";#N/A,#N/A,FALSE,"Ratio-Analysis"}</definedName>
    <definedName name="wrn.thang." localSheetId="13" hidden="1">{#N/A,#N/A,FALSE,"Summarized-BS";#N/A,#N/A,FALSE,"Cashflow Statement ";#N/A,#N/A,FALSE,"Summarized IS";#N/A,#N/A,FALSE,"Ratio-Analysis"}</definedName>
    <definedName name="wrn.thang." localSheetId="10" hidden="1">{#N/A,#N/A,FALSE,"Summarized-BS";#N/A,#N/A,FALSE,"Cashflow Statement ";#N/A,#N/A,FALSE,"Summarized IS";#N/A,#N/A,FALSE,"Ratio-Analysis"}</definedName>
    <definedName name="wrn.thang." localSheetId="2" hidden="1">{#N/A,#N/A,FALSE,"Summarized-BS";#N/A,#N/A,FALSE,"Cashflow Statement ";#N/A,#N/A,FALSE,"Summarized IS";#N/A,#N/A,FALSE,"Ratio-Analysis"}</definedName>
    <definedName name="wrn.thang." localSheetId="20" hidden="1">{#N/A,#N/A,FALSE,"Summarized-BS";#N/A,#N/A,FALSE,"Cashflow Statement ";#N/A,#N/A,FALSE,"Summarized IS";#N/A,#N/A,FALSE,"Ratio-Analysis"}</definedName>
    <definedName name="wrn.thang." localSheetId="16" hidden="1">{#N/A,#N/A,FALSE,"Summarized-BS";#N/A,#N/A,FALSE,"Cashflow Statement ";#N/A,#N/A,FALSE,"Summarized IS";#N/A,#N/A,FALSE,"Ratio-Analysis"}</definedName>
    <definedName name="wrn.thang." localSheetId="15" hidden="1">{#N/A,#N/A,FALSE,"Summarized-BS";#N/A,#N/A,FALSE,"Cashflow Statement ";#N/A,#N/A,FALSE,"Summarized IS";#N/A,#N/A,FALSE,"Ratio-Analysis"}</definedName>
    <definedName name="wrn.thang." localSheetId="19" hidden="1">{#N/A,#N/A,FALSE,"Summarized-BS";#N/A,#N/A,FALSE,"Cashflow Statement ";#N/A,#N/A,FALSE,"Summarized IS";#N/A,#N/A,FALSE,"Ratio-Analysis"}</definedName>
    <definedName name="wrn.thang." localSheetId="9" hidden="1">{#N/A,#N/A,FALSE,"Summarized-BS";#N/A,#N/A,FALSE,"Cashflow Statement ";#N/A,#N/A,FALSE,"Summarized IS";#N/A,#N/A,FALSE,"Ratio-Analysis"}</definedName>
    <definedName name="wrn.thang." hidden="1">{#N/A,#N/A,FALSE,"Summarized-BS";#N/A,#N/A,FALSE,"Cashflow Statement ";#N/A,#N/A,FALSE,"Summarized IS";#N/A,#N/A,FALSE,"Ratio-Analysis"}</definedName>
    <definedName name="wrnf.report" localSheetId="18" hidden="1">{"Offgrid",#N/A,FALSE,"OFFGRID";"Region",#N/A,FALSE,"REGION";"Offgrid -2",#N/A,FALSE,"OFFGRID";"WTP",#N/A,FALSE,"WTP";"WTP -2",#N/A,FALSE,"WTP";"Project",#N/A,FALSE,"PROJECT";"Summary -2",#N/A,FALSE,"SUMMARY"}</definedName>
    <definedName name="wrnf.report" localSheetId="13"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20" hidden="1">{"Offgrid",#N/A,FALSE,"OFFGRID";"Region",#N/A,FALSE,"REGION";"Offgrid -2",#N/A,FALSE,"OFFGRID";"WTP",#N/A,FALSE,"WTP";"WTP -2",#N/A,FALSE,"WTP";"Project",#N/A,FALSE,"PROJECT";"Summary -2",#N/A,FALSE,"SUMMARY"}</definedName>
    <definedName name="wrnf.report" localSheetId="16" hidden="1">{"Offgrid",#N/A,FALSE,"OFFGRID";"Region",#N/A,FALSE,"REGION";"Offgrid -2",#N/A,FALSE,"OFFGRID";"WTP",#N/A,FALSE,"WTP";"WTP -2",#N/A,FALSE,"WTP";"Project",#N/A,FALSE,"PROJECT";"Summary -2",#N/A,FALSE,"SUMMARY"}</definedName>
    <definedName name="wrnf.report" localSheetId="15" hidden="1">{"Offgrid",#N/A,FALSE,"OFFGRID";"Region",#N/A,FALSE,"REGION";"Offgrid -2",#N/A,FALSE,"OFFGRID";"WTP",#N/A,FALSE,"WTP";"WTP -2",#N/A,FALSE,"WTP";"Project",#N/A,FALSE,"PROJECT";"Summary -2",#N/A,FALSE,"SUMMARY"}</definedName>
    <definedName name="wrnf.report" localSheetId="19"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Yesterday">'Run Tool'!$B$3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29" l="1"/>
  <c r="AA1" i="1"/>
  <c r="J15" i="11"/>
  <c r="I20" i="11"/>
  <c r="I19" i="11"/>
  <c r="I18" i="11"/>
  <c r="H20" i="11"/>
  <c r="H19" i="11"/>
  <c r="H18" i="11"/>
  <c r="I16" i="11"/>
  <c r="I15" i="11"/>
  <c r="I14" i="11"/>
  <c r="I12" i="11"/>
  <c r="I11" i="11"/>
  <c r="I8" i="11"/>
  <c r="I5" i="11"/>
  <c r="I4" i="11"/>
  <c r="J4" i="11" s="1"/>
  <c r="I3" i="11"/>
  <c r="J5" i="11"/>
  <c r="J3" i="11"/>
  <c r="I7" i="11"/>
  <c r="B3" i="5"/>
  <c r="B11" i="5"/>
  <c r="C4" i="5"/>
  <c r="D69" i="29"/>
  <c r="C351" i="38"/>
  <c r="C350" i="38"/>
  <c r="C349" i="38"/>
  <c r="C348" i="38"/>
  <c r="C347" i="38"/>
  <c r="C346" i="38"/>
  <c r="C345" i="38"/>
  <c r="C344" i="38"/>
  <c r="C343" i="38"/>
  <c r="C342" i="38"/>
  <c r="C341" i="38"/>
  <c r="C340" i="38"/>
  <c r="C338" i="38"/>
  <c r="C337" i="38"/>
  <c r="C335" i="38"/>
  <c r="C334" i="38"/>
  <c r="C333" i="38"/>
  <c r="C331" i="38"/>
  <c r="C329" i="38"/>
  <c r="C328" i="38"/>
  <c r="C327" i="38"/>
  <c r="C326" i="38"/>
  <c r="C325" i="38"/>
  <c r="C324" i="38"/>
  <c r="C323" i="38"/>
  <c r="C322" i="38"/>
  <c r="C321" i="38"/>
  <c r="C320" i="38"/>
  <c r="C319" i="38"/>
  <c r="C318" i="38"/>
  <c r="C317" i="38"/>
  <c r="C316" i="38"/>
  <c r="C315" i="38"/>
  <c r="C313" i="38"/>
  <c r="C312" i="38"/>
  <c r="C311" i="38"/>
  <c r="C310" i="38"/>
  <c r="C309" i="38"/>
  <c r="C308" i="38"/>
  <c r="C307" i="38"/>
  <c r="C306" i="38"/>
  <c r="C305" i="38"/>
  <c r="C257" i="38"/>
  <c r="C256" i="38"/>
  <c r="C254" i="38"/>
  <c r="C253" i="38"/>
  <c r="C252" i="38"/>
  <c r="C249" i="38"/>
  <c r="C248" i="38"/>
  <c r="C247" i="38"/>
  <c r="C246" i="38"/>
  <c r="C245" i="38"/>
  <c r="C244" i="38"/>
  <c r="C243" i="38"/>
  <c r="C242" i="38"/>
  <c r="C241" i="38"/>
  <c r="C240" i="38"/>
  <c r="C239" i="38"/>
  <c r="C238" i="38"/>
  <c r="C237" i="38"/>
  <c r="C236" i="38"/>
  <c r="C235" i="38"/>
  <c r="C234" i="38"/>
  <c r="C233" i="38"/>
  <c r="C232" i="38"/>
  <c r="C231" i="38"/>
  <c r="C230" i="38"/>
  <c r="C229" i="38"/>
  <c r="C228" i="38"/>
  <c r="C227" i="38"/>
  <c r="C226" i="38"/>
  <c r="C225" i="38"/>
  <c r="C224" i="38"/>
  <c r="C222" i="38"/>
  <c r="C221" i="38"/>
  <c r="C220" i="38"/>
  <c r="C219" i="38"/>
  <c r="C218" i="38"/>
  <c r="C217" i="38"/>
  <c r="C216" i="38"/>
  <c r="C215" i="38"/>
  <c r="C214" i="38"/>
  <c r="C213" i="38"/>
  <c r="C211" i="38"/>
  <c r="C210" i="38"/>
  <c r="C209" i="38"/>
  <c r="C208" i="38"/>
  <c r="C206" i="38"/>
  <c r="C205" i="38"/>
  <c r="C204" i="38"/>
  <c r="C203" i="38"/>
  <c r="C202" i="38"/>
  <c r="C201" i="38"/>
  <c r="C200" i="38"/>
  <c r="C199" i="38"/>
  <c r="C198" i="38"/>
  <c r="C197" i="38"/>
  <c r="C195" i="38"/>
  <c r="C194" i="38"/>
  <c r="C193" i="38"/>
  <c r="C192" i="38"/>
  <c r="C191" i="38"/>
  <c r="C190" i="38"/>
  <c r="C189" i="38"/>
  <c r="C188" i="38"/>
  <c r="C187" i="38"/>
  <c r="C186" i="38"/>
  <c r="C185" i="38"/>
  <c r="C184" i="38"/>
  <c r="C183" i="38"/>
  <c r="C182" i="38"/>
  <c r="C181" i="38"/>
  <c r="C180" i="38"/>
  <c r="C179" i="38"/>
  <c r="C178" i="38"/>
  <c r="C177" i="38"/>
  <c r="C175" i="38"/>
  <c r="C174" i="38"/>
  <c r="C173" i="38"/>
  <c r="C172" i="38"/>
  <c r="C171" i="38"/>
  <c r="C170" i="38"/>
  <c r="C169" i="38"/>
  <c r="C168" i="38"/>
  <c r="C167" i="38"/>
  <c r="C166" i="38"/>
  <c r="C164" i="38"/>
  <c r="C163" i="38"/>
  <c r="C162" i="38"/>
  <c r="C160" i="38"/>
  <c r="C157" i="38"/>
  <c r="C156" i="38"/>
  <c r="C155" i="38"/>
  <c r="C154" i="38"/>
  <c r="C153" i="38"/>
  <c r="C152" i="38"/>
  <c r="C151" i="38"/>
  <c r="C150" i="38"/>
  <c r="C148" i="38"/>
  <c r="C147" i="38"/>
  <c r="C145" i="38"/>
  <c r="C144" i="38"/>
  <c r="C143" i="38"/>
  <c r="C142" i="38"/>
  <c r="C140" i="38"/>
  <c r="C139" i="38"/>
  <c r="C138" i="38"/>
  <c r="C136" i="38"/>
  <c r="C135" i="38"/>
  <c r="C134" i="38"/>
  <c r="C130" i="38"/>
  <c r="C127" i="38"/>
  <c r="C126" i="38"/>
  <c r="C125" i="38"/>
  <c r="C124" i="38"/>
  <c r="C122" i="38"/>
  <c r="C121" i="38"/>
  <c r="C119" i="38"/>
  <c r="C118" i="38"/>
  <c r="C116" i="38"/>
  <c r="C115" i="38"/>
  <c r="C114" i="38"/>
  <c r="C112" i="38"/>
  <c r="C109" i="38"/>
  <c r="C108" i="38"/>
  <c r="C107" i="38"/>
  <c r="C105" i="38"/>
  <c r="C104" i="38"/>
  <c r="C101" i="38"/>
  <c r="C100" i="38"/>
  <c r="C98" i="38"/>
  <c r="C97" i="38"/>
  <c r="C96" i="38"/>
  <c r="C93" i="38"/>
  <c r="C91" i="38"/>
  <c r="C88" i="38"/>
  <c r="C87" i="38"/>
  <c r="C86" i="38"/>
  <c r="C85" i="38"/>
  <c r="C84" i="38"/>
  <c r="C83" i="38"/>
  <c r="C80" i="38"/>
  <c r="C79" i="38"/>
  <c r="C76" i="38"/>
  <c r="C75" i="38"/>
  <c r="C66" i="38"/>
  <c r="C65" i="38"/>
  <c r="C63" i="38"/>
  <c r="C62" i="38"/>
  <c r="D90" i="29"/>
  <c r="C149" i="38" s="1"/>
  <c r="D22" i="29"/>
  <c r="C81" i="38" s="1"/>
  <c r="AM3485" i="1"/>
  <c r="H15" i="11"/>
  <c r="H16" i="11"/>
  <c r="H14" i="11"/>
  <c r="C30" i="32"/>
  <c r="E3" i="5"/>
  <c r="C332" i="38" l="1"/>
  <c r="C37" i="32"/>
  <c r="C339" i="38" s="1"/>
  <c r="E6" i="5"/>
  <c r="E5" i="5"/>
  <c r="F5" i="5" s="1"/>
  <c r="D47" i="29"/>
  <c r="C106" i="38" s="1"/>
  <c r="B12" i="5"/>
  <c r="B10" i="5" s="1"/>
  <c r="D64" i="29"/>
  <c r="C123" i="38" s="1"/>
  <c r="H3" i="11"/>
  <c r="C28" i="32"/>
  <c r="A3" i="38"/>
  <c r="A4" i="38"/>
  <c r="A5" i="38"/>
  <c r="A6" i="38"/>
  <c r="A7" i="38"/>
  <c r="A8" i="38"/>
  <c r="A9" i="38"/>
  <c r="A10" i="38"/>
  <c r="A11" i="38"/>
  <c r="A12" i="38"/>
  <c r="A13" i="38"/>
  <c r="A14" i="38"/>
  <c r="A15" i="38"/>
  <c r="A16" i="38"/>
  <c r="A17" i="38"/>
  <c r="A18" i="38"/>
  <c r="A19" i="38"/>
  <c r="A20" i="38"/>
  <c r="A21" i="38"/>
  <c r="A22" i="38"/>
  <c r="A23" i="38"/>
  <c r="A24" i="38"/>
  <c r="A25" i="38"/>
  <c r="A26" i="38"/>
  <c r="A27" i="38"/>
  <c r="A28" i="38"/>
  <c r="A29" i="38"/>
  <c r="A30" i="38"/>
  <c r="A31" i="38"/>
  <c r="A32" i="38"/>
  <c r="A33" i="38"/>
  <c r="A34" i="38"/>
  <c r="A35" i="38"/>
  <c r="A36" i="38"/>
  <c r="A37" i="38"/>
  <c r="A38" i="38"/>
  <c r="A39" i="38"/>
  <c r="A40" i="38"/>
  <c r="A41" i="38"/>
  <c r="A42" i="38"/>
  <c r="A43" i="38"/>
  <c r="A44" i="38"/>
  <c r="A45" i="38"/>
  <c r="A46" i="38"/>
  <c r="A47" i="38"/>
  <c r="A48" i="38"/>
  <c r="A49" i="38"/>
  <c r="A50" i="38"/>
  <c r="A51" i="38"/>
  <c r="A52" i="38"/>
  <c r="A53" i="38"/>
  <c r="A54" i="38"/>
  <c r="A55" i="38"/>
  <c r="A56" i="38"/>
  <c r="A57" i="38"/>
  <c r="A58" i="38"/>
  <c r="A59" i="38"/>
  <c r="A60" i="38"/>
  <c r="A61" i="38"/>
  <c r="A62" i="38"/>
  <c r="A63" i="38"/>
  <c r="A64" i="38"/>
  <c r="A65" i="38"/>
  <c r="A66" i="38"/>
  <c r="A67" i="38"/>
  <c r="A68" i="38"/>
  <c r="A69" i="38"/>
  <c r="A70" i="38"/>
  <c r="A71" i="38"/>
  <c r="A72" i="38"/>
  <c r="A73" i="38"/>
  <c r="A74" i="38"/>
  <c r="A75" i="38"/>
  <c r="A76" i="38"/>
  <c r="A77" i="38"/>
  <c r="A78" i="38"/>
  <c r="A79" i="38"/>
  <c r="A80" i="38"/>
  <c r="A81" i="38"/>
  <c r="A82" i="38"/>
  <c r="A83" i="38"/>
  <c r="A84" i="38"/>
  <c r="A85" i="38"/>
  <c r="A86" i="38"/>
  <c r="A87" i="38"/>
  <c r="A88" i="38"/>
  <c r="A89" i="38"/>
  <c r="A90" i="38"/>
  <c r="A91" i="38"/>
  <c r="A92" i="38"/>
  <c r="A93" i="38"/>
  <c r="A94" i="38"/>
  <c r="A95" i="38"/>
  <c r="A96" i="38"/>
  <c r="A97" i="38"/>
  <c r="A98" i="38"/>
  <c r="A99" i="38"/>
  <c r="A100" i="38"/>
  <c r="A101" i="38"/>
  <c r="A102" i="38"/>
  <c r="A103" i="38"/>
  <c r="A104" i="38"/>
  <c r="A105" i="38"/>
  <c r="A106" i="38"/>
  <c r="A107" i="38"/>
  <c r="A108" i="38"/>
  <c r="A109" i="38"/>
  <c r="A110" i="38"/>
  <c r="A111" i="38"/>
  <c r="A112" i="38"/>
  <c r="A113" i="38"/>
  <c r="A114" i="38"/>
  <c r="A115" i="38"/>
  <c r="A116" i="38"/>
  <c r="A117" i="38"/>
  <c r="A118" i="38"/>
  <c r="A119" i="38"/>
  <c r="A120" i="38"/>
  <c r="A121" i="38"/>
  <c r="A122" i="38"/>
  <c r="A123" i="38"/>
  <c r="A124" i="38"/>
  <c r="A125" i="38"/>
  <c r="A126" i="38"/>
  <c r="A127" i="38"/>
  <c r="A128" i="38"/>
  <c r="A129" i="38"/>
  <c r="A130" i="38"/>
  <c r="A131" i="38"/>
  <c r="A132" i="38"/>
  <c r="A133" i="38"/>
  <c r="A134" i="38"/>
  <c r="A135" i="38"/>
  <c r="A136" i="38"/>
  <c r="A137" i="38"/>
  <c r="A138" i="38"/>
  <c r="A139" i="38"/>
  <c r="A140" i="38"/>
  <c r="A141" i="38"/>
  <c r="A142" i="38"/>
  <c r="A143" i="38"/>
  <c r="A144" i="38"/>
  <c r="A145" i="38"/>
  <c r="A146" i="38"/>
  <c r="A147" i="38"/>
  <c r="A148" i="38"/>
  <c r="A149" i="38"/>
  <c r="A150" i="38"/>
  <c r="A151" i="38"/>
  <c r="A152" i="38"/>
  <c r="A153" i="38"/>
  <c r="A154" i="38"/>
  <c r="A155" i="38"/>
  <c r="A156" i="38"/>
  <c r="A157" i="38"/>
  <c r="A158" i="38"/>
  <c r="A159" i="38"/>
  <c r="A160" i="38"/>
  <c r="A161" i="38"/>
  <c r="A162" i="38"/>
  <c r="A163" i="38"/>
  <c r="A164" i="38"/>
  <c r="A165" i="38"/>
  <c r="A166" i="38"/>
  <c r="A167" i="38"/>
  <c r="A168" i="38"/>
  <c r="A169" i="38"/>
  <c r="A170" i="38"/>
  <c r="A171" i="38"/>
  <c r="A172" i="38"/>
  <c r="A173" i="38"/>
  <c r="A174" i="38"/>
  <c r="A175" i="38"/>
  <c r="A176" i="38"/>
  <c r="A177" i="38"/>
  <c r="A178" i="38"/>
  <c r="A179" i="38"/>
  <c r="A180" i="38"/>
  <c r="A181" i="38"/>
  <c r="A182" i="38"/>
  <c r="A183" i="38"/>
  <c r="A184" i="38"/>
  <c r="A185" i="38"/>
  <c r="A186" i="38"/>
  <c r="A187" i="38"/>
  <c r="A188" i="38"/>
  <c r="A189" i="38"/>
  <c r="A190" i="38"/>
  <c r="A191" i="38"/>
  <c r="A192" i="38"/>
  <c r="A193" i="38"/>
  <c r="A194" i="38"/>
  <c r="A195" i="38"/>
  <c r="A196" i="38"/>
  <c r="A197" i="38"/>
  <c r="A198" i="38"/>
  <c r="A199" i="38"/>
  <c r="A200" i="38"/>
  <c r="A201" i="38"/>
  <c r="A202" i="38"/>
  <c r="A203" i="38"/>
  <c r="A204" i="38"/>
  <c r="A205" i="38"/>
  <c r="A206" i="38"/>
  <c r="A207" i="38"/>
  <c r="A208" i="38"/>
  <c r="A209" i="38"/>
  <c r="A210" i="38"/>
  <c r="A211" i="38"/>
  <c r="A212" i="38"/>
  <c r="A213" i="38"/>
  <c r="A214" i="38"/>
  <c r="A215" i="38"/>
  <c r="A216" i="38"/>
  <c r="A217" i="38"/>
  <c r="A218" i="38"/>
  <c r="A219" i="38"/>
  <c r="A220" i="38"/>
  <c r="A221" i="38"/>
  <c r="A222" i="38"/>
  <c r="A223" i="38"/>
  <c r="A224" i="38"/>
  <c r="A225" i="38"/>
  <c r="A226" i="38"/>
  <c r="A227" i="38"/>
  <c r="A228" i="38"/>
  <c r="A229" i="38"/>
  <c r="A230" i="38"/>
  <c r="A231" i="38"/>
  <c r="A232" i="38"/>
  <c r="A233" i="38"/>
  <c r="A234" i="38"/>
  <c r="A235" i="38"/>
  <c r="A236" i="38"/>
  <c r="A237" i="38"/>
  <c r="A238" i="38"/>
  <c r="A239" i="38"/>
  <c r="A240" i="38"/>
  <c r="A241" i="38"/>
  <c r="A242" i="38"/>
  <c r="A243" i="38"/>
  <c r="A244" i="38"/>
  <c r="A245" i="38"/>
  <c r="A246" i="38"/>
  <c r="A247" i="38"/>
  <c r="A248" i="38"/>
  <c r="A249" i="38"/>
  <c r="A250" i="38"/>
  <c r="A251" i="38"/>
  <c r="A252" i="38"/>
  <c r="A253" i="38"/>
  <c r="A254" i="38"/>
  <c r="A255" i="38"/>
  <c r="A256" i="38"/>
  <c r="A257" i="38"/>
  <c r="A258" i="38"/>
  <c r="A259" i="38"/>
  <c r="A260" i="38"/>
  <c r="A261" i="38"/>
  <c r="A262" i="38"/>
  <c r="A263" i="38"/>
  <c r="A264" i="38"/>
  <c r="A265" i="38"/>
  <c r="A266" i="38"/>
  <c r="A267" i="38"/>
  <c r="A268" i="38"/>
  <c r="A269" i="38"/>
  <c r="A270" i="38"/>
  <c r="A271" i="38"/>
  <c r="A272" i="38"/>
  <c r="A273" i="38"/>
  <c r="A274" i="38"/>
  <c r="A275" i="38"/>
  <c r="A276" i="38"/>
  <c r="A277" i="38"/>
  <c r="A278" i="38"/>
  <c r="A279" i="38"/>
  <c r="A280" i="38"/>
  <c r="A281" i="38"/>
  <c r="A282" i="38"/>
  <c r="A283" i="38"/>
  <c r="A284" i="38"/>
  <c r="A285" i="38"/>
  <c r="A286" i="38"/>
  <c r="A287" i="38"/>
  <c r="A288" i="38"/>
  <c r="A289" i="38"/>
  <c r="A290" i="38"/>
  <c r="A291" i="38"/>
  <c r="A292" i="38"/>
  <c r="A293" i="38"/>
  <c r="A294" i="38"/>
  <c r="A295" i="38"/>
  <c r="A296" i="38"/>
  <c r="A297" i="38"/>
  <c r="A298" i="38"/>
  <c r="A299" i="38"/>
  <c r="A300" i="38"/>
  <c r="A301" i="38"/>
  <c r="A302" i="38"/>
  <c r="A303" i="38"/>
  <c r="A304" i="38"/>
  <c r="A305" i="38"/>
  <c r="A306" i="38"/>
  <c r="A307" i="38"/>
  <c r="A308" i="38"/>
  <c r="A309" i="38"/>
  <c r="A310" i="38"/>
  <c r="A311" i="38"/>
  <c r="A312" i="38"/>
  <c r="A313" i="38"/>
  <c r="A314" i="38"/>
  <c r="A315" i="38"/>
  <c r="A316" i="38"/>
  <c r="A317" i="38"/>
  <c r="A318" i="38"/>
  <c r="A319" i="38"/>
  <c r="A320" i="38"/>
  <c r="A321" i="38"/>
  <c r="A322" i="38"/>
  <c r="A323" i="38"/>
  <c r="A324" i="38"/>
  <c r="A325" i="38"/>
  <c r="A326" i="38"/>
  <c r="A327" i="38"/>
  <c r="A328" i="38"/>
  <c r="A329" i="38"/>
  <c r="A330" i="38"/>
  <c r="A331" i="38"/>
  <c r="A332" i="38"/>
  <c r="A333" i="38"/>
  <c r="A334" i="38"/>
  <c r="A335" i="38"/>
  <c r="A336" i="38"/>
  <c r="A337" i="38"/>
  <c r="A338" i="38"/>
  <c r="A339" i="38"/>
  <c r="A340" i="38"/>
  <c r="A341" i="38"/>
  <c r="A342" i="38"/>
  <c r="A343" i="38"/>
  <c r="A344" i="38"/>
  <c r="A345" i="38"/>
  <c r="A346" i="38"/>
  <c r="A347" i="38"/>
  <c r="A348" i="38"/>
  <c r="A349" i="38"/>
  <c r="A350" i="38"/>
  <c r="A351" i="38"/>
  <c r="A352" i="38"/>
  <c r="A353" i="38"/>
  <c r="A354" i="38"/>
  <c r="A355" i="38"/>
  <c r="A356" i="38"/>
  <c r="A357" i="38"/>
  <c r="A358" i="38"/>
  <c r="A359" i="38"/>
  <c r="A360" i="38"/>
  <c r="A361" i="38"/>
  <c r="A362" i="38"/>
  <c r="A363" i="38"/>
  <c r="A364" i="38"/>
  <c r="A365" i="38"/>
  <c r="A366" i="38"/>
  <c r="A367" i="38"/>
  <c r="A368" i="38"/>
  <c r="A369" i="38"/>
  <c r="A370" i="38"/>
  <c r="A371" i="38"/>
  <c r="A372" i="38"/>
  <c r="A373" i="38"/>
  <c r="A374" i="38"/>
  <c r="A375" i="38"/>
  <c r="A376" i="38"/>
  <c r="A377" i="38"/>
  <c r="A378" i="38"/>
  <c r="A379" i="38"/>
  <c r="A380" i="38"/>
  <c r="A381" i="38"/>
  <c r="A382" i="38"/>
  <c r="A383" i="38"/>
  <c r="A384" i="38"/>
  <c r="A385" i="38"/>
  <c r="A386" i="38"/>
  <c r="A387" i="38"/>
  <c r="A388" i="38"/>
  <c r="A389" i="38"/>
  <c r="A390" i="38"/>
  <c r="A391" i="38"/>
  <c r="A392" i="38"/>
  <c r="A393" i="38"/>
  <c r="A394" i="38"/>
  <c r="A395" i="38"/>
  <c r="A396" i="38"/>
  <c r="A397" i="38"/>
  <c r="A398" i="38"/>
  <c r="A399" i="38"/>
  <c r="A400" i="38"/>
  <c r="A401" i="38"/>
  <c r="A402" i="38"/>
  <c r="A403" i="38"/>
  <c r="A404" i="38"/>
  <c r="A405" i="38"/>
  <c r="A406" i="38"/>
  <c r="A407" i="38"/>
  <c r="A408" i="38"/>
  <c r="A409" i="38"/>
  <c r="A410" i="38"/>
  <c r="A411" i="38"/>
  <c r="A412" i="38"/>
  <c r="A413" i="38"/>
  <c r="A414" i="38"/>
  <c r="A415" i="38"/>
  <c r="A416" i="38"/>
  <c r="A417" i="38"/>
  <c r="A418" i="38"/>
  <c r="A419" i="38"/>
  <c r="A420" i="38"/>
  <c r="A421" i="38"/>
  <c r="A422" i="38"/>
  <c r="A423" i="38"/>
  <c r="A424" i="38"/>
  <c r="A425" i="38"/>
  <c r="A426" i="38"/>
  <c r="A427" i="38"/>
  <c r="A428" i="38"/>
  <c r="A429" i="38"/>
  <c r="A430" i="38"/>
  <c r="A431" i="38"/>
  <c r="A432" i="38"/>
  <c r="A433" i="38"/>
  <c r="A434" i="38"/>
  <c r="A435" i="38"/>
  <c r="A436" i="38"/>
  <c r="A437" i="38"/>
  <c r="A438" i="38"/>
  <c r="A439" i="38"/>
  <c r="A440" i="38"/>
  <c r="A441" i="38"/>
  <c r="A442" i="38"/>
  <c r="A443" i="38"/>
  <c r="A444" i="38"/>
  <c r="A445" i="38"/>
  <c r="A446" i="38"/>
  <c r="A447" i="38"/>
  <c r="A448" i="38"/>
  <c r="A449" i="38"/>
  <c r="A450" i="38"/>
  <c r="A451" i="38"/>
  <c r="A452" i="38"/>
  <c r="A453" i="38"/>
  <c r="A454" i="38"/>
  <c r="A455" i="38"/>
  <c r="A456" i="38"/>
  <c r="A457" i="38"/>
  <c r="A458" i="38"/>
  <c r="A459" i="38"/>
  <c r="A460" i="38"/>
  <c r="A461" i="38"/>
  <c r="A462" i="38"/>
  <c r="A463" i="38"/>
  <c r="A464" i="38"/>
  <c r="A465" i="38"/>
  <c r="A466" i="38"/>
  <c r="A467" i="38"/>
  <c r="A468" i="38"/>
  <c r="A469" i="38"/>
  <c r="A470" i="38"/>
  <c r="A471" i="38"/>
  <c r="A472" i="38"/>
  <c r="A473" i="38"/>
  <c r="A474" i="38"/>
  <c r="A475" i="38"/>
  <c r="A476" i="38"/>
  <c r="A477" i="38"/>
  <c r="A478" i="38"/>
  <c r="A479" i="38"/>
  <c r="A480" i="38"/>
  <c r="A481" i="38"/>
  <c r="A482" i="38"/>
  <c r="A483" i="38"/>
  <c r="A484" i="38"/>
  <c r="A485" i="38"/>
  <c r="A486" i="38"/>
  <c r="A487" i="38"/>
  <c r="A488" i="38"/>
  <c r="A489" i="38"/>
  <c r="A490" i="38"/>
  <c r="A491" i="38"/>
  <c r="A492" i="38"/>
  <c r="A493" i="38"/>
  <c r="A494" i="38"/>
  <c r="A495" i="38"/>
  <c r="A496" i="38"/>
  <c r="A497" i="38"/>
  <c r="A498" i="38"/>
  <c r="A499" i="38"/>
  <c r="A500" i="38"/>
  <c r="A501" i="38"/>
  <c r="A502" i="38"/>
  <c r="A503" i="38"/>
  <c r="A504" i="38"/>
  <c r="A505" i="38"/>
  <c r="A506" i="38"/>
  <c r="A507" i="38"/>
  <c r="A508" i="38"/>
  <c r="A509" i="38"/>
  <c r="A510" i="38"/>
  <c r="A511" i="38"/>
  <c r="A512" i="38"/>
  <c r="A513" i="38"/>
  <c r="A514" i="38"/>
  <c r="A515" i="38"/>
  <c r="A516" i="38"/>
  <c r="A517" i="38"/>
  <c r="A518" i="38"/>
  <c r="A519" i="38"/>
  <c r="A520" i="38"/>
  <c r="A521" i="38"/>
  <c r="A522" i="38"/>
  <c r="A523" i="38"/>
  <c r="A524" i="38"/>
  <c r="A525" i="38"/>
  <c r="A526" i="38"/>
  <c r="A527" i="38"/>
  <c r="A528" i="38"/>
  <c r="A529" i="38"/>
  <c r="A530" i="38"/>
  <c r="A531" i="38"/>
  <c r="A532" i="38"/>
  <c r="A533" i="38"/>
  <c r="A534" i="38"/>
  <c r="A535" i="38"/>
  <c r="A536" i="38"/>
  <c r="A537" i="38"/>
  <c r="A538" i="38"/>
  <c r="A539" i="38"/>
  <c r="A540" i="38"/>
  <c r="A541" i="38"/>
  <c r="A542" i="38"/>
  <c r="A543" i="38"/>
  <c r="A544" i="38"/>
  <c r="A545" i="38"/>
  <c r="A546" i="38"/>
  <c r="A547" i="38"/>
  <c r="A548" i="38"/>
  <c r="A549" i="38"/>
  <c r="A550" i="38"/>
  <c r="A551" i="38"/>
  <c r="A552" i="38"/>
  <c r="A553" i="38"/>
  <c r="A554" i="38"/>
  <c r="A555" i="38"/>
  <c r="A556" i="38"/>
  <c r="A557" i="38"/>
  <c r="A558" i="38"/>
  <c r="A559" i="38"/>
  <c r="A560" i="38"/>
  <c r="A561" i="38"/>
  <c r="A562" i="38"/>
  <c r="A563" i="38"/>
  <c r="A564" i="38"/>
  <c r="A565" i="38"/>
  <c r="A566" i="38"/>
  <c r="A567" i="38"/>
  <c r="A568" i="38"/>
  <c r="A569" i="38"/>
  <c r="A570" i="38"/>
  <c r="A571" i="38"/>
  <c r="A572" i="38"/>
  <c r="A573" i="38"/>
  <c r="A574" i="38"/>
  <c r="A575" i="38"/>
  <c r="A576" i="38"/>
  <c r="A577" i="38"/>
  <c r="A578" i="38"/>
  <c r="A579" i="38"/>
  <c r="A580" i="38"/>
  <c r="A581" i="38"/>
  <c r="A582" i="38"/>
  <c r="A583" i="38"/>
  <c r="A584" i="38"/>
  <c r="A585" i="38"/>
  <c r="A586" i="38"/>
  <c r="A587" i="38"/>
  <c r="A588" i="38"/>
  <c r="A589" i="38"/>
  <c r="A590" i="38"/>
  <c r="A591" i="38"/>
  <c r="A592" i="38"/>
  <c r="A593" i="38"/>
  <c r="A594" i="38"/>
  <c r="A595" i="38"/>
  <c r="A596" i="38"/>
  <c r="A597" i="38"/>
  <c r="A598" i="38"/>
  <c r="A599" i="38"/>
  <c r="A600" i="38"/>
  <c r="A601" i="38"/>
  <c r="A602" i="38"/>
  <c r="A603" i="38"/>
  <c r="A604" i="38"/>
  <c r="A605" i="38"/>
  <c r="A606" i="38"/>
  <c r="A607" i="38"/>
  <c r="A608" i="38"/>
  <c r="A609" i="38"/>
  <c r="A610" i="38"/>
  <c r="A611" i="38"/>
  <c r="A612" i="38"/>
  <c r="A613" i="38"/>
  <c r="A614" i="38"/>
  <c r="A615" i="38"/>
  <c r="A616" i="38"/>
  <c r="A617" i="38"/>
  <c r="A618" i="38"/>
  <c r="A619" i="38"/>
  <c r="A620" i="38"/>
  <c r="A621" i="38"/>
  <c r="A622" i="38"/>
  <c r="A623" i="38"/>
  <c r="A624" i="38"/>
  <c r="A625" i="38"/>
  <c r="A626" i="38"/>
  <c r="A627" i="38"/>
  <c r="A628" i="38"/>
  <c r="A629" i="38"/>
  <c r="A630" i="38"/>
  <c r="A631" i="38"/>
  <c r="A632" i="38"/>
  <c r="A633" i="38"/>
  <c r="A634" i="38"/>
  <c r="A635" i="38"/>
  <c r="A636" i="38"/>
  <c r="A637" i="38"/>
  <c r="A638" i="38"/>
  <c r="A639" i="38"/>
  <c r="A640" i="38"/>
  <c r="A641" i="38"/>
  <c r="A642" i="38"/>
  <c r="A643" i="38"/>
  <c r="A644" i="38"/>
  <c r="A645" i="38"/>
  <c r="A646" i="38"/>
  <c r="A647" i="38"/>
  <c r="A648" i="38"/>
  <c r="A649" i="38"/>
  <c r="A650" i="38"/>
  <c r="A651" i="38"/>
  <c r="A652" i="38"/>
  <c r="A653" i="38"/>
  <c r="A654" i="38"/>
  <c r="A655" i="38"/>
  <c r="A656" i="38"/>
  <c r="A657" i="38"/>
  <c r="A658" i="38"/>
  <c r="A659" i="38"/>
  <c r="A660" i="38"/>
  <c r="A661" i="38"/>
  <c r="A662" i="38"/>
  <c r="A663" i="38"/>
  <c r="A664" i="38"/>
  <c r="A665" i="38"/>
  <c r="A666" i="38"/>
  <c r="A667" i="38"/>
  <c r="A668" i="38"/>
  <c r="A669" i="38"/>
  <c r="A670" i="38"/>
  <c r="A671" i="38"/>
  <c r="A672" i="38"/>
  <c r="A673" i="38"/>
  <c r="A674" i="38"/>
  <c r="A675" i="38"/>
  <c r="A676" i="38"/>
  <c r="A677" i="38"/>
  <c r="A678" i="38"/>
  <c r="A679" i="38"/>
  <c r="A680" i="38"/>
  <c r="A681" i="38"/>
  <c r="A682" i="38"/>
  <c r="A683" i="38"/>
  <c r="A684" i="38"/>
  <c r="A685" i="38"/>
  <c r="A686" i="38"/>
  <c r="A687" i="38"/>
  <c r="A688" i="38"/>
  <c r="A689" i="38"/>
  <c r="A690" i="38"/>
  <c r="A691" i="38"/>
  <c r="A692" i="38"/>
  <c r="A693" i="38"/>
  <c r="A694" i="38"/>
  <c r="A695" i="38"/>
  <c r="A696" i="38"/>
  <c r="A697" i="38"/>
  <c r="A698" i="38"/>
  <c r="A699" i="38"/>
  <c r="A700" i="38"/>
  <c r="A701" i="38"/>
  <c r="A702" i="38"/>
  <c r="A703" i="38"/>
  <c r="A704" i="38"/>
  <c r="A705" i="38"/>
  <c r="A706" i="38"/>
  <c r="A707" i="38"/>
  <c r="A708" i="38"/>
  <c r="A709" i="38"/>
  <c r="A710" i="38"/>
  <c r="A711" i="38"/>
  <c r="A712" i="38"/>
  <c r="A713" i="38"/>
  <c r="A714" i="38"/>
  <c r="A715" i="38"/>
  <c r="A716" i="38"/>
  <c r="A717" i="38"/>
  <c r="A718" i="38"/>
  <c r="A719" i="38"/>
  <c r="A720" i="38"/>
  <c r="A721" i="38"/>
  <c r="A722" i="38"/>
  <c r="A723" i="38"/>
  <c r="A724" i="38"/>
  <c r="A725" i="38"/>
  <c r="A726" i="38"/>
  <c r="A727" i="38"/>
  <c r="A728" i="38"/>
  <c r="A729" i="38"/>
  <c r="A730" i="38"/>
  <c r="A731" i="38"/>
  <c r="A732" i="38"/>
  <c r="A733" i="38"/>
  <c r="A734" i="38"/>
  <c r="A735" i="38"/>
  <c r="A736" i="38"/>
  <c r="A737" i="38"/>
  <c r="A738" i="38"/>
  <c r="A739" i="38"/>
  <c r="A740" i="38"/>
  <c r="A741" i="38"/>
  <c r="A742" i="38"/>
  <c r="A743" i="38"/>
  <c r="A744" i="38"/>
  <c r="A745" i="38"/>
  <c r="A746" i="38"/>
  <c r="A747" i="38"/>
  <c r="A748" i="38"/>
  <c r="A749" i="38"/>
  <c r="A750" i="38"/>
  <c r="A751" i="38"/>
  <c r="A752" i="38"/>
  <c r="A753" i="38"/>
  <c r="A754" i="38"/>
  <c r="A755" i="38"/>
  <c r="A756" i="38"/>
  <c r="A757" i="38"/>
  <c r="A758" i="38"/>
  <c r="A759" i="38"/>
  <c r="A760" i="38"/>
  <c r="A761" i="38"/>
  <c r="A762" i="38"/>
  <c r="A763" i="38"/>
  <c r="A764" i="38"/>
  <c r="A765" i="38"/>
  <c r="A766" i="38"/>
  <c r="A767" i="38"/>
  <c r="A768" i="38"/>
  <c r="A769" i="38"/>
  <c r="A770" i="38"/>
  <c r="A771" i="38"/>
  <c r="A772" i="38"/>
  <c r="A773" i="38"/>
  <c r="A774" i="38"/>
  <c r="A775" i="38"/>
  <c r="A776" i="38"/>
  <c r="A777" i="38"/>
  <c r="A778" i="38"/>
  <c r="A779" i="38"/>
  <c r="A780" i="38"/>
  <c r="A781" i="38"/>
  <c r="A782" i="38"/>
  <c r="A783" i="38"/>
  <c r="A784" i="38"/>
  <c r="A785" i="38"/>
  <c r="A786" i="38"/>
  <c r="A787" i="38"/>
  <c r="A788" i="38"/>
  <c r="A789" i="38"/>
  <c r="A790" i="38"/>
  <c r="A791" i="38"/>
  <c r="A792" i="38"/>
  <c r="A793" i="38"/>
  <c r="A794" i="38"/>
  <c r="A795" i="38"/>
  <c r="A796" i="38"/>
  <c r="A797" i="38"/>
  <c r="A798" i="38"/>
  <c r="A799" i="38"/>
  <c r="A800" i="38"/>
  <c r="A801" i="38"/>
  <c r="A802" i="38"/>
  <c r="A803" i="38"/>
  <c r="A804" i="38"/>
  <c r="A805" i="38"/>
  <c r="A806" i="38"/>
  <c r="A807" i="38"/>
  <c r="A808" i="38"/>
  <c r="A809" i="38"/>
  <c r="A810" i="38"/>
  <c r="A811" i="38"/>
  <c r="A812" i="38"/>
  <c r="A813" i="38"/>
  <c r="A814" i="38"/>
  <c r="A815" i="38"/>
  <c r="A816" i="38"/>
  <c r="A817" i="38"/>
  <c r="A818" i="38"/>
  <c r="A819" i="38"/>
  <c r="A820" i="38"/>
  <c r="A821" i="38"/>
  <c r="A822" i="38"/>
  <c r="A823" i="38"/>
  <c r="A824" i="38"/>
  <c r="A825" i="38"/>
  <c r="A826" i="38"/>
  <c r="A827" i="38"/>
  <c r="A828" i="38"/>
  <c r="A829" i="38"/>
  <c r="A830" i="38"/>
  <c r="A831" i="38"/>
  <c r="A832" i="38"/>
  <c r="A833" i="38"/>
  <c r="A834" i="38"/>
  <c r="A835" i="38"/>
  <c r="A836" i="38"/>
  <c r="A837" i="38"/>
  <c r="A838" i="38"/>
  <c r="A839" i="38"/>
  <c r="A840" i="38"/>
  <c r="A841" i="38"/>
  <c r="A842" i="38"/>
  <c r="A843" i="38"/>
  <c r="A844" i="38"/>
  <c r="A845" i="38"/>
  <c r="A846" i="38"/>
  <c r="A847" i="38"/>
  <c r="A848" i="38"/>
  <c r="A2" i="38"/>
  <c r="C49" i="50"/>
  <c r="B33" i="50" s="1"/>
  <c r="M70" i="50"/>
  <c r="L70" i="50"/>
  <c r="K70" i="50"/>
  <c r="J70" i="50"/>
  <c r="I70" i="50"/>
  <c r="H70" i="50"/>
  <c r="G70" i="50"/>
  <c r="F70" i="50"/>
  <c r="E70" i="50"/>
  <c r="C70" i="50"/>
  <c r="M69" i="50"/>
  <c r="L69" i="50"/>
  <c r="K69" i="50"/>
  <c r="J69" i="50"/>
  <c r="I69" i="50"/>
  <c r="H69" i="50"/>
  <c r="G69" i="50"/>
  <c r="F69" i="50"/>
  <c r="E69" i="50"/>
  <c r="C69" i="50"/>
  <c r="M68" i="50"/>
  <c r="L68" i="50"/>
  <c r="K68" i="50"/>
  <c r="J68" i="50"/>
  <c r="I68" i="50"/>
  <c r="D14" i="50" s="1"/>
  <c r="H68" i="50"/>
  <c r="D13" i="50" s="1"/>
  <c r="G68" i="50"/>
  <c r="F68" i="50"/>
  <c r="E68" i="50"/>
  <c r="C68" i="50"/>
  <c r="M67" i="50"/>
  <c r="L67" i="50"/>
  <c r="K67" i="50"/>
  <c r="J67" i="50"/>
  <c r="I67" i="50"/>
  <c r="H67" i="50"/>
  <c r="G67" i="50"/>
  <c r="F67" i="50"/>
  <c r="E67" i="50"/>
  <c r="C67" i="50"/>
  <c r="M66" i="50"/>
  <c r="L66" i="50"/>
  <c r="K66" i="50"/>
  <c r="J66" i="50"/>
  <c r="I66" i="50"/>
  <c r="H66" i="50"/>
  <c r="G66" i="50"/>
  <c r="F66" i="50"/>
  <c r="E66" i="50"/>
  <c r="C66" i="50"/>
  <c r="M65" i="50"/>
  <c r="L65" i="50"/>
  <c r="K65" i="50"/>
  <c r="J65" i="50"/>
  <c r="I65" i="50"/>
  <c r="H65" i="50"/>
  <c r="G65" i="50"/>
  <c r="F65" i="50"/>
  <c r="E65" i="50"/>
  <c r="D65" i="50"/>
  <c r="C65" i="50"/>
  <c r="M64" i="50"/>
  <c r="L64" i="50"/>
  <c r="K64" i="50"/>
  <c r="J64" i="50"/>
  <c r="I64" i="50"/>
  <c r="H64" i="50"/>
  <c r="G64" i="50"/>
  <c r="F64" i="50"/>
  <c r="E64" i="50"/>
  <c r="D64" i="50"/>
  <c r="C64" i="50"/>
  <c r="M63" i="50"/>
  <c r="L63" i="50"/>
  <c r="K63" i="50"/>
  <c r="J63" i="50"/>
  <c r="I63" i="50"/>
  <c r="H63" i="50"/>
  <c r="G63" i="50"/>
  <c r="F63" i="50"/>
  <c r="E63" i="50"/>
  <c r="D63" i="50"/>
  <c r="C63" i="50"/>
  <c r="M62" i="50"/>
  <c r="L62" i="50"/>
  <c r="K62" i="50"/>
  <c r="J62" i="50"/>
  <c r="I62" i="50"/>
  <c r="H62" i="50"/>
  <c r="G62" i="50"/>
  <c r="F62" i="50"/>
  <c r="E62" i="50"/>
  <c r="D62" i="50"/>
  <c r="C62" i="50"/>
  <c r="M61" i="50"/>
  <c r="L61" i="50"/>
  <c r="K61" i="50"/>
  <c r="J61" i="50"/>
  <c r="I61" i="50"/>
  <c r="H61" i="50"/>
  <c r="G61" i="50"/>
  <c r="F61" i="50"/>
  <c r="E61" i="50"/>
  <c r="D61" i="50"/>
  <c r="C61" i="50"/>
  <c r="M60" i="50"/>
  <c r="L60" i="50"/>
  <c r="K60" i="50"/>
  <c r="J60" i="50"/>
  <c r="I60" i="50"/>
  <c r="H60" i="50"/>
  <c r="G60" i="50"/>
  <c r="F60" i="50"/>
  <c r="E60" i="50"/>
  <c r="D60" i="50"/>
  <c r="C60" i="50"/>
  <c r="M59" i="50"/>
  <c r="L59" i="50"/>
  <c r="K59" i="50"/>
  <c r="J59" i="50"/>
  <c r="I59" i="50"/>
  <c r="H59" i="50"/>
  <c r="G59" i="50"/>
  <c r="F59" i="50"/>
  <c r="E59" i="50"/>
  <c r="D59" i="50"/>
  <c r="C59" i="50"/>
  <c r="M58" i="50"/>
  <c r="L58" i="50"/>
  <c r="K58" i="50"/>
  <c r="J58" i="50"/>
  <c r="I58" i="50"/>
  <c r="H58" i="50"/>
  <c r="G58" i="50"/>
  <c r="F58" i="50"/>
  <c r="E58" i="50"/>
  <c r="D58" i="50"/>
  <c r="C58" i="50"/>
  <c r="M57" i="50"/>
  <c r="L57" i="50"/>
  <c r="K57" i="50"/>
  <c r="J57" i="50"/>
  <c r="I57" i="50"/>
  <c r="H57" i="50"/>
  <c r="G57" i="50"/>
  <c r="F57" i="50"/>
  <c r="E57" i="50"/>
  <c r="D57" i="50"/>
  <c r="C57" i="50"/>
  <c r="M56" i="50"/>
  <c r="L56" i="50"/>
  <c r="K56" i="50"/>
  <c r="J56" i="50"/>
  <c r="I56" i="50"/>
  <c r="H56" i="50"/>
  <c r="G56" i="50"/>
  <c r="F56" i="50"/>
  <c r="E56" i="50"/>
  <c r="D56" i="50"/>
  <c r="C56" i="50"/>
  <c r="M55" i="50"/>
  <c r="L55" i="50"/>
  <c r="K55" i="50"/>
  <c r="J55" i="50"/>
  <c r="I55" i="50"/>
  <c r="H55" i="50"/>
  <c r="G55" i="50"/>
  <c r="F55" i="50"/>
  <c r="E55" i="50"/>
  <c r="D55" i="50"/>
  <c r="C55" i="50"/>
  <c r="M54" i="50"/>
  <c r="L54" i="50"/>
  <c r="K54" i="50"/>
  <c r="J54" i="50"/>
  <c r="I54" i="50"/>
  <c r="H54" i="50"/>
  <c r="G54" i="50"/>
  <c r="F54" i="50"/>
  <c r="E54" i="50"/>
  <c r="D54" i="50"/>
  <c r="C54" i="50"/>
  <c r="M53" i="50"/>
  <c r="L53" i="50"/>
  <c r="K53" i="50"/>
  <c r="J53" i="50"/>
  <c r="I53" i="50"/>
  <c r="H53" i="50"/>
  <c r="G53" i="50"/>
  <c r="F53" i="50"/>
  <c r="E53" i="50"/>
  <c r="D53" i="50"/>
  <c r="C53" i="50"/>
  <c r="M52" i="50"/>
  <c r="L52" i="50"/>
  <c r="K52" i="50"/>
  <c r="J52" i="50"/>
  <c r="I52" i="50"/>
  <c r="H52" i="50"/>
  <c r="G52" i="50"/>
  <c r="F52" i="50"/>
  <c r="E52" i="50"/>
  <c r="D52" i="50"/>
  <c r="C52" i="50"/>
  <c r="M51" i="50"/>
  <c r="L51" i="50"/>
  <c r="K51" i="50"/>
  <c r="J51" i="50"/>
  <c r="I51" i="50"/>
  <c r="H51" i="50"/>
  <c r="G51" i="50"/>
  <c r="F51" i="50"/>
  <c r="E51" i="50"/>
  <c r="D51" i="50"/>
  <c r="C51" i="50"/>
  <c r="M50" i="50"/>
  <c r="L50" i="50"/>
  <c r="K50" i="50"/>
  <c r="J50" i="50"/>
  <c r="I50" i="50"/>
  <c r="H50" i="50"/>
  <c r="G50" i="50"/>
  <c r="F50" i="50"/>
  <c r="E50" i="50"/>
  <c r="D50" i="50"/>
  <c r="C50" i="50"/>
  <c r="N49" i="50"/>
  <c r="B46" i="50" s="1"/>
  <c r="M49" i="50"/>
  <c r="B45" i="50" s="1"/>
  <c r="L49" i="50"/>
  <c r="B44" i="50" s="1"/>
  <c r="K49" i="50"/>
  <c r="B43" i="50" s="1"/>
  <c r="J49" i="50"/>
  <c r="B42" i="50" s="1"/>
  <c r="I49" i="50"/>
  <c r="B41" i="50" s="1"/>
  <c r="H49" i="50"/>
  <c r="B40" i="50" s="1"/>
  <c r="G49" i="50"/>
  <c r="B38" i="50" s="1"/>
  <c r="F49" i="50"/>
  <c r="B37" i="50" s="1"/>
  <c r="E49" i="50"/>
  <c r="B36" i="50" s="1"/>
  <c r="D49" i="50"/>
  <c r="E27" i="42"/>
  <c r="C401" i="38" s="1"/>
  <c r="E26" i="42"/>
  <c r="C396" i="38" s="1"/>
  <c r="E25" i="42"/>
  <c r="C391" i="38" s="1"/>
  <c r="E24" i="42"/>
  <c r="C386" i="38" s="1"/>
  <c r="E23" i="42"/>
  <c r="C381" i="38" s="1"/>
  <c r="E22" i="42"/>
  <c r="C376" i="38" s="1"/>
  <c r="E21" i="42"/>
  <c r="C371" i="38" s="1"/>
  <c r="D26" i="42"/>
  <c r="D25" i="42"/>
  <c r="D24" i="42"/>
  <c r="D23" i="42"/>
  <c r="D21" i="42"/>
  <c r="F21" i="42" s="1"/>
  <c r="D27" i="42"/>
  <c r="D22" i="42"/>
  <c r="B14" i="5"/>
  <c r="E4" i="5"/>
  <c r="D100" i="29"/>
  <c r="C159" i="38" s="1"/>
  <c r="D35" i="29"/>
  <c r="C94" i="38" s="1"/>
  <c r="D9" i="29"/>
  <c r="C68" i="38" s="1"/>
  <c r="D10" i="29"/>
  <c r="C69" i="38" s="1"/>
  <c r="D11" i="29"/>
  <c r="C70" i="38" s="1"/>
  <c r="D12" i="29"/>
  <c r="C71" i="38" s="1"/>
  <c r="D13" i="29"/>
  <c r="C72" i="38" s="1"/>
  <c r="D14" i="29"/>
  <c r="C73" i="38" s="1"/>
  <c r="D15" i="29"/>
  <c r="C74" i="38" s="1"/>
  <c r="D8" i="29"/>
  <c r="C67" i="38" s="1"/>
  <c r="D5" i="29"/>
  <c r="C64" i="38" s="1"/>
  <c r="L68" i="43"/>
  <c r="C840" i="38" s="1"/>
  <c r="K68" i="43"/>
  <c r="C839" i="38" s="1"/>
  <c r="J68" i="43"/>
  <c r="C838" i="38" s="1"/>
  <c r="I68" i="43"/>
  <c r="C837" i="38" s="1"/>
  <c r="H68" i="43"/>
  <c r="C836" i="38" s="1"/>
  <c r="G68" i="43"/>
  <c r="C835" i="38" s="1"/>
  <c r="F68" i="43"/>
  <c r="C834" i="38" s="1"/>
  <c r="E68" i="43"/>
  <c r="C833" i="38" s="1"/>
  <c r="D68" i="43"/>
  <c r="C832" i="38" s="1"/>
  <c r="L67" i="43"/>
  <c r="C825" i="38" s="1"/>
  <c r="K67" i="43"/>
  <c r="C824" i="38" s="1"/>
  <c r="J67" i="43"/>
  <c r="C823" i="38" s="1"/>
  <c r="I67" i="43"/>
  <c r="C822" i="38" s="1"/>
  <c r="H67" i="43"/>
  <c r="G67" i="43"/>
  <c r="C820" i="38" s="1"/>
  <c r="F67" i="43"/>
  <c r="C819" i="38" s="1"/>
  <c r="E67" i="43"/>
  <c r="C818" i="38" s="1"/>
  <c r="D67" i="43"/>
  <c r="C817" i="38" s="1"/>
  <c r="L66" i="43"/>
  <c r="C810" i="38" s="1"/>
  <c r="K66" i="43"/>
  <c r="C809" i="38" s="1"/>
  <c r="J66" i="43"/>
  <c r="C808" i="38" s="1"/>
  <c r="I66" i="43"/>
  <c r="D13" i="43" s="1"/>
  <c r="H66" i="43"/>
  <c r="D12" i="43" s="1"/>
  <c r="G66" i="43"/>
  <c r="C805" i="38" s="1"/>
  <c r="F66" i="43"/>
  <c r="C804" i="38" s="1"/>
  <c r="E66" i="43"/>
  <c r="C803" i="38" s="1"/>
  <c r="D66" i="43"/>
  <c r="C802" i="38" s="1"/>
  <c r="L65" i="43"/>
  <c r="C795" i="38" s="1"/>
  <c r="K65" i="43"/>
  <c r="C794" i="38" s="1"/>
  <c r="J65" i="43"/>
  <c r="C793" i="38" s="1"/>
  <c r="I65" i="43"/>
  <c r="C792" i="38" s="1"/>
  <c r="H65" i="43"/>
  <c r="C791" i="38" s="1"/>
  <c r="G65" i="43"/>
  <c r="C790" i="38" s="1"/>
  <c r="F65" i="43"/>
  <c r="C789" i="38" s="1"/>
  <c r="E65" i="43"/>
  <c r="C788" i="38" s="1"/>
  <c r="D65" i="43"/>
  <c r="C787" i="38" s="1"/>
  <c r="L64" i="43"/>
  <c r="C780" i="38" s="1"/>
  <c r="K64" i="43"/>
  <c r="C779" i="38" s="1"/>
  <c r="J64" i="43"/>
  <c r="C778" i="38" s="1"/>
  <c r="I64" i="43"/>
  <c r="C777" i="38" s="1"/>
  <c r="H64" i="43"/>
  <c r="G64" i="43"/>
  <c r="C775" i="38" s="1"/>
  <c r="F64" i="43"/>
  <c r="C774" i="38" s="1"/>
  <c r="E64" i="43"/>
  <c r="C773" i="38" s="1"/>
  <c r="D64" i="43"/>
  <c r="C772" i="38" s="1"/>
  <c r="C68" i="43"/>
  <c r="C831" i="38" s="1"/>
  <c r="C67" i="43"/>
  <c r="C816" i="38" s="1"/>
  <c r="C66" i="43"/>
  <c r="C801" i="38" s="1"/>
  <c r="C65" i="43"/>
  <c r="C786" i="38" s="1"/>
  <c r="C64" i="43"/>
  <c r="C771" i="38" s="1"/>
  <c r="M63" i="43"/>
  <c r="C766" i="38" s="1"/>
  <c r="L63" i="43"/>
  <c r="C765" i="38" s="1"/>
  <c r="K63" i="43"/>
  <c r="C764" i="38" s="1"/>
  <c r="J63" i="43"/>
  <c r="C763" i="38" s="1"/>
  <c r="I63" i="43"/>
  <c r="C762" i="38" s="1"/>
  <c r="H63" i="43"/>
  <c r="C761" i="38" s="1"/>
  <c r="G63" i="43"/>
  <c r="C760" i="38" s="1"/>
  <c r="F63" i="43"/>
  <c r="C759" i="38" s="1"/>
  <c r="E63" i="43"/>
  <c r="C758" i="38" s="1"/>
  <c r="D63" i="43"/>
  <c r="C757" i="38" s="1"/>
  <c r="C63" i="43"/>
  <c r="C756" i="38" s="1"/>
  <c r="M62" i="43"/>
  <c r="C751" i="38" s="1"/>
  <c r="L62" i="43"/>
  <c r="C750" i="38" s="1"/>
  <c r="K62" i="43"/>
  <c r="C749" i="38" s="1"/>
  <c r="J62" i="43"/>
  <c r="C748" i="38" s="1"/>
  <c r="I62" i="43"/>
  <c r="C747" i="38" s="1"/>
  <c r="H62" i="43"/>
  <c r="C746" i="38" s="1"/>
  <c r="G62" i="43"/>
  <c r="C745" i="38" s="1"/>
  <c r="F62" i="43"/>
  <c r="C744" i="38" s="1"/>
  <c r="E62" i="43"/>
  <c r="C743" i="38" s="1"/>
  <c r="D62" i="43"/>
  <c r="C742" i="38" s="1"/>
  <c r="C62" i="43"/>
  <c r="C741" i="38" s="1"/>
  <c r="M61" i="43"/>
  <c r="C736" i="38" s="1"/>
  <c r="L61" i="43"/>
  <c r="C735" i="38" s="1"/>
  <c r="K61" i="43"/>
  <c r="C734" i="38" s="1"/>
  <c r="J61" i="43"/>
  <c r="C733" i="38" s="1"/>
  <c r="I61" i="43"/>
  <c r="C732" i="38" s="1"/>
  <c r="H61" i="43"/>
  <c r="C731" i="38" s="1"/>
  <c r="G61" i="43"/>
  <c r="C730" i="38" s="1"/>
  <c r="F61" i="43"/>
  <c r="C729" i="38" s="1"/>
  <c r="E61" i="43"/>
  <c r="C728" i="38" s="1"/>
  <c r="D61" i="43"/>
  <c r="C727" i="38" s="1"/>
  <c r="C61" i="43"/>
  <c r="C726" i="38" s="1"/>
  <c r="M60" i="43"/>
  <c r="C721" i="38" s="1"/>
  <c r="L60" i="43"/>
  <c r="C720" i="38" s="1"/>
  <c r="K60" i="43"/>
  <c r="C719" i="38" s="1"/>
  <c r="J60" i="43"/>
  <c r="C718" i="38" s="1"/>
  <c r="I60" i="43"/>
  <c r="C717" i="38" s="1"/>
  <c r="H60" i="43"/>
  <c r="C716" i="38" s="1"/>
  <c r="G60" i="43"/>
  <c r="C715" i="38" s="1"/>
  <c r="F60" i="43"/>
  <c r="C714" i="38" s="1"/>
  <c r="E60" i="43"/>
  <c r="C713" i="38" s="1"/>
  <c r="D60" i="43"/>
  <c r="C712" i="38" s="1"/>
  <c r="C60" i="43"/>
  <c r="C711" i="38" s="1"/>
  <c r="M59" i="43"/>
  <c r="C706" i="38" s="1"/>
  <c r="L59" i="43"/>
  <c r="C705" i="38" s="1"/>
  <c r="K59" i="43"/>
  <c r="C704" i="38" s="1"/>
  <c r="J59" i="43"/>
  <c r="C703" i="38" s="1"/>
  <c r="I59" i="43"/>
  <c r="C702" i="38" s="1"/>
  <c r="H59" i="43"/>
  <c r="C701" i="38" s="1"/>
  <c r="G59" i="43"/>
  <c r="C700" i="38" s="1"/>
  <c r="F59" i="43"/>
  <c r="C699" i="38" s="1"/>
  <c r="E59" i="43"/>
  <c r="C698" i="38" s="1"/>
  <c r="D59" i="43"/>
  <c r="C697" i="38" s="1"/>
  <c r="C59" i="43"/>
  <c r="C696" i="38" s="1"/>
  <c r="M58" i="43"/>
  <c r="C691" i="38" s="1"/>
  <c r="L58" i="43"/>
  <c r="C690" i="38" s="1"/>
  <c r="K58" i="43"/>
  <c r="C689" i="38" s="1"/>
  <c r="J58" i="43"/>
  <c r="C688" i="38" s="1"/>
  <c r="I58" i="43"/>
  <c r="C687" i="38" s="1"/>
  <c r="H58" i="43"/>
  <c r="C686" i="38" s="1"/>
  <c r="G58" i="43"/>
  <c r="C685" i="38" s="1"/>
  <c r="F58" i="43"/>
  <c r="C684" i="38" s="1"/>
  <c r="E58" i="43"/>
  <c r="C683" i="38" s="1"/>
  <c r="D58" i="43"/>
  <c r="C682" i="38" s="1"/>
  <c r="C58" i="43"/>
  <c r="C681" i="38" s="1"/>
  <c r="M57" i="43"/>
  <c r="C676" i="38" s="1"/>
  <c r="L57" i="43"/>
  <c r="C675" i="38" s="1"/>
  <c r="K57" i="43"/>
  <c r="C674" i="38" s="1"/>
  <c r="J57" i="43"/>
  <c r="C673" i="38" s="1"/>
  <c r="I57" i="43"/>
  <c r="C672" i="38" s="1"/>
  <c r="H57" i="43"/>
  <c r="C671" i="38" s="1"/>
  <c r="G57" i="43"/>
  <c r="C670" i="38" s="1"/>
  <c r="F57" i="43"/>
  <c r="C669" i="38" s="1"/>
  <c r="E57" i="43"/>
  <c r="C668" i="38" s="1"/>
  <c r="D57" i="43"/>
  <c r="C667" i="38" s="1"/>
  <c r="C57" i="43"/>
  <c r="C666" i="38" s="1"/>
  <c r="M56" i="43"/>
  <c r="C661" i="38" s="1"/>
  <c r="L56" i="43"/>
  <c r="C660" i="38" s="1"/>
  <c r="K56" i="43"/>
  <c r="C659" i="38" s="1"/>
  <c r="J56" i="43"/>
  <c r="C658" i="38" s="1"/>
  <c r="I56" i="43"/>
  <c r="C657" i="38" s="1"/>
  <c r="H56" i="43"/>
  <c r="C656" i="38" s="1"/>
  <c r="G56" i="43"/>
  <c r="C655" i="38" s="1"/>
  <c r="F56" i="43"/>
  <c r="C654" i="38" s="1"/>
  <c r="E56" i="43"/>
  <c r="C653" i="38" s="1"/>
  <c r="D56" i="43"/>
  <c r="C652" i="38" s="1"/>
  <c r="C56" i="43"/>
  <c r="C651" i="38" s="1"/>
  <c r="M55" i="43"/>
  <c r="C646" i="38" s="1"/>
  <c r="L55" i="43"/>
  <c r="C645" i="38" s="1"/>
  <c r="K55" i="43"/>
  <c r="C644" i="38" s="1"/>
  <c r="J55" i="43"/>
  <c r="C643" i="38" s="1"/>
  <c r="I55" i="43"/>
  <c r="C642" i="38" s="1"/>
  <c r="H55" i="43"/>
  <c r="C641" i="38" s="1"/>
  <c r="G55" i="43"/>
  <c r="C640" i="38" s="1"/>
  <c r="F55" i="43"/>
  <c r="C639" i="38" s="1"/>
  <c r="E55" i="43"/>
  <c r="C638" i="38" s="1"/>
  <c r="D55" i="43"/>
  <c r="C637" i="38" s="1"/>
  <c r="C55" i="43"/>
  <c r="C636" i="38" s="1"/>
  <c r="M49" i="43"/>
  <c r="C556" i="38" s="1"/>
  <c r="M50" i="43"/>
  <c r="C571" i="38" s="1"/>
  <c r="M51" i="43"/>
  <c r="C586" i="38" s="1"/>
  <c r="M52" i="43"/>
  <c r="C601" i="38" s="1"/>
  <c r="M53" i="43"/>
  <c r="C616" i="38" s="1"/>
  <c r="M54" i="43"/>
  <c r="C631" i="38" s="1"/>
  <c r="M48" i="43"/>
  <c r="C541" i="38" s="1"/>
  <c r="I48" i="43"/>
  <c r="C537" i="38" s="1"/>
  <c r="J48" i="43"/>
  <c r="C538" i="38" s="1"/>
  <c r="K48" i="43"/>
  <c r="C539" i="38" s="1"/>
  <c r="L48" i="43"/>
  <c r="C540" i="38" s="1"/>
  <c r="I49" i="43"/>
  <c r="C552" i="38" s="1"/>
  <c r="J49" i="43"/>
  <c r="C553" i="38" s="1"/>
  <c r="K49" i="43"/>
  <c r="C554" i="38" s="1"/>
  <c r="L49" i="43"/>
  <c r="C555" i="38" s="1"/>
  <c r="I50" i="43"/>
  <c r="C567" i="38" s="1"/>
  <c r="J50" i="43"/>
  <c r="C568" i="38" s="1"/>
  <c r="K50" i="43"/>
  <c r="C569" i="38" s="1"/>
  <c r="L50" i="43"/>
  <c r="C570" i="38" s="1"/>
  <c r="I51" i="43"/>
  <c r="C582" i="38" s="1"/>
  <c r="J51" i="43"/>
  <c r="C583" i="38" s="1"/>
  <c r="K51" i="43"/>
  <c r="C584" i="38" s="1"/>
  <c r="L51" i="43"/>
  <c r="C585" i="38" s="1"/>
  <c r="I52" i="43"/>
  <c r="C597" i="38" s="1"/>
  <c r="J52" i="43"/>
  <c r="C598" i="38" s="1"/>
  <c r="K52" i="43"/>
  <c r="C599" i="38" s="1"/>
  <c r="L52" i="43"/>
  <c r="C600" i="38" s="1"/>
  <c r="I53" i="43"/>
  <c r="C612" i="38" s="1"/>
  <c r="J53" i="43"/>
  <c r="C613" i="38" s="1"/>
  <c r="K53" i="43"/>
  <c r="C614" i="38" s="1"/>
  <c r="L53" i="43"/>
  <c r="C615" i="38" s="1"/>
  <c r="I54" i="43"/>
  <c r="C627" i="38" s="1"/>
  <c r="J54" i="43"/>
  <c r="C628" i="38" s="1"/>
  <c r="K54" i="43"/>
  <c r="C629" i="38" s="1"/>
  <c r="L54" i="43"/>
  <c r="C630" i="38" s="1"/>
  <c r="H49" i="43"/>
  <c r="C551" i="38" s="1"/>
  <c r="H50" i="43"/>
  <c r="C566" i="38" s="1"/>
  <c r="H51" i="43"/>
  <c r="C581" i="38" s="1"/>
  <c r="H52" i="43"/>
  <c r="C596" i="38" s="1"/>
  <c r="H53" i="43"/>
  <c r="C611" i="38" s="1"/>
  <c r="H54" i="43"/>
  <c r="C626" i="38" s="1"/>
  <c r="H48" i="43"/>
  <c r="C536" i="38" s="1"/>
  <c r="F48" i="43"/>
  <c r="C534" i="38" s="1"/>
  <c r="G48" i="43"/>
  <c r="C535" i="38" s="1"/>
  <c r="F49" i="43"/>
  <c r="C549" i="38" s="1"/>
  <c r="G49" i="43"/>
  <c r="C550" i="38" s="1"/>
  <c r="F50" i="43"/>
  <c r="C564" i="38" s="1"/>
  <c r="G50" i="43"/>
  <c r="C565" i="38" s="1"/>
  <c r="F51" i="43"/>
  <c r="C579" i="38" s="1"/>
  <c r="G51" i="43"/>
  <c r="C580" i="38" s="1"/>
  <c r="F52" i="43"/>
  <c r="C594" i="38" s="1"/>
  <c r="G52" i="43"/>
  <c r="C595" i="38" s="1"/>
  <c r="F53" i="43"/>
  <c r="C609" i="38" s="1"/>
  <c r="G53" i="43"/>
  <c r="C610" i="38" s="1"/>
  <c r="F54" i="43"/>
  <c r="C624" i="38" s="1"/>
  <c r="G54" i="43"/>
  <c r="C625" i="38" s="1"/>
  <c r="E49" i="43"/>
  <c r="C548" i="38" s="1"/>
  <c r="E50" i="43"/>
  <c r="C563" i="38" s="1"/>
  <c r="E51" i="43"/>
  <c r="C578" i="38" s="1"/>
  <c r="E52" i="43"/>
  <c r="C593" i="38" s="1"/>
  <c r="E53" i="43"/>
  <c r="C608" i="38" s="1"/>
  <c r="E54" i="43"/>
  <c r="C623" i="38" s="1"/>
  <c r="E48" i="43"/>
  <c r="C533" i="38" s="1"/>
  <c r="M47" i="43"/>
  <c r="B43" i="43" s="1"/>
  <c r="C526" i="38" s="1"/>
  <c r="I47" i="43"/>
  <c r="B39" i="43" s="1"/>
  <c r="C522" i="38" s="1"/>
  <c r="J47" i="43"/>
  <c r="B40" i="43" s="1"/>
  <c r="C523" i="38" s="1"/>
  <c r="K47" i="43"/>
  <c r="B41" i="43" s="1"/>
  <c r="C524" i="38" s="1"/>
  <c r="L47" i="43"/>
  <c r="B42" i="43" s="1"/>
  <c r="C525" i="38" s="1"/>
  <c r="H47" i="43"/>
  <c r="B38" i="43" s="1"/>
  <c r="C521" i="38" s="1"/>
  <c r="F47" i="43"/>
  <c r="B35" i="43" s="1"/>
  <c r="C518" i="38" s="1"/>
  <c r="G47" i="43"/>
  <c r="B36" i="43" s="1"/>
  <c r="C519" i="38" s="1"/>
  <c r="E47" i="43"/>
  <c r="B34" i="43" s="1"/>
  <c r="D47" i="43"/>
  <c r="C47" i="43"/>
  <c r="B31" i="43" s="1"/>
  <c r="D49" i="43"/>
  <c r="C547" i="38" s="1"/>
  <c r="D50" i="43"/>
  <c r="C562" i="38" s="1"/>
  <c r="D51" i="43"/>
  <c r="C577" i="38" s="1"/>
  <c r="D52" i="43"/>
  <c r="C592" i="38" s="1"/>
  <c r="D53" i="43"/>
  <c r="C607" i="38" s="1"/>
  <c r="D54" i="43"/>
  <c r="C622" i="38" s="1"/>
  <c r="D48" i="43"/>
  <c r="C532" i="38" s="1"/>
  <c r="C49" i="43"/>
  <c r="C546" i="38" s="1"/>
  <c r="C50" i="43"/>
  <c r="C561" i="38" s="1"/>
  <c r="C51" i="43"/>
  <c r="C576" i="38" s="1"/>
  <c r="C52" i="43"/>
  <c r="C591" i="38" s="1"/>
  <c r="C53" i="43"/>
  <c r="C606" i="38" s="1"/>
  <c r="C54" i="43"/>
  <c r="C621" i="38" s="1"/>
  <c r="C48" i="43"/>
  <c r="C531" i="38" s="1"/>
  <c r="K1" i="49"/>
  <c r="N47" i="43"/>
  <c r="B44" i="43" s="1"/>
  <c r="C527" i="38" s="1"/>
  <c r="D35" i="42"/>
  <c r="D34" i="42"/>
  <c r="D33" i="42"/>
  <c r="D32" i="42"/>
  <c r="D31" i="42"/>
  <c r="C44" i="41"/>
  <c r="C49" i="41"/>
  <c r="C55" i="41"/>
  <c r="C39" i="41"/>
  <c r="C34" i="41"/>
  <c r="C29" i="41"/>
  <c r="C24" i="41"/>
  <c r="C19" i="41"/>
  <c r="C14" i="41"/>
  <c r="C9" i="41"/>
  <c r="C3" i="11"/>
  <c r="D3" i="11"/>
  <c r="E3" i="11"/>
  <c r="F3" i="11"/>
  <c r="G3" i="11"/>
  <c r="B3" i="11"/>
  <c r="C4" i="11"/>
  <c r="D4" i="11"/>
  <c r="E4" i="11"/>
  <c r="F4" i="11"/>
  <c r="G4" i="11"/>
  <c r="H4" i="11"/>
  <c r="B4" i="11"/>
  <c r="G9" i="11"/>
  <c r="H9" i="11"/>
  <c r="F9" i="11"/>
  <c r="E9" i="11"/>
  <c r="D9" i="11"/>
  <c r="C9" i="11"/>
  <c r="B9" i="11"/>
  <c r="M8" i="11"/>
  <c r="L8" i="11"/>
  <c r="K8" i="11"/>
  <c r="J8" i="11"/>
  <c r="M7" i="11"/>
  <c r="L7" i="11"/>
  <c r="K7" i="11"/>
  <c r="J7" i="11"/>
  <c r="J14" i="11" s="1"/>
  <c r="D18" i="6"/>
  <c r="D19" i="6"/>
  <c r="D17" i="6"/>
  <c r="D16" i="6"/>
  <c r="D13" i="6"/>
  <c r="D11" i="6"/>
  <c r="D10" i="6"/>
  <c r="D9" i="6"/>
  <c r="D4" i="6"/>
  <c r="D3" i="6"/>
  <c r="C841" i="38"/>
  <c r="C826" i="38"/>
  <c r="C811" i="38"/>
  <c r="C796" i="38"/>
  <c r="C781" i="38"/>
  <c r="C848" i="38"/>
  <c r="C847" i="38"/>
  <c r="C846" i="38"/>
  <c r="C845" i="38"/>
  <c r="C842" i="38"/>
  <c r="C830" i="38"/>
  <c r="C829" i="38"/>
  <c r="C828" i="38"/>
  <c r="C827" i="38"/>
  <c r="C815" i="38"/>
  <c r="C814" i="38"/>
  <c r="C813" i="38"/>
  <c r="C812" i="38"/>
  <c r="C800" i="38"/>
  <c r="C799" i="38"/>
  <c r="C798" i="38"/>
  <c r="C797" i="38"/>
  <c r="C785" i="38"/>
  <c r="C784" i="38"/>
  <c r="C783" i="38"/>
  <c r="C782" i="38"/>
  <c r="C770" i="38"/>
  <c r="C769" i="38"/>
  <c r="C768" i="38"/>
  <c r="C767" i="38"/>
  <c r="C755" i="38"/>
  <c r="C754" i="38"/>
  <c r="C753" i="38"/>
  <c r="C752" i="38"/>
  <c r="C740" i="38"/>
  <c r="C739" i="38"/>
  <c r="C738" i="38"/>
  <c r="C737" i="38"/>
  <c r="C725" i="38"/>
  <c r="C724" i="38"/>
  <c r="C723" i="38"/>
  <c r="C722" i="38"/>
  <c r="C710" i="38"/>
  <c r="C709" i="38"/>
  <c r="C708" i="38"/>
  <c r="C707" i="38"/>
  <c r="C695" i="38"/>
  <c r="C694" i="38"/>
  <c r="C693" i="38"/>
  <c r="C692" i="38"/>
  <c r="C680" i="38"/>
  <c r="C679" i="38"/>
  <c r="C678" i="38"/>
  <c r="C677" i="38"/>
  <c r="C665" i="38"/>
  <c r="C664" i="38"/>
  <c r="C663" i="38"/>
  <c r="C662" i="38"/>
  <c r="C650" i="38"/>
  <c r="C649" i="38"/>
  <c r="C648" i="38"/>
  <c r="C647" i="38"/>
  <c r="C635" i="38"/>
  <c r="C634" i="38"/>
  <c r="C633" i="38"/>
  <c r="C632" i="38"/>
  <c r="C620" i="38"/>
  <c r="C619" i="38"/>
  <c r="C618" i="38"/>
  <c r="C617" i="38"/>
  <c r="C605" i="38"/>
  <c r="C604" i="38"/>
  <c r="C603" i="38"/>
  <c r="C602" i="38"/>
  <c r="C590" i="38"/>
  <c r="C589" i="38"/>
  <c r="C588" i="38"/>
  <c r="C587" i="38"/>
  <c r="C575" i="38"/>
  <c r="C574" i="38"/>
  <c r="C573" i="38"/>
  <c r="C572" i="38"/>
  <c r="C560" i="38"/>
  <c r="C559" i="38"/>
  <c r="C558" i="38"/>
  <c r="C557" i="38"/>
  <c r="C545" i="38"/>
  <c r="C544" i="38"/>
  <c r="C543" i="38"/>
  <c r="C542" i="38"/>
  <c r="C530" i="38"/>
  <c r="C529" i="38"/>
  <c r="C528" i="38"/>
  <c r="C516" i="38"/>
  <c r="C515" i="38"/>
  <c r="C513" i="38"/>
  <c r="C512" i="38"/>
  <c r="C511" i="38"/>
  <c r="C510" i="38"/>
  <c r="C509" i="38"/>
  <c r="C507" i="38"/>
  <c r="C506" i="38"/>
  <c r="C505" i="38"/>
  <c r="C503" i="38"/>
  <c r="C502" i="38"/>
  <c r="C501" i="38"/>
  <c r="C500" i="38"/>
  <c r="C499" i="38"/>
  <c r="C498" i="38"/>
  <c r="C497" i="38"/>
  <c r="C496" i="38"/>
  <c r="C495" i="38"/>
  <c r="C494" i="38"/>
  <c r="C493" i="38"/>
  <c r="C492" i="38"/>
  <c r="C491" i="38"/>
  <c r="C490" i="38"/>
  <c r="C489" i="38"/>
  <c r="C488" i="38"/>
  <c r="C486" i="38"/>
  <c r="C485" i="38"/>
  <c r="C484" i="38"/>
  <c r="C483" i="38"/>
  <c r="C482" i="38"/>
  <c r="C481" i="38"/>
  <c r="C480" i="38"/>
  <c r="C479" i="38"/>
  <c r="C478" i="38"/>
  <c r="C477" i="38"/>
  <c r="C476" i="38"/>
  <c r="C475" i="38"/>
  <c r="C473" i="38"/>
  <c r="C472" i="38"/>
  <c r="C471" i="38"/>
  <c r="C470" i="38"/>
  <c r="C469" i="38"/>
  <c r="C468" i="38"/>
  <c r="C467" i="38"/>
  <c r="C466" i="38"/>
  <c r="C465" i="38"/>
  <c r="C464" i="38"/>
  <c r="C463" i="38"/>
  <c r="C462" i="38"/>
  <c r="C460" i="38"/>
  <c r="C459" i="38"/>
  <c r="C458" i="38"/>
  <c r="C457" i="38"/>
  <c r="C456" i="38"/>
  <c r="C455" i="38"/>
  <c r="C454" i="38"/>
  <c r="C453" i="38"/>
  <c r="C452" i="38"/>
  <c r="C451" i="38"/>
  <c r="C450" i="38"/>
  <c r="C449" i="38"/>
  <c r="C447" i="38"/>
  <c r="C446" i="38"/>
  <c r="C445" i="38"/>
  <c r="C444" i="38"/>
  <c r="C443" i="38"/>
  <c r="C442" i="38"/>
  <c r="C441" i="38"/>
  <c r="C440" i="38"/>
  <c r="C439" i="38"/>
  <c r="C438" i="38"/>
  <c r="C437" i="38"/>
  <c r="C436" i="38"/>
  <c r="C434" i="38"/>
  <c r="C433" i="38"/>
  <c r="C431" i="38"/>
  <c r="C430" i="38"/>
  <c r="C429" i="38"/>
  <c r="C428" i="38"/>
  <c r="C424" i="38"/>
  <c r="C423" i="38"/>
  <c r="C419" i="38"/>
  <c r="C418" i="38"/>
  <c r="C414" i="38"/>
  <c r="C413" i="38"/>
  <c r="C409" i="38"/>
  <c r="C408" i="38"/>
  <c r="C404" i="38"/>
  <c r="C399" i="38"/>
  <c r="C394" i="38"/>
  <c r="C389" i="38"/>
  <c r="C384" i="38"/>
  <c r="C379" i="38"/>
  <c r="C374" i="38"/>
  <c r="C369" i="38"/>
  <c r="C368" i="38"/>
  <c r="C367" i="38"/>
  <c r="C366" i="38"/>
  <c r="C365" i="38"/>
  <c r="C364" i="38"/>
  <c r="C363" i="38"/>
  <c r="C362" i="38"/>
  <c r="C361" i="38"/>
  <c r="C360" i="38"/>
  <c r="C359" i="38"/>
  <c r="C358" i="38"/>
  <c r="C357" i="38"/>
  <c r="C356" i="38"/>
  <c r="C355" i="38"/>
  <c r="C59" i="38"/>
  <c r="C58" i="38"/>
  <c r="C57" i="38"/>
  <c r="C56" i="38"/>
  <c r="C55" i="38"/>
  <c r="C54" i="38"/>
  <c r="C53" i="38"/>
  <c r="C51" i="38"/>
  <c r="C50" i="38"/>
  <c r="C49" i="38"/>
  <c r="C48" i="38"/>
  <c r="C47" i="38"/>
  <c r="C46" i="38"/>
  <c r="C45" i="38"/>
  <c r="C44" i="38"/>
  <c r="C43" i="38"/>
  <c r="C42" i="38"/>
  <c r="C41" i="38"/>
  <c r="C40" i="38"/>
  <c r="C39" i="38"/>
  <c r="C38" i="38"/>
  <c r="C37" i="38"/>
  <c r="C36" i="38"/>
  <c r="C35" i="38"/>
  <c r="C34" i="38"/>
  <c r="C33" i="38"/>
  <c r="C32" i="38"/>
  <c r="C31" i="38"/>
  <c r="C30" i="38"/>
  <c r="C29" i="38"/>
  <c r="C28" i="38"/>
  <c r="C27" i="38"/>
  <c r="C26" i="38"/>
  <c r="C25" i="38"/>
  <c r="C24" i="38"/>
  <c r="C23" i="38"/>
  <c r="C22" i="38"/>
  <c r="C21" i="38"/>
  <c r="C20" i="38"/>
  <c r="C19" i="38"/>
  <c r="C18" i="38"/>
  <c r="C17" i="38"/>
  <c r="C16" i="38"/>
  <c r="C15" i="38"/>
  <c r="C14" i="38"/>
  <c r="C13" i="38"/>
  <c r="C12" i="38"/>
  <c r="C11" i="38"/>
  <c r="C10" i="38"/>
  <c r="C9" i="38"/>
  <c r="C8" i="38"/>
  <c r="C7" i="38"/>
  <c r="C6" i="38"/>
  <c r="C5" i="38"/>
  <c r="C4" i="38"/>
  <c r="C3" i="38"/>
  <c r="C2" i="38"/>
  <c r="C102" i="38"/>
  <c r="D117" i="29" a="1"/>
  <c r="D102" i="29"/>
  <c r="C161" i="38" s="1"/>
  <c r="D23" i="29"/>
  <c r="C82" i="38" s="1"/>
  <c r="D19" i="29"/>
  <c r="D4" i="29"/>
  <c r="C61" i="38" s="1"/>
  <c r="H8" i="11"/>
  <c r="H12" i="11"/>
  <c r="H11" i="11"/>
  <c r="H7" i="11"/>
  <c r="H5" i="11"/>
  <c r="G16" i="11"/>
  <c r="F16" i="11"/>
  <c r="E16" i="11"/>
  <c r="D16" i="11"/>
  <c r="C16" i="11"/>
  <c r="B16" i="11"/>
  <c r="G15" i="11"/>
  <c r="G19" i="11" s="1"/>
  <c r="F15" i="11"/>
  <c r="E15" i="11"/>
  <c r="E19" i="11" s="1"/>
  <c r="D15" i="11"/>
  <c r="D19" i="11" s="1"/>
  <c r="C15" i="11"/>
  <c r="C19" i="11" s="1"/>
  <c r="B15" i="11"/>
  <c r="G14" i="11"/>
  <c r="F14" i="11"/>
  <c r="F18" i="11" s="1"/>
  <c r="E14" i="11"/>
  <c r="D14" i="11"/>
  <c r="C14" i="11"/>
  <c r="B14" i="11"/>
  <c r="G12" i="11"/>
  <c r="F12" i="11"/>
  <c r="G11" i="11"/>
  <c r="F11" i="11"/>
  <c r="E11" i="11"/>
  <c r="D11" i="11"/>
  <c r="C11" i="11"/>
  <c r="B11" i="11"/>
  <c r="G8" i="11"/>
  <c r="G7" i="11"/>
  <c r="F7" i="11"/>
  <c r="E7" i="11"/>
  <c r="D7" i="11"/>
  <c r="C7" i="11"/>
  <c r="B7" i="11"/>
  <c r="G5" i="11"/>
  <c r="F5" i="11"/>
  <c r="E5" i="11"/>
  <c r="D5" i="11"/>
  <c r="C5" i="11"/>
  <c r="B5" i="11"/>
  <c r="B6" i="5"/>
  <c r="D14" i="43" l="1"/>
  <c r="C487" i="38" s="1"/>
  <c r="C78" i="38"/>
  <c r="E9" i="5"/>
  <c r="F9" i="5" s="1"/>
  <c r="B7" i="5"/>
  <c r="D78" i="29"/>
  <c r="E8" i="5" s="1"/>
  <c r="D11" i="43"/>
  <c r="C448" i="38" s="1"/>
  <c r="B13" i="5"/>
  <c r="E2" i="5"/>
  <c r="C34" i="32"/>
  <c r="C330" i="38"/>
  <c r="C293" i="38"/>
  <c r="C298" i="38"/>
  <c r="C304" i="38"/>
  <c r="C288" i="38"/>
  <c r="C283" i="38"/>
  <c r="C278" i="38"/>
  <c r="C273" i="38"/>
  <c r="C268" i="38"/>
  <c r="C263" i="38"/>
  <c r="C258" i="38"/>
  <c r="F6" i="5"/>
  <c r="D15" i="50"/>
  <c r="D10" i="43"/>
  <c r="C435" i="38" s="1"/>
  <c r="D44" i="29"/>
  <c r="C103" i="38" s="1"/>
  <c r="K3" i="11"/>
  <c r="L3" i="11" s="1"/>
  <c r="M3" i="11" s="1"/>
  <c r="D73" i="29"/>
  <c r="C128" i="38" s="1"/>
  <c r="E7" i="5"/>
  <c r="B2" i="48"/>
  <c r="D12" i="50"/>
  <c r="D11" i="50"/>
  <c r="B27" i="50"/>
  <c r="C6" i="50" s="1"/>
  <c r="B39" i="50"/>
  <c r="D12" i="6"/>
  <c r="C517" i="38"/>
  <c r="C45" i="41"/>
  <c r="C294" i="38" s="1"/>
  <c r="C54" i="41"/>
  <c r="C53" i="41"/>
  <c r="C302" i="38" s="1"/>
  <c r="C52" i="41"/>
  <c r="C301" i="38" s="1"/>
  <c r="C51" i="41"/>
  <c r="C300" i="38" s="1"/>
  <c r="C50" i="41"/>
  <c r="C299" i="38" s="1"/>
  <c r="D15" i="6"/>
  <c r="D14" i="6"/>
  <c r="C48" i="41"/>
  <c r="C297" i="38" s="1"/>
  <c r="C46" i="41"/>
  <c r="C295" i="38" s="1"/>
  <c r="C47" i="41"/>
  <c r="C296" i="38" s="1"/>
  <c r="C12" i="41"/>
  <c r="C261" i="38" s="1"/>
  <c r="C10" i="41"/>
  <c r="C259" i="38" s="1"/>
  <c r="C13" i="41"/>
  <c r="C262" i="38" s="1"/>
  <c r="C11" i="41"/>
  <c r="C260" i="38" s="1"/>
  <c r="C43" i="41"/>
  <c r="C292" i="38" s="1"/>
  <c r="C42" i="41"/>
  <c r="C291" i="38" s="1"/>
  <c r="C41" i="41"/>
  <c r="C290" i="38" s="1"/>
  <c r="C40" i="41"/>
  <c r="C289" i="38" s="1"/>
  <c r="C38" i="41"/>
  <c r="C287" i="38" s="1"/>
  <c r="C37" i="41"/>
  <c r="C286" i="38" s="1"/>
  <c r="C36" i="41"/>
  <c r="C285" i="38" s="1"/>
  <c r="C35" i="41"/>
  <c r="C284" i="38" s="1"/>
  <c r="C33" i="41"/>
  <c r="C282" i="38" s="1"/>
  <c r="C32" i="41"/>
  <c r="C281" i="38" s="1"/>
  <c r="C31" i="41"/>
  <c r="C280" i="38" s="1"/>
  <c r="C30" i="41"/>
  <c r="C279" i="38" s="1"/>
  <c r="C28" i="41"/>
  <c r="C277" i="38" s="1"/>
  <c r="C27" i="41"/>
  <c r="C276" i="38" s="1"/>
  <c r="C26" i="41"/>
  <c r="C275" i="38" s="1"/>
  <c r="C25" i="41"/>
  <c r="C274" i="38" s="1"/>
  <c r="C23" i="41"/>
  <c r="C272" i="38" s="1"/>
  <c r="C22" i="41"/>
  <c r="C271" i="38" s="1"/>
  <c r="C21" i="41"/>
  <c r="C270" i="38" s="1"/>
  <c r="C20" i="41"/>
  <c r="C269" i="38" s="1"/>
  <c r="C18" i="41"/>
  <c r="C267" i="38" s="1"/>
  <c r="C17" i="41"/>
  <c r="C266" i="38" s="1"/>
  <c r="C16" i="41"/>
  <c r="C265" i="38" s="1"/>
  <c r="C15" i="41"/>
  <c r="C264" i="38" s="1"/>
  <c r="C425" i="38"/>
  <c r="E35" i="42"/>
  <c r="C420" i="38"/>
  <c r="E34" i="42"/>
  <c r="E33" i="42"/>
  <c r="C415" i="38"/>
  <c r="E32" i="42"/>
  <c r="C410" i="38"/>
  <c r="C405" i="38"/>
  <c r="E31" i="42"/>
  <c r="C400" i="38"/>
  <c r="F27" i="42"/>
  <c r="F26" i="42"/>
  <c r="C395" i="38"/>
  <c r="F25" i="42"/>
  <c r="C390" i="38"/>
  <c r="F24" i="42"/>
  <c r="C385" i="38"/>
  <c r="F23" i="42"/>
  <c r="C380" i="38"/>
  <c r="F22" i="42"/>
  <c r="C375" i="38"/>
  <c r="C370" i="38"/>
  <c r="C821" i="38"/>
  <c r="C807" i="38"/>
  <c r="C474" i="38"/>
  <c r="C461" i="38"/>
  <c r="C806" i="38"/>
  <c r="C776" i="38"/>
  <c r="D5" i="6"/>
  <c r="D6" i="6"/>
  <c r="D7" i="6"/>
  <c r="D8" i="6"/>
  <c r="C3" i="41"/>
  <c r="D106" i="29"/>
  <c r="C165" i="38" s="1"/>
  <c r="D40" i="29"/>
  <c r="C99" i="38" s="1"/>
  <c r="D30" i="29"/>
  <c r="C89" i="38" s="1"/>
  <c r="D36" i="29"/>
  <c r="C95" i="38" s="1"/>
  <c r="G18" i="11"/>
  <c r="G17" i="11" s="1"/>
  <c r="G13" i="11"/>
  <c r="F19" i="11"/>
  <c r="F17" i="11" s="1"/>
  <c r="F13" i="11"/>
  <c r="E18" i="11"/>
  <c r="E17" i="11" s="1"/>
  <c r="E13" i="11"/>
  <c r="D18" i="11"/>
  <c r="D17" i="11" s="1"/>
  <c r="D13" i="11"/>
  <c r="B13" i="11"/>
  <c r="C12" i="32"/>
  <c r="C18" i="11"/>
  <c r="C17" i="11" s="1"/>
  <c r="C13" i="11"/>
  <c r="K5" i="11"/>
  <c r="L5" i="11" s="1"/>
  <c r="M5" i="11" s="1"/>
  <c r="K4" i="11"/>
  <c r="L4" i="11" s="1"/>
  <c r="M4" i="11" s="1"/>
  <c r="J12" i="11"/>
  <c r="K12" i="11" s="1"/>
  <c r="L12" i="11" s="1"/>
  <c r="M12" i="11" s="1"/>
  <c r="B19" i="11"/>
  <c r="B18" i="11"/>
  <c r="M14" i="11"/>
  <c r="M18" i="11"/>
  <c r="L18" i="11"/>
  <c r="L14" i="11"/>
  <c r="K14" i="11"/>
  <c r="K18" i="11"/>
  <c r="J18" i="11"/>
  <c r="D51" i="29" l="1"/>
  <c r="C110" i="38" s="1"/>
  <c r="C132" i="38"/>
  <c r="C336" i="38"/>
  <c r="C314" i="38"/>
  <c r="C303" i="38"/>
  <c r="C255" i="38"/>
  <c r="D58" i="29"/>
  <c r="C117" i="38" s="1"/>
  <c r="F8" i="5"/>
  <c r="F7" i="5"/>
  <c r="D74" i="29"/>
  <c r="C133" i="38" s="1"/>
  <c r="C2" i="48"/>
  <c r="N18" i="11"/>
  <c r="C388" i="38"/>
  <c r="C387" i="38"/>
  <c r="C403" i="38"/>
  <c r="C402" i="38"/>
  <c r="C398" i="38"/>
  <c r="C397" i="38"/>
  <c r="C393" i="38"/>
  <c r="C392" i="38"/>
  <c r="C427" i="38"/>
  <c r="C426" i="38"/>
  <c r="C422" i="38"/>
  <c r="C421" i="38"/>
  <c r="C417" i="38"/>
  <c r="C416" i="38"/>
  <c r="C412" i="38"/>
  <c r="C411" i="38"/>
  <c r="C407" i="38"/>
  <c r="C406" i="38"/>
  <c r="C383" i="38"/>
  <c r="C382" i="38"/>
  <c r="C378" i="38"/>
  <c r="C377" i="38"/>
  <c r="C373" i="38"/>
  <c r="C372" i="38"/>
  <c r="N14" i="11"/>
  <c r="B17" i="11"/>
  <c r="J11" i="11"/>
  <c r="H17" i="11"/>
  <c r="C137" i="38" l="1"/>
  <c r="D82" i="29"/>
  <c r="C141" i="38" s="1"/>
  <c r="B37" i="43"/>
  <c r="C520" i="38" s="1"/>
  <c r="B25" i="43"/>
  <c r="C514" i="38"/>
  <c r="K11" i="11"/>
  <c r="J16" i="11"/>
  <c r="J20" i="11"/>
  <c r="I13" i="11"/>
  <c r="H13" i="11"/>
  <c r="C508" i="38" l="1"/>
  <c r="C6" i="43"/>
  <c r="C432" i="38" s="1"/>
  <c r="L11" i="11"/>
  <c r="K16" i="11"/>
  <c r="K20" i="11"/>
  <c r="J19" i="11"/>
  <c r="I17" i="11"/>
  <c r="J17" i="11" l="1"/>
  <c r="M11" i="11"/>
  <c r="L16" i="11"/>
  <c r="L20" i="11"/>
  <c r="K15" i="11"/>
  <c r="K19" i="11"/>
  <c r="J13" i="11"/>
  <c r="M16" i="11" l="1"/>
  <c r="N16" i="11" s="1"/>
  <c r="M20" i="11"/>
  <c r="N20" i="11" s="1"/>
  <c r="L15" i="11"/>
  <c r="L19" i="11"/>
  <c r="K17" i="11"/>
  <c r="K13" i="11"/>
  <c r="L17" i="11" l="1"/>
  <c r="M15" i="11"/>
  <c r="M19" i="11"/>
  <c r="N19" i="11" s="1"/>
  <c r="L13" i="11"/>
  <c r="M13" i="11" l="1"/>
  <c r="N13" i="11" s="1"/>
  <c r="N15" i="11"/>
  <c r="M17" i="11"/>
  <c r="N17" i="11" s="1"/>
  <c r="D117" i="29"/>
  <c r="C176" i="3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5000000}" keepAlive="1" name="BOND.1"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 Indicators, Class,Tenor_Value,Actual_x000a_from GS_RRTT.dbo.Bond_Trading_Historical a_x000a_where Indicators like '%Trang thai mo' _x000a_and Tenor_Value = '' and Class = 'All' and Input_data = 'Spot'_x000a_and Rptdate &gt;='2024-12-31'order by RptDate desc"/>
  </connection>
  <connection id="2" xr16:uid="{43134F50-5991-418E-8CEF-CB1C57EE0870}" keepAlive="1" name="BOND.10" type="5" refreshedVersion="8" savePassword="1" saveData="1">
    <dbPr connection="Provider=SQLOLEDB.1;Password=msb@2019;Persist Security Info=True;User ID=sa;Initial Catalog=GS_RRTT;Data Source=10.1.77.53,8888;Use Procedure for Prepare=1;Auto Translate=True;Packet Size=4096;Workstation ID=HO-TRANGLT38;Use Encryption for Data=False;Tag with column collation when possible=False" command="select Date,Indicators,Value _x000a_from QLRRTT.dbo.MSB_Report_AvailableBond_x000a_where indicators in ('Face_HLA','Face_Secured_Unused','Face_SBV_Overdraft','Face_OMO_Available','Face_HMNR_NAPAS') _x000a_and Date &gt;='2026-8-28'order by Date desc"/>
  </connection>
  <connection id="3" xr16:uid="{50B192C1-4B05-415D-97C4-3277FB466828}" keepAlive="1" name="BOND.11" type="5" refreshedVersion="8" savePassword="1" saveData="1">
    <dbPr connection="Provider=SQLOLEDB.1;Password=msb@2019;Persist Security Info=True;User ID=sa;Initial Catalog=GS_RRTT;Data Source=10.1.77.53,8888;Use Procedure for Prepare=1;Auto Translate=True;Packet Size=4096;Workstation ID=HO-TRANGLT38;Use Encryption for Data=False;Tag with column collation when possible=False" command="select RptDate,Indicators,Actual_x000a_from GS_RRTT.dbo.Bond_Trading_Historical_x000a_where indicators like 'Est %'_x000a_and Rptdate ='2026-9-25'order by RptDate desc"/>
  </connection>
  <connection id="4" xr16:uid="{BBEE1151-C92C-459D-8F75-3598A9F1D773}" keepAlive="1" name="BOND.12" type="5" refreshedVersion="8" savePassword="1" saveData="1">
    <dbPr connection="Provider=SQLOLEDB.1;Password=msb@2019;Persist Security Info=True;User ID=sa;Initial Catalog=GS_RRTT;Data Source=10.1.77.53,8888;Use Procedure for Prepare=1;Auto Translate=True;Packet Size=4096;Workstation ID=HO-TRANGLT38;Use Encryption for Data=False;Tag with column collation when possible=False" command="select RptDate,Indicators,Actual_x000a_from GS_RRTT.dbo.Bond_Trading_Historical_x000a_where indicators in ('Realized off BS', 'Realized ngoai BS')_x000a_and Rptdate &gt;='2026-9-24'order by RptDate desc"/>
  </connection>
  <connection id="5" xr16:uid="{4AAFEF7E-6F0C-4062-AD84-4A3B4099A358}" keepAlive="1" name="BOND.13" type="5" refreshedVersion="8" savePassword="1" saveData="1">
    <dbPr connection="Provider=SQLOLEDB.1;Password=msb@2019;Persist Security Info=True;User ID=sa;Initial Catalog=GS_RRTT;Data Source=10.1.77.53,8888;Use Procedure for Prepare=1;Auto Translate=True;Packet Size=4096;Workstation ID=HO-TRANGLT38;Use Encryption for Data=False;Tag with column collation when possible=False" command="select RptDate, Indicators,Actual_x000a_from GS_RRTT.dbo.Bond_Trading_Historical a_x000a_where Indicators = 'YTM'_x000a_and Rptdate &gt;='2026-9-24'order by RptDate desc"/>
  </connection>
  <connection id="6" xr16:uid="{00000000-0015-0000-FFFF-FFFF01000000}" keepAlive="1" name="BOND.2"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 Indicators,Class, Tenor_Value,Actual _x000a_from GS_RRTT.dbo.Bond_Banking_Historical a_x000a_where Indicators like '%Trang thai mo' and Rpt_Grp = ''_x000a_and Input_data = 'Spot' and Tenor_Value = '' and Class = 'All' _x000a_and Rptdate &gt;='2024-12-31'order by RptDate desc"/>
  </connection>
  <connection id="7" xr16:uid="{00000000-0015-0000-FFFF-FFFF07000000}" keepAlive="1" name="BOND.3"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 Indicators, Tenor_Value,Actual_x000a_from GS_RRTT.dbo.Bond_Trading_Historical a_x000a_where Indicators = 'PV01' _x000a_and Tenor_Value = '' _x000a_and Class = 'All'_x000a_and Input_data = 'Spot'_x000a_and Rptdate &gt;='2026-8-28'order by RptDate desc"/>
  </connection>
  <connection id="8" xr16:uid="{00000000-0015-0000-FFFF-FFFF02000000}" keepAlive="1" name="BOND.4"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Indicators,Tenor_Value, Rpt_Grp,Actual_x000a_from GS_RRTT.dbo.Bond_Banking_Historical_x000a_where  Indicators = 'PV01' _x000a_and Tenor_Value = '' _x000a_and Class = 'All'_x000a_and Input_data = 'Spot'_x000a_and Rptdate &gt;='2026-8-28'order by RptDate desc"/>
  </connection>
  <connection id="9" xr16:uid="{00000000-0015-0000-FFFF-FFFF08000000}" keepAlive="1" name="BOND.5"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 select RptDate, Indicators,Tenor_Value, Actual_x000a_from GS_RRTT.dbo.Bond_Trading_Historical a_x000a_where Indicators = 'Unrealized_ItD_MtM_PnL' _x000a_and Tenor_Value = '' _x000a_and Class = 'All'_x000a_and Input_data = 'Spot'_x000a_and Rptdate &gt;='2026-8-28'order by RptDate desc"/>
  </connection>
  <connection id="10" xr16:uid="{00000000-0015-0000-FFFF-FFFF03000000}" keepAlive="1" name="BOND.6"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 select RptDate, Indicators,Tenor_Value, Actual_x000a_from GS_RRTT.dbo.Bond_Banking_Historical a_x000a_where Indicators = 'ItD Unrealized PnL' _x000a_and Tenor_Value = '' _x000a_and Class = 'All'_x000a_and Input_data = 'Spot'_x000a_and Rptdate &gt;='2026-8-28'order by RptDate desc"/>
  </connection>
  <connection id="11" xr16:uid="{00000000-0015-0000-FFFF-FFFF06000000}" keepAlive="1" name="BOND.7" type="5" refreshedVersion="8" savePassword="1" saveData="1">
    <dbPr connection="Provider=SQLOLEDB.1;Password=msb@2019;Persist Security Info=True;User ID=sa;Initial Catalog=master;Data Source=10.1.77.53,8888;Use Procedure for Prepare=1;Auto Translate=True;Packet Size=4096;Workstation ID=HO-KHUYENNV2;Use Encryption for Data=False;Tag with column collation when possible=False" command="select RptDate,Indicators,Input_data,Class,Actual from GS_RRTT.dbo.Bond_Trading_Historical_x000a_where Indicators in ('ON BS','OFF BS','NGOAI BS','YTM_ON BS')_x000a_and Rptdate &gt;='2024-12-31'order by RptDate desc"/>
  </connection>
  <connection id="12" xr16:uid="{B14C5F39-5A91-462A-BA9C-339B14872896}" keepAlive="1" name="BOND.8" type="5" refreshedVersion="8" savePassword="1" saveData="1">
    <dbPr connection="Provider=SQLOLEDB.1;Password=msb@2019;Persist Security Info=True;User ID=sa;Initial Catalog=GS_RRTT;Data Source=10.1.77.53,8888;Use Procedure for Prepare=1;Auto Translate=True;Packet Size=4096;Workstation ID=HO-TRANGLT38;Use Encryption for Data=False;Tag with column collation when possible=False" command="select RptDate, Indicators, Product, Actual_x000a_from GS_RRTT.dbo.FIBond_Historical_x000a_where Product in ('FI Bond', 'CD')_x000a_and Indicators = 'Face value'_x000a_and Issuer = ''_x000a_and Tenor = ''_x000a_and Rptdate &gt;='2024-12-31'order by RptDate desc"/>
  </connection>
  <connection id="13" xr16:uid="{E917B3AB-97C5-47A1-ABEB-C14F721242F3}" keepAlive="1" name="BOND.9" type="5" refreshedVersion="8" savePassword="1" saveData="1">
    <dbPr connection="Provider=SQLOLEDB.1;Password=msb@2019;Persist Security Info=True;User ID=sa;Initial Catalog=GS_RRTT;Data Source=10.1.77.53,8888;Use Procedure for Prepare=1;Auto Translate=True;Packet Size=4096;Workstation ID=HO-TRANGLT38;Use Encryption for Data=False;Tag with column collation when possible=False" command="select RptDate, Indicators, Product, Actual_x000a_from GS_RRTT.dbo.FIBond_Historical_x000a_where Indicators in ('Face value','YTM binh quan')_x000a_and Product like '% BS'_x000a_and Rptdate &gt;='2024-12-31'order by RptDate desc"/>
  </connection>
  <connection id="14" xr16:uid="{00000000-0015-0000-FFFF-FFFF17000000}" keepAlive="1" name="MK.1"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Tenor,Average as 'Yield' from GS_RRTT.dbo.All_Marketdata_Historical_x000a_where Indicators like 'VBMA%' and Indicators not like 'VBMA.%'_x000a_and Rptdate &gt;='2024-12-31'order by RptDate desc"/>
  </connection>
  <connection id="15" xr16:uid="{0DD0A545-713E-42B3-843A-D193935BB5E2}" keepAlive="1" name="MK.2"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Indicators,Average from GS_RRTT.dbo.All_Marketdata_Historical_x000a_where Class = 'LNH' and Indicators like '%VND'_x000a_ and Rptdate &gt;='2024-12-31'order by RptDate desc"/>
  </connection>
  <connection id="16" xr16:uid="{48C8FEE5-6262-491F-B50B-A45343F05A07}" keepAlive="1" name="MK.3"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Date,Indicators,Value  from QLRRTT.dbo.MSB_Report_Other_Data_x000a_where Indicators like '%OMO%' _x000a_and Date &gt;='2024-12-31'order by Date desc"/>
  </connection>
  <connection id="17" xr16:uid="{5AE3211D-7D66-44DC-B942-F965D0163844}" keepAlive="1" name="MK.4"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Average as 'TygiaUV' _x000a_from GS_RRTT.dbo.All_Marketdata_Historical_x000a_where Indicators like 'UV1'_x000a_ and RptDate &gt;='2024-12-31'order by RptDate desc"/>
  </connection>
  <connection id="18" xr16:uid="{23D07254-3DA6-4B6D-B5A3-335795D53D86}" keepAlive="1" name="MK.41" type="5" refreshedVersion="8" savePassword="1" saveData="1">
    <dbPr connection="Provider=SQLOLEDB.1;Password=msb@2019;Persist Security Info=True;User ID=sa;Initial Catalog=master;Data Source=10.1.77.53,8888;Use Procedure for Prepare=1;Auto Translate=True;Packet Size=4096;Workstation ID=HO-THAOVT1-1;Use Encryption for Data=False;Tag with column collation when possible=False" command="select RptDate,Average as 'TygiaUV' _x000d__x000a_from GS_RRTT.dbo.All_Marketdata_Historical_x000d__x000a_where Indicators like 'XAU'_x000d__x000a_ and RptDate &gt;='2024-12-31'order by RptDate desc"/>
  </connection>
  <connection id="19" xr16:uid="{4856A589-0F6E-4D7D-8B2E-563D1F03AEC7}" keepAlive="1" name="Query - Available bond" description="Connection to the 'Available bond' query in the workbook." type="5" refreshedVersion="8" background="1" saveData="1">
    <dbPr connection="Provider=Microsoft.Mashup.OleDb.1;Data Source=$Workbook$;Location=&quot;Available bond&quot;;Extended Properties=&quot;&quot;" command="SELECT * FROM [Available bond]"/>
  </connection>
  <connection id="20" xr16:uid="{17B4B60F-E917-47DF-AE72-19429306E5FA}" keepAlive="1" name="Query - Available bond remain" description="Connection to the 'Available bond remain' query in the workbook." type="5" refreshedVersion="8" background="1" saveData="1">
    <dbPr connection="Provider=Microsoft.Mashup.OleDb.1;Data Source=$Workbook$;Location=&quot;Available bond remain&quot;;Extended Properties=&quot;&quot;" command="SELECT * FROM [Available bond remain]"/>
  </connection>
  <connection id="21" xr16:uid="{9017C900-B602-41ED-8629-85F3014B7778}" keepAlive="1" name="Query - BS FI" description="Connection to the 'BS FI' query in the workbook." type="5" refreshedVersion="8" background="1" saveData="1">
    <dbPr connection="Provider=Microsoft.Mashup.OleDb.1;Data Source=$Workbook$;Location=&quot;BS FI&quot;;Extended Properties=&quot;&quot;" command="SELECT * FROM [BS FI]"/>
  </connection>
  <connection id="22" xr16:uid="{6409A9B4-22FF-46CC-9DF5-212A4AE66FA1}" keepAlive="1" name="Query - Param" description="Connection to the 'Param' query in the workbook." type="5" refreshedVersion="0" background="1">
    <dbPr connection="Provider=Microsoft.Mashup.OleDb.1;Data Source=$Workbook$;Location=Param;Extended Properties=&quot;&quot;" command="SELECT * FROM [Param]"/>
  </connection>
  <connection id="23" xr16:uid="{D0A8E3AB-5CB0-4370-BE72-75141241DE68}" keepAlive="1" name="Query - QLHS" description="Connection to the 'QLHS' query in the workbook." type="5" refreshedVersion="8" background="1" saveData="1">
    <dbPr connection="Provider=Microsoft.Mashup.OleDb.1;Data Source=$Workbook$;Location=QLHS;Extended Properties=&quot;&quot;" command="SELECT * FROM [QLH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<sst xmlns="http://schemas.openxmlformats.org/spreadsheetml/2006/main" count="62936" uniqueCount="2336">
  <si>
    <t>Item</t>
  </si>
  <si>
    <t>Values</t>
  </si>
  <si>
    <t>Rpt Date</t>
  </si>
  <si>
    <t>Yesterday</t>
  </si>
  <si>
    <t>Last month</t>
  </si>
  <si>
    <t>last Year</t>
  </si>
  <si>
    <t>Last week</t>
  </si>
  <si>
    <t>Last quarter</t>
  </si>
  <si>
    <t>STT</t>
  </si>
  <si>
    <t>Code</t>
  </si>
  <si>
    <t>Mục đích code</t>
  </si>
  <si>
    <t>RptDate</t>
  </si>
  <si>
    <t>Indicators</t>
  </si>
  <si>
    <t>Tenor_Value</t>
  </si>
  <si>
    <t>Actual</t>
  </si>
  <si>
    <t>Trang thai mo</t>
  </si>
  <si>
    <t>1. Trang thai bond trading</t>
  </si>
  <si>
    <t>2. Trang thai bond banking</t>
  </si>
  <si>
    <t>PV01</t>
  </si>
  <si>
    <t>3. PV01 trading</t>
  </si>
  <si>
    <t/>
  </si>
  <si>
    <t>4. PV01 banking</t>
  </si>
  <si>
    <t>Unrealized_ItD_MtM_PnL</t>
  </si>
  <si>
    <t>5. ItD Unrealized PnL trading</t>
  </si>
  <si>
    <t>6. ItD Unrealized PnL banking</t>
  </si>
  <si>
    <t>ItD Unrealized PnL</t>
  </si>
  <si>
    <t>Class</t>
  </si>
  <si>
    <t>All</t>
  </si>
  <si>
    <t>Tenor</t>
  </si>
  <si>
    <t>Desk</t>
  </si>
  <si>
    <t>Trạng thái</t>
  </si>
  <si>
    <t>Spot</t>
  </si>
  <si>
    <t>+/-</t>
  </si>
  <si>
    <t>BOND</t>
  </si>
  <si>
    <t>Yield</t>
  </si>
  <si>
    <t>Sản phẩm</t>
  </si>
  <si>
    <t>Para1</t>
  </si>
  <si>
    <t>Trạng thái Trading book theo kỳ hạn, theo loại trái phiếu</t>
  </si>
  <si>
    <t>Trạng thái Banking book theo kỳ hạn, theo loại trái phiếu</t>
  </si>
  <si>
    <t>PV01 Trading book theo kỳ hạn</t>
  </si>
  <si>
    <t>PV01 Banking book theo kỳ hạn</t>
  </si>
  <si>
    <t>ItD Unrealized PnL Trading theo kỳ hạn</t>
  </si>
  <si>
    <t>ItD Unrealized PnL banking theo kỳ hạn</t>
  </si>
  <si>
    <t>Connection name</t>
  </si>
  <si>
    <t>Market info</t>
  </si>
  <si>
    <t>Chuỗi yield 1 năm</t>
  </si>
  <si>
    <t>Provider=SQLOLEDB.1;Password=msb@2019;Persist Security Info=True;User ID=sa;Initial Catalog=GS_RRTT;Data Source=10.1.77.53,8888;Use Procedure for Prepare=1;Auto Translate=True;Packet Size=4096;Workstation ID=QLRR-TRANGTTQ3;Use Encryption for Data=False;Tag with column collation when possible=False</t>
  </si>
  <si>
    <t>Date</t>
  </si>
  <si>
    <t>Input_data</t>
  </si>
  <si>
    <t xml:space="preserve"> </t>
  </si>
  <si>
    <t>Nội dung</t>
  </si>
  <si>
    <t>PIC</t>
  </si>
  <si>
    <t>Bổ sung trạng thái đồng CNY</t>
  </si>
  <si>
    <t>tranglt38</t>
  </si>
  <si>
    <t>RPT</t>
  </si>
  <si>
    <t>ON_OFF_NGOAI BS</t>
  </si>
  <si>
    <t>Bổ sung công thức On/off BS</t>
  </si>
  <si>
    <t>Bổ sung note dự phóng vốn MR bộ SBV theo mục tiêu CAR</t>
  </si>
  <si>
    <t>Bổ sung ngày kịch bản VaR Bond</t>
  </si>
  <si>
    <t>Sửa lại công thức biến động yield kịch bản BB 95% do đang refer nhầm sang ngày của kịch bản TB 95%</t>
  </si>
  <si>
    <t>Sử dụng công thức để sort kịch bản VaR thay cho việc vào sort tay; bỏ các doublecheck không cần thiết cho việc sort tay do không cần sort tay nữa.</t>
  </si>
  <si>
    <t>Sửa lại bảng group tenor, đổi kì hạn &lt;1M thành 0-1M
Sửa công thức ghi nhận trạng thái IR kì hạn ON trong bảng trạng thái IR của FXDR (bổ sung bao gồm ON và Today tại bảng FX)</t>
  </si>
  <si>
    <t>Sửa công thức PV01 Bond TB (công thức ngày T-1 và M-1 đang tham chiếu sai ngày)</t>
  </si>
  <si>
    <t>Sửa công thức VaR Bond 
Bổ sung ngày kịch bản cho VaR FXDR
Bổ sung các chỉ số VaR 99 cho Bond và FXDR (sửa code lấy dữ liệu + bổ sung trên bảng trình bày)</t>
  </si>
  <si>
    <t>Bổ sung kịch bản Bond sum 10D</t>
  </si>
  <si>
    <t>ON BS</t>
  </si>
  <si>
    <t>Face</t>
  </si>
  <si>
    <t>OFF BS</t>
  </si>
  <si>
    <t>NGOAI BS</t>
  </si>
  <si>
    <t>Sửa công thức trạng thái IR sản phẩm forward các kì dài hơn ON do tham chiếu sai cột group tenor</t>
  </si>
  <si>
    <t>thaottp14</t>
  </si>
  <si>
    <t>Thêm input vốn tự có trong input sheet FX, thêm công thức tính hạn mức trạng thái FX</t>
  </si>
  <si>
    <t>MtM</t>
  </si>
  <si>
    <t>Gộp khung cmt rủi ro thị trường và rủi to tuân thủ ở phần I</t>
  </si>
  <si>
    <t>Sửa code kéo 53: 
- bổ sung sắp xếp dữ liệu theo ngày 
- sửa code trạng thái ngoại tệ SBV gọn hơn.</t>
  </si>
  <si>
    <t>Bổ sung công thức vào doublecheck</t>
  </si>
  <si>
    <t>Bổ sung trạng thái Bond TB BB theo market value
Sửa code để lấy thêm dữ liệu này</t>
  </si>
  <si>
    <t>Sửa công thức tính biến động gapls kì 3-5Y tại kịch bản cho FXDR</t>
  </si>
  <si>
    <t>Không chạy được báo cáo daily do mất kết nối tới server 53 - IT đổi IP của các thành viên trong phòng --&gt; không gửi báo cáo</t>
  </si>
  <si>
    <t>Bổ sung hạn mức NTK/Tổng trạng thái</t>
  </si>
  <si>
    <t>Bổ sung chú giải tác động yếu tố rủi ro tới danh mục</t>
  </si>
  <si>
    <t>NIM</t>
  </si>
  <si>
    <t>Bổ sung số liệu và chart PnL theo QLHS cho Bond và FXDR</t>
  </si>
  <si>
    <t>Rpt_Grp</t>
  </si>
  <si>
    <t>Bổ sung 3 hạn mức BB Bond còn thiếu</t>
  </si>
  <si>
    <t>Thêm hạn mức pos banking bond 17,000</t>
  </si>
  <si>
    <t>FI Bond</t>
  </si>
  <si>
    <t>Product</t>
  </si>
  <si>
    <t>Face value</t>
  </si>
  <si>
    <t>Kéo thêm dữ liệu FIBond, bổ sung hạn mức mới</t>
  </si>
  <si>
    <t>CD</t>
  </si>
  <si>
    <t>Sửa lại các link đường dẫn do chuyển ổ chung toàn hàng</t>
  </si>
  <si>
    <t>Sửa lại code kéo chỉ số tập trung của bond banking</t>
  </si>
  <si>
    <t>Sửa code itd unrealized pnl của bond do bond điều chỉnh itd unrealized pnl cho công nợ KH</t>
  </si>
  <si>
    <t>Sửa code vốn để kéo thêm vốn option.
Bổ sung trình bày vốn option cả 2 bộ sổ</t>
  </si>
  <si>
    <t xml:space="preserve">Bổ sung lại tính toán trigger và rule đèn cảnh báo.
Bổ sung doublecheck các chỉ số vượt trigger 80% limit </t>
  </si>
  <si>
    <t>Thêm bảng connection dữ liệu trạng thái USD theo sản phẩm</t>
  </si>
  <si>
    <t>Gộp hết các bước refresh dữ liệu vào 1 bước</t>
  </si>
  <si>
    <t>ItD</t>
  </si>
  <si>
    <t>Realized PnL</t>
  </si>
  <si>
    <t>PnL</t>
  </si>
  <si>
    <t>QLHS</t>
  </si>
  <si>
    <t>MK.1</t>
  </si>
  <si>
    <t>MK.2</t>
  </si>
  <si>
    <t>MK.3</t>
  </si>
  <si>
    <t>Average</t>
  </si>
  <si>
    <t>Value</t>
  </si>
  <si>
    <t>OMO</t>
  </si>
  <si>
    <t>Diff</t>
  </si>
  <si>
    <t>CD On BS</t>
  </si>
  <si>
    <t>FI Bond Listed On BS</t>
  </si>
  <si>
    <t>FI Bond Unlisted On BS</t>
  </si>
  <si>
    <t>Thêm infographic cho báo cáo</t>
  </si>
  <si>
    <t>PTCK</t>
  </si>
  <si>
    <t>Deal buy</t>
  </si>
  <si>
    <t>Deal sell</t>
  </si>
  <si>
    <r>
      <t xml:space="preserve">Có dữ liệu </t>
    </r>
    <r>
      <rPr>
        <b/>
        <sz val="11"/>
        <color rgb="FFFF0000"/>
        <rFont val="Calibri"/>
        <family val="2"/>
        <scheme val="minor"/>
      </rPr>
      <t>Bond</t>
    </r>
    <r>
      <rPr>
        <sz val="11"/>
        <color theme="1"/>
        <rFont val="Calibri"/>
        <family val="2"/>
        <scheme val="minor"/>
      </rPr>
      <t xml:space="preserve"> ngày báo cáo chưa?</t>
    </r>
  </si>
  <si>
    <r>
      <t xml:space="preserve">Có dữ liệu </t>
    </r>
    <r>
      <rPr>
        <b/>
        <sz val="11"/>
        <color rgb="FFFF0000"/>
        <rFont val="Calibri"/>
        <family val="2"/>
        <scheme val="minor"/>
      </rPr>
      <t>Market info</t>
    </r>
    <r>
      <rPr>
        <sz val="11"/>
        <color theme="1"/>
        <rFont val="Calibri"/>
        <family val="2"/>
        <scheme val="minor"/>
      </rPr>
      <t xml:space="preserve"> ngày báo cáo chưa?</t>
    </r>
  </si>
  <si>
    <r>
      <t xml:space="preserve">Có dữ liệu </t>
    </r>
    <r>
      <rPr>
        <b/>
        <sz val="11"/>
        <color rgb="FFFF0000"/>
        <rFont val="Calibri"/>
        <family val="2"/>
        <scheme val="minor"/>
      </rPr>
      <t>QLHS</t>
    </r>
    <r>
      <rPr>
        <sz val="11"/>
        <color theme="1"/>
        <rFont val="Calibri"/>
        <family val="2"/>
        <scheme val="minor"/>
      </rPr>
      <t xml:space="preserve"> chưa?</t>
    </r>
  </si>
  <si>
    <t>Thêm dữ liệu tham  chiếu cho OMO và code VBA để tự động chart OMO trên báo cáo</t>
  </si>
  <si>
    <t>Chỉ tiêu</t>
  </si>
  <si>
    <t>Sửa lại sheet VaR, bỏ hết các bảng pivot đi</t>
  </si>
  <si>
    <t>Thêm KB dự báo yield và tỷ giá của VBMA và Vira/NCKT</t>
  </si>
  <si>
    <r>
      <t xml:space="preserve">Sửa lại dữ liệu ở sheet </t>
    </r>
    <r>
      <rPr>
        <b/>
        <sz val="11"/>
        <color theme="1"/>
        <rFont val="Calibri"/>
        <family val="2"/>
        <scheme val="minor"/>
      </rPr>
      <t>Data 4 ALCO</t>
    </r>
    <r>
      <rPr>
        <sz val="11"/>
        <color theme="1"/>
        <rFont val="Calibri"/>
        <family val="2"/>
        <scheme val="minor"/>
      </rPr>
      <t xml:space="preserve"> chỉ lấy dữ liệu cuối tháng cho bớt nặng</t>
    </r>
  </si>
  <si>
    <t>Key</t>
  </si>
  <si>
    <t>Thông tin chung</t>
  </si>
  <si>
    <t>reportDate</t>
  </si>
  <si>
    <t>Trading Book</t>
  </si>
  <si>
    <t>tradingExposure</t>
  </si>
  <si>
    <t>tỷ</t>
  </si>
  <si>
    <t>tradingExposureChange</t>
  </si>
  <si>
    <t>tradingBookLimit</t>
  </si>
  <si>
    <t>tradingUtilization</t>
  </si>
  <si>
    <t>bankingBookBalance</t>
  </si>
  <si>
    <t>bankingBookBalanceChange</t>
  </si>
  <si>
    <t>bankingBookLimit</t>
  </si>
  <si>
    <t>bankingUtilization</t>
  </si>
  <si>
    <t>availableBankingGbond</t>
  </si>
  <si>
    <t>availableBankingGbondChange</t>
  </si>
  <si>
    <t>liquidityReserveTarget</t>
  </si>
  <si>
    <t>availableBankingGbondUtilization</t>
  </si>
  <si>
    <t>bankingMtMDiscount</t>
  </si>
  <si>
    <t>bankingMtMDiscountChange</t>
  </si>
  <si>
    <t>mtmLoss</t>
  </si>
  <si>
    <t>mtmLossChange</t>
  </si>
  <si>
    <t>mtmLossLimit</t>
  </si>
  <si>
    <t>mtmUtilization</t>
  </si>
  <si>
    <t>worstCaseMtM</t>
  </si>
  <si>
    <t>worstCaseMtMChange</t>
  </si>
  <si>
    <t>fundingCost</t>
  </si>
  <si>
    <t>5%</t>
  </si>
  <si>
    <t>estimatedNimLoss</t>
  </si>
  <si>
    <t>estimatedNimLossChange</t>
  </si>
  <si>
    <t>tradingPV01</t>
  </si>
  <si>
    <t>bankingPV01</t>
  </si>
  <si>
    <t>yieldShockPct</t>
  </si>
  <si>
    <t>tradingYieldLoss</t>
  </si>
  <si>
    <t>bankingYieldLoss</t>
  </si>
  <si>
    <t>interbank1W</t>
  </si>
  <si>
    <t>Chuỗi ls LNH đồng VND</t>
  </si>
  <si>
    <t>O/N_VND</t>
  </si>
  <si>
    <t>1W_VND</t>
  </si>
  <si>
    <t>2W_VND</t>
  </si>
  <si>
    <t>1M_VND</t>
  </si>
  <si>
    <t>Note</t>
  </si>
  <si>
    <t>Section</t>
  </si>
  <si>
    <t>moduleExecutiveTitle</t>
  </si>
  <si>
    <t>Tiêu đề module Executive</t>
  </si>
  <si>
    <t>moduleExecutiveStatus</t>
  </si>
  <si>
    <t>msg1Title</t>
  </si>
  <si>
    <t>Thông điệp trọng tâm</t>
  </si>
  <si>
    <t>msg1Body</t>
  </si>
  <si>
    <t>msg2Title</t>
  </si>
  <si>
    <t>msg2Body</t>
  </si>
  <si>
    <t>msg3Title</t>
  </si>
  <si>
    <t>msg3Body</t>
  </si>
  <si>
    <t>msg4Title</t>
  </si>
  <si>
    <t>msg4Body</t>
  </si>
  <si>
    <t>pendingTradeAmount</t>
  </si>
  <si>
    <t>Mức giảm giá theo MtM - Banking Gbond</t>
  </si>
  <si>
    <t>Lỗ MtM còn lại</t>
  </si>
  <si>
    <t>Funding cost</t>
  </si>
  <si>
    <t>costIncreaseAssumption</t>
  </si>
  <si>
    <t>nimLossMonthlyIncrease</t>
  </si>
  <si>
    <t>Chuỗi thông tin OMO_Lay tu LR</t>
  </si>
  <si>
    <t>Face_HLA</t>
  </si>
  <si>
    <t>fiBondCdExposure</t>
  </si>
  <si>
    <t>Trạng thái rủi ro Bond&amp;CD-FI</t>
  </si>
  <si>
    <t>fiBondCdAverageYield</t>
  </si>
  <si>
    <t>fiBondCdFundingCostIncrease</t>
  </si>
  <si>
    <t>fiBondCdNiiLossMonthly</t>
  </si>
  <si>
    <t>tỷ/tháng</t>
  </si>
  <si>
    <t>fiBondCdLimit</t>
  </si>
  <si>
    <t>fiBondCdUtilization</t>
  </si>
  <si>
    <t>unsettledSoldTradePnL</t>
  </si>
  <si>
    <t>Face_Secured_Unused</t>
  </si>
  <si>
    <t>YTM binh quan</t>
  </si>
  <si>
    <t>FI Bond On BS</t>
  </si>
  <si>
    <t>Total On BS</t>
  </si>
  <si>
    <t>Reportdate LR</t>
  </si>
  <si>
    <t>Face_SBV_Overdraft</t>
  </si>
  <si>
    <t>Face_OMO_Available</t>
  </si>
  <si>
    <t>Reportdate LR-1</t>
  </si>
  <si>
    <t>tradingLimitWarningComment</t>
  </si>
  <si>
    <t>mtmLimitWarningComment</t>
  </si>
  <si>
    <t>bankingLimitWarningComment</t>
  </si>
  <si>
    <t>availableBankingGbondLimitWarningComment</t>
  </si>
  <si>
    <t>fiBondCdLimitWarningComment</t>
  </si>
  <si>
    <t>Estimate
NII 2026</t>
  </si>
  <si>
    <t>I.Trạng thái rủi ro thị trường</t>
  </si>
  <si>
    <t>Trading book GBond</t>
  </si>
  <si>
    <t>Banking book GBond</t>
  </si>
  <si>
    <t>FI bond</t>
  </si>
  <si>
    <t>II.Trạng thái rủi ro IRRBB </t>
  </si>
  <si>
    <t>Trading book Gbond</t>
  </si>
  <si>
    <t>Lợi suất bình quân</t>
  </si>
  <si>
    <t>Banking book Gbond</t>
  </si>
  <si>
    <r>
      <t xml:space="preserve">1.Ước tính Biến động NII (L/s +1%) </t>
    </r>
    <r>
      <rPr>
        <sz val="11"/>
        <color theme="1"/>
        <rFont val="Calibri"/>
        <family val="2"/>
        <scheme val="minor"/>
      </rPr>
      <t>(*)</t>
    </r>
  </si>
  <si>
    <r>
      <t>2.Ước tính Lỗ NIM (L/s duy trì 5%)</t>
    </r>
    <r>
      <rPr>
        <sz val="11"/>
        <color theme="1"/>
        <rFont val="Calibri"/>
        <family val="2"/>
        <scheme val="minor"/>
      </rPr>
      <t xml:space="preserve"> (**)</t>
    </r>
  </si>
  <si>
    <t>Trading book</t>
  </si>
  <si>
    <t>Banking book</t>
  </si>
  <si>
    <t>Est YTM T1</t>
  </si>
  <si>
    <t>Est YTM T2</t>
  </si>
  <si>
    <t>Est YTM T3</t>
  </si>
  <si>
    <t>Est YTM T4</t>
  </si>
  <si>
    <t>Est YTM T5</t>
  </si>
  <si>
    <t>Est YTM T6</t>
  </si>
  <si>
    <t>Est YTM T7</t>
  </si>
  <si>
    <t>Est YTM T8</t>
  </si>
  <si>
    <t>Est YTM T9</t>
  </si>
  <si>
    <t>Est YTM T10</t>
  </si>
  <si>
    <t>Est YTM T11</t>
  </si>
  <si>
    <t>Est YTM T12</t>
  </si>
  <si>
    <t>thiếu công thức các tháng cũ</t>
  </si>
  <si>
    <t>tháng 11 đáo hạn 300 tỷ</t>
  </si>
  <si>
    <t>chưa có cth, tháng 11 đáo hạn 300 tỷ</t>
  </si>
  <si>
    <t>chưa có cth, chưa có ước tính, các tháng sau cho = số thực tế ngày báo cáo</t>
  </si>
  <si>
    <t>Est Posi onBS T1</t>
  </si>
  <si>
    <t>Est Posi onBS T2</t>
  </si>
  <si>
    <t>Est Posi onBS T3</t>
  </si>
  <si>
    <t>Est Posi onBS T4</t>
  </si>
  <si>
    <t>Est Posi onBS T5</t>
  </si>
  <si>
    <t>Est Posi onBS T6</t>
  </si>
  <si>
    <t>Est Posi onBS T7</t>
  </si>
  <si>
    <t>Est Posi onBS T8</t>
  </si>
  <si>
    <t>Est Posi onBS T9</t>
  </si>
  <si>
    <t>Est Posi onBS T10</t>
  </si>
  <si>
    <t>Est Posi onBS T11</t>
  </si>
  <si>
    <t>Est Posi onBS T12</t>
  </si>
  <si>
    <t>Est Posi OnBS T1</t>
  </si>
  <si>
    <t>Est Posi OnBS T2</t>
  </si>
  <si>
    <t>Est Posi OnBS T3</t>
  </si>
  <si>
    <t>Est Posi OnBS T4</t>
  </si>
  <si>
    <t>Est Posi OnBS T5</t>
  </si>
  <si>
    <t>Est Posi OnBS T6</t>
  </si>
  <si>
    <t>Est Posi OnBS T7</t>
  </si>
  <si>
    <t>Est Posi OnBS T8</t>
  </si>
  <si>
    <t>Est Posi OnBS T9</t>
  </si>
  <si>
    <t>Est Posi OnBS T10</t>
  </si>
  <si>
    <t>Est Posi OnBS T11</t>
  </si>
  <si>
    <t>Est Posi OnBS T12</t>
  </si>
  <si>
    <t>Available bond - dữ liệu LR</t>
  </si>
  <si>
    <t>Realized off BS</t>
  </si>
  <si>
    <t>Realized ngoai BS</t>
  </si>
  <si>
    <t>Kéo thêm các bảng để đặt công thức trong sheet Data Import
- Realized off BS của Trading book tại ngày báo cáo
- Ước tính trạng thái nội bảng và YTM bình quân nội bảng của Trading tại ngày báo cáo</t>
  </si>
  <si>
    <t>Ước tính Realized off BS</t>
  </si>
  <si>
    <t>Thêm sheet data imort phục vụ báo cáo html</t>
  </si>
  <si>
    <t>thaovt1</t>
  </si>
  <si>
    <t>CD Off BS</t>
  </si>
  <si>
    <t>FI Bond Listed Off BS</t>
  </si>
  <si>
    <t>FI Bond Unlisted Off BS</t>
  </si>
  <si>
    <t>CD Ngoai BS</t>
  </si>
  <si>
    <t>FI Bond Listed Ngoai BS</t>
  </si>
  <si>
    <t>FI Bond Unlisted Ngoai BS</t>
  </si>
  <si>
    <t>Indicator</t>
  </si>
  <si>
    <t>Trading bonds_Govbond</t>
  </si>
  <si>
    <t>Banking bonds_Govbond</t>
  </si>
  <si>
    <t>Trading bonds_FI bond</t>
  </si>
  <si>
    <t>chưa có cth, book BK fix nên số fix k sửa</t>
  </si>
  <si>
    <t>bankingBookRiskWarning</t>
  </si>
  <si>
    <t>Sửa lại dữ liệu vốn = vốn MR+ItD Bond</t>
  </si>
  <si>
    <t>Face_HMNR_NAPAS</t>
  </si>
  <si>
    <t>OMO_chao thau</t>
  </si>
  <si>
    <t>OMO_ky han</t>
  </si>
  <si>
    <t>OMO_trung thau</t>
  </si>
  <si>
    <t>OMO_LS trung thau</t>
  </si>
  <si>
    <t>OMO_dao han</t>
  </si>
  <si>
    <t>OMO_Outstanding</t>
  </si>
  <si>
    <t>Mature_next_week_OMO</t>
  </si>
  <si>
    <t>OMO_thanhvien_trungthau</t>
  </si>
  <si>
    <t>OMO_thanhvien_thamgia</t>
  </si>
  <si>
    <t>Lưu ý: Đang trong trạng thái phê duyệt ngoại lệ</t>
  </si>
  <si>
    <t>interbank2W</t>
  </si>
  <si>
    <t>Giám sát tình trạng NGOẠI LỆ vượt hạn mức lỗ mtm</t>
  </si>
  <si>
    <t>Field/Label</t>
  </si>
  <si>
    <t>Current HTML Value</t>
  </si>
  <si>
    <t>reportMainTitle</t>
  </si>
  <si>
    <t>Header báo cáo</t>
  </si>
  <si>
    <t>Market &amp; Liquidity Risk Report (Market II)</t>
  </si>
  <si>
    <t>reportSubtitle</t>
  </si>
  <si>
    <t>Rủi ro thị trường - thanh khoản | Danh mục Gbond Banking Book &amp; Trading Book | Theo dõi MtM, PV01, NIM và tín hiệu thị trường</t>
  </si>
  <si>
    <t>Header</t>
  </si>
  <si>
    <t>Trạng thái module Executive</t>
  </si>
  <si>
    <t>NGOẠI LỆ HẠN MỨC LỖ MtM &amp; RỦI RO LỖ KÉP</t>
  </si>
  <si>
    <t>executiveMessageSectionTitle</t>
  </si>
  <si>
    <t>Tiêu đề section</t>
  </si>
  <si>
    <t>1. Thông điệp trọng tâm</t>
  </si>
  <si>
    <t>Tiêu đề 1</t>
  </si>
  <si>
    <t>Nội dung 1</t>
  </si>
  <si>
    <t>Tiêu đề 2</t>
  </si>
  <si>
    <t>Nội dung 2</t>
  </si>
  <si>
    <t>Tiêu đề 3</t>
  </si>
  <si>
    <t>Nội dung 3</t>
  </si>
  <si>
    <t>Tiêu đề 4</t>
  </si>
  <si>
    <t>Nội dung 4</t>
  </si>
  <si>
    <t>KPI Gbond</t>
  </si>
  <si>
    <t>executiveGbondSectionTitle</t>
  </si>
  <si>
    <t>Tiêu đề nhóm</t>
  </si>
  <si>
    <t>Tình hình rủi ro Danh mục Trái phiếu chính phủ</t>
  </si>
  <si>
    <t>tradingCardTitle</t>
  </si>
  <si>
    <t>Tiêu đề card</t>
  </si>
  <si>
    <t>Trading Book chịu rủi ro thị trường</t>
  </si>
  <si>
    <t>tradingStatus</t>
  </si>
  <si>
    <t>Status</t>
  </si>
  <si>
    <t>Giá trị</t>
  </si>
  <si>
    <t>tradingPortfolioRateLabel</t>
  </si>
  <si>
    <t>Label lãi suất</t>
  </si>
  <si>
    <t>Lãi suất DM:</t>
  </si>
  <si>
    <t>tradingPortfolioRate</t>
  </si>
  <si>
    <t>Lãi suất DM</t>
  </si>
  <si>
    <t>Giao dịch pending</t>
  </si>
  <si>
    <t>tradingBookNotePrefix</t>
  </si>
  <si>
    <t>Note prefix</t>
  </si>
  <si>
    <t>Sau giảm trừ giao dịch bán chưa thanh toán và BO chưa xác nhận (~</t>
  </si>
  <si>
    <t>tradingBookNoteSuffix</t>
  </si>
  <si>
    <t>Note suffix</t>
  </si>
  <si>
    <t>tỷ)</t>
  </si>
  <si>
    <t>tradingLimitTitle</t>
  </si>
  <si>
    <t>Tiêu đề limit</t>
  </si>
  <si>
    <t>Hạn mức Trading Book</t>
  </si>
  <si>
    <t>limitLabel</t>
  </si>
  <si>
    <t>Limit</t>
  </si>
  <si>
    <t>usageLabel</t>
  </si>
  <si>
    <t>Mức sử dụng</t>
  </si>
  <si>
    <t>mtmCardTitle</t>
  </si>
  <si>
    <t>mtmStatus</t>
  </si>
  <si>
    <t>Ghi chú limit</t>
  </si>
  <si>
    <t>mtmCardNote</t>
  </si>
  <si>
    <t>Trading Book sau giảm trừ giao dịch đã bán chưa thanh toán</t>
  </si>
  <si>
    <t>mtmLimitTitle</t>
  </si>
  <si>
    <t>Hạn mức lỗ MtM</t>
  </si>
  <si>
    <t>BO chưa xác nhận</t>
  </si>
  <si>
    <t>worstCaseCardTitle</t>
  </si>
  <si>
    <t>Kịch bản bất lợi với giao dịch BO chưa xác nhận</t>
  </si>
  <si>
    <t>worstCaseMtMStatus</t>
  </si>
  <si>
    <t>Rủi ro trọng yếu</t>
  </si>
  <si>
    <t>worstCaseMtMNote</t>
  </si>
  <si>
    <t>Lỗ MtM tiềm ẩn gia tăng nếu giao dịch BO chưa xác nhận có thể bị đối tác hủy khi thị trường bất lợi</t>
  </si>
  <si>
    <t>unsettledSoldTradePnLPrefix</t>
  </si>
  <si>
    <t>PnL prefix</t>
  </si>
  <si>
    <t>T/h các giao dịch này thực hiện thanh toán thành công thì ngân hàng sẽ ghi nhận bổ sung vào KQKD phần lãi (+)/lỗ (-) là</t>
  </si>
  <si>
    <t>unsettledSoldTradePnLUnit</t>
  </si>
  <si>
    <t>PnL unit</t>
  </si>
  <si>
    <t>tỷ.</t>
  </si>
  <si>
    <t>nimCardTitle</t>
  </si>
  <si>
    <t>Áp lực suy giảm NIM 2026</t>
  </si>
  <si>
    <t>estimatedNimLossStatus</t>
  </si>
  <si>
    <t>estimatedNimLossNotePrefix</t>
  </si>
  <si>
    <t>estimatedNimLossNoteMid</t>
  </si>
  <si>
    <t>Note mid</t>
  </si>
  <si>
    <t>Cost increase</t>
  </si>
  <si>
    <t>1%</t>
  </si>
  <si>
    <t>estimatedNimLossNoteSuffix</t>
  </si>
  <si>
    <t>Lỗ/tháng</t>
  </si>
  <si>
    <t>estimatedNimLossNoteUnit</t>
  </si>
  <si>
    <t>Note unit</t>
  </si>
  <si>
    <t>Banking DCM</t>
  </si>
  <si>
    <t>bankingCardTitle</t>
  </si>
  <si>
    <t>Banking Gbond được tài trợ bởi Tiền gửi Hệ thống</t>
  </si>
  <si>
    <t>bankingStatus</t>
  </si>
  <si>
    <t>12,000</t>
  </si>
  <si>
    <t>bankingBookNote</t>
  </si>
  <si>
    <t>bankingBookRiskWarningLabel</t>
  </si>
  <si>
    <t>Risk label</t>
  </si>
  <si>
    <t>Lưu ý:</t>
  </si>
  <si>
    <t>Risk warning</t>
  </si>
  <si>
    <t>Danh mục này có thể chịu các rủi ro tiềm ẩn IRRBB ở 02 khía cạnh sau :(1) Rủi ro tăng chi phí vốn tài trợ làm gia tăng chi phí thanh khoản phân bổ trong FTP ;(2) Rủi ro giảm giá trị: Mặc dù là Banking GBond nắm giữ để dự phòng thanh khoản, không phải để Trading, nhưng vẫn tiềm ẩn rủi ro Giảm giá trị (do đánh giá mtm) và có thể ghi nhận lỗ vào KQKD trong trường hợp buộc phải bán để đáp ứng nhu cầu thanh toán trong điều kiện căng thẳng thanh khoản.</t>
  </si>
  <si>
    <t>bankingLimitTitle</t>
  </si>
  <si>
    <t>Limit title</t>
  </si>
  <si>
    <t>Mức tài trợ từ Tiền gửi hệ thống (do ALCO phê duyệt)</t>
  </si>
  <si>
    <t>Ghi chú khi vượt hạn mức Banking Book</t>
  </si>
  <si>
    <t>Banking dự phòng</t>
  </si>
  <si>
    <t>availableBankingCardTitle</t>
  </si>
  <si>
    <t>Banking Gbond dự phòng thanh khoản</t>
  </si>
  <si>
    <t>availableBankingGbondStatus</t>
  </si>
  <si>
    <t>availableBankingGbondNote</t>
  </si>
  <si>
    <t>Nguồn Gbond còn lại có thể sử dụng cho mục tiêu dự phòng thanh khoản</t>
  </si>
  <si>
    <t>availableBankingGbondLimitTitle</t>
  </si>
  <si>
    <t>Mức dự phòng thanh khoản mục tiêu</t>
  </si>
  <si>
    <t>targetLabel</t>
  </si>
  <si>
    <t>Target label</t>
  </si>
  <si>
    <t>Target</t>
  </si>
  <si>
    <t>reserveUsageLabel</t>
  </si>
  <si>
    <t>Usage label</t>
  </si>
  <si>
    <t>Mức đáp ứng</t>
  </si>
  <si>
    <t>reserveThresholdGood</t>
  </si>
  <si>
    <t>Threshold good</t>
  </si>
  <si>
    <t>&gt;=100%: Xanh - Đáp ứng tốt</t>
  </si>
  <si>
    <t>reserveThresholdWatch</t>
  </si>
  <si>
    <t>Threshold watch</t>
  </si>
  <si>
    <t>reserveThresholdBad</t>
  </si>
  <si>
    <t>Threshold bad</t>
  </si>
  <si>
    <t>availableBankingGbondReserveWarningHtml</t>
  </si>
  <si>
    <t>Warning HTML</t>
  </si>
  <si>
    <t>Ghi chú khi vượt ngưỡng Banking Gbond còn lại</t>
  </si>
  <si>
    <t>MtM Banking</t>
  </si>
  <si>
    <t>bankingMtMCardTitle</t>
  </si>
  <si>
    <t>bankingMtMDiscountStatus</t>
  </si>
  <si>
    <t>Áp lực đánh giá lại</t>
  </si>
  <si>
    <t>bankingMtMDiscountNote</t>
  </si>
  <si>
    <t>Mức suy giảm giá trị theo MtM của danh mục Banking Gbond</t>
  </si>
  <si>
    <t>bankingMtMWarningMainHtml</t>
  </si>
  <si>
    <t>Warning main</t>
  </si>
  <si>
    <t>&lt;b&gt;CẢNH BÁO:&lt;/b&gt; Việc giảm giá MtM đối với danh mục này có thể tác động vào lãi/lỗ kinh doanh trong kịch bản MSB phải bán (thay vì cầm cố/repo/OMO) Gbond Banking Book để đáp ứng nhu cầu thanh khoản trong các kịch bản căng thẳng/rút tiền gửi lớn.</t>
  </si>
  <si>
    <t>bankingMtMWarningMutedPrefix</t>
  </si>
  <si>
    <t>Warning prefix</t>
  </si>
  <si>
    <t>Khuyến nghị DCM/ALM đề xuất Cấp có thẩm quyền phương án quản lý:</t>
  </si>
  <si>
    <t>bankingMtMWarningLine1</t>
  </si>
  <si>
    <t>Warning line 1</t>
  </si>
  <si>
    <t>(i) Phòng ngừa rủi ro giảm giá MtM gia tăng của danh mục Banking Gbond;</t>
  </si>
  <si>
    <t>bankingMtMWarningLine2</t>
  </si>
  <si>
    <t>Warning line 2</t>
  </si>
  <si>
    <t>(ii) Xem xét phương án phân bổ vào chi phí thanh khoản nói chung (nếu cần) để giảm tác động tiêu cực vào PnL trong tương lai nếu buộc phải bán để đáp ứng thanh khoản.</t>
  </si>
  <si>
    <t>FI Bond&amp;CD</t>
  </si>
  <si>
    <t>executiveFiSectionTitle</t>
  </si>
  <si>
    <t>Tình hình rủi ro Danh mục Trái phiếu TCTD</t>
  </si>
  <si>
    <t>fiBondCdCardTitle</t>
  </si>
  <si>
    <t>fiBondCdStatus</t>
  </si>
  <si>
    <t>fiBondCdAverageYieldLabel</t>
  </si>
  <si>
    <t>Label yield</t>
  </si>
  <si>
    <t>Lợi suất bình quân của DM</t>
  </si>
  <si>
    <t>Average yield</t>
  </si>
  <si>
    <t>fiBondCdLimitTitle</t>
  </si>
  <si>
    <t>Hạn mức tối đa Danh mục Bond &amp; CD-FI</t>
  </si>
  <si>
    <t>FI Breakeven</t>
  </si>
  <si>
    <t>fiBreakevenCardTitle</t>
  </si>
  <si>
    <t>Ước tính điểm hòa vốn và rủi ro lỗ NIM</t>
  </si>
  <si>
    <t>fiBreakevenStatus</t>
  </si>
  <si>
    <t>Rủi ro NIM</t>
  </si>
  <si>
    <t>fiBreakevenLine1Prefix</t>
  </si>
  <si>
    <t>Line 1 prefix</t>
  </si>
  <si>
    <t>Nếu funding cost để tài trợ nguồn cho DM = lợi suất bình quân của DM (</t>
  </si>
  <si>
    <t>fiBreakevenLine1Suffix</t>
  </si>
  <si>
    <t>Line 1 suffix</t>
  </si>
  <si>
    <t>) thì</t>
  </si>
  <si>
    <t>fiBreakevenText</t>
  </si>
  <si>
    <t>Hòa vốn</t>
  </si>
  <si>
    <t>fiBreakevenLine2</t>
  </si>
  <si>
    <t>Line 2</t>
  </si>
  <si>
    <t>Nếu funding cost &gt; Lợi suất BQ thì DM sẽ</t>
  </si>
  <si>
    <t>fiLossText</t>
  </si>
  <si>
    <t>Lỗ</t>
  </si>
  <si>
    <t>fiBreakevenLine3Prefix</t>
  </si>
  <si>
    <t>Line 3 prefix</t>
  </si>
  <si>
    <t>Nếu funding cost tăng</t>
  </si>
  <si>
    <t>Funding cost increase</t>
  </si>
  <si>
    <t>fiBreakevenLine3Mid</t>
  </si>
  <si>
    <t>Line 3 mid</t>
  </si>
  <si>
    <t>thì DM sẽ bị giảm NII là</t>
  </si>
  <si>
    <t>NII loss monthly</t>
  </si>
  <si>
    <t>fiBreakevenLine3Unit</t>
  </si>
  <si>
    <t>Line 3 unit</t>
  </si>
  <si>
    <t>Market II summary</t>
  </si>
  <si>
    <t>marketIISummaryTitle</t>
  </si>
  <si>
    <t>Tiêu đề</t>
  </si>
  <si>
    <t>marketIISummarySub</t>
  </si>
  <si>
    <t>Mô tả</t>
  </si>
  <si>
    <t>Action items</t>
  </si>
  <si>
    <t>executiveActionsSectionTitle</t>
  </si>
  <si>
    <t>2. Các nội dung cần lưu ý</t>
  </si>
  <si>
    <t>action1Title</t>
  </si>
  <si>
    <t>Title 1</t>
  </si>
  <si>
    <t>1. Bảo toàn bộ đệm thanh khoản Banking Gbond</t>
  </si>
  <si>
    <t>action1Body</t>
  </si>
  <si>
    <t>Body 1</t>
  </si>
  <si>
    <t>Chỉ tối ưu Banking Gbond trên cơ sở vẫn duy trì đủ tài sản thanh khoản khả dụng cho các kịch bản bất thường</t>
  </si>
  <si>
    <t>action2Title</t>
  </si>
  <si>
    <t>Title 2</t>
  </si>
  <si>
    <t>2. Lưu ý Quản lý lỗ/giảm giá trị đối với Banking Gbond</t>
  </si>
  <si>
    <t>action2Body</t>
  </si>
  <si>
    <t>Body 2</t>
  </si>
  <si>
    <t>Đối với danh mục Gbond Banking Book, rủi ro chính theo thông lệ quản trị là áp lực NIM do chênh lệch giữa chi phí vốn tài trợ và lợi suất đầu tư. Tuy nhiên, trong kịch bản thanh khoản khẩn cấp, nếu MSB phải bán trái phiếu thay vì repo/OMO để đáp ứng chi trả, phần giảm giá theo MtM có thể chuyển thành lỗ thực ghi nhận vào KQKD.=&gt;Khuyến nghị ALM theo dõi riêng rủi ro này đối với danh mục Banking Book thuộc thẩm quyền quản lý; đồng thời xây dựng phương án xử lý/phòng ngừa phù hợp và báo cáo cấp có thẩm quyền khi cần.</t>
  </si>
  <si>
    <t>action3Title</t>
  </si>
  <si>
    <t>Title 3</t>
  </si>
  <si>
    <t>3.Kiểm soát rủi ro NIM/carry của Bond&amp;CD-FI</t>
  </si>
  <si>
    <t>action3Body</t>
  </si>
  <si>
    <t>Body 3</t>
  </si>
  <si>
    <t>(1) Đánh giá danh mục Bond&amp;CD-FI theo chênh lệch lợi suất danh mục và funding cost; (2) Theo dõi điểm hòa vốn, mức giảm NII hàng tháng và có phương án tái cơ cấu nếu chi phí vốn duy trì cao; (3) Xem xét đầu tư các Bond&amp; CD có L/s coupon tốt nhưng kỳ hạn còn lại đến đáo hạn ngắn để thu hẹp mở GAP và giảm thời gian chịu rủi ro chi phí vốn tăng.</t>
  </si>
  <si>
    <t>action4Title</t>
  </si>
  <si>
    <t>Title 4</t>
  </si>
  <si>
    <t>4. Quản lý các giao dịch BO chưa xác nhận</t>
  </si>
  <si>
    <t>action4Body</t>
  </si>
  <si>
    <t>Body 4</t>
  </si>
  <si>
    <t>DCM cần thúc đẩy hoàn thiện hồ sơ chứng từ đủ điện kiện để BO xác nhận giao dịch với đối tác, giảm rủi ro bị đối tác hủy giao dịch và MSB có thể phải ghi nhận tăng lỗ mtm từ giao dịch bị hủy và ghi nhận trở lại MSB.</t>
  </si>
  <si>
    <t>Market II summary KPI</t>
  </si>
  <si>
    <t>marketII_kpi_0_title</t>
  </si>
  <si>
    <t>KPI 0 - title</t>
  </si>
  <si>
    <t>Khe hở thanh khoản lũy kế 1M</t>
  </si>
  <si>
    <t>marketII_kpi_0_subtitle</t>
  </si>
  <si>
    <t>KPI 0 - subtitle</t>
  </si>
  <si>
    <t>marketII_kpi_0_value</t>
  </si>
  <si>
    <t>KPI 0 - value</t>
  </si>
  <si>
    <t>-26.1</t>
  </si>
  <si>
    <t>marketII_kpi_0_unit</t>
  </si>
  <si>
    <t>KPI 0 - unit</t>
  </si>
  <si>
    <t>Nghìn tỷ VND</t>
  </si>
  <si>
    <t>marketII_kpi_0_target</t>
  </si>
  <si>
    <t>KPI 0 - target</t>
  </si>
  <si>
    <t>-22</t>
  </si>
  <si>
    <t>marketII_kpi_0_targetLabel</t>
  </si>
  <si>
    <t>KPI 0 - targetLabel</t>
  </si>
  <si>
    <t>Mục tiêu theo dõi tối đa</t>
  </si>
  <si>
    <t>marketII_kpi_0_targetUnit</t>
  </si>
  <si>
    <t>KPI 0 - targetUnit</t>
  </si>
  <si>
    <t>nghìn tỷ VND</t>
  </si>
  <si>
    <t>marketII_kpi_0_note</t>
  </si>
  <si>
    <t>KPI 0 - note</t>
  </si>
  <si>
    <t>marketII_kpi_0_noLimit</t>
  </si>
  <si>
    <t>KPI 0 - noLimit</t>
  </si>
  <si>
    <t>false</t>
  </si>
  <si>
    <t>marketII_kpi_0_status</t>
  </si>
  <si>
    <t>KPI 0 - status</t>
  </si>
  <si>
    <t>marketII_kpi_0_usage</t>
  </si>
  <si>
    <t>KPI 0 - usage</t>
  </si>
  <si>
    <t>marketII_kpi_1_title</t>
  </si>
  <si>
    <t>KPI 1 - title</t>
  </si>
  <si>
    <t>Khe hở thanh khoản lũy kế 3M</t>
  </si>
  <si>
    <t>marketII_kpi_1_subtitle</t>
  </si>
  <si>
    <t>KPI 1 - subtitle</t>
  </si>
  <si>
    <t>marketII_kpi_1_value</t>
  </si>
  <si>
    <t>KPI 1 - value</t>
  </si>
  <si>
    <t>-29.1</t>
  </si>
  <si>
    <t>marketII_kpi_1_unit</t>
  </si>
  <si>
    <t>KPI 1 - unit</t>
  </si>
  <si>
    <t>marketII_kpi_1_target</t>
  </si>
  <si>
    <t>KPI 1 - target</t>
  </si>
  <si>
    <t>-30</t>
  </si>
  <si>
    <t>marketII_kpi_1_targetLabel</t>
  </si>
  <si>
    <t>KPI 1 - targetLabel</t>
  </si>
  <si>
    <t>marketII_kpi_1_targetUnit</t>
  </si>
  <si>
    <t>KPI 1 - targetUnit</t>
  </si>
  <si>
    <t>marketII_kpi_1_note</t>
  </si>
  <si>
    <t>KPI 1 - note</t>
  </si>
  <si>
    <t>marketII_kpi_1_noLimit</t>
  </si>
  <si>
    <t>KPI 1 - noLimit</t>
  </si>
  <si>
    <t>marketII_kpi_1_status</t>
  </si>
  <si>
    <t>KPI 1 - status</t>
  </si>
  <si>
    <t>marketII_kpi_1_usage</t>
  </si>
  <si>
    <t>KPI 1 - usage</t>
  </si>
  <si>
    <t>marketII_kpi_2_title</t>
  </si>
  <si>
    <t>KPI 2 - title</t>
  </si>
  <si>
    <t>Khe hở tái định giá lũy kế 1M</t>
  </si>
  <si>
    <t>marketII_kpi_2_subtitle</t>
  </si>
  <si>
    <t>KPI 2 - subtitle</t>
  </si>
  <si>
    <t>marketII_kpi_2_value</t>
  </si>
  <si>
    <t>KPI 2 - value</t>
  </si>
  <si>
    <t>-50.9</t>
  </si>
  <si>
    <t>marketII_kpi_2_unit</t>
  </si>
  <si>
    <t>KPI 2 - unit</t>
  </si>
  <si>
    <t>marketII_kpi_2_target</t>
  </si>
  <si>
    <t>KPI 2 - target</t>
  </si>
  <si>
    <t>marketII_kpi_2_targetLabel</t>
  </si>
  <si>
    <t>KPI 2 - targetLabel</t>
  </si>
  <si>
    <t>marketII_kpi_2_targetUnit</t>
  </si>
  <si>
    <t>KPI 2 - targetUnit</t>
  </si>
  <si>
    <t>marketII_kpi_2_note</t>
  </si>
  <si>
    <t>KPI 2 - note</t>
  </si>
  <si>
    <t>Không áp dụng limit; theo dõi xu hướng nhạy cảm lãi suất.</t>
  </si>
  <si>
    <t>marketII_kpi_2_noLimit</t>
  </si>
  <si>
    <t>KPI 2 - noLimit</t>
  </si>
  <si>
    <t>true</t>
  </si>
  <si>
    <t>marketII_kpi_2_status</t>
  </si>
  <si>
    <t>KPI 2 - status</t>
  </si>
  <si>
    <t>marketII_kpi_2_usage</t>
  </si>
  <si>
    <t>KPI 2 - usage</t>
  </si>
  <si>
    <t>marketII_kpi_3_title</t>
  </si>
  <si>
    <t>KPI 3 - title</t>
  </si>
  <si>
    <t>Khe hở tái định giá lũy kế 3M</t>
  </si>
  <si>
    <t>marketII_kpi_3_subtitle</t>
  </si>
  <si>
    <t>KPI 3 - subtitle</t>
  </si>
  <si>
    <t>marketII_kpi_3_value</t>
  </si>
  <si>
    <t>KPI 3 - value</t>
  </si>
  <si>
    <t>-53.7</t>
  </si>
  <si>
    <t>marketII_kpi_3_unit</t>
  </si>
  <si>
    <t>KPI 3 - unit</t>
  </si>
  <si>
    <t>marketII_kpi_3_target</t>
  </si>
  <si>
    <t>KPI 3 - target</t>
  </si>
  <si>
    <t>marketII_kpi_3_targetLabel</t>
  </si>
  <si>
    <t>KPI 3 - targetLabel</t>
  </si>
  <si>
    <t>marketII_kpi_3_targetUnit</t>
  </si>
  <si>
    <t>KPI 3 - targetUnit</t>
  </si>
  <si>
    <t>marketII_kpi_3_note</t>
  </si>
  <si>
    <t>KPI 3 - note</t>
  </si>
  <si>
    <t>marketII_kpi_3_noLimit</t>
  </si>
  <si>
    <t>KPI 3 - noLimit</t>
  </si>
  <si>
    <t>marketII_kpi_3_status</t>
  </si>
  <si>
    <t>KPI 3 - status</t>
  </si>
  <si>
    <t>marketII_kpi_3_usage</t>
  </si>
  <si>
    <t>KPI 3 - usage</t>
  </si>
  <si>
    <t>marketII_kpi_4_title</t>
  </si>
  <si>
    <t>KPI 4 - title</t>
  </si>
  <si>
    <t>Kịch bản dự báo biến động NII trong 3M</t>
  </si>
  <si>
    <t>marketII_kpi_4_subtitle</t>
  </si>
  <si>
    <t>KPI 4 - subtitle</t>
  </si>
  <si>
    <t>(nếu Lãi suất funding tăng thêm 1% so với hiện tại và duy trì trong 3M tới)</t>
  </si>
  <si>
    <t>marketII_kpi_4_value</t>
  </si>
  <si>
    <t>KPI 4 - value</t>
  </si>
  <si>
    <t>-212</t>
  </si>
  <si>
    <t>marketII_kpi_4_unit</t>
  </si>
  <si>
    <t>KPI 4 - unit</t>
  </si>
  <si>
    <t>Tỷ VND</t>
  </si>
  <si>
    <t>marketII_kpi_4_target</t>
  </si>
  <si>
    <t>KPI 4 - target</t>
  </si>
  <si>
    <t>-200</t>
  </si>
  <si>
    <t>marketII_kpi_4_targetLabel</t>
  </si>
  <si>
    <t>KPI 4 - targetLabel</t>
  </si>
  <si>
    <t>marketII_kpi_4_targetUnit</t>
  </si>
  <si>
    <t>KPI 4 - targetUnit</t>
  </si>
  <si>
    <t>tỷ VND</t>
  </si>
  <si>
    <t>marketII_kpi_4_note</t>
  </si>
  <si>
    <t>KPI 4 - note</t>
  </si>
  <si>
    <t>marketII_kpi_4_noLimit</t>
  </si>
  <si>
    <t>KPI 4 - noLimit</t>
  </si>
  <si>
    <t>marketII_kpi_4_status</t>
  </si>
  <si>
    <t>KPI 4 - status</t>
  </si>
  <si>
    <t>marketII_kpi_4_usage</t>
  </si>
  <si>
    <t>KPI 4 - usage</t>
  </si>
  <si>
    <t>Market II insights</t>
  </si>
  <si>
    <t>marketII_insight_0_title</t>
  </si>
  <si>
    <t>Insight 0 - title</t>
  </si>
  <si>
    <t>Thanh khoản lũy kế</t>
  </si>
  <si>
    <t>marketII_insight_0_body</t>
  </si>
  <si>
    <t>Insight 0 - body</t>
  </si>
  <si>
    <t>Khe hở thanh khoản lũy kế 3M âm 29.1 nghìn tỷ VND, chủ yếu do áp lực bucket &lt;1M. Điều này làm tăng áp lực cân nguồn mỗi ngày, đặc biệt khi TT LNH căng thẳng, từ đó phải chấp nhận huy động với lãi suất cao để tái tục nguồn tài trợ cho tài sản chưa đến kỳ đáo hạn.</t>
  </si>
  <si>
    <t>marketII_insight_1_title</t>
  </si>
  <si>
    <t>Insight 1 - title</t>
  </si>
  <si>
    <t>Tái định giá lũy kế</t>
  </si>
  <si>
    <t>marketII_insight_1_body</t>
  </si>
  <si>
    <t>Insight 1 - body</t>
  </si>
  <si>
    <t>Repricing GAP lũy kế 3M âm 53.7 nghìn tỷ VND, cho thấy trạng thái nhạy cảm với biến động lãi suất ngắn hạn.</t>
  </si>
  <si>
    <t>marketII_insight_2_title</t>
  </si>
  <si>
    <t>Insight 2 - title</t>
  </si>
  <si>
    <t>Tác động NII</t>
  </si>
  <si>
    <t>marketII_insight_2_body</t>
  </si>
  <si>
    <t>Insight 2 - body</t>
  </si>
  <si>
    <t>Nếu lãi suất funding tăng thêm 1% so với hiện tại và duy trì trong 3M tới, biến động NII ước tính âm 212 tỷ VND, vượt mục tiêu theo dõi tối đa -200 tỷ VND; mức sử dụng mục tiêu tương ứng 106%.</t>
  </si>
  <si>
    <t>interbank1M</t>
  </si>
  <si>
    <t>usd Vnd</t>
  </si>
  <si>
    <t>omo Outstanding</t>
  </si>
  <si>
    <t>omo Outstanding Dtd</t>
  </si>
  <si>
    <t>omo Net Today</t>
  </si>
  <si>
    <t>omo Net Week</t>
  </si>
  <si>
    <t>omo Net Month</t>
  </si>
  <si>
    <t>omo Net Year</t>
  </si>
  <si>
    <t>omo Maturity7 D</t>
  </si>
  <si>
    <t>&lt;100%: Vàng - Thiếu hụt so với mục tiêu</t>
  </si>
  <si>
    <t>&lt;70%: Đỏ - Cảnh báo suy giảm năng lực ứng phó căng thẳng thanh khoản (tương đương Ngưỡng cảnh báo 8.000 tỷ theo y/c của ALCO</t>
  </si>
  <si>
    <t>&lt;b&gt;Lưu ý:&lt;/b&gt; Danh mục đã về trên ngưỡng cảnh báo 8.000 tỷ nhưng vẫn thấp hơn mức target (là mức được tài trợ từ TT1 để dự phòng các kịch bản rút tiền gửi đột xuất/nghiêm trọng).&lt;br&gt;&lt;span style="color:#344054;font-weight:500;"&gt;Theo đó &lt;b&gt;việc tối ưu Banking book&lt;/b&gt; trong điều kiện bình thường (nếu có) chỉ nên được cân đối ngắn hạn và cần điều chỉnh các kế hoạch cân nguồn để đưa Giá trị danh mục về mức mục tiêu&lt;/span&gt;</t>
  </si>
  <si>
    <t>liquidityReserveWarningThresholdLabel</t>
  </si>
  <si>
    <t>WarningName</t>
  </si>
  <si>
    <t>INPUT</t>
  </si>
  <si>
    <t>liquidityReserveWarningThreshold</t>
  </si>
  <si>
    <t>Ngưỡng</t>
  </si>
  <si>
    <t>Bảng 2 &amp; 3 - Thông tin chi tiết Danh mục</t>
  </si>
  <si>
    <t>Auto</t>
  </si>
  <si>
    <t>Auto Rule</t>
  </si>
  <si>
    <t>Bảng 2 - Tổng quan rủi ro</t>
  </si>
  <si>
    <t>riskOverviewTitle</t>
  </si>
  <si>
    <t>risk Overview Title</t>
  </si>
  <si>
    <t>2. Tổng quan các nội dung rủi ro trọng yếu</t>
  </si>
  <si>
    <t>riskOverviewHeaderRisk</t>
  </si>
  <si>
    <t>risk Overview Header Risk</t>
  </si>
  <si>
    <t>Nội dung rủi ro</t>
  </si>
  <si>
    <t>riskOverviewHeaderStatus</t>
  </si>
  <si>
    <t>risk Overview Header Status</t>
  </si>
  <si>
    <t>riskOverviewHeaderMeaning</t>
  </si>
  <si>
    <t>risk Overview Header Meaning</t>
  </si>
  <si>
    <t>Diễn giải theo ngôn ngữ quản trị</t>
  </si>
  <si>
    <t>riskOverview1Risk</t>
  </si>
  <si>
    <t>risk Overview1 Risk</t>
  </si>
  <si>
    <t>Trạng thái Gbond Trading</t>
  </si>
  <si>
    <t>riskOverview1Status</t>
  </si>
  <si>
    <t>risk Overview1 Status</t>
  </si>
  <si>
    <t>Cần theo dõi</t>
  </si>
  <si>
    <t>riskOverview1Meaning</t>
  </si>
  <si>
    <t>risk Overview1 Meaning</t>
  </si>
  <si>
    <t>Trạng thái chịu RRTT đã giảm, nhưng trên cơ sở giả định các giao dịch bán chưa thanh toán và BO chưa valid sẽ được thực hiện thành công trong tương lai.</t>
  </si>
  <si>
    <t>riskOverview2Risk</t>
  </si>
  <si>
    <t>risk Overview2 Risk</t>
  </si>
  <si>
    <t>MtM / capital impact</t>
  </si>
  <si>
    <t>riskOverview2Status</t>
  </si>
  <si>
    <t>risk Overview2 Status</t>
  </si>
  <si>
    <t>riskOverview2Meaning</t>
  </si>
  <si>
    <t>risk Overview2 Meaning</t>
  </si>
  <si>
    <t>riskOverview3Risk</t>
  </si>
  <si>
    <t>risk Overview3 Risk</t>
  </si>
  <si>
    <t>Yield shock risk</t>
  </si>
  <si>
    <t>riskOverview3Status</t>
  </si>
  <si>
    <t>risk Overview3 Status</t>
  </si>
  <si>
    <t>Cảnh báo trong kịch bản bất lợi</t>
  </si>
  <si>
    <t>riskOverview3Meaning</t>
  </si>
  <si>
    <t>risk Overview3 Meaning</t>
  </si>
  <si>
    <t>Một số kịch bản yield 10Y cao làm vượt hạn mức ItD unrealized PnL; kịch bản NCKT cao có thể khiến tổng lỗ + lỗ tiềm ẩn tăng mạnh.</t>
  </si>
  <si>
    <t>riskOverview4Risk</t>
  </si>
  <si>
    <t>risk Overview4 Risk</t>
  </si>
  <si>
    <t>Funding cost / NIM drag</t>
  </si>
  <si>
    <t>riskOverview4Status</t>
  </si>
  <si>
    <t>risk Overview4 Status</t>
  </si>
  <si>
    <t>riskOverview4Meaning</t>
  </si>
  <si>
    <t>risk Overview4 Meaning</t>
  </si>
  <si>
    <t>Danh mục Bond không chỉ chịu rủi ro giảm giá khi lợi suất tăng mà còn chịu áp lực từ chi phí vốn duy trì ở mức cao, làm gia tăng tác động đồng thời lên lỗ đánh giá lại, vốn yêu cầu và hiệu quả sinh lời.</t>
  </si>
  <si>
    <t>riskOverview5Risk</t>
  </si>
  <si>
    <t>risk Overview5 Risk</t>
  </si>
  <si>
    <t>Banking Book economic loss</t>
  </si>
  <si>
    <t>riskOverview5Status</t>
  </si>
  <si>
    <t>risk Overview5 Status</t>
  </si>
  <si>
    <t>riskOverview5Meaning</t>
  </si>
  <si>
    <t>risk Overview5 Meaning</t>
  </si>
  <si>
    <t>Banking Book không ghi nhận lỗ giá theo PnL, nhưng vẫn có lỗ kinh tế và lỗ NIM; cần xin ý kiến ALCO về cơ chế quản lý phù hợp.</t>
  </si>
  <si>
    <t>Bảng 3 - Thuật ngữ/ngôn ngữ rủi ro</t>
  </si>
  <si>
    <t>termsTitle</t>
  </si>
  <si>
    <t>terms Title</t>
  </si>
  <si>
    <t>3. Diễn giải một số thuật ngữ/ngôn ngữ rủi ro</t>
  </si>
  <si>
    <t>termsHeaderTerm</t>
  </si>
  <si>
    <t>terms Header Term</t>
  </si>
  <si>
    <t>Thuật ngữ/chỉ tiêu</t>
  </si>
  <si>
    <t>termsHeaderTechnical</t>
  </si>
  <si>
    <t>terms Header Technical</t>
  </si>
  <si>
    <t>Cách hiểu kỹ thuật</t>
  </si>
  <si>
    <t>termsHeaderMeaning</t>
  </si>
  <si>
    <t>terms Header Meaning</t>
  </si>
  <si>
    <t>Diễn giải quản trị</t>
  </si>
  <si>
    <t>term1Name</t>
  </si>
  <si>
    <t>term1 Name</t>
  </si>
  <si>
    <t>term1TechnicalPrefix</t>
  </si>
  <si>
    <t>term1 Technical Prefix</t>
  </si>
  <si>
    <t>PV01 Trading =</t>
  </si>
  <si>
    <t>trading P V01</t>
  </si>
  <si>
    <t>term1TechnicalMid</t>
  </si>
  <si>
    <t>term1 Technical Mid</t>
  </si>
  <si>
    <t>, Banking =</t>
  </si>
  <si>
    <t>banking P V01</t>
  </si>
  <si>
    <t>term1MeaningPrefix</t>
  </si>
  <si>
    <t>term1 Meaning Prefix</t>
  </si>
  <si>
    <t>yield Shock Pct</t>
  </si>
  <si>
    <t>term1MeaningMid1</t>
  </si>
  <si>
    <t>term1 Meaning Mid1</t>
  </si>
  <si>
    <t>trading Yield Loss</t>
  </si>
  <si>
    <t>term1MeaningMid2</t>
  </si>
  <si>
    <t>term1 Meaning Mid2</t>
  </si>
  <si>
    <t>banking Yield Loss</t>
  </si>
  <si>
    <t>term1MeaningSuffix</t>
  </si>
  <si>
    <t>term1 Meaning Suffix</t>
  </si>
  <si>
    <t>term2Name</t>
  </si>
  <si>
    <t>term2 Name</t>
  </si>
  <si>
    <t>Unrealized MtM</t>
  </si>
  <si>
    <t>term2TechnicalPrefix</t>
  </si>
  <si>
    <t>term2 Technical Prefix</t>
  </si>
  <si>
    <t>ItD Unrealized PnL -</t>
  </si>
  <si>
    <t>1593</t>
  </si>
  <si>
    <t>term2Meaning</t>
  </si>
  <si>
    <t>term2 Meaning</t>
  </si>
  <si>
    <t>Đây là phần lỗ kinh tế chưa hiện thực hóa; nếu bán/giảm trạng thái sai thời điểm có thể chuyển thành lỗ thực.</t>
  </si>
  <si>
    <t>term3Name</t>
  </si>
  <si>
    <t>term3 Name</t>
  </si>
  <si>
    <t>BO valid / unvalid</t>
  </si>
  <si>
    <t>term3Technical</t>
  </si>
  <si>
    <t>term3 Technical</t>
  </si>
  <si>
    <t>Giao dịch bán chưa được BO xác nhận</t>
  </si>
  <si>
    <t>term3Meaning</t>
  </si>
  <si>
    <t>term3 Meaning</t>
  </si>
  <si>
    <t>Rủi ro xử lý: nếu giao dịch chưa hoàn tất pháp lý/vận hành, trạng thái rủi ro có thể quay lại danh mục.</t>
  </si>
  <si>
    <t>term4NamePrefix</t>
  </si>
  <si>
    <t>term4 Name Prefix</t>
  </si>
  <si>
    <t>Funding rate</t>
  </si>
  <si>
    <t>term4Technical</t>
  </si>
  <si>
    <t>term4 Technical</t>
  </si>
  <si>
    <t>Lỗ NIM theo giả định lãi suất fund</t>
  </si>
  <si>
    <t>term4Meaning</t>
  </si>
  <si>
    <t>term4 Meaning</t>
  </si>
  <si>
    <t>Carry trade trái phiếu đang chịu áp lực vì chi phí vốn cao hơn lợi suất danh mục.</t>
  </si>
  <si>
    <t>term5Name</t>
  </si>
  <si>
    <t>term5 Name</t>
  </si>
  <si>
    <t>Yield scenario</t>
  </si>
  <si>
    <t>term5Technical</t>
  </si>
  <si>
    <t>term5 Technical</t>
  </si>
  <si>
    <t>Yield 10Y tăng theo kịch bản</t>
  </si>
  <si>
    <t>term5Meaning</t>
  </si>
  <si>
    <t>term5 Meaning</t>
  </si>
  <si>
    <t>Nếu mặt bằng yield tiếp tục tăng, ngân hàng chịu áp lực đồng thời về vốn, PnL và định hướng giảm trạng thái.</t>
  </si>
  <si>
    <t>YTM_ON BS</t>
  </si>
  <si>
    <t>Comment</t>
  </si>
  <si>
    <t>Ngưỡng cảnh báo</t>
  </si>
  <si>
    <t>Mức sử dụng so với mục tiêu</t>
  </si>
  <si>
    <t>Lưu ý: Hiện tại, TGĐ đã cho chủ trương xem xét giữ hạn mức ở 45k tỷ. MSB chưa tái đầu tư tăng danh mục FI bond sau khi các FI bond đáo hạn, tổng danh mục hiện tại đang ở quanh vùng 40k tỷ, đã bao gồm 637 tr KGS Trái phiếu của Kyrzystan MSB trúng thầu vào ngày 13/07 (tương đương 191 tỷ VND)</t>
  </si>
  <si>
    <t>, giá trị danh mục Trading Book giảm khoảng</t>
  </si>
  <si>
    <t>2026-07-31</t>
  </si>
  <si>
    <t>2026-08-03</t>
  </si>
  <si>
    <t>2026-08-04</t>
  </si>
  <si>
    <t>2026-08-05</t>
  </si>
  <si>
    <t>bỏ</t>
  </si>
  <si>
    <t>select RptDate,Indicators,Input_data,Class,Actual from GS_RRTT.dbo.Bond_Trading_Historical
where Indicators in ('ON BS','OFF BS','NGOAI BS','YTM_ON BS')
and Rptdate &gt;=</t>
  </si>
  <si>
    <t>select RptDate, Indicators, Product, Actual
from GS_RRTT.dbo.FIBond_Historical
where Product in ('FI Bond', 'CD')
and Indicators = 'Face value'
and Issuer = ''
and Tenor = ''
and Rptdate &gt;=</t>
  </si>
  <si>
    <t>select RptDate, Indicators, Product, Actual
from GS_RRTT.dbo.FIBond_Historical
where Indicators in ('Face value','YTM binh quan')
and Product like '% BS'
and Rptdate &gt;=</t>
  </si>
  <si>
    <t>select RptDate,Indicators,Average from GS_RRTT.dbo.All_Marketdata_Historical
where Class = 'LNH' and Indicators like '%VND'
 and Rptdate &gt;=</t>
  </si>
  <si>
    <t>select RptDate,Indicators,Actual
from GS_RRTT.dbo.Bond_Trading_Historical
where indicators in ('Realized off BS', 'Realized ngoai BS')
and Rptdate &gt;=</t>
  </si>
  <si>
    <t>BOND.1</t>
  </si>
  <si>
    <t>BOND.2</t>
  </si>
  <si>
    <t>BOND.3</t>
  </si>
  <si>
    <t>BOND.4</t>
  </si>
  <si>
    <t>BOND.5</t>
  </si>
  <si>
    <t>BOND.6</t>
  </si>
  <si>
    <t>BOND.7</t>
  </si>
  <si>
    <t>BOND.8</t>
  </si>
  <si>
    <t>BOND.9</t>
  </si>
  <si>
    <t>BOND.10</t>
  </si>
  <si>
    <t>BOND.11</t>
  </si>
  <si>
    <t>BOND.12</t>
  </si>
  <si>
    <t>BOND.13</t>
  </si>
  <si>
    <t>select RptDate, Indicators, Class,Tenor_Value,Actual
from GS_RRTT.dbo.Bond_Trading_Historical a
where Indicators like '%Trang thai mo' 
and Tenor_Value = '' and Class = 'All' and Input_data = 'Spot'
and Rptdate &gt;=</t>
  </si>
  <si>
    <t>select RptDate, Indicators, Tenor_Value,Actual
from GS_RRTT.dbo.Bond_Trading_Historical a
where Indicators = 'PV01' 
and Tenor_Value = '' 
and Class = 'All'
and Input_data = 'Spot'
and Rptdate &gt;=</t>
  </si>
  <si>
    <t>select RptDate,Indicators,Tenor_Value, Rpt_Grp,Actual
from GS_RRTT.dbo.Bond_Banking_Historical
where  Indicators = 'PV01' 
and Tenor_Value = '' 
and Class = 'All'
and Input_data = 'Spot'
and Rptdate &gt;=</t>
  </si>
  <si>
    <t xml:space="preserve"> select RptDate, Indicators,Tenor_Value, Actual
from GS_RRTT.dbo.Bond_Trading_Historical a
where Indicators = 'Unrealized_ItD_MtM_PnL' 
and Tenor_Value = '' 
and Class = 'All'
and Input_data = 'Spot'
and Rptdate &gt;=</t>
  </si>
  <si>
    <t xml:space="preserve"> select RptDate, Indicators,Tenor_Value, Actual
from GS_RRTT.dbo.Bond_Banking_Historical a
where Indicators = 'ItD Unrealized PnL' 
and Tenor_Value = '' 
and Class = 'All'
and Input_data = 'Spot'
and Rptdate &gt;=</t>
  </si>
  <si>
    <t>Face value FIBond</t>
  </si>
  <si>
    <t>FIBond On/Off/Ngoai BS &amp; YTM</t>
  </si>
  <si>
    <t>7. On, off BS - Trading book</t>
  </si>
  <si>
    <t>8. Trang thai FI Bond</t>
  </si>
  <si>
    <t>9. FIBond On/Off/Ngoai BS &amp; YTM</t>
  </si>
  <si>
    <t>10. Available bond</t>
  </si>
  <si>
    <t>Ước tính NIM: Trạng thái nội bảng + YTM ước tính</t>
  </si>
  <si>
    <t>14.  QLHS</t>
  </si>
  <si>
    <t xml:space="preserve">a. Cơ cấu sử dụng TPTKC </t>
  </si>
  <si>
    <t xml:space="preserve">Giá trị ngày báo cáo </t>
  </si>
  <si>
    <t xml:space="preserve">Dự báo </t>
  </si>
  <si>
    <t xml:space="preserve">Giao dịch dự kiến thực hiện </t>
  </si>
  <si>
    <t>Tổng TPTKC</t>
  </si>
  <si>
    <t>1. Available Bond 1M</t>
  </si>
  <si>
    <t>1.1 Danh mục DT TPCP</t>
  </si>
  <si>
    <t>1.2 (+) TPCP nhận về từ GD Reversed-repo</t>
  </si>
  <si>
    <t>1.3 (-) Sử dụng để vay Repo</t>
  </si>
  <si>
    <t>1.4 (-) Sử dụng để vay OMO</t>
  </si>
  <si>
    <t xml:space="preserve">1.5 (-) Sử dụng để cầm cố tại TCTD khác </t>
  </si>
  <si>
    <t>1.6 (-) Cầm cố cho HMNR + NAPAS</t>
  </si>
  <si>
    <t>2. Chênh lệch giá trị vốn hóa và facevalue</t>
  </si>
  <si>
    <t>Tổng giá trị mệnh giá</t>
  </si>
  <si>
    <t xml:space="preserve">3. Danh mục Unrealized [Buy (+)/Sell (-)] </t>
  </si>
  <si>
    <t xml:space="preserve">3.1 (-) Unrealized Sell </t>
  </si>
  <si>
    <t>3.2 (+) Unrealized Buy</t>
  </si>
  <si>
    <t>b. Cơ cấu dự trữ  TPTKC</t>
  </si>
  <si>
    <t>Mệnh giá</t>
  </si>
  <si>
    <t>HLA in Normal</t>
  </si>
  <si>
    <t>HLA in Stress</t>
  </si>
  <si>
    <t>1. TP Lưu ký mở HM Thấu chi SBV</t>
  </si>
  <si>
    <t>TP sử dụng để vay thấu chi với SBV</t>
  </si>
  <si>
    <t>2. TP lưu ký được cầm cố mở HM với TCTD khác</t>
  </si>
  <si>
    <t>TP sử dụng để vay cầm cố cho KH tại SBV + VSD chưa sử dụng</t>
  </si>
  <si>
    <t>3. TP lưu ký đặt tại SBV sẵn sàng tham gia OMO</t>
  </si>
  <si>
    <t xml:space="preserve">TP sử dụng để vay OMO với SBV nhưng chưa sử dụng </t>
  </si>
  <si>
    <t>4. TP tại VSD đã cam kết bán/repo</t>
  </si>
  <si>
    <t>Là Bond available (chưa sử dụng) nhưng đã ký cam kết bán/repo</t>
  </si>
  <si>
    <t>5. TP lưu ký sẵn sàng khác tại VSD</t>
  </si>
  <si>
    <t>Số dư khả dụng còn lại (chưa cam kết)</t>
  </si>
  <si>
    <t>6. Tổng Trái phiếu thanh khoản cao</t>
  </si>
  <si>
    <t>Net Unrealized [Buy (+)/Sell (-)] cho T+1</t>
  </si>
  <si>
    <t>Total Sell_Unrealized</t>
  </si>
  <si>
    <t>Total Buy_Unrealized</t>
  </si>
  <si>
    <t>Stt</t>
  </si>
  <si>
    <t>Biến động số dư BS TT2</t>
  </si>
  <si>
    <t>Số dư BS TT2</t>
  </si>
  <si>
    <t>Tỷ trọng</t>
  </si>
  <si>
    <t>1M</t>
  </si>
  <si>
    <t>1-3M</t>
  </si>
  <si>
    <t>3-6M</t>
  </si>
  <si>
    <t>6-12M</t>
  </si>
  <si>
    <t>12M</t>
  </si>
  <si>
    <t>Lãi suất bình quân</t>
  </si>
  <si>
    <t>Gbond_Trading (On BS)</t>
  </si>
  <si>
    <t>Gbond_Banking (On BS)</t>
  </si>
  <si>
    <t>Gbond_Phụ trội chiết khấu</t>
  </si>
  <si>
    <t>FIBond</t>
  </si>
  <si>
    <t xml:space="preserve">Interbank Lending </t>
  </si>
  <si>
    <t>Mproduct Lending</t>
  </si>
  <si>
    <t>Other Assets</t>
  </si>
  <si>
    <t>I</t>
  </si>
  <si>
    <t>TOTAL ASSETS (USE OF FUNDING)</t>
  </si>
  <si>
    <t>Repo/OMO</t>
  </si>
  <si>
    <t>Interbank borrowing</t>
  </si>
  <si>
    <t>Casa Fund FI</t>
  </si>
  <si>
    <t>PHGTCG</t>
  </si>
  <si>
    <t>Other Liabilities</t>
  </si>
  <si>
    <t>Vốn TT1 tài trợ Gbond Banking</t>
  </si>
  <si>
    <t>II</t>
  </si>
  <si>
    <t>TOTAL LIABILITIES (FUNDING SOURCES)</t>
  </si>
  <si>
    <t>III</t>
  </si>
  <si>
    <t>IV</t>
  </si>
  <si>
    <t>V</t>
  </si>
  <si>
    <t>Nhập Asset và Liability từ Excessive mà BSM gửi update nhất hàng ngày</t>
  </si>
  <si>
    <t xml:space="preserve">Trừ ngược với các giá trị xác định được từ báo cáo để ra phần Other Assets và Other Liability </t>
  </si>
  <si>
    <t>-&gt; Đảm bảo dư thừa khớp Excessive của  BSM</t>
  </si>
  <si>
    <t>Group</t>
  </si>
  <si>
    <t>Description</t>
  </si>
  <si>
    <t>How to use</t>
  </si>
  <si>
    <t>Module</t>
  </si>
  <si>
    <t>Field name</t>
  </si>
  <si>
    <t>Type</t>
  </si>
  <si>
    <t>Loại key</t>
  </si>
  <si>
    <t>Ví dụ giá trị hợp lệ</t>
  </si>
  <si>
    <t>Ghi chú</t>
  </si>
  <si>
    <t>moduleNav_aiRecommend</t>
  </si>
  <si>
    <t>AI Module</t>
  </si>
  <si>
    <t>Tên tab menu module AI</t>
  </si>
  <si>
    <t>Sửa cột Value rồi import sheet Data Import vào HTML. Các key format dùng giá trị CSS như #RRGGBB, px, số độ đậm, hoặc font-family.</t>
  </si>
  <si>
    <t>Navigation</t>
  </si>
  <si>
    <t>Text</t>
  </si>
  <si>
    <t>Manual</t>
  </si>
  <si>
    <t>Color</t>
  </si>
  <si>
    <t>#F04438</t>
  </si>
  <si>
    <t>Dùng mã màu HEX để kiểm soát màu chữ/viền/nhấn.</t>
  </si>
  <si>
    <t>aiRecommendModuleTitle</t>
  </si>
  <si>
    <t>Tên module AI</t>
  </si>
  <si>
    <t>Module Header</t>
  </si>
  <si>
    <t>Font family</t>
  </si>
  <si>
    <t>Inter, Arial, sans-serif</t>
  </si>
  <si>
    <t>Nên giữ font fallback sau dấu phẩy.</t>
  </si>
  <si>
    <t>aiRecommendModuleDesc</t>
  </si>
  <si>
    <t>Mô tả module AI</t>
  </si>
  <si>
    <t>Tiêu đề phụ / mô tả module</t>
  </si>
  <si>
    <t>Font size</t>
  </si>
  <si>
    <t>13px / 14px / 20px</t>
  </si>
  <si>
    <t>Dùng đơn vị px để HTML nhận chính xác.</t>
  </si>
  <si>
    <t>aiRecommendModuleBadge</t>
  </si>
  <si>
    <t>Badge nhỏ trong module AI</t>
  </si>
  <si>
    <t>Badge module</t>
  </si>
  <si>
    <t>Font weight</t>
  </si>
  <si>
    <t>400 / 500 / 600 / 700 / 850 / 900</t>
  </si>
  <si>
    <t>Số càng lớn chữ càng đậm.</t>
  </si>
  <si>
    <t>aiRecommendTitle</t>
  </si>
  <si>
    <t>Tiêu đề chính trước khi gen checklist</t>
  </si>
  <si>
    <t>Hero</t>
  </si>
  <si>
    <t>Gradient</t>
  </si>
  <si>
    <t>linear-gradient(90deg,#F04438,#F79009)</t>
  </si>
  <si>
    <t>Chỉ dùng cho key hỗ trợ gradient.</t>
  </si>
  <si>
    <t>aiRecommendDisclaimerHtml</t>
  </si>
  <si>
    <t>Nội dung disclaimer; HTML chỉ bôi đỏ/đậm chữ Disclaimer nếu HTML có CSS tương ứng</t>
  </si>
  <si>
    <t>Disclaimer dưới tiêu đề chính</t>
  </si>
  <si>
    <t>HTML</t>
  </si>
  <si>
    <t>Disclaimer</t>
  </si>
  <si>
    <t>&lt;b&gt;Disclaimer:&lt;/b&gt; ...</t>
  </si>
  <si>
    <t>Chỉ phần nằm trong thẻ &lt;b&gt;...&lt;/b&gt; được HTML bôi đỏ/đậm nếu CSS hỗ trợ.</t>
  </si>
  <si>
    <t>aiRecommendSubtitle</t>
  </si>
  <si>
    <t>Subtitle module AI</t>
  </si>
  <si>
    <t>Tiêu đề phụ dưới disclaimer</t>
  </si>
  <si>
    <t>aiRecommendBackButton</t>
  </si>
  <si>
    <t>Nút quay lại checklist trước</t>
  </si>
  <si>
    <t>Controls</t>
  </si>
  <si>
    <t>aiRecommendViewLeadership</t>
  </si>
  <si>
    <t>Tên view lãnh đạo</t>
  </si>
  <si>
    <t>Nút view lãnh đạo</t>
  </si>
  <si>
    <t>aiRecommendViewSupervision</t>
  </si>
  <si>
    <t>Tên view giám sát/khuyến nghị</t>
  </si>
  <si>
    <t>Nút view giám sát/khuyến nghị</t>
  </si>
  <si>
    <t>aiRecommendViewExecution</t>
  </si>
  <si>
    <t>Tên view đơn vị thực hiện</t>
  </si>
  <si>
    <t>Nút view đơn vị thực hiện</t>
  </si>
  <si>
    <t>aiRecommendClearButton</t>
  </si>
  <si>
    <t>Nút xóa checklist hiện tại</t>
  </si>
  <si>
    <t>aiRecommendGenerateButton</t>
  </si>
  <si>
    <t>Nút gen checklist mới</t>
  </si>
  <si>
    <t>Nút Generate checklist mới</t>
  </si>
  <si>
    <t>aiRecommendStatusIdle</t>
  </si>
  <si>
    <t>Trạng thái ban đầu</t>
  </si>
  <si>
    <t>Trạng thái khi chưa gen</t>
  </si>
  <si>
    <t>aiRecommendStatusCleared</t>
  </si>
  <si>
    <t>Trạng thái sau khi xóa checklist</t>
  </si>
  <si>
    <t>Trạng thái sau khi xóa</t>
  </si>
  <si>
    <t>aiRecommendEmptyText</t>
  </si>
  <si>
    <t>Nội dung empty state</t>
  </si>
  <si>
    <t>Thông báo vùng output trống</t>
  </si>
  <si>
    <t>aiRecommendScanLabel</t>
  </si>
  <si>
    <t>Nhãn thời điểm scan</t>
  </si>
  <si>
    <t>Generated View Labels</t>
  </si>
  <si>
    <t>Nhãn box góc nhìn rà soát</t>
  </si>
  <si>
    <t>aiRecommendViewLabel</t>
  </si>
  <si>
    <t>Nhãn lựa chọn view</t>
  </si>
  <si>
    <t>Nhãn view trong kết quả</t>
  </si>
  <si>
    <t>aiRecommendScanNote</t>
  </si>
  <si>
    <t>Ghi chú dữ liệu được scan lại</t>
  </si>
  <si>
    <t>Ghi chú dữ liệu được rà soát lại</t>
  </si>
  <si>
    <t>aiRecommendFocusTitle</t>
  </si>
  <si>
    <t>Tiêu đề nhóm highlight</t>
  </si>
  <si>
    <t>Tiêu đề khối điểm cần nhìn trước</t>
  </si>
  <si>
    <t>aiRecommendSnapshotMtmLimit</t>
  </si>
  <si>
    <t>Nhãn box highlight MtM</t>
  </si>
  <si>
    <t>Highlight Boxes</t>
  </si>
  <si>
    <t>Tên box highlight MtM / Limit</t>
  </si>
  <si>
    <t>aiRecommendSnapshotWorstCase</t>
  </si>
  <si>
    <t>Nhãn box highlight worst case</t>
  </si>
  <si>
    <t>Tên box highlight Worst case MtM</t>
  </si>
  <si>
    <t>aiRecommendSnapshotAvailableGbond</t>
  </si>
  <si>
    <t>Nhãn box highlight available Gbond</t>
  </si>
  <si>
    <t>Tên box highlight Available Gbond</t>
  </si>
  <si>
    <t>aiRecommendSnapshotFiBondCd</t>
  </si>
  <si>
    <t>Nhãn box highlight Bond&amp;CD-FI</t>
  </si>
  <si>
    <t>Tên box highlight Bond&amp;CD-FI</t>
  </si>
  <si>
    <t>aiRecommendSnapshotMarketIINii</t>
  </si>
  <si>
    <t>Nhãn box highlight Market II NII</t>
  </si>
  <si>
    <t>Tên box highlight Market II NII</t>
  </si>
  <si>
    <t>executiveTitleColor</t>
  </si>
  <si>
    <t>Executive Format</t>
  </si>
  <si>
    <t>Màu chữ tiêu đề Executive Messages</t>
  </si>
  <si>
    <t>executiveTitleFontFamily</t>
  </si>
  <si>
    <t>Font chữ tiêu đề Executive Messages</t>
  </si>
  <si>
    <t>executiveTitleFontSize</t>
  </si>
  <si>
    <t>Cỡ chữ tiêu đề Executive Messages</t>
  </si>
  <si>
    <t>executiveTitleFontWeight</t>
  </si>
  <si>
    <t>Độ đậm tiêu đề Executive Messages</t>
  </si>
  <si>
    <t>executiveHeadingDetailGradient</t>
  </si>
  <si>
    <t>Màu/gradient phần thông tin nhấn sau dấu ':' trong Executive Messages</t>
  </si>
  <si>
    <t>executiveHeadingDetailFontSize</t>
  </si>
  <si>
    <t>Cỡ chữ phần thông tin nhấn sau dấu ':'</t>
  </si>
  <si>
    <t>executiveHeadingDetailFontWeight</t>
  </si>
  <si>
    <t>Độ đậm phần thông tin nhấn sau dấu ':'</t>
  </si>
  <si>
    <t>executiveMessageTitleColor</t>
  </si>
  <si>
    <t>Màu chữ tiêu đề các thông điệp trọng tâm</t>
  </si>
  <si>
    <t>executiveMessageTitleFontFamily</t>
  </si>
  <si>
    <t>Font chữ tiêu đề các thông điệp trọng tâm</t>
  </si>
  <si>
    <t>executiveMessageTitleFontSize</t>
  </si>
  <si>
    <t>Cỡ chữ tiêu đề các thông điệp trọng tâm</t>
  </si>
  <si>
    <t>executiveMessageTitleFontWeight</t>
  </si>
  <si>
    <t>Độ đậm tiêu đề các thông điệp trọng tâm</t>
  </si>
  <si>
    <t>executiveMessageBodyColor</t>
  </si>
  <si>
    <t>Màu chữ nội dung thông điệp trọng tâm</t>
  </si>
  <si>
    <t>executiveMessageBodyFontFamily</t>
  </si>
  <si>
    <t>Font chữ nội dung thông điệp trọng tâm</t>
  </si>
  <si>
    <t>executiveMessageBodyFontSize</t>
  </si>
  <si>
    <t>Cỡ chữ nội dung thông điệp trọng tâm</t>
  </si>
  <si>
    <t>executiveMessageBodyFontWeight</t>
  </si>
  <si>
    <t>Độ đậm nội dung thông điệp trọng tâm</t>
  </si>
  <si>
    <t>executiveMessageBodyLineHeight</t>
  </si>
  <si>
    <t>Giãn dòng nội dung thông điệp trọng tâm</t>
  </si>
  <si>
    <t>executiveMsg1Color</t>
  </si>
  <si>
    <t>Màu nhấn thông điệp trọng tâm 1</t>
  </si>
  <si>
    <t>executiveMsg2Color</t>
  </si>
  <si>
    <t>Màu nhấn thông điệp trọng tâm 2</t>
  </si>
  <si>
    <t>executiveMsg3Color</t>
  </si>
  <si>
    <t>Màu nhấn thông điệp trọng tâm 3</t>
  </si>
  <si>
    <t>executiveMsg4Color</t>
  </si>
  <si>
    <t>Màu nhấn thông điệp trọng tâm 4</t>
  </si>
  <si>
    <t>importQualityCheckTitle</t>
  </si>
  <si>
    <t>Import AI Check</t>
  </si>
  <si>
    <t>Tiêu đề khối kiểm tra bất thường trong module Import</t>
  </si>
  <si>
    <t>importQualityCheckDesc</t>
  </si>
  <si>
    <t>Mô tả khối kiểm tra bất thường</t>
  </si>
  <si>
    <t>importQualityCheckButton</t>
  </si>
  <si>
    <t>Nhãn nút kiểm tra bất thường</t>
  </si>
  <si>
    <t>importQualityStatusPending</t>
  </si>
  <si>
    <t>Trạng thái lỗi còn tồn tại sau lần scan</t>
  </si>
  <si>
    <t>importQualityStatusDone</t>
  </si>
  <si>
    <t>Trạng thái lỗi đã hết sau lần scan lại</t>
  </si>
  <si>
    <t>moduleNavLabel</t>
  </si>
  <si>
    <t>Tên module</t>
  </si>
  <si>
    <t>Label thanh menu module</t>
  </si>
  <si>
    <t>moduleNav_executive</t>
  </si>
  <si>
    <t>Tên tab module Executive Messages</t>
  </si>
  <si>
    <t>moduleNav_detailPortfolio</t>
  </si>
  <si>
    <t>Tên tab module Thông tin chi tiết Danh mục</t>
  </si>
  <si>
    <t>moduleNav_market</t>
  </si>
  <si>
    <t>Tên tab module Thông tin thị trường</t>
  </si>
  <si>
    <t>moduleNav_marketII</t>
  </si>
  <si>
    <t>Tên tab module Cơ cấu dòng tiền Market II</t>
  </si>
  <si>
    <t>moduleNav_import</t>
  </si>
  <si>
    <t>Tên tab module Import Data</t>
  </si>
  <si>
    <t>moduleNav_print</t>
  </si>
  <si>
    <t>Tên nút In / PDF trên thanh menu</t>
  </si>
  <si>
    <t>Executive Messages</t>
  </si>
  <si>
    <t>Ghi chú khi vượt hạn mức Trading Book</t>
  </si>
  <si>
    <t>.</t>
  </si>
  <si>
    <t>moduleHeading_market</t>
  </si>
  <si>
    <t>Thông tin thị trường</t>
  </si>
  <si>
    <t>Tiêu đề heading module Thông tin thị trường</t>
  </si>
  <si>
    <t>moduleDesc_market</t>
  </si>
  <si>
    <t>Mô tả heading module Thông tin thị trường</t>
  </si>
  <si>
    <t>moduleDesc_marketUpdateLabel</t>
  </si>
  <si>
    <t>Nhãn cập nhật trong heading module Thông tin thị trường</t>
  </si>
  <si>
    <t>marketUpdateTime</t>
  </si>
  <si>
    <t>market Update Time</t>
  </si>
  <si>
    <t>marketRiskSignal</t>
  </si>
  <si>
    <t>market Risk Signal</t>
  </si>
  <si>
    <t>marketCommentary</t>
  </si>
  <si>
    <t>market Commentary</t>
  </si>
  <si>
    <t>gbondYield2Y</t>
  </si>
  <si>
    <t>gbond Yield2 Y</t>
  </si>
  <si>
    <t>gbondYield2YDTD</t>
  </si>
  <si>
    <t>gbond Yield2 Y D T D</t>
  </si>
  <si>
    <t>gbondYield2YWTD</t>
  </si>
  <si>
    <t>gbond Yield2 Y W T D</t>
  </si>
  <si>
    <t>gbondYield2YMTD</t>
  </si>
  <si>
    <t>gbond Yield2 Y M T D</t>
  </si>
  <si>
    <t>gbondYield2YYTD</t>
  </si>
  <si>
    <t>gbond Yield2 Y Y T D</t>
  </si>
  <si>
    <t>gbondYield5Y</t>
  </si>
  <si>
    <t>gbond Yield5 Y</t>
  </si>
  <si>
    <t>gbondYield5YDTD</t>
  </si>
  <si>
    <t>gbond Yield5 Y D T D</t>
  </si>
  <si>
    <t>gbondYield5YWTD</t>
  </si>
  <si>
    <t>gbond Yield5 Y W T D</t>
  </si>
  <si>
    <t>gbondYield5YMTD</t>
  </si>
  <si>
    <t>gbond Yield5 Y M T D</t>
  </si>
  <si>
    <t>gbondYield5YYTD</t>
  </si>
  <si>
    <t>gbond Yield5 Y Y T D</t>
  </si>
  <si>
    <t>gbondYield10Y</t>
  </si>
  <si>
    <t>gbond Yield10 Y</t>
  </si>
  <si>
    <t>gbondYield10YDTD</t>
  </si>
  <si>
    <t>gbond Yield10 Y D T D</t>
  </si>
  <si>
    <t>gbondYield10YWTD</t>
  </si>
  <si>
    <t>gbond Yield10 Y W T D</t>
  </si>
  <si>
    <t>gbondYield10YMTD</t>
  </si>
  <si>
    <t>gbond Yield10 Y M T D</t>
  </si>
  <si>
    <t>gbondYield10YYTD</t>
  </si>
  <si>
    <t>gbond Yield10 Y Y T D</t>
  </si>
  <si>
    <t>interbankON</t>
  </si>
  <si>
    <t>interbank O N</t>
  </si>
  <si>
    <t>interbankONDTD</t>
  </si>
  <si>
    <t>interbank O N D T D</t>
  </si>
  <si>
    <t>interbankONWTD</t>
  </si>
  <si>
    <t>interbank O N W T D</t>
  </si>
  <si>
    <t>interbankONMTD</t>
  </si>
  <si>
    <t>interbank O N M T D</t>
  </si>
  <si>
    <t>interbankONYTD</t>
  </si>
  <si>
    <t>interbank O N Y T D</t>
  </si>
  <si>
    <t>interbank1 W</t>
  </si>
  <si>
    <t>interbank1WDTD</t>
  </si>
  <si>
    <t>interbank1 W D T D</t>
  </si>
  <si>
    <t>interbank1WWTD</t>
  </si>
  <si>
    <t>interbank1 W W T D</t>
  </si>
  <si>
    <t>interbank1WMTD</t>
  </si>
  <si>
    <t>interbank1 W M T D</t>
  </si>
  <si>
    <t>interbank1WYTD</t>
  </si>
  <si>
    <t>interbank1 W Y T D</t>
  </si>
  <si>
    <t>interbank2 W</t>
  </si>
  <si>
    <t>interbank2WDTD</t>
  </si>
  <si>
    <t>interbank2 W D T D</t>
  </si>
  <si>
    <t>interbank2WWTD</t>
  </si>
  <si>
    <t>interbank2 W W T D</t>
  </si>
  <si>
    <t>interbank2WMTD</t>
  </si>
  <si>
    <t>interbank2 W M T D</t>
  </si>
  <si>
    <t>interbank2WYTD</t>
  </si>
  <si>
    <t>interbank2 W Y T D</t>
  </si>
  <si>
    <t>interbank1 M</t>
  </si>
  <si>
    <t>interbank1MDTD</t>
  </si>
  <si>
    <t>interbank1 M D T D</t>
  </si>
  <si>
    <t>interbank1MWTD</t>
  </si>
  <si>
    <t>interbank1 M W T D</t>
  </si>
  <si>
    <t>interbank1MMTD</t>
  </si>
  <si>
    <t>interbank1 M M T D</t>
  </si>
  <si>
    <t>interbank1MYTD</t>
  </si>
  <si>
    <t>interbank1 M Y T D</t>
  </si>
  <si>
    <t>usdVnd</t>
  </si>
  <si>
    <t>usdVndDTD</t>
  </si>
  <si>
    <t>usd Vnd D T D</t>
  </si>
  <si>
    <t>usdVndWTD</t>
  </si>
  <si>
    <t>usd Vnd W T D</t>
  </si>
  <si>
    <t>usdVndMTD</t>
  </si>
  <si>
    <t>usd Vnd M T D</t>
  </si>
  <si>
    <t>usdVndYTD</t>
  </si>
  <si>
    <t>usd Vnd Y T D</t>
  </si>
  <si>
    <t>omoOutstanding</t>
  </si>
  <si>
    <t>omoOutstandingDtd</t>
  </si>
  <si>
    <t>omoNetToday</t>
  </si>
  <si>
    <t>omoNetWeek</t>
  </si>
  <si>
    <t>omoNetMonth</t>
  </si>
  <si>
    <t>omoNetYear</t>
  </si>
  <si>
    <t>omoMaturity7D</t>
  </si>
  <si>
    <t>Thông tin chi tiết Danh mục</t>
  </si>
  <si>
    <t>Row</t>
  </si>
  <si>
    <t>detailPortfolioTitle</t>
  </si>
  <si>
    <t>Header/Tiêu đề</t>
  </si>
  <si>
    <t>Tiêu đề module</t>
  </si>
  <si>
    <t>Text tùy biến</t>
  </si>
  <si>
    <t>detailPortfolioDesc</t>
  </si>
  <si>
    <t>Mô tả module</t>
  </si>
  <si>
    <t>bankingGbondPledgeSectionTitle</t>
  </si>
  <si>
    <t>Tiêu đề bảng 1.1</t>
  </si>
  <si>
    <t>bankingGbondPledgeHeaderMetric</t>
  </si>
  <si>
    <t>Header 1.1 - Chỉ tiêu</t>
  </si>
  <si>
    <t>bankingGbondPledgeHeaderValue</t>
  </si>
  <si>
    <t>Header 1.1 - Giá trị</t>
  </si>
  <si>
    <t>bankingGbondPledgeHeaderDtd</t>
  </si>
  <si>
    <t>Header 1.1 - +/- Dtd</t>
  </si>
  <si>
    <t>bankingGbondPledgeHeaderRatio</t>
  </si>
  <si>
    <t>Header 1.1 - Tỷ trọng</t>
  </si>
  <si>
    <t>bankingGbondPledgeHeaderUsage</t>
  </si>
  <si>
    <t>Header 1.1 - Mức độ sử dụng</t>
  </si>
  <si>
    <t>availableGbondSectionTitle</t>
  </si>
  <si>
    <t>Tiêu đề bảng 1.2</t>
  </si>
  <si>
    <t>availableGbondHeaderComponent</t>
  </si>
  <si>
    <t>Header 1.2 - Cấu phần</t>
  </si>
  <si>
    <t>availableGbondHeaderValue</t>
  </si>
  <si>
    <t>Header 1.2 - Giá trị</t>
  </si>
  <si>
    <t>availableGbondHeaderRatio</t>
  </si>
  <si>
    <t>Header 1.2 - Tỷ trọng</t>
  </si>
  <si>
    <t>availableGbondHeaderUsage</t>
  </si>
  <si>
    <t>Header 1.2 - Mức độ sử dụng</t>
  </si>
  <si>
    <t>availableGbondHeaderMeaning</t>
  </si>
  <si>
    <t>Header 1.2 - Diễn giải quản trị</t>
  </si>
  <si>
    <t>systemFundedBankingGbondLabel</t>
  </si>
  <si>
    <t>1.1 Cơ cấu sử dụng Banking Gbond</t>
  </si>
  <si>
    <t>(+) Banking Gbond được tài trợ bởi Hệ thống</t>
  </si>
  <si>
    <t>systemFundedBankingGbond</t>
  </si>
  <si>
    <t>systemFundedBankingGbondDtd</t>
  </si>
  <si>
    <t>+/- Dtd</t>
  </si>
  <si>
    <t>systemFundedBankingGbondRatio</t>
  </si>
  <si>
    <t>Tỷ trọng</t>
  </si>
  <si>
    <t>systemFundedBankingGbondRatioOverride</t>
  </si>
  <si>
    <t>reverseRepoReceivedGbondLabel</t>
  </si>
  <si>
    <t>(+) Gbond đã nhận trong giao dịch Reverse Repo</t>
  </si>
  <si>
    <t>reverseRepoReceivedGbond</t>
  </si>
  <si>
    <t>reverseRepoReceivedGbondDtd</t>
  </si>
  <si>
    <t>reverseRepoReceivedGbondRatio</t>
  </si>
  <si>
    <t>reverseRepoReceivedGbondRatioOverride</t>
  </si>
  <si>
    <t>pledgedNapasBankingGbondLabel</t>
  </si>
  <si>
    <t>(-) Đã cầm cố kênh thanh toán Hạn mức nợ ròng/Napas</t>
  </si>
  <si>
    <t>pledgedNapasBankingGbond</t>
  </si>
  <si>
    <t>pledgedNapasBankingGbondDtd</t>
  </si>
  <si>
    <t>pledgedNapasBankingGbondRatio</t>
  </si>
  <si>
    <t>pledgedNapasBankingGbondRatioOverride</t>
  </si>
  <si>
    <t>pledgedOMOBankingGbondLabel</t>
  </si>
  <si>
    <t>(-) Đã sử dụng để vay OMO</t>
  </si>
  <si>
    <t>pledgedOMOBankingGbond</t>
  </si>
  <si>
    <t>pledgedOMOBankingGbondDtd</t>
  </si>
  <si>
    <t>pledgedOMOBankingGbondRatio</t>
  </si>
  <si>
    <t>pledgedOMOBankingGbondRatioOverride</t>
  </si>
  <si>
    <t>pledgedRepoBankingGbondLabel</t>
  </si>
  <si>
    <t>(-) Đã sử dụng để vay REPO</t>
  </si>
  <si>
    <t>pledgedRepoBankingGbond</t>
  </si>
  <si>
    <t>pledgedRepoBankingGbondDtd</t>
  </si>
  <si>
    <t>pledgedRepoBankingGbondRatio</t>
  </si>
  <si>
    <t>pledgedRepoBankingGbondRatioOverride</t>
  </si>
  <si>
    <t>pledgedSecuredTCTDBankingGbondLabel</t>
  </si>
  <si>
    <t>(-) Đã cầm cố vay có đảm bảo tại TCTD khác</t>
  </si>
  <si>
    <t>pledgedSecuredTCTDBankingGbond</t>
  </si>
  <si>
    <t>pledgedSecuredTCTDBankingGbondDtd</t>
  </si>
  <si>
    <t>pledgedSecuredTCTDBankingGbondRatio</t>
  </si>
  <si>
    <t>pledgedSecuredTCTDBankingGbondRatioOverride</t>
  </si>
  <si>
    <t>remainingAvailableBankingGbondLabel</t>
  </si>
  <si>
    <t>Banking Gbond còn lại sẵn sàng sử dụng</t>
  </si>
  <si>
    <t>remainingAvailableBankingGbond</t>
  </si>
  <si>
    <t>remainingAvailableBankingGbondDtd</t>
  </si>
  <si>
    <t>remainingAvailableBankingGbondRatio</t>
  </si>
  <si>
    <t>remainingAvailableBankingGbondRatioOverride</t>
  </si>
  <si>
    <t>availableGbondTotalLabel</t>
  </si>
  <si>
    <t>1.2 Cơ cấu Banking Gbond còn lại sẵn sàng sử dụng</t>
  </si>
  <si>
    <t>Available Gbond</t>
  </si>
  <si>
    <t>availableGbondTotal</t>
  </si>
  <si>
    <t>availableGbondTotalRatio</t>
  </si>
  <si>
    <t>availableGbondTotalRatioOverride</t>
  </si>
  <si>
    <t>availableGbondTotalNote</t>
  </si>
  <si>
    <t>availableGbondSBVOverdraftLabel</t>
  </si>
  <si>
    <t>Đặt mở Thấu chi SBV</t>
  </si>
  <si>
    <t>availableGbondSBVOverdraft</t>
  </si>
  <si>
    <t>availableGbondSBVOverdraftRatio</t>
  </si>
  <si>
    <t>availableGbondSBVOverdraftRatioOverride</t>
  </si>
  <si>
    <t>availableGbondSBVOverdraftNote</t>
  </si>
  <si>
    <t>availableGbondCreditLineLabel</t>
  </si>
  <si>
    <t>Đặt tại Bank khác mở Credit line</t>
  </si>
  <si>
    <t>availableGbondCreditLine</t>
  </si>
  <si>
    <t>availableGbondCreditLineRatio</t>
  </si>
  <si>
    <t>availableGbondCreditLineRatioOverride</t>
  </si>
  <si>
    <t>availableGbondCreditLineNote</t>
  </si>
  <si>
    <t>availableGbondOMOLabel</t>
  </si>
  <si>
    <t>Đặt tại OMO</t>
  </si>
  <si>
    <t>availableGbondOMO</t>
  </si>
  <si>
    <t>availableGbondOMORatio</t>
  </si>
  <si>
    <t>availableGbondOMORatioOverride</t>
  </si>
  <si>
    <t>availableGbondOMONote</t>
  </si>
  <si>
    <t>availableGbondRemainingLabel</t>
  </si>
  <si>
    <t>Bond còn lại</t>
  </si>
  <si>
    <t>availableGbondRemaining</t>
  </si>
  <si>
    <t>availableGbondRemainingRatio</t>
  </si>
  <si>
    <t>availableGbondRemainingRatioOverride</t>
  </si>
  <si>
    <t>availableGbondRemainingNote</t>
  </si>
  <si>
    <t>availableGbondRemainingWarning</t>
  </si>
  <si>
    <t>Cơ cấu dòng tiền Market II</t>
  </si>
  <si>
    <t>marketII_period</t>
  </si>
  <si>
    <t>Kỳ báo cáo</t>
  </si>
  <si>
    <t>KPI</t>
  </si>
  <si>
    <t>KPI 1 - Khe hở thanh khoản lũy kế 1M</t>
  </si>
  <si>
    <t>marketII_kpi_0_statusOverride</t>
  </si>
  <si>
    <t>KPI Override</t>
  </si>
  <si>
    <t>Mức độ sử dụng</t>
  </si>
  <si>
    <t>marketII_kpi_0_usageOverride</t>
  </si>
  <si>
    <t>KPI 2 - Khe hở thanh khoản lũy kế 3M</t>
  </si>
  <si>
    <t>marketII_kpi_1_statusOverride</t>
  </si>
  <si>
    <t>marketII_kpi_1_usageOverride</t>
  </si>
  <si>
    <t>KPI 3 - Khe hở tái định giá lũy kế 1M</t>
  </si>
  <si>
    <t>marketII_kpi_2_statusOverride</t>
  </si>
  <si>
    <t>marketII_kpi_2_usageOverride</t>
  </si>
  <si>
    <t>KPI 4 - Khe hở tái định giá lũy kế 3M</t>
  </si>
  <si>
    <t>marketII_kpi_3_statusOverride</t>
  </si>
  <si>
    <t>marketII_kpi_3_usageOverride</t>
  </si>
  <si>
    <t>KPI 5 - Kịch bản dự báo biến động NII trong 3M</t>
  </si>
  <si>
    <t>marketII_kpi_4_statusOverride</t>
  </si>
  <si>
    <t>marketII_kpi_4_usageOverride</t>
  </si>
  <si>
    <t>Insight</t>
  </si>
  <si>
    <t>Insight 1</t>
  </si>
  <si>
    <t>Title</t>
  </si>
  <si>
    <t>Body</t>
  </si>
  <si>
    <t>Insight 2</t>
  </si>
  <si>
    <t>Insight 3</t>
  </si>
  <si>
    <t>marketII_tableTitle</t>
  </si>
  <si>
    <t>Bảng chi tiết Cơ cấu dòng tiền Market II</t>
  </si>
  <si>
    <t>Tiêu đề bảng chi tiết Market II</t>
  </si>
  <si>
    <t>marketII_tableSubtitle</t>
  </si>
  <si>
    <t>Subtitle/mô tả dưới tiêu đề bảng chi tiết Market II</t>
  </si>
  <si>
    <t>marketII_tablePeriod</t>
  </si>
  <si>
    <t>Kỳ báo cáo hiển thị trên pill của bảng; có thể đồng bộ với marketII_period</t>
  </si>
  <si>
    <t>marketII_tableUnit</t>
  </si>
  <si>
    <t>Đơn vị hiển thị trên pill và header chỉ tiêu</t>
  </si>
  <si>
    <t>marketII_tableCol_stt</t>
  </si>
  <si>
    <t>Header cột STT</t>
  </si>
  <si>
    <t>marketII_tableCol_item</t>
  </si>
  <si>
    <t>Header cột Chỉ tiêu</t>
  </si>
  <si>
    <t>marketII_tableCol_itemUnit</t>
  </si>
  <si>
    <t>Đơn vị nhỏ trong header cột Chỉ tiêu</t>
  </si>
  <si>
    <t>marketII_tableCol_balanceGroup</t>
  </si>
  <si>
    <t>Header nhóm Số dư BS TT2</t>
  </si>
  <si>
    <t>marketII_tableCol_balanceDate</t>
  </si>
  <si>
    <t>Header cột ngày số dư BS TT2</t>
  </si>
  <si>
    <t>marketII_tableCol_weight</t>
  </si>
  <si>
    <t>Header cột Tỷ trọng</t>
  </si>
  <si>
    <t>marketII_tableCol_tenorGroup</t>
  </si>
  <si>
    <t>Header nhóm Phân bổ kỳ hạn</t>
  </si>
  <si>
    <t>marketII_tableCol_mtd</t>
  </si>
  <si>
    <t>Header cột biến động MTD</t>
  </si>
  <si>
    <t>marketII_tableCol_qtd</t>
  </si>
  <si>
    <t>Header cột biến động QTD</t>
  </si>
  <si>
    <t>marketII_tableCol_ytd</t>
  </si>
  <si>
    <t>Header cột biến động YTD</t>
  </si>
  <si>
    <t>marketII_tableCol_liquidityGroup</t>
  </si>
  <si>
    <t>Header nhóm Phân bổ kỳ thanh khoản BS</t>
  </si>
  <si>
    <t>marketII_tableCol_lt1m</t>
  </si>
  <si>
    <t>Header bucket thanh khoản dưới 1 tháng</t>
  </si>
  <si>
    <t>marketII_tableCol_m1_3</t>
  </si>
  <si>
    <t>Header bucket thanh khoản 1-3 tháng</t>
  </si>
  <si>
    <t>marketII_tableCol_m3_6</t>
  </si>
  <si>
    <t>Header bucket thanh khoản 3-6 tháng</t>
  </si>
  <si>
    <t>marketII_tableCol_m6_12</t>
  </si>
  <si>
    <t>Header bucket thanh khoản 6-12 tháng</t>
  </si>
  <si>
    <t>marketII_tableCol_gt12</t>
  </si>
  <si>
    <t>Header bucket thanh khoản trên 12 tháng</t>
  </si>
  <si>
    <t>marketII_tableCol_avgTenor</t>
  </si>
  <si>
    <t>Header cột Kỳ hạn bình quân</t>
  </si>
  <si>
    <t>marketII_tableCol_avgRate</t>
  </si>
  <si>
    <t>Header cột Lãi suất bình quân</t>
  </si>
  <si>
    <t>marketII_row_0_type</t>
  </si>
  <si>
    <t>Loại dòng</t>
  </si>
  <si>
    <t>marketII_row_0_no</t>
  </si>
  <si>
    <t>marketII_row_0_item</t>
  </si>
  <si>
    <t>marketII_row_0_balance</t>
  </si>
  <si>
    <t>marketII_row_0_weight</t>
  </si>
  <si>
    <t>marketII_row_0_mtd</t>
  </si>
  <si>
    <t>marketII_row_0_qtd</t>
  </si>
  <si>
    <t>marketII_row_0_ytd</t>
  </si>
  <si>
    <t>marketII_row_0_lt1m</t>
  </si>
  <si>
    <t>marketII_row_0_m1_3</t>
  </si>
  <si>
    <t>marketII_row_0_m3_6</t>
  </si>
  <si>
    <t>marketII_row_0_m6_12</t>
  </si>
  <si>
    <t>marketII_row_0_gt12</t>
  </si>
  <si>
    <t>marketII_row_0_avgTenor</t>
  </si>
  <si>
    <t>marketII_row_0_avgRate</t>
  </si>
  <si>
    <t>marketII_row_1_type</t>
  </si>
  <si>
    <t>marketII_row_1_no</t>
  </si>
  <si>
    <t>marketII_row_1_item</t>
  </si>
  <si>
    <t>marketII_row_1_balance</t>
  </si>
  <si>
    <t>marketII_row_1_weight</t>
  </si>
  <si>
    <t>marketII_row_1_mtd</t>
  </si>
  <si>
    <t>marketII_row_1_qtd</t>
  </si>
  <si>
    <t>marketII_row_1_ytd</t>
  </si>
  <si>
    <t>marketII_row_1_lt1m</t>
  </si>
  <si>
    <t>marketII_row_1_m1_3</t>
  </si>
  <si>
    <t>marketII_row_1_m3_6</t>
  </si>
  <si>
    <t>marketII_row_1_m6_12</t>
  </si>
  <si>
    <t>marketII_row_1_gt12</t>
  </si>
  <si>
    <t>marketII_row_1_avgTenor</t>
  </si>
  <si>
    <t>marketII_row_1_avgRate</t>
  </si>
  <si>
    <t>marketII_row_2_type</t>
  </si>
  <si>
    <t>marketII_row_2_no</t>
  </si>
  <si>
    <t>marketII_row_2_item</t>
  </si>
  <si>
    <t>marketII_row_2_balance</t>
  </si>
  <si>
    <t>marketII_row_2_weight</t>
  </si>
  <si>
    <t>marketII_row_2_mtd</t>
  </si>
  <si>
    <t>marketII_row_2_qtd</t>
  </si>
  <si>
    <t>marketII_row_2_ytd</t>
  </si>
  <si>
    <t>marketII_row_2_lt1m</t>
  </si>
  <si>
    <t>marketII_row_2_m1_3</t>
  </si>
  <si>
    <t>marketII_row_2_m3_6</t>
  </si>
  <si>
    <t>marketII_row_2_m6_12</t>
  </si>
  <si>
    <t>marketII_row_2_gt12</t>
  </si>
  <si>
    <t>marketII_row_2_avgTenor</t>
  </si>
  <si>
    <t>marketII_row_2_avgRate</t>
  </si>
  <si>
    <t>marketII_row_3_type</t>
  </si>
  <si>
    <t>FIBond (including PTCK)</t>
  </si>
  <si>
    <t>marketII_row_3_no</t>
  </si>
  <si>
    <t>marketII_row_3_item</t>
  </si>
  <si>
    <t>marketII_row_3_balance</t>
  </si>
  <si>
    <t>marketII_row_3_weight</t>
  </si>
  <si>
    <t>marketII_row_3_mtd</t>
  </si>
  <si>
    <t>marketII_row_3_qtd</t>
  </si>
  <si>
    <t>marketII_row_3_ytd</t>
  </si>
  <si>
    <t>marketII_row_3_lt1m</t>
  </si>
  <si>
    <t>marketII_row_3_m1_3</t>
  </si>
  <si>
    <t>marketII_row_3_m3_6</t>
  </si>
  <si>
    <t>marketII_row_3_m6_12</t>
  </si>
  <si>
    <t>marketII_row_3_gt12</t>
  </si>
  <si>
    <t>marketII_row_3_avgTenor</t>
  </si>
  <si>
    <t>marketII_row_3_avgRate</t>
  </si>
  <si>
    <t>marketII_row_4_type</t>
  </si>
  <si>
    <t>Interbank Lending</t>
  </si>
  <si>
    <t>marketII_row_4_no</t>
  </si>
  <si>
    <t>marketII_row_4_item</t>
  </si>
  <si>
    <t>marketII_row_4_balance</t>
  </si>
  <si>
    <t>marketII_row_4_weight</t>
  </si>
  <si>
    <t>marketII_row_4_mtd</t>
  </si>
  <si>
    <t>marketII_row_4_qtd</t>
  </si>
  <si>
    <t>marketII_row_4_ytd</t>
  </si>
  <si>
    <t>marketII_row_4_lt1m</t>
  </si>
  <si>
    <t>marketII_row_4_m1_3</t>
  </si>
  <si>
    <t>marketII_row_4_m3_6</t>
  </si>
  <si>
    <t>marketII_row_4_m6_12</t>
  </si>
  <si>
    <t>marketII_row_4_gt12</t>
  </si>
  <si>
    <t>marketII_row_4_avgTenor</t>
  </si>
  <si>
    <t>marketII_row_4_avgRate</t>
  </si>
  <si>
    <t>marketII_row_5_type</t>
  </si>
  <si>
    <t>marketII_row_5_no</t>
  </si>
  <si>
    <t>marketII_row_5_item</t>
  </si>
  <si>
    <t>marketII_row_5_balance</t>
  </si>
  <si>
    <t>marketII_row_5_weight</t>
  </si>
  <si>
    <t>marketII_row_5_mtd</t>
  </si>
  <si>
    <t>marketII_row_5_qtd</t>
  </si>
  <si>
    <t>marketII_row_5_ytd</t>
  </si>
  <si>
    <t>marketII_row_5_lt1m</t>
  </si>
  <si>
    <t>marketII_row_5_m1_3</t>
  </si>
  <si>
    <t>marketII_row_5_m3_6</t>
  </si>
  <si>
    <t>marketII_row_5_m6_12</t>
  </si>
  <si>
    <t>marketII_row_5_gt12</t>
  </si>
  <si>
    <t>marketII_row_5_avgTenor</t>
  </si>
  <si>
    <t>marketII_row_5_avgRate</t>
  </si>
  <si>
    <t>marketII_row_6_type</t>
  </si>
  <si>
    <t>marketII_row_6_no</t>
  </si>
  <si>
    <t>marketII_row_6_item</t>
  </si>
  <si>
    <t>marketII_row_6_balance</t>
  </si>
  <si>
    <t>marketII_row_6_weight</t>
  </si>
  <si>
    <t>marketII_row_6_mtd</t>
  </si>
  <si>
    <t>marketII_row_6_qtd</t>
  </si>
  <si>
    <t>marketII_row_6_ytd</t>
  </si>
  <si>
    <t>marketII_row_6_lt1m</t>
  </si>
  <si>
    <t>marketII_row_6_m1_3</t>
  </si>
  <si>
    <t>marketII_row_6_m3_6</t>
  </si>
  <si>
    <t>marketII_row_6_m6_12</t>
  </si>
  <si>
    <t>marketII_row_6_gt12</t>
  </si>
  <si>
    <t>marketII_row_6_avgTenor</t>
  </si>
  <si>
    <t>marketII_row_6_avgRate</t>
  </si>
  <si>
    <t>marketII_row_7_type</t>
  </si>
  <si>
    <t>Total Assets</t>
  </si>
  <si>
    <t>marketII_row_7_no</t>
  </si>
  <si>
    <t>marketII_row_7_item</t>
  </si>
  <si>
    <t>marketII_row_7_balance</t>
  </si>
  <si>
    <t>marketII_row_7_weight</t>
  </si>
  <si>
    <t>marketII_row_7_mtd</t>
  </si>
  <si>
    <t>marketII_row_7_qtd</t>
  </si>
  <si>
    <t>marketII_row_7_ytd</t>
  </si>
  <si>
    <t>marketII_row_7_lt1m</t>
  </si>
  <si>
    <t>marketII_row_7_m1_3</t>
  </si>
  <si>
    <t>marketII_row_7_m3_6</t>
  </si>
  <si>
    <t>marketII_row_7_m6_12</t>
  </si>
  <si>
    <t>marketII_row_7_gt12</t>
  </si>
  <si>
    <t>marketII_row_7_avgTenor</t>
  </si>
  <si>
    <t>marketII_row_7_avgRate</t>
  </si>
  <si>
    <t>marketII_row_8_type</t>
  </si>
  <si>
    <t>marketII_row_8_no</t>
  </si>
  <si>
    <t>marketII_row_8_item</t>
  </si>
  <si>
    <t>marketII_row_8_balance</t>
  </si>
  <si>
    <t>marketII_row_8_weight</t>
  </si>
  <si>
    <t>marketII_row_8_mtd</t>
  </si>
  <si>
    <t>marketII_row_8_qtd</t>
  </si>
  <si>
    <t>marketII_row_8_ytd</t>
  </si>
  <si>
    <t>marketII_row_8_lt1m</t>
  </si>
  <si>
    <t>marketII_row_8_m1_3</t>
  </si>
  <si>
    <t>marketII_row_8_m3_6</t>
  </si>
  <si>
    <t>marketII_row_8_m6_12</t>
  </si>
  <si>
    <t>marketII_row_8_gt12</t>
  </si>
  <si>
    <t>marketII_row_8_avgTenor</t>
  </si>
  <si>
    <t>marketII_row_8_avgRate</t>
  </si>
  <si>
    <t>marketII_row_9_type</t>
  </si>
  <si>
    <t>marketII_row_9_no</t>
  </si>
  <si>
    <t>marketII_row_9_item</t>
  </si>
  <si>
    <t>marketII_row_9_balance</t>
  </si>
  <si>
    <t>marketII_row_9_weight</t>
  </si>
  <si>
    <t>marketII_row_9_mtd</t>
  </si>
  <si>
    <t>marketII_row_9_qtd</t>
  </si>
  <si>
    <t>marketII_row_9_ytd</t>
  </si>
  <si>
    <t>marketII_row_9_lt1m</t>
  </si>
  <si>
    <t>marketII_row_9_m1_3</t>
  </si>
  <si>
    <t>marketII_row_9_m3_6</t>
  </si>
  <si>
    <t>marketII_row_9_m6_12</t>
  </si>
  <si>
    <t>marketII_row_9_gt12</t>
  </si>
  <si>
    <t>marketII_row_9_avgTenor</t>
  </si>
  <si>
    <t>marketII_row_9_avgRate</t>
  </si>
  <si>
    <t>marketII_row_10_type</t>
  </si>
  <si>
    <t>Casa FD Fund FI</t>
  </si>
  <si>
    <t>marketII_row_10_no</t>
  </si>
  <si>
    <t>marketII_row_10_item</t>
  </si>
  <si>
    <t>marketII_row_10_balance</t>
  </si>
  <si>
    <t>marketII_row_10_weight</t>
  </si>
  <si>
    <t>marketII_row_10_mtd</t>
  </si>
  <si>
    <t>marketII_row_10_qtd</t>
  </si>
  <si>
    <t>marketII_row_10_ytd</t>
  </si>
  <si>
    <t>marketII_row_10_lt1m</t>
  </si>
  <si>
    <t>marketII_row_10_m1_3</t>
  </si>
  <si>
    <t>marketII_row_10_m3_6</t>
  </si>
  <si>
    <t>marketII_row_10_m6_12</t>
  </si>
  <si>
    <t>marketII_row_10_gt12</t>
  </si>
  <si>
    <t>marketII_row_10_avgTenor</t>
  </si>
  <si>
    <t>marketII_row_10_avgRate</t>
  </si>
  <si>
    <t>marketII_row_11_type</t>
  </si>
  <si>
    <t>marketII_row_11_no</t>
  </si>
  <si>
    <t>marketII_row_11_item</t>
  </si>
  <si>
    <t>marketII_row_11_balance</t>
  </si>
  <si>
    <t>marketII_row_11_weight</t>
  </si>
  <si>
    <t>marketII_row_11_mtd</t>
  </si>
  <si>
    <t>marketII_row_11_qtd</t>
  </si>
  <si>
    <t>marketII_row_11_ytd</t>
  </si>
  <si>
    <t>marketII_row_11_lt1m</t>
  </si>
  <si>
    <t>marketII_row_11_m1_3</t>
  </si>
  <si>
    <t>marketII_row_11_m3_6</t>
  </si>
  <si>
    <t>marketII_row_11_m6_12</t>
  </si>
  <si>
    <t>marketII_row_11_gt12</t>
  </si>
  <si>
    <t>marketII_row_11_avgTenor</t>
  </si>
  <si>
    <t>marketII_row_11_avgRate</t>
  </si>
  <si>
    <t>marketII_row_12_type</t>
  </si>
  <si>
    <t>marketII_row_12_no</t>
  </si>
  <si>
    <t>marketII_row_12_item</t>
  </si>
  <si>
    <t>marketII_row_12_balance</t>
  </si>
  <si>
    <t>marketII_row_12_weight</t>
  </si>
  <si>
    <t>marketII_row_12_mtd</t>
  </si>
  <si>
    <t>marketII_row_12_qtd</t>
  </si>
  <si>
    <t>marketII_row_12_ytd</t>
  </si>
  <si>
    <t>marketII_row_12_lt1m</t>
  </si>
  <si>
    <t>marketII_row_12_m1_3</t>
  </si>
  <si>
    <t>marketII_row_12_m3_6</t>
  </si>
  <si>
    <t>marketII_row_12_m6_12</t>
  </si>
  <si>
    <t>marketII_row_12_gt12</t>
  </si>
  <si>
    <t>marketII_row_12_avgTenor</t>
  </si>
  <si>
    <t>marketII_row_12_avgRate</t>
  </si>
  <si>
    <t>marketII_row_13_type</t>
  </si>
  <si>
    <t>marketII_row_13_no</t>
  </si>
  <si>
    <t>marketII_row_13_item</t>
  </si>
  <si>
    <t>marketII_row_13_balance</t>
  </si>
  <si>
    <t>marketII_row_13_weight</t>
  </si>
  <si>
    <t>marketII_row_13_mtd</t>
  </si>
  <si>
    <t>marketII_row_13_qtd</t>
  </si>
  <si>
    <t>marketII_row_13_ytd</t>
  </si>
  <si>
    <t>marketII_row_13_lt1m</t>
  </si>
  <si>
    <t>marketII_row_13_m1_3</t>
  </si>
  <si>
    <t>marketII_row_13_m3_6</t>
  </si>
  <si>
    <t>marketII_row_13_m6_12</t>
  </si>
  <si>
    <t>marketII_row_13_gt12</t>
  </si>
  <si>
    <t>marketII_row_13_avgTenor</t>
  </si>
  <si>
    <t>marketII_row_13_avgRate</t>
  </si>
  <si>
    <t>marketII_row_14_type</t>
  </si>
  <si>
    <t>Total Liabilities</t>
  </si>
  <si>
    <t>marketII_row_14_no</t>
  </si>
  <si>
    <t>marketII_row_14_item</t>
  </si>
  <si>
    <t>marketII_row_14_balance</t>
  </si>
  <si>
    <t>marketII_row_14_weight</t>
  </si>
  <si>
    <t>marketII_row_14_mtd</t>
  </si>
  <si>
    <t>marketII_row_14_qtd</t>
  </si>
  <si>
    <t>marketII_row_14_ytd</t>
  </si>
  <si>
    <t>marketII_row_14_lt1m</t>
  </si>
  <si>
    <t>marketII_row_14_m1_3</t>
  </si>
  <si>
    <t>marketII_row_14_m3_6</t>
  </si>
  <si>
    <t>marketII_row_14_m6_12</t>
  </si>
  <si>
    <t>marketII_row_14_gt12</t>
  </si>
  <si>
    <t>marketII_row_14_avgTenor</t>
  </si>
  <si>
    <t>marketII_row_14_avgRate</t>
  </si>
  <si>
    <t>marketII_row_15_type</t>
  </si>
  <si>
    <t>Excess Deposit from TT1</t>
  </si>
  <si>
    <t>marketII_row_15_no</t>
  </si>
  <si>
    <t>marketII_row_15_item</t>
  </si>
  <si>
    <t>marketII_row_15_balance</t>
  </si>
  <si>
    <t>marketII_row_15_weight</t>
  </si>
  <si>
    <t>marketII_row_15_mtd</t>
  </si>
  <si>
    <t>marketII_row_15_qtd</t>
  </si>
  <si>
    <t>marketII_row_15_ytd</t>
  </si>
  <si>
    <t>marketII_row_15_lt1m</t>
  </si>
  <si>
    <t>marketII_row_15_m1_3</t>
  </si>
  <si>
    <t>marketII_row_15_m3_6</t>
  </si>
  <si>
    <t>marketII_row_15_m6_12</t>
  </si>
  <si>
    <t>marketII_row_15_gt12</t>
  </si>
  <si>
    <t>marketII_row_15_avgTenor</t>
  </si>
  <si>
    <t>marketII_row_15_avgRate</t>
  </si>
  <si>
    <t>marketII_row_16_type</t>
  </si>
  <si>
    <t>Liquidity GAP / (theo tính chất thanh khoản)</t>
  </si>
  <si>
    <t>marketII_row_16_no</t>
  </si>
  <si>
    <t>marketII_row_16_item</t>
  </si>
  <si>
    <t>marketII_row_16_balance</t>
  </si>
  <si>
    <t>marketII_row_16_weight</t>
  </si>
  <si>
    <t>marketII_row_16_mtd</t>
  </si>
  <si>
    <t>marketII_row_16_qtd</t>
  </si>
  <si>
    <t>marketII_row_16_ytd</t>
  </si>
  <si>
    <t>marketII_row_16_lt1m</t>
  </si>
  <si>
    <t>marketII_row_16_m1_3</t>
  </si>
  <si>
    <t>marketII_row_16_m3_6</t>
  </si>
  <si>
    <t>marketII_row_16_m6_12</t>
  </si>
  <si>
    <t>marketII_row_16_gt12</t>
  </si>
  <si>
    <t>marketII_row_16_avgTenor</t>
  </si>
  <si>
    <t>marketII_row_16_avgRate</t>
  </si>
  <si>
    <t>marketII_row_17_type</t>
  </si>
  <si>
    <t>Repricing GAP / (theo kỳ Tái định giá lãi suất)</t>
  </si>
  <si>
    <t>marketII_row_17_no</t>
  </si>
  <si>
    <t>marketII_row_17_item</t>
  </si>
  <si>
    <t>marketII_row_17_balance</t>
  </si>
  <si>
    <t>marketII_row_17_weight</t>
  </si>
  <si>
    <t>marketII_row_17_mtd</t>
  </si>
  <si>
    <t>marketII_row_17_qtd</t>
  </si>
  <si>
    <t>marketII_row_17_ytd</t>
  </si>
  <si>
    <t>marketII_row_17_lt1m</t>
  </si>
  <si>
    <t>marketII_row_17_m1_3</t>
  </si>
  <si>
    <t>marketII_row_17_m3_6</t>
  </si>
  <si>
    <t>marketII_row_17_m6_12</t>
  </si>
  <si>
    <t>marketII_row_17_gt12</t>
  </si>
  <si>
    <t>marketII_row_17_avgTenor</t>
  </si>
  <si>
    <t>marketII_row_17_avgRate</t>
  </si>
  <si>
    <t>marketII_row_18_type</t>
  </si>
  <si>
    <t>Repricing GAP_lũy kế / (theo kỳ Tái định giá lãi suất)</t>
  </si>
  <si>
    <t>marketII_row_18_no</t>
  </si>
  <si>
    <t>marketII_row_18_item</t>
  </si>
  <si>
    <t>marketII_row_18_balance</t>
  </si>
  <si>
    <t>marketII_row_18_weight</t>
  </si>
  <si>
    <t>marketII_row_18_mtd</t>
  </si>
  <si>
    <t>marketII_row_18_qtd</t>
  </si>
  <si>
    <t>marketII_row_18_ytd</t>
  </si>
  <si>
    <t>marketII_row_18_lt1m</t>
  </si>
  <si>
    <t>marketII_row_18_m1_3</t>
  </si>
  <si>
    <t>marketII_row_18_m3_6</t>
  </si>
  <si>
    <t>marketII_row_18_m6_12</t>
  </si>
  <si>
    <t>marketII_row_18_gt12</t>
  </si>
  <si>
    <t>marketII_row_18_avgTenor</t>
  </si>
  <si>
    <t>marketII_row_18_avgRate</t>
  </si>
  <si>
    <t>marketII_row_19_type</t>
  </si>
  <si>
    <t>Biến động NII nếu ls thay đổi 2% trong 3M tới (tỷ VND)</t>
  </si>
  <si>
    <t>marketII_row_19_no</t>
  </si>
  <si>
    <t>marketII_row_19_item</t>
  </si>
  <si>
    <t>marketII_row_19_balance</t>
  </si>
  <si>
    <t>marketII_row_19_weight</t>
  </si>
  <si>
    <t>marketII_row_19_mtd</t>
  </si>
  <si>
    <t>marketII_row_19_qtd</t>
  </si>
  <si>
    <t>marketII_row_19_ytd</t>
  </si>
  <si>
    <t>marketII_row_19_lt1m</t>
  </si>
  <si>
    <t>marketII_row_19_m1_3</t>
  </si>
  <si>
    <t>marketII_row_19_m3_6</t>
  </si>
  <si>
    <t>marketII_row_19_m6_12</t>
  </si>
  <si>
    <t>marketII_row_19_gt12</t>
  </si>
  <si>
    <t>marketII_row_19_avgTenor</t>
  </si>
  <si>
    <t>marketII_row_19_avgRate</t>
  </si>
  <si>
    <t>marketII_row_20_type</t>
  </si>
  <si>
    <t>Biến động NII nếu ls thay đổi 2% trong 6M tới (tỷ VND)</t>
  </si>
  <si>
    <t>marketII_row_20_no</t>
  </si>
  <si>
    <t>marketII_row_20_item</t>
  </si>
  <si>
    <t>marketII_row_20_balance</t>
  </si>
  <si>
    <t>marketII_row_20_weight</t>
  </si>
  <si>
    <t>marketII_row_20_mtd</t>
  </si>
  <si>
    <t>marketII_row_20_qtd</t>
  </si>
  <si>
    <t>marketII_row_20_ytd</t>
  </si>
  <si>
    <t>marketII_row_20_lt1m</t>
  </si>
  <si>
    <t>marketII_row_20_m1_3</t>
  </si>
  <si>
    <t>marketII_row_20_m3_6</t>
  </si>
  <si>
    <t>marketII_row_20_m6_12</t>
  </si>
  <si>
    <t>marketII_row_20_gt12</t>
  </si>
  <si>
    <t>marketII_row_20_avgTenor</t>
  </si>
  <si>
    <t>marketII_row_20_avgRate</t>
  </si>
  <si>
    <t>moduleHeading_import</t>
  </si>
  <si>
    <t>Import Data</t>
  </si>
  <si>
    <t>Tiêu đề heading module Import Data</t>
  </si>
  <si>
    <t>moduleDesc_import</t>
  </si>
  <si>
    <t>Mô tả heading module Import Data</t>
  </si>
  <si>
    <t>moduleImportBadge</t>
  </si>
  <si>
    <t>Badge heading module Import Data</t>
  </si>
  <si>
    <t>moduleImportDataTitle</t>
  </si>
  <si>
    <t>Tiêu đề khối Data Import trong module Import</t>
  </si>
  <si>
    <t>Góc tham khảo: AI sẽ nói gì về MLIR hôm nay :)?</t>
  </si>
  <si>
    <t>AI khuyến nghị hành động trong ngày</t>
  </si>
  <si>
    <t>Tự động rà soát dữ liệu hiện có sau import để tạo checklist ngắn gọn theo từng góc nhìn quản trị.</t>
  </si>
  <si>
    <t>Market Risk AI</t>
  </si>
  <si>
    <t>What does AI recommend for risk Today?</t>
  </si>
  <si>
    <t>&lt;b&gt;Disclaimer:&lt;/b&gt; Đây là nội dung gen tự động từ AI, chỉ để người đọc trải nghiệm và tham khảo thông tin gợi ý/lưu ý từ góc nhìn của AI. Không phải là khuyến nghị chính thức của QLRRTT&amp;TK</t>
  </si>
  <si>
    <t>Mỗi lần bấm Generate, module sẽ rà soát lại dữ liệu đang hiển thị về Trading Gbond, MtM, Banking Gbond, Bond&amp;CD-FI, Market II, thị trường và OMO để tạo checklist mới, không dùng lại checklist đã lưu trước đó.</t>
  </si>
  <si>
    <t>Back</t>
  </si>
  <si>
    <t>View lãnh đạo</t>
  </si>
  <si>
    <t>View giám sát/khuyến nghị</t>
  </si>
  <si>
    <t>View đơn vị thực hiện</t>
  </si>
  <si>
    <t>Xóa checklist hiện tại</t>
  </si>
  <si>
    <t>Generate new risk recommendation</t>
  </si>
  <si>
    <t>Chưa sinh khuyến nghị</t>
  </si>
  <si>
    <t>Đã xóa checklist hiện tại</t>
  </si>
  <si>
    <t>Chưa có checklist trong phiên hiện tại.</t>
  </si>
  <si>
    <t>Rà soát mới</t>
  </si>
  <si>
    <t>View</t>
  </si>
  <si>
    <t>Dữ liệu đọc lại tại thời điểm bấm Generate.</t>
  </si>
  <si>
    <t>Điểm cần nhìn trước</t>
  </si>
  <si>
    <t>MtM / Limit</t>
  </si>
  <si>
    <t>Worst case MtM</t>
  </si>
  <si>
    <t>Bond&amp;CD-FI</t>
  </si>
  <si>
    <t>Market II NII</t>
  </si>
  <si>
    <t>20px</t>
  </si>
  <si>
    <t>900</t>
  </si>
  <si>
    <t>14px</t>
  </si>
  <si>
    <t>600</t>
  </si>
  <si>
    <t>#B42318</t>
  </si>
  <si>
    <t>15px</t>
  </si>
  <si>
    <t>850</t>
  </si>
  <si>
    <t>#344054</t>
  </si>
  <si>
    <t>13px</t>
  </si>
  <si>
    <t>500</t>
  </si>
  <si>
    <t>1.55</t>
  </si>
  <si>
    <t>#F79009</t>
  </si>
  <si>
    <t>#D92D20</t>
  </si>
  <si>
    <t>AI Check bất thường trước khi gửi báo cáo</t>
  </si>
  <si>
    <t>Rà soát ngày báo cáo, placeholder, tính thống nhất giữa KPI và nội dung text, limit/utilization và các dấu hiệu số liệu bất thường trước khi gửi báo cáo.</t>
  </si>
  <si>
    <t>Check bất thường</t>
  </si>
  <si>
    <t>Pending</t>
  </si>
  <si>
    <t>Done</t>
  </si>
  <si>
    <t>Menu báo cáo</t>
  </si>
  <si>
    <t>Cơ cấu dòng tiền thanh khoản - Market II</t>
  </si>
  <si>
    <t>🔒 Import Data</t>
  </si>
  <si>
    <t>In / PDF</t>
  </si>
  <si>
    <t>Thông tin thị trường - Daily Input</t>
  </si>
  <si>
    <t>Theo dõi biến động DTD/WTD/MTD/YTD của lãi suất, lợi suất TPCP, tỷ giá và tín hiệu OMO/SBV phục vụ đánh giá rủi ro thị trường.</t>
  </si>
  <si>
    <t>Cập nhật:</t>
  </si>
  <si>
    <t>Theo dõi biến động lợi suất</t>
  </si>
  <si>
    <t>Lợi suất TPCP và chi phí vốn ngắn hạn được dự báo tăng. Cần tiếp tục kiểm soát trạng thái Trading Book, theo dõi sát lỗ MtM và đánh giá lại mức độ phù hợp của danh mục Banking Gbond phục vụ dự phòng thanh khoản.</t>
  </si>
  <si>
    <t>Thông tin chi tiết Danh mục - Bảng 1.1 và 1.2</t>
  </si>
  <si>
    <t>Thông tin chi tiết Danh mục GBond</t>
  </si>
  <si>
    <t>Tổng hợp cơ cấu Banking Gbond còn lại sẵn sàng sử dụng, tổng quan rủi ro trọng yếu và diễn giải thuật ngữ rủi ro.</t>
  </si>
  <si>
    <t>1.1 Cơ cấu sử dụng Banking Gbond được tài trợ bởi hệ thống</t>
  </si>
  <si>
    <t>Tỷ trọng trong Banking Gbond hệ thống</t>
  </si>
  <si>
    <t>Cấu phần</t>
  </si>
  <si>
    <t>Tỷ trọng trong Available Gbond</t>
  </si>
  <si>
    <t>Key gốc</t>
  </si>
  <si>
    <t>Giá trị (tỷ)</t>
  </si>
  <si>
    <t>positive</t>
  </si>
  <si>
    <t>Dòng dấu (+), thuộc mẫu số</t>
  </si>
  <si>
    <t>negative</t>
  </si>
  <si>
    <t>Tự tính trên tổng các dòng dấu (+)</t>
  </si>
  <si>
    <t>remaining</t>
  </si>
  <si>
    <t>Cảnh báo/Ghi chú</t>
  </si>
  <si>
    <t>main</t>
  </si>
  <si>
    <t>Bộ đệm thanh khoản có thể sử dụng qua bán, repo, OMO hoặc cầm cố.</t>
  </si>
  <si>
    <t>sub</t>
  </si>
  <si>
    <t>Phần đã bố trí để mở/duy trì khả năng tiếp cận thấu chi tại NHNN; hỗ trợ nhu cầu thanh khoản trong ngày.</t>
  </si>
  <si>
    <t>Phần Gbond dùng để hỗ trợ mở/duy trì hạn mức thanh khoản với ngân hàng khác.</t>
  </si>
  <si>
    <t>Phần đã sẵn sàng cho kênh OMO/cầm cố với NHNN, giúp đáp ứng nhu cầu thanh khoản ngay khi cần.</t>
  </si>
  <si>
    <t>Phần trái phiếu còn lại có thể linh hoạt sử dụng tùy trạng thái thị trường.</t>
  </si>
  <si>
    <t>Lưu ý: Nếu cấu phần này duy trì thấp sẽ ảnh hưởng trọng yếu đến năng lực cân nguồn cho các kịch bản thanh khoản bất thường</t>
  </si>
  <si>
    <t>Tóm tắt các điểm nghẽn dòng tiền Market II theo kỳ hạn; đơn vị bảng là nghìn tỷ VND, riêng tác động NII là tỷ VND.</t>
  </si>
  <si>
    <t>KPI Market II</t>
  </si>
  <si>
    <t>Subtitle</t>
  </si>
  <si>
    <t>Unit</t>
  </si>
  <si>
    <t>Target Label</t>
  </si>
  <si>
    <t>Target Unit</t>
  </si>
  <si>
    <t>No Limit</t>
  </si>
  <si>
    <t>Status Override</t>
  </si>
  <si>
    <t>Usage Override</t>
  </si>
  <si>
    <t>Auto fields</t>
  </si>
  <si>
    <t>KPI 1</t>
  </si>
  <si>
    <t>Status/Usage để trống nếu muốn HTML tự tính</t>
  </si>
  <si>
    <t>KPI 2</t>
  </si>
  <si>
    <t>KPI 3</t>
  </si>
  <si>
    <t>Không áp dụng limit; chỉ theo dõi xu hướng nhạy cảm lãi suất.</t>
  </si>
  <si>
    <t>KPI 4</t>
  </si>
  <si>
    <t>KPI 5</t>
  </si>
  <si>
    <t>(nếu Lãi suất funding tăng thêm 2% so với hiện tại và duy trì trong 3M tới)</t>
  </si>
  <si>
    <t>-100</t>
  </si>
  <si>
    <t>Mục tiêu theo dõi</t>
  </si>
  <si>
    <t>Insight Market II</t>
  </si>
  <si>
    <t>Nếu lãi suất funding tăng thêm 2% so với hiện tại và duy trì trong 3M tới, biến động NII ước tính lỗ về NIM theo quy mô như chỉ số hiện tại</t>
  </si>
  <si>
    <t>Trình bày đầy đủ các nhóm số dư BS TT2, phân bổ kỳ hạn, phân bổ kỳ thanh khoản và kỳ hạn/lãi suất bình quân.</t>
  </si>
  <si>
    <t>Biến động số dư BS</t>
  </si>
  <si>
    <t>Chỉ tiêu (Nghìn tỷ VND)</t>
  </si>
  <si>
    <t>Loại dòng (helper)</t>
  </si>
  <si>
    <t>1</t>
  </si>
  <si>
    <t>Updating…</t>
  </si>
  <si>
    <t>normal</t>
  </si>
  <si>
    <t>2</t>
  </si>
  <si>
    <t>3</t>
  </si>
  <si>
    <t>4</t>
  </si>
  <si>
    <t>5</t>
  </si>
  <si>
    <t>6</t>
  </si>
  <si>
    <t>7</t>
  </si>
  <si>
    <t>total</t>
  </si>
  <si>
    <t>Liquidity GAP
(theo tính chất thanh khoản)</t>
  </si>
  <si>
    <t>gap</t>
  </si>
  <si>
    <t>Repricing GAP
(theo kỳ Tái định giá lãi suất)</t>
  </si>
  <si>
    <t>Repricing GAP_lũy kế
(theo kỳ Tái định giá lãi suất)</t>
  </si>
  <si>
    <t>Module dành cho Report Maker cập nhật dữ liệu đầu vào và đồng bộ lên giao diện báo cáo.</t>
  </si>
  <si>
    <t>Report Maker</t>
  </si>
  <si>
    <t>7. Data Import - Cập nhật số liệu báo cáo</t>
  </si>
  <si>
    <t>1. Yield</t>
  </si>
  <si>
    <t>select RptDate,Average as 'TygiaUV' 
from GS_RRTT.dbo.All_Marketdata_Historical
where Indicators like 'UV1'
 and RptDate &gt;=</t>
  </si>
  <si>
    <t>3. Thông tin OMO</t>
  </si>
  <si>
    <t>4. Tỷ giá USDVND</t>
  </si>
  <si>
    <t>Chuỗi tỷ giá USDVND</t>
  </si>
  <si>
    <t>MK.4</t>
  </si>
  <si>
    <t>TygiaUV</t>
  </si>
  <si>
    <t>2026-08-06</t>
  </si>
  <si>
    <t>2026-08-07</t>
  </si>
  <si>
    <t>select Date,Indicators,Value 
from QLRRTT.dbo.MSB_Report_AvailableBond
where indicators in ('Face_HLA','Face_Secured_Unused','Face_SBV_Overdraft','Face_OMO_Available','Face_HMNR_NAPAS') 
and Date &gt;=</t>
  </si>
  <si>
    <t>select RptDate,Indicators,Actual
from GS_RRTT.dbo.Bond_Trading_Historical
where indicators like 'Est %'
and Rptdate =</t>
  </si>
  <si>
    <t>2026-08-10</t>
  </si>
  <si>
    <t>2026-07-30</t>
  </si>
  <si>
    <t>2026-07-29</t>
  </si>
  <si>
    <t>2026-07-28</t>
  </si>
  <si>
    <t>2026-07-27</t>
  </si>
  <si>
    <t>2026-07-24</t>
  </si>
  <si>
    <t>2026-07-23</t>
  </si>
  <si>
    <t>2026-07-22</t>
  </si>
  <si>
    <t>2026-07-21</t>
  </si>
  <si>
    <t>2026-07-20</t>
  </si>
  <si>
    <t>2026-07-17</t>
  </si>
  <si>
    <t>2026-07-16</t>
  </si>
  <si>
    <t>2026-07-15</t>
  </si>
  <si>
    <t>2026-07-14</t>
  </si>
  <si>
    <t>2026-07-13</t>
  </si>
  <si>
    <t>2026-07-10</t>
  </si>
  <si>
    <t>2026-07-09</t>
  </si>
  <si>
    <t>2026-07-08</t>
  </si>
  <si>
    <t>2026-07-07</t>
  </si>
  <si>
    <t>2026-07-06</t>
  </si>
  <si>
    <t>2026-07-03</t>
  </si>
  <si>
    <t>2026-07-02</t>
  </si>
  <si>
    <t>2026-07-01</t>
  </si>
  <si>
    <t>2026-06-30</t>
  </si>
  <si>
    <t>2026-06-29</t>
  </si>
  <si>
    <t>2026-06-26</t>
  </si>
  <si>
    <t>2026-06-25</t>
  </si>
  <si>
    <t>2026-06-24</t>
  </si>
  <si>
    <t>2026-06-23</t>
  </si>
  <si>
    <t>2026-06-22</t>
  </si>
  <si>
    <t>2026-06-19</t>
  </si>
  <si>
    <t>2026-06-18</t>
  </si>
  <si>
    <t>2026-06-17</t>
  </si>
  <si>
    <t>2026-06-16</t>
  </si>
  <si>
    <t>2026-06-15</t>
  </si>
  <si>
    <t>2026-06-12</t>
  </si>
  <si>
    <t>2026-06-11</t>
  </si>
  <si>
    <t>2026-06-10</t>
  </si>
  <si>
    <t>2026-06-09</t>
  </si>
  <si>
    <t>2026-06-08</t>
  </si>
  <si>
    <t>2026-06-05</t>
  </si>
  <si>
    <t>2026-06-04</t>
  </si>
  <si>
    <t>2026-06-03</t>
  </si>
  <si>
    <t>2026-06-02</t>
  </si>
  <si>
    <t>2026-06-01</t>
  </si>
  <si>
    <t>2026-05-29</t>
  </si>
  <si>
    <t>2026-05-28</t>
  </si>
  <si>
    <t>2026-05-27</t>
  </si>
  <si>
    <t>2026-05-26</t>
  </si>
  <si>
    <t>2026-05-25</t>
  </si>
  <si>
    <t>2026-05-22</t>
  </si>
  <si>
    <t>2026-05-21</t>
  </si>
  <si>
    <t>2026-05-20</t>
  </si>
  <si>
    <t>2026-05-19</t>
  </si>
  <si>
    <t>2026-05-18</t>
  </si>
  <si>
    <t>2026-05-15</t>
  </si>
  <si>
    <t>2026-05-14</t>
  </si>
  <si>
    <t>2026-05-13</t>
  </si>
  <si>
    <t>2026-05-12</t>
  </si>
  <si>
    <t>2026-05-11</t>
  </si>
  <si>
    <t>2026-05-08</t>
  </si>
  <si>
    <t>2026-05-07</t>
  </si>
  <si>
    <t>2026-05-06</t>
  </si>
  <si>
    <t>2026-05-05</t>
  </si>
  <si>
    <t>2026-05-04</t>
  </si>
  <si>
    <t>2026-04-29</t>
  </si>
  <si>
    <t>2026-04-28</t>
  </si>
  <si>
    <t>2026-04-24</t>
  </si>
  <si>
    <t>2026-04-23</t>
  </si>
  <si>
    <t>2026-04-22</t>
  </si>
  <si>
    <t>2026-04-21</t>
  </si>
  <si>
    <t>2026-04-20</t>
  </si>
  <si>
    <t>2026-04-17</t>
  </si>
  <si>
    <t>2026-04-16</t>
  </si>
  <si>
    <t>2026-04-15</t>
  </si>
  <si>
    <t>2026-04-14</t>
  </si>
  <si>
    <t>2026-04-13</t>
  </si>
  <si>
    <t>2026-04-10</t>
  </si>
  <si>
    <t>2026-04-09</t>
  </si>
  <si>
    <t>2026-04-08</t>
  </si>
  <si>
    <t>2026-04-07</t>
  </si>
  <si>
    <t>2026-04-06</t>
  </si>
  <si>
    <t>2026-04-03</t>
  </si>
  <si>
    <t>2026-04-02</t>
  </si>
  <si>
    <t>2026-04-01</t>
  </si>
  <si>
    <t>2026-03-31</t>
  </si>
  <si>
    <t>2026-03-30</t>
  </si>
  <si>
    <t>2026-03-27</t>
  </si>
  <si>
    <t>2026-03-26</t>
  </si>
  <si>
    <t>2026-03-25</t>
  </si>
  <si>
    <t>2026-03-24</t>
  </si>
  <si>
    <t>2026-03-23</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</si>
  <si>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</si>
  <si>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</si>
  <si>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</si>
  <si>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</si>
  <si>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</si>
  <si>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</si>
  <si>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</si>
  <si>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</si>
  <si>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</si>
  <si>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</si>
  <si>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</si>
  <si>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</si>
  <si>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</si>
  <si>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</si>
  <si>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</si>
  <si>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</si>
  <si>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</si>
  <si>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</si>
  <si>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</si>
  <si>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</si>
  <si>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</si>
  <si>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</si>
  <si>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</si>
  <si>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</si>
  <si>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</si>
  <si>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</si>
  <si>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</si>
  <si>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</si>
  <si>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</si>
  <si>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</si>
  <si>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</si>
  <si>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</si>
  <si>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</si>
  <si>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</si>
  <si>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</si>
  <si>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</si>
  <si>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</si>
  <si>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</si>
  <si>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</si>
  <si>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</si>
  <si>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</si>
  <si>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</si>
  <si>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</si>
  <si>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</si>
  <si>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2026-01-12</t>
  </si>
  <si>
    <t>2026-01-09</t>
  </si>
  <si>
    <t>2026-01-08</t>
  </si>
  <si>
    <t>2026-01-07</t>
  </si>
  <si>
    <t>2026-01-06</t>
  </si>
  <si>
    <t>2026-01-05</t>
  </si>
  <si>
    <t>2025-12-31</t>
  </si>
  <si>
    <t>select Date,Indicators,Value  from QLRRTT.dbo.MSB_Report_Other_Data
where Indicators like '%OMO%' 
and Date &gt;=</t>
  </si>
  <si>
    <t>select RptDate, Indicators,Class, Tenor_Value,Actual 
from GS_RRTT.dbo.Bond_Banking_Historical a
where Indicators like '%Trang thai mo' and Rpt_Grp = ''
and Input_data = 'Spot' and Tenor_Value = '' and Class = 'All' 
and Rptdate &gt;=</t>
  </si>
  <si>
    <t>1Y</t>
  </si>
  <si>
    <t>2Y</t>
  </si>
  <si>
    <t>3Y</t>
  </si>
  <si>
    <t>4Y</t>
  </si>
  <si>
    <t>5Y</t>
  </si>
  <si>
    <t>7Y</t>
  </si>
  <si>
    <t>10Y</t>
  </si>
  <si>
    <t>15Y</t>
  </si>
  <si>
    <t>20Y</t>
  </si>
  <si>
    <t>30Y</t>
  </si>
  <si>
    <t>select RptDate,Tenor,Average as 'Yield' from GS_RRTT.dbo.All_Marketdata_Historical
where Indicators like 'VBMA%' and Indicators not like 'VBMA.%'
and Rptdate &gt;=</t>
  </si>
  <si>
    <t>2. Ls VND LNH</t>
  </si>
  <si>
    <t>Available bond</t>
  </si>
  <si>
    <t>BS FI</t>
  </si>
  <si>
    <t>Kỳ hạn</t>
  </si>
  <si>
    <t>DtD</t>
  </si>
  <si>
    <t>MtD</t>
  </si>
  <si>
    <t>YtD</t>
  </si>
  <si>
    <t>Liquidity GAP 
(theo tính chất thanh khoản)</t>
  </si>
  <si>
    <t>Liquidity GAP_Lũy kế 
(nếu giả định nguồn dư thừa TT1 tài trợ theo kỳ hạn phân bổ tại chỉ tiêu III như trên)</t>
  </si>
  <si>
    <t>Liquidity GAP_Lũy kế 
(nếu giả định nguồn dư thừa TT1 hỗ trợ ổn định dài hạn)</t>
  </si>
  <si>
    <t>Repricing GAP 
(theo kỳ Tái định giá lãi suất, không bao gồm RRLSSNH của Danh mục Gbond Trading và Banking)</t>
  </si>
  <si>
    <t>Repricing GAP_lũy kế 
(theo kỳ Tái định giá lãi suất, không bao gồm RRLSSNH của Danh mục Gbond Trading và Banking)</t>
  </si>
  <si>
    <t>Ước tính Giảm NII trong 3M tới (đv: tỷ VND)
Nếu giả định lãi suất LNH bình quân tăng 1% và giữ ổn định kể từ ngày mai (tỷ VND)</t>
  </si>
  <si>
    <t>Ước tính Giảm NII trong 3M tới (đv: tỷ VND)
Nếu giả định lãi suất LNH bình quân tăng 2% và giữ ổn định kể từ ngày mai (tỷ VND)</t>
  </si>
  <si>
    <t>Ước tính Giảm NII trong 6M tới (đv: tỷ VND)
Nếu giả định lãi suất LNH bình quân tăng 1% và giữ ổn định kể từ ngày mai (tỷ VND)</t>
  </si>
  <si>
    <t>Ước tính Giảm NII trong 6M tới (đv: tỷ VND)
Nếu giả định lãi suất LNH bình quân tăng 2% và giữ ổn định kể từ ngày mai (tỷ VND)</t>
  </si>
  <si>
    <t>Ngày báo cáo</t>
  </si>
  <si>
    <t>Bình quân</t>
  </si>
  <si>
    <t>Repricing GAP_lũy kế (theo kỳ Tái định giá lãi suất)</t>
  </si>
  <si>
    <r>
      <t xml:space="preserve">Repricing GAP
</t>
    </r>
    <r>
      <rPr>
        <sz val="10"/>
        <rFont val="Aptos"/>
        <family val="2"/>
      </rPr>
      <t>(theo kỳ Tái định giá lãi suất)</t>
    </r>
  </si>
  <si>
    <r>
      <t xml:space="preserve">Liquidity GAP
</t>
    </r>
    <r>
      <rPr>
        <sz val="10"/>
        <rFont val="Aptos"/>
        <family val="2"/>
      </rPr>
      <t>(theo tính chất thanh khoản)</t>
    </r>
  </si>
  <si>
    <t>EXCESS DEPOSIT FROM TT1 
(được TT2 hấp thụ tự động hàng ngày như là nguồn tài trợ (đối với Balancesheet FI và sẽ được cân đối để phân bổ vào các tài sản thanh khoản của TT2)</t>
  </si>
  <si>
    <t>Phân tách lại danh mục TD và BK GovBond</t>
  </si>
  <si>
    <t>Thay đổi ngưỡng mục tiêu bộ đệm thanh khoản</t>
  </si>
  <si>
    <t>Rủi ro LỖ KÉP tiếp tục là ÁP LỰC CHÍNH</t>
  </si>
  <si>
    <t>Trong bối cảnh lợi suất trái phiếu tăng từ đầu tháng và chi phí vốn duy trì ở mức cao, các danh mục Banking Gbond, FIBond và Trading Gbond đang chịu đồng thời hai áp lực: lỗ đánh giá lại MtM và suy giảm NIM
=&gt; Đây không chỉ là rủi ro thị trường ngắn hạn, mà là vấn đề cần được cân nhắc trong chiến lược phân bổ bảng cân đối (danh quy mô DM đầu tư) và tối ưu hiệu quả vốn.</t>
  </si>
  <si>
    <t>Check</t>
  </si>
  <si>
    <t>Bộ đệm thanh khoản Available Bond</t>
  </si>
  <si>
    <t>Hạn mức bộ đệm thanh khoản</t>
  </si>
  <si>
    <t>File csv</t>
  </si>
  <si>
    <t>Daily tool</t>
  </si>
  <si>
    <t>2026-08-11</t>
  </si>
  <si>
    <t>Executive Msg</t>
  </si>
  <si>
    <t>2026-08-12</t>
  </si>
  <si>
    <t>Repo &amp; OMO</t>
  </si>
  <si>
    <t>12. Realized chưa ghi nhận</t>
  </si>
  <si>
    <t>11. Ước tính NIM</t>
  </si>
  <si>
    <t>2026-08-13</t>
  </si>
  <si>
    <t>2026-08-14</t>
  </si>
  <si>
    <t>2026-08-17</t>
  </si>
  <si>
    <t>2026-08-18</t>
  </si>
  <si>
    <t>2026-08-19</t>
  </si>
  <si>
    <t>Sửa lại tool, xóa các bảng không cần thiết, giữ lại chuỗi và chỉ số lên html thôi</t>
  </si>
  <si>
    <t>Độ nhạy NIM</t>
  </si>
  <si>
    <t>tỷ đồng/tháng.</t>
  </si>
  <si>
    <t>sẽ làm NIM giảm thêm ~</t>
  </si>
  <si>
    <t>NIM giảm bao nhiêu nếu CoF tăng thêm 1%</t>
  </si>
  <si>
    <t>2026-08-20</t>
  </si>
  <si>
    <t>2026-08-21</t>
  </si>
  <si>
    <t>2026-08-24</t>
  </si>
  <si>
    <t>YTM</t>
  </si>
  <si>
    <t>13.  YTM</t>
  </si>
  <si>
    <t>Sửa lại công thức trong import từ công thức của AI</t>
  </si>
  <si>
    <t>YTM Trading</t>
  </si>
  <si>
    <t>select RptDate, Indicators,Actual
from GS_RRTT.dbo.Bond_Trading_Historical a
where Indicators = 'YTM'
and Rptdate &gt;=</t>
  </si>
  <si>
    <t>2026-08-25</t>
  </si>
  <si>
    <t>2026-08-26</t>
  </si>
  <si>
    <t>2026-08-27</t>
  </si>
  <si>
    <t>2026-08-28</t>
  </si>
  <si>
    <t>2026-09-03</t>
  </si>
  <si>
    <t>Kể từ ngày báo cáo 10/08/2026, QLRR đã điều chỉnh danh mục Trading và Banking book theo bóc tách lại phần Danh mục Banking Gbond phù hợp với số vốn được Pool tài trợ 12k tỷ) từ DCM. Theo đó:
(1) Danh mục theo mệnh giá của Trading book và Banking book tương ứng là: 17.413 tỷ và 10.848 tỷ.
(2) Ngay tại thời điểm bóc tách lại (10/08), Lỗ MtM của danh mục Trading điều chỉnh tăng thêm 23 tỷ.</t>
  </si>
  <si>
    <t>ItD của Trading Bond (limit 400 tỷ)</t>
  </si>
  <si>
    <t>Trạng thái danh mục FIBond&amp;CD (limit 44k, warning 40k)</t>
  </si>
  <si>
    <t>Sau bóc tách lại danh mục TD &amp; BK, ngưỡng mục tiêu bộ đệm thanh khoản điều chỉnh từ 11.440 tỷ về 10.400 tỷ. QLRR lưu ý:
(1) Banking Gbond dự phòng cần được sử dụng/tối ưu có chọn lọc trong điều kiện bình thường, nhằm tránh làm suy giảm năng lực ứng phó khi thị trường xuất hiện cú sốc nguồn vốn.</t>
  </si>
  <si>
    <t>Danh mục Trading Gbond hiện ghi nhận lỗ MtM quanh 1.640 tỷ đồng (xu hướng tăng gần đây do yield tăng liên tục tuần qua) trên quy mô trạng thái rủi ro 17.413 tỷ đồng, vượt hạn mức 400 tỷ đồng và đang trong quá trình phê duyệt ngoại lệ.
=&gt; QLRR khuyến nghị FI/DCM duy trì báo cáo định kỳ cấp có thẩm quyền, vẫn tiếp tục tìm kiếm các biện pháp giảm thiểu/xử lý lỗ và kiểm soát không để rủi ro tiếp tục gia tăng; báo cáo xin ý kiến cấp có thẩm quyền trong t/h phát sinh các nhân tố có thể làm leo thang đáng kể tình trạng lỗ mtm.</t>
  </si>
  <si>
    <t>Hệ thống tài trợ 12k tỷ để dự phòng thanh khoản cho kịch bản rút tiền gửi, tương ứng 10.848 tỷ theo mệnh giá.</t>
  </si>
  <si>
    <t>Khe hở thanh khoản lũy kế 3M có xu hướng tăng chiều âm do tăng huy động LNH kì ngắn.</t>
  </si>
  <si>
    <t>Repricing GAP lũy kế 3M mở rộng trong phiên, mức độ nhạy cảm với biến động lãi suất ngắn hạn theo đó cũng tăng</t>
  </si>
  <si>
    <t>2026-09-04</t>
  </si>
  <si>
    <t>2025-12-30</t>
  </si>
  <si>
    <t>2025-12-29</t>
  </si>
  <si>
    <t>2025-12-26</t>
  </si>
  <si>
    <t>2025-12-25</t>
  </si>
  <si>
    <t>2025-12-24</t>
  </si>
  <si>
    <t>2025-12-23</t>
  </si>
  <si>
    <t>2025-12-22</t>
  </si>
  <si>
    <t>2025-12-19</t>
  </si>
  <si>
    <t>2025-12-18</t>
  </si>
  <si>
    <t>2025-12-17</t>
  </si>
  <si>
    <t>2025-12-16</t>
  </si>
  <si>
    <t>2025-12-15</t>
  </si>
  <si>
    <t>2025-12-12</t>
  </si>
  <si>
    <t>2025-12-11</t>
  </si>
  <si>
    <t>2025-12-10</t>
  </si>
  <si>
    <t>2025-12-09</t>
  </si>
  <si>
    <t>2025-12-08</t>
  </si>
  <si>
    <t>2025-12-05</t>
  </si>
  <si>
    <t>2025-12-04</t>
  </si>
  <si>
    <t>2025-12-03</t>
  </si>
  <si>
    <t>2025-12-02</t>
  </si>
  <si>
    <t>2025-12-01</t>
  </si>
  <si>
    <t>2025-11-28</t>
  </si>
  <si>
    <t>2025-11-27</t>
  </si>
  <si>
    <t>2025-11-26</t>
  </si>
  <si>
    <t>2025-11-25</t>
  </si>
  <si>
    <t>2025-11-24</t>
  </si>
  <si>
    <t>2025-11-21</t>
  </si>
  <si>
    <t>2025-11-20</t>
  </si>
  <si>
    <t>2025-11-19</t>
  </si>
  <si>
    <t>2025-11-18</t>
  </si>
  <si>
    <t>2025-11-17</t>
  </si>
  <si>
    <t>2025-11-14</t>
  </si>
  <si>
    <t>2025-11-13</t>
  </si>
  <si>
    <t>2025-11-12</t>
  </si>
  <si>
    <t>2025-11-11</t>
  </si>
  <si>
    <t>2025-11-10</t>
  </si>
  <si>
    <t>2025-11-07</t>
  </si>
  <si>
    <t>2025-11-06</t>
  </si>
  <si>
    <t>2025-11-05</t>
  </si>
  <si>
    <t>2025-11-04</t>
  </si>
  <si>
    <t>2025-11-03</t>
  </si>
  <si>
    <t>2025-10-31</t>
  </si>
  <si>
    <t>2025-10-30</t>
  </si>
  <si>
    <t>2025-10-29</t>
  </si>
  <si>
    <t>2025-10-28</t>
  </si>
  <si>
    <t>2025-10-27</t>
  </si>
  <si>
    <t>2025-10-24</t>
  </si>
  <si>
    <t>2025-10-23</t>
  </si>
  <si>
    <t>2025-10-22</t>
  </si>
  <si>
    <t>2025-10-21</t>
  </si>
  <si>
    <t>2025-10-20</t>
  </si>
  <si>
    <t>2025-10-17</t>
  </si>
  <si>
    <t>2025-10-16</t>
  </si>
  <si>
    <t>2025-10-15</t>
  </si>
  <si>
    <t>2025-10-14</t>
  </si>
  <si>
    <t>2025-10-13</t>
  </si>
  <si>
    <t>2025-10-10</t>
  </si>
  <si>
    <t>2025-10-09</t>
  </si>
  <si>
    <t>2025-10-08</t>
  </si>
  <si>
    <t>2025-10-07</t>
  </si>
  <si>
    <t>2025-10-06</t>
  </si>
  <si>
    <t>2025-10-03</t>
  </si>
  <si>
    <t>2025-10-02</t>
  </si>
  <si>
    <t>2025-10-01</t>
  </si>
  <si>
    <t>2025-09-30</t>
  </si>
  <si>
    <t>2025-09-29</t>
  </si>
  <si>
    <t>2025-09-26</t>
  </si>
  <si>
    <t>2025-09-25</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</si>
  <si>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</si>
  <si>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</si>
  <si>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</si>
  <si>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</si>
  <si>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</si>
  <si>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</si>
  <si>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</si>
  <si>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</si>
  <si>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</si>
  <si>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</si>
  <si>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</si>
  <si>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</si>
  <si>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</si>
  <si>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</si>
  <si>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</si>
  <si>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</si>
  <si>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2025-08-29</t>
  </si>
  <si>
    <t>2025-08-28</t>
  </si>
  <si>
    <t>2025-08-27</t>
  </si>
  <si>
    <t>2025-08-26</t>
  </si>
  <si>
    <t>2025-08-25</t>
  </si>
  <si>
    <t>2025-08-22</t>
  </si>
  <si>
    <t>2025-08-21</t>
  </si>
  <si>
    <t>2025-08-20</t>
  </si>
  <si>
    <t>2025-08-19</t>
  </si>
  <si>
    <t>2025-08-18</t>
  </si>
  <si>
    <t>2025-08-15</t>
  </si>
  <si>
    <t>2025-08-14</t>
  </si>
  <si>
    <t>2025-08-13</t>
  </si>
  <si>
    <t>2025-08-12</t>
  </si>
  <si>
    <t>2025-08-11</t>
  </si>
  <si>
    <t>2025-08-08</t>
  </si>
  <si>
    <t>2025-08-07</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</si>
  <si>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</si>
  <si>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</si>
  <si>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</si>
  <si>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</si>
  <si>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</si>
  <si>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</si>
  <si>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</si>
  <si>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</si>
  <si>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</si>
  <si>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</si>
  <si>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</si>
  <si>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</si>
  <si>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</si>
  <si>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</si>
  <si>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</si>
  <si>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</si>
  <si>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</si>
  <si>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</si>
  <si>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</si>
  <si>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</si>
  <si>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</si>
  <si>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</si>
  <si>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</si>
  <si>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</si>
  <si>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</si>
  <si>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</si>
  <si>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</si>
  <si>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2025-06-30</t>
  </si>
  <si>
    <t>2025-06-27</t>
  </si>
  <si>
    <t>2025-06-26</t>
  </si>
  <si>
    <t>2025-06-25</t>
  </si>
  <si>
    <t>2025-06-24</t>
  </si>
  <si>
    <t>2025-06-23</t>
  </si>
  <si>
    <t>2025-06-20</t>
  </si>
  <si>
    <t>2025-06-19</t>
  </si>
  <si>
    <t>2025-06-18</t>
  </si>
  <si>
    <t>2025-06-17</t>
  </si>
  <si>
    <t>2025-06-16</t>
  </si>
  <si>
    <t>2025-06-13</t>
  </si>
  <si>
    <t>2025-06-12</t>
  </si>
  <si>
    <t>2025-06-11</t>
  </si>
  <si>
    <t>2025-06-10</t>
  </si>
  <si>
    <t>2025-06-09</t>
  </si>
  <si>
    <t>2025-06-06</t>
  </si>
  <si>
    <t>2025-06-05</t>
  </si>
  <si>
    <t>2025-06-04</t>
  </si>
  <si>
    <t>2025-06-03</t>
  </si>
  <si>
    <t>2025-06-02</t>
  </si>
  <si>
    <t>2025-05-30</t>
  </si>
  <si>
    <t>2025-05-29</t>
  </si>
  <si>
    <t>2025-05-28</t>
  </si>
  <si>
    <t>2025-05-27</t>
  </si>
  <si>
    <t>2025-05-26</t>
  </si>
  <si>
    <t>2025-05-23</t>
  </si>
  <si>
    <t>2025-05-22</t>
  </si>
  <si>
    <t>2025-05-21</t>
  </si>
  <si>
    <t>2025-05-20</t>
  </si>
  <si>
    <t>2025-05-19</t>
  </si>
  <si>
    <t>2025-05-16</t>
  </si>
  <si>
    <t>2025-05-15</t>
  </si>
  <si>
    <t>2025-05-14</t>
  </si>
  <si>
    <t>2025-05-13</t>
  </si>
  <si>
    <t>2025-05-12</t>
  </si>
  <si>
    <t>2025-05-09</t>
  </si>
  <si>
    <t>2025-05-08</t>
  </si>
  <si>
    <t>2025-05-07</t>
  </si>
  <si>
    <t>2025-05-06</t>
  </si>
  <si>
    <t>2025-05-05</t>
  </si>
  <si>
    <t>2025-04-29</t>
  </si>
  <si>
    <t>2025-04-28</t>
  </si>
  <si>
    <t>2025-04-25</t>
  </si>
  <si>
    <t>2025-04-24</t>
  </si>
  <si>
    <t>2025-04-23</t>
  </si>
  <si>
    <t>2025-04-22</t>
  </si>
  <si>
    <t>2025-04-21</t>
  </si>
  <si>
    <t>2025-04-18</t>
  </si>
  <si>
    <t>2025-04-17</t>
  </si>
  <si>
    <t>2025-04-16</t>
  </si>
  <si>
    <t>2025-04-15</t>
  </si>
  <si>
    <t>2025-04-14</t>
  </si>
  <si>
    <t>2025-04-11</t>
  </si>
  <si>
    <t>2025-04-10</t>
  </si>
  <si>
    <t>2025-04-09</t>
  </si>
  <si>
    <t>2025-04-08</t>
  </si>
  <si>
    <t>2025-04-04</t>
  </si>
  <si>
    <t>2025-04-03</t>
  </si>
  <si>
    <t>2025-04-02</t>
  </si>
  <si>
    <t>2025-04-01</t>
  </si>
  <si>
    <t>2025-03-31</t>
  </si>
  <si>
    <t>2025-03-28</t>
  </si>
  <si>
    <t>2025-03-27</t>
  </si>
  <si>
    <t>2025-03-26</t>
  </si>
  <si>
    <t>2025-03-25</t>
  </si>
  <si>
    <t>2025-03-24</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</si>
  <si>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</si>
  <si>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</si>
  <si>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</si>
  <si>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</si>
  <si>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</si>
  <si>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</si>
  <si>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</si>
  <si>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</si>
  <si>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</si>
  <si>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</si>
  <si>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</si>
  <si>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</si>
  <si>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</si>
  <si>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</si>
  <si>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</si>
  <si>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</si>
  <si>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</si>
  <si>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</si>
  <si>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</si>
  <si>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</si>
  <si>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</si>
  <si>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</si>
  <si>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</si>
  <si>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</si>
  <si>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</si>
  <si>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</si>
  <si>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</si>
  <si>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</si>
  <si>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</si>
  <si>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</si>
  <si>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</si>
  <si>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</si>
  <si>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</si>
  <si>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</si>
  <si>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</si>
  <si>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2025-01-24</t>
  </si>
  <si>
    <t>2025-01-23</t>
  </si>
  <si>
    <t>2025-01-22</t>
  </si>
  <si>
    <t>2025-01-21</t>
  </si>
  <si>
    <t>2025-01-20</t>
  </si>
  <si>
    <t>2025-01-17</t>
  </si>
  <si>
    <t>2025-01-16</t>
  </si>
  <si>
    <t>2025-01-15</t>
  </si>
  <si>
    <t>2025-01-14</t>
  </si>
  <si>
    <t>2025-01-13</t>
  </si>
  <si>
    <t>2025-01-10</t>
  </si>
  <si>
    <t>2025-01-09</t>
  </si>
  <si>
    <t>2025-01-08</t>
  </si>
  <si>
    <t>2025-01-07</t>
  </si>
  <si>
    <t>2025-01-06</t>
  </si>
  <si>
    <t>2025-01-03</t>
  </si>
  <si>
    <t>2025-01-02</t>
  </si>
  <si>
    <t>2024-12-31</t>
  </si>
  <si>
    <t>GAP</t>
  </si>
  <si>
    <t>Off BS</t>
  </si>
  <si>
    <t>\\filesrv01.msb.com.vn\06.Khoi Quan Ly Rui Ro\02.Trung Tam QLRR Thi Truong\02.Phong GSRRTT\05.Report\01.Daily Report\03. QLHS &amp; VTC\00.Summary_EXCO FI.xlsx</t>
  </si>
  <si>
    <t>và giá trị danh mục Banking Book giảm khoảng</t>
  </si>
  <si>
    <t>Kịch bản nếu yield tăng</t>
  </si>
  <si>
    <t>2026-09-07</t>
  </si>
  <si>
    <t>2026-09-08</t>
  </si>
  <si>
    <t>Module: Executive</t>
  </si>
  <si>
    <t>Group: AI Module</t>
  </si>
  <si>
    <t>Module: Thông tin chung</t>
  </si>
  <si>
    <t>Module: Thông tin chi tiết DM</t>
  </si>
  <si>
    <t>Module: Thông tin thị trường</t>
  </si>
  <si>
    <t>Module: Cơ cấu CF Market II</t>
  </si>
  <si>
    <t>Module: Import Data</t>
  </si>
  <si>
    <t>2026-09-09</t>
  </si>
  <si>
    <t>Từ tháng 9 đến YE2026, giả định danh mục không thay đổi (chỉ điều chỉnh các deal valuedate trong tương lai lần lượt chuyển từ ngoại bảng vào nội bảng), nếu COF tăng thêm</t>
  </si>
  <si>
    <t>2026-09-10</t>
  </si>
  <si>
    <t>2026-09-11</t>
  </si>
  <si>
    <t>2026-09-14</t>
  </si>
  <si>
    <t>Trạng thái GovBond Trading</t>
  </si>
  <si>
    <t>2026-09-15</t>
  </si>
  <si>
    <t>2026-09-16</t>
  </si>
  <si>
    <t>2026-09-17</t>
  </si>
  <si>
    <t>2026-09-18</t>
  </si>
  <si>
    <t>2026-09-21</t>
  </si>
  <si>
    <t>2026-09-22</t>
  </si>
  <si>
    <t>2026-09-23</t>
  </si>
  <si>
    <t>2026-09-24</t>
  </si>
  <si>
    <t>2026-09-25</t>
  </si>
  <si>
    <t>Repricing GAP lũy kế 3M xu hướng mở rộng từ tuần trước, mức độ nhạy cảm với biến động lãi suất ngắn hạn tăng</t>
  </si>
  <si>
    <t>Khe hở thanh khoản gap 3M có xu hướng tăng chiều âm trong tháng 9 chủ yếu do giảm cho vay LNH kì 1-3M trong khi tăng huy động LNH kì dưới 3M</t>
  </si>
  <si>
    <t>Executive Messages: (1) Chỉ số lỗ MtM của danh mục Bond Trading giữ mức 1.634 tỷ. Nếu yield tăng thêm 1 bps (~0.01%) ở tất cả các kỳ hạn, mức lỗ sẽ gia tăng thêm 11 tỷ.
(2) Trạng thái danh mục GBond duy trì mức 17.513 tỷ - 88% hạn mức; Trạng thái danh mục FIBond &amp; CD (bao gồm cả TPCP nước ngoài Kyrgyzstan) duy trì mức 39.414 tỷ - 88% hạn mức.
(3) Lãi suất LNH kỳ ON tiếp tục giảm xuống 0.7% trong khi các kỳ dài hơn từ 1W-1M vẫn quanh mức 5-6%. Lưu ý rủi ro lỗ NIM vẫn tiềm ẩn do lãi suất có khả năng biến động mạnh.
(4) Khe hở thanh khoản lũy kế - Gap 3M đang ở mức -25,2k tỷ, có xu hướng tăng chiều âm trong tháng 9, chủ yếu do giảm cho vay LNH kì 1-3M trong khi tăng huy động LNH kì dưới 3M</t>
  </si>
  <si>
    <t>2026-09-28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</si>
</sst>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3" formatCode="_(* #,##0.00_);_(* \(#,##0.00\);_(* &quot;-&quot;??_);_(@_)"/>
    <numFmt numFmtId="164" formatCode="_(* #,##0_);_(* \(#,##0\);_(* &quot;-&quot;??_);_(@_)"/>
    <numFmt numFmtId="165" formatCode="[$-409]d\-mmm\-yy;@"/>
    <numFmt numFmtId="166" formatCode="0.0%"/>
    <numFmt numFmtId="167" formatCode="_(* #,##0.0_);_(* \(#,##0.0\);_(* &quot;-&quot;_);_(@_)"/>
    <numFmt numFmtId="168" formatCode="_(* #,##0.000_);_(* \(#,##0.000\);_(* &quot;-&quot;_);_(@_)"/>
    <numFmt numFmtId="169" formatCode="_-* #,##0_-;\-* #,##0_-;_-* &quot;-&quot;??_-;_-@_-"/>
    <numFmt numFmtId="170" formatCode="[$-409]mmm\-yy;@"/>
    <numFmt numFmtId="171" formatCode="_(* #,##0.0_);_(* \(#,##0.0\);_(* &quot;-&quot;??_);_(@_)"/>
    <numFmt numFmtId="172" formatCode="#,##0;\(#,##0\);0"/>
    <numFmt numFmtId="173" formatCode="0.0"/>
    <numFmt numFmtId="174" formatCode="_(* #,##0.00_);_(* \(#,##0.00\);_(* &quot;-&quot;_);_(@_)"/>
    <numFmt numFmtId="175" formatCode="0.000%"/>
    <numFmt numFmtId="176" formatCode="_(* #,##0.000000_);_(* \(#,##0.000000\);_(* &quot;-&quot;_);_(@_)"/>
    <numFmt numFmtId="177" formatCode="_(* #,##0.0000_);_(* \(#,##0.0000\);_(* &quot;-&quot;_);_(@_)"/>
  </numFmts>
  <fonts count="62">
    <font>
      <sz val="11"/>
      <color theme="1"/>
      <name val="Calibri"/>
      <family val="2"/>
      <scheme val="minor"/>
    </font>
    <font>
      <sz val="11"/>
      <color theme="1"/>
      <name val="Arial"/>
      <family val="2"/>
    </font>
    <font>
      <sz val="11"/>
      <color theme="1"/>
      <name val="Arial"/>
      <family val="2"/>
    </font>
    <font>
      <sz val="11"/>
      <color theme="1"/>
      <name val="Calibri"/>
      <family val="2"/>
      <scheme val="minor"/>
    </font>
    <font>
      <b/>
      <sz val="11"/>
      <color theme="1"/>
      <name val="Calibri"/>
      <family val="2"/>
      <scheme val="minor"/>
    </font>
    <font>
      <sz val="10"/>
      <color theme="1"/>
      <name val="Tahoma"/>
      <family val="2"/>
    </font>
    <font>
      <sz val="11"/>
      <color rgb="FFFF0000"/>
      <name val="Calibri"/>
      <family val="2"/>
      <scheme val="minor"/>
    </font>
    <font>
      <sz val="11"/>
      <color theme="1"/>
      <name val="Times New Roman"/>
      <family val="2"/>
    </font>
    <font>
      <sz val="10"/>
      <color theme="1"/>
      <name val="Arial"/>
      <family val="2"/>
    </font>
    <font>
      <i/>
      <sz val="10"/>
      <color theme="1"/>
      <name val="Arial"/>
      <family val="2"/>
    </font>
    <font>
      <i/>
      <sz val="10"/>
      <name val="Arial"/>
      <family val="2"/>
    </font>
    <font>
      <b/>
      <sz val="11"/>
      <color theme="0"/>
      <name val="Arial"/>
      <family val="2"/>
    </font>
    <font>
      <b/>
      <sz val="11"/>
      <color rgb="FFFF0000"/>
      <name val="Calibri"/>
      <family val="2"/>
      <scheme val="minor"/>
    </font>
    <font>
      <sz val="8"/>
      <name val="Calibri"/>
      <family val="2"/>
      <scheme val="minor"/>
    </font>
    <font>
      <b/>
      <sz val="11"/>
      <name val="Calibri"/>
      <family val="2"/>
      <scheme val="minor"/>
    </font>
    <font>
      <b/>
      <sz val="11"/>
      <color theme="0"/>
      <name val="Calibri"/>
      <family val="2"/>
      <scheme val="minor"/>
    </font>
    <font>
      <sz val="10"/>
      <color theme="1"/>
      <name val="Calibri"/>
      <family val="2"/>
      <scheme val="minor"/>
    </font>
    <font>
      <sz val="10"/>
      <color rgb="FFFF0000"/>
      <name val="Calibri"/>
      <family val="2"/>
      <scheme val="minor"/>
    </font>
    <font>
      <sz val="10"/>
      <name val="Calibri"/>
      <family val="2"/>
      <scheme val="minor"/>
    </font>
    <font>
      <sz val="11"/>
      <name val="Carlito"/>
    </font>
    <font>
      <b/>
      <sz val="11"/>
      <name val="Arial"/>
      <family val="2"/>
    </font>
    <font>
      <b/>
      <sz val="11"/>
      <color theme="1"/>
      <name val="Arial"/>
      <family val="2"/>
    </font>
    <font>
      <sz val="11"/>
      <color rgb="FFFF0000"/>
      <name val="Arial"/>
      <family val="2"/>
    </font>
    <font>
      <b/>
      <sz val="11"/>
      <color rgb="FFFF0000"/>
      <name val="Arial"/>
      <family val="2"/>
    </font>
    <font>
      <i/>
      <sz val="10"/>
      <color rgb="FFFF0000"/>
      <name val="Arial"/>
      <family val="2"/>
    </font>
    <font>
      <sz val="11"/>
      <name val="Arial"/>
      <family val="2"/>
    </font>
    <font>
      <sz val="10"/>
      <name val="Aptos"/>
      <family val="2"/>
    </font>
    <font>
      <b/>
      <sz val="10"/>
      <name val="Aptos"/>
      <family val="2"/>
    </font>
    <font>
      <b/>
      <sz val="10"/>
      <color rgb="FFFF0000"/>
      <name val="Aptos"/>
      <family val="2"/>
    </font>
    <font>
      <sz val="10"/>
      <color rgb="FFFF0000"/>
      <name val="Aptos"/>
      <family val="2"/>
    </font>
    <font>
      <sz val="9"/>
      <name val="Carlito"/>
    </font>
    <font>
      <sz val="10"/>
      <name val="Arial"/>
      <family val="2"/>
    </font>
    <font>
      <b/>
      <sz val="10"/>
      <color theme="1"/>
      <name val="Tahoma"/>
      <family val="2"/>
    </font>
    <font>
      <b/>
      <sz val="10"/>
      <name val="Tahoma"/>
      <family val="2"/>
    </font>
    <font>
      <u/>
      <sz val="10"/>
      <color theme="10"/>
      <name val="Arial"/>
      <family val="2"/>
    </font>
    <font>
      <sz val="10"/>
      <name val="Tahoma"/>
      <family val="2"/>
    </font>
    <font>
      <sz val="9.5"/>
      <color theme="1"/>
      <name val="Tahoma"/>
      <family val="2"/>
    </font>
    <font>
      <sz val="9.5"/>
      <color rgb="FF000000"/>
      <name val="Tahoma"/>
      <family val="2"/>
    </font>
    <font>
      <b/>
      <sz val="9.5"/>
      <name val="Tahoma"/>
      <family val="2"/>
    </font>
    <font>
      <sz val="10"/>
      <name val="MS Sans Serif"/>
      <family val="2"/>
    </font>
    <font>
      <b/>
      <sz val="9"/>
      <color rgb="FFFFFFFF"/>
      <name val="Aptos"/>
      <family val="2"/>
    </font>
    <font>
      <sz val="9"/>
      <color theme="1"/>
      <name val="Aptos"/>
      <family val="2"/>
    </font>
    <font>
      <sz val="9"/>
      <name val="Aptos"/>
      <family val="2"/>
    </font>
    <font>
      <sz val="9"/>
      <color rgb="FF027A48"/>
      <name val="Aptos"/>
      <family val="2"/>
    </font>
    <font>
      <sz val="10"/>
      <name val="Consolas"/>
      <family val="3"/>
    </font>
    <font>
      <b/>
      <sz val="18"/>
      <color rgb="FF172033"/>
      <name val="Aptos"/>
      <family val="2"/>
    </font>
    <font>
      <b/>
      <sz val="10"/>
      <color theme="0"/>
      <name val="Aptos"/>
      <family val="2"/>
    </font>
    <font>
      <b/>
      <sz val="9"/>
      <color rgb="FFFF0000"/>
      <name val="Aptos"/>
      <family val="2"/>
    </font>
    <font>
      <sz val="9"/>
      <color rgb="FFFF0000"/>
      <name val="Aptos"/>
      <family val="2"/>
    </font>
    <font>
      <sz val="11"/>
      <color rgb="FFFF0000"/>
      <name val="Carlito"/>
    </font>
    <font>
      <sz val="9"/>
      <color rgb="FFFF0000"/>
      <name val="Carlito"/>
    </font>
    <font>
      <b/>
      <sz val="11"/>
      <color rgb="FFC00000"/>
      <name val="Calibri"/>
      <family val="2"/>
      <scheme val="minor"/>
    </font>
    <font>
      <b/>
      <sz val="11"/>
      <color theme="1" tint="0.249977111117893"/>
      <name val="Calibri"/>
      <family val="2"/>
      <scheme val="minor"/>
    </font>
    <font>
      <sz val="11"/>
      <color theme="1" tint="0.249977111117893"/>
      <name val="Calibri"/>
      <family val="2"/>
      <scheme val="minor"/>
    </font>
    <font>
      <sz val="11"/>
      <name val="Calibri"/>
      <family val="2"/>
      <scheme val="minor"/>
    </font>
    <font>
      <sz val="11"/>
      <color rgb="FFC00000"/>
      <name val="Calibri"/>
      <family val="2"/>
      <scheme val="minor"/>
    </font>
    <font>
      <sz val="11"/>
      <color theme="0" tint="-0.249977111117893"/>
      <name val="Calibri"/>
      <family val="2"/>
      <scheme val="minor"/>
    </font>
    <font>
      <b/>
      <sz val="10"/>
      <color rgb="FFC00000"/>
      <name val="Tahoma"/>
      <family val="2"/>
    </font>
    <font>
      <b/>
      <sz val="9.5"/>
      <color rgb="FFC00000"/>
      <name val="Tahoma"/>
      <family val="2"/>
    </font>
    <font>
      <u/>
      <sz val="11"/>
      <color theme="10"/>
      <name val="Calibri"/>
      <family val="2"/>
      <scheme val="minor"/>
    </font>
    <font>
      <sz val="9"/>
      <color theme="0"/>
      <name val="Carlito"/>
    </font>
    <font>
      <sz val="11"/>
      <color theme="0"/>
      <name val="Carlito"/>
    </font>
  </fonts>
  <fills count="2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5"/>
        <bgColor indexed="64"/>
      </patternFill>
    </fill>
    <fill>
      <patternFill patternType="solid">
        <fgColor theme="5"/>
        <bgColor theme="5"/>
      </patternFill>
    </fill>
    <fill>
      <patternFill patternType="solid">
        <fgColor theme="0" tint="-0.14999847407452621"/>
        <bgColor indexed="64"/>
      </patternFill>
    </fill>
    <fill>
      <patternFill patternType="solid">
        <fgColor rgb="FFDDEEFF"/>
      </patternFill>
    </fill>
    <fill>
      <patternFill patternType="solid">
        <fgColor theme="7" tint="0.79998168889431442"/>
        <bgColor indexed="64"/>
      </patternFill>
    </fill>
    <fill>
      <patternFill patternType="solid">
        <fgColor theme="4" tint="0.59999389629810485"/>
        <bgColor theme="4" tint="0.79998168889431442"/>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431407"/>
      </patternFill>
    </fill>
    <fill>
      <patternFill patternType="solid">
        <fgColor rgb="FFFFF4E6"/>
      </patternFill>
    </fill>
    <fill>
      <patternFill patternType="solid">
        <fgColor theme="4"/>
        <bgColor indexed="64"/>
      </patternFill>
    </fill>
    <fill>
      <patternFill patternType="solid">
        <fgColor theme="8" tint="-0.249977111117893"/>
        <bgColor indexed="64"/>
      </patternFill>
    </fill>
    <fill>
      <patternFill patternType="solid">
        <fgColor rgb="FF00B050"/>
        <bgColor indexed="64"/>
      </patternFill>
    </fill>
    <fill>
      <patternFill patternType="solid">
        <fgColor theme="9" tint="0.39997558519241921"/>
        <bgColor indexed="64"/>
      </patternFill>
    </fill>
  </fills>
  <borders count="37">
    <border>
      <left/>
      <right/>
      <top/>
      <bottom/>
      <diagonal/>
    </border>
    <border>
      <left/>
      <right/>
      <top/>
      <bottom style="thin">
        <color theme="0" tint="-0.249977111117893"/>
      </bottom>
      <diagonal/>
    </border>
    <border>
      <left/>
      <right style="thin">
        <color theme="0" tint="-0.249977111117893"/>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bottom/>
      <diagonal/>
    </border>
    <border>
      <left style="thin">
        <color rgb="FFD0D5DD"/>
      </left>
      <right style="thin">
        <color rgb="FFD0D5DD"/>
      </right>
      <top style="thin">
        <color rgb="FFD0D5DD"/>
      </top>
      <bottom style="thin">
        <color rgb="FFD0D5DD"/>
      </bottom>
      <diagonal/>
    </border>
    <border>
      <left style="thin">
        <color rgb="FFE4E7EC"/>
      </left>
      <right/>
      <top style="thin">
        <color rgb="FFE4E7EC"/>
      </top>
      <bottom/>
      <diagonal/>
    </border>
    <border>
      <left style="thin">
        <color rgb="FFE4E7EC"/>
      </left>
      <right style="thin">
        <color rgb="FFE4E7EC"/>
      </right>
      <top style="thin">
        <color rgb="FFE4E7EC"/>
      </top>
      <bottom/>
      <diagonal/>
    </border>
    <border>
      <left style="thin">
        <color rgb="FFE4E7EC"/>
      </left>
      <right style="thin">
        <color rgb="FFE4E7EC"/>
      </right>
      <top style="thin">
        <color rgb="FFE4E7EC"/>
      </top>
      <bottom style="thin">
        <color rgb="FFE4E7EC"/>
      </bottom>
      <diagonal/>
    </border>
    <border>
      <left/>
      <right style="thin">
        <color rgb="FFE4E7EC"/>
      </right>
      <top/>
      <bottom style="thin">
        <color rgb="FFE4E7EC"/>
      </bottom>
      <diagonal/>
    </border>
    <border>
      <left style="thin">
        <color rgb="FFE4E7EC"/>
      </left>
      <right style="thin">
        <color rgb="FFE4E7EC"/>
      </right>
      <top/>
      <bottom style="thin">
        <color rgb="FFE4E7EC"/>
      </bottom>
      <diagonal/>
    </border>
    <border>
      <left style="thin">
        <color rgb="FFE4E7EC"/>
      </left>
      <right/>
      <top/>
      <bottom style="thin">
        <color rgb="FFE4E7EC"/>
      </bottom>
      <diagonal/>
    </border>
    <border>
      <left/>
      <right style="thin">
        <color rgb="FFE4E7EC"/>
      </right>
      <top style="thin">
        <color rgb="FFE4E7EC"/>
      </top>
      <bottom style="thin">
        <color rgb="FFE4E7EC"/>
      </bottom>
      <diagonal/>
    </border>
    <border>
      <left style="thin">
        <color rgb="FFE4E7EC"/>
      </left>
      <right/>
      <top style="thin">
        <color rgb="FFE4E7EC"/>
      </top>
      <bottom style="thin">
        <color rgb="FFE4E7EC"/>
      </bottom>
      <diagonal/>
    </border>
    <border>
      <left/>
      <right style="thin">
        <color rgb="FFE4E7EC"/>
      </right>
      <top style="thin">
        <color rgb="FFE4E7EC"/>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3">
    <xf numFmtId="0" fontId="0" fillId="0" borderId="0"/>
    <xf numFmtId="43" fontId="3" fillId="0" borderId="0" applyFont="0" applyFill="0" applyBorder="0" applyAlignment="0" applyProtection="0"/>
    <xf numFmtId="9" fontId="3" fillId="0" borderId="0" applyFont="0" applyFill="0" applyBorder="0" applyAlignment="0" applyProtection="0"/>
    <xf numFmtId="165" fontId="7" fillId="0" borderId="0"/>
    <xf numFmtId="43" fontId="7" fillId="0" borderId="0" applyFont="0" applyFill="0" applyBorder="0" applyAlignment="0" applyProtection="0"/>
    <xf numFmtId="165" fontId="3" fillId="0" borderId="0"/>
    <xf numFmtId="0" fontId="3" fillId="0" borderId="0"/>
    <xf numFmtId="41" fontId="3" fillId="0" borderId="0" applyFont="0" applyFill="0" applyBorder="0" applyAlignment="0" applyProtection="0"/>
    <xf numFmtId="0" fontId="19" fillId="0" borderId="0"/>
    <xf numFmtId="0" fontId="2" fillId="0" borderId="0"/>
    <xf numFmtId="0" fontId="1" fillId="0" borderId="0"/>
    <xf numFmtId="43" fontId="19" fillId="0" borderId="0" applyFont="0" applyFill="0" applyBorder="0" applyAlignment="0" applyProtection="0"/>
    <xf numFmtId="9" fontId="19" fillId="0" borderId="0" applyFont="0" applyFill="0" applyBorder="0" applyAlignment="0" applyProtection="0"/>
    <xf numFmtId="0" fontId="3" fillId="0" borderId="0"/>
    <xf numFmtId="0" fontId="31" fillId="0" borderId="0"/>
    <xf numFmtId="0" fontId="34" fillId="0" borderId="0" applyNumberFormat="0" applyFill="0" applyBorder="0" applyAlignment="0" applyProtection="0">
      <alignment vertical="top"/>
      <protection locked="0"/>
    </xf>
    <xf numFmtId="43" fontId="31" fillId="0" borderId="0" applyFont="0" applyFill="0" applyBorder="0" applyAlignment="0" applyProtection="0"/>
    <xf numFmtId="0" fontId="31" fillId="0" borderId="0"/>
    <xf numFmtId="43" fontId="39" fillId="0" borderId="0" applyFont="0" applyFill="0" applyBorder="0" applyAlignment="0" applyProtection="0"/>
    <xf numFmtId="9" fontId="31" fillId="0" borderId="0" applyFont="0" applyFill="0" applyBorder="0" applyAlignment="0" applyProtection="0"/>
    <xf numFmtId="43" fontId="5" fillId="0" borderId="0" applyFont="0" applyFill="0" applyBorder="0" applyAlignment="0" applyProtection="0"/>
    <xf numFmtId="41" fontId="19" fillId="0" borderId="0" applyFont="0" applyFill="0" applyBorder="0" applyAlignment="0" applyProtection="0"/>
    <xf numFmtId="0" fontId="59" fillId="0" borderId="0" applyNumberFormat="0" applyFill="0" applyBorder="0" applyAlignment="0" applyProtection="0"/>
  </cellStyleXfs>
  <cellXfs count="406">
    <xf numFmtId="0" fontId="0" fillId="0" borderId="0" xfId="0"/>
    <xf numFmtId="14" fontId="0" fillId="0" borderId="0" xfId="0" applyNumberFormat="1"/>
    <xf numFmtId="0" fontId="4" fillId="0" borderId="0" xfId="0" applyFont="1"/>
    <xf numFmtId="164" fontId="0" fillId="0" borderId="0" xfId="1" applyNumberFormat="1" applyFont="1"/>
    <xf numFmtId="14" fontId="4" fillId="0" borderId="0" xfId="0" applyNumberFormat="1" applyFont="1"/>
    <xf numFmtId="0" fontId="5" fillId="0" borderId="0" xfId="0" applyFont="1"/>
    <xf numFmtId="165" fontId="8" fillId="0" borderId="0" xfId="3" applyFont="1" applyAlignment="1">
      <alignment vertical="top"/>
    </xf>
    <xf numFmtId="0" fontId="0" fillId="0" borderId="0" xfId="0" applyAlignment="1">
      <alignment vertical="center"/>
    </xf>
    <xf numFmtId="0" fontId="6" fillId="0" borderId="0" xfId="0" applyFont="1"/>
    <xf numFmtId="43" fontId="0" fillId="0" borderId="0" xfId="1" applyFont="1"/>
    <xf numFmtId="164" fontId="0" fillId="0" borderId="0" xfId="0" applyNumberFormat="1"/>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41" fontId="0" fillId="0" borderId="0" xfId="7" applyFont="1"/>
    <xf numFmtId="0" fontId="4" fillId="7" borderId="0" xfId="0" applyFont="1" applyFill="1" applyAlignment="1">
      <alignment vertical="center"/>
    </xf>
    <xf numFmtId="14" fontId="4" fillId="7" borderId="0" xfId="0" applyNumberFormat="1" applyFont="1" applyFill="1" applyAlignment="1">
      <alignment vertical="center"/>
    </xf>
    <xf numFmtId="0" fontId="4" fillId="0" borderId="0" xfId="0" applyFont="1" applyAlignment="1">
      <alignment horizontal="center" vertical="center"/>
    </xf>
    <xf numFmtId="0" fontId="14" fillId="0" borderId="0" xfId="0" applyFont="1"/>
    <xf numFmtId="0" fontId="15" fillId="7" borderId="5" xfId="0" applyFont="1" applyFill="1" applyBorder="1" applyAlignment="1">
      <alignment horizontal="center" vertical="center"/>
    </xf>
    <xf numFmtId="0" fontId="15" fillId="7" borderId="8" xfId="0" applyFont="1" applyFill="1" applyBorder="1" applyAlignment="1">
      <alignment horizontal="center" vertical="center"/>
    </xf>
    <xf numFmtId="0" fontId="15" fillId="8" borderId="3" xfId="0" applyFont="1" applyFill="1" applyBorder="1" applyAlignment="1">
      <alignment horizontal="center" vertical="center"/>
    </xf>
    <xf numFmtId="14" fontId="17" fillId="0" borderId="6" xfId="0" applyNumberFormat="1" applyFont="1" applyBorder="1" applyAlignment="1">
      <alignment horizontal="right" vertical="center"/>
    </xf>
    <xf numFmtId="14" fontId="18" fillId="2" borderId="6" xfId="0" applyNumberFormat="1" applyFont="1" applyFill="1" applyBorder="1" applyAlignment="1">
      <alignment horizontal="right" vertical="center"/>
    </xf>
    <xf numFmtId="0" fontId="4" fillId="3" borderId="0" xfId="0" applyFont="1" applyFill="1" applyAlignment="1">
      <alignment vertical="center"/>
    </xf>
    <xf numFmtId="164" fontId="17" fillId="0" borderId="0" xfId="1" applyNumberFormat="1" applyFont="1" applyFill="1" applyBorder="1" applyAlignment="1">
      <alignment horizontal="right" vertical="center"/>
    </xf>
    <xf numFmtId="14" fontId="0" fillId="0" borderId="11" xfId="0" applyNumberFormat="1" applyBorder="1" applyAlignment="1">
      <alignment vertical="center"/>
    </xf>
    <xf numFmtId="0" fontId="0" fillId="0" borderId="11" xfId="0" applyBorder="1" applyAlignment="1">
      <alignment vertical="center"/>
    </xf>
    <xf numFmtId="0" fontId="19" fillId="0" borderId="0" xfId="8"/>
    <xf numFmtId="17" fontId="11" fillId="7" borderId="12" xfId="0" applyNumberFormat="1" applyFont="1" applyFill="1" applyBorder="1" applyAlignment="1">
      <alignment horizontal="center" vertical="center" wrapText="1"/>
    </xf>
    <xf numFmtId="17" fontId="11" fillId="7" borderId="11" xfId="0" applyNumberFormat="1" applyFont="1" applyFill="1" applyBorder="1" applyAlignment="1">
      <alignment horizontal="center" vertical="center" wrapText="1"/>
    </xf>
    <xf numFmtId="17" fontId="20" fillId="9" borderId="11" xfId="0" applyNumberFormat="1" applyFont="1" applyFill="1" applyBorder="1" applyAlignment="1">
      <alignment horizontal="center" vertical="center" wrapText="1"/>
    </xf>
    <xf numFmtId="17" fontId="20" fillId="9" borderId="13" xfId="0" applyNumberFormat="1" applyFont="1" applyFill="1" applyBorder="1" applyAlignment="1">
      <alignment horizontal="center" vertical="center" wrapText="1"/>
    </xf>
    <xf numFmtId="0" fontId="21" fillId="4" borderId="14" xfId="0" applyFont="1" applyFill="1" applyBorder="1" applyAlignment="1">
      <alignment vertical="center"/>
    </xf>
    <xf numFmtId="0" fontId="1" fillId="5" borderId="10" xfId="0" applyFont="1" applyFill="1" applyBorder="1" applyAlignment="1">
      <alignment horizontal="left" vertical="center" wrapText="1"/>
    </xf>
    <xf numFmtId="41" fontId="22" fillId="5" borderId="15" xfId="7" applyFont="1" applyFill="1" applyBorder="1" applyAlignment="1">
      <alignment vertical="center" wrapText="1"/>
    </xf>
    <xf numFmtId="41" fontId="1" fillId="5" borderId="15" xfId="7" applyFont="1" applyFill="1" applyBorder="1" applyAlignment="1">
      <alignment vertical="center" wrapText="1"/>
    </xf>
    <xf numFmtId="41" fontId="1" fillId="5" borderId="16" xfId="7" applyFont="1" applyFill="1" applyBorder="1" applyAlignment="1">
      <alignment vertical="center" wrapText="1"/>
    </xf>
    <xf numFmtId="0" fontId="1" fillId="5" borderId="17" xfId="0" applyFont="1" applyFill="1" applyBorder="1" applyAlignment="1">
      <alignment horizontal="left" vertical="center" wrapText="1"/>
    </xf>
    <xf numFmtId="41" fontId="22" fillId="5" borderId="18" xfId="7" applyFont="1" applyFill="1" applyBorder="1" applyAlignment="1">
      <alignment vertical="center" wrapText="1"/>
    </xf>
    <xf numFmtId="41" fontId="1" fillId="5" borderId="18" xfId="7" applyFont="1" applyFill="1" applyBorder="1" applyAlignment="1">
      <alignment vertical="center" wrapText="1"/>
    </xf>
    <xf numFmtId="0" fontId="1" fillId="5" borderId="1" xfId="0" applyFont="1" applyFill="1" applyBorder="1" applyAlignment="1">
      <alignment horizontal="left" vertical="center" wrapText="1"/>
    </xf>
    <xf numFmtId="41" fontId="1" fillId="5" borderId="1" xfId="7" applyFont="1" applyFill="1" applyBorder="1" applyAlignment="1">
      <alignment vertical="center" wrapText="1"/>
    </xf>
    <xf numFmtId="0" fontId="23" fillId="4" borderId="14" xfId="0" applyFont="1" applyFill="1" applyBorder="1" applyAlignment="1">
      <alignment vertical="center"/>
    </xf>
    <xf numFmtId="0" fontId="9" fillId="5" borderId="17" xfId="0" applyFont="1" applyFill="1" applyBorder="1" applyAlignment="1">
      <alignment horizontal="left" vertical="center" wrapText="1"/>
    </xf>
    <xf numFmtId="10" fontId="24" fillId="5" borderId="18" xfId="2" applyNumberFormat="1" applyFont="1" applyFill="1" applyBorder="1" applyAlignment="1">
      <alignment vertical="center" wrapText="1"/>
    </xf>
    <xf numFmtId="10" fontId="9" fillId="5" borderId="18" xfId="2" applyNumberFormat="1" applyFont="1" applyFill="1" applyBorder="1" applyAlignment="1">
      <alignment vertical="center" wrapText="1"/>
    </xf>
    <xf numFmtId="41" fontId="9" fillId="5" borderId="19" xfId="7" applyFont="1" applyFill="1" applyBorder="1" applyAlignment="1">
      <alignment vertical="center" wrapText="1"/>
    </xf>
    <xf numFmtId="0" fontId="1" fillId="5" borderId="2" xfId="0" applyFont="1" applyFill="1" applyBorder="1" applyAlignment="1">
      <alignment horizontal="left" vertical="center" wrapText="1"/>
    </xf>
    <xf numFmtId="41" fontId="22" fillId="5" borderId="20" xfId="7" applyFont="1" applyFill="1" applyBorder="1" applyAlignment="1">
      <alignment vertical="center" wrapText="1"/>
    </xf>
    <xf numFmtId="41" fontId="1" fillId="5" borderId="20" xfId="7" applyFont="1" applyFill="1" applyBorder="1" applyAlignment="1">
      <alignment vertical="center" wrapText="1"/>
    </xf>
    <xf numFmtId="41" fontId="1" fillId="5" borderId="21" xfId="7" applyFont="1" applyFill="1" applyBorder="1" applyAlignment="1">
      <alignment vertical="center" wrapText="1"/>
    </xf>
    <xf numFmtId="0" fontId="8" fillId="5" borderId="10" xfId="0" applyFont="1" applyFill="1" applyBorder="1" applyAlignment="1">
      <alignment horizontal="left" vertical="center" wrapText="1"/>
    </xf>
    <xf numFmtId="41" fontId="9" fillId="5" borderId="16" xfId="7" applyFont="1" applyFill="1" applyBorder="1" applyAlignment="1">
      <alignment vertical="center" wrapText="1"/>
    </xf>
    <xf numFmtId="41" fontId="25" fillId="5" borderId="15" xfId="7" applyFont="1" applyFill="1" applyBorder="1" applyAlignment="1">
      <alignment vertical="center" wrapText="1"/>
    </xf>
    <xf numFmtId="41" fontId="21" fillId="5" borderId="16" xfId="7" applyFont="1" applyFill="1" applyBorder="1" applyAlignment="1">
      <alignment vertical="center" wrapText="1"/>
    </xf>
    <xf numFmtId="41" fontId="25" fillId="5" borderId="20" xfId="7" applyFont="1" applyFill="1" applyBorder="1" applyAlignment="1">
      <alignment vertical="center" wrapText="1"/>
    </xf>
    <xf numFmtId="41" fontId="21" fillId="5" borderId="21" xfId="7" applyFont="1" applyFill="1" applyBorder="1" applyAlignment="1">
      <alignment vertical="center" wrapText="1"/>
    </xf>
    <xf numFmtId="41" fontId="21" fillId="5" borderId="19" xfId="7" applyFont="1" applyFill="1" applyBorder="1" applyAlignment="1">
      <alignment vertical="center" wrapText="1"/>
    </xf>
    <xf numFmtId="0" fontId="20" fillId="4" borderId="14" xfId="0" applyFont="1" applyFill="1" applyBorder="1" applyAlignment="1">
      <alignment vertical="center"/>
    </xf>
    <xf numFmtId="10" fontId="10" fillId="5" borderId="18" xfId="2" applyNumberFormat="1" applyFont="1" applyFill="1" applyBorder="1" applyAlignment="1">
      <alignment vertical="center" wrapText="1"/>
    </xf>
    <xf numFmtId="41" fontId="21" fillId="4" borderId="14" xfId="7" applyFont="1" applyFill="1" applyBorder="1" applyAlignment="1">
      <alignment vertical="center"/>
    </xf>
    <xf numFmtId="41" fontId="20" fillId="4" borderId="14" xfId="7" applyFont="1" applyFill="1" applyBorder="1" applyAlignment="1">
      <alignment vertical="center"/>
    </xf>
    <xf numFmtId="0" fontId="26" fillId="0" borderId="22" xfId="0" applyFont="1" applyBorder="1" applyAlignment="1">
      <alignment wrapText="1"/>
    </xf>
    <xf numFmtId="0" fontId="26" fillId="2" borderId="22" xfId="0" applyFont="1" applyFill="1" applyBorder="1" applyAlignment="1">
      <alignment wrapText="1"/>
    </xf>
    <xf numFmtId="0" fontId="26" fillId="2" borderId="22" xfId="0" applyFont="1" applyFill="1" applyBorder="1" applyAlignment="1">
      <alignment vertical="center" wrapText="1"/>
    </xf>
    <xf numFmtId="0" fontId="26" fillId="0" borderId="0" xfId="8" applyFont="1"/>
    <xf numFmtId="0" fontId="27" fillId="10" borderId="22" xfId="8" applyFont="1" applyFill="1" applyBorder="1"/>
    <xf numFmtId="0" fontId="26" fillId="0" borderId="22" xfId="8" applyFont="1" applyBorder="1"/>
    <xf numFmtId="0" fontId="26" fillId="0" borderId="22" xfId="8" applyFont="1" applyBorder="1" applyAlignment="1">
      <alignment wrapText="1"/>
    </xf>
    <xf numFmtId="0" fontId="26" fillId="2" borderId="22" xfId="8" applyFont="1" applyFill="1" applyBorder="1" applyAlignment="1">
      <alignment wrapText="1"/>
    </xf>
    <xf numFmtId="0" fontId="29" fillId="0" borderId="22" xfId="8" applyFont="1" applyBorder="1" applyAlignment="1">
      <alignment wrapText="1"/>
    </xf>
    <xf numFmtId="1" fontId="29" fillId="0" borderId="22" xfId="8" applyNumberFormat="1" applyFont="1" applyBorder="1" applyAlignment="1">
      <alignment wrapText="1"/>
    </xf>
    <xf numFmtId="0" fontId="27" fillId="0" borderId="0" xfId="8" applyFont="1"/>
    <xf numFmtId="41" fontId="1" fillId="4" borderId="14" xfId="7" applyFont="1" applyFill="1" applyBorder="1" applyAlignment="1">
      <alignment vertical="center"/>
    </xf>
    <xf numFmtId="41" fontId="1" fillId="5" borderId="15" xfId="2" applyNumberFormat="1" applyFont="1" applyFill="1" applyBorder="1" applyAlignment="1">
      <alignment vertical="center" wrapText="1"/>
    </xf>
    <xf numFmtId="0" fontId="27" fillId="10" borderId="22" xfId="0" applyFont="1" applyFill="1" applyBorder="1" applyAlignment="1">
      <alignment vertical="center"/>
    </xf>
    <xf numFmtId="0" fontId="26" fillId="0" borderId="22" xfId="0" applyFont="1" applyBorder="1" applyAlignment="1">
      <alignment vertical="center"/>
    </xf>
    <xf numFmtId="0" fontId="26" fillId="0" borderId="22" xfId="0" applyFont="1" applyBorder="1" applyAlignment="1">
      <alignment vertical="center" wrapText="1"/>
    </xf>
    <xf numFmtId="14" fontId="28" fillId="2" borderId="0" xfId="0" applyNumberFormat="1" applyFont="1" applyFill="1" applyAlignment="1">
      <alignment vertical="center"/>
    </xf>
    <xf numFmtId="3" fontId="29" fillId="0" borderId="22" xfId="0" applyNumberFormat="1" applyFont="1" applyBorder="1" applyAlignment="1">
      <alignment vertical="center" wrapText="1"/>
    </xf>
    <xf numFmtId="3" fontId="29" fillId="0" borderId="22" xfId="0" quotePrefix="1" applyNumberFormat="1" applyFont="1" applyBorder="1" applyAlignment="1">
      <alignment vertical="center" wrapText="1"/>
    </xf>
    <xf numFmtId="9" fontId="29" fillId="0" borderId="22" xfId="2" applyFont="1" applyBorder="1" applyAlignment="1">
      <alignment vertical="center" wrapText="1"/>
    </xf>
    <xf numFmtId="0" fontId="29" fillId="0" borderId="22" xfId="0" quotePrefix="1" applyFont="1" applyBorder="1" applyAlignment="1">
      <alignment vertical="center" wrapText="1"/>
    </xf>
    <xf numFmtId="1" fontId="29" fillId="0" borderId="22" xfId="0" quotePrefix="1" applyNumberFormat="1" applyFont="1" applyBorder="1" applyAlignment="1">
      <alignment vertical="center" wrapText="1"/>
    </xf>
    <xf numFmtId="41" fontId="29" fillId="0" borderId="22" xfId="0" applyNumberFormat="1" applyFont="1" applyBorder="1" applyAlignment="1">
      <alignment vertical="center" wrapText="1"/>
    </xf>
    <xf numFmtId="3" fontId="26" fillId="2" borderId="22" xfId="0" quotePrefix="1" applyNumberFormat="1" applyFont="1" applyFill="1" applyBorder="1" applyAlignment="1">
      <alignment vertical="center" wrapText="1"/>
    </xf>
    <xf numFmtId="164" fontId="26" fillId="0" borderId="22" xfId="11" applyNumberFormat="1" applyFont="1" applyBorder="1" applyAlignment="1">
      <alignment vertical="center" wrapText="1"/>
    </xf>
    <xf numFmtId="0" fontId="30" fillId="0" borderId="0" xfId="0" applyFont="1" applyAlignment="1">
      <alignment vertical="center" wrapText="1"/>
    </xf>
    <xf numFmtId="164" fontId="26" fillId="2" borderId="22" xfId="11" applyNumberFormat="1" applyFont="1" applyFill="1" applyBorder="1" applyAlignment="1">
      <alignment vertical="center" wrapText="1"/>
    </xf>
    <xf numFmtId="166" fontId="29" fillId="0" borderId="22" xfId="2" applyNumberFormat="1" applyFont="1" applyBorder="1" applyAlignment="1">
      <alignment vertical="center" wrapText="1"/>
    </xf>
    <xf numFmtId="10" fontId="29" fillId="0" borderId="22" xfId="0" quotePrefix="1" applyNumberFormat="1" applyFont="1" applyBorder="1" applyAlignment="1">
      <alignment vertical="center" wrapText="1"/>
    </xf>
    <xf numFmtId="0" fontId="26" fillId="9" borderId="22" xfId="0" applyFont="1" applyFill="1" applyBorder="1" applyAlignment="1">
      <alignment vertical="center" wrapText="1"/>
    </xf>
    <xf numFmtId="164" fontId="18" fillId="0" borderId="0" xfId="1" applyNumberFormat="1" applyFont="1" applyFill="1" applyBorder="1" applyAlignment="1">
      <alignment horizontal="right" vertical="center"/>
    </xf>
    <xf numFmtId="164" fontId="16" fillId="0" borderId="0" xfId="1" applyNumberFormat="1" applyFont="1" applyFill="1" applyBorder="1" applyAlignment="1">
      <alignment horizontal="right" vertical="center"/>
    </xf>
    <xf numFmtId="43" fontId="16" fillId="0" borderId="0" xfId="1" applyFont="1" applyFill="1" applyBorder="1" applyAlignment="1">
      <alignment horizontal="right" vertical="center"/>
    </xf>
    <xf numFmtId="41" fontId="29" fillId="0" borderId="22" xfId="7" quotePrefix="1" applyFont="1" applyBorder="1" applyAlignment="1">
      <alignment vertical="center" wrapText="1"/>
    </xf>
    <xf numFmtId="167" fontId="29" fillId="0" borderId="22" xfId="7" quotePrefix="1" applyNumberFormat="1" applyFont="1" applyBorder="1" applyAlignment="1">
      <alignment vertical="center" wrapText="1"/>
    </xf>
    <xf numFmtId="3" fontId="26" fillId="6" borderId="22" xfId="0" applyNumberFormat="1" applyFont="1" applyFill="1" applyBorder="1" applyAlignment="1">
      <alignment vertical="center" wrapText="1"/>
    </xf>
    <xf numFmtId="0" fontId="26" fillId="6" borderId="22" xfId="0" applyFont="1" applyFill="1" applyBorder="1" applyAlignment="1">
      <alignment vertical="center" wrapText="1"/>
    </xf>
    <xf numFmtId="43" fontId="29" fillId="0" borderId="22" xfId="0" applyNumberFormat="1" applyFont="1" applyBorder="1" applyAlignment="1">
      <alignment vertical="center" wrapText="1"/>
    </xf>
    <xf numFmtId="1" fontId="26" fillId="0" borderId="22" xfId="0" quotePrefix="1" applyNumberFormat="1" applyFont="1" applyBorder="1" applyAlignment="1">
      <alignment vertical="center" wrapText="1"/>
    </xf>
    <xf numFmtId="165" fontId="8" fillId="0" borderId="0" xfId="3" applyFont="1" applyAlignment="1">
      <alignment horizontal="left" vertical="top"/>
    </xf>
    <xf numFmtId="165" fontId="8" fillId="2" borderId="0" xfId="3" applyFont="1" applyFill="1" applyAlignment="1">
      <alignment horizontal="left" vertical="top"/>
    </xf>
    <xf numFmtId="0" fontId="0" fillId="0" borderId="0" xfId="0" quotePrefix="1"/>
    <xf numFmtId="0" fontId="4" fillId="3" borderId="0" xfId="0" applyFont="1" applyFill="1"/>
    <xf numFmtId="0" fontId="0" fillId="11" borderId="0" xfId="0" applyFill="1"/>
    <xf numFmtId="167" fontId="4" fillId="0" borderId="0" xfId="7" applyNumberFormat="1" applyFont="1" applyAlignment="1">
      <alignment horizontal="center" vertical="center"/>
    </xf>
    <xf numFmtId="167" fontId="0" fillId="0" borderId="0" xfId="7" applyNumberFormat="1" applyFont="1" applyAlignment="1">
      <alignment vertical="center"/>
    </xf>
    <xf numFmtId="0" fontId="5" fillId="0" borderId="0" xfId="14" applyFont="1" applyAlignment="1">
      <alignment vertical="center"/>
    </xf>
    <xf numFmtId="164" fontId="37" fillId="0" borderId="0" xfId="16" applyNumberFormat="1" applyFont="1" applyBorder="1" applyAlignment="1">
      <alignment horizontal="right" vertical="center" readingOrder="1"/>
    </xf>
    <xf numFmtId="164" fontId="37" fillId="0" borderId="0" xfId="16" applyNumberFormat="1" applyFont="1" applyBorder="1" applyAlignment="1">
      <alignment horizontal="left" vertical="center" readingOrder="1"/>
    </xf>
    <xf numFmtId="164" fontId="37" fillId="0" borderId="0" xfId="16" applyNumberFormat="1" applyFont="1" applyFill="1" applyBorder="1" applyAlignment="1">
      <alignment horizontal="right" vertical="center" readingOrder="1"/>
    </xf>
    <xf numFmtId="0" fontId="40" fillId="16" borderId="23" xfId="8" applyFont="1" applyFill="1" applyBorder="1" applyAlignment="1">
      <alignment wrapText="1"/>
    </xf>
    <xf numFmtId="0" fontId="40" fillId="16" borderId="24" xfId="8" applyFont="1" applyFill="1" applyBorder="1" applyAlignment="1">
      <alignment wrapText="1"/>
    </xf>
    <xf numFmtId="0" fontId="40" fillId="16" borderId="26" xfId="8" applyFont="1" applyFill="1" applyBorder="1" applyAlignment="1">
      <alignment wrapText="1"/>
    </xf>
    <xf numFmtId="0" fontId="40" fillId="16" borderId="27" xfId="8" applyFont="1" applyFill="1" applyBorder="1" applyAlignment="1">
      <alignment wrapText="1"/>
    </xf>
    <xf numFmtId="0" fontId="40" fillId="16" borderId="28" xfId="8" applyFont="1" applyFill="1" applyBorder="1" applyAlignment="1">
      <alignment wrapText="1"/>
    </xf>
    <xf numFmtId="0" fontId="42" fillId="0" borderId="25" xfId="8" applyFont="1" applyBorder="1"/>
    <xf numFmtId="0" fontId="42" fillId="0" borderId="29" xfId="8" applyFont="1" applyBorder="1"/>
    <xf numFmtId="0" fontId="42" fillId="0" borderId="30" xfId="8" applyFont="1" applyBorder="1"/>
    <xf numFmtId="0" fontId="42" fillId="0" borderId="31" xfId="8" applyFont="1" applyBorder="1"/>
    <xf numFmtId="0" fontId="42" fillId="0" borderId="24" xfId="8" applyFont="1" applyBorder="1"/>
    <xf numFmtId="0" fontId="42" fillId="0" borderId="23" xfId="8" applyFont="1" applyBorder="1"/>
    <xf numFmtId="0" fontId="42" fillId="0" borderId="0" xfId="8" applyFont="1"/>
    <xf numFmtId="14" fontId="26" fillId="0" borderId="22" xfId="8" applyNumberFormat="1" applyFont="1" applyBorder="1"/>
    <xf numFmtId="14" fontId="26" fillId="0" borderId="22" xfId="8" applyNumberFormat="1" applyFont="1" applyBorder="1" applyAlignment="1">
      <alignment wrapText="1"/>
    </xf>
    <xf numFmtId="0" fontId="27" fillId="17" borderId="0" xfId="8" applyFont="1" applyFill="1"/>
    <xf numFmtId="173" fontId="26" fillId="0" borderId="22" xfId="8" applyNumberFormat="1" applyFont="1" applyBorder="1" applyAlignment="1">
      <alignment wrapText="1"/>
    </xf>
    <xf numFmtId="0" fontId="26" fillId="0" borderId="22" xfId="8" quotePrefix="1" applyFont="1" applyBorder="1" applyAlignment="1">
      <alignment wrapText="1"/>
    </xf>
    <xf numFmtId="0" fontId="27" fillId="10" borderId="22" xfId="8" quotePrefix="1" applyFont="1" applyFill="1" applyBorder="1"/>
    <xf numFmtId="14" fontId="27" fillId="10" borderId="22" xfId="8" applyNumberFormat="1" applyFont="1" applyFill="1" applyBorder="1"/>
    <xf numFmtId="0" fontId="28" fillId="3" borderId="22" xfId="8" applyFont="1" applyFill="1" applyBorder="1"/>
    <xf numFmtId="0" fontId="28" fillId="3" borderId="22" xfId="8" applyFont="1" applyFill="1" applyBorder="1" applyAlignment="1">
      <alignment wrapText="1"/>
    </xf>
    <xf numFmtId="9" fontId="28" fillId="3" borderId="22" xfId="12" applyFont="1" applyFill="1" applyBorder="1"/>
    <xf numFmtId="0" fontId="41" fillId="0" borderId="0" xfId="8" applyFont="1"/>
    <xf numFmtId="0" fontId="43" fillId="0" borderId="0" xfId="8" applyFont="1"/>
    <xf numFmtId="0" fontId="19" fillId="0" borderId="0" xfId="8" applyAlignment="1">
      <alignment vertical="center"/>
    </xf>
    <xf numFmtId="0" fontId="41" fillId="0" borderId="0" xfId="8" applyFont="1" applyAlignment="1">
      <alignment vertical="center"/>
    </xf>
    <xf numFmtId="0" fontId="26" fillId="0" borderId="0" xfId="8" applyFont="1" applyAlignment="1">
      <alignment vertical="center"/>
    </xf>
    <xf numFmtId="0" fontId="44" fillId="0" borderId="0" xfId="8" applyFont="1" applyAlignment="1">
      <alignment vertical="center"/>
    </xf>
    <xf numFmtId="0" fontId="40" fillId="19" borderId="0" xfId="8" applyFont="1" applyFill="1" applyAlignment="1">
      <alignment vertical="center"/>
    </xf>
    <xf numFmtId="0" fontId="46" fillId="19" borderId="0" xfId="8" applyFont="1" applyFill="1" applyAlignment="1">
      <alignment vertical="center"/>
    </xf>
    <xf numFmtId="0" fontId="47" fillId="19" borderId="0" xfId="8" applyFont="1" applyFill="1" applyAlignment="1">
      <alignment vertical="center"/>
    </xf>
    <xf numFmtId="0" fontId="48" fillId="0" borderId="0" xfId="8" applyFont="1" applyAlignment="1">
      <alignment vertical="center"/>
    </xf>
    <xf numFmtId="0" fontId="29" fillId="0" borderId="0" xfId="8" applyFont="1" applyAlignment="1">
      <alignment vertical="center"/>
    </xf>
    <xf numFmtId="14" fontId="29" fillId="0" borderId="0" xfId="8" applyNumberFormat="1" applyFont="1" applyAlignment="1">
      <alignment vertical="center"/>
    </xf>
    <xf numFmtId="164" fontId="29" fillId="0" borderId="0" xfId="11" applyNumberFormat="1" applyFont="1" applyFill="1" applyBorder="1" applyAlignment="1">
      <alignment vertical="center"/>
    </xf>
    <xf numFmtId="10" fontId="29" fillId="0" borderId="0" xfId="12" applyNumberFormat="1" applyFont="1" applyFill="1" applyBorder="1" applyAlignment="1">
      <alignment vertical="center"/>
    </xf>
    <xf numFmtId="166" fontId="29" fillId="0" borderId="0" xfId="12" applyNumberFormat="1" applyFont="1" applyFill="1" applyBorder="1" applyAlignment="1">
      <alignment vertical="center"/>
    </xf>
    <xf numFmtId="41" fontId="29" fillId="0" borderId="0" xfId="21" applyFont="1" applyFill="1" applyBorder="1" applyAlignment="1">
      <alignment vertical="center"/>
    </xf>
    <xf numFmtId="0" fontId="49" fillId="0" borderId="0" xfId="8" applyFont="1" applyAlignment="1">
      <alignment vertical="center"/>
    </xf>
    <xf numFmtId="9" fontId="29" fillId="0" borderId="0" xfId="12" applyFont="1" applyFill="1" applyBorder="1" applyAlignment="1">
      <alignment vertical="center"/>
    </xf>
    <xf numFmtId="14" fontId="50" fillId="0" borderId="0" xfId="8" applyNumberFormat="1" applyFont="1" applyAlignment="1">
      <alignment vertical="center"/>
    </xf>
    <xf numFmtId="41" fontId="4" fillId="0" borderId="0" xfId="7" applyFont="1"/>
    <xf numFmtId="0" fontId="46" fillId="18" borderId="22" xfId="8" applyFont="1" applyFill="1" applyBorder="1"/>
    <xf numFmtId="0" fontId="0" fillId="0" borderId="0" xfId="0" applyAlignment="1">
      <alignment vertical="top" wrapText="1"/>
    </xf>
    <xf numFmtId="164" fontId="33" fillId="0" borderId="0" xfId="14" applyNumberFormat="1" applyFont="1"/>
    <xf numFmtId="164" fontId="35" fillId="0" borderId="0" xfId="14" applyNumberFormat="1" applyFont="1"/>
    <xf numFmtId="0" fontId="35" fillId="0" borderId="0" xfId="14" applyFont="1"/>
    <xf numFmtId="164" fontId="35" fillId="0" borderId="0" xfId="14" applyNumberFormat="1" applyFont="1" applyAlignment="1">
      <alignment horizontal="right"/>
    </xf>
    <xf numFmtId="43" fontId="35" fillId="0" borderId="0" xfId="16" applyFont="1" applyBorder="1"/>
    <xf numFmtId="0" fontId="35" fillId="0" borderId="0" xfId="14" applyFont="1" applyAlignment="1">
      <alignment horizontal="right"/>
    </xf>
    <xf numFmtId="169" fontId="35" fillId="0" borderId="0" xfId="16" applyNumberFormat="1" applyFont="1" applyBorder="1"/>
    <xf numFmtId="169" fontId="35" fillId="0" borderId="0" xfId="14" applyNumberFormat="1" applyFont="1"/>
    <xf numFmtId="0" fontId="33" fillId="0" borderId="0" xfId="14" applyFont="1" applyAlignment="1">
      <alignment horizontal="center"/>
    </xf>
    <xf numFmtId="0" fontId="33" fillId="0" borderId="0" xfId="14" applyFont="1" applyAlignment="1">
      <alignment horizontal="right"/>
    </xf>
    <xf numFmtId="14" fontId="35" fillId="0" borderId="0" xfId="14" applyNumberFormat="1" applyFont="1"/>
    <xf numFmtId="14" fontId="35" fillId="0" borderId="0" xfId="14" applyNumberFormat="1" applyFont="1" applyAlignment="1">
      <alignment horizontal="right"/>
    </xf>
    <xf numFmtId="164" fontId="35" fillId="0" borderId="0" xfId="17" applyNumberFormat="1" applyFont="1"/>
    <xf numFmtId="0" fontId="31" fillId="0" borderId="0" xfId="14"/>
    <xf numFmtId="0" fontId="31" fillId="0" borderId="0" xfId="14" applyAlignment="1">
      <alignment horizontal="right"/>
    </xf>
    <xf numFmtId="14" fontId="32" fillId="12" borderId="34" xfId="14" quotePrefix="1" applyNumberFormat="1" applyFont="1" applyFill="1" applyBorder="1" applyAlignment="1">
      <alignment horizontal="center" vertical="center"/>
    </xf>
    <xf numFmtId="164" fontId="32" fillId="12" borderId="34" xfId="14" quotePrefix="1" applyNumberFormat="1" applyFont="1" applyFill="1" applyBorder="1" applyAlignment="1">
      <alignment horizontal="center" vertical="center"/>
    </xf>
    <xf numFmtId="14" fontId="32" fillId="15" borderId="34" xfId="14" quotePrefix="1" applyNumberFormat="1" applyFont="1" applyFill="1" applyBorder="1" applyAlignment="1">
      <alignment horizontal="center" vertical="center" wrapText="1"/>
    </xf>
    <xf numFmtId="0" fontId="36" fillId="0" borderId="32" xfId="14" applyFont="1" applyBorder="1" applyAlignment="1">
      <alignment horizontal="left" vertical="center"/>
    </xf>
    <xf numFmtId="14" fontId="32" fillId="15" borderId="5" xfId="14" quotePrefix="1" applyNumberFormat="1" applyFont="1" applyFill="1" applyBorder="1" applyAlignment="1">
      <alignment horizontal="center" vertical="center" wrapText="1"/>
    </xf>
    <xf numFmtId="0" fontId="32" fillId="15" borderId="6" xfId="14" applyFont="1" applyFill="1" applyBorder="1" applyAlignment="1">
      <alignment vertical="center"/>
    </xf>
    <xf numFmtId="14" fontId="32" fillId="15" borderId="36" xfId="14" quotePrefix="1" applyNumberFormat="1" applyFont="1" applyFill="1" applyBorder="1" applyAlignment="1">
      <alignment horizontal="center" vertical="center"/>
    </xf>
    <xf numFmtId="14" fontId="32" fillId="15" borderId="36" xfId="14" quotePrefix="1" applyNumberFormat="1" applyFont="1" applyFill="1" applyBorder="1" applyAlignment="1">
      <alignment horizontal="right" vertical="center"/>
    </xf>
    <xf numFmtId="0" fontId="32" fillId="15" borderId="36" xfId="14" applyFont="1" applyFill="1" applyBorder="1" applyAlignment="1">
      <alignment horizontal="center" vertical="center"/>
    </xf>
    <xf numFmtId="14" fontId="32" fillId="15" borderId="7" xfId="14" quotePrefix="1" applyNumberFormat="1" applyFont="1" applyFill="1" applyBorder="1" applyAlignment="1">
      <alignment horizontal="right" vertical="center"/>
    </xf>
    <xf numFmtId="0" fontId="36" fillId="0" borderId="9" xfId="14" applyFont="1" applyBorder="1" applyAlignment="1">
      <alignment horizontal="left" vertical="center"/>
    </xf>
    <xf numFmtId="164" fontId="37" fillId="0" borderId="35" xfId="16" applyNumberFormat="1" applyFont="1" applyBorder="1" applyAlignment="1">
      <alignment horizontal="right" vertical="center" readingOrder="1"/>
    </xf>
    <xf numFmtId="164" fontId="37" fillId="0" borderId="4" xfId="16" applyNumberFormat="1" applyFont="1" applyBorder="1" applyAlignment="1">
      <alignment horizontal="right" vertical="center" readingOrder="1"/>
    </xf>
    <xf numFmtId="164" fontId="37" fillId="0" borderId="33" xfId="16" applyNumberFormat="1" applyFont="1" applyBorder="1" applyAlignment="1">
      <alignment horizontal="right" vertical="center" readingOrder="1"/>
    </xf>
    <xf numFmtId="0" fontId="36" fillId="0" borderId="8" xfId="14" applyFont="1" applyBorder="1" applyAlignment="1">
      <alignment horizontal="left" vertical="center"/>
    </xf>
    <xf numFmtId="164" fontId="37" fillId="0" borderId="34" xfId="16" applyNumberFormat="1" applyFont="1" applyBorder="1" applyAlignment="1">
      <alignment horizontal="left" vertical="center" readingOrder="1"/>
    </xf>
    <xf numFmtId="164" fontId="37" fillId="0" borderId="34" xfId="16" applyNumberFormat="1" applyFont="1" applyBorder="1" applyAlignment="1">
      <alignment horizontal="right" vertical="center" readingOrder="1"/>
    </xf>
    <xf numFmtId="164" fontId="37" fillId="0" borderId="5" xfId="16" applyNumberFormat="1" applyFont="1" applyBorder="1" applyAlignment="1">
      <alignment horizontal="right" vertical="center" readingOrder="1"/>
    </xf>
    <xf numFmtId="0" fontId="5" fillId="0" borderId="9" xfId="14" applyFont="1" applyBorder="1"/>
    <xf numFmtId="0" fontId="5" fillId="0" borderId="35" xfId="14" applyFont="1" applyBorder="1"/>
    <xf numFmtId="0" fontId="35" fillId="0" borderId="4" xfId="14" applyFont="1" applyBorder="1"/>
    <xf numFmtId="164" fontId="38" fillId="0" borderId="34" xfId="16" applyNumberFormat="1" applyFont="1" applyFill="1" applyBorder="1" applyAlignment="1">
      <alignment vertical="center"/>
    </xf>
    <xf numFmtId="43" fontId="35" fillId="0" borderId="5" xfId="16" applyFont="1" applyBorder="1"/>
    <xf numFmtId="164" fontId="38" fillId="0" borderId="35" xfId="16" applyNumberFormat="1" applyFont="1" applyFill="1" applyBorder="1" applyAlignment="1">
      <alignment vertical="center"/>
    </xf>
    <xf numFmtId="43" fontId="35" fillId="0" borderId="4" xfId="16" applyFont="1" applyBorder="1"/>
    <xf numFmtId="0" fontId="3" fillId="0" borderId="0" xfId="0" applyFont="1" applyAlignment="1">
      <alignment vertical="center"/>
    </xf>
    <xf numFmtId="0" fontId="51" fillId="0" borderId="33" xfId="14" applyFont="1" applyBorder="1" applyAlignment="1">
      <alignment vertical="center" wrapText="1"/>
    </xf>
    <xf numFmtId="0" fontId="51" fillId="0" borderId="0" xfId="14" applyFont="1" applyAlignment="1">
      <alignment vertical="center" wrapText="1"/>
    </xf>
    <xf numFmtId="0" fontId="3" fillId="0" borderId="0" xfId="14" applyFont="1" applyAlignment="1">
      <alignment vertical="center"/>
    </xf>
    <xf numFmtId="0" fontId="51" fillId="0" borderId="34" xfId="14" applyFont="1" applyBorder="1" applyAlignment="1">
      <alignment horizontal="center" vertical="center" wrapText="1"/>
    </xf>
    <xf numFmtId="0" fontId="3" fillId="0" borderId="0" xfId="14" applyFont="1" applyAlignment="1">
      <alignment horizontal="center" vertical="center"/>
    </xf>
    <xf numFmtId="0" fontId="53" fillId="0" borderId="0" xfId="14" applyFont="1" applyAlignment="1">
      <alignment horizontal="center" vertical="center"/>
    </xf>
    <xf numFmtId="0" fontId="53" fillId="0" borderId="0" xfId="14" applyFont="1" applyAlignment="1">
      <alignment horizontal="center" vertical="center" wrapText="1"/>
    </xf>
    <xf numFmtId="0" fontId="3" fillId="0" borderId="0" xfId="14" applyFont="1" applyAlignment="1">
      <alignment horizontal="right" vertical="center"/>
    </xf>
    <xf numFmtId="0" fontId="3" fillId="0" borderId="0" xfId="14" applyFont="1" applyAlignment="1">
      <alignment vertical="center" wrapText="1"/>
    </xf>
    <xf numFmtId="0" fontId="4" fillId="0" borderId="0" xfId="14" applyFont="1" applyAlignment="1">
      <alignment horizontal="left" vertical="center"/>
    </xf>
    <xf numFmtId="0" fontId="3" fillId="0" borderId="0" xfId="14" applyFont="1" applyAlignment="1">
      <alignment horizontal="left" vertical="center"/>
    </xf>
    <xf numFmtId="0" fontId="3" fillId="0" borderId="0" xfId="14" quotePrefix="1" applyFont="1" applyAlignment="1">
      <alignment horizontal="left" vertical="center"/>
    </xf>
    <xf numFmtId="170" fontId="52" fillId="0" borderId="5" xfId="18" applyNumberFormat="1" applyFont="1" applyFill="1" applyBorder="1" applyAlignment="1">
      <alignment horizontal="center" vertical="center" wrapText="1"/>
    </xf>
    <xf numFmtId="0" fontId="51" fillId="0" borderId="33" xfId="14" applyFont="1" applyBorder="1" applyAlignment="1">
      <alignment horizontal="centerContinuous" vertical="center" wrapText="1"/>
    </xf>
    <xf numFmtId="171" fontId="3" fillId="0" borderId="33" xfId="20" applyNumberFormat="1" applyFont="1" applyFill="1" applyBorder="1" applyAlignment="1">
      <alignment vertical="center"/>
    </xf>
    <xf numFmtId="171" fontId="3" fillId="0" borderId="33" xfId="18" applyNumberFormat="1" applyFont="1" applyFill="1" applyBorder="1" applyAlignment="1">
      <alignment vertical="center"/>
    </xf>
    <xf numFmtId="0" fontId="51" fillId="14" borderId="0" xfId="14" applyFont="1" applyFill="1" applyAlignment="1">
      <alignment horizontal="center" vertical="center" wrapText="1"/>
    </xf>
    <xf numFmtId="0" fontId="55" fillId="14" borderId="0" xfId="14" applyFont="1" applyFill="1" applyAlignment="1">
      <alignment horizontal="center" vertical="center" wrapText="1"/>
    </xf>
    <xf numFmtId="171" fontId="51" fillId="14" borderId="33" xfId="18" applyNumberFormat="1" applyFont="1" applyFill="1" applyBorder="1" applyAlignment="1">
      <alignment vertical="center"/>
    </xf>
    <xf numFmtId="0" fontId="55" fillId="14" borderId="34" xfId="14" applyFont="1" applyFill="1" applyBorder="1" applyAlignment="1">
      <alignment horizontal="center" vertical="center" wrapText="1"/>
    </xf>
    <xf numFmtId="171" fontId="51" fillId="14" borderId="5" xfId="18" applyNumberFormat="1" applyFont="1" applyFill="1" applyBorder="1" applyAlignment="1">
      <alignment vertical="center"/>
    </xf>
    <xf numFmtId="0" fontId="51" fillId="11" borderId="0" xfId="14" applyFont="1" applyFill="1" applyAlignment="1">
      <alignment horizontal="center" vertical="center" wrapText="1"/>
    </xf>
    <xf numFmtId="0" fontId="3" fillId="11" borderId="0" xfId="14" applyFont="1" applyFill="1" applyAlignment="1">
      <alignment horizontal="center" vertical="center" wrapText="1"/>
    </xf>
    <xf numFmtId="171" fontId="51" fillId="11" borderId="33" xfId="18" applyNumberFormat="1" applyFont="1" applyFill="1" applyBorder="1" applyAlignment="1">
      <alignment vertical="center"/>
    </xf>
    <xf numFmtId="0" fontId="3" fillId="11" borderId="0" xfId="14" applyFont="1" applyFill="1" applyAlignment="1">
      <alignment horizontal="center" vertical="center"/>
    </xf>
    <xf numFmtId="0" fontId="3" fillId="11" borderId="33" xfId="14" applyFont="1" applyFill="1" applyBorder="1" applyAlignment="1">
      <alignment horizontal="right" vertical="center"/>
    </xf>
    <xf numFmtId="0" fontId="3" fillId="11" borderId="34" xfId="14" applyFont="1" applyFill="1" applyBorder="1" applyAlignment="1">
      <alignment horizontal="center" vertical="center"/>
    </xf>
    <xf numFmtId="0" fontId="3" fillId="11" borderId="5" xfId="14" applyFont="1" applyFill="1" applyBorder="1" applyAlignment="1">
      <alignment horizontal="right" vertical="center"/>
    </xf>
    <xf numFmtId="14" fontId="27" fillId="10" borderId="22" xfId="8" quotePrefix="1" applyNumberFormat="1" applyFont="1" applyFill="1" applyBorder="1"/>
    <xf numFmtId="0" fontId="0" fillId="0" borderId="32" xfId="0" applyBorder="1"/>
    <xf numFmtId="0" fontId="0" fillId="0" borderId="8" xfId="0" applyBorder="1"/>
    <xf numFmtId="0" fontId="28" fillId="3" borderId="22" xfId="0" applyFont="1" applyFill="1" applyBorder="1"/>
    <xf numFmtId="43" fontId="3" fillId="0" borderId="0" xfId="14" applyNumberFormat="1" applyFont="1" applyAlignment="1">
      <alignment vertical="center"/>
    </xf>
    <xf numFmtId="0" fontId="56" fillId="11" borderId="0" xfId="14" applyFont="1" applyFill="1" applyAlignment="1">
      <alignment horizontal="center" vertical="center"/>
    </xf>
    <xf numFmtId="9" fontId="56" fillId="11" borderId="33" xfId="2" applyFont="1" applyFill="1" applyBorder="1" applyAlignment="1">
      <alignment vertical="center"/>
    </xf>
    <xf numFmtId="167" fontId="56" fillId="11" borderId="33" xfId="7" applyNumberFormat="1" applyFont="1" applyFill="1" applyBorder="1" applyAlignment="1">
      <alignment vertical="center"/>
    </xf>
    <xf numFmtId="0" fontId="56" fillId="11" borderId="33" xfId="14" applyFont="1" applyFill="1" applyBorder="1" applyAlignment="1">
      <alignment horizontal="right" vertical="center"/>
    </xf>
    <xf numFmtId="43" fontId="56" fillId="0" borderId="0" xfId="14" applyNumberFormat="1" applyFont="1" applyAlignment="1">
      <alignment vertical="center"/>
    </xf>
    <xf numFmtId="0" fontId="56" fillId="0" borderId="0" xfId="14" applyFont="1" applyAlignment="1">
      <alignment vertical="center"/>
    </xf>
    <xf numFmtId="167" fontId="51" fillId="0" borderId="0" xfId="7" applyNumberFormat="1" applyFont="1" applyAlignment="1">
      <alignment horizontal="centerContinuous" vertical="center"/>
    </xf>
    <xf numFmtId="167" fontId="3" fillId="0" borderId="0" xfId="7" applyNumberFormat="1" applyFont="1" applyAlignment="1">
      <alignment vertical="center"/>
    </xf>
    <xf numFmtId="167" fontId="3" fillId="0" borderId="0" xfId="7" applyNumberFormat="1" applyFont="1" applyFill="1" applyBorder="1" applyAlignment="1">
      <alignment horizontal="center" vertical="center"/>
    </xf>
    <xf numFmtId="167" fontId="3" fillId="0" borderId="0" xfId="7" applyNumberFormat="1" applyFont="1" applyAlignment="1">
      <alignment horizontal="center" vertical="center"/>
    </xf>
    <xf numFmtId="167" fontId="51" fillId="0" borderId="33" xfId="7" applyNumberFormat="1" applyFont="1" applyBorder="1" applyAlignment="1">
      <alignment horizontal="centerContinuous" vertical="center"/>
    </xf>
    <xf numFmtId="167" fontId="3" fillId="0" borderId="0" xfId="7" applyNumberFormat="1" applyFont="1" applyBorder="1" applyAlignment="1">
      <alignment vertical="center"/>
    </xf>
    <xf numFmtId="9" fontId="51" fillId="0" borderId="33" xfId="2" applyFont="1" applyBorder="1" applyAlignment="1">
      <alignment horizontal="centerContinuous" vertical="center"/>
    </xf>
    <xf numFmtId="9" fontId="3" fillId="0" borderId="0" xfId="2" applyFont="1" applyAlignment="1">
      <alignment vertical="center"/>
    </xf>
    <xf numFmtId="167" fontId="3" fillId="0" borderId="0" xfId="7" applyNumberFormat="1" applyFont="1" applyAlignment="1">
      <alignment horizontal="centerContinuous" vertical="center"/>
    </xf>
    <xf numFmtId="167" fontId="51" fillId="0" borderId="33" xfId="7" applyNumberFormat="1" applyFont="1" applyBorder="1" applyAlignment="1">
      <alignment horizontal="centerContinuous" vertical="center" wrapText="1"/>
    </xf>
    <xf numFmtId="167" fontId="51" fillId="0" borderId="0" xfId="7" applyNumberFormat="1" applyFont="1" applyAlignment="1">
      <alignment horizontal="centerContinuous" vertical="center" wrapText="1"/>
    </xf>
    <xf numFmtId="167" fontId="3" fillId="0" borderId="0" xfId="7" applyNumberFormat="1" applyFont="1" applyAlignment="1">
      <alignment horizontal="right" vertical="center"/>
    </xf>
    <xf numFmtId="167" fontId="3" fillId="0" borderId="0" xfId="7" applyNumberFormat="1" applyFont="1" applyBorder="1" applyAlignment="1">
      <alignment horizontal="center" vertical="center"/>
    </xf>
    <xf numFmtId="167" fontId="3" fillId="0" borderId="0" xfId="7" applyNumberFormat="1" applyFont="1" applyBorder="1" applyAlignment="1">
      <alignment horizontal="right" vertical="center"/>
    </xf>
    <xf numFmtId="167" fontId="3" fillId="0" borderId="0" xfId="7" applyNumberFormat="1" applyFont="1" applyFill="1" applyBorder="1" applyAlignment="1">
      <alignment horizontal="right" vertical="center"/>
    </xf>
    <xf numFmtId="0" fontId="0" fillId="0" borderId="33" xfId="0" applyBorder="1" applyAlignment="1">
      <alignment vertical="center" wrapText="1"/>
    </xf>
    <xf numFmtId="9" fontId="0" fillId="0" borderId="33" xfId="2" applyFont="1" applyBorder="1" applyAlignment="1">
      <alignment vertical="center"/>
    </xf>
    <xf numFmtId="167" fontId="0" fillId="0" borderId="33" xfId="7" applyNumberFormat="1" applyFont="1" applyBorder="1" applyAlignment="1">
      <alignment vertical="center"/>
    </xf>
    <xf numFmtId="0" fontId="0" fillId="14" borderId="33" xfId="0" applyFill="1" applyBorder="1" applyAlignment="1">
      <alignment vertical="center" wrapText="1"/>
    </xf>
    <xf numFmtId="167" fontId="0" fillId="14" borderId="0" xfId="7" applyNumberFormat="1" applyFont="1" applyFill="1" applyAlignment="1">
      <alignment vertical="center"/>
    </xf>
    <xf numFmtId="9" fontId="0" fillId="14" borderId="33" xfId="2" applyFont="1" applyFill="1" applyBorder="1" applyAlignment="1">
      <alignment vertical="center"/>
    </xf>
    <xf numFmtId="167" fontId="0" fillId="14" borderId="33" xfId="7" applyNumberFormat="1" applyFont="1" applyFill="1" applyBorder="1" applyAlignment="1">
      <alignment vertical="center"/>
    </xf>
    <xf numFmtId="0" fontId="0" fillId="14" borderId="5" xfId="0" applyFill="1" applyBorder="1" applyAlignment="1">
      <alignment vertical="center" wrapText="1"/>
    </xf>
    <xf numFmtId="167" fontId="0" fillId="14" borderId="34" xfId="7" applyNumberFormat="1" applyFont="1" applyFill="1" applyBorder="1" applyAlignment="1">
      <alignment vertical="center"/>
    </xf>
    <xf numFmtId="9" fontId="0" fillId="14" borderId="5" xfId="2" applyFont="1" applyFill="1" applyBorder="1" applyAlignment="1">
      <alignment vertical="center"/>
    </xf>
    <xf numFmtId="167" fontId="0" fillId="14" borderId="5" xfId="7" applyNumberFormat="1" applyFont="1" applyFill="1" applyBorder="1" applyAlignment="1">
      <alignment vertical="center"/>
    </xf>
    <xf numFmtId="0" fontId="0" fillId="11" borderId="33" xfId="0" applyFill="1" applyBorder="1" applyAlignment="1">
      <alignment vertical="center" wrapText="1"/>
    </xf>
    <xf numFmtId="167" fontId="0" fillId="11" borderId="0" xfId="7" applyNumberFormat="1" applyFont="1" applyFill="1" applyAlignment="1">
      <alignment vertical="center"/>
    </xf>
    <xf numFmtId="9" fontId="0" fillId="11" borderId="33" xfId="2" applyFont="1" applyFill="1" applyBorder="1" applyAlignment="1">
      <alignment vertical="center"/>
    </xf>
    <xf numFmtId="167" fontId="0" fillId="11" borderId="33" xfId="7" applyNumberFormat="1" applyFont="1" applyFill="1" applyBorder="1" applyAlignment="1">
      <alignment vertical="center"/>
    </xf>
    <xf numFmtId="0" fontId="56" fillId="11" borderId="33" xfId="0" applyFont="1" applyFill="1" applyBorder="1" applyAlignment="1">
      <alignment vertical="center" wrapText="1"/>
    </xf>
    <xf numFmtId="167" fontId="56" fillId="11" borderId="0" xfId="7" applyNumberFormat="1" applyFont="1" applyFill="1" applyAlignment="1">
      <alignment vertical="center"/>
    </xf>
    <xf numFmtId="0" fontId="0" fillId="11" borderId="5" xfId="0" applyFill="1" applyBorder="1" applyAlignment="1">
      <alignment vertical="center" wrapText="1"/>
    </xf>
    <xf numFmtId="167" fontId="0" fillId="11" borderId="34" xfId="7" applyNumberFormat="1" applyFont="1" applyFill="1" applyBorder="1" applyAlignment="1">
      <alignment vertical="center"/>
    </xf>
    <xf numFmtId="9" fontId="0" fillId="11" borderId="5" xfId="2" applyFont="1" applyFill="1" applyBorder="1" applyAlignment="1">
      <alignment vertical="center"/>
    </xf>
    <xf numFmtId="167" fontId="0" fillId="11" borderId="5" xfId="7" applyNumberFormat="1" applyFont="1" applyFill="1" applyBorder="1" applyAlignment="1">
      <alignment vertical="center"/>
    </xf>
    <xf numFmtId="171" fontId="51" fillId="0" borderId="5" xfId="18" applyNumberFormat="1" applyFont="1" applyFill="1" applyBorder="1" applyAlignment="1">
      <alignment horizontal="right" vertical="center"/>
    </xf>
    <xf numFmtId="0" fontId="51" fillId="0" borderId="0" xfId="14" applyFont="1" applyAlignment="1">
      <alignment vertical="center"/>
    </xf>
    <xf numFmtId="0" fontId="51" fillId="0" borderId="5" xfId="0" applyFont="1" applyBorder="1" applyAlignment="1">
      <alignment vertical="center" wrapText="1"/>
    </xf>
    <xf numFmtId="167" fontId="51" fillId="0" borderId="34" xfId="7" applyNumberFormat="1" applyFont="1" applyBorder="1" applyAlignment="1">
      <alignment vertical="center"/>
    </xf>
    <xf numFmtId="9" fontId="51" fillId="0" borderId="5" xfId="2" applyFont="1" applyBorder="1" applyAlignment="1">
      <alignment vertical="center"/>
    </xf>
    <xf numFmtId="167" fontId="51" fillId="0" borderId="5" xfId="7" applyNumberFormat="1" applyFont="1" applyBorder="1" applyAlignment="1">
      <alignment vertical="center"/>
    </xf>
    <xf numFmtId="43" fontId="51" fillId="0" borderId="0" xfId="14" applyNumberFormat="1" applyFont="1" applyAlignment="1">
      <alignment vertical="center"/>
    </xf>
    <xf numFmtId="0" fontId="51" fillId="14" borderId="33" xfId="0" applyFont="1" applyFill="1" applyBorder="1" applyAlignment="1">
      <alignment vertical="center" wrapText="1"/>
    </xf>
    <xf numFmtId="167" fontId="51" fillId="14" borderId="0" xfId="7" applyNumberFormat="1" applyFont="1" applyFill="1" applyAlignment="1">
      <alignment vertical="center"/>
    </xf>
    <xf numFmtId="9" fontId="51" fillId="14" borderId="33" xfId="2" applyFont="1" applyFill="1" applyBorder="1" applyAlignment="1">
      <alignment vertical="center"/>
    </xf>
    <xf numFmtId="167" fontId="51" fillId="14" borderId="33" xfId="7" applyNumberFormat="1" applyFont="1" applyFill="1" applyBorder="1" applyAlignment="1">
      <alignment vertical="center"/>
    </xf>
    <xf numFmtId="0" fontId="51" fillId="11" borderId="33" xfId="0" applyFont="1" applyFill="1" applyBorder="1" applyAlignment="1">
      <alignment vertical="center" wrapText="1"/>
    </xf>
    <xf numFmtId="167" fontId="51" fillId="11" borderId="0" xfId="7" applyNumberFormat="1" applyFont="1" applyFill="1" applyAlignment="1">
      <alignment vertical="center"/>
    </xf>
    <xf numFmtId="9" fontId="51" fillId="11" borderId="33" xfId="2" applyFont="1" applyFill="1" applyBorder="1" applyAlignment="1">
      <alignment vertical="center"/>
    </xf>
    <xf numFmtId="167" fontId="51" fillId="11" borderId="33" xfId="7" applyNumberFormat="1" applyFont="1" applyFill="1" applyBorder="1" applyAlignment="1">
      <alignment vertical="center"/>
    </xf>
    <xf numFmtId="167" fontId="0" fillId="4" borderId="0" xfId="7" applyNumberFormat="1" applyFont="1" applyFill="1" applyAlignment="1">
      <alignment vertical="center"/>
    </xf>
    <xf numFmtId="167" fontId="51" fillId="4" borderId="34" xfId="7" applyNumberFormat="1" applyFont="1" applyFill="1" applyBorder="1" applyAlignment="1">
      <alignment vertical="center"/>
    </xf>
    <xf numFmtId="167" fontId="0" fillId="4" borderId="33" xfId="7" applyNumberFormat="1" applyFont="1" applyFill="1" applyBorder="1" applyAlignment="1">
      <alignment vertical="center"/>
    </xf>
    <xf numFmtId="167" fontId="51" fillId="4" borderId="5" xfId="7" applyNumberFormat="1" applyFont="1" applyFill="1" applyBorder="1" applyAlignment="1">
      <alignment vertical="center"/>
    </xf>
    <xf numFmtId="0" fontId="14" fillId="0" borderId="0" xfId="14" applyFont="1" applyAlignment="1">
      <alignment horizontal="center" vertical="center"/>
    </xf>
    <xf numFmtId="0" fontId="4" fillId="0" borderId="33" xfId="0" applyFont="1" applyBorder="1" applyAlignment="1">
      <alignment horizontal="center" vertical="center" wrapText="1"/>
    </xf>
    <xf numFmtId="14" fontId="4" fillId="4" borderId="0" xfId="7" applyNumberFormat="1" applyFont="1" applyFill="1" applyAlignment="1">
      <alignment horizontal="center" vertical="center"/>
    </xf>
    <xf numFmtId="9" fontId="4" fillId="0" borderId="33" xfId="2" applyFont="1" applyBorder="1" applyAlignment="1">
      <alignment horizontal="center" vertical="center"/>
    </xf>
    <xf numFmtId="167" fontId="4" fillId="4" borderId="0" xfId="7" applyNumberFormat="1" applyFont="1" applyFill="1" applyAlignment="1">
      <alignment horizontal="center" vertical="center"/>
    </xf>
    <xf numFmtId="167" fontId="4" fillId="4" borderId="33" xfId="7" applyNumberFormat="1" applyFont="1" applyFill="1" applyBorder="1" applyAlignment="1">
      <alignment horizontal="center" vertical="center"/>
    </xf>
    <xf numFmtId="14" fontId="4" fillId="0" borderId="0" xfId="7" applyNumberFormat="1" applyFont="1" applyAlignment="1">
      <alignment horizontal="center" vertical="center"/>
    </xf>
    <xf numFmtId="14" fontId="4" fillId="0" borderId="33" xfId="7" applyNumberFormat="1" applyFont="1" applyBorder="1" applyAlignment="1">
      <alignment horizontal="center" vertical="center"/>
    </xf>
    <xf numFmtId="167" fontId="4" fillId="0" borderId="33" xfId="7" applyNumberFormat="1" applyFont="1" applyBorder="1" applyAlignment="1">
      <alignment horizontal="center" vertical="center"/>
    </xf>
    <xf numFmtId="0" fontId="4" fillId="0" borderId="0" xfId="14" applyFont="1" applyAlignment="1">
      <alignment horizontal="center" vertical="center"/>
    </xf>
    <xf numFmtId="0" fontId="0" fillId="0" borderId="0" xfId="0" applyAlignment="1">
      <alignment horizontal="left" vertical="center" wrapText="1"/>
    </xf>
    <xf numFmtId="0" fontId="0" fillId="0" borderId="3" xfId="0" applyBorder="1" applyAlignment="1">
      <alignment horizontal="left" vertical="center" wrapText="1"/>
    </xf>
    <xf numFmtId="0" fontId="55" fillId="0" borderId="3" xfId="0" applyFont="1" applyBorder="1" applyAlignment="1">
      <alignment horizontal="left" vertical="center" wrapText="1"/>
    </xf>
    <xf numFmtId="0" fontId="54" fillId="0" borderId="3" xfId="0" applyFont="1" applyBorder="1" applyAlignment="1">
      <alignment horizontal="left" vertical="center" wrapText="1"/>
    </xf>
    <xf numFmtId="0" fontId="29" fillId="0" borderId="22" xfId="0" applyFont="1" applyBorder="1" applyAlignment="1">
      <alignment vertical="center" wrapText="1"/>
    </xf>
    <xf numFmtId="41" fontId="0" fillId="0" borderId="3" xfId="7" applyFont="1" applyFill="1" applyBorder="1" applyAlignment="1">
      <alignment horizontal="left" vertical="center" wrapText="1"/>
    </xf>
    <xf numFmtId="0" fontId="0" fillId="0" borderId="7" xfId="0" applyBorder="1" applyAlignment="1">
      <alignment vertical="center"/>
    </xf>
    <xf numFmtId="14" fontId="0" fillId="2" borderId="6" xfId="0" applyNumberFormat="1" applyFill="1" applyBorder="1" applyAlignment="1">
      <alignment horizontal="right" vertical="center"/>
    </xf>
    <xf numFmtId="0" fontId="0" fillId="0" borderId="3" xfId="0" applyBorder="1" applyAlignment="1">
      <alignment vertical="center"/>
    </xf>
    <xf numFmtId="0" fontId="6" fillId="0" borderId="0" xfId="0" applyFont="1" applyAlignment="1">
      <alignment vertical="center"/>
    </xf>
    <xf numFmtId="0" fontId="0" fillId="0" borderId="0" xfId="0" applyAlignment="1">
      <alignment horizontal="center" vertical="center"/>
    </xf>
    <xf numFmtId="0" fontId="6" fillId="0" borderId="3" xfId="0" applyFont="1" applyBorder="1" applyAlignment="1">
      <alignment vertical="center"/>
    </xf>
    <xf numFmtId="0" fontId="51" fillId="0" borderId="7" xfId="0" applyFont="1" applyBorder="1" applyAlignment="1">
      <alignment horizontal="center" vertical="center" wrapText="1"/>
    </xf>
    <xf numFmtId="164" fontId="17" fillId="0" borderId="9" xfId="1" applyNumberFormat="1" applyFont="1" applyFill="1" applyBorder="1" applyAlignment="1">
      <alignment horizontal="left" vertical="center"/>
    </xf>
    <xf numFmtId="41" fontId="0" fillId="0" borderId="0" xfId="7" applyFont="1" applyBorder="1"/>
    <xf numFmtId="41" fontId="0" fillId="0" borderId="33" xfId="7" applyFont="1" applyBorder="1"/>
    <xf numFmtId="41" fontId="0" fillId="0" borderId="34" xfId="7" applyFont="1" applyBorder="1"/>
    <xf numFmtId="41" fontId="0" fillId="0" borderId="5" xfId="7" applyFont="1" applyBorder="1"/>
    <xf numFmtId="0" fontId="57" fillId="5" borderId="6" xfId="14" applyFont="1" applyFill="1" applyBorder="1" applyAlignment="1">
      <alignment horizontal="left" vertical="center"/>
    </xf>
    <xf numFmtId="164" fontId="57" fillId="5" borderId="36" xfId="14" applyNumberFormat="1" applyFont="1" applyFill="1" applyBorder="1"/>
    <xf numFmtId="164" fontId="57" fillId="5" borderId="7" xfId="14" applyNumberFormat="1" applyFont="1" applyFill="1" applyBorder="1"/>
    <xf numFmtId="0" fontId="58" fillId="0" borderId="9" xfId="14" applyFont="1" applyBorder="1" applyAlignment="1">
      <alignment horizontal="left" vertical="center"/>
    </xf>
    <xf numFmtId="164" fontId="57" fillId="0" borderId="35" xfId="16" applyNumberFormat="1" applyFont="1" applyBorder="1"/>
    <xf numFmtId="0" fontId="57" fillId="0" borderId="8" xfId="14" applyFont="1" applyBorder="1"/>
    <xf numFmtId="164" fontId="57" fillId="0" borderId="34" xfId="16" applyNumberFormat="1" applyFont="1" applyBorder="1"/>
    <xf numFmtId="9" fontId="27" fillId="10" borderId="22" xfId="8" quotePrefix="1" applyNumberFormat="1" applyFont="1" applyFill="1" applyBorder="1"/>
    <xf numFmtId="172" fontId="29" fillId="0" borderId="22" xfId="8" applyNumberFormat="1" applyFont="1" applyBorder="1"/>
    <xf numFmtId="166" fontId="29" fillId="0" borderId="22" xfId="8" applyNumberFormat="1" applyFont="1" applyBorder="1"/>
    <xf numFmtId="173" fontId="29" fillId="0" borderId="22" xfId="8" applyNumberFormat="1" applyFont="1" applyBorder="1" applyAlignment="1">
      <alignment wrapText="1"/>
    </xf>
    <xf numFmtId="14" fontId="29" fillId="0" borderId="22" xfId="8" applyNumberFormat="1" applyFont="1" applyBorder="1"/>
    <xf numFmtId="0" fontId="29" fillId="0" borderId="22" xfId="8" applyFont="1" applyBorder="1"/>
    <xf numFmtId="14" fontId="28" fillId="10" borderId="22" xfId="8" quotePrefix="1" applyNumberFormat="1" applyFont="1" applyFill="1" applyBorder="1"/>
    <xf numFmtId="0" fontId="29" fillId="0" borderId="22" xfId="0" quotePrefix="1" applyFont="1" applyBorder="1"/>
    <xf numFmtId="9" fontId="29" fillId="0" borderId="22" xfId="12" applyFont="1" applyBorder="1"/>
    <xf numFmtId="0" fontId="29" fillId="0" borderId="22" xfId="0" applyFont="1" applyBorder="1"/>
    <xf numFmtId="9" fontId="29" fillId="0" borderId="22" xfId="0" applyNumberFormat="1" applyFont="1" applyBorder="1"/>
    <xf numFmtId="0" fontId="29" fillId="0" borderId="22" xfId="8" quotePrefix="1" applyFont="1" applyBorder="1"/>
    <xf numFmtId="10" fontId="29" fillId="0" borderId="22" xfId="2" applyNumberFormat="1" applyFont="1" applyBorder="1" applyAlignment="1">
      <alignment wrapText="1"/>
    </xf>
    <xf numFmtId="167" fontId="29" fillId="0" borderId="22" xfId="7" applyNumberFormat="1" applyFont="1" applyBorder="1" applyAlignment="1">
      <alignment wrapText="1"/>
    </xf>
    <xf numFmtId="41" fontId="29" fillId="0" borderId="22" xfId="7" applyFont="1" applyBorder="1" applyAlignment="1">
      <alignment wrapText="1"/>
    </xf>
    <xf numFmtId="41" fontId="29" fillId="0" borderId="22" xfId="8" applyNumberFormat="1" applyFont="1" applyBorder="1" applyAlignment="1">
      <alignment wrapText="1"/>
    </xf>
    <xf numFmtId="3" fontId="29" fillId="0" borderId="22" xfId="8" applyNumberFormat="1" applyFont="1" applyBorder="1" applyAlignment="1">
      <alignment wrapText="1"/>
    </xf>
    <xf numFmtId="0" fontId="15" fillId="20" borderId="6" xfId="0" applyFont="1" applyFill="1" applyBorder="1" applyAlignment="1">
      <alignment horizontal="center" vertical="center" wrapText="1"/>
    </xf>
    <xf numFmtId="41" fontId="5" fillId="0" borderId="35" xfId="7" applyFont="1" applyBorder="1"/>
    <xf numFmtId="0" fontId="51" fillId="0" borderId="6" xfId="0" applyFont="1" applyBorder="1"/>
    <xf numFmtId="41" fontId="51" fillId="0" borderId="36" xfId="7" applyFont="1" applyBorder="1"/>
    <xf numFmtId="41" fontId="51" fillId="0" borderId="7" xfId="7" applyFont="1" applyBorder="1"/>
    <xf numFmtId="0" fontId="54" fillId="0" borderId="9" xfId="0" applyFont="1" applyBorder="1"/>
    <xf numFmtId="41" fontId="54" fillId="0" borderId="35" xfId="7" applyFont="1" applyBorder="1"/>
    <xf numFmtId="41" fontId="54" fillId="0" borderId="4" xfId="7" applyFont="1" applyBorder="1"/>
    <xf numFmtId="0" fontId="54" fillId="0" borderId="0" xfId="0" applyFont="1"/>
    <xf numFmtId="41" fontId="54" fillId="0" borderId="0" xfId="7" applyFont="1" applyBorder="1"/>
    <xf numFmtId="41" fontId="54" fillId="0" borderId="5" xfId="7" applyFont="1" applyBorder="1"/>
    <xf numFmtId="0" fontId="0" fillId="0" borderId="4" xfId="0" applyBorder="1" applyAlignment="1">
      <alignment vertical="center"/>
    </xf>
    <xf numFmtId="14" fontId="17" fillId="0" borderId="6" xfId="1" applyNumberFormat="1" applyFont="1" applyFill="1" applyBorder="1" applyAlignment="1">
      <alignment horizontal="right" vertical="center"/>
    </xf>
    <xf numFmtId="167" fontId="0" fillId="0" borderId="0" xfId="7" applyNumberFormat="1" applyFont="1"/>
    <xf numFmtId="174" fontId="0" fillId="0" borderId="0" xfId="7" applyNumberFormat="1" applyFont="1"/>
    <xf numFmtId="14" fontId="47" fillId="19" borderId="0" xfId="8" applyNumberFormat="1" applyFont="1" applyFill="1" applyAlignment="1">
      <alignment vertical="center"/>
    </xf>
    <xf numFmtId="14" fontId="49" fillId="0" borderId="0" xfId="8" applyNumberFormat="1" applyFont="1" applyAlignment="1">
      <alignment vertical="center"/>
    </xf>
    <xf numFmtId="9" fontId="29" fillId="0" borderId="0" xfId="2" applyFont="1" applyAlignment="1">
      <alignment vertical="center"/>
    </xf>
    <xf numFmtId="166" fontId="29" fillId="0" borderId="0" xfId="2" applyNumberFormat="1" applyFont="1" applyAlignment="1">
      <alignment vertical="center"/>
    </xf>
    <xf numFmtId="10" fontId="29" fillId="0" borderId="0" xfId="2" applyNumberFormat="1" applyFont="1" applyAlignment="1">
      <alignment vertical="center"/>
    </xf>
    <xf numFmtId="41" fontId="29" fillId="0" borderId="0" xfId="7" applyFont="1" applyAlignment="1">
      <alignment vertical="center"/>
    </xf>
    <xf numFmtId="0" fontId="0" fillId="0" borderId="3" xfId="0" applyBorder="1" applyAlignment="1">
      <alignment vertical="center" wrapText="1"/>
    </xf>
    <xf numFmtId="41" fontId="6" fillId="0" borderId="0" xfId="0" applyNumberFormat="1" applyFont="1" applyAlignment="1">
      <alignment vertical="center"/>
    </xf>
    <xf numFmtId="10" fontId="26" fillId="2" borderId="22" xfId="8" applyNumberFormat="1" applyFont="1" applyFill="1" applyBorder="1" applyAlignment="1">
      <alignment wrapText="1"/>
    </xf>
    <xf numFmtId="41" fontId="6" fillId="0" borderId="0" xfId="7" applyFont="1" applyAlignment="1">
      <alignment vertical="center"/>
    </xf>
    <xf numFmtId="175" fontId="8" fillId="0" borderId="0" xfId="2" applyNumberFormat="1" applyFont="1" applyAlignment="1">
      <alignment vertical="top"/>
    </xf>
    <xf numFmtId="168" fontId="8" fillId="0" borderId="0" xfId="7" applyNumberFormat="1" applyFont="1" applyAlignment="1">
      <alignment vertical="top"/>
    </xf>
    <xf numFmtId="176" fontId="0" fillId="0" borderId="0" xfId="7" applyNumberFormat="1" applyFont="1"/>
    <xf numFmtId="10" fontId="29" fillId="0" borderId="22" xfId="0" applyNumberFormat="1" applyFont="1" applyBorder="1" applyAlignment="1">
      <alignment vertical="center" wrapText="1"/>
    </xf>
    <xf numFmtId="9" fontId="26" fillId="0" borderId="22" xfId="0" applyNumberFormat="1" applyFont="1" applyBorder="1" applyAlignment="1">
      <alignment vertical="center" wrapText="1"/>
    </xf>
    <xf numFmtId="14" fontId="50" fillId="21" borderId="0" xfId="8" applyNumberFormat="1" applyFont="1" applyFill="1" applyAlignment="1">
      <alignment vertical="center"/>
    </xf>
    <xf numFmtId="0" fontId="26" fillId="21" borderId="0" xfId="8" applyFont="1" applyFill="1" applyAlignment="1">
      <alignment vertical="center"/>
    </xf>
    <xf numFmtId="0" fontId="29" fillId="21" borderId="0" xfId="8" applyFont="1" applyFill="1" applyAlignment="1">
      <alignment vertical="center"/>
    </xf>
    <xf numFmtId="9" fontId="29" fillId="21" borderId="0" xfId="2" applyFont="1" applyFill="1" applyAlignment="1">
      <alignment vertical="center"/>
    </xf>
    <xf numFmtId="0" fontId="40" fillId="0" borderId="0" xfId="8" applyFont="1" applyAlignment="1">
      <alignment vertical="center"/>
    </xf>
    <xf numFmtId="0" fontId="42" fillId="0" borderId="0" xfId="8" applyFont="1" applyAlignment="1">
      <alignment vertical="center"/>
    </xf>
    <xf numFmtId="9" fontId="26" fillId="0" borderId="22" xfId="2" applyFont="1" applyBorder="1" applyAlignment="1">
      <alignment vertical="center" wrapText="1"/>
    </xf>
    <xf numFmtId="43" fontId="0" fillId="0" borderId="0" xfId="0" applyNumberFormat="1" applyAlignment="1">
      <alignment horizontal="left" vertical="center" wrapText="1"/>
    </xf>
    <xf numFmtId="0" fontId="0" fillId="0" borderId="0" xfId="0" quotePrefix="1" applyAlignment="1">
      <alignment vertical="center"/>
    </xf>
    <xf numFmtId="0" fontId="59" fillId="0" borderId="3" xfId="22" applyBorder="1" applyAlignment="1">
      <alignment vertical="center"/>
    </xf>
    <xf numFmtId="0" fontId="29" fillId="0" borderId="22" xfId="0" applyFont="1" applyBorder="1" applyAlignment="1">
      <alignment wrapText="1"/>
    </xf>
    <xf numFmtId="1" fontId="29" fillId="0" borderId="0" xfId="8" applyNumberFormat="1" applyFont="1" applyAlignment="1">
      <alignment vertical="center"/>
    </xf>
    <xf numFmtId="14" fontId="60" fillId="19" borderId="0" xfId="8" applyNumberFormat="1" applyFont="1" applyFill="1" applyAlignment="1">
      <alignment vertical="center"/>
    </xf>
    <xf numFmtId="0" fontId="61" fillId="0" borderId="0" xfId="8" applyFont="1" applyAlignment="1">
      <alignment vertical="center"/>
    </xf>
    <xf numFmtId="3" fontId="29" fillId="0" borderId="0" xfId="8" applyNumberFormat="1" applyFont="1" applyAlignment="1">
      <alignment vertical="center"/>
    </xf>
    <xf numFmtId="0" fontId="0" fillId="0" borderId="3" xfId="0" applyBorder="1" applyAlignment="1">
      <alignment horizontal="left" vertical="center"/>
    </xf>
    <xf numFmtId="41" fontId="0" fillId="0" borderId="3" xfId="7" applyFont="1" applyBorder="1" applyAlignment="1">
      <alignment horizontal="right" vertical="center" wrapText="1"/>
    </xf>
    <xf numFmtId="177" fontId="0" fillId="0" borderId="0" xfId="7" applyNumberFormat="1" applyFont="1"/>
    <xf numFmtId="9" fontId="6" fillId="0" borderId="0" xfId="2" applyFont="1" applyAlignment="1">
      <alignment horizontal="right" vertical="center" wrapText="1"/>
    </xf>
    <xf numFmtId="9" fontId="6" fillId="0" borderId="0" xfId="2" applyFont="1" applyAlignment="1">
      <alignment vertical="center"/>
    </xf>
    <xf numFmtId="43" fontId="0" fillId="0" borderId="0" xfId="0" applyNumberFormat="1" applyAlignment="1">
      <alignment vertical="center"/>
    </xf>
    <xf numFmtId="41" fontId="0" fillId="0" borderId="0" xfId="0" applyNumberFormat="1"/>
    <xf numFmtId="14" fontId="32" fillId="12" borderId="9" xfId="14" quotePrefix="1" applyNumberFormat="1" applyFont="1" applyFill="1" applyBorder="1" applyAlignment="1">
      <alignment horizontal="center" vertical="center"/>
    </xf>
    <xf numFmtId="14" fontId="32" fillId="12" borderId="8" xfId="14" quotePrefix="1" applyNumberFormat="1" applyFont="1" applyFill="1" applyBorder="1" applyAlignment="1">
      <alignment horizontal="center" vertical="center"/>
    </xf>
    <xf numFmtId="0" fontId="33" fillId="13" borderId="35" xfId="14" applyFont="1" applyFill="1" applyBorder="1" applyAlignment="1">
      <alignment horizontal="center"/>
    </xf>
    <xf numFmtId="0" fontId="33" fillId="14" borderId="35" xfId="14" applyFont="1" applyFill="1" applyBorder="1" applyAlignment="1">
      <alignment horizontal="center"/>
    </xf>
    <xf numFmtId="0" fontId="33" fillId="14" borderId="4" xfId="14" applyFont="1" applyFill="1" applyBorder="1" applyAlignment="1">
      <alignment horizontal="center"/>
    </xf>
    <xf numFmtId="0" fontId="45" fillId="0" borderId="0" xfId="8" applyFont="1"/>
    <xf numFmtId="0" fontId="26" fillId="0" borderId="0" xfId="8" applyFont="1"/>
    <xf numFmtId="0" fontId="19" fillId="0" borderId="0" xfId="8"/>
    <xf numFmtId="0" fontId="27" fillId="17" borderId="0" xfId="8" applyFont="1" applyFill="1"/>
    <xf numFmtId="41" fontId="0" fillId="0" borderId="0" xfId="7" applyNumberFormat="1" applyFont="1"/>
  </cellXfs>
  <cellStyles count="23">
    <cellStyle name="Comma" xfId="1" builtinId="3"/>
    <cellStyle name="Comma [0]" xfId="7" builtinId="6"/>
    <cellStyle name="Comma [0] 2" xfId="21" xr:uid="{650090D6-8EB2-40CA-BF88-655C2F2767D9}"/>
    <cellStyle name="Comma 15" xfId="18" xr:uid="{4A5BE3B5-5B94-45E1-B531-29BE3251E255}"/>
    <cellStyle name="Comma 2" xfId="11" xr:uid="{7DF3A47A-9EC1-4316-8A36-F1F2E7F820E8}"/>
    <cellStyle name="Comma 2 2" xfId="20" xr:uid="{1537E2C2-0F48-4ED0-8D54-3FCDE695A3B7}"/>
    <cellStyle name="Comma 2 41 2 2 2" xfId="4" xr:uid="{00000000-0005-0000-0000-000001000000}"/>
    <cellStyle name="Comma 3" xfId="16" xr:uid="{2A10D7D6-5E1C-4927-BCAC-A6F882D97672}"/>
    <cellStyle name="Hyperlink" xfId="22" builtinId="8"/>
    <cellStyle name="Hyperlink 2" xfId="15" xr:uid="{6C3ABEA4-B79C-4D22-903D-98F4822F3B7E}"/>
    <cellStyle name="Normal" xfId="0" builtinId="0"/>
    <cellStyle name="Normal 12" xfId="3" xr:uid="{00000000-0005-0000-0000-000004000000}"/>
    <cellStyle name="Normal 12 2" xfId="14" xr:uid="{E7E01E0A-1626-408D-83ED-DBDD63EA699C}"/>
    <cellStyle name="Normal 2" xfId="8" xr:uid="{09AA6FFE-1266-4E8F-8475-54F63F1D4B9A}"/>
    <cellStyle name="Normal 2 2" xfId="13" xr:uid="{16BD9BF8-E65C-4E64-969F-532548FCA6DF}"/>
    <cellStyle name="Normal 28" xfId="5" xr:uid="{00000000-0005-0000-0000-000005000000}"/>
    <cellStyle name="Normal 3" xfId="9" xr:uid="{11D2037E-0490-441B-B3CA-605E72C7FD1E}"/>
    <cellStyle name="Normal 3 2" xfId="17" xr:uid="{A15B6C37-28A1-432D-9976-6C8FC811FD18}"/>
    <cellStyle name="Normal 4" xfId="10" xr:uid="{9A8FBD3E-6160-4734-A18B-E3376B86EC7C}"/>
    <cellStyle name="Normal 76 2 2" xfId="6" xr:uid="{00000000-0005-0000-0000-000006000000}"/>
    <cellStyle name="Percent" xfId="2" builtinId="5"/>
    <cellStyle name="Percent 2" xfId="12" xr:uid="{3B93E34C-62BB-4B2C-8B40-9B7EDBC1C480}"/>
    <cellStyle name="Percent 3" xfId="19" xr:uid="{D5713263-4400-44AA-9914-3083A91B3268}"/>
  </cellStyles>
  <dxfs count="81">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border diagonalUp="0" diagonalDown="0">
        <left/>
        <right style="thin">
          <color indexed="64"/>
        </right>
        <top/>
        <bottom/>
        <vertical/>
        <horizontal/>
      </border>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border diagonalUp="0" diagonalDown="0">
        <left/>
        <right style="thin">
          <color indexed="64"/>
        </right>
        <top/>
        <bottom/>
        <vertical/>
        <horizontal/>
      </border>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border diagonalUp="0" diagonalDown="0">
        <left/>
        <right style="thin">
          <color indexed="64"/>
        </right>
        <top/>
        <bottom/>
        <vertical/>
        <horizontal/>
      </border>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fill>
        <patternFill patternType="solid">
          <fgColor indexed="64"/>
          <bgColor theme="7" tint="0.79998168889431442"/>
        </patternFill>
      </fill>
      <alignment horizontal="general" vertical="center" textRotation="0" wrapText="0" indent="0" justifyLastLine="0" shrinkToFit="0" readingOrder="0"/>
      <border diagonalUp="0" diagonalDown="0">
        <left/>
        <right style="thin">
          <color indexed="64"/>
        </right>
        <top/>
        <bottom/>
        <vertical/>
        <horizontal/>
      </border>
    </dxf>
    <dxf>
      <numFmt numFmtId="167" formatCode="_(* #,##0.0_);_(* \(#,##0.0\);_(* &quot;-&quot;_);_(@_)"/>
      <fill>
        <patternFill patternType="solid">
          <fgColor indexed="64"/>
          <bgColor theme="7" tint="0.79998168889431442"/>
        </patternFill>
      </fill>
      <alignment horizontal="general" vertical="center" textRotation="0" wrapText="0" indent="0" justifyLastLine="0" shrinkToFit="0" readingOrder="0"/>
    </dxf>
    <dxf>
      <numFmt numFmtId="0" formatCode="General"/>
      <fill>
        <patternFill patternType="solid">
          <fgColor indexed="64"/>
          <bgColor theme="7" tint="0.79998168889431442"/>
        </patternFill>
      </fill>
      <alignment horizontal="general" vertical="center" textRotation="0" wrapText="1" indent="0" justifyLastLine="0" shrinkToFit="0" readingOrder="0"/>
      <border diagonalUp="0" diagonalDown="0">
        <left/>
        <right style="thin">
          <color indexed="64"/>
        </right>
        <top/>
        <bottom/>
        <vertical/>
        <horizontal/>
      </border>
    </dxf>
    <dxf>
      <numFmt numFmtId="167" formatCode="_(* #,##0.0_);_(* \(#,##0.0\);_(* &quot;-&quot;_);_(@_)"/>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19" formatCode="d/m/yyyy"/>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numFmt numFmtId="19" formatCode="d/m/yyyy"/>
    </dxf>
    <dxf>
      <border>
        <left style="thin">
          <color auto="1"/>
        </left>
        <right style="thin">
          <color auto="1"/>
        </right>
        <top style="thin">
          <color auto="1"/>
        </top>
        <bottom style="thin">
          <color auto="1"/>
        </bottom>
        <vertical/>
        <horizontal/>
      </border>
    </dxf>
    <dxf>
      <font>
        <b/>
        <i val="0"/>
        <color rgb="FFC00000"/>
      </font>
      <fill>
        <patternFill>
          <bgColor rgb="FFFFFF00"/>
        </patternFill>
      </fill>
    </dxf>
    <dxf>
      <numFmt numFmtId="164" formatCode="_(* #,##0_);_(* \(#,##0\);_(* &quot;-&quot;??_);_(@_)"/>
    </dxf>
    <dxf>
      <numFmt numFmtId="19" formatCode="d/m/yyyy"/>
    </dxf>
    <dxf>
      <numFmt numFmtId="19" formatCode="d/m/yyyy"/>
    </dxf>
    <dxf>
      <font>
        <b val="0"/>
        <i val="0"/>
        <strike val="0"/>
        <condense val="0"/>
        <extend val="0"/>
        <outline val="0"/>
        <shadow val="0"/>
        <u val="none"/>
        <vertAlign val="baseline"/>
        <sz val="11"/>
        <color theme="1"/>
        <name val="Calibri"/>
        <family val="2"/>
        <scheme val="minor"/>
      </font>
    </dxf>
    <dxf>
      <numFmt numFmtId="19" formatCode="d/m/yyyy"/>
    </dxf>
    <dxf>
      <numFmt numFmtId="19" formatCode="d/m/yyyy"/>
    </dxf>
    <dxf>
      <numFmt numFmtId="19" formatCode="d/m/yyyy"/>
    </dxf>
    <dxf>
      <font>
        <b val="0"/>
        <i val="0"/>
        <strike val="0"/>
        <condense val="0"/>
        <extend val="0"/>
        <outline val="0"/>
        <shadow val="0"/>
        <u val="none"/>
        <vertAlign val="baseline"/>
        <sz val="11"/>
        <color theme="1"/>
        <name val="Calibri"/>
        <family val="2"/>
        <scheme val="minor"/>
      </font>
      <numFmt numFmtId="176" formatCode="_(* #,##0.000000_);_(* \(#,##0.000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7" formatCode="_(* #,##0.0_);_(* \(#,##0.0\);_(* &quot;-&quot;_);_(@_)"/>
    </dxf>
    <dxf>
      <numFmt numFmtId="164" formatCode="_(* #,##0_);_(* \(#,##0\);_(* &quot;-&quot;??_);_(@_)"/>
    </dxf>
    <dxf>
      <numFmt numFmtId="19" formatCode="d/m/yyyy"/>
    </dxf>
    <dxf>
      <font>
        <b val="0"/>
        <i val="0"/>
        <strike val="0"/>
        <condense val="0"/>
        <extend val="0"/>
        <outline val="0"/>
        <shadow val="0"/>
        <u val="none"/>
        <vertAlign val="baseline"/>
        <sz val="11"/>
        <color theme="1"/>
        <name val="Calibri"/>
        <family val="2"/>
        <scheme val="minor"/>
      </font>
      <numFmt numFmtId="33"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theme="1"/>
        <name val="Calibri"/>
        <family val="2"/>
        <scheme val="minor"/>
      </font>
    </dxf>
    <dxf>
      <numFmt numFmtId="174"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9"/>
        <color auto="1"/>
        <name val="Aptos"/>
        <family val="2"/>
        <scheme val="none"/>
      </font>
      <border diagonalUp="0" diagonalDown="0">
        <left style="thin">
          <color rgb="FFE4E7EC"/>
        </left>
        <right/>
        <top style="thin">
          <color rgb="FFE4E7EC"/>
        </top>
        <bottom style="thin">
          <color rgb="FFE4E7EC"/>
        </bottom>
        <vertical/>
        <horizontal/>
      </border>
    </dxf>
    <dxf>
      <font>
        <b val="0"/>
        <i val="0"/>
        <strike val="0"/>
        <condense val="0"/>
        <extend val="0"/>
        <outline val="0"/>
        <shadow val="0"/>
        <u val="none"/>
        <vertAlign val="baseline"/>
        <sz val="9"/>
        <color auto="1"/>
        <name val="Aptos"/>
        <family val="2"/>
        <scheme val="none"/>
      </font>
      <border diagonalUp="0" diagonalDown="0">
        <left style="thin">
          <color rgb="FFE4E7EC"/>
        </left>
        <right style="thin">
          <color rgb="FFE4E7EC"/>
        </right>
        <top style="thin">
          <color rgb="FFE4E7EC"/>
        </top>
        <bottom style="thin">
          <color rgb="FFE4E7EC"/>
        </bottom>
        <vertical/>
        <horizontal/>
      </border>
    </dxf>
    <dxf>
      <font>
        <b val="0"/>
        <i val="0"/>
        <strike val="0"/>
        <condense val="0"/>
        <extend val="0"/>
        <outline val="0"/>
        <shadow val="0"/>
        <u val="none"/>
        <vertAlign val="baseline"/>
        <sz val="9"/>
        <color auto="1"/>
        <name val="Aptos"/>
        <family val="2"/>
        <scheme val="none"/>
      </font>
      <border diagonalUp="0" diagonalDown="0">
        <left/>
        <right style="thin">
          <color rgb="FFE4E7EC"/>
        </right>
        <top style="thin">
          <color rgb="FFE4E7EC"/>
        </top>
        <bottom style="thin">
          <color rgb="FFE4E7EC"/>
        </bottom>
        <vertical/>
        <horizontal/>
      </border>
    </dxf>
    <dxf>
      <border outline="0">
        <left style="thin">
          <color rgb="FFE4E7EC"/>
        </left>
        <right style="thin">
          <color rgb="FFE4E7EC"/>
        </right>
        <bottom style="thin">
          <color rgb="FFE4E7EC"/>
        </bottom>
      </border>
    </dxf>
    <dxf>
      <border outline="0">
        <bottom style="thin">
          <color rgb="FFE4E7EC"/>
        </bottom>
      </border>
    </dxf>
    <dxf>
      <font>
        <b/>
        <i val="0"/>
        <strike val="0"/>
        <condense val="0"/>
        <extend val="0"/>
        <outline val="0"/>
        <shadow val="0"/>
        <u val="none"/>
        <vertAlign val="baseline"/>
        <sz val="9"/>
        <color rgb="FFFFFFFF"/>
        <name val="Aptos"/>
        <family val="2"/>
        <scheme val="none"/>
      </font>
      <fill>
        <patternFill patternType="solid">
          <fgColor indexed="64"/>
          <bgColor rgb="FF431407"/>
        </patternFill>
      </fill>
      <alignment horizontal="general" vertical="bottom" textRotation="0" wrapText="1" indent="0" justifyLastLine="0" shrinkToFit="0" readingOrder="0"/>
      <border diagonalUp="0" diagonalDown="0" outline="0">
        <left style="thin">
          <color rgb="FFE4E7EC"/>
        </left>
        <right style="thin">
          <color rgb="FFE4E7EC"/>
        </right>
        <top/>
        <bottom/>
      </border>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style="thin">
          <color indexed="64"/>
        </right>
        <top/>
        <bottom/>
        <vertical/>
        <horizontal/>
      </border>
    </dxf>
    <dxf>
      <font>
        <b/>
        <i val="0"/>
        <strike val="0"/>
        <condense val="0"/>
        <extend val="0"/>
        <outline val="0"/>
        <shadow val="0"/>
        <u val="none"/>
        <vertAlign val="baseline"/>
        <sz val="11"/>
        <color rgb="FFC00000"/>
        <name val="Calibri"/>
        <family val="2"/>
        <scheme val="minor"/>
      </font>
      <border diagonalUp="0" diagonalDown="0" outline="0">
        <left/>
        <right style="thin">
          <color indexed="64"/>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C00000"/>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C00000"/>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C00000"/>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C00000"/>
        <name val="Calibri"/>
        <family val="2"/>
        <scheme val="minor"/>
      </font>
      <border diagonalUp="0" diagonalDown="0" outline="0">
        <left/>
        <right/>
        <top/>
        <bottom/>
      </border>
    </dxf>
    <dxf>
      <font>
        <b/>
        <i val="0"/>
        <strike val="0"/>
        <condense val="0"/>
        <extend val="0"/>
        <outline val="0"/>
        <shadow val="0"/>
        <u val="none"/>
        <vertAlign val="baseline"/>
        <sz val="11"/>
        <color rgb="FFC00000"/>
        <name val="Calibri"/>
        <family val="2"/>
        <scheme val="minor"/>
      </font>
      <border diagonalUp="0" diagonalDown="0" outline="0">
        <left style="thin">
          <color indexed="64"/>
        </left>
        <right/>
        <top/>
        <bottom/>
      </border>
    </dxf>
    <dxf>
      <border outline="0">
        <top style="thin">
          <color indexed="64"/>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C00000"/>
        <name val="Calibri"/>
        <family val="2"/>
        <scheme val="minor"/>
      </font>
    </dxf>
    <dxf>
      <font>
        <b val="0"/>
        <i val="0"/>
        <strike val="0"/>
        <condense val="0"/>
        <extend val="0"/>
        <outline val="0"/>
        <shadow val="0"/>
        <u val="none"/>
        <vertAlign val="baseline"/>
        <sz val="10"/>
        <color auto="1"/>
        <name val="Tahoma"/>
        <family val="2"/>
        <scheme val="none"/>
      </font>
    </dxf>
    <dxf>
      <numFmt numFmtId="0" formatCode="General"/>
    </dxf>
    <dxf>
      <font>
        <b val="0"/>
        <i val="0"/>
        <strike val="0"/>
        <condense val="0"/>
        <extend val="0"/>
        <outline val="0"/>
        <shadow val="0"/>
        <u val="none"/>
        <vertAlign val="baseline"/>
        <sz val="11"/>
        <color theme="1"/>
        <name val="Calibri"/>
        <family val="2"/>
        <scheme val="minor"/>
      </font>
    </dxf>
    <dxf>
      <numFmt numFmtId="19" formatCode="d/m/yyyy"/>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164" formatCode="_(* #,##0_);_(* \(#,##0\);_(* &quot;-&quot;??_);_(@_)"/>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name val="Calibri"/>
        <family val="2"/>
        <scheme val="minor"/>
      </font>
      <fill>
        <patternFill patternType="none">
          <fgColor indexed="64"/>
          <bgColor auto="1"/>
        </patternFill>
      </fill>
      <alignmen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name val="Calibri"/>
        <family val="2"/>
        <scheme val="minor"/>
      </font>
      <fill>
        <patternFill patternType="none">
          <fgColor indexed="64"/>
          <bgColor auto="1"/>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3300"/>
      <color rgb="FFFFEAE1"/>
      <color rgb="FFFDEBE3"/>
      <color rgb="FFFCDBCC"/>
      <color rgb="FFF4A590"/>
      <color rgb="FF800000"/>
      <color rgb="FFFF3300"/>
      <color rgb="FFFF5050"/>
      <color rgb="FFFF000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'LR&gt;&gt;'!$B$1</c:f>
              <c:strCache>
                <c:ptCount val="1"/>
                <c:pt idx="0">
                  <c:v> TygiaUV </c:v>
                </c:pt>
              </c:strCache>
            </c:strRef>
          </c:tx>
          <c:spPr>
            <a:ln w="28575" cap="rnd">
              <a:solidFill>
                <a:schemeClr val="accent1"/>
              </a:solidFill>
              <a:round/>
            </a:ln>
            <a:effectLst/>
          </c:spPr>
          <c:marker>
            <c:symbol val="none"/>
          </c:marker>
          <c:cat>
            <c:numRef>
              <c:f>'LR&gt;&gt;'!$A$2:$A$423</c:f>
              <c:numCache>
                <c:formatCode>m/d/yyyy</c:formatCode>
                <c:ptCount val="422"/>
                <c:pt idx="0">
                  <c:v>46281</c:v>
                </c:pt>
                <c:pt idx="1">
                  <c:v>46280</c:v>
                </c:pt>
                <c:pt idx="2">
                  <c:v>46279</c:v>
                </c:pt>
                <c:pt idx="3">
                  <c:v>46276</c:v>
                </c:pt>
                <c:pt idx="4">
                  <c:v>46275</c:v>
                </c:pt>
                <c:pt idx="5">
                  <c:v>46274</c:v>
                </c:pt>
                <c:pt idx="6">
                  <c:v>46273</c:v>
                </c:pt>
                <c:pt idx="7">
                  <c:v>46272</c:v>
                </c:pt>
                <c:pt idx="8">
                  <c:v>46269</c:v>
                </c:pt>
                <c:pt idx="9">
                  <c:v>46268</c:v>
                </c:pt>
                <c:pt idx="10">
                  <c:v>46262</c:v>
                </c:pt>
                <c:pt idx="11">
                  <c:v>46261</c:v>
                </c:pt>
                <c:pt idx="12">
                  <c:v>46260</c:v>
                </c:pt>
                <c:pt idx="13">
                  <c:v>46259</c:v>
                </c:pt>
                <c:pt idx="14">
                  <c:v>46258</c:v>
                </c:pt>
                <c:pt idx="15">
                  <c:v>46255</c:v>
                </c:pt>
                <c:pt idx="16">
                  <c:v>46254</c:v>
                </c:pt>
                <c:pt idx="17">
                  <c:v>46253</c:v>
                </c:pt>
                <c:pt idx="18">
                  <c:v>46252</c:v>
                </c:pt>
                <c:pt idx="19">
                  <c:v>46251</c:v>
                </c:pt>
                <c:pt idx="20">
                  <c:v>46248</c:v>
                </c:pt>
                <c:pt idx="21">
                  <c:v>46247</c:v>
                </c:pt>
                <c:pt idx="22">
                  <c:v>46246</c:v>
                </c:pt>
                <c:pt idx="23">
                  <c:v>46245</c:v>
                </c:pt>
                <c:pt idx="24">
                  <c:v>46244</c:v>
                </c:pt>
                <c:pt idx="25">
                  <c:v>46241</c:v>
                </c:pt>
                <c:pt idx="26">
                  <c:v>46240</c:v>
                </c:pt>
                <c:pt idx="27">
                  <c:v>46239</c:v>
                </c:pt>
                <c:pt idx="28">
                  <c:v>46238</c:v>
                </c:pt>
                <c:pt idx="29">
                  <c:v>46237</c:v>
                </c:pt>
                <c:pt idx="30">
                  <c:v>46234</c:v>
                </c:pt>
                <c:pt idx="31">
                  <c:v>46233</c:v>
                </c:pt>
                <c:pt idx="32">
                  <c:v>46232</c:v>
                </c:pt>
                <c:pt idx="33">
                  <c:v>46231</c:v>
                </c:pt>
                <c:pt idx="34">
                  <c:v>46230</c:v>
                </c:pt>
                <c:pt idx="35">
                  <c:v>46227</c:v>
                </c:pt>
                <c:pt idx="36">
                  <c:v>46226</c:v>
                </c:pt>
                <c:pt idx="37">
                  <c:v>46225</c:v>
                </c:pt>
                <c:pt idx="38">
                  <c:v>46224</c:v>
                </c:pt>
                <c:pt idx="39">
                  <c:v>46223</c:v>
                </c:pt>
                <c:pt idx="40">
                  <c:v>46220</c:v>
                </c:pt>
                <c:pt idx="41">
                  <c:v>46219</c:v>
                </c:pt>
                <c:pt idx="42">
                  <c:v>46218</c:v>
                </c:pt>
                <c:pt idx="43">
                  <c:v>46217</c:v>
                </c:pt>
                <c:pt idx="44">
                  <c:v>46216</c:v>
                </c:pt>
                <c:pt idx="45">
                  <c:v>46213</c:v>
                </c:pt>
                <c:pt idx="46">
                  <c:v>46212</c:v>
                </c:pt>
                <c:pt idx="47">
                  <c:v>46211</c:v>
                </c:pt>
                <c:pt idx="48">
                  <c:v>46210</c:v>
                </c:pt>
                <c:pt idx="49">
                  <c:v>46209</c:v>
                </c:pt>
                <c:pt idx="50">
                  <c:v>46206</c:v>
                </c:pt>
                <c:pt idx="51">
                  <c:v>46205</c:v>
                </c:pt>
                <c:pt idx="52">
                  <c:v>46204</c:v>
                </c:pt>
                <c:pt idx="53">
                  <c:v>46203</c:v>
                </c:pt>
                <c:pt idx="54">
                  <c:v>46202</c:v>
                </c:pt>
                <c:pt idx="55">
                  <c:v>46199</c:v>
                </c:pt>
                <c:pt idx="56">
                  <c:v>46198</c:v>
                </c:pt>
                <c:pt idx="57">
                  <c:v>46197</c:v>
                </c:pt>
                <c:pt idx="58">
                  <c:v>46196</c:v>
                </c:pt>
                <c:pt idx="59">
                  <c:v>46195</c:v>
                </c:pt>
                <c:pt idx="60">
                  <c:v>46192</c:v>
                </c:pt>
                <c:pt idx="61">
                  <c:v>46191</c:v>
                </c:pt>
                <c:pt idx="62">
                  <c:v>46190</c:v>
                </c:pt>
                <c:pt idx="63">
                  <c:v>46189</c:v>
                </c:pt>
                <c:pt idx="64">
                  <c:v>46188</c:v>
                </c:pt>
                <c:pt idx="65">
                  <c:v>46185</c:v>
                </c:pt>
                <c:pt idx="66">
                  <c:v>46184</c:v>
                </c:pt>
                <c:pt idx="67">
                  <c:v>46183</c:v>
                </c:pt>
                <c:pt idx="68">
                  <c:v>46182</c:v>
                </c:pt>
                <c:pt idx="69">
                  <c:v>46181</c:v>
                </c:pt>
                <c:pt idx="70">
                  <c:v>46178</c:v>
                </c:pt>
                <c:pt idx="71">
                  <c:v>46177</c:v>
                </c:pt>
                <c:pt idx="72">
                  <c:v>46176</c:v>
                </c:pt>
                <c:pt idx="73">
                  <c:v>46175</c:v>
                </c:pt>
                <c:pt idx="74">
                  <c:v>46174</c:v>
                </c:pt>
                <c:pt idx="75">
                  <c:v>46171</c:v>
                </c:pt>
                <c:pt idx="76">
                  <c:v>46170</c:v>
                </c:pt>
                <c:pt idx="77">
                  <c:v>46169</c:v>
                </c:pt>
                <c:pt idx="78">
                  <c:v>46168</c:v>
                </c:pt>
                <c:pt idx="79">
                  <c:v>46167</c:v>
                </c:pt>
                <c:pt idx="80">
                  <c:v>46164</c:v>
                </c:pt>
                <c:pt idx="81">
                  <c:v>46163</c:v>
                </c:pt>
                <c:pt idx="82">
                  <c:v>46162</c:v>
                </c:pt>
                <c:pt idx="83">
                  <c:v>46161</c:v>
                </c:pt>
                <c:pt idx="84">
                  <c:v>46160</c:v>
                </c:pt>
                <c:pt idx="85">
                  <c:v>46157</c:v>
                </c:pt>
                <c:pt idx="86">
                  <c:v>46156</c:v>
                </c:pt>
                <c:pt idx="87">
                  <c:v>46155</c:v>
                </c:pt>
                <c:pt idx="88">
                  <c:v>46154</c:v>
                </c:pt>
                <c:pt idx="89">
                  <c:v>46153</c:v>
                </c:pt>
                <c:pt idx="90">
                  <c:v>46150</c:v>
                </c:pt>
                <c:pt idx="91">
                  <c:v>46149</c:v>
                </c:pt>
                <c:pt idx="92">
                  <c:v>46148</c:v>
                </c:pt>
                <c:pt idx="93">
                  <c:v>46147</c:v>
                </c:pt>
                <c:pt idx="94">
                  <c:v>46146</c:v>
                </c:pt>
                <c:pt idx="95">
                  <c:v>46141</c:v>
                </c:pt>
                <c:pt idx="96">
                  <c:v>46140</c:v>
                </c:pt>
                <c:pt idx="97">
                  <c:v>46136</c:v>
                </c:pt>
                <c:pt idx="98">
                  <c:v>46135</c:v>
                </c:pt>
                <c:pt idx="99">
                  <c:v>46134</c:v>
                </c:pt>
                <c:pt idx="100">
                  <c:v>46133</c:v>
                </c:pt>
                <c:pt idx="101">
                  <c:v>46132</c:v>
                </c:pt>
                <c:pt idx="102">
                  <c:v>46129</c:v>
                </c:pt>
                <c:pt idx="103">
                  <c:v>46128</c:v>
                </c:pt>
                <c:pt idx="104">
                  <c:v>46127</c:v>
                </c:pt>
                <c:pt idx="105">
                  <c:v>46126</c:v>
                </c:pt>
                <c:pt idx="106">
                  <c:v>46125</c:v>
                </c:pt>
                <c:pt idx="107">
                  <c:v>46122</c:v>
                </c:pt>
                <c:pt idx="108">
                  <c:v>46121</c:v>
                </c:pt>
                <c:pt idx="109">
                  <c:v>46120</c:v>
                </c:pt>
                <c:pt idx="110">
                  <c:v>46119</c:v>
                </c:pt>
                <c:pt idx="111">
                  <c:v>46118</c:v>
                </c:pt>
                <c:pt idx="112">
                  <c:v>46115</c:v>
                </c:pt>
                <c:pt idx="113">
                  <c:v>46114</c:v>
                </c:pt>
                <c:pt idx="114">
                  <c:v>46113</c:v>
                </c:pt>
                <c:pt idx="115">
                  <c:v>46112</c:v>
                </c:pt>
                <c:pt idx="116">
                  <c:v>46111</c:v>
                </c:pt>
                <c:pt idx="117">
                  <c:v>46108</c:v>
                </c:pt>
                <c:pt idx="118">
                  <c:v>46107</c:v>
                </c:pt>
                <c:pt idx="119">
                  <c:v>46106</c:v>
                </c:pt>
                <c:pt idx="120">
                  <c:v>46105</c:v>
                </c:pt>
                <c:pt idx="121">
                  <c:v>46104</c:v>
                </c:pt>
                <c:pt idx="122">
                  <c:v>46101</c:v>
                </c:pt>
                <c:pt idx="123">
                  <c:v>46100</c:v>
                </c:pt>
                <c:pt idx="124">
                  <c:v>46099</c:v>
                </c:pt>
                <c:pt idx="125">
                  <c:v>46098</c:v>
                </c:pt>
                <c:pt idx="126">
                  <c:v>46097</c:v>
                </c:pt>
                <c:pt idx="127">
                  <c:v>46094</c:v>
                </c:pt>
                <c:pt idx="128">
                  <c:v>46093</c:v>
                </c:pt>
                <c:pt idx="129">
                  <c:v>46092</c:v>
                </c:pt>
                <c:pt idx="130">
                  <c:v>46091</c:v>
                </c:pt>
                <c:pt idx="131">
                  <c:v>46090</c:v>
                </c:pt>
                <c:pt idx="132">
                  <c:v>46087</c:v>
                </c:pt>
                <c:pt idx="133">
                  <c:v>46086</c:v>
                </c:pt>
                <c:pt idx="134">
                  <c:v>46085</c:v>
                </c:pt>
                <c:pt idx="135">
                  <c:v>46084</c:v>
                </c:pt>
                <c:pt idx="136">
                  <c:v>46083</c:v>
                </c:pt>
                <c:pt idx="137">
                  <c:v>46080</c:v>
                </c:pt>
                <c:pt idx="138">
                  <c:v>46079</c:v>
                </c:pt>
                <c:pt idx="139">
                  <c:v>46078</c:v>
                </c:pt>
                <c:pt idx="140">
                  <c:v>46077</c:v>
                </c:pt>
                <c:pt idx="141">
                  <c:v>46076</c:v>
                </c:pt>
                <c:pt idx="142">
                  <c:v>46066</c:v>
                </c:pt>
                <c:pt idx="143">
                  <c:v>46065</c:v>
                </c:pt>
                <c:pt idx="144">
                  <c:v>46064</c:v>
                </c:pt>
                <c:pt idx="145">
                  <c:v>46063</c:v>
                </c:pt>
                <c:pt idx="146">
                  <c:v>46062</c:v>
                </c:pt>
                <c:pt idx="147">
                  <c:v>46059</c:v>
                </c:pt>
                <c:pt idx="148">
                  <c:v>46058</c:v>
                </c:pt>
                <c:pt idx="149">
                  <c:v>46057</c:v>
                </c:pt>
                <c:pt idx="150">
                  <c:v>46056</c:v>
                </c:pt>
                <c:pt idx="151">
                  <c:v>46055</c:v>
                </c:pt>
                <c:pt idx="152">
                  <c:v>46052</c:v>
                </c:pt>
                <c:pt idx="153">
                  <c:v>46051</c:v>
                </c:pt>
                <c:pt idx="154">
                  <c:v>46050</c:v>
                </c:pt>
                <c:pt idx="155">
                  <c:v>46049</c:v>
                </c:pt>
                <c:pt idx="156">
                  <c:v>46048</c:v>
                </c:pt>
                <c:pt idx="157">
                  <c:v>46045</c:v>
                </c:pt>
                <c:pt idx="158">
                  <c:v>46044</c:v>
                </c:pt>
                <c:pt idx="159">
                  <c:v>46043</c:v>
                </c:pt>
                <c:pt idx="160">
                  <c:v>46042</c:v>
                </c:pt>
                <c:pt idx="161">
                  <c:v>46041</c:v>
                </c:pt>
                <c:pt idx="162">
                  <c:v>46038</c:v>
                </c:pt>
                <c:pt idx="163">
                  <c:v>46037</c:v>
                </c:pt>
                <c:pt idx="164">
                  <c:v>46036</c:v>
                </c:pt>
                <c:pt idx="165">
                  <c:v>46035</c:v>
                </c:pt>
                <c:pt idx="166">
                  <c:v>46034</c:v>
                </c:pt>
                <c:pt idx="167">
                  <c:v>46031</c:v>
                </c:pt>
                <c:pt idx="168">
                  <c:v>46030</c:v>
                </c:pt>
                <c:pt idx="169">
                  <c:v>46029</c:v>
                </c:pt>
                <c:pt idx="170">
                  <c:v>46028</c:v>
                </c:pt>
                <c:pt idx="171">
                  <c:v>46027</c:v>
                </c:pt>
                <c:pt idx="172">
                  <c:v>46022</c:v>
                </c:pt>
                <c:pt idx="173">
                  <c:v>46021</c:v>
                </c:pt>
                <c:pt idx="174">
                  <c:v>46020</c:v>
                </c:pt>
                <c:pt idx="175">
                  <c:v>46017</c:v>
                </c:pt>
                <c:pt idx="176">
                  <c:v>46016</c:v>
                </c:pt>
                <c:pt idx="177">
                  <c:v>46015</c:v>
                </c:pt>
                <c:pt idx="178">
                  <c:v>46014</c:v>
                </c:pt>
                <c:pt idx="179">
                  <c:v>46013</c:v>
                </c:pt>
                <c:pt idx="180">
                  <c:v>46010</c:v>
                </c:pt>
                <c:pt idx="181">
                  <c:v>46009</c:v>
                </c:pt>
                <c:pt idx="182">
                  <c:v>46008</c:v>
                </c:pt>
                <c:pt idx="183">
                  <c:v>46007</c:v>
                </c:pt>
                <c:pt idx="184">
                  <c:v>46006</c:v>
                </c:pt>
                <c:pt idx="185">
                  <c:v>46003</c:v>
                </c:pt>
                <c:pt idx="186">
                  <c:v>46002</c:v>
                </c:pt>
                <c:pt idx="187">
                  <c:v>46001</c:v>
                </c:pt>
                <c:pt idx="188">
                  <c:v>46000</c:v>
                </c:pt>
                <c:pt idx="189">
                  <c:v>45999</c:v>
                </c:pt>
                <c:pt idx="190">
                  <c:v>45996</c:v>
                </c:pt>
                <c:pt idx="191">
                  <c:v>45995</c:v>
                </c:pt>
                <c:pt idx="192">
                  <c:v>45994</c:v>
                </c:pt>
                <c:pt idx="193">
                  <c:v>45993</c:v>
                </c:pt>
                <c:pt idx="194">
                  <c:v>45992</c:v>
                </c:pt>
                <c:pt idx="195">
                  <c:v>45989</c:v>
                </c:pt>
                <c:pt idx="196">
                  <c:v>45988</c:v>
                </c:pt>
                <c:pt idx="197">
                  <c:v>45987</c:v>
                </c:pt>
                <c:pt idx="198">
                  <c:v>45986</c:v>
                </c:pt>
                <c:pt idx="199">
                  <c:v>45985</c:v>
                </c:pt>
                <c:pt idx="200">
                  <c:v>45982</c:v>
                </c:pt>
                <c:pt idx="201">
                  <c:v>45981</c:v>
                </c:pt>
                <c:pt idx="202">
                  <c:v>45980</c:v>
                </c:pt>
                <c:pt idx="203">
                  <c:v>45979</c:v>
                </c:pt>
                <c:pt idx="204">
                  <c:v>45978</c:v>
                </c:pt>
                <c:pt idx="205">
                  <c:v>45975</c:v>
                </c:pt>
                <c:pt idx="206">
                  <c:v>45974</c:v>
                </c:pt>
                <c:pt idx="207">
                  <c:v>45973</c:v>
                </c:pt>
                <c:pt idx="208">
                  <c:v>45972</c:v>
                </c:pt>
                <c:pt idx="209">
                  <c:v>45971</c:v>
                </c:pt>
                <c:pt idx="210">
                  <c:v>45968</c:v>
                </c:pt>
                <c:pt idx="211">
                  <c:v>45967</c:v>
                </c:pt>
                <c:pt idx="212">
                  <c:v>45966</c:v>
                </c:pt>
                <c:pt idx="213">
                  <c:v>45965</c:v>
                </c:pt>
                <c:pt idx="214">
                  <c:v>45964</c:v>
                </c:pt>
                <c:pt idx="215">
                  <c:v>45961</c:v>
                </c:pt>
                <c:pt idx="216">
                  <c:v>45960</c:v>
                </c:pt>
                <c:pt idx="217">
                  <c:v>45959</c:v>
                </c:pt>
                <c:pt idx="218">
                  <c:v>45958</c:v>
                </c:pt>
                <c:pt idx="219">
                  <c:v>45957</c:v>
                </c:pt>
                <c:pt idx="220">
                  <c:v>45954</c:v>
                </c:pt>
                <c:pt idx="221">
                  <c:v>45953</c:v>
                </c:pt>
                <c:pt idx="222">
                  <c:v>45952</c:v>
                </c:pt>
                <c:pt idx="223">
                  <c:v>45951</c:v>
                </c:pt>
                <c:pt idx="224">
                  <c:v>45950</c:v>
                </c:pt>
                <c:pt idx="225">
                  <c:v>45947</c:v>
                </c:pt>
                <c:pt idx="226">
                  <c:v>45946</c:v>
                </c:pt>
                <c:pt idx="227">
                  <c:v>45945</c:v>
                </c:pt>
                <c:pt idx="228">
                  <c:v>45944</c:v>
                </c:pt>
                <c:pt idx="229">
                  <c:v>45943</c:v>
                </c:pt>
                <c:pt idx="230">
                  <c:v>45940</c:v>
                </c:pt>
                <c:pt idx="231">
                  <c:v>45939</c:v>
                </c:pt>
                <c:pt idx="232">
                  <c:v>45938</c:v>
                </c:pt>
                <c:pt idx="233">
                  <c:v>45937</c:v>
                </c:pt>
                <c:pt idx="234">
                  <c:v>45936</c:v>
                </c:pt>
                <c:pt idx="235">
                  <c:v>45933</c:v>
                </c:pt>
                <c:pt idx="236">
                  <c:v>45932</c:v>
                </c:pt>
                <c:pt idx="237">
                  <c:v>45931</c:v>
                </c:pt>
                <c:pt idx="238">
                  <c:v>45930</c:v>
                </c:pt>
                <c:pt idx="239">
                  <c:v>45929</c:v>
                </c:pt>
                <c:pt idx="240">
                  <c:v>45926</c:v>
                </c:pt>
                <c:pt idx="241">
                  <c:v>45925</c:v>
                </c:pt>
                <c:pt idx="242">
                  <c:v>45924</c:v>
                </c:pt>
                <c:pt idx="243">
                  <c:v>45923</c:v>
                </c:pt>
                <c:pt idx="244">
                  <c:v>45922</c:v>
                </c:pt>
                <c:pt idx="245">
                  <c:v>45919</c:v>
                </c:pt>
                <c:pt idx="246">
                  <c:v>45918</c:v>
                </c:pt>
                <c:pt idx="247">
                  <c:v>45917</c:v>
                </c:pt>
                <c:pt idx="248">
                  <c:v>45916</c:v>
                </c:pt>
                <c:pt idx="249">
                  <c:v>45915</c:v>
                </c:pt>
                <c:pt idx="250">
                  <c:v>45912</c:v>
                </c:pt>
                <c:pt idx="251">
                  <c:v>45911</c:v>
                </c:pt>
                <c:pt idx="252">
                  <c:v>45910</c:v>
                </c:pt>
                <c:pt idx="253">
                  <c:v>45909</c:v>
                </c:pt>
                <c:pt idx="254">
                  <c:v>45908</c:v>
                </c:pt>
                <c:pt idx="255">
                  <c:v>45905</c:v>
                </c:pt>
                <c:pt idx="256">
                  <c:v>45904</c:v>
                </c:pt>
                <c:pt idx="257">
                  <c:v>45903</c:v>
                </c:pt>
                <c:pt idx="258">
                  <c:v>45898</c:v>
                </c:pt>
                <c:pt idx="259">
                  <c:v>45897</c:v>
                </c:pt>
                <c:pt idx="260">
                  <c:v>45896</c:v>
                </c:pt>
                <c:pt idx="261">
                  <c:v>45895</c:v>
                </c:pt>
                <c:pt idx="262">
                  <c:v>45894</c:v>
                </c:pt>
                <c:pt idx="263">
                  <c:v>45891</c:v>
                </c:pt>
                <c:pt idx="264">
                  <c:v>45890</c:v>
                </c:pt>
                <c:pt idx="265">
                  <c:v>45889</c:v>
                </c:pt>
                <c:pt idx="266">
                  <c:v>45888</c:v>
                </c:pt>
                <c:pt idx="267">
                  <c:v>45887</c:v>
                </c:pt>
                <c:pt idx="268">
                  <c:v>45884</c:v>
                </c:pt>
                <c:pt idx="269">
                  <c:v>45883</c:v>
                </c:pt>
                <c:pt idx="270">
                  <c:v>45882</c:v>
                </c:pt>
                <c:pt idx="271">
                  <c:v>45881</c:v>
                </c:pt>
                <c:pt idx="272">
                  <c:v>45880</c:v>
                </c:pt>
                <c:pt idx="273">
                  <c:v>45877</c:v>
                </c:pt>
                <c:pt idx="274">
                  <c:v>45876</c:v>
                </c:pt>
                <c:pt idx="275">
                  <c:v>45875</c:v>
                </c:pt>
                <c:pt idx="276">
                  <c:v>45874</c:v>
                </c:pt>
                <c:pt idx="277">
                  <c:v>45873</c:v>
                </c:pt>
                <c:pt idx="278">
                  <c:v>45870</c:v>
                </c:pt>
                <c:pt idx="279">
                  <c:v>45869</c:v>
                </c:pt>
                <c:pt idx="280">
                  <c:v>45868</c:v>
                </c:pt>
                <c:pt idx="281">
                  <c:v>45867</c:v>
                </c:pt>
                <c:pt idx="282">
                  <c:v>45866</c:v>
                </c:pt>
                <c:pt idx="283">
                  <c:v>45863</c:v>
                </c:pt>
                <c:pt idx="284">
                  <c:v>45862</c:v>
                </c:pt>
                <c:pt idx="285">
                  <c:v>45861</c:v>
                </c:pt>
                <c:pt idx="286">
                  <c:v>45860</c:v>
                </c:pt>
                <c:pt idx="287">
                  <c:v>45859</c:v>
                </c:pt>
                <c:pt idx="288">
                  <c:v>45856</c:v>
                </c:pt>
                <c:pt idx="289">
                  <c:v>45855</c:v>
                </c:pt>
                <c:pt idx="290">
                  <c:v>45854</c:v>
                </c:pt>
                <c:pt idx="291">
                  <c:v>45853</c:v>
                </c:pt>
                <c:pt idx="292">
                  <c:v>45852</c:v>
                </c:pt>
                <c:pt idx="293">
                  <c:v>45849</c:v>
                </c:pt>
                <c:pt idx="294">
                  <c:v>45848</c:v>
                </c:pt>
                <c:pt idx="295">
                  <c:v>45847</c:v>
                </c:pt>
                <c:pt idx="296">
                  <c:v>45846</c:v>
                </c:pt>
                <c:pt idx="297">
                  <c:v>45845</c:v>
                </c:pt>
                <c:pt idx="298">
                  <c:v>45842</c:v>
                </c:pt>
                <c:pt idx="299">
                  <c:v>45841</c:v>
                </c:pt>
                <c:pt idx="300">
                  <c:v>45840</c:v>
                </c:pt>
                <c:pt idx="301">
                  <c:v>45839</c:v>
                </c:pt>
                <c:pt idx="302">
                  <c:v>45838</c:v>
                </c:pt>
                <c:pt idx="303">
                  <c:v>45835</c:v>
                </c:pt>
                <c:pt idx="304">
                  <c:v>45834</c:v>
                </c:pt>
                <c:pt idx="305">
                  <c:v>45833</c:v>
                </c:pt>
                <c:pt idx="306">
                  <c:v>45832</c:v>
                </c:pt>
                <c:pt idx="307">
                  <c:v>45831</c:v>
                </c:pt>
                <c:pt idx="308">
                  <c:v>45828</c:v>
                </c:pt>
                <c:pt idx="309">
                  <c:v>45827</c:v>
                </c:pt>
                <c:pt idx="310">
                  <c:v>45826</c:v>
                </c:pt>
                <c:pt idx="311">
                  <c:v>45825</c:v>
                </c:pt>
                <c:pt idx="312">
                  <c:v>45824</c:v>
                </c:pt>
                <c:pt idx="313">
                  <c:v>45821</c:v>
                </c:pt>
                <c:pt idx="314">
                  <c:v>45820</c:v>
                </c:pt>
                <c:pt idx="315">
                  <c:v>45819</c:v>
                </c:pt>
                <c:pt idx="316">
                  <c:v>45818</c:v>
                </c:pt>
                <c:pt idx="317">
                  <c:v>45817</c:v>
                </c:pt>
                <c:pt idx="318">
                  <c:v>45814</c:v>
                </c:pt>
                <c:pt idx="319">
                  <c:v>45813</c:v>
                </c:pt>
                <c:pt idx="320">
                  <c:v>45812</c:v>
                </c:pt>
                <c:pt idx="321">
                  <c:v>45811</c:v>
                </c:pt>
                <c:pt idx="322">
                  <c:v>45810</c:v>
                </c:pt>
                <c:pt idx="323">
                  <c:v>45807</c:v>
                </c:pt>
                <c:pt idx="324">
                  <c:v>45806</c:v>
                </c:pt>
                <c:pt idx="325">
                  <c:v>45805</c:v>
                </c:pt>
                <c:pt idx="326">
                  <c:v>45804</c:v>
                </c:pt>
                <c:pt idx="327">
                  <c:v>45803</c:v>
                </c:pt>
                <c:pt idx="328">
                  <c:v>45800</c:v>
                </c:pt>
                <c:pt idx="329">
                  <c:v>45799</c:v>
                </c:pt>
                <c:pt idx="330">
                  <c:v>45798</c:v>
                </c:pt>
                <c:pt idx="331">
                  <c:v>45797</c:v>
                </c:pt>
                <c:pt idx="332">
                  <c:v>45796</c:v>
                </c:pt>
                <c:pt idx="333">
                  <c:v>45793</c:v>
                </c:pt>
                <c:pt idx="334">
                  <c:v>45792</c:v>
                </c:pt>
                <c:pt idx="335">
                  <c:v>45791</c:v>
                </c:pt>
                <c:pt idx="336">
                  <c:v>45790</c:v>
                </c:pt>
                <c:pt idx="337">
                  <c:v>45789</c:v>
                </c:pt>
                <c:pt idx="338">
                  <c:v>45786</c:v>
                </c:pt>
                <c:pt idx="339">
                  <c:v>45785</c:v>
                </c:pt>
                <c:pt idx="340">
                  <c:v>45784</c:v>
                </c:pt>
                <c:pt idx="341">
                  <c:v>45783</c:v>
                </c:pt>
                <c:pt idx="342">
                  <c:v>45782</c:v>
                </c:pt>
                <c:pt idx="343">
                  <c:v>45776</c:v>
                </c:pt>
                <c:pt idx="344">
                  <c:v>45775</c:v>
                </c:pt>
                <c:pt idx="345">
                  <c:v>45772</c:v>
                </c:pt>
                <c:pt idx="346">
                  <c:v>45771</c:v>
                </c:pt>
                <c:pt idx="347">
                  <c:v>45770</c:v>
                </c:pt>
                <c:pt idx="348">
                  <c:v>45769</c:v>
                </c:pt>
                <c:pt idx="349">
                  <c:v>45768</c:v>
                </c:pt>
                <c:pt idx="350">
                  <c:v>45765</c:v>
                </c:pt>
                <c:pt idx="351">
                  <c:v>45764</c:v>
                </c:pt>
                <c:pt idx="352">
                  <c:v>45763</c:v>
                </c:pt>
                <c:pt idx="353">
                  <c:v>45762</c:v>
                </c:pt>
                <c:pt idx="354">
                  <c:v>45761</c:v>
                </c:pt>
                <c:pt idx="355">
                  <c:v>45758</c:v>
                </c:pt>
                <c:pt idx="356">
                  <c:v>45757</c:v>
                </c:pt>
                <c:pt idx="357">
                  <c:v>45756</c:v>
                </c:pt>
                <c:pt idx="358">
                  <c:v>45755</c:v>
                </c:pt>
                <c:pt idx="359">
                  <c:v>45751</c:v>
                </c:pt>
                <c:pt idx="360">
                  <c:v>45750</c:v>
                </c:pt>
                <c:pt idx="361">
                  <c:v>45749</c:v>
                </c:pt>
                <c:pt idx="362">
                  <c:v>45748</c:v>
                </c:pt>
                <c:pt idx="363">
                  <c:v>45747</c:v>
                </c:pt>
                <c:pt idx="364">
                  <c:v>45744</c:v>
                </c:pt>
                <c:pt idx="365">
                  <c:v>45743</c:v>
                </c:pt>
                <c:pt idx="366">
                  <c:v>45742</c:v>
                </c:pt>
                <c:pt idx="367">
                  <c:v>45741</c:v>
                </c:pt>
                <c:pt idx="368">
                  <c:v>45740</c:v>
                </c:pt>
                <c:pt idx="369">
                  <c:v>45737</c:v>
                </c:pt>
                <c:pt idx="370">
                  <c:v>45736</c:v>
                </c:pt>
                <c:pt idx="371">
                  <c:v>45735</c:v>
                </c:pt>
                <c:pt idx="372">
                  <c:v>45734</c:v>
                </c:pt>
                <c:pt idx="373">
                  <c:v>45733</c:v>
                </c:pt>
                <c:pt idx="374">
                  <c:v>45730</c:v>
                </c:pt>
                <c:pt idx="375">
                  <c:v>45729</c:v>
                </c:pt>
                <c:pt idx="376">
                  <c:v>45728</c:v>
                </c:pt>
                <c:pt idx="377">
                  <c:v>45727</c:v>
                </c:pt>
                <c:pt idx="378">
                  <c:v>45726</c:v>
                </c:pt>
                <c:pt idx="379">
                  <c:v>45723</c:v>
                </c:pt>
                <c:pt idx="380">
                  <c:v>45722</c:v>
                </c:pt>
                <c:pt idx="381">
                  <c:v>45721</c:v>
                </c:pt>
                <c:pt idx="382">
                  <c:v>45720</c:v>
                </c:pt>
                <c:pt idx="383">
                  <c:v>45719</c:v>
                </c:pt>
                <c:pt idx="384">
                  <c:v>45716</c:v>
                </c:pt>
                <c:pt idx="385">
                  <c:v>45715</c:v>
                </c:pt>
                <c:pt idx="386">
                  <c:v>45714</c:v>
                </c:pt>
                <c:pt idx="387">
                  <c:v>45713</c:v>
                </c:pt>
                <c:pt idx="388">
                  <c:v>45712</c:v>
                </c:pt>
                <c:pt idx="389">
                  <c:v>45709</c:v>
                </c:pt>
                <c:pt idx="390">
                  <c:v>45708</c:v>
                </c:pt>
                <c:pt idx="391">
                  <c:v>45707</c:v>
                </c:pt>
                <c:pt idx="392">
                  <c:v>45706</c:v>
                </c:pt>
                <c:pt idx="393">
                  <c:v>45705</c:v>
                </c:pt>
                <c:pt idx="394">
                  <c:v>45702</c:v>
                </c:pt>
                <c:pt idx="395">
                  <c:v>45701</c:v>
                </c:pt>
                <c:pt idx="396">
                  <c:v>45700</c:v>
                </c:pt>
                <c:pt idx="397">
                  <c:v>45699</c:v>
                </c:pt>
                <c:pt idx="398">
                  <c:v>45698</c:v>
                </c:pt>
                <c:pt idx="399">
                  <c:v>45695</c:v>
                </c:pt>
                <c:pt idx="400">
                  <c:v>45694</c:v>
                </c:pt>
                <c:pt idx="401">
                  <c:v>45693</c:v>
                </c:pt>
                <c:pt idx="402">
                  <c:v>45692</c:v>
                </c:pt>
                <c:pt idx="403">
                  <c:v>45691</c:v>
                </c:pt>
                <c:pt idx="404">
                  <c:v>45681</c:v>
                </c:pt>
                <c:pt idx="405">
                  <c:v>45680</c:v>
                </c:pt>
                <c:pt idx="406">
                  <c:v>45679</c:v>
                </c:pt>
                <c:pt idx="407">
                  <c:v>45678</c:v>
                </c:pt>
                <c:pt idx="408">
                  <c:v>45677</c:v>
                </c:pt>
                <c:pt idx="409">
                  <c:v>45674</c:v>
                </c:pt>
                <c:pt idx="410">
                  <c:v>45673</c:v>
                </c:pt>
                <c:pt idx="411">
                  <c:v>45672</c:v>
                </c:pt>
                <c:pt idx="412">
                  <c:v>45671</c:v>
                </c:pt>
                <c:pt idx="413">
                  <c:v>45670</c:v>
                </c:pt>
                <c:pt idx="414">
                  <c:v>45667</c:v>
                </c:pt>
                <c:pt idx="415">
                  <c:v>45666</c:v>
                </c:pt>
                <c:pt idx="416">
                  <c:v>45665</c:v>
                </c:pt>
                <c:pt idx="417">
                  <c:v>45664</c:v>
                </c:pt>
                <c:pt idx="418">
                  <c:v>45663</c:v>
                </c:pt>
                <c:pt idx="419">
                  <c:v>45660</c:v>
                </c:pt>
                <c:pt idx="420">
                  <c:v>45659</c:v>
                </c:pt>
                <c:pt idx="421">
                  <c:v>45657</c:v>
                </c:pt>
              </c:numCache>
            </c:numRef>
          </c:cat>
          <c:val>
            <c:numRef>
              <c:f>'LR&gt;&gt;'!$B$2:$B$423</c:f>
              <c:numCache>
                <c:formatCode>_(* #,##0_);_(* \(#,##0\);_(* "-"_);_(@_)</c:formatCode>
                <c:ptCount val="422"/>
                <c:pt idx="0">
                  <c:v>1438000</c:v>
                </c:pt>
                <c:pt idx="1">
                  <c:v>1439200</c:v>
                </c:pt>
                <c:pt idx="2">
                  <c:v>1444000</c:v>
                </c:pt>
                <c:pt idx="3">
                  <c:v>1445400</c:v>
                </c:pt>
                <c:pt idx="4">
                  <c:v>1451000</c:v>
                </c:pt>
                <c:pt idx="5">
                  <c:v>1443000</c:v>
                </c:pt>
                <c:pt idx="6">
                  <c:v>1453000</c:v>
                </c:pt>
                <c:pt idx="7">
                  <c:v>1458000</c:v>
                </c:pt>
                <c:pt idx="8">
                  <c:v>1470000</c:v>
                </c:pt>
                <c:pt idx="9">
                  <c:v>1465500</c:v>
                </c:pt>
                <c:pt idx="10">
                  <c:v>1485000</c:v>
                </c:pt>
                <c:pt idx="11">
                  <c:v>1486500</c:v>
                </c:pt>
                <c:pt idx="12">
                  <c:v>1491000</c:v>
                </c:pt>
                <c:pt idx="13">
                  <c:v>1489000</c:v>
                </c:pt>
                <c:pt idx="14">
                  <c:v>1477000</c:v>
                </c:pt>
                <c:pt idx="15">
                  <c:v>1449500</c:v>
                </c:pt>
                <c:pt idx="16">
                  <c:v>1431000</c:v>
                </c:pt>
                <c:pt idx="17">
                  <c:v>1420000</c:v>
                </c:pt>
                <c:pt idx="18">
                  <c:v>1429333.33333333</c:v>
                </c:pt>
                <c:pt idx="19">
                  <c:v>1430333.33333333</c:v>
                </c:pt>
                <c:pt idx="20">
                  <c:v>1420500</c:v>
                </c:pt>
                <c:pt idx="21">
                  <c:v>1429000</c:v>
                </c:pt>
                <c:pt idx="22">
                  <c:v>1423500</c:v>
                </c:pt>
                <c:pt idx="23">
                  <c:v>1429666.66666667</c:v>
                </c:pt>
                <c:pt idx="24">
                  <c:v>1421666.66666667</c:v>
                </c:pt>
                <c:pt idx="25">
                  <c:v>1408250</c:v>
                </c:pt>
                <c:pt idx="26">
                  <c:v>1407500</c:v>
                </c:pt>
                <c:pt idx="27">
                  <c:v>1394500</c:v>
                </c:pt>
                <c:pt idx="28">
                  <c:v>1392500</c:v>
                </c:pt>
                <c:pt idx="29">
                  <c:v>1390000</c:v>
                </c:pt>
                <c:pt idx="30">
                  <c:v>1402000</c:v>
                </c:pt>
                <c:pt idx="31">
                  <c:v>1395000</c:v>
                </c:pt>
                <c:pt idx="32">
                  <c:v>1390000</c:v>
                </c:pt>
                <c:pt idx="33">
                  <c:v>1395000</c:v>
                </c:pt>
                <c:pt idx="34">
                  <c:v>1406250</c:v>
                </c:pt>
                <c:pt idx="35">
                  <c:v>1375000</c:v>
                </c:pt>
                <c:pt idx="36">
                  <c:v>1417500</c:v>
                </c:pt>
                <c:pt idx="37">
                  <c:v>1449750</c:v>
                </c:pt>
                <c:pt idx="38">
                  <c:v>1446333.33333333</c:v>
                </c:pt>
                <c:pt idx="39">
                  <c:v>1459000</c:v>
                </c:pt>
                <c:pt idx="40">
                  <c:v>1455571.42857143</c:v>
                </c:pt>
                <c:pt idx="41">
                  <c:v>1467000</c:v>
                </c:pt>
                <c:pt idx="42">
                  <c:v>1465000</c:v>
                </c:pt>
                <c:pt idx="43">
                  <c:v>1464500</c:v>
                </c:pt>
                <c:pt idx="44">
                  <c:v>1477333.33333333</c:v>
                </c:pt>
                <c:pt idx="45">
                  <c:v>1475000</c:v>
                </c:pt>
                <c:pt idx="46">
                  <c:v>1470000</c:v>
                </c:pt>
                <c:pt idx="47">
                  <c:v>1482500</c:v>
                </c:pt>
                <c:pt idx="48">
                  <c:v>1495000</c:v>
                </c:pt>
                <c:pt idx="49">
                  <c:v>1499000</c:v>
                </c:pt>
                <c:pt idx="50">
                  <c:v>1484000</c:v>
                </c:pt>
                <c:pt idx="51">
                  <c:v>1449000</c:v>
                </c:pt>
                <c:pt idx="52">
                  <c:v>1455000</c:v>
                </c:pt>
                <c:pt idx="53">
                  <c:v>1465000</c:v>
                </c:pt>
                <c:pt idx="54">
                  <c:v>1470000</c:v>
                </c:pt>
                <c:pt idx="55">
                  <c:v>1447000</c:v>
                </c:pt>
                <c:pt idx="56">
                  <c:v>1455000</c:v>
                </c:pt>
                <c:pt idx="57">
                  <c:v>1455000</c:v>
                </c:pt>
                <c:pt idx="58">
                  <c:v>1468000</c:v>
                </c:pt>
                <c:pt idx="59">
                  <c:v>1464500</c:v>
                </c:pt>
                <c:pt idx="60">
                  <c:v>1500500</c:v>
                </c:pt>
                <c:pt idx="61">
                  <c:v>1500500</c:v>
                </c:pt>
                <c:pt idx="62">
                  <c:v>1505000</c:v>
                </c:pt>
                <c:pt idx="63">
                  <c:v>1496666.66666667</c:v>
                </c:pt>
                <c:pt idx="64">
                  <c:v>1473750</c:v>
                </c:pt>
                <c:pt idx="65">
                  <c:v>1387000</c:v>
                </c:pt>
                <c:pt idx="66">
                  <c:v>1352250</c:v>
                </c:pt>
                <c:pt idx="67">
                  <c:v>1392000</c:v>
                </c:pt>
                <c:pt idx="68">
                  <c:v>1413000</c:v>
                </c:pt>
                <c:pt idx="69">
                  <c:v>1479000</c:v>
                </c:pt>
                <c:pt idx="70">
                  <c:v>1545000</c:v>
                </c:pt>
                <c:pt idx="71">
                  <c:v>1551250</c:v>
                </c:pt>
                <c:pt idx="72">
                  <c:v>1560000</c:v>
                </c:pt>
                <c:pt idx="73">
                  <c:v>1566666.66666667</c:v>
                </c:pt>
                <c:pt idx="74">
                  <c:v>1575000</c:v>
                </c:pt>
                <c:pt idx="75">
                  <c:v>1580000</c:v>
                </c:pt>
                <c:pt idx="76">
                  <c:v>1580666.66666667</c:v>
                </c:pt>
                <c:pt idx="77">
                  <c:v>1600000</c:v>
                </c:pt>
                <c:pt idx="78">
                  <c:v>1605000</c:v>
                </c:pt>
                <c:pt idx="79">
                  <c:v>1608333.33333333</c:v>
                </c:pt>
                <c:pt idx="80">
                  <c:v>1609000</c:v>
                </c:pt>
                <c:pt idx="81">
                  <c:v>1612500</c:v>
                </c:pt>
                <c:pt idx="82">
                  <c:v>1616250</c:v>
                </c:pt>
                <c:pt idx="83">
                  <c:v>1624500</c:v>
                </c:pt>
                <c:pt idx="84">
                  <c:v>1620000</c:v>
                </c:pt>
                <c:pt idx="85">
                  <c:v>1635000</c:v>
                </c:pt>
                <c:pt idx="86">
                  <c:v>1635000</c:v>
                </c:pt>
                <c:pt idx="87">
                  <c:v>1640000</c:v>
                </c:pt>
                <c:pt idx="88">
                  <c:v>1646000</c:v>
                </c:pt>
                <c:pt idx="89">
                  <c:v>1648666.66666667</c:v>
                </c:pt>
                <c:pt idx="90">
                  <c:v>1660000</c:v>
                </c:pt>
                <c:pt idx="91">
                  <c:v>1645000</c:v>
                </c:pt>
                <c:pt idx="92">
                  <c:v>1638250</c:v>
                </c:pt>
                <c:pt idx="93">
                  <c:v>1639333.33333333</c:v>
                </c:pt>
                <c:pt idx="94">
                  <c:v>1645000</c:v>
                </c:pt>
                <c:pt idx="95">
                  <c:v>1675500</c:v>
                </c:pt>
                <c:pt idx="96">
                  <c:v>1675500</c:v>
                </c:pt>
                <c:pt idx="97">
                  <c:v>1679500</c:v>
                </c:pt>
                <c:pt idx="98">
                  <c:v>1683500</c:v>
                </c:pt>
                <c:pt idx="99">
                  <c:v>1689000</c:v>
                </c:pt>
                <c:pt idx="100">
                  <c:v>1698000</c:v>
                </c:pt>
                <c:pt idx="101">
                  <c:v>1699500</c:v>
                </c:pt>
                <c:pt idx="102">
                  <c:v>1699857.1428571399</c:v>
                </c:pt>
                <c:pt idx="103">
                  <c:v>1708333.33333333</c:v>
                </c:pt>
                <c:pt idx="104">
                  <c:v>1730000</c:v>
                </c:pt>
                <c:pt idx="105">
                  <c:v>1711666.66666667</c:v>
                </c:pt>
                <c:pt idx="106">
                  <c:v>1703000</c:v>
                </c:pt>
                <c:pt idx="107">
                  <c:v>1721000</c:v>
                </c:pt>
                <c:pt idx="108">
                  <c:v>1730000</c:v>
                </c:pt>
                <c:pt idx="109">
                  <c:v>1733750</c:v>
                </c:pt>
                <c:pt idx="110">
                  <c:v>1714500</c:v>
                </c:pt>
                <c:pt idx="111">
                  <c:v>1721750</c:v>
                </c:pt>
                <c:pt idx="112">
                  <c:v>1717500</c:v>
                </c:pt>
                <c:pt idx="113">
                  <c:v>1752000</c:v>
                </c:pt>
                <c:pt idx="114">
                  <c:v>1750333.33333333</c:v>
                </c:pt>
                <c:pt idx="115">
                  <c:v>1730333.33333333</c:v>
                </c:pt>
                <c:pt idx="116">
                  <c:v>1706000</c:v>
                </c:pt>
                <c:pt idx="117">
                  <c:v>1695500</c:v>
                </c:pt>
                <c:pt idx="118">
                  <c:v>1720000</c:v>
                </c:pt>
                <c:pt idx="119">
                  <c:v>1687000</c:v>
                </c:pt>
                <c:pt idx="120">
                  <c:v>1657666.66666667</c:v>
                </c:pt>
                <c:pt idx="121">
                  <c:v>1695000</c:v>
                </c:pt>
                <c:pt idx="122">
                  <c:v>1743000</c:v>
                </c:pt>
                <c:pt idx="123">
                  <c:v>1815000</c:v>
                </c:pt>
                <c:pt idx="124">
                  <c:v>1815000</c:v>
                </c:pt>
                <c:pt idx="125">
                  <c:v>1814333.33333333</c:v>
                </c:pt>
                <c:pt idx="126">
                  <c:v>1811000</c:v>
                </c:pt>
                <c:pt idx="127">
                  <c:v>1838000</c:v>
                </c:pt>
                <c:pt idx="128">
                  <c:v>1852500</c:v>
                </c:pt>
                <c:pt idx="129">
                  <c:v>1851500</c:v>
                </c:pt>
                <c:pt idx="130">
                  <c:v>1836000</c:v>
                </c:pt>
                <c:pt idx="131">
                  <c:v>1825500</c:v>
                </c:pt>
                <c:pt idx="132">
                  <c:v>1825000</c:v>
                </c:pt>
                <c:pt idx="133">
                  <c:v>1825000</c:v>
                </c:pt>
                <c:pt idx="134">
                  <c:v>1825000</c:v>
                </c:pt>
                <c:pt idx="135">
                  <c:v>1825000</c:v>
                </c:pt>
                <c:pt idx="136">
                  <c:v>1825000</c:v>
                </c:pt>
                <c:pt idx="137">
                  <c:v>1825000</c:v>
                </c:pt>
                <c:pt idx="138">
                  <c:v>1836500</c:v>
                </c:pt>
                <c:pt idx="139">
                  <c:v>1834500</c:v>
                </c:pt>
                <c:pt idx="140">
                  <c:v>1831000</c:v>
                </c:pt>
                <c:pt idx="141">
                  <c:v>1822000</c:v>
                </c:pt>
                <c:pt idx="142">
                  <c:v>1795000</c:v>
                </c:pt>
                <c:pt idx="143">
                  <c:v>1795000</c:v>
                </c:pt>
                <c:pt idx="144">
                  <c:v>1795000</c:v>
                </c:pt>
                <c:pt idx="145">
                  <c:v>1789000</c:v>
                </c:pt>
                <c:pt idx="146">
                  <c:v>1790666.66666667</c:v>
                </c:pt>
                <c:pt idx="147">
                  <c:v>1748666.66666667</c:v>
                </c:pt>
                <c:pt idx="148">
                  <c:v>1775800</c:v>
                </c:pt>
                <c:pt idx="149">
                  <c:v>1774666.66666667</c:v>
                </c:pt>
                <c:pt idx="150">
                  <c:v>1697500</c:v>
                </c:pt>
                <c:pt idx="151">
                  <c:v>1679400</c:v>
                </c:pt>
                <c:pt idx="152">
                  <c:v>1837333.33333333</c:v>
                </c:pt>
                <c:pt idx="153">
                  <c:v>1856900</c:v>
                </c:pt>
                <c:pt idx="154">
                  <c:v>1782250</c:v>
                </c:pt>
                <c:pt idx="155">
                  <c:v>1760000</c:v>
                </c:pt>
                <c:pt idx="156">
                  <c:v>1753250</c:v>
                </c:pt>
                <c:pt idx="157">
                  <c:v>1683000</c:v>
                </c:pt>
                <c:pt idx="158">
                  <c:v>1695000</c:v>
                </c:pt>
                <c:pt idx="159">
                  <c:v>1666500</c:v>
                </c:pt>
                <c:pt idx="160">
                  <c:v>1645500</c:v>
                </c:pt>
                <c:pt idx="161">
                  <c:v>1618000</c:v>
                </c:pt>
                <c:pt idx="162">
                  <c:v>1618000</c:v>
                </c:pt>
                <c:pt idx="163">
                  <c:v>1625000</c:v>
                </c:pt>
                <c:pt idx="164">
                  <c:v>1616000</c:v>
                </c:pt>
                <c:pt idx="165">
                  <c:v>1610000</c:v>
                </c:pt>
                <c:pt idx="166">
                  <c:v>1599000</c:v>
                </c:pt>
                <c:pt idx="167">
                  <c:v>1566500</c:v>
                </c:pt>
                <c:pt idx="168">
                  <c:v>1566500</c:v>
                </c:pt>
                <c:pt idx="169">
                  <c:v>1570000</c:v>
                </c:pt>
                <c:pt idx="170">
                  <c:v>1566250</c:v>
                </c:pt>
                <c:pt idx="171">
                  <c:v>1542666.66666667</c:v>
                </c:pt>
                <c:pt idx="172">
                  <c:v>1534500</c:v>
                </c:pt>
                <c:pt idx="173">
                  <c:v>1539166.66666667</c:v>
                </c:pt>
                <c:pt idx="174">
                  <c:v>1587000</c:v>
                </c:pt>
                <c:pt idx="175">
                  <c:v>1578000</c:v>
                </c:pt>
                <c:pt idx="176">
                  <c:v>1580000</c:v>
                </c:pt>
                <c:pt idx="177">
                  <c:v>1580000</c:v>
                </c:pt>
                <c:pt idx="178">
                  <c:v>1572500</c:v>
                </c:pt>
                <c:pt idx="179">
                  <c:v>1556000</c:v>
                </c:pt>
                <c:pt idx="180">
                  <c:v>1554000</c:v>
                </c:pt>
                <c:pt idx="181">
                  <c:v>1552000</c:v>
                </c:pt>
                <c:pt idx="182">
                  <c:v>1546000</c:v>
                </c:pt>
                <c:pt idx="183">
                  <c:v>1557000</c:v>
                </c:pt>
                <c:pt idx="184">
                  <c:v>1556333.33333333</c:v>
                </c:pt>
                <c:pt idx="185">
                  <c:v>1535000</c:v>
                </c:pt>
                <c:pt idx="186">
                  <c:v>1537000</c:v>
                </c:pt>
                <c:pt idx="187">
                  <c:v>1535000</c:v>
                </c:pt>
                <c:pt idx="188">
                  <c:v>1535000</c:v>
                </c:pt>
                <c:pt idx="189">
                  <c:v>1533500</c:v>
                </c:pt>
                <c:pt idx="190">
                  <c:v>1528000</c:v>
                </c:pt>
                <c:pt idx="191">
                  <c:v>1535000</c:v>
                </c:pt>
                <c:pt idx="192">
                  <c:v>1535000</c:v>
                </c:pt>
                <c:pt idx="193">
                  <c:v>1542000</c:v>
                </c:pt>
                <c:pt idx="194">
                  <c:v>1543000</c:v>
                </c:pt>
                <c:pt idx="195">
                  <c:v>1528000</c:v>
                </c:pt>
                <c:pt idx="196">
                  <c:v>1524000</c:v>
                </c:pt>
                <c:pt idx="197">
                  <c:v>1519000</c:v>
                </c:pt>
                <c:pt idx="198">
                  <c:v>1494000</c:v>
                </c:pt>
                <c:pt idx="199">
                  <c:v>1494000</c:v>
                </c:pt>
                <c:pt idx="200">
                  <c:v>1490500</c:v>
                </c:pt>
                <c:pt idx="201">
                  <c:v>1500000</c:v>
                </c:pt>
                <c:pt idx="202">
                  <c:v>1491500</c:v>
                </c:pt>
                <c:pt idx="203">
                  <c:v>1500000</c:v>
                </c:pt>
                <c:pt idx="204">
                  <c:v>1500000</c:v>
                </c:pt>
                <c:pt idx="205">
                  <c:v>1528000</c:v>
                </c:pt>
                <c:pt idx="206">
                  <c:v>1505000</c:v>
                </c:pt>
                <c:pt idx="207">
                  <c:v>1508333.33333333</c:v>
                </c:pt>
                <c:pt idx="208">
                  <c:v>1492000</c:v>
                </c:pt>
                <c:pt idx="209">
                  <c:v>1486000</c:v>
                </c:pt>
                <c:pt idx="210">
                  <c:v>1474000</c:v>
                </c:pt>
                <c:pt idx="211">
                  <c:v>1465000</c:v>
                </c:pt>
                <c:pt idx="212">
                  <c:v>1466000</c:v>
                </c:pt>
                <c:pt idx="213">
                  <c:v>1468000</c:v>
                </c:pt>
                <c:pt idx="214">
                  <c:v>1468000</c:v>
                </c:pt>
                <c:pt idx="215">
                  <c:v>1468000</c:v>
                </c:pt>
                <c:pt idx="216">
                  <c:v>1471000</c:v>
                </c:pt>
                <c:pt idx="217">
                  <c:v>1441000</c:v>
                </c:pt>
                <c:pt idx="218">
                  <c:v>1476500</c:v>
                </c:pt>
                <c:pt idx="219">
                  <c:v>1482000</c:v>
                </c:pt>
                <c:pt idx="220">
                  <c:v>1480333.33333333</c:v>
                </c:pt>
                <c:pt idx="221">
                  <c:v>1476000</c:v>
                </c:pt>
                <c:pt idx="222">
                  <c:v>1520000</c:v>
                </c:pt>
                <c:pt idx="223">
                  <c:v>1525500</c:v>
                </c:pt>
                <c:pt idx="224">
                  <c:v>1502500</c:v>
                </c:pt>
                <c:pt idx="225">
                  <c:v>1481000</c:v>
                </c:pt>
                <c:pt idx="226">
                  <c:v>1473666.66666667</c:v>
                </c:pt>
                <c:pt idx="227">
                  <c:v>1451000</c:v>
                </c:pt>
                <c:pt idx="228">
                  <c:v>1431000</c:v>
                </c:pt>
                <c:pt idx="229">
                  <c:v>1422000</c:v>
                </c:pt>
                <c:pt idx="230">
                  <c:v>1412000</c:v>
                </c:pt>
                <c:pt idx="231">
                  <c:v>1415000</c:v>
                </c:pt>
                <c:pt idx="232">
                  <c:v>1400000</c:v>
                </c:pt>
                <c:pt idx="233">
                  <c:v>1391000</c:v>
                </c:pt>
                <c:pt idx="234">
                  <c:v>1376000</c:v>
                </c:pt>
                <c:pt idx="235">
                  <c:v>1369000</c:v>
                </c:pt>
                <c:pt idx="236">
                  <c:v>1374000</c:v>
                </c:pt>
                <c:pt idx="237">
                  <c:v>1362000</c:v>
                </c:pt>
                <c:pt idx="238">
                  <c:v>1357666.66666667</c:v>
                </c:pt>
                <c:pt idx="239">
                  <c:v>1340000</c:v>
                </c:pt>
                <c:pt idx="240">
                  <c:v>1335000</c:v>
                </c:pt>
                <c:pt idx="241">
                  <c:v>1339000</c:v>
                </c:pt>
                <c:pt idx="242">
                  <c:v>1340000</c:v>
                </c:pt>
                <c:pt idx="243">
                  <c:v>1331000</c:v>
                </c:pt>
                <c:pt idx="244">
                  <c:v>1320000</c:v>
                </c:pt>
                <c:pt idx="245">
                  <c:v>1310000</c:v>
                </c:pt>
                <c:pt idx="246">
                  <c:v>1311500</c:v>
                </c:pt>
                <c:pt idx="247">
                  <c:v>1313000</c:v>
                </c:pt>
                <c:pt idx="248">
                  <c:v>1298500</c:v>
                </c:pt>
                <c:pt idx="249">
                  <c:v>1296000</c:v>
                </c:pt>
                <c:pt idx="250">
                  <c:v>1318000</c:v>
                </c:pt>
                <c:pt idx="251">
                  <c:v>1343000</c:v>
                </c:pt>
                <c:pt idx="252">
                  <c:v>1348000</c:v>
                </c:pt>
                <c:pt idx="253">
                  <c:v>1343333.33333333</c:v>
                </c:pt>
                <c:pt idx="254">
                  <c:v>1342833.33333333</c:v>
                </c:pt>
                <c:pt idx="255">
                  <c:v>1334000</c:v>
                </c:pt>
                <c:pt idx="256">
                  <c:v>1329000</c:v>
                </c:pt>
                <c:pt idx="257">
                  <c:v>1312500</c:v>
                </c:pt>
                <c:pt idx="258">
                  <c:v>1279500</c:v>
                </c:pt>
                <c:pt idx="259">
                  <c:v>1272250</c:v>
                </c:pt>
                <c:pt idx="260">
                  <c:v>1269750</c:v>
                </c:pt>
                <c:pt idx="261">
                  <c:v>1268214.2857142901</c:v>
                </c:pt>
                <c:pt idx="262">
                  <c:v>1262833.33333333</c:v>
                </c:pt>
                <c:pt idx="263">
                  <c:v>1249000</c:v>
                </c:pt>
                <c:pt idx="264">
                  <c:v>1245000</c:v>
                </c:pt>
                <c:pt idx="265">
                  <c:v>1243500</c:v>
                </c:pt>
                <c:pt idx="266">
                  <c:v>1245000</c:v>
                </c:pt>
                <c:pt idx="267">
                  <c:v>1242500</c:v>
                </c:pt>
                <c:pt idx="268">
                  <c:v>1242000</c:v>
                </c:pt>
                <c:pt idx="269">
                  <c:v>1239500</c:v>
                </c:pt>
                <c:pt idx="270">
                  <c:v>1233000</c:v>
                </c:pt>
                <c:pt idx="271">
                  <c:v>1233000</c:v>
                </c:pt>
                <c:pt idx="272">
                  <c:v>1236333.33333333</c:v>
                </c:pt>
                <c:pt idx="273">
                  <c:v>1231000</c:v>
                </c:pt>
                <c:pt idx="274">
                  <c:v>1231000</c:v>
                </c:pt>
                <c:pt idx="275">
                  <c:v>1230000</c:v>
                </c:pt>
                <c:pt idx="276">
                  <c:v>1226666.66666667</c:v>
                </c:pt>
                <c:pt idx="277">
                  <c:v>1225000</c:v>
                </c:pt>
                <c:pt idx="278">
                  <c:v>1206500</c:v>
                </c:pt>
                <c:pt idx="279">
                  <c:v>1206500</c:v>
                </c:pt>
                <c:pt idx="280">
                  <c:v>1205500</c:v>
                </c:pt>
                <c:pt idx="281">
                  <c:v>1203000</c:v>
                </c:pt>
                <c:pt idx="282">
                  <c:v>1203500</c:v>
                </c:pt>
                <c:pt idx="283">
                  <c:v>1207000</c:v>
                </c:pt>
                <c:pt idx="284">
                  <c:v>1212750</c:v>
                </c:pt>
                <c:pt idx="285">
                  <c:v>1212800</c:v>
                </c:pt>
                <c:pt idx="286">
                  <c:v>1209375</c:v>
                </c:pt>
                <c:pt idx="287">
                  <c:v>1203166.66666667</c:v>
                </c:pt>
                <c:pt idx="288">
                  <c:v>1196000</c:v>
                </c:pt>
                <c:pt idx="289">
                  <c:v>1196000</c:v>
                </c:pt>
                <c:pt idx="290">
                  <c:v>1199750</c:v>
                </c:pt>
                <c:pt idx="291">
                  <c:v>1203000</c:v>
                </c:pt>
                <c:pt idx="292">
                  <c:v>1205000</c:v>
                </c:pt>
                <c:pt idx="293">
                  <c:v>1199000</c:v>
                </c:pt>
                <c:pt idx="294">
                  <c:v>1197600</c:v>
                </c:pt>
                <c:pt idx="295">
                  <c:v>1197333.33333333</c:v>
                </c:pt>
                <c:pt idx="296">
                  <c:v>1197500</c:v>
                </c:pt>
                <c:pt idx="297">
                  <c:v>1197000</c:v>
                </c:pt>
                <c:pt idx="298">
                  <c:v>1201666.66666667</c:v>
                </c:pt>
                <c:pt idx="299">
                  <c:v>1197666.66666667</c:v>
                </c:pt>
                <c:pt idx="300">
                  <c:v>1197000</c:v>
                </c:pt>
                <c:pt idx="301">
                  <c:v>1189000</c:v>
                </c:pt>
                <c:pt idx="302">
                  <c:v>1183000</c:v>
                </c:pt>
                <c:pt idx="303">
                  <c:v>1188500</c:v>
                </c:pt>
                <c:pt idx="304">
                  <c:v>1187000</c:v>
                </c:pt>
                <c:pt idx="305">
                  <c:v>1185000</c:v>
                </c:pt>
                <c:pt idx="306">
                  <c:v>1187000</c:v>
                </c:pt>
                <c:pt idx="307">
                  <c:v>1187000</c:v>
                </c:pt>
                <c:pt idx="308">
                  <c:v>1184000</c:v>
                </c:pt>
                <c:pt idx="309">
                  <c:v>1186000</c:v>
                </c:pt>
                <c:pt idx="310">
                  <c:v>1186000</c:v>
                </c:pt>
                <c:pt idx="311">
                  <c:v>1186000</c:v>
                </c:pt>
                <c:pt idx="312">
                  <c:v>1188250</c:v>
                </c:pt>
                <c:pt idx="313">
                  <c:v>1184750</c:v>
                </c:pt>
                <c:pt idx="314">
                  <c:v>1178000</c:v>
                </c:pt>
                <c:pt idx="315">
                  <c:v>1176500</c:v>
                </c:pt>
                <c:pt idx="316">
                  <c:v>1167000</c:v>
                </c:pt>
                <c:pt idx="317">
                  <c:v>1161250</c:v>
                </c:pt>
                <c:pt idx="318">
                  <c:v>1165500</c:v>
                </c:pt>
                <c:pt idx="319">
                  <c:v>1160500</c:v>
                </c:pt>
                <c:pt idx="320">
                  <c:v>1160500</c:v>
                </c:pt>
                <c:pt idx="321">
                  <c:v>1167600</c:v>
                </c:pt>
                <c:pt idx="322">
                  <c:v>1167500</c:v>
                </c:pt>
                <c:pt idx="323">
                  <c:v>1172500</c:v>
                </c:pt>
                <c:pt idx="324">
                  <c:v>1169500</c:v>
                </c:pt>
                <c:pt idx="325">
                  <c:v>1170500</c:v>
                </c:pt>
                <c:pt idx="326">
                  <c:v>1177500</c:v>
                </c:pt>
                <c:pt idx="327">
                  <c:v>1190000</c:v>
                </c:pt>
                <c:pt idx="328">
                  <c:v>1193333.33333333</c:v>
                </c:pt>
                <c:pt idx="329">
                  <c:v>1199000</c:v>
                </c:pt>
                <c:pt idx="330">
                  <c:v>1186166.66666667</c:v>
                </c:pt>
                <c:pt idx="331">
                  <c:v>1180500</c:v>
                </c:pt>
                <c:pt idx="332">
                  <c:v>1175250</c:v>
                </c:pt>
                <c:pt idx="333">
                  <c:v>1168500</c:v>
                </c:pt>
                <c:pt idx="334">
                  <c:v>1178666.66666667</c:v>
                </c:pt>
                <c:pt idx="335">
                  <c:v>1195000</c:v>
                </c:pt>
                <c:pt idx="336">
                  <c:v>1184666.66666667</c:v>
                </c:pt>
                <c:pt idx="337">
                  <c:v>1202500</c:v>
                </c:pt>
                <c:pt idx="338">
                  <c:v>1196333.33333333</c:v>
                </c:pt>
                <c:pt idx="339">
                  <c:v>1214500</c:v>
                </c:pt>
                <c:pt idx="340">
                  <c:v>1214000</c:v>
                </c:pt>
                <c:pt idx="341">
                  <c:v>1214428.57142857</c:v>
                </c:pt>
                <c:pt idx="342">
                  <c:v>1191750</c:v>
                </c:pt>
                <c:pt idx="343">
                  <c:v>1185000</c:v>
                </c:pt>
                <c:pt idx="344">
                  <c:v>1191250</c:v>
                </c:pt>
                <c:pt idx="345">
                  <c:v>1197500</c:v>
                </c:pt>
                <c:pt idx="346">
                  <c:v>1180000</c:v>
                </c:pt>
                <c:pt idx="347">
                  <c:v>1216666.66666667</c:v>
                </c:pt>
                <c:pt idx="348">
                  <c:v>1215000</c:v>
                </c:pt>
                <c:pt idx="349">
                  <c:v>1152500</c:v>
                </c:pt>
                <c:pt idx="350">
                  <c:v>1176250</c:v>
                </c:pt>
                <c:pt idx="351">
                  <c:v>1142500</c:v>
                </c:pt>
                <c:pt idx="352">
                  <c:v>1100000</c:v>
                </c:pt>
                <c:pt idx="353">
                  <c:v>1063833.33333333</c:v>
                </c:pt>
                <c:pt idx="354">
                  <c:v>1059500</c:v>
                </c:pt>
                <c:pt idx="355">
                  <c:v>1049000</c:v>
                </c:pt>
                <c:pt idx="356">
                  <c:v>1022000</c:v>
                </c:pt>
                <c:pt idx="357">
                  <c:v>995357.14285714296</c:v>
                </c:pt>
                <c:pt idx="358">
                  <c:v>982562.5</c:v>
                </c:pt>
                <c:pt idx="359">
                  <c:v>1005500</c:v>
                </c:pt>
                <c:pt idx="360">
                  <c:v>1012250</c:v>
                </c:pt>
                <c:pt idx="361">
                  <c:v>1007500</c:v>
                </c:pt>
                <c:pt idx="362">
                  <c:v>1011500</c:v>
                </c:pt>
                <c:pt idx="363">
                  <c:v>1003125</c:v>
                </c:pt>
                <c:pt idx="364">
                  <c:v>992250</c:v>
                </c:pt>
                <c:pt idx="365">
                  <c:v>976500</c:v>
                </c:pt>
                <c:pt idx="366">
                  <c:v>970000</c:v>
                </c:pt>
                <c:pt idx="367">
                  <c:v>965000</c:v>
                </c:pt>
                <c:pt idx="368">
                  <c:v>960000</c:v>
                </c:pt>
                <c:pt idx="369">
                  <c:v>985000</c:v>
                </c:pt>
                <c:pt idx="370">
                  <c:v>985000</c:v>
                </c:pt>
                <c:pt idx="371">
                  <c:v>965000</c:v>
                </c:pt>
                <c:pt idx="372">
                  <c:v>955000</c:v>
                </c:pt>
                <c:pt idx="373">
                  <c:v>954500</c:v>
                </c:pt>
                <c:pt idx="374">
                  <c:v>932500</c:v>
                </c:pt>
                <c:pt idx="375">
                  <c:v>932500</c:v>
                </c:pt>
                <c:pt idx="376">
                  <c:v>920000</c:v>
                </c:pt>
                <c:pt idx="377">
                  <c:v>920000</c:v>
                </c:pt>
                <c:pt idx="378">
                  <c:v>915000</c:v>
                </c:pt>
                <c:pt idx="379">
                  <c:v>918500</c:v>
                </c:pt>
                <c:pt idx="380">
                  <c:v>915000</c:v>
                </c:pt>
                <c:pt idx="381">
                  <c:v>908000</c:v>
                </c:pt>
                <c:pt idx="382">
                  <c:v>907500</c:v>
                </c:pt>
                <c:pt idx="383">
                  <c:v>907000</c:v>
                </c:pt>
                <c:pt idx="384">
                  <c:v>900000</c:v>
                </c:pt>
                <c:pt idx="385">
                  <c:v>905000</c:v>
                </c:pt>
                <c:pt idx="386">
                  <c:v>912500</c:v>
                </c:pt>
                <c:pt idx="387">
                  <c:v>910000</c:v>
                </c:pt>
                <c:pt idx="388">
                  <c:v>909000</c:v>
                </c:pt>
                <c:pt idx="389">
                  <c:v>890000</c:v>
                </c:pt>
                <c:pt idx="390">
                  <c:v>890000</c:v>
                </c:pt>
                <c:pt idx="391">
                  <c:v>890000</c:v>
                </c:pt>
                <c:pt idx="392">
                  <c:v>892500</c:v>
                </c:pt>
                <c:pt idx="393">
                  <c:v>890000</c:v>
                </c:pt>
                <c:pt idx="394">
                  <c:v>897000</c:v>
                </c:pt>
                <c:pt idx="395">
                  <c:v>890000</c:v>
                </c:pt>
                <c:pt idx="396">
                  <c:v>890500</c:v>
                </c:pt>
                <c:pt idx="397">
                  <c:v>900500</c:v>
                </c:pt>
                <c:pt idx="398">
                  <c:v>856000</c:v>
                </c:pt>
                <c:pt idx="399">
                  <c:v>880000</c:v>
                </c:pt>
                <c:pt idx="400">
                  <c:v>890000</c:v>
                </c:pt>
                <c:pt idx="401">
                  <c:v>881000</c:v>
                </c:pt>
                <c:pt idx="402">
                  <c:v>888000</c:v>
                </c:pt>
                <c:pt idx="403">
                  <c:v>878000</c:v>
                </c:pt>
                <c:pt idx="404">
                  <c:v>870000</c:v>
                </c:pt>
                <c:pt idx="405">
                  <c:v>870000</c:v>
                </c:pt>
                <c:pt idx="406">
                  <c:v>870000</c:v>
                </c:pt>
                <c:pt idx="407">
                  <c:v>863000</c:v>
                </c:pt>
                <c:pt idx="408">
                  <c:v>863000</c:v>
                </c:pt>
                <c:pt idx="409">
                  <c:v>863000</c:v>
                </c:pt>
                <c:pt idx="410">
                  <c:v>860000</c:v>
                </c:pt>
                <c:pt idx="411">
                  <c:v>854000</c:v>
                </c:pt>
                <c:pt idx="412">
                  <c:v>858000</c:v>
                </c:pt>
                <c:pt idx="413">
                  <c:v>858000</c:v>
                </c:pt>
                <c:pt idx="414">
                  <c:v>857500</c:v>
                </c:pt>
                <c:pt idx="415">
                  <c:v>847500</c:v>
                </c:pt>
                <c:pt idx="416">
                  <c:v>847500</c:v>
                </c:pt>
                <c:pt idx="417">
                  <c:v>842500</c:v>
                </c:pt>
                <c:pt idx="418">
                  <c:v>842500</c:v>
                </c:pt>
                <c:pt idx="419">
                  <c:v>832166.66666666698</c:v>
                </c:pt>
                <c:pt idx="420">
                  <c:v>832000</c:v>
                </c:pt>
                <c:pt idx="421">
                  <c:v>835000</c:v>
                </c:pt>
              </c:numCache>
            </c:numRef>
          </c:val>
          <c:smooth val="0"/>
          <c:extLst>
            <c:ext xmlns:c16="http://schemas.microsoft.com/office/drawing/2014/chart" uri="{C3380CC4-5D6E-409C-BE32-E72D297353CC}">
              <c16:uniqueId val="{00000000-1BB3-467B-A06F-3674EB686ADF}"/>
            </c:ext>
          </c:extLst>
        </c:ser>
        <c:dLbls>
          <c:showLegendKey val="0"/>
          <c:showVal val="0"/>
          <c:showCatName val="0"/>
          <c:showSerName val="0"/>
          <c:showPercent val="0"/>
          <c:showBubbleSize val="0"/>
        </c:dLbls>
        <c:smooth val="0"/>
        <c:axId val="2060984543"/>
        <c:axId val="1816288079"/>
      </c:lineChart>
      <c:dateAx>
        <c:axId val="206098454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288079"/>
        <c:crosses val="autoZero"/>
        <c:auto val="1"/>
        <c:lblOffset val="100"/>
        <c:baseTimeUnit val="days"/>
      </c:dateAx>
      <c:valAx>
        <c:axId val="18162880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98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4</xdr:col>
      <xdr:colOff>518214</xdr:colOff>
      <xdr:row>9</xdr:row>
      <xdr:rowOff>337648</xdr:rowOff>
    </xdr:from>
    <xdr:to>
      <xdr:col>7</xdr:col>
      <xdr:colOff>135509</xdr:colOff>
      <xdr:row>16</xdr:row>
      <xdr:rowOff>35717</xdr:rowOff>
    </xdr:to>
    <xdr:sp macro="" textlink="">
      <xdr:nvSpPr>
        <xdr:cNvPr id="4" name="Oval 3">
          <a:extLst>
            <a:ext uri="{FF2B5EF4-FFF2-40B4-BE49-F238E27FC236}">
              <a16:creationId xmlns:a16="http://schemas.microsoft.com/office/drawing/2014/main" id="{EE2932DC-A619-770C-A2F4-B1BE9534F5B5}"/>
            </a:ext>
          </a:extLst>
        </xdr:cNvPr>
        <xdr:cNvSpPr/>
      </xdr:nvSpPr>
      <xdr:spPr>
        <a:xfrm>
          <a:off x="5471214" y="4338148"/>
          <a:ext cx="1674695" cy="1603069"/>
        </a:xfrm>
        <a:prstGeom prst="ellipse">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absolute">
    <xdr:from>
      <xdr:col>5</xdr:col>
      <xdr:colOff>8139</xdr:colOff>
      <xdr:row>9</xdr:row>
      <xdr:rowOff>389769</xdr:rowOff>
    </xdr:from>
    <xdr:to>
      <xdr:col>7</xdr:col>
      <xdr:colOff>76199</xdr:colOff>
      <xdr:row>15</xdr:row>
      <xdr:rowOff>171449</xdr:rowOff>
    </xdr:to>
    <xdr:sp macro="[0]!Copy_to_csv" textlink="">
      <xdr:nvSpPr>
        <xdr:cNvPr id="5" name="Freeform: Shape 4">
          <a:extLst>
            <a:ext uri="{FF2B5EF4-FFF2-40B4-BE49-F238E27FC236}">
              <a16:creationId xmlns:a16="http://schemas.microsoft.com/office/drawing/2014/main" id="{1D602354-41CC-640F-CAC6-1F5044175883}"/>
            </a:ext>
          </a:extLst>
        </xdr:cNvPr>
        <xdr:cNvSpPr/>
      </xdr:nvSpPr>
      <xdr:spPr>
        <a:xfrm>
          <a:off x="5523114" y="4390269"/>
          <a:ext cx="1563485" cy="1496180"/>
        </a:xfrm>
        <a:custGeom>
          <a:avLst/>
          <a:gdLst>
            <a:gd name="csX0" fmla="*/ 0 w 1459263"/>
            <a:gd name="csY0" fmla="*/ 729554 h 1459108"/>
            <a:gd name="csX1" fmla="*/ 729632 w 1459263"/>
            <a:gd name="csY1" fmla="*/ 0 h 1459108"/>
            <a:gd name="csX2" fmla="*/ 1459264 w 1459263"/>
            <a:gd name="csY2" fmla="*/ 729554 h 1459108"/>
            <a:gd name="csX3" fmla="*/ 729632 w 1459263"/>
            <a:gd name="csY3" fmla="*/ 1459108 h 1459108"/>
            <a:gd name="csX4" fmla="*/ 0 w 1459263"/>
            <a:gd name="csY4" fmla="*/ 729554 h 1459108"/>
          </a:gdLst>
          <a:ahLst/>
          <a:cxnLst>
            <a:cxn ang="0">
              <a:pos x="csX0" y="csY0"/>
            </a:cxn>
            <a:cxn ang="0">
              <a:pos x="csX1" y="csY1"/>
            </a:cxn>
            <a:cxn ang="0">
              <a:pos x="csX2" y="csY2"/>
            </a:cxn>
            <a:cxn ang="0">
              <a:pos x="csX3" y="csY3"/>
            </a:cxn>
            <a:cxn ang="0">
              <a:pos x="csX4" y="csY4"/>
            </a:cxn>
          </a:cxnLst>
          <a:rect l="l" t="t" r="r" b="b"/>
          <a:pathLst>
            <a:path w="1459263" h="1459108">
              <a:moveTo>
                <a:pt x="0" y="729554"/>
              </a:moveTo>
              <a:cubicBezTo>
                <a:pt x="0" y="326632"/>
                <a:pt x="326667" y="0"/>
                <a:pt x="729632" y="0"/>
              </a:cubicBezTo>
              <a:cubicBezTo>
                <a:pt x="1132597" y="0"/>
                <a:pt x="1459264" y="326632"/>
                <a:pt x="1459264" y="729554"/>
              </a:cubicBezTo>
              <a:cubicBezTo>
                <a:pt x="1459264" y="1132476"/>
                <a:pt x="1132597" y="1459108"/>
                <a:pt x="729632" y="1459108"/>
              </a:cubicBezTo>
              <a:cubicBezTo>
                <a:pt x="326667" y="1459108"/>
                <a:pt x="0" y="1132476"/>
                <a:pt x="0" y="729554"/>
              </a:cubicBezTo>
              <a:close/>
            </a:path>
          </a:pathLst>
        </a:custGeom>
      </xdr:spPr>
      <xdr:style>
        <a:lnRef idx="2">
          <a:schemeClr val="accent4">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31471" tIns="231343" rIns="231472" bIns="231344" numCol="1" spcCol="1270" anchor="ctr" anchorCtr="0">
          <a:noAutofit/>
        </a:bodyPr>
        <a:lstStyle/>
        <a:p>
          <a:pPr marL="0" lvl="0" indent="0" algn="ctr" defTabSz="800100">
            <a:lnSpc>
              <a:spcPct val="90000"/>
            </a:lnSpc>
            <a:spcBef>
              <a:spcPct val="0"/>
            </a:spcBef>
            <a:spcAft>
              <a:spcPct val="35000"/>
            </a:spcAft>
            <a:buNone/>
          </a:pPr>
          <a:r>
            <a:rPr lang="en-US" sz="1800" kern="1200"/>
            <a:t>3. Copy csv</a:t>
          </a:r>
        </a:p>
        <a:p>
          <a:pPr marL="0" lvl="0" indent="0" algn="ctr" defTabSz="800100">
            <a:lnSpc>
              <a:spcPct val="90000"/>
            </a:lnSpc>
            <a:spcBef>
              <a:spcPct val="0"/>
            </a:spcBef>
            <a:spcAft>
              <a:spcPct val="35000"/>
            </a:spcAft>
            <a:buNone/>
          </a:pPr>
          <a:r>
            <a:rPr lang="en-US" sz="1500" i="1" kern="1200">
              <a:solidFill>
                <a:schemeClr val="bg1">
                  <a:lumMod val="50000"/>
                </a:schemeClr>
              </a:solidFill>
            </a:rPr>
            <a:t>(ấn</a:t>
          </a:r>
          <a:r>
            <a:rPr lang="en-US" sz="1500" i="1" kern="1200" baseline="0">
              <a:solidFill>
                <a:schemeClr val="bg1">
                  <a:lumMod val="50000"/>
                </a:schemeClr>
              </a:solidFill>
            </a:rPr>
            <a:t> nút)</a:t>
          </a:r>
          <a:endParaRPr lang="en-US" sz="1500" i="1" kern="1200">
            <a:solidFill>
              <a:schemeClr val="bg1">
                <a:lumMod val="50000"/>
              </a:schemeClr>
            </a:solidFill>
          </a:endParaRPr>
        </a:p>
      </xdr:txBody>
    </xdr:sp>
    <xdr:clientData/>
  </xdr:twoCellAnchor>
  <xdr:twoCellAnchor editAs="absolute">
    <xdr:from>
      <xdr:col>3</xdr:col>
      <xdr:colOff>1524005</xdr:colOff>
      <xdr:row>9</xdr:row>
      <xdr:rowOff>339538</xdr:rowOff>
    </xdr:from>
    <xdr:to>
      <xdr:col>4</xdr:col>
      <xdr:colOff>463925</xdr:colOff>
      <xdr:row>16</xdr:row>
      <xdr:rowOff>1453</xdr:rowOff>
    </xdr:to>
    <xdr:sp macro="" textlink="">
      <xdr:nvSpPr>
        <xdr:cNvPr id="6" name="Teardrop 5">
          <a:extLst>
            <a:ext uri="{FF2B5EF4-FFF2-40B4-BE49-F238E27FC236}">
              <a16:creationId xmlns:a16="http://schemas.microsoft.com/office/drawing/2014/main" id="{2FCBDE89-41E3-63B8-DAA7-9A7019D252A9}"/>
            </a:ext>
          </a:extLst>
        </xdr:cNvPr>
        <xdr:cNvSpPr/>
      </xdr:nvSpPr>
      <xdr:spPr>
        <a:xfrm rot="2700000">
          <a:off x="3857630" y="4340038"/>
          <a:ext cx="1559295" cy="1559295"/>
        </a:xfrm>
        <a:prstGeom prst="teardrop">
          <a:avLst>
            <a:gd name="adj" fmla="val 100000"/>
          </a:avLst>
        </a:prstGeom>
      </xdr:spPr>
      <xdr:style>
        <a:lnRef idx="2">
          <a:schemeClr val="lt1">
            <a:hueOff val="0"/>
            <a:satOff val="0"/>
            <a:lumOff val="0"/>
            <a:alphaOff val="0"/>
          </a:schemeClr>
        </a:lnRef>
        <a:fillRef idx="1">
          <a:schemeClr val="accent4">
            <a:hueOff val="5197846"/>
            <a:satOff val="-23984"/>
            <a:lumOff val="883"/>
            <a:alphaOff val="0"/>
          </a:schemeClr>
        </a:fillRef>
        <a:effectRef idx="0">
          <a:schemeClr val="accent4">
            <a:hueOff val="5197846"/>
            <a:satOff val="-23984"/>
            <a:lumOff val="883"/>
            <a:alphaOff val="0"/>
          </a:schemeClr>
        </a:effectRef>
        <a:fontRef idx="minor">
          <a:schemeClr val="lt1"/>
        </a:fontRef>
      </xdr:style>
    </xdr:sp>
    <xdr:clientData/>
  </xdr:twoCellAnchor>
  <xdr:twoCellAnchor editAs="absolute">
    <xdr:from>
      <xdr:col>3</xdr:col>
      <xdr:colOff>1526396</xdr:colOff>
      <xdr:row>9</xdr:row>
      <xdr:rowOff>372624</xdr:rowOff>
    </xdr:from>
    <xdr:to>
      <xdr:col>4</xdr:col>
      <xdr:colOff>470506</xdr:colOff>
      <xdr:row>15</xdr:row>
      <xdr:rowOff>161924</xdr:rowOff>
    </xdr:to>
    <xdr:sp macro="" textlink="">
      <xdr:nvSpPr>
        <xdr:cNvPr id="7" name="Freeform: Shape 6">
          <a:extLst>
            <a:ext uri="{FF2B5EF4-FFF2-40B4-BE49-F238E27FC236}">
              <a16:creationId xmlns:a16="http://schemas.microsoft.com/office/drawing/2014/main" id="{E94F9686-1D33-5F4F-BC7A-3D6C72EDBDF1}"/>
            </a:ext>
          </a:extLst>
        </xdr:cNvPr>
        <xdr:cNvSpPr/>
      </xdr:nvSpPr>
      <xdr:spPr>
        <a:xfrm>
          <a:off x="3860021" y="4380744"/>
          <a:ext cx="1563485" cy="1496180"/>
        </a:xfrm>
        <a:custGeom>
          <a:avLst/>
          <a:gdLst>
            <a:gd name="csX0" fmla="*/ 0 w 1459263"/>
            <a:gd name="csY0" fmla="*/ 729554 h 1459108"/>
            <a:gd name="csX1" fmla="*/ 729632 w 1459263"/>
            <a:gd name="csY1" fmla="*/ 0 h 1459108"/>
            <a:gd name="csX2" fmla="*/ 1459264 w 1459263"/>
            <a:gd name="csY2" fmla="*/ 729554 h 1459108"/>
            <a:gd name="csX3" fmla="*/ 729632 w 1459263"/>
            <a:gd name="csY3" fmla="*/ 1459108 h 1459108"/>
            <a:gd name="csX4" fmla="*/ 0 w 1459263"/>
            <a:gd name="csY4" fmla="*/ 729554 h 1459108"/>
          </a:gdLst>
          <a:ahLst/>
          <a:cxnLst>
            <a:cxn ang="0">
              <a:pos x="csX0" y="csY0"/>
            </a:cxn>
            <a:cxn ang="0">
              <a:pos x="csX1" y="csY1"/>
            </a:cxn>
            <a:cxn ang="0">
              <a:pos x="csX2" y="csY2"/>
            </a:cxn>
            <a:cxn ang="0">
              <a:pos x="csX3" y="csY3"/>
            </a:cxn>
            <a:cxn ang="0">
              <a:pos x="csX4" y="csY4"/>
            </a:cxn>
          </a:cxnLst>
          <a:rect l="l" t="t" r="r" b="b"/>
          <a:pathLst>
            <a:path w="1459263" h="1459108">
              <a:moveTo>
                <a:pt x="0" y="729554"/>
              </a:moveTo>
              <a:cubicBezTo>
                <a:pt x="0" y="326632"/>
                <a:pt x="326667" y="0"/>
                <a:pt x="729632" y="0"/>
              </a:cubicBezTo>
              <a:cubicBezTo>
                <a:pt x="1132597" y="0"/>
                <a:pt x="1459264" y="326632"/>
                <a:pt x="1459264" y="729554"/>
              </a:cubicBezTo>
              <a:cubicBezTo>
                <a:pt x="1459264" y="1132476"/>
                <a:pt x="1132597" y="1459108"/>
                <a:pt x="729632" y="1459108"/>
              </a:cubicBezTo>
              <a:cubicBezTo>
                <a:pt x="326667" y="1459108"/>
                <a:pt x="0" y="1132476"/>
                <a:pt x="0" y="729554"/>
              </a:cubicBezTo>
              <a:close/>
            </a:path>
          </a:pathLst>
        </a:custGeom>
      </xdr:spPr>
      <xdr:style>
        <a:lnRef idx="2">
          <a:schemeClr val="accent4">
            <a:hueOff val="5197846"/>
            <a:satOff val="-23984"/>
            <a:lumOff val="883"/>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31472" tIns="231343" rIns="231471" bIns="231344" numCol="1" spcCol="1270" anchor="ctr" anchorCtr="0">
          <a:noAutofit/>
        </a:bodyPr>
        <a:lstStyle/>
        <a:p>
          <a:pPr marL="0" lvl="0" indent="0" algn="ctr" defTabSz="800100">
            <a:lnSpc>
              <a:spcPct val="90000"/>
            </a:lnSpc>
            <a:spcBef>
              <a:spcPct val="0"/>
            </a:spcBef>
            <a:spcAft>
              <a:spcPct val="35000"/>
            </a:spcAft>
            <a:buNone/>
          </a:pPr>
          <a:r>
            <a:rPr lang="en-US" sz="1800" kern="1200"/>
            <a:t>2. Comment</a:t>
          </a:r>
        </a:p>
      </xdr:txBody>
    </xdr:sp>
    <xdr:clientData/>
  </xdr:twoCellAnchor>
  <xdr:twoCellAnchor editAs="absolute">
    <xdr:from>
      <xdr:col>2</xdr:col>
      <xdr:colOff>299062</xdr:colOff>
      <xdr:row>9</xdr:row>
      <xdr:rowOff>339538</xdr:rowOff>
    </xdr:from>
    <xdr:to>
      <xdr:col>3</xdr:col>
      <xdr:colOff>1467832</xdr:colOff>
      <xdr:row>16</xdr:row>
      <xdr:rowOff>1453</xdr:rowOff>
    </xdr:to>
    <xdr:sp macro="" textlink="">
      <xdr:nvSpPr>
        <xdr:cNvPr id="8" name="Teardrop 7">
          <a:extLst>
            <a:ext uri="{FF2B5EF4-FFF2-40B4-BE49-F238E27FC236}">
              <a16:creationId xmlns:a16="http://schemas.microsoft.com/office/drawing/2014/main" id="{9DFD8D44-0E80-C596-DC51-9895F92B49C7}"/>
            </a:ext>
          </a:extLst>
        </xdr:cNvPr>
        <xdr:cNvSpPr/>
      </xdr:nvSpPr>
      <xdr:spPr>
        <a:xfrm rot="2700000">
          <a:off x="2242162" y="4340038"/>
          <a:ext cx="1559295" cy="1559295"/>
        </a:xfrm>
        <a:prstGeom prst="teardrop">
          <a:avLst>
            <a:gd name="adj" fmla="val 100000"/>
          </a:avLst>
        </a:prstGeom>
      </xdr:spPr>
      <xdr:style>
        <a:lnRef idx="2">
          <a:schemeClr val="lt1">
            <a:hueOff val="0"/>
            <a:satOff val="0"/>
            <a:lumOff val="0"/>
            <a:alphaOff val="0"/>
          </a:schemeClr>
        </a:lnRef>
        <a:fillRef idx="1">
          <a:schemeClr val="accent4">
            <a:hueOff val="10395692"/>
            <a:satOff val="-47968"/>
            <a:lumOff val="1765"/>
            <a:alphaOff val="0"/>
          </a:schemeClr>
        </a:fillRef>
        <a:effectRef idx="0">
          <a:schemeClr val="accent4">
            <a:hueOff val="10395692"/>
            <a:satOff val="-47968"/>
            <a:lumOff val="1765"/>
            <a:alphaOff val="0"/>
          </a:schemeClr>
        </a:effectRef>
        <a:fontRef idx="minor">
          <a:schemeClr val="lt1"/>
        </a:fontRef>
      </xdr:style>
    </xdr:sp>
    <xdr:clientData/>
  </xdr:twoCellAnchor>
  <xdr:twoCellAnchor editAs="absolute">
    <xdr:from>
      <xdr:col>2</xdr:col>
      <xdr:colOff>301453</xdr:colOff>
      <xdr:row>9</xdr:row>
      <xdr:rowOff>372624</xdr:rowOff>
    </xdr:from>
    <xdr:to>
      <xdr:col>3</xdr:col>
      <xdr:colOff>1474413</xdr:colOff>
      <xdr:row>15</xdr:row>
      <xdr:rowOff>161924</xdr:rowOff>
    </xdr:to>
    <xdr:sp macro="[0]!RefreshData.Loaddata" textlink="">
      <xdr:nvSpPr>
        <xdr:cNvPr id="10" name="Freeform: Shape 9">
          <a:extLst>
            <a:ext uri="{FF2B5EF4-FFF2-40B4-BE49-F238E27FC236}">
              <a16:creationId xmlns:a16="http://schemas.microsoft.com/office/drawing/2014/main" id="{2F6298D0-CDAD-7ECB-0541-C312183B50AA}"/>
            </a:ext>
          </a:extLst>
        </xdr:cNvPr>
        <xdr:cNvSpPr/>
      </xdr:nvSpPr>
      <xdr:spPr>
        <a:xfrm>
          <a:off x="2244553" y="4380744"/>
          <a:ext cx="1563485" cy="1496180"/>
        </a:xfrm>
        <a:custGeom>
          <a:avLst/>
          <a:gdLst>
            <a:gd name="csX0" fmla="*/ 0 w 1459263"/>
            <a:gd name="csY0" fmla="*/ 729554 h 1459108"/>
            <a:gd name="csX1" fmla="*/ 729632 w 1459263"/>
            <a:gd name="csY1" fmla="*/ 0 h 1459108"/>
            <a:gd name="csX2" fmla="*/ 1459264 w 1459263"/>
            <a:gd name="csY2" fmla="*/ 729554 h 1459108"/>
            <a:gd name="csX3" fmla="*/ 729632 w 1459263"/>
            <a:gd name="csY3" fmla="*/ 1459108 h 1459108"/>
            <a:gd name="csX4" fmla="*/ 0 w 1459263"/>
            <a:gd name="csY4" fmla="*/ 729554 h 1459108"/>
          </a:gdLst>
          <a:ahLst/>
          <a:cxnLst>
            <a:cxn ang="0">
              <a:pos x="csX0" y="csY0"/>
            </a:cxn>
            <a:cxn ang="0">
              <a:pos x="csX1" y="csY1"/>
            </a:cxn>
            <a:cxn ang="0">
              <a:pos x="csX2" y="csY2"/>
            </a:cxn>
            <a:cxn ang="0">
              <a:pos x="csX3" y="csY3"/>
            </a:cxn>
            <a:cxn ang="0">
              <a:pos x="csX4" y="csY4"/>
            </a:cxn>
          </a:cxnLst>
          <a:rect l="l" t="t" r="r" b="b"/>
          <a:pathLst>
            <a:path w="1459263" h="1459108">
              <a:moveTo>
                <a:pt x="0" y="729554"/>
              </a:moveTo>
              <a:cubicBezTo>
                <a:pt x="0" y="326632"/>
                <a:pt x="326667" y="0"/>
                <a:pt x="729632" y="0"/>
              </a:cubicBezTo>
              <a:cubicBezTo>
                <a:pt x="1132597" y="0"/>
                <a:pt x="1459264" y="326632"/>
                <a:pt x="1459264" y="729554"/>
              </a:cubicBezTo>
              <a:cubicBezTo>
                <a:pt x="1459264" y="1132476"/>
                <a:pt x="1132597" y="1459108"/>
                <a:pt x="729632" y="1459108"/>
              </a:cubicBezTo>
              <a:cubicBezTo>
                <a:pt x="326667" y="1459108"/>
                <a:pt x="0" y="1132476"/>
                <a:pt x="0" y="729554"/>
              </a:cubicBezTo>
              <a:close/>
            </a:path>
          </a:pathLst>
        </a:custGeom>
      </xdr:spPr>
      <xdr:style>
        <a:lnRef idx="2">
          <a:schemeClr val="accent4">
            <a:hueOff val="10395692"/>
            <a:satOff val="-47968"/>
            <a:lumOff val="1765"/>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31472" tIns="231343" rIns="231471" bIns="231344" numCol="1" spcCol="1270" anchor="ctr" anchorCtr="0">
          <a:noAutofit/>
        </a:bodyPr>
        <a:lstStyle/>
        <a:p>
          <a:pPr marL="0" lvl="0" indent="0" algn="ctr" defTabSz="800100">
            <a:lnSpc>
              <a:spcPct val="90000"/>
            </a:lnSpc>
            <a:spcBef>
              <a:spcPct val="0"/>
            </a:spcBef>
            <a:spcAft>
              <a:spcPct val="35000"/>
            </a:spcAft>
            <a:buNone/>
          </a:pPr>
          <a:r>
            <a:rPr lang="en-US" sz="1800" kern="1200"/>
            <a:t>1. Refresh</a:t>
          </a:r>
        </a:p>
        <a:p>
          <a:pPr marL="0" lvl="0" indent="0" algn="ctr" defTabSz="800100">
            <a:lnSpc>
              <a:spcPct val="90000"/>
            </a:lnSpc>
            <a:spcBef>
              <a:spcPct val="0"/>
            </a:spcBef>
            <a:spcAft>
              <a:spcPct val="35000"/>
            </a:spcAft>
            <a:buNone/>
          </a:pPr>
          <a:r>
            <a:rPr lang="en-US" sz="1500" i="1" kern="1200">
              <a:solidFill>
                <a:schemeClr val="bg1">
                  <a:lumMod val="50000"/>
                </a:schemeClr>
              </a:solidFill>
            </a:rPr>
            <a:t>(ấn</a:t>
          </a:r>
          <a:r>
            <a:rPr lang="en-US" sz="1500" i="1" kern="1200" baseline="0">
              <a:solidFill>
                <a:schemeClr val="bg1">
                  <a:lumMod val="50000"/>
                </a:schemeClr>
              </a:solidFill>
            </a:rPr>
            <a:t> nút)</a:t>
          </a:r>
          <a:endParaRPr lang="en-US" sz="1500" i="1" kern="1200">
            <a:solidFill>
              <a:schemeClr val="bg1">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314325</xdr:colOff>
      <xdr:row>3</xdr:row>
      <xdr:rowOff>109537</xdr:rowOff>
    </xdr:from>
    <xdr:to>
      <xdr:col>18</xdr:col>
      <xdr:colOff>104775</xdr:colOff>
      <xdr:row>17</xdr:row>
      <xdr:rowOff>185737</xdr:rowOff>
    </xdr:to>
    <xdr:graphicFrame macro="">
      <xdr:nvGraphicFramePr>
        <xdr:cNvPr id="2" name="Chart 1">
          <a:extLst>
            <a:ext uri="{FF2B5EF4-FFF2-40B4-BE49-F238E27FC236}">
              <a16:creationId xmlns:a16="http://schemas.microsoft.com/office/drawing/2014/main" id="{A4AF9D18-DE0F-9683-38EA-A1E4D152E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 backgroundRefresh="0" growShrinkType="overwriteClear" adjustColumnWidth="0" connectionId="1" xr16:uid="{00000000-0016-0000-0400-000000000000}" autoFormatId="16" applyNumberFormats="0" applyBorderFormats="0" applyFontFormats="0" applyPatternFormats="0" applyAlignmentFormats="0" applyWidthHeightFormats="0">
  <queryTableRefresh nextId="8">
    <queryTableFields count="5">
      <queryTableField id="1" name="RptDate" tableColumnId="1"/>
      <queryTableField id="2" name="Indicators" tableColumnId="2"/>
      <queryTableField id="5" name="Class" tableColumnId="5"/>
      <queryTableField id="3" name="Tenor_Value" tableColumnId="3"/>
      <queryTableField id="4" name="Actua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_1" backgroundRefresh="0" growShrinkType="overwriteClear" adjustColumnWidth="0" connectionId="6" xr16:uid="{00000000-0016-0000-0400-000001000000}" autoFormatId="16" applyNumberFormats="0" applyBorderFormats="0" applyFontFormats="0" applyPatternFormats="0" applyAlignmentFormats="0" applyWidthHeightFormats="0">
  <queryTableRefresh nextId="12">
    <queryTableFields count="5">
      <queryTableField id="1" name="RptDate" tableColumnId="1"/>
      <queryTableField id="2" name="Indicators" tableColumnId="2"/>
      <queryTableField id="5" name="Class" tableColumnId="5"/>
      <queryTableField id="3" name="Tenor_Value" tableColumnId="3"/>
      <queryTableField id="4" name="Actual" tableColumnId="4"/>
    </queryTableFields>
    <queryTableDeletedFields count="1">
      <deletedField name="Rpt_Grp"/>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_2" backgroundRefresh="0" connectionId="7" xr16:uid="{00000000-0016-0000-0400-000002000000}" autoFormatId="16" applyNumberFormats="0" applyBorderFormats="0" applyFontFormats="0" applyPatternFormats="0" applyAlignmentFormats="0" applyWidthHeightFormats="0">
  <queryTableRefresh nextId="5">
    <queryTableFields count="4">
      <queryTableField id="1" name="RptDate" tableColumnId="1"/>
      <queryTableField id="2" name="Indicators" tableColumnId="2"/>
      <queryTableField id="3" name="Tenor_Value" tableColumnId="3"/>
      <queryTableField id="4" name="Actual"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_4" backgroundRefresh="0" connectionId="9" xr16:uid="{00000000-0016-0000-0400-000004000000}" autoFormatId="16" applyNumberFormats="0" applyBorderFormats="0" applyFontFormats="0" applyPatternFormats="0" applyAlignmentFormats="0" applyWidthHeightFormats="0">
  <queryTableRefresh nextId="5">
    <queryTableFields count="4">
      <queryTableField id="1" name="RptDate" tableColumnId="1"/>
      <queryTableField id="2" name="Indicators" tableColumnId="2"/>
      <queryTableField id="3" name="Tenor_Value" tableColumnId="3"/>
      <queryTableField id="4" name="Actual"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_5" backgroundRefresh="0" connectionId="10" xr16:uid="{00000000-0016-0000-0400-000005000000}" autoFormatId="16" applyNumberFormats="0" applyBorderFormats="0" applyFontFormats="0" applyPatternFormats="0" applyAlignmentFormats="0" applyWidthHeightFormats="0">
  <queryTableRefresh nextId="5">
    <queryTableFields count="4">
      <queryTableField id="1" name="RptDate" tableColumnId="1"/>
      <queryTableField id="2" name="Indicators" tableColumnId="2"/>
      <queryTableField id="3" name="Tenor_Value" tableColumnId="3"/>
      <queryTableField id="4" name="Actual"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10.1.77.53,8888 GS_RRTT FIBond_Historical" backgroundRefresh="0" adjustColumnWidth="0" connectionId="12" xr16:uid="{206D5AF7-4945-41E6-A795-E2000DAE866E}" autoFormatId="16" applyNumberFormats="0" applyBorderFormats="0" applyFontFormats="0" applyPatternFormats="0" applyAlignmentFormats="0" applyWidthHeightFormats="0">
  <queryTableRefresh nextId="5">
    <queryTableFields count="4">
      <queryTableField id="1" name="RptDate" tableColumnId="1"/>
      <queryTableField id="2" name="Indicators" tableColumnId="2"/>
      <queryTableField id="3" name="Product" tableColumnId="3"/>
      <queryTableField id="4" name="Actual"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13" xr16:uid="{CACC7962-60E5-486F-A461-BA820300A69A}" autoFormatId="16" applyNumberFormats="0" applyBorderFormats="0" applyFontFormats="0" applyPatternFormats="0" applyAlignmentFormats="0" applyWidthHeightFormats="0">
  <queryTableRefresh nextId="5">
    <queryTableFields count="4">
      <queryTableField id="1" name="RptDate" tableColumnId="1"/>
      <queryTableField id="2" name="Indicators" tableColumnId="2"/>
      <queryTableField id="3" name="Product" tableColumnId="3"/>
      <queryTableField id="4" name="Actual"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_9" backgroundRefresh="0" adjustColumnWidth="0" connectionId="11" xr16:uid="{00000000-0016-0000-0400-000009000000}" autoFormatId="16" applyNumberFormats="0" applyBorderFormats="0" applyFontFormats="0" applyPatternFormats="0" applyAlignmentFormats="0" applyWidthHeightFormats="0">
  <queryTableRefresh nextId="8">
    <queryTableFields count="5">
      <queryTableField id="1" name="RptDate" tableColumnId="1"/>
      <queryTableField id="2" name="Indicators" tableColumnId="2"/>
      <queryTableField id="4" name="Input_data" tableColumnId="4"/>
      <queryTableField id="6" name="Class" tableColumnId="5"/>
      <queryTableField id="3" name="Actual"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backgroundRefresh="0" adjustColumnWidth="0" connectionId="3" xr16:uid="{9B1FFC7D-D04C-472A-B3E1-07F5FBBC86E9}" autoFormatId="16" applyNumberFormats="0" applyBorderFormats="0" applyFontFormats="0" applyPatternFormats="0" applyAlignmentFormats="0" applyWidthHeightFormats="0">
  <queryTableRefresh nextId="10">
    <queryTableFields count="3">
      <queryTableField id="7" name="RptDate" tableColumnId="1"/>
      <queryTableField id="2" name="Indicators" tableColumnId="2"/>
      <queryTableField id="8" name="Actual"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6" backgroundRefresh="0" adjustColumnWidth="0" connectionId="4" xr16:uid="{987A998F-0DF9-4B6D-8E20-71A53BB6B819}" autoFormatId="16" applyNumberFormats="0" applyBorderFormats="0" applyFontFormats="0" applyPatternFormats="0" applyAlignmentFormats="0" applyWidthHeightFormats="0">
  <queryTableRefresh nextId="10">
    <queryTableFields count="3">
      <queryTableField id="7" name="RptDate" tableColumnId="1"/>
      <queryTableField id="2" name="Indicators" tableColumnId="2"/>
      <queryTableField id="8" name="Actual"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_3" backgroundRefresh="0" connectionId="8" xr16:uid="{00000000-0016-0000-0400-000003000000}" autoFormatId="16" applyNumberFormats="0" applyBorderFormats="0" applyFontFormats="0" applyPatternFormats="0" applyAlignmentFormats="0" applyWidthHeightFormats="0">
  <queryTableRefresh nextId="6">
    <queryTableFields count="5">
      <queryTableField id="1" name="RptDate" tableColumnId="1"/>
      <queryTableField id="2" name="Indicators" tableColumnId="2"/>
      <queryTableField id="3" name="Tenor_Value" tableColumnId="3"/>
      <queryTableField id="4" name="Actual" tableColumnId="4"/>
      <queryTableField id="5" name="Rpt_Grp"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4" backgroundRefresh="0" adjustColumnWidth="0" connectionId="5" xr16:uid="{D9F36E39-BA0D-450E-996B-277F8FD3C448}" autoFormatId="16" applyNumberFormats="0" applyBorderFormats="0" applyFontFormats="0" applyPatternFormats="0" applyAlignmentFormats="0" applyWidthHeightFormats="0">
  <queryTableRefresh nextId="10">
    <queryTableFields count="3">
      <queryTableField id="7" name="RptDate" tableColumnId="1"/>
      <queryTableField id="2" name="Indicators" tableColumnId="2"/>
      <queryTableField id="8" name="Actual"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7" connectionId="23" xr16:uid="{B3A80A25-E1E7-4252-8B17-8A53FE10DC80}" autoFormatId="16" applyNumberFormats="0" applyBorderFormats="0" applyFontFormats="0" applyPatternFormats="0" applyAlignmentFormats="0" applyWidthHeightFormats="0">
  <queryTableRefresh nextId="5">
    <queryTableFields count="4">
      <queryTableField id="1" name="Date" tableColumnId="1"/>
      <queryTableField id="2" name="Desk" tableColumnId="2"/>
      <queryTableField id="3" name="Indicator" tableColumnId="3"/>
      <queryTableField id="4" name="Actual"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3" backgroundRefresh="0" adjustColumnWidth="0" connectionId="2" xr16:uid="{D6BB9714-43C6-4DA9-804D-C2E51DCFB071}" autoFormatId="16" applyNumberFormats="0" applyBorderFormats="0" applyFontFormats="0" applyPatternFormats="0" applyAlignmentFormats="0" applyWidthHeightFormats="0">
  <queryTableRefresh nextId="8">
    <queryTableFields count="3">
      <queryTableField id="5" name="Date" tableColumnId="1"/>
      <queryTableField id="2" name="Indicators" tableColumnId="2"/>
      <queryTableField id="6" name="Value" tableColumnId="3"/>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10.1.77.53,8888 master anhntn45_all_market_data_2" backgroundRefresh="0" connectionId="14" xr16:uid="{00000000-0016-0000-0900-000017000000}" autoFormatId="16" applyNumberFormats="0" applyBorderFormats="0" applyFontFormats="0" applyPatternFormats="0" applyAlignmentFormats="0" applyWidthHeightFormats="0">
  <queryTableRefresh nextId="5">
    <queryTableFields count="3">
      <queryTableField id="1" name="RptDate" tableColumnId="1"/>
      <queryTableField id="2" name="Tenor" tableColumnId="2"/>
      <queryTableField id="4" name="Yield"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_10.1.77.53_8888_master_anhntn45_all_market_data_4_3" backgroundRefresh="0" connectionId="17" xr16:uid="{3D6F4865-0995-4ED9-9F87-D8E87AD781A7}" autoFormatId="16" applyNumberFormats="0" applyBorderFormats="0" applyFontFormats="0" applyPatternFormats="0" applyAlignmentFormats="0" applyWidthHeightFormats="0">
  <queryTableRefresh nextId="10">
    <queryTableFields count="2">
      <queryTableField id="1" name="RptDate" tableColumnId="1"/>
      <queryTableField id="9" name="TygiaUV" tableColumnId="2"/>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_10.1.77.53_8888_master_anhntn45_all_market_data_2_3" backgroundRefresh="0" connectionId="15" xr16:uid="{B4746180-5988-4D01-ADE1-4ADE28D8FE9C}" autoFormatId="16" applyNumberFormats="0" applyBorderFormats="0" applyFontFormats="0" applyPatternFormats="0" applyAlignmentFormats="0" applyWidthHeightFormats="0">
  <queryTableRefresh nextId="7">
    <queryTableFields count="3">
      <queryTableField id="1" name="RptDate" tableColumnId="1"/>
      <queryTableField id="5" name="Indicators" tableColumnId="2"/>
      <queryTableField id="6" name="Average" tableColumnId="3"/>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_10.1.77.53_8888_master_anhntn45_all_market_data_2_3_3" backgroundRefresh="0" connectionId="16" xr16:uid="{53BD8675-2245-4250-8ADD-33D598A89FBF}" autoFormatId="16" applyNumberFormats="0" applyBorderFormats="0" applyFontFormats="0" applyPatternFormats="0" applyAlignmentFormats="0" applyWidthHeightFormats="0">
  <queryTableRefresh nextId="10">
    <queryTableFields count="3">
      <queryTableField id="7" name="Date" tableColumnId="4"/>
      <queryTableField id="5" name="Indicators" tableColumnId="2"/>
      <queryTableField id="8" name="Value" tableColumnId="5"/>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_10.1.77.53_8888_master_anhntn45_all_market_data_4_3" backgroundRefresh="0" connectionId="18" xr16:uid="{540CBF52-43D9-4977-898F-02C42980982D}" autoFormatId="16" applyNumberFormats="0" applyBorderFormats="0" applyFontFormats="0" applyPatternFormats="0" applyAlignmentFormats="0" applyWidthHeightFormats="0">
  <queryTableRefresh nextId="10">
    <queryTableFields count="2">
      <queryTableField id="1" name="RptDate" tableColumnId="1"/>
      <queryTableField id="9" name="TygiaUV" tableColumnId="2"/>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9" headers="0" adjustColumnWidth="0" connectionId="20" xr16:uid="{06DE2611-84FA-41DC-9BA2-64B7DC3ABB83}" autoFormatId="16" applyNumberFormats="0" applyBorderFormats="0" applyFontFormats="0" applyPatternFormats="0" applyAlignmentFormats="0" applyWidthHeightFormats="0">
  <queryTableRefresh headersInLastRefresh="0" nextId="7" unboundColumnsRight="1">
    <queryTableFields count="6">
      <queryTableField id="1" name="b. Cơ cấu dự trữ  TPTKC" tableColumnId="1"/>
      <queryTableField id="2" name="Mệnh giá" tableColumnId="2"/>
      <queryTableField id="3" name="HLA in Normal" tableColumnId="3"/>
      <queryTableField id="4" name="+/-" tableColumnId="4"/>
      <queryTableField id="5" name="HLA in Stress" tableColumnId="5"/>
      <queryTableField id="6" dataBound="0" tableColumnId="6"/>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0" headers="0" adjustColumnWidth="0" connectionId="19" xr16:uid="{81B1B7C5-0851-4C7E-AE99-3B900744D46E}" autoFormatId="16" applyNumberFormats="0" applyBorderFormats="0" applyFontFormats="0" applyPatternFormats="0" applyAlignmentFormats="0" applyWidthHeightFormats="0">
  <queryTableRefresh headersInLastRefresh="0"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 headers="0" adjustColumnWidth="0" connectionId="21" xr16:uid="{18F92AF8-72E5-4876-9266-C5EC37B8B6BA}" autoFormatId="16" applyNumberFormats="0" applyBorderFormats="0" applyFontFormats="0" applyPatternFormats="0" applyAlignmentFormats="0" applyWidthHeightFormats="0">
  <queryTableRefresh headersInLastRefresh="0" nextId="16">
    <queryTableFields count="15">
      <queryTableField id="1" name="Column2" tableColumnId="1"/>
      <queryTableField id="2" name="Column3" tableColumnId="2"/>
      <queryTableField id="3" name="Column4" tableColumnId="3"/>
      <queryTableField id="4" name="Column11" tableColumnId="4"/>
      <queryTableField id="5" name="Column12" tableColumnId="5"/>
      <queryTableField id="6" name="Column13" tableColumnId="6"/>
      <queryTableField id="7" name="Column29" tableColumnId="7"/>
      <queryTableField id="8" name="Column37" tableColumnId="8"/>
      <queryTableField id="9" name="Column45" tableColumnId="9"/>
      <queryTableField id="10" name="Column6" tableColumnId="10"/>
      <queryTableField id="11" name="Column7" tableColumnId="11"/>
      <queryTableField id="12" name="Column8" tableColumnId="12"/>
      <queryTableField id="13" name="Column9" tableColumnId="13"/>
      <queryTableField id="14" name="Column10" tableColumnId="14"/>
      <queryTableField id="15" name="Column5" tableColumnId="1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92A420-B310-4F9D-91E8-10BD7D5E3CE0}" name="Input" displayName="Input" ref="A1:B14" totalsRowShown="0" headerRowDxfId="80" dataDxfId="78" headerRowBorderDxfId="79" tableBorderDxfId="77" totalsRowBorderDxfId="76">
  <tableColumns count="2">
    <tableColumn id="1" xr3:uid="{DE2C39B6-A48B-467A-A2EF-56841228CD56}" name="Item" dataDxfId="75"/>
    <tableColumn id="2" xr3:uid="{3B3CCF51-4F77-45B1-91D3-AE3F153B4712}" name="Values" dataDxfId="74"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ond_TD_Position" displayName="Bond_TD_Position" ref="A3:E433" tableType="queryTable" totalsRowShown="0">
  <sortState xmlns:xlrd2="http://schemas.microsoft.com/office/spreadsheetml/2017/richdata2" ref="A4:E433">
    <sortCondition descending="1" ref="A3:A4759"/>
  </sortState>
  <tableColumns count="5">
    <tableColumn id="1" xr3:uid="{00000000-0010-0000-0000-000001000000}" uniqueName="1" name="RptDate" queryTableFieldId="1"/>
    <tableColumn id="2" xr3:uid="{00000000-0010-0000-0000-000002000000}" uniqueName="2" name="Indicators" queryTableFieldId="2"/>
    <tableColumn id="5" xr3:uid="{00000000-0010-0000-0000-000005000000}" uniqueName="5" name="Class" queryTableFieldId="5"/>
    <tableColumn id="3" xr3:uid="{00000000-0010-0000-0000-000003000000}" uniqueName="3" name="Tenor_Value" queryTableFieldId="3"/>
    <tableColumn id="4" xr3:uid="{00000000-0010-0000-0000-000004000000}" uniqueName="4" name="Actual" queryTableFieldId="4" dataDxfId="45" dataCellStyle="Comma [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ond_BK_Position" displayName="Bond_BK_Position" ref="G3:K433" tableType="queryTable" totalsRowShown="0">
  <tableColumns count="5">
    <tableColumn id="1" xr3:uid="{00000000-0010-0000-0100-000001000000}" uniqueName="1" name="RptDate" queryTableFieldId="1"/>
    <tableColumn id="2" xr3:uid="{00000000-0010-0000-0100-000002000000}" uniqueName="2" name="Indicators" queryTableFieldId="2"/>
    <tableColumn id="5" xr3:uid="{00000000-0010-0000-0100-000005000000}" uniqueName="5" name="Class" queryTableFieldId="5"/>
    <tableColumn id="3" xr3:uid="{00000000-0010-0000-0100-000003000000}" uniqueName="3" name="Tenor_Value" queryTableFieldId="3"/>
    <tableColumn id="4" xr3:uid="{00000000-0010-0000-0100-000004000000}" uniqueName="4" name="Actual" queryTableFieldId="4" dataDxfId="44" dataCellStyle="Comma [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ond_TD_PV01" displayName="Bond_TD_PV01" ref="M3:P22" tableType="queryTable" totalsRowShown="0">
  <tableColumns count="4">
    <tableColumn id="1" xr3:uid="{00000000-0010-0000-0200-000001000000}" uniqueName="1" name="RptDate" queryTableFieldId="1"/>
    <tableColumn id="2" xr3:uid="{00000000-0010-0000-0200-000002000000}" uniqueName="2" name="Indicators" queryTableFieldId="2"/>
    <tableColumn id="3" xr3:uid="{00000000-0010-0000-0200-000003000000}" uniqueName="3" name="Tenor_Value" queryTableFieldId="3"/>
    <tableColumn id="4" xr3:uid="{00000000-0010-0000-0200-000004000000}" uniqueName="4" name="Actual" queryTableFieldId="4" dataDxfId="43" dataCellStyle="Comma [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Bond_TD_ItD" displayName="Bond_TD_ItD" ref="X3:AA22" tableType="queryTable" totalsRowShown="0">
  <tableColumns count="4">
    <tableColumn id="1" xr3:uid="{00000000-0010-0000-0400-000001000000}" uniqueName="1" name="RptDate" queryTableFieldId="1"/>
    <tableColumn id="2" xr3:uid="{00000000-0010-0000-0400-000002000000}" uniqueName="2" name="Indicators" queryTableFieldId="2"/>
    <tableColumn id="3" xr3:uid="{00000000-0010-0000-0400-000003000000}" uniqueName="3" name="Tenor_Value" queryTableFieldId="3"/>
    <tableColumn id="4" xr3:uid="{00000000-0010-0000-0400-000004000000}" uniqueName="4" name="Actual" queryTableFieldId="4" dataDxfId="41" dataCellStyle="Comma [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Bond_BK_ItD" displayName="Bond_BK_ItD" ref="AC3:AF22" tableType="queryTable" totalsRowShown="0">
  <sortState xmlns:xlrd2="http://schemas.microsoft.com/office/spreadsheetml/2017/richdata2" ref="AC4:AF22">
    <sortCondition descending="1" ref="AC3:AC22"/>
  </sortState>
  <tableColumns count="4">
    <tableColumn id="1" xr3:uid="{00000000-0010-0000-0500-000001000000}" uniqueName="1" name="RptDate" queryTableFieldId="1"/>
    <tableColumn id="2" xr3:uid="{00000000-0010-0000-0500-000002000000}" uniqueName="2" name="Indicators" queryTableFieldId="2"/>
    <tableColumn id="3" xr3:uid="{00000000-0010-0000-0500-000003000000}" uniqueName="3" name="Tenor_Value" queryTableFieldId="3" dataDxfId="40"/>
    <tableColumn id="4" xr3:uid="{00000000-0010-0000-0500-000004000000}" uniqueName="4" name="Actual" queryTableFieldId="4" dataDxfId="39" dataCellStyle="Comma"/>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95180D9-B5CD-46FA-A02D-BB7B5E13F24D}" name="FIBond_Position" displayName="FIBond_Position" ref="AN3:AQ755" tableType="queryTable" totalsRowShown="0">
  <tableColumns count="4">
    <tableColumn id="1" xr3:uid="{443634B8-2B1C-4438-B63F-1E894895ED6C}" uniqueName="1" name="RptDate" queryTableFieldId="1"/>
    <tableColumn id="2" xr3:uid="{30BCBEAB-ACF1-4E21-877A-9BEA6B24F407}" uniqueName="2" name="Indicators" queryTableFieldId="2"/>
    <tableColumn id="3" xr3:uid="{F498CF7D-DBA3-445E-B460-F72E479EF676}" uniqueName="3" name="Product" queryTableFieldId="3"/>
    <tableColumn id="4" xr3:uid="{EB23BB55-0599-4087-B645-45DAF8F539CD}" uniqueName="4" name="Actual" queryTableFieldId="4" dataDxfId="36" dataCellStyle="Comma"/>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FB8A74F-BB26-408D-98FC-437457577D2F}" name="FIBond_OnOffBS" displayName="FIBond_OnOffBS" ref="AS3:AV3553" tableType="queryTable" totalsRowShown="0">
  <autoFilter ref="AS3:AV3553" xr:uid="{AFB8A74F-BB26-408D-98FC-437457577D2F}"/>
  <sortState xmlns:xlrd2="http://schemas.microsoft.com/office/spreadsheetml/2017/richdata2" ref="AS4:AV3553">
    <sortCondition descending="1" ref="AS3:AS3553"/>
  </sortState>
  <tableColumns count="4">
    <tableColumn id="1" xr3:uid="{0B5AA230-7A55-4459-819A-A06258F88CDE}" uniqueName="1" name="RptDate" queryTableFieldId="1"/>
    <tableColumn id="2" xr3:uid="{D1C54118-21F3-4774-AF52-C90E90987582}" uniqueName="2" name="Indicators" queryTableFieldId="2"/>
    <tableColumn id="3" xr3:uid="{7800401B-A9C6-49D0-83EB-A6C7D26DABEE}" uniqueName="3" name="Product" queryTableFieldId="3"/>
    <tableColumn id="4" xr3:uid="{FDF8783E-280F-4A34-943E-188AE1080E62}" uniqueName="4" name="Actual" queryTableFieldId="4" dataDxfId="35" dataCellStyle="Comma [0]"/>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Bond_TD_BS" displayName="Bond_TD_BS" ref="AH3:AL7461" tableType="queryTable" totalsRowShown="0">
  <sortState xmlns:xlrd2="http://schemas.microsoft.com/office/spreadsheetml/2017/richdata2" ref="AH4:AL7461">
    <sortCondition descending="1" ref="AH3:AH7461"/>
  </sortState>
  <tableColumns count="5">
    <tableColumn id="1" xr3:uid="{00000000-0010-0000-0900-000001000000}" uniqueName="1" name="RptDate" queryTableFieldId="1"/>
    <tableColumn id="2" xr3:uid="{00000000-0010-0000-0900-000002000000}" uniqueName="2" name="Indicators" queryTableFieldId="2"/>
    <tableColumn id="4" xr3:uid="{00000000-0010-0000-0900-000004000000}" uniqueName="4" name="Input_data" queryTableFieldId="4"/>
    <tableColumn id="5" xr3:uid="{D7A18DBC-AB11-42A8-87AA-417B05A0D386}" uniqueName="5" name="Class" queryTableFieldId="6" dataDxfId="38" dataCellStyle="Comma"/>
    <tableColumn id="3" xr3:uid="{00000000-0010-0000-0900-000003000000}" uniqueName="3" name="Actual" queryTableFieldId="3" dataDxfId="37" dataCellStyle="Comma"/>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671F02A-418F-4AB9-8F59-F5FBA75EF8BE}" name="Est_NIM" displayName="Est_NIM" ref="BB3:BD27" tableType="queryTable" totalsRowShown="0">
  <autoFilter ref="BB3:BD27" xr:uid="{0671F02A-418F-4AB9-8F59-F5FBA75EF8BE}"/>
  <tableColumns count="3">
    <tableColumn id="1" xr3:uid="{5D4DE765-47B1-4B39-B83F-CAA2FFAEBE7C}" uniqueName="1" name="RptDate" queryTableFieldId="7"/>
    <tableColumn id="2" xr3:uid="{F361D4B4-12DD-4834-B03C-792BB3A9338D}" uniqueName="2" name="Indicators" queryTableFieldId="2"/>
    <tableColumn id="3" xr3:uid="{0F7263D5-62B4-4F97-A170-CC9F1B17C51C}" uniqueName="3" name="Actual" queryTableFieldId="8" dataDxfId="32" dataCellStyle="Comma [0]"/>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5825D72-225B-40A6-A3D6-FBC681E4DBC5}" name="Realized_OffBS" displayName="Realized_OffBS" ref="BF3:BH9" tableType="queryTable" totalsRowShown="0">
  <tableColumns count="3">
    <tableColumn id="1" xr3:uid="{14A2FB69-06FD-4B94-83D7-1E7FFB6D52DF}" uniqueName="1" name="RptDate" queryTableFieldId="7"/>
    <tableColumn id="2" xr3:uid="{9B618280-0F5B-4760-AA30-FEF1CD57BB9F}" uniqueName="2" name="Indicators" queryTableFieldId="2"/>
    <tableColumn id="3" xr3:uid="{05760195-B845-424F-9A6F-41B79971A514}" uniqueName="3" name="Actual" queryTableFieldId="8" dataDxfId="31" dataCellStyle="Comma [0]"/>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ond_BK_PV01" displayName="Bond_BK_PV01" ref="R3:V22" tableType="queryTable" totalsRowShown="0">
  <tableColumns count="5">
    <tableColumn id="1" xr3:uid="{00000000-0010-0000-0300-000001000000}" uniqueName="1" name="RptDate" queryTableFieldId="1"/>
    <tableColumn id="2" xr3:uid="{00000000-0010-0000-0300-000002000000}" uniqueName="2" name="Indicators" queryTableFieldId="2"/>
    <tableColumn id="3" xr3:uid="{00000000-0010-0000-0300-000003000000}" uniqueName="3" name="Tenor_Value" queryTableFieldId="3"/>
    <tableColumn id="4" xr3:uid="{00000000-0010-0000-0300-000004000000}" uniqueName="4" name="Actual" queryTableFieldId="4" dataDxfId="42" dataCellStyle="Comma [0]"/>
    <tableColumn id="5" xr3:uid="{F4499267-20CE-43AF-8089-5A3CAAC855AB}" uniqueName="5" name="Rpt_Grp" queryTableFieldId="5"/>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144086A-38B7-4FD5-9720-95C45B26CDE2}" name="YTM" displayName="YTM" ref="BJ3:BL6" tableType="queryTable" totalsRowShown="0">
  <tableColumns count="3">
    <tableColumn id="1" xr3:uid="{5AD04EA2-ABAE-41B6-8EAC-BA63F3E1A1E4}" uniqueName="1" name="RptDate" queryTableFieldId="7"/>
    <tableColumn id="2" xr3:uid="{A0011375-80AD-4347-9F3C-524412E22665}" uniqueName="2" name="Indicators" queryTableFieldId="2"/>
    <tableColumn id="3" xr3:uid="{188228B0-79C6-449D-939B-F79025268719}" uniqueName="3" name="Actual" queryTableFieldId="8" dataDxfId="30" dataCellStyle="Comma [0]"/>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8C87461-5473-4F1C-BF9E-9E89C15DD429}" name="QLHS" displayName="QLHS" ref="BN3:BQ51" tableType="queryTable" totalsRowShown="0" headerRowDxfId="73" dataDxfId="72">
  <tableColumns count="4">
    <tableColumn id="1" xr3:uid="{5D247811-9C3F-4760-ACB9-CC106729A7DC}" uniqueName="1" name="Date" queryTableFieldId="1" dataDxfId="18"/>
    <tableColumn id="2" xr3:uid="{4FE6FD76-4201-4A12-8C8E-7B09D57048DB}" uniqueName="2" name="Desk" queryTableFieldId="2" dataDxfId="17"/>
    <tableColumn id="3" xr3:uid="{264A8909-2D24-4302-9002-DB2B4DD1F3D3}" uniqueName="3" name="Indicator" queryTableFieldId="3" dataDxfId="16"/>
    <tableColumn id="4" xr3:uid="{87532F3E-1704-4A5F-AA4E-B7A7A4A8B7DC}" uniqueName="4" name="Actual" queryTableFieldId="4" dataDxfId="15" dataCellStyle="Comma [0]"/>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E1DB36B-C239-4A9C-8D79-35068B7119CE}" name="AvailableBond" displayName="AvailableBond" ref="AX3:AZ103" tableType="queryTable" totalsRowShown="0">
  <autoFilter ref="AX3:AZ103" xr:uid="{0E1DB36B-C239-4A9C-8D79-35068B7119CE}"/>
  <tableColumns count="3">
    <tableColumn id="1" xr3:uid="{60A281AA-8A63-41EC-AF3D-C987B13CB3A0}" uniqueName="1" name="Date" queryTableFieldId="5" dataDxfId="34"/>
    <tableColumn id="2" xr3:uid="{C2462031-06ED-4F03-B950-C20C077C145C}" uniqueName="2" name="Indicators" queryTableFieldId="2"/>
    <tableColumn id="3" xr3:uid="{773D0C4F-A4ED-43FA-A8CA-0663BE54FDC1}" uniqueName="3" name="Value" queryTableFieldId="6" dataDxfId="33" dataCellStyle="Comma"/>
  </tableColumns>
  <tableStyleInfo name="TableStyleLight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7000000}" name="GovBond_Yield" displayName="GovBond_Yield" ref="A3:C4303" tableType="queryTable" totalsRowShown="0">
  <sortState xmlns:xlrd2="http://schemas.microsoft.com/office/spreadsheetml/2017/richdata2" ref="A4:C4303">
    <sortCondition descending="1" ref="A3:A4303"/>
  </sortState>
  <tableColumns count="3">
    <tableColumn id="1" xr3:uid="{00000000-0010-0000-1700-000001000000}" uniqueName="1" name="RptDate" queryTableFieldId="1" dataDxfId="29"/>
    <tableColumn id="2" xr3:uid="{00000000-0010-0000-1700-000002000000}" uniqueName="2" name="Tenor" queryTableFieldId="2"/>
    <tableColumn id="4" xr3:uid="{00000000-0010-0000-1700-000004000000}" uniqueName="4" name="Yield" queryTableFieldId="4"/>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4E5416B-AAB3-4DF1-87E9-8E75B30F5115}" name="TygiaUSD" displayName="TygiaUSD" ref="M3:N433" tableType="queryTable" totalsRowShown="0">
  <sortState xmlns:xlrd2="http://schemas.microsoft.com/office/spreadsheetml/2017/richdata2" ref="M4:N433">
    <sortCondition descending="1" ref="M3:M433"/>
  </sortState>
  <tableColumns count="2">
    <tableColumn id="1" xr3:uid="{8C7255F7-639C-46AF-B5BE-7ADC977F43E0}" uniqueName="1" name="RptDate" queryTableFieldId="1" dataDxfId="20"/>
    <tableColumn id="2" xr3:uid="{6D525AD4-B575-4774-921B-F1494D4D9B6D}" uniqueName="2" name="TygiaUV" queryTableFieldId="9" dataDxfId="19" dataCellStyle="Comma [0]"/>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25BA46E-1ACE-4586-9C7A-CEA1C68AD094}" name="LSLNH_His" displayName="LSLNH_His" ref="E3:G1723" tableType="queryTable" totalsRowShown="0">
  <sortState xmlns:xlrd2="http://schemas.microsoft.com/office/spreadsheetml/2017/richdata2" ref="E4:G1723">
    <sortCondition descending="1" ref="E3:E22"/>
  </sortState>
  <tableColumns count="3">
    <tableColumn id="1" xr3:uid="{779C2FF3-DF72-4C41-90A1-461B34EE19F7}" uniqueName="1" name="RptDate" queryTableFieldId="1" dataDxfId="28"/>
    <tableColumn id="2" xr3:uid="{67E6E5DB-047A-43FA-AEA9-B01AD3C01AC2}" uniqueName="2" name="Indicators" queryTableFieldId="5" dataDxfId="27"/>
    <tableColumn id="3" xr3:uid="{3D14AE3D-EA6C-40CA-9C02-C87D5F31DFF8}" uniqueName="3" name="Average" queryTableFieldId="6" dataDxfId="26" dataCellStyle="Comma"/>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7191829-3FCB-481A-9377-7F5F26C2F7AE}" name="OMO_LR" displayName="OMO_LR" ref="I3:K4358" tableType="queryTable" totalsRowShown="0">
  <tableColumns count="3">
    <tableColumn id="4" xr3:uid="{23790496-8E44-4CC4-875F-5B82CD6AB853}" uniqueName="4" name="Date" queryTableFieldId="7" dataDxfId="25"/>
    <tableColumn id="2" xr3:uid="{6EDF602C-B8FF-4D19-BF62-C90BAFA34160}" uniqueName="2" name="Indicators" queryTableFieldId="5" dataDxfId="24"/>
    <tableColumn id="5" xr3:uid="{C69D28BC-A850-4B76-812E-5EBFDB550075}" uniqueName="5" name="Value" queryTableFieldId="8" dataDxfId="23" dataCellStyle="Comma"/>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28DA5F-9C57-49E2-98B9-CB0FC600F8AC}" name="TygiaUSD6" displayName="TygiaUSD6" ref="A1:B423" tableType="queryTable" totalsRowShown="0">
  <sortState xmlns:xlrd2="http://schemas.microsoft.com/office/spreadsheetml/2017/richdata2" ref="A2:B423">
    <sortCondition descending="1" ref="A3:A425"/>
  </sortState>
  <tableColumns count="2">
    <tableColumn id="1" xr3:uid="{2AA1DC0C-9A69-48FB-96D1-825AD404517C}" uniqueName="1" name="RptDate" queryTableFieldId="1" dataDxfId="71"/>
    <tableColumn id="2" xr3:uid="{53C534B7-DA02-4582-8C85-51E4A63ECA8F}" uniqueName="2" name="TygiaUV" queryTableFieldId="9" dataDxfId="70" dataCellStyle="Comma [0]"/>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37022-11D1-489D-BF29-5F4B110F2733}" name="Available_bond_remain" displayName="Available_bond_remain" ref="H2:M10" tableType="queryTable" headerRowCount="0" totalsRowShown="0">
  <tableColumns count="6">
    <tableColumn id="1" xr3:uid="{1241B3E5-2283-440D-8A17-B021D3E75E1D}" uniqueName="1" name="b. Cơ cấu dự trữ  TPTKC" queryTableFieldId="1" dataDxfId="69"/>
    <tableColumn id="2" xr3:uid="{1BA8B8A2-D632-4FC1-AE8F-9C51A06799A1}" uniqueName="2" name="Mệnh giá" queryTableFieldId="2"/>
    <tableColumn id="3" xr3:uid="{BD4D92F0-B747-49B8-8EB2-6284A9AEB655}" uniqueName="3" name="HLA in Normal" queryTableFieldId="3"/>
    <tableColumn id="4" xr3:uid="{D5EA03E9-3BEE-42C3-9A7A-639856C3AA7C}" uniqueName="4" name="+/-" queryTableFieldId="4"/>
    <tableColumn id="5" xr3:uid="{2AE5C11C-8965-459D-B216-9236518DD943}" uniqueName="5" name="HLA in Stress" queryTableFieldId="5" dataDxfId="68" dataCellStyle="Comma 3"/>
    <tableColumn id="6" xr3:uid="{28D37CD5-435C-4789-B3EB-6CEB3EE863CB}" uniqueName="6" name="Column1" queryTableFieldId="6"/>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EF021F8-7230-48ED-BC5C-30E7C779E652}" name="Available_bond" displayName="Available_bond" ref="A3:F14" tableType="queryTable" headerRowCount="0" totalsRowShown="0" headerRowDxfId="67" dataDxfId="66" tableBorderDxfId="65" headerRowCellStyle="Comma [0]" dataCellStyle="Comma [0]">
  <tableColumns count="6">
    <tableColumn id="1" xr3:uid="{D3213990-C426-458A-A1C8-8BC4970A8347}" uniqueName="1" name="Column1" queryTableFieldId="1" headerRowDxfId="64" headerRowCellStyle="Comma [0]"/>
    <tableColumn id="2" xr3:uid="{A50AC901-BFF1-44A9-93E9-431504B844E9}" uniqueName="2" name="Column2" queryTableFieldId="2" headerRowDxfId="63" dataDxfId="62" headerRowCellStyle="Comma [0]" dataCellStyle="Comma [0]"/>
    <tableColumn id="3" xr3:uid="{38A07547-242D-4FF2-8B40-D800335E1B68}" uniqueName="3" name="Column3" queryTableFieldId="3" headerRowDxfId="61" dataDxfId="60" headerRowCellStyle="Comma [0]" dataCellStyle="Comma [0]"/>
    <tableColumn id="4" xr3:uid="{5A98C114-23D3-418F-929C-B01077C49CA6}" uniqueName="4" name="Column4" queryTableFieldId="4" headerRowDxfId="59" dataDxfId="58" headerRowCellStyle="Comma [0]" dataCellStyle="Comma [0]"/>
    <tableColumn id="5" xr3:uid="{21A9A962-0DB0-43CD-A1BC-8F0F7FF1CE68}" uniqueName="5" name="Column5" queryTableFieldId="5" headerRowDxfId="57" dataDxfId="56" headerRowCellStyle="Comma [0]" dataCellStyle="Comma [0]"/>
    <tableColumn id="6" xr3:uid="{B92B53EB-2591-41A2-B85C-D0DA5991CFB2}" uniqueName="6" name="Column6" queryTableFieldId="6" headerRowDxfId="55" dataDxfId="54" headerRowCellStyle="Comma [0]" dataCellStyle="Comma [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159ED5-CCAB-4272-B29D-4D15668AEF79}" name="BS_FI" displayName="BS_FI" ref="B2:P27" tableType="queryTable" headerRowCount="0" totalsRowShown="0" headerRowDxfId="53" dataDxfId="52">
  <tableColumns count="15">
    <tableColumn id="1" xr3:uid="{8B31847C-432E-4F89-92E7-C5B909A78A78}" uniqueName="1" name="Column2" queryTableFieldId="1" dataDxfId="14"/>
    <tableColumn id="2" xr3:uid="{98D9EF76-0DE8-43EA-AE77-EA117C880C28}" uniqueName="2" name="Column3" queryTableFieldId="2" dataDxfId="13" dataCellStyle="Comma [0]"/>
    <tableColumn id="3" xr3:uid="{9B59683D-9204-4D08-801D-FF4F3A4519F7}" uniqueName="3" name="Column4" queryTableFieldId="3" dataDxfId="12" dataCellStyle="Percent"/>
    <tableColumn id="4" xr3:uid="{AD4E71E7-57AC-458E-BEE4-F74AEB5A6313}" uniqueName="4" name="Column11" queryTableFieldId="4" dataDxfId="11" dataCellStyle="Comma [0]"/>
    <tableColumn id="5" xr3:uid="{7840B298-949B-4713-85E7-CA37A2A4F4DA}" uniqueName="5" name="Column12" queryTableFieldId="5" dataDxfId="10" dataCellStyle="Comma [0]"/>
    <tableColumn id="6" xr3:uid="{70AEEBD0-C9FB-4B57-8B77-C3889392BE4B}" uniqueName="6" name="Column13" queryTableFieldId="6" dataDxfId="9" dataCellStyle="Comma [0]"/>
    <tableColumn id="7" xr3:uid="{85F2F748-AC12-4323-B0E6-FC7F336EB3A6}" uniqueName="7" name="Column29" queryTableFieldId="7" dataDxfId="8" dataCellStyle="Comma [0]"/>
    <tableColumn id="8" xr3:uid="{171969E4-CEB4-4EB4-941E-30AD9F794C0F}" uniqueName="8" name="Column37" queryTableFieldId="8" dataDxfId="7" dataCellStyle="Comma [0]"/>
    <tableColumn id="9" xr3:uid="{CF5F5054-F66B-4E31-B839-0F5BAA57466F}" uniqueName="9" name="Column45" queryTableFieldId="9" dataDxfId="6" dataCellStyle="Comma [0]"/>
    <tableColumn id="10" xr3:uid="{A891C85D-AD82-4549-8850-9C013DA4D528}" uniqueName="10" name="Column6" queryTableFieldId="10" dataDxfId="5" dataCellStyle="Comma [0]"/>
    <tableColumn id="11" xr3:uid="{21167C88-70F3-41C3-B49F-B2047656302D}" uniqueName="11" name="Column7" queryTableFieldId="11" dataDxfId="4" dataCellStyle="Comma [0]"/>
    <tableColumn id="12" xr3:uid="{C177C68A-8C2D-41AC-8D52-676BBE624C81}" uniqueName="12" name="Column8" queryTableFieldId="12" dataDxfId="3" dataCellStyle="Comma [0]"/>
    <tableColumn id="13" xr3:uid="{2699F6A2-9960-4475-99EA-EAED8FF305D8}" uniqueName="13" name="Column9" queryTableFieldId="13" dataDxfId="2" dataCellStyle="Comma [0]"/>
    <tableColumn id="14" xr3:uid="{9483A847-6406-4831-85A7-0F3DDA6814FD}" uniqueName="14" name="Column10" queryTableFieldId="14" dataDxfId="1" dataCellStyle="Comma [0]"/>
    <tableColumn id="15" xr3:uid="{DCD6833A-5B10-49AC-B63B-2E2BF541C537}" uniqueName="15" name="Column5" queryTableFieldId="15" dataDxfId="0" dataCellStyle="Comma [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7DE4DAC-2578-4E43-9639-987DDF7CFC6D}" name="FormatGuide" displayName="FormatGuide" ref="K1:M7" headerRowDxfId="51" headerRowBorderDxfId="50" tableBorderDxfId="49">
  <tableColumns count="3">
    <tableColumn id="1" xr3:uid="{1AE99A57-E552-4D74-9A75-527CCFDF8095}" name="Loại key" dataDxfId="48"/>
    <tableColumn id="2" xr3:uid="{BFD4BD14-61C9-4DCD-8216-D4D44D11D0BB}" name="Ví dụ giá trị hợp lệ" dataDxfId="47"/>
    <tableColumn id="3" xr3:uid="{2AD222BA-38FD-4724-8FE5-CB79C2E5710C}" name="Ghi chú" dataDxfId="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filesrv01.msb.com.vn\06.Khoi%20Quan%20Ly%20Rui%20Ro\02.Trung%20Tam%20QLRR%20Thi%20Truong\02.Phong%20GSRRTT\05.Report\01.Daily%20Report\03.%20QLHS%20&amp;%20VTC\00.Summary_EXCO%20FI.xlsx"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printerSettings" Target="../printerSettings/printerSettings5.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7.bin"/><Relationship Id="rId5" Type="http://schemas.openxmlformats.org/officeDocument/2006/relationships/table" Target="../tables/table19.xml"/><Relationship Id="rId4"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FFFF00"/>
  </sheetPr>
  <dimension ref="A1:H41"/>
  <sheetViews>
    <sheetView showGridLines="0" zoomScaleNormal="100" workbookViewId="0">
      <pane ySplit="1" topLeftCell="A2" activePane="bottomLeft" state="frozen"/>
      <selection pane="bottomLeft" activeCell="A5" sqref="A5"/>
    </sheetView>
  </sheetViews>
  <sheetFormatPr defaultColWidth="9.09765625" defaultRowHeight="14.4"/>
  <cols>
    <col min="1" max="1" width="15.296875" style="7" bestFit="1" customWidth="1"/>
    <col min="2" max="2" width="13.8984375" style="7" customWidth="1"/>
    <col min="3" max="3" width="5.8984375" style="7" customWidth="1"/>
    <col min="4" max="4" width="39.296875" style="312" bestFit="1" customWidth="1"/>
    <col min="5" max="5" width="8.3984375" style="302" customWidth="1"/>
    <col min="6" max="6" width="8.69921875" style="7" bestFit="1" customWidth="1"/>
    <col min="7" max="7" width="13.69921875" style="7" bestFit="1" customWidth="1"/>
    <col min="8" max="8" width="146.59765625" style="7" customWidth="1"/>
    <col min="9" max="16384" width="9.09765625" style="7"/>
  </cols>
  <sheetData>
    <row r="1" spans="1:8">
      <c r="A1" s="19" t="s">
        <v>0</v>
      </c>
      <c r="B1" s="20" t="s">
        <v>1</v>
      </c>
      <c r="D1" s="21" t="s">
        <v>2011</v>
      </c>
      <c r="E1" s="21" t="s">
        <v>106</v>
      </c>
      <c r="G1" s="344" t="s">
        <v>801</v>
      </c>
      <c r="H1" s="314"/>
    </row>
    <row r="2" spans="1:8" ht="115.2">
      <c r="A2" s="308" t="s">
        <v>2</v>
      </c>
      <c r="B2" s="309">
        <v>46290</v>
      </c>
      <c r="D2" s="310" t="s">
        <v>116</v>
      </c>
      <c r="E2" s="303" t="str">
        <f ca="1">IF(
AND(DATEVALUE(BOND!A4)=RPT,DATEVALUE(BOND!G4)=RPT,DATEVALUE(BOND!M4)=RPT,DATEVALUE(BOND!R4)=RPT,DATEVALUE(BOND!X4)=RPT,DATEVALUE(BOND!X4)=RPT,DATEVALUE(BOND!AC4)=RPT,DATEVALUE(BOND!AH4)=RPT,DATEVALUE(BOND!AN4)=RPT,DATEVALUE(BOND!AS4)=RPT,DATEVALUE(BOND!BB4)=RPT,DATEVALUE(BOND!BF4)=RPT,DATEVALUE(BOND!BJ4)=RPT,BOND!AX4=RPT_LR),"OK","CHECK")</f>
        <v>CHECK</v>
      </c>
      <c r="G2" s="303" t="s">
        <v>2017</v>
      </c>
      <c r="H2" s="304" t="s">
        <v>2334</v>
      </c>
    </row>
    <row r="3" spans="1:8">
      <c r="A3" s="308" t="s">
        <v>3</v>
      </c>
      <c r="B3" s="22">
        <f>WORKDAY(B2,-1,0)</f>
        <v>46289</v>
      </c>
      <c r="C3" s="382" t="s">
        <v>20</v>
      </c>
      <c r="D3" s="310" t="s">
        <v>117</v>
      </c>
      <c r="E3" s="303" t="str">
        <f>IF(AND(Market!A4=RPT,Market!E4=RPT,Market!I4=RPT,Market!M4=RPT),"OK","CHECK")</f>
        <v>CHECK</v>
      </c>
      <c r="G3" s="303" t="s">
        <v>307</v>
      </c>
      <c r="H3" s="305" t="s">
        <v>2007</v>
      </c>
    </row>
    <row r="4" spans="1:8" ht="57.6">
      <c r="A4" s="308" t="s">
        <v>4</v>
      </c>
      <c r="B4" s="22">
        <v>46262</v>
      </c>
      <c r="C4" s="7">
        <f>WORKDAY(EOMONTH(RPT,-1)+1, -1)</f>
        <v>46265</v>
      </c>
      <c r="D4" s="310" t="s">
        <v>118</v>
      </c>
      <c r="E4" s="303" t="str">
        <f>IF(MAX(BOND!BN:BN)=Lastmonth,"OK","CHECK")</f>
        <v>OK</v>
      </c>
      <c r="F4" s="394"/>
      <c r="G4" s="303" t="s">
        <v>308</v>
      </c>
      <c r="H4" s="305" t="s">
        <v>2045</v>
      </c>
    </row>
    <row r="5" spans="1:8">
      <c r="A5" s="308" t="s">
        <v>5</v>
      </c>
      <c r="B5" s="23">
        <v>45657</v>
      </c>
      <c r="D5" s="310" t="s">
        <v>2046</v>
      </c>
      <c r="E5" s="307">
        <f>-SUMIFS(BOND!$AA:$AA,BOND!$Z:$Z,"",BOND!$X:$X,RPT)</f>
        <v>1633.9372969816</v>
      </c>
      <c r="F5" s="366">
        <f>E5+SUMIFS(BOND!$AA:$AA,BOND!$Z:$Z,"",BOND!$X:$X,Yesterday)</f>
        <v>-0.36099488290005866</v>
      </c>
      <c r="G5" s="303" t="s">
        <v>309</v>
      </c>
      <c r="H5" s="305" t="s">
        <v>2008</v>
      </c>
    </row>
    <row r="6" spans="1:8" ht="43.2">
      <c r="A6" s="308" t="s">
        <v>6</v>
      </c>
      <c r="B6" s="22">
        <f>RPT-WEEKDAY(RPT)-1</f>
        <v>46283</v>
      </c>
      <c r="D6" s="365" t="s">
        <v>2047</v>
      </c>
      <c r="E6" s="307">
        <f>SUMIFS(BOND!$AQ:$AQ,BOND!$AN:$AN,RPT)</f>
        <v>39414.404855299596</v>
      </c>
      <c r="F6" s="366">
        <f>E6-SUMIFS(BOND!$AQ:$AQ,BOND!$AN:$AN,Yesterday)</f>
        <v>-0.44888721190363867</v>
      </c>
      <c r="G6" s="303" t="s">
        <v>310</v>
      </c>
      <c r="H6" s="305" t="s">
        <v>2048</v>
      </c>
    </row>
    <row r="7" spans="1:8">
      <c r="A7" s="308" t="s">
        <v>1986</v>
      </c>
      <c r="B7" s="311" t="str">
        <f ca="1">"\\filesrv01.msb.com.vn\06.Khoi Quan Ly Rui Ro\02.Trung Tam QLRR Thi Truong\03.Phong QLRRTK\Daily Report\LR_"&amp;TEXT(RPT_LR,"yyyy.mm.dd")&amp;"\MCO Report\Available bond_v5_"&amp;TEXT(RPT_LR,"yyyy.mm.dd")&amp;".xlsm"</f>
        <v>\\filesrv01.msb.com.vn\06.Khoi Quan Ly Rui Ro\02.Trung Tam QLRR Thi Truong\03.Phong QLRRTK\Daily Report\LR_2026.09.28\MCO Report\Available bond_v5_2026.09.28.xlsm</v>
      </c>
      <c r="C7" s="7" t="s">
        <v>49</v>
      </c>
      <c r="D7" s="310" t="s">
        <v>2012</v>
      </c>
      <c r="E7" s="307">
        <f ca="1">ROUND(SUMIFS(BOND!$AZ:$AZ,BOND!AY:AY,"Face_HLA",BOND!AX:AX,RPT_LR),0)</f>
        <v>10769</v>
      </c>
      <c r="F7" s="368">
        <f ca="1">ROUND(SUMIFS(BOND!$AZ:$AZ,BOND!$AY:$AY,"Face_HLA",BOND!$AX:$AX,RPT_LR)-SUMIFS(BOND!$AZ:$AZ,BOND!$AY:$AY,"Face_HLA",BOND!$AX:$AX,RPT_LR1),0)</f>
        <v>-4560</v>
      </c>
      <c r="G7" s="303" t="s">
        <v>311</v>
      </c>
      <c r="H7" s="305" t="s">
        <v>293</v>
      </c>
    </row>
    <row r="8" spans="1:8" ht="57.6">
      <c r="A8" s="308" t="s">
        <v>7</v>
      </c>
      <c r="B8" s="23">
        <v>46203</v>
      </c>
      <c r="D8" s="310" t="s">
        <v>2013</v>
      </c>
      <c r="E8" s="307">
        <f ca="1">Executive!D78</f>
        <v>10300</v>
      </c>
      <c r="F8" s="392">
        <f ca="1">E7/E8</f>
        <v>1.0455339805825243</v>
      </c>
      <c r="G8" s="303" t="s">
        <v>312</v>
      </c>
      <c r="H8" s="305" t="s">
        <v>2049</v>
      </c>
    </row>
    <row r="9" spans="1:8">
      <c r="A9" s="308" t="s">
        <v>101</v>
      </c>
      <c r="B9" s="383" t="s">
        <v>2305</v>
      </c>
      <c r="C9" s="7" t="s">
        <v>49</v>
      </c>
      <c r="D9" s="389" t="s">
        <v>2322</v>
      </c>
      <c r="E9" s="390">
        <f>Executive!D19</f>
        <v>17513</v>
      </c>
      <c r="F9" s="393">
        <f>E9/20000</f>
        <v>0.87565000000000004</v>
      </c>
      <c r="G9" s="303" t="s">
        <v>313</v>
      </c>
      <c r="H9" s="305" t="s">
        <v>2009</v>
      </c>
    </row>
    <row r="10" spans="1:8" ht="43.2">
      <c r="A10" s="310" t="s">
        <v>1987</v>
      </c>
      <c r="B10" s="313" t="str">
        <f ca="1">"\\filesrv01.msb.com.vn\06.Khoi Quan Ly Rui Ro\02.Trung Tam QLRR Thi Truong\03.Phong QLRRTK\Daily Report\LR_"&amp;TEXT(RPT_LR,"yyyy.mm.dd")&amp;"\MCO Report\BalanceSheet_FI_v2_"&amp;TEXT(RPT_LR,"yyyy.mm.dd")&amp;".xlsm"</f>
        <v>\\filesrv01.msb.com.vn\06.Khoi Quan Ly Rui Ro\02.Trung Tam QLRR Thi Truong\03.Phong QLRRTK\Daily Report\LR_2026.09.28\MCO Report\BalanceSheet_FI_v2_2026.09.28.xlsm</v>
      </c>
      <c r="C10" s="7" t="s">
        <v>49</v>
      </c>
      <c r="E10" s="381"/>
      <c r="G10" s="303" t="s">
        <v>314</v>
      </c>
      <c r="H10" s="305" t="s">
        <v>2010</v>
      </c>
    </row>
    <row r="11" spans="1:8">
      <c r="A11" s="308" t="s">
        <v>2014</v>
      </c>
      <c r="B11" s="311" t="str">
        <f>"\\filesrv01.msb.com.vn\06.Khoi Quan Ly Rui Ro\02.Trung Tam QLRR Thi Truong\02.Phong GSRRTT\05.Report\01.Daily Report\"&amp;TEXT(RPT,"yyyy.mm.dd")&amp;"\DAILY MR REPORT\Import_data.csv"</f>
        <v>\\filesrv01.msb.com.vn\06.Khoi Quan Ly Rui Ro\02.Trung Tam QLRR Thi Truong\02.Phong GSRRTT\05.Report\01.Daily Report\2026.09.25\DAILY MR REPORT\Import_data.csv</v>
      </c>
      <c r="C11" s="7" t="s">
        <v>49</v>
      </c>
      <c r="G11" s="310" t="s">
        <v>164</v>
      </c>
      <c r="H11" s="310" t="s">
        <v>2050</v>
      </c>
    </row>
    <row r="12" spans="1:8">
      <c r="A12" s="308" t="s">
        <v>199</v>
      </c>
      <c r="B12" s="356">
        <f ca="1">TODAY()-1</f>
        <v>46293</v>
      </c>
      <c r="C12" s="7" t="s">
        <v>49</v>
      </c>
    </row>
    <row r="13" spans="1:8">
      <c r="A13" s="308" t="s">
        <v>202</v>
      </c>
      <c r="B13" s="356">
        <f ca="1">IF(WEEKDAY(RPT_LR)=1,RPT_LR-3,RPT_LR-1)</f>
        <v>46292</v>
      </c>
    </row>
    <row r="14" spans="1:8">
      <c r="A14" s="355" t="s">
        <v>2015</v>
      </c>
      <c r="B14" s="315" t="str">
        <f>"Daily market risk report_"&amp;TEXT(RPT,"yyyy.mm.dd")&amp;".xlsb"</f>
        <v>Daily market risk report_2026.09.25.xlsb</v>
      </c>
      <c r="C14" s="7" t="s">
        <v>49</v>
      </c>
    </row>
    <row r="15" spans="1:8">
      <c r="B15" s="25"/>
      <c r="C15" s="7" t="s">
        <v>49</v>
      </c>
    </row>
    <row r="16" spans="1:8">
      <c r="A16" s="7" t="s">
        <v>49</v>
      </c>
    </row>
    <row r="19" spans="2:2">
      <c r="B19" s="311"/>
    </row>
    <row r="25" spans="2:2">
      <c r="B25" s="310"/>
    </row>
    <row r="28" spans="2:2">
      <c r="B28" s="93"/>
    </row>
    <row r="29" spans="2:2">
      <c r="B29" s="93"/>
    </row>
    <row r="30" spans="2:2">
      <c r="B30" s="94"/>
    </row>
    <row r="31" spans="2:2">
      <c r="B31" s="95"/>
    </row>
    <row r="32" spans="2:2">
      <c r="B32" s="94"/>
    </row>
    <row r="33" spans="2:2">
      <c r="B33" s="95"/>
    </row>
    <row r="34" spans="2:2">
      <c r="B34" s="25"/>
    </row>
    <row r="35" spans="2:2">
      <c r="B35" s="25"/>
    </row>
    <row r="36" spans="2:2">
      <c r="B36" s="25"/>
    </row>
    <row r="37" spans="2:2">
      <c r="B37" s="25"/>
    </row>
    <row r="38" spans="2:2">
      <c r="B38" s="25"/>
    </row>
    <row r="39" spans="2:2">
      <c r="B39" s="25"/>
    </row>
    <row r="40" spans="2:2">
      <c r="B40" s="25"/>
    </row>
    <row r="41" spans="2:2">
      <c r="B41" s="25"/>
    </row>
  </sheetData>
  <conditionalFormatting sqref="E24:E1048576 G1:G10 E1:E8 E10:E13 F8">
    <cfRule type="containsText" dxfId="22" priority="1" operator="containsText" text="CHECK">
      <formula>NOT(ISERROR(SEARCH("CHECK",E1)))</formula>
    </cfRule>
  </conditionalFormatting>
  <hyperlinks>
    <hyperlink ref="B9" r:id="rId1" xr:uid="{B9CBFB2C-8DD7-4F06-96A6-3A8DEC171272}"/>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C42"/>
  <sheetViews>
    <sheetView workbookViewId="0">
      <pane ySplit="1" topLeftCell="A24" activePane="bottomLeft" state="frozen"/>
      <selection pane="bottomLeft" activeCell="F49" sqref="F49"/>
    </sheetView>
  </sheetViews>
  <sheetFormatPr defaultColWidth="9.09765625" defaultRowHeight="14.4"/>
  <cols>
    <col min="1" max="1" width="10.8984375" style="13" bestFit="1" customWidth="1"/>
    <col min="2" max="2" width="93.8984375" style="7" customWidth="1"/>
    <col min="3" max="16384" width="9.09765625" style="7"/>
  </cols>
  <sheetData>
    <row r="1" spans="1:3">
      <c r="A1" s="16" t="s">
        <v>54</v>
      </c>
      <c r="B1" s="15" t="s">
        <v>50</v>
      </c>
      <c r="C1" s="15" t="s">
        <v>51</v>
      </c>
    </row>
    <row r="2" spans="1:3">
      <c r="A2" s="13">
        <v>45495</v>
      </c>
      <c r="B2" s="7" t="s">
        <v>52</v>
      </c>
      <c r="C2" s="7" t="s">
        <v>53</v>
      </c>
    </row>
    <row r="3" spans="1:3">
      <c r="A3" s="13">
        <v>45525</v>
      </c>
      <c r="B3" s="7" t="s">
        <v>56</v>
      </c>
      <c r="C3" s="7" t="s">
        <v>53</v>
      </c>
    </row>
    <row r="4" spans="1:3">
      <c r="A4" s="13">
        <v>45554</v>
      </c>
      <c r="B4" s="7" t="s">
        <v>57</v>
      </c>
      <c r="C4" s="7" t="s">
        <v>53</v>
      </c>
    </row>
    <row r="5" spans="1:3">
      <c r="A5" s="13">
        <v>45555</v>
      </c>
      <c r="B5" s="7" t="s">
        <v>58</v>
      </c>
      <c r="C5" s="7" t="s">
        <v>53</v>
      </c>
    </row>
    <row r="6" spans="1:3">
      <c r="A6" s="13">
        <v>45587</v>
      </c>
      <c r="B6" s="12" t="s">
        <v>59</v>
      </c>
      <c r="C6" s="7" t="s">
        <v>53</v>
      </c>
    </row>
    <row r="7" spans="1:3" ht="28.8">
      <c r="A7" s="13">
        <v>45604</v>
      </c>
      <c r="B7" s="12" t="s">
        <v>60</v>
      </c>
      <c r="C7" s="7" t="s">
        <v>53</v>
      </c>
    </row>
    <row r="8" spans="1:3" ht="43.2">
      <c r="A8" s="13">
        <v>45623</v>
      </c>
      <c r="B8" s="12" t="s">
        <v>61</v>
      </c>
      <c r="C8" s="7" t="s">
        <v>53</v>
      </c>
    </row>
    <row r="9" spans="1:3">
      <c r="A9" s="13">
        <v>45630</v>
      </c>
      <c r="B9" s="12" t="s">
        <v>62</v>
      </c>
      <c r="C9" s="7" t="s">
        <v>53</v>
      </c>
    </row>
    <row r="10" spans="1:3" ht="43.2">
      <c r="A10" s="13">
        <v>45636</v>
      </c>
      <c r="B10" s="12" t="s">
        <v>63</v>
      </c>
      <c r="C10" s="7" t="s">
        <v>53</v>
      </c>
    </row>
    <row r="11" spans="1:3">
      <c r="A11" s="13">
        <v>45311</v>
      </c>
      <c r="B11" s="7" t="s">
        <v>64</v>
      </c>
      <c r="C11" s="7" t="s">
        <v>53</v>
      </c>
    </row>
    <row r="12" spans="1:3">
      <c r="A12" s="13">
        <v>45335</v>
      </c>
      <c r="B12" s="12" t="s">
        <v>69</v>
      </c>
      <c r="C12" s="7" t="s">
        <v>53</v>
      </c>
    </row>
    <row r="13" spans="1:3">
      <c r="A13" s="13">
        <v>45709</v>
      </c>
      <c r="B13" s="12" t="s">
        <v>71</v>
      </c>
      <c r="C13" s="7" t="s">
        <v>70</v>
      </c>
    </row>
    <row r="14" spans="1:3" ht="28.8">
      <c r="A14" s="13">
        <v>45714</v>
      </c>
      <c r="B14" s="12" t="s">
        <v>76</v>
      </c>
      <c r="C14" s="7" t="s">
        <v>53</v>
      </c>
    </row>
    <row r="15" spans="1:3">
      <c r="A15" s="13">
        <v>45714</v>
      </c>
      <c r="B15" s="7" t="s">
        <v>73</v>
      </c>
      <c r="C15" s="7" t="s">
        <v>53</v>
      </c>
    </row>
    <row r="16" spans="1:3" ht="43.2">
      <c r="A16" s="13">
        <v>45769</v>
      </c>
      <c r="B16" s="12" t="s">
        <v>74</v>
      </c>
      <c r="C16" s="7" t="s">
        <v>53</v>
      </c>
    </row>
    <row r="17" spans="1:3">
      <c r="A17" s="13">
        <v>45769</v>
      </c>
      <c r="B17" s="7" t="s">
        <v>75</v>
      </c>
      <c r="C17" s="7" t="s">
        <v>53</v>
      </c>
    </row>
    <row r="18" spans="1:3">
      <c r="A18" s="13">
        <v>45790</v>
      </c>
      <c r="B18" s="7" t="s">
        <v>77</v>
      </c>
      <c r="C18" s="7" t="s">
        <v>53</v>
      </c>
    </row>
    <row r="19" spans="1:3" ht="28.8">
      <c r="A19" s="13">
        <v>45806</v>
      </c>
      <c r="B19" s="12" t="s">
        <v>78</v>
      </c>
    </row>
    <row r="20" spans="1:3">
      <c r="A20" s="13">
        <v>45820</v>
      </c>
      <c r="B20" s="7" t="s">
        <v>79</v>
      </c>
      <c r="C20" s="7" t="s">
        <v>53</v>
      </c>
    </row>
    <row r="21" spans="1:3">
      <c r="A21" s="13">
        <v>45841</v>
      </c>
      <c r="B21" s="7" t="s">
        <v>80</v>
      </c>
      <c r="C21" s="7" t="s">
        <v>53</v>
      </c>
    </row>
    <row r="22" spans="1:3">
      <c r="A22" s="13">
        <v>45852</v>
      </c>
      <c r="B22" s="7" t="s">
        <v>82</v>
      </c>
      <c r="C22" s="7" t="s">
        <v>53</v>
      </c>
    </row>
    <row r="23" spans="1:3">
      <c r="A23" s="13">
        <v>45854</v>
      </c>
      <c r="B23" s="7" t="s">
        <v>84</v>
      </c>
      <c r="C23" s="7" t="s">
        <v>53</v>
      </c>
    </row>
    <row r="24" spans="1:3">
      <c r="A24" s="13">
        <v>45855</v>
      </c>
      <c r="B24" s="7" t="s">
        <v>85</v>
      </c>
      <c r="C24" s="7" t="s">
        <v>70</v>
      </c>
    </row>
    <row r="25" spans="1:3">
      <c r="A25" s="13">
        <v>45859</v>
      </c>
      <c r="B25" s="7" t="s">
        <v>89</v>
      </c>
      <c r="C25" s="7" t="s">
        <v>53</v>
      </c>
    </row>
    <row r="26" spans="1:3">
      <c r="A26" s="13">
        <v>45869</v>
      </c>
      <c r="B26" s="7" t="s">
        <v>91</v>
      </c>
      <c r="C26" s="7" t="s">
        <v>53</v>
      </c>
    </row>
    <row r="27" spans="1:3">
      <c r="A27" s="13">
        <v>45880</v>
      </c>
      <c r="B27" s="7" t="s">
        <v>92</v>
      </c>
      <c r="C27" s="7" t="s">
        <v>53</v>
      </c>
    </row>
    <row r="28" spans="1:3">
      <c r="A28" s="13">
        <v>45896</v>
      </c>
      <c r="B28" s="7" t="s">
        <v>93</v>
      </c>
      <c r="C28" s="7" t="s">
        <v>53</v>
      </c>
    </row>
    <row r="29" spans="1:3" ht="28.8">
      <c r="A29" s="13">
        <v>45946</v>
      </c>
      <c r="B29" s="12" t="s">
        <v>94</v>
      </c>
      <c r="C29" s="7" t="s">
        <v>53</v>
      </c>
    </row>
    <row r="30" spans="1:3" ht="28.8">
      <c r="A30" s="13">
        <v>45951</v>
      </c>
      <c r="B30" s="12" t="s">
        <v>95</v>
      </c>
      <c r="C30" s="7" t="s">
        <v>53</v>
      </c>
    </row>
    <row r="31" spans="1:3">
      <c r="A31" s="13">
        <v>45978</v>
      </c>
      <c r="B31" s="7" t="s">
        <v>96</v>
      </c>
      <c r="C31" s="7" t="s">
        <v>70</v>
      </c>
    </row>
    <row r="32" spans="1:3">
      <c r="A32" s="13">
        <v>45994</v>
      </c>
      <c r="B32" s="7" t="s">
        <v>97</v>
      </c>
      <c r="C32" s="7" t="s">
        <v>70</v>
      </c>
    </row>
    <row r="33" spans="1:3">
      <c r="A33" s="13">
        <v>46050</v>
      </c>
      <c r="B33" s="7" t="s">
        <v>112</v>
      </c>
      <c r="C33" s="7" t="s">
        <v>70</v>
      </c>
    </row>
    <row r="34" spans="1:3">
      <c r="A34" s="13">
        <v>46083</v>
      </c>
      <c r="B34" s="7" t="s">
        <v>119</v>
      </c>
      <c r="C34" s="7" t="s">
        <v>70</v>
      </c>
    </row>
    <row r="35" spans="1:3">
      <c r="A35" s="13">
        <v>46107</v>
      </c>
      <c r="B35" s="7" t="s">
        <v>121</v>
      </c>
      <c r="C35" s="7" t="s">
        <v>70</v>
      </c>
    </row>
    <row r="36" spans="1:3">
      <c r="A36" s="26">
        <v>46133</v>
      </c>
      <c r="B36" s="27" t="s">
        <v>122</v>
      </c>
      <c r="C36" s="7" t="s">
        <v>70</v>
      </c>
    </row>
    <row r="37" spans="1:3">
      <c r="A37" s="13">
        <v>46155</v>
      </c>
      <c r="B37" s="7" t="s">
        <v>123</v>
      </c>
      <c r="C37" s="7" t="s">
        <v>70</v>
      </c>
    </row>
    <row r="38" spans="1:3">
      <c r="A38" s="13">
        <v>46178</v>
      </c>
      <c r="B38" s="7" t="s">
        <v>266</v>
      </c>
      <c r="C38" s="7" t="s">
        <v>267</v>
      </c>
    </row>
    <row r="39" spans="1:3" ht="43.2">
      <c r="A39" s="13">
        <v>46184</v>
      </c>
      <c r="B39" s="12" t="s">
        <v>264</v>
      </c>
      <c r="C39" s="7" t="s">
        <v>70</v>
      </c>
    </row>
    <row r="40" spans="1:3">
      <c r="A40" s="13">
        <v>46191</v>
      </c>
      <c r="B40" s="7" t="s">
        <v>280</v>
      </c>
      <c r="C40" s="7" t="s">
        <v>70</v>
      </c>
    </row>
    <row r="41" spans="1:3">
      <c r="A41" s="13">
        <v>46246</v>
      </c>
      <c r="B41" s="7" t="s">
        <v>2027</v>
      </c>
      <c r="C41" s="7" t="s">
        <v>70</v>
      </c>
    </row>
    <row r="42" spans="1:3">
      <c r="A42" s="13">
        <v>46259</v>
      </c>
      <c r="B42" s="7" t="s">
        <v>2037</v>
      </c>
      <c r="C42" s="7" t="s">
        <v>70</v>
      </c>
    </row>
  </sheetData>
  <conditionalFormatting sqref="A1:C1048576">
    <cfRule type="expression" dxfId="21" priority="294">
      <formula>$A1&lt;&gt;""</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11EC-1C9A-4C7E-A5BC-1C6443D4831A}">
  <sheetPr codeName="Sheet9">
    <tabColor rgb="FFFF0000"/>
  </sheetPr>
  <dimension ref="A1:J848"/>
  <sheetViews>
    <sheetView zoomScaleNormal="100" workbookViewId="0">
      <pane ySplit="1" topLeftCell="A89" activePane="bottomLeft" state="frozen"/>
      <selection pane="bottomLeft" activeCell="B102" sqref="B102"/>
    </sheetView>
  </sheetViews>
  <sheetFormatPr defaultColWidth="9.09765625" defaultRowHeight="13.85" outlineLevelRow="1"/>
  <cols>
    <col min="1" max="1" width="9.09765625" style="360"/>
    <col min="2" max="2" width="26.59765625" style="137" customWidth="1"/>
    <col min="3" max="3" width="58.69921875" style="151" customWidth="1"/>
    <col min="4" max="4" width="27.3984375" style="137" customWidth="1"/>
    <col min="5" max="5" width="32.59765625" style="137" customWidth="1"/>
    <col min="6" max="6" width="34.296875" style="137" customWidth="1"/>
    <col min="7" max="7" width="9.09765625" style="137"/>
    <col min="8" max="8" width="9.69921875" style="137" bestFit="1" customWidth="1"/>
    <col min="9" max="9" width="31" style="137" bestFit="1" customWidth="1"/>
    <col min="10" max="10" width="56.59765625" style="137" bestFit="1" customWidth="1"/>
    <col min="11" max="16384" width="9.09765625" style="137"/>
  </cols>
  <sheetData>
    <row r="1" spans="1:10">
      <c r="A1" s="359" t="s">
        <v>47</v>
      </c>
      <c r="B1" s="141" t="s">
        <v>124</v>
      </c>
      <c r="C1" s="143" t="s">
        <v>106</v>
      </c>
      <c r="D1" s="141" t="s">
        <v>2311</v>
      </c>
      <c r="E1" s="141" t="s">
        <v>911</v>
      </c>
      <c r="F1" s="141" t="s">
        <v>912</v>
      </c>
      <c r="H1" s="378"/>
      <c r="I1" s="378"/>
      <c r="J1" s="378"/>
    </row>
    <row r="2" spans="1:10" outlineLevel="1">
      <c r="A2" s="153">
        <f t="shared" ref="A2:A65" si="0">RPT</f>
        <v>46290</v>
      </c>
      <c r="B2" s="138" t="s">
        <v>919</v>
      </c>
      <c r="C2" s="144" t="str">
        <f>'AI module'!B2</f>
        <v>Góc tham khảo: AI sẽ nói gì về MLIR hôm nay :)?</v>
      </c>
      <c r="D2" s="138" t="s">
        <v>920</v>
      </c>
      <c r="E2" s="138" t="s">
        <v>921</v>
      </c>
      <c r="F2" s="138" t="s">
        <v>922</v>
      </c>
      <c r="H2" s="379"/>
      <c r="I2" s="379"/>
      <c r="J2" s="379"/>
    </row>
    <row r="3" spans="1:10" outlineLevel="1">
      <c r="A3" s="153">
        <f t="shared" si="0"/>
        <v>46290</v>
      </c>
      <c r="B3" s="138" t="s">
        <v>929</v>
      </c>
      <c r="C3" s="144" t="str">
        <f>'AI module'!B3</f>
        <v>AI khuyến nghị hành động trong ngày</v>
      </c>
      <c r="D3" s="138" t="s">
        <v>920</v>
      </c>
      <c r="E3" s="138" t="s">
        <v>930</v>
      </c>
      <c r="F3" s="138"/>
      <c r="H3" s="379"/>
      <c r="I3" s="379"/>
      <c r="J3" s="379"/>
    </row>
    <row r="4" spans="1:10" outlineLevel="1">
      <c r="A4" s="153">
        <f t="shared" si="0"/>
        <v>46290</v>
      </c>
      <c r="B4" s="138" t="s">
        <v>935</v>
      </c>
      <c r="C4" s="144" t="str">
        <f>'AI module'!B4</f>
        <v>Tự động rà soát dữ liệu hiện có sau import để tạo checklist ngắn gọn theo từng góc nhìn quản trị.</v>
      </c>
      <c r="D4" s="138" t="s">
        <v>920</v>
      </c>
      <c r="E4" s="138" t="s">
        <v>936</v>
      </c>
      <c r="F4" s="138"/>
      <c r="H4" s="379"/>
      <c r="I4" s="379"/>
      <c r="J4" s="379"/>
    </row>
    <row r="5" spans="1:10" outlineLevel="1">
      <c r="A5" s="153">
        <f t="shared" si="0"/>
        <v>46290</v>
      </c>
      <c r="B5" s="138" t="s">
        <v>941</v>
      </c>
      <c r="C5" s="144" t="str">
        <f>'AI module'!B5</f>
        <v>Market Risk AI</v>
      </c>
      <c r="D5" s="138" t="s">
        <v>920</v>
      </c>
      <c r="E5" s="138" t="s">
        <v>942</v>
      </c>
      <c r="F5" s="138"/>
      <c r="H5" s="379"/>
      <c r="I5" s="379"/>
      <c r="J5" s="379"/>
    </row>
    <row r="6" spans="1:10" outlineLevel="1">
      <c r="A6" s="153">
        <f t="shared" si="0"/>
        <v>46290</v>
      </c>
      <c r="B6" s="138" t="s">
        <v>947</v>
      </c>
      <c r="C6" s="144" t="str">
        <f>'AI module'!B6</f>
        <v>What does AI recommend for risk Today?</v>
      </c>
      <c r="D6" s="138" t="s">
        <v>920</v>
      </c>
      <c r="E6" s="138" t="s">
        <v>948</v>
      </c>
      <c r="F6" s="138"/>
      <c r="H6" s="379"/>
      <c r="I6" s="379"/>
      <c r="J6" s="379"/>
    </row>
    <row r="7" spans="1:10" outlineLevel="1">
      <c r="A7" s="153">
        <f t="shared" si="0"/>
        <v>46290</v>
      </c>
      <c r="B7" s="138" t="s">
        <v>953</v>
      </c>
      <c r="C7" s="144" t="str">
        <f>'AI module'!B7</f>
        <v>&lt;b&gt;Disclaimer:&lt;/b&gt; Đây là nội dung gen tự động từ AI, chỉ để người đọc trải nghiệm và tham khảo thông tin gợi ý/lưu ý từ góc nhìn của AI. Không phải là khuyến nghị chính thức của QLRRTT&amp;TK</v>
      </c>
      <c r="D7" s="138" t="s">
        <v>920</v>
      </c>
      <c r="E7" s="138" t="s">
        <v>954</v>
      </c>
      <c r="F7" s="138"/>
      <c r="H7" s="379"/>
      <c r="I7" s="379"/>
      <c r="J7" s="379"/>
    </row>
    <row r="8" spans="1:10" outlineLevel="1">
      <c r="A8" s="153">
        <f t="shared" si="0"/>
        <v>46290</v>
      </c>
      <c r="B8" s="138" t="s">
        <v>960</v>
      </c>
      <c r="C8" s="144" t="str">
        <f>'AI module'!B8</f>
        <v>Mỗi lần bấm Generate, module sẽ rà soát lại dữ liệu đang hiển thị về Trading Gbond, MtM, Banking Gbond, Bond&amp;CD-FI, Market II, thị trường và OMO để tạo checklist mới, không dùng lại checklist đã lưu trước đó.</v>
      </c>
      <c r="D8" s="138" t="s">
        <v>920</v>
      </c>
      <c r="E8" s="138" t="s">
        <v>961</v>
      </c>
      <c r="F8" s="138"/>
      <c r="H8" s="379"/>
      <c r="I8" s="379"/>
      <c r="J8" s="379"/>
    </row>
    <row r="9" spans="1:10" outlineLevel="1">
      <c r="A9" s="153">
        <f t="shared" si="0"/>
        <v>46290</v>
      </c>
      <c r="B9" s="138" t="s">
        <v>963</v>
      </c>
      <c r="C9" s="144" t="str">
        <f>'AI module'!B9</f>
        <v>Back</v>
      </c>
      <c r="D9" s="138" t="s">
        <v>920</v>
      </c>
      <c r="E9" s="138" t="s">
        <v>964</v>
      </c>
      <c r="F9" s="138"/>
      <c r="H9" s="379"/>
      <c r="I9" s="379"/>
      <c r="J9" s="379"/>
    </row>
    <row r="10" spans="1:10" outlineLevel="1">
      <c r="A10" s="153">
        <f t="shared" si="0"/>
        <v>46290</v>
      </c>
      <c r="B10" s="138" t="s">
        <v>966</v>
      </c>
      <c r="C10" s="144" t="str">
        <f>'AI module'!B10</f>
        <v>View lãnh đạo</v>
      </c>
      <c r="D10" s="138" t="s">
        <v>920</v>
      </c>
      <c r="E10" s="138" t="s">
        <v>967</v>
      </c>
      <c r="F10" s="138"/>
      <c r="H10" s="379"/>
      <c r="I10" s="379"/>
      <c r="J10" s="379"/>
    </row>
    <row r="11" spans="1:10" outlineLevel="1">
      <c r="A11" s="153">
        <f t="shared" si="0"/>
        <v>46290</v>
      </c>
      <c r="B11" s="138" t="s">
        <v>969</v>
      </c>
      <c r="C11" s="144" t="str">
        <f>'AI module'!B11</f>
        <v>View giám sát/khuyến nghị</v>
      </c>
      <c r="D11" s="138" t="s">
        <v>920</v>
      </c>
      <c r="E11" s="138" t="s">
        <v>970</v>
      </c>
      <c r="F11" s="138"/>
      <c r="H11" s="379"/>
      <c r="I11" s="379"/>
      <c r="J11" s="379"/>
    </row>
    <row r="12" spans="1:10" outlineLevel="1">
      <c r="A12" s="153">
        <f t="shared" si="0"/>
        <v>46290</v>
      </c>
      <c r="B12" s="138" t="s">
        <v>972</v>
      </c>
      <c r="C12" s="144" t="str">
        <f>'AI module'!B12</f>
        <v>View đơn vị thực hiện</v>
      </c>
      <c r="D12" s="138" t="s">
        <v>920</v>
      </c>
      <c r="E12" s="138" t="s">
        <v>973</v>
      </c>
      <c r="F12" s="138"/>
      <c r="H12" s="379"/>
      <c r="I12" s="379"/>
      <c r="J12" s="379"/>
    </row>
    <row r="13" spans="1:10" outlineLevel="1">
      <c r="A13" s="153">
        <f t="shared" si="0"/>
        <v>46290</v>
      </c>
      <c r="B13" s="138" t="s">
        <v>975</v>
      </c>
      <c r="C13" s="144" t="str">
        <f>'AI module'!B13</f>
        <v>Xóa checklist hiện tại</v>
      </c>
      <c r="D13" s="138" t="s">
        <v>920</v>
      </c>
      <c r="E13" s="138" t="s">
        <v>976</v>
      </c>
      <c r="F13" s="138"/>
      <c r="H13" s="379"/>
      <c r="I13" s="379"/>
      <c r="J13" s="379"/>
    </row>
    <row r="14" spans="1:10" outlineLevel="1">
      <c r="A14" s="153">
        <f t="shared" si="0"/>
        <v>46290</v>
      </c>
      <c r="B14" s="138" t="s">
        <v>977</v>
      </c>
      <c r="C14" s="144" t="str">
        <f>'AI module'!B14</f>
        <v>Generate new risk recommendation</v>
      </c>
      <c r="D14" s="138" t="s">
        <v>920</v>
      </c>
      <c r="E14" s="138" t="s">
        <v>978</v>
      </c>
      <c r="F14" s="138"/>
      <c r="H14" s="379"/>
      <c r="I14" s="379"/>
      <c r="J14" s="379"/>
    </row>
    <row r="15" spans="1:10" outlineLevel="1">
      <c r="A15" s="153">
        <f t="shared" si="0"/>
        <v>46290</v>
      </c>
      <c r="B15" s="138" t="s">
        <v>980</v>
      </c>
      <c r="C15" s="144" t="str">
        <f>'AI module'!B15</f>
        <v>Chưa sinh khuyến nghị</v>
      </c>
      <c r="D15" s="138" t="s">
        <v>920</v>
      </c>
      <c r="E15" s="138" t="s">
        <v>981</v>
      </c>
      <c r="F15" s="138"/>
      <c r="H15" s="379"/>
      <c r="I15" s="379"/>
      <c r="J15" s="379"/>
    </row>
    <row r="16" spans="1:10" outlineLevel="1">
      <c r="A16" s="153">
        <f t="shared" si="0"/>
        <v>46290</v>
      </c>
      <c r="B16" s="138" t="s">
        <v>983</v>
      </c>
      <c r="C16" s="144" t="str">
        <f>'AI module'!B16</f>
        <v>Đã xóa checklist hiện tại</v>
      </c>
      <c r="D16" s="138" t="s">
        <v>920</v>
      </c>
      <c r="E16" s="138" t="s">
        <v>984</v>
      </c>
      <c r="F16" s="138"/>
      <c r="H16" s="379"/>
      <c r="I16" s="379"/>
      <c r="J16" s="379"/>
    </row>
    <row r="17" spans="1:10" outlineLevel="1">
      <c r="A17" s="153">
        <f t="shared" si="0"/>
        <v>46290</v>
      </c>
      <c r="B17" s="138" t="s">
        <v>986</v>
      </c>
      <c r="C17" s="144" t="str">
        <f>'AI module'!B17</f>
        <v>Chưa có checklist trong phiên hiện tại.</v>
      </c>
      <c r="D17" s="138" t="s">
        <v>920</v>
      </c>
      <c r="E17" s="138" t="s">
        <v>987</v>
      </c>
      <c r="F17" s="138"/>
      <c r="H17" s="379"/>
      <c r="I17" s="379"/>
      <c r="J17" s="379"/>
    </row>
    <row r="18" spans="1:10" outlineLevel="1">
      <c r="A18" s="153">
        <f t="shared" si="0"/>
        <v>46290</v>
      </c>
      <c r="B18" s="138" t="s">
        <v>989</v>
      </c>
      <c r="C18" s="144" t="str">
        <f>'AI module'!B18</f>
        <v>Rà soát mới</v>
      </c>
      <c r="D18" s="138" t="s">
        <v>920</v>
      </c>
      <c r="E18" s="138" t="s">
        <v>990</v>
      </c>
      <c r="F18" s="138"/>
      <c r="H18" s="379"/>
      <c r="I18" s="379"/>
      <c r="J18" s="379"/>
    </row>
    <row r="19" spans="1:10" outlineLevel="1">
      <c r="A19" s="153">
        <f t="shared" si="0"/>
        <v>46290</v>
      </c>
      <c r="B19" s="138" t="s">
        <v>993</v>
      </c>
      <c r="C19" s="144" t="str">
        <f>'AI module'!B19</f>
        <v>View</v>
      </c>
      <c r="D19" s="138" t="s">
        <v>920</v>
      </c>
      <c r="E19" s="138" t="s">
        <v>994</v>
      </c>
      <c r="F19" s="138"/>
      <c r="H19" s="379"/>
      <c r="I19" s="379"/>
      <c r="J19" s="379"/>
    </row>
    <row r="20" spans="1:10" outlineLevel="1">
      <c r="A20" s="153">
        <f t="shared" si="0"/>
        <v>46290</v>
      </c>
      <c r="B20" s="138" t="s">
        <v>996</v>
      </c>
      <c r="C20" s="144" t="str">
        <f>'AI module'!B20</f>
        <v>Dữ liệu đọc lại tại thời điểm bấm Generate.</v>
      </c>
      <c r="D20" s="138" t="s">
        <v>920</v>
      </c>
      <c r="E20" s="138" t="s">
        <v>997</v>
      </c>
      <c r="F20" s="138"/>
      <c r="H20" s="379"/>
      <c r="I20" s="379"/>
      <c r="J20" s="379"/>
    </row>
    <row r="21" spans="1:10" outlineLevel="1">
      <c r="A21" s="153">
        <f t="shared" si="0"/>
        <v>46290</v>
      </c>
      <c r="B21" s="138" t="s">
        <v>999</v>
      </c>
      <c r="C21" s="144" t="str">
        <f>'AI module'!B21</f>
        <v>Điểm cần nhìn trước</v>
      </c>
      <c r="D21" s="138" t="s">
        <v>920</v>
      </c>
      <c r="E21" s="138" t="s">
        <v>1000</v>
      </c>
      <c r="F21" s="138"/>
      <c r="H21" s="379"/>
      <c r="I21" s="379"/>
      <c r="J21" s="379"/>
    </row>
    <row r="22" spans="1:10" outlineLevel="1">
      <c r="A22" s="153">
        <f t="shared" si="0"/>
        <v>46290</v>
      </c>
      <c r="B22" s="138" t="s">
        <v>1002</v>
      </c>
      <c r="C22" s="144" t="str">
        <f>'AI module'!B22</f>
        <v>MtM / Limit</v>
      </c>
      <c r="D22" s="138" t="s">
        <v>920</v>
      </c>
      <c r="E22" s="138" t="s">
        <v>1003</v>
      </c>
      <c r="F22" s="138"/>
      <c r="H22" s="379"/>
      <c r="I22" s="379"/>
      <c r="J22" s="379"/>
    </row>
    <row r="23" spans="1:10" outlineLevel="1">
      <c r="A23" s="153">
        <f t="shared" si="0"/>
        <v>46290</v>
      </c>
      <c r="B23" s="138" t="s">
        <v>1006</v>
      </c>
      <c r="C23" s="144" t="str">
        <f>'AI module'!B23</f>
        <v>Worst case MtM</v>
      </c>
      <c r="D23" s="138" t="s">
        <v>920</v>
      </c>
      <c r="E23" s="138" t="s">
        <v>1007</v>
      </c>
      <c r="F23" s="138"/>
      <c r="H23" s="379"/>
      <c r="I23" s="379"/>
      <c r="J23" s="379"/>
    </row>
    <row r="24" spans="1:10" outlineLevel="1">
      <c r="A24" s="153">
        <f t="shared" si="0"/>
        <v>46290</v>
      </c>
      <c r="B24" s="138" t="s">
        <v>1009</v>
      </c>
      <c r="C24" s="144" t="str">
        <f>'AI module'!B24</f>
        <v>Available Gbond</v>
      </c>
      <c r="D24" s="138" t="s">
        <v>920</v>
      </c>
      <c r="E24" s="138" t="s">
        <v>1010</v>
      </c>
      <c r="F24" s="138"/>
      <c r="H24" s="379"/>
      <c r="I24" s="379"/>
      <c r="J24" s="379"/>
    </row>
    <row r="25" spans="1:10" outlineLevel="1">
      <c r="A25" s="153">
        <f t="shared" si="0"/>
        <v>46290</v>
      </c>
      <c r="B25" s="138" t="s">
        <v>1012</v>
      </c>
      <c r="C25" s="144" t="str">
        <f>'AI module'!B25</f>
        <v>Bond&amp;CD-FI</v>
      </c>
      <c r="D25" s="138" t="s">
        <v>920</v>
      </c>
      <c r="E25" s="138" t="s">
        <v>1013</v>
      </c>
      <c r="F25" s="138"/>
      <c r="H25" s="379"/>
      <c r="I25" s="379"/>
      <c r="J25" s="379"/>
    </row>
    <row r="26" spans="1:10" outlineLevel="1">
      <c r="A26" s="153">
        <f t="shared" si="0"/>
        <v>46290</v>
      </c>
      <c r="B26" s="138" t="s">
        <v>1015</v>
      </c>
      <c r="C26" s="144" t="str">
        <f>'AI module'!B26</f>
        <v>Market II NII</v>
      </c>
      <c r="D26" s="138" t="s">
        <v>920</v>
      </c>
      <c r="E26" s="138" t="s">
        <v>1016</v>
      </c>
      <c r="F26" s="138"/>
      <c r="H26" s="379"/>
      <c r="I26" s="379"/>
      <c r="J26" s="379"/>
    </row>
    <row r="27" spans="1:10" outlineLevel="1">
      <c r="A27" s="153">
        <f t="shared" si="0"/>
        <v>46290</v>
      </c>
      <c r="B27" s="138" t="s">
        <v>1018</v>
      </c>
      <c r="C27" s="144" t="str">
        <f>'AI module'!B27</f>
        <v>#F04438</v>
      </c>
      <c r="D27" s="138" t="s">
        <v>1019</v>
      </c>
      <c r="E27" s="138" t="s">
        <v>1020</v>
      </c>
      <c r="F27" s="138"/>
      <c r="H27" s="379"/>
      <c r="I27" s="379"/>
      <c r="J27" s="379"/>
    </row>
    <row r="28" spans="1:10" outlineLevel="1">
      <c r="A28" s="153">
        <f t="shared" si="0"/>
        <v>46290</v>
      </c>
      <c r="B28" s="138" t="s">
        <v>1021</v>
      </c>
      <c r="C28" s="144" t="str">
        <f>'AI module'!B28</f>
        <v>Inter, Arial, sans-serif</v>
      </c>
      <c r="D28" s="138" t="s">
        <v>1019</v>
      </c>
      <c r="E28" s="138" t="s">
        <v>1022</v>
      </c>
      <c r="F28" s="138"/>
      <c r="H28" s="379"/>
      <c r="I28" s="379"/>
      <c r="J28" s="379"/>
    </row>
    <row r="29" spans="1:10" outlineLevel="1">
      <c r="A29" s="153">
        <f t="shared" si="0"/>
        <v>46290</v>
      </c>
      <c r="B29" s="138" t="s">
        <v>1023</v>
      </c>
      <c r="C29" s="144" t="str">
        <f>'AI module'!B29</f>
        <v>20px</v>
      </c>
      <c r="D29" s="138" t="s">
        <v>1019</v>
      </c>
      <c r="E29" s="138" t="s">
        <v>1024</v>
      </c>
      <c r="F29" s="138"/>
      <c r="H29" s="379"/>
      <c r="I29" s="379"/>
      <c r="J29" s="379"/>
    </row>
    <row r="30" spans="1:10" outlineLevel="1">
      <c r="A30" s="153">
        <f t="shared" si="0"/>
        <v>46290</v>
      </c>
      <c r="B30" s="138" t="s">
        <v>1025</v>
      </c>
      <c r="C30" s="144" t="str">
        <f>'AI module'!B30</f>
        <v>900</v>
      </c>
      <c r="D30" s="138" t="s">
        <v>1019</v>
      </c>
      <c r="E30" s="138" t="s">
        <v>1026</v>
      </c>
      <c r="F30" s="138"/>
      <c r="H30" s="379"/>
      <c r="I30" s="379"/>
      <c r="J30" s="379"/>
    </row>
    <row r="31" spans="1:10" outlineLevel="1">
      <c r="A31" s="153">
        <f t="shared" si="0"/>
        <v>46290</v>
      </c>
      <c r="B31" s="138" t="s">
        <v>1027</v>
      </c>
      <c r="C31" s="144" t="str">
        <f>'AI module'!B31</f>
        <v>linear-gradient(90deg,#F04438,#F79009)</v>
      </c>
      <c r="D31" s="138" t="s">
        <v>1019</v>
      </c>
      <c r="E31" s="138" t="s">
        <v>1028</v>
      </c>
      <c r="F31" s="138"/>
      <c r="H31" s="379"/>
      <c r="I31" s="379"/>
      <c r="J31" s="379"/>
    </row>
    <row r="32" spans="1:10" outlineLevel="1">
      <c r="A32" s="153">
        <f t="shared" si="0"/>
        <v>46290</v>
      </c>
      <c r="B32" s="138" t="s">
        <v>1029</v>
      </c>
      <c r="C32" s="144" t="str">
        <f>'AI module'!B32</f>
        <v>14px</v>
      </c>
      <c r="D32" s="138" t="s">
        <v>1019</v>
      </c>
      <c r="E32" s="138" t="s">
        <v>1030</v>
      </c>
      <c r="F32" s="138"/>
      <c r="H32" s="379"/>
      <c r="I32" s="379"/>
      <c r="J32" s="379"/>
    </row>
    <row r="33" spans="1:10" outlineLevel="1">
      <c r="A33" s="153">
        <f t="shared" si="0"/>
        <v>46290</v>
      </c>
      <c r="B33" s="138" t="s">
        <v>1031</v>
      </c>
      <c r="C33" s="144" t="str">
        <f>'AI module'!B33</f>
        <v>600</v>
      </c>
      <c r="D33" s="138" t="s">
        <v>1019</v>
      </c>
      <c r="E33" s="138" t="s">
        <v>1032</v>
      </c>
      <c r="F33" s="138"/>
      <c r="H33" s="379"/>
      <c r="I33" s="379"/>
      <c r="J33" s="379"/>
    </row>
    <row r="34" spans="1:10" outlineLevel="1">
      <c r="A34" s="153">
        <f t="shared" si="0"/>
        <v>46290</v>
      </c>
      <c r="B34" s="138" t="s">
        <v>1033</v>
      </c>
      <c r="C34" s="144" t="str">
        <f>'AI module'!B34</f>
        <v>#B42318</v>
      </c>
      <c r="D34" s="138" t="s">
        <v>1019</v>
      </c>
      <c r="E34" s="138" t="s">
        <v>1034</v>
      </c>
      <c r="F34" s="138"/>
      <c r="H34" s="379"/>
      <c r="I34" s="379"/>
      <c r="J34" s="379"/>
    </row>
    <row r="35" spans="1:10" outlineLevel="1">
      <c r="A35" s="153">
        <f t="shared" si="0"/>
        <v>46290</v>
      </c>
      <c r="B35" s="138" t="s">
        <v>1035</v>
      </c>
      <c r="C35" s="144" t="str">
        <f>'AI module'!B35</f>
        <v>Inter, Arial, sans-serif</v>
      </c>
      <c r="D35" s="138" t="s">
        <v>1019</v>
      </c>
      <c r="E35" s="138" t="s">
        <v>1036</v>
      </c>
      <c r="F35" s="138"/>
      <c r="H35" s="379"/>
      <c r="I35" s="379"/>
      <c r="J35" s="379"/>
    </row>
    <row r="36" spans="1:10" outlineLevel="1">
      <c r="A36" s="153">
        <f t="shared" si="0"/>
        <v>46290</v>
      </c>
      <c r="B36" s="138" t="s">
        <v>1037</v>
      </c>
      <c r="C36" s="144" t="str">
        <f>'AI module'!B36</f>
        <v>15px</v>
      </c>
      <c r="D36" s="138" t="s">
        <v>1019</v>
      </c>
      <c r="E36" s="138" t="s">
        <v>1038</v>
      </c>
      <c r="F36" s="138"/>
      <c r="H36" s="379"/>
      <c r="I36" s="379"/>
      <c r="J36" s="379"/>
    </row>
    <row r="37" spans="1:10" outlineLevel="1">
      <c r="A37" s="153">
        <f t="shared" si="0"/>
        <v>46290</v>
      </c>
      <c r="B37" s="138" t="s">
        <v>1039</v>
      </c>
      <c r="C37" s="144" t="str">
        <f>'AI module'!B37</f>
        <v>850</v>
      </c>
      <c r="D37" s="138" t="s">
        <v>1019</v>
      </c>
      <c r="E37" s="138" t="s">
        <v>1040</v>
      </c>
      <c r="F37" s="138"/>
      <c r="H37" s="379"/>
      <c r="I37" s="379"/>
      <c r="J37" s="379"/>
    </row>
    <row r="38" spans="1:10" outlineLevel="1">
      <c r="A38" s="153">
        <f t="shared" si="0"/>
        <v>46290</v>
      </c>
      <c r="B38" s="138" t="s">
        <v>1041</v>
      </c>
      <c r="C38" s="144" t="str">
        <f>'AI module'!B38</f>
        <v>#344054</v>
      </c>
      <c r="D38" s="138" t="s">
        <v>1019</v>
      </c>
      <c r="E38" s="138" t="s">
        <v>1042</v>
      </c>
      <c r="F38" s="138"/>
      <c r="H38" s="379"/>
      <c r="I38" s="379"/>
      <c r="J38" s="379"/>
    </row>
    <row r="39" spans="1:10" outlineLevel="1">
      <c r="A39" s="153">
        <f t="shared" si="0"/>
        <v>46290</v>
      </c>
      <c r="B39" s="138" t="s">
        <v>1043</v>
      </c>
      <c r="C39" s="144" t="str">
        <f>'AI module'!B39</f>
        <v>Inter, Arial, sans-serif</v>
      </c>
      <c r="D39" s="138" t="s">
        <v>1019</v>
      </c>
      <c r="E39" s="138" t="s">
        <v>1044</v>
      </c>
      <c r="F39" s="138"/>
      <c r="H39" s="379"/>
      <c r="I39" s="379"/>
      <c r="J39" s="379"/>
    </row>
    <row r="40" spans="1:10" outlineLevel="1">
      <c r="A40" s="153">
        <f t="shared" si="0"/>
        <v>46290</v>
      </c>
      <c r="B40" s="138" t="s">
        <v>1045</v>
      </c>
      <c r="C40" s="144" t="str">
        <f>'AI module'!B40</f>
        <v>13px</v>
      </c>
      <c r="D40" s="138" t="s">
        <v>1019</v>
      </c>
      <c r="E40" s="138" t="s">
        <v>1046</v>
      </c>
      <c r="F40" s="138"/>
      <c r="H40" s="379"/>
      <c r="I40" s="379"/>
      <c r="J40" s="379"/>
    </row>
    <row r="41" spans="1:10" outlineLevel="1">
      <c r="A41" s="153">
        <f t="shared" si="0"/>
        <v>46290</v>
      </c>
      <c r="B41" s="138" t="s">
        <v>1047</v>
      </c>
      <c r="C41" s="144" t="str">
        <f>'AI module'!B41</f>
        <v>500</v>
      </c>
      <c r="D41" s="138" t="s">
        <v>1019</v>
      </c>
      <c r="E41" s="138" t="s">
        <v>1048</v>
      </c>
      <c r="F41" s="138"/>
      <c r="H41" s="379"/>
      <c r="I41" s="379"/>
      <c r="J41" s="379"/>
    </row>
    <row r="42" spans="1:10" outlineLevel="1">
      <c r="A42" s="153">
        <f t="shared" si="0"/>
        <v>46290</v>
      </c>
      <c r="B42" s="138" t="s">
        <v>1049</v>
      </c>
      <c r="C42" s="144" t="str">
        <f>'AI module'!B42</f>
        <v>1.55</v>
      </c>
      <c r="D42" s="138" t="s">
        <v>1019</v>
      </c>
      <c r="E42" s="138" t="s">
        <v>1050</v>
      </c>
      <c r="F42" s="138"/>
      <c r="H42" s="379"/>
      <c r="I42" s="379"/>
      <c r="J42" s="379"/>
    </row>
    <row r="43" spans="1:10" outlineLevel="1">
      <c r="A43" s="153">
        <f t="shared" si="0"/>
        <v>46290</v>
      </c>
      <c r="B43" s="138" t="s">
        <v>1051</v>
      </c>
      <c r="C43" s="144" t="str">
        <f>'AI module'!B43</f>
        <v>#F79009</v>
      </c>
      <c r="D43" s="138" t="s">
        <v>1019</v>
      </c>
      <c r="E43" s="138" t="s">
        <v>1052</v>
      </c>
      <c r="F43" s="138"/>
      <c r="H43" s="379"/>
      <c r="I43" s="379"/>
      <c r="J43" s="379"/>
    </row>
    <row r="44" spans="1:10" outlineLevel="1">
      <c r="A44" s="153">
        <f t="shared" si="0"/>
        <v>46290</v>
      </c>
      <c r="B44" s="138" t="s">
        <v>1053</v>
      </c>
      <c r="C44" s="144" t="str">
        <f>'AI module'!B44</f>
        <v>#F04438</v>
      </c>
      <c r="D44" s="138" t="s">
        <v>1019</v>
      </c>
      <c r="E44" s="138" t="s">
        <v>1054</v>
      </c>
      <c r="F44" s="138"/>
      <c r="H44" s="379"/>
      <c r="I44" s="379"/>
      <c r="J44" s="379"/>
    </row>
    <row r="45" spans="1:10" outlineLevel="1">
      <c r="A45" s="153">
        <f t="shared" si="0"/>
        <v>46290</v>
      </c>
      <c r="B45" s="138" t="s">
        <v>1055</v>
      </c>
      <c r="C45" s="144" t="str">
        <f>'AI module'!B45</f>
        <v>#D92D20</v>
      </c>
      <c r="D45" s="138" t="s">
        <v>1019</v>
      </c>
      <c r="E45" s="138" t="s">
        <v>1056</v>
      </c>
      <c r="F45" s="138"/>
      <c r="H45" s="379"/>
      <c r="I45" s="379"/>
      <c r="J45" s="379"/>
    </row>
    <row r="46" spans="1:10" outlineLevel="1">
      <c r="A46" s="153">
        <f t="shared" si="0"/>
        <v>46290</v>
      </c>
      <c r="B46" s="138" t="s">
        <v>1057</v>
      </c>
      <c r="C46" s="144" t="str">
        <f>'AI module'!B46</f>
        <v>#B42318</v>
      </c>
      <c r="D46" s="138" t="s">
        <v>1019</v>
      </c>
      <c r="E46" s="138" t="s">
        <v>1058</v>
      </c>
      <c r="F46" s="138"/>
      <c r="H46" s="379"/>
      <c r="I46" s="379"/>
      <c r="J46" s="379"/>
    </row>
    <row r="47" spans="1:10" outlineLevel="1">
      <c r="A47" s="153">
        <f t="shared" si="0"/>
        <v>46290</v>
      </c>
      <c r="B47" s="138" t="s">
        <v>1059</v>
      </c>
      <c r="C47" s="144" t="str">
        <f>'AI module'!B47</f>
        <v>AI Check bất thường trước khi gửi báo cáo</v>
      </c>
      <c r="D47" s="138" t="s">
        <v>1060</v>
      </c>
      <c r="E47" s="138" t="s">
        <v>1061</v>
      </c>
      <c r="F47" s="138"/>
      <c r="H47" s="379"/>
      <c r="I47" s="379"/>
      <c r="J47" s="379"/>
    </row>
    <row r="48" spans="1:10" outlineLevel="1">
      <c r="A48" s="153">
        <f t="shared" si="0"/>
        <v>46290</v>
      </c>
      <c r="B48" s="138" t="s">
        <v>1062</v>
      </c>
      <c r="C48" s="144" t="str">
        <f>'AI module'!B48</f>
        <v>Rà soát ngày báo cáo, placeholder, tính thống nhất giữa KPI và nội dung text, limit/utilization và các dấu hiệu số liệu bất thường trước khi gửi báo cáo.</v>
      </c>
      <c r="D48" s="138" t="s">
        <v>1060</v>
      </c>
      <c r="E48" s="138" t="s">
        <v>1063</v>
      </c>
      <c r="F48" s="138"/>
      <c r="H48" s="379"/>
      <c r="I48" s="379"/>
      <c r="J48" s="379"/>
    </row>
    <row r="49" spans="1:10" outlineLevel="1">
      <c r="A49" s="153">
        <f t="shared" si="0"/>
        <v>46290</v>
      </c>
      <c r="B49" s="138" t="s">
        <v>1064</v>
      </c>
      <c r="C49" s="144" t="str">
        <f>'AI module'!B49</f>
        <v>Check bất thường</v>
      </c>
      <c r="D49" s="138" t="s">
        <v>1060</v>
      </c>
      <c r="E49" s="138" t="s">
        <v>1065</v>
      </c>
      <c r="F49" s="138"/>
      <c r="H49" s="379"/>
      <c r="I49" s="379"/>
      <c r="J49" s="379"/>
    </row>
    <row r="50" spans="1:10" outlineLevel="1">
      <c r="A50" s="153">
        <f t="shared" si="0"/>
        <v>46290</v>
      </c>
      <c r="B50" s="138" t="s">
        <v>1066</v>
      </c>
      <c r="C50" s="144" t="str">
        <f>'AI module'!B50</f>
        <v>Pending</v>
      </c>
      <c r="D50" s="138" t="s">
        <v>1060</v>
      </c>
      <c r="E50" s="138" t="s">
        <v>1067</v>
      </c>
      <c r="F50" s="138"/>
      <c r="H50" s="379"/>
      <c r="I50" s="379"/>
      <c r="J50" s="379"/>
    </row>
    <row r="51" spans="1:10" outlineLevel="1">
      <c r="A51" s="153">
        <f t="shared" si="0"/>
        <v>46290</v>
      </c>
      <c r="B51" s="138" t="s">
        <v>1068</v>
      </c>
      <c r="C51" s="144" t="str">
        <f>'AI module'!B51</f>
        <v>Done</v>
      </c>
      <c r="D51" s="138" t="s">
        <v>1060</v>
      </c>
      <c r="E51" s="138" t="s">
        <v>1069</v>
      </c>
      <c r="F51" s="138"/>
      <c r="H51" s="379"/>
      <c r="I51" s="379"/>
      <c r="J51" s="379"/>
    </row>
    <row r="52" spans="1:10" s="387" customFormat="1">
      <c r="A52" s="386">
        <f t="shared" si="0"/>
        <v>46290</v>
      </c>
      <c r="B52" s="142" t="s">
        <v>124</v>
      </c>
      <c r="C52" s="142" t="s">
        <v>106</v>
      </c>
      <c r="D52" s="142" t="s">
        <v>2312</v>
      </c>
      <c r="E52" s="142" t="s">
        <v>910</v>
      </c>
      <c r="F52" s="142" t="s">
        <v>164</v>
      </c>
    </row>
    <row r="53" spans="1:10" outlineLevel="1">
      <c r="A53" s="153">
        <f t="shared" si="0"/>
        <v>46290</v>
      </c>
      <c r="B53" s="139" t="s">
        <v>1070</v>
      </c>
      <c r="C53" s="145" t="str">
        <f>'Module name'!B2</f>
        <v>Menu báo cáo</v>
      </c>
      <c r="D53" s="139" t="s">
        <v>125</v>
      </c>
      <c r="E53" s="139" t="s">
        <v>1071</v>
      </c>
      <c r="F53" s="139" t="s">
        <v>1072</v>
      </c>
    </row>
    <row r="54" spans="1:10" outlineLevel="1">
      <c r="A54" s="153">
        <f t="shared" si="0"/>
        <v>46290</v>
      </c>
      <c r="B54" s="139" t="s">
        <v>1073</v>
      </c>
      <c r="C54" s="145" t="str">
        <f>'Module name'!B3</f>
        <v>Executive Messages</v>
      </c>
      <c r="D54" s="139" t="s">
        <v>125</v>
      </c>
      <c r="E54" s="139" t="s">
        <v>1071</v>
      </c>
      <c r="F54" s="139" t="s">
        <v>1074</v>
      </c>
    </row>
    <row r="55" spans="1:10" outlineLevel="1">
      <c r="A55" s="153">
        <f t="shared" si="0"/>
        <v>46290</v>
      </c>
      <c r="B55" s="139" t="s">
        <v>1075</v>
      </c>
      <c r="C55" s="145" t="str">
        <f>'Module name'!B4</f>
        <v>Thông tin chi tiết Danh mục</v>
      </c>
      <c r="D55" s="139" t="s">
        <v>125</v>
      </c>
      <c r="E55" s="139" t="s">
        <v>1071</v>
      </c>
      <c r="F55" s="139" t="s">
        <v>1076</v>
      </c>
    </row>
    <row r="56" spans="1:10" outlineLevel="1">
      <c r="A56" s="153">
        <f t="shared" si="0"/>
        <v>46290</v>
      </c>
      <c r="B56" s="139" t="s">
        <v>1077</v>
      </c>
      <c r="C56" s="145" t="str">
        <f>'Module name'!B5</f>
        <v>Thông tin thị trường</v>
      </c>
      <c r="D56" s="139" t="s">
        <v>125</v>
      </c>
      <c r="E56" s="139" t="s">
        <v>1071</v>
      </c>
      <c r="F56" s="139" t="s">
        <v>1078</v>
      </c>
    </row>
    <row r="57" spans="1:10" outlineLevel="1">
      <c r="A57" s="153">
        <f t="shared" si="0"/>
        <v>46290</v>
      </c>
      <c r="B57" s="139" t="s">
        <v>1079</v>
      </c>
      <c r="C57" s="145" t="str">
        <f>'Module name'!B6</f>
        <v>Cơ cấu dòng tiền thanh khoản - Market II</v>
      </c>
      <c r="D57" s="139" t="s">
        <v>125</v>
      </c>
      <c r="E57" s="139" t="s">
        <v>1071</v>
      </c>
      <c r="F57" s="139" t="s">
        <v>1080</v>
      </c>
    </row>
    <row r="58" spans="1:10" outlineLevel="1">
      <c r="A58" s="153">
        <f t="shared" si="0"/>
        <v>46290</v>
      </c>
      <c r="B58" s="139" t="s">
        <v>1081</v>
      </c>
      <c r="C58" s="145" t="str">
        <f>'Module name'!B7</f>
        <v>🔒 Import Data</v>
      </c>
      <c r="D58" s="139" t="s">
        <v>125</v>
      </c>
      <c r="E58" s="139" t="s">
        <v>1071</v>
      </c>
      <c r="F58" s="139" t="s">
        <v>1082</v>
      </c>
    </row>
    <row r="59" spans="1:10" outlineLevel="1">
      <c r="A59" s="153">
        <f t="shared" si="0"/>
        <v>46290</v>
      </c>
      <c r="B59" s="139" t="s">
        <v>1083</v>
      </c>
      <c r="C59" s="145" t="str">
        <f>'Module name'!B8</f>
        <v>In / PDF</v>
      </c>
      <c r="D59" s="139" t="s">
        <v>125</v>
      </c>
      <c r="E59" s="139" t="s">
        <v>1071</v>
      </c>
      <c r="F59" s="139" t="s">
        <v>1084</v>
      </c>
    </row>
    <row r="60" spans="1:10" s="387" customFormat="1">
      <c r="A60" s="386">
        <f t="shared" si="0"/>
        <v>46290</v>
      </c>
      <c r="B60" s="142" t="s">
        <v>124</v>
      </c>
      <c r="C60" s="142" t="s">
        <v>106</v>
      </c>
      <c r="D60" s="142" t="s">
        <v>2310</v>
      </c>
      <c r="E60" s="142" t="s">
        <v>165</v>
      </c>
      <c r="F60" s="142" t="s">
        <v>294</v>
      </c>
    </row>
    <row r="61" spans="1:10" outlineLevel="1">
      <c r="A61" s="153">
        <f t="shared" si="0"/>
        <v>46290</v>
      </c>
      <c r="B61" s="139" t="s">
        <v>126</v>
      </c>
      <c r="C61" s="146">
        <f>_xlfn.XLOOKUP(B61,Executive!B:B,Executive!D:D,,0)</f>
        <v>46290</v>
      </c>
      <c r="D61" s="139" t="s">
        <v>1085</v>
      </c>
      <c r="E61" s="139" t="s">
        <v>301</v>
      </c>
      <c r="F61" s="139" t="s">
        <v>167</v>
      </c>
    </row>
    <row r="62" spans="1:10" outlineLevel="1">
      <c r="A62" s="153">
        <f t="shared" si="0"/>
        <v>46290</v>
      </c>
      <c r="B62" s="139" t="s">
        <v>296</v>
      </c>
      <c r="C62" s="146" t="str">
        <f>_xlfn.XLOOKUP(B62,Executive!B:B,Executive!D:D,,0)</f>
        <v>Market &amp; Liquidity Risk Report (Market II)</v>
      </c>
      <c r="D62" s="139" t="s">
        <v>1085</v>
      </c>
      <c r="E62" s="139"/>
      <c r="F62" s="139"/>
    </row>
    <row r="63" spans="1:10" outlineLevel="1">
      <c r="A63" s="153">
        <f t="shared" si="0"/>
        <v>46290</v>
      </c>
      <c r="B63" s="139" t="s">
        <v>299</v>
      </c>
      <c r="C63" s="146" t="str">
        <f>_xlfn.XLOOKUP(B63,Executive!B:B,Executive!D:D,,0)</f>
        <v>Rủi ro thị trường - thanh khoản | Danh mục Gbond Banking Book &amp; Trading Book | Theo dõi MtM, PV01, NIM và tín hiệu thị trường</v>
      </c>
      <c r="D63" s="139" t="s">
        <v>1085</v>
      </c>
      <c r="E63" s="139"/>
      <c r="F63" s="139"/>
    </row>
    <row r="64" spans="1:10" outlineLevel="1">
      <c r="A64" s="153">
        <f t="shared" si="0"/>
        <v>46290</v>
      </c>
      <c r="B64" s="139" t="s">
        <v>166</v>
      </c>
      <c r="C64" s="145" t="str">
        <f>_xlfn.XLOOKUP(B64,Executive!B:B,Executive!D:D,,0)</f>
        <v>Executive Messages: (1) Chỉ số lỗ MtM của danh mục Bond Trading giữ mức 1.634 tỷ. Nếu yield tăng thêm 1 bps (~0.01%) ở tất cả các kỳ hạn, mức lỗ sẽ gia tăng thêm 11 tỷ.
(2) Trạng thái danh mục GBond duy trì mức 17.513 tỷ - 88% hạn mức; Trạng thái danh mục FIBond &amp; CD (bao gồm cả TPCP nước ngoài Kyrgyzstan) duy trì mức 39.414 tỷ - 88% hạn mức.
(3) Lãi suất LNH kỳ ON tiếp tục giảm xuống 0.7% trong khi các kỳ dài hơn từ 1W-1M vẫn quanh mức 5-6%. Lưu ý rủi ro lỗ NIM vẫn tiềm ẩn do lãi suất có khả năng biến động mạnh.
(4) Khe hở thanh khoản lũy kế - Gap 3M đang ở mức -25,2k tỷ, có xu hướng tăng chiều âm trong tháng 9, chủ yếu do giảm cho vay LNH kì 1-3M trong khi tăng huy động LNH kì dưới 3M</v>
      </c>
      <c r="D64" s="139" t="s">
        <v>1085</v>
      </c>
      <c r="E64" s="139" t="s">
        <v>301</v>
      </c>
      <c r="F64" s="139" t="s">
        <v>167</v>
      </c>
    </row>
    <row r="65" spans="1:6" outlineLevel="1">
      <c r="A65" s="153">
        <f t="shared" si="0"/>
        <v>46290</v>
      </c>
      <c r="B65" s="139" t="s">
        <v>168</v>
      </c>
      <c r="C65" s="145" t="str">
        <f>_xlfn.XLOOKUP(B65,Executive!B:B,Executive!D:D,,0)</f>
        <v>NGOẠI LỆ HẠN MỨC LỖ MtM &amp; RỦI RO LỖ KÉP</v>
      </c>
      <c r="D65" s="139" t="s">
        <v>1085</v>
      </c>
      <c r="E65" s="139" t="s">
        <v>301</v>
      </c>
      <c r="F65" s="139" t="s">
        <v>302</v>
      </c>
    </row>
    <row r="66" spans="1:6" outlineLevel="1">
      <c r="A66" s="153">
        <f t="shared" ref="A66:A129" si="1">RPT</f>
        <v>46290</v>
      </c>
      <c r="B66" s="139" t="s">
        <v>304</v>
      </c>
      <c r="C66" s="145" t="str">
        <f>_xlfn.XLOOKUP(B66,Executive!B:B,Executive!D:D,,0)</f>
        <v>1. Thông điệp trọng tâm</v>
      </c>
      <c r="D66" s="139" t="s">
        <v>1085</v>
      </c>
      <c r="E66" s="139" t="s">
        <v>170</v>
      </c>
      <c r="F66" s="139" t="s">
        <v>305</v>
      </c>
    </row>
    <row r="67" spans="1:6" outlineLevel="1">
      <c r="A67" s="153">
        <f t="shared" si="1"/>
        <v>46290</v>
      </c>
      <c r="B67" s="139" t="s">
        <v>169</v>
      </c>
      <c r="C67" s="145" t="str">
        <f>_xlfn.XLOOKUP(B67,Executive!B:B,Executive!D:D,,0)</f>
        <v>Phân tách lại danh mục TD và BK GovBond</v>
      </c>
      <c r="D67" s="139" t="s">
        <v>1085</v>
      </c>
      <c r="E67" s="139" t="s">
        <v>170</v>
      </c>
      <c r="F67" s="139" t="s">
        <v>307</v>
      </c>
    </row>
    <row r="68" spans="1:6" outlineLevel="1">
      <c r="A68" s="153">
        <f t="shared" si="1"/>
        <v>46290</v>
      </c>
      <c r="B68" s="139" t="s">
        <v>171</v>
      </c>
      <c r="C68" s="145" t="str">
        <f>_xlfn.XLOOKUP(B68,Executive!B:B,Executive!D:D,,0)</f>
        <v>Kể từ ngày báo cáo 10/08/2026, QLRR đã điều chỉnh danh mục Trading và Banking book theo bóc tách lại phần Danh mục Banking Gbond phù hợp với số vốn được Pool tài trợ 12k tỷ) từ DCM. Theo đó:
(1) Danh mục theo mệnh giá của Trading book và Banking book tương ứng là: 17.413 tỷ và 10.848 tỷ.
(2) Ngay tại thời điểm bóc tách lại (10/08), Lỗ MtM của danh mục Trading điều chỉnh tăng thêm 23 tỷ.</v>
      </c>
      <c r="D68" s="139" t="s">
        <v>1085</v>
      </c>
      <c r="E68" s="139" t="s">
        <v>170</v>
      </c>
      <c r="F68" s="139" t="s">
        <v>308</v>
      </c>
    </row>
    <row r="69" spans="1:6" outlineLevel="1">
      <c r="A69" s="153">
        <f t="shared" si="1"/>
        <v>46290</v>
      </c>
      <c r="B69" s="139" t="s">
        <v>172</v>
      </c>
      <c r="C69" s="145" t="str">
        <f>_xlfn.XLOOKUP(B69,Executive!B:B,Executive!D:D,,0)</f>
        <v>Thay đổi ngưỡng mục tiêu bộ đệm thanh khoản</v>
      </c>
      <c r="D69" s="139" t="s">
        <v>1085</v>
      </c>
      <c r="E69" s="139" t="s">
        <v>170</v>
      </c>
      <c r="F69" s="139" t="s">
        <v>309</v>
      </c>
    </row>
    <row r="70" spans="1:6" outlineLevel="1">
      <c r="A70" s="153">
        <f t="shared" si="1"/>
        <v>46290</v>
      </c>
      <c r="B70" s="139" t="s">
        <v>173</v>
      </c>
      <c r="C70" s="145" t="str">
        <f>_xlfn.XLOOKUP(B70,Executive!B:B,Executive!D:D,,0)</f>
        <v>Sau bóc tách lại danh mục TD &amp; BK, ngưỡng mục tiêu bộ đệm thanh khoản điều chỉnh từ 11.440 tỷ về 10.400 tỷ. QLRR lưu ý:
(1) Banking Gbond dự phòng cần được sử dụng/tối ưu có chọn lọc trong điều kiện bình thường, nhằm tránh làm suy giảm năng lực ứng phó khi thị trường xuất hiện cú sốc nguồn vốn.</v>
      </c>
      <c r="D70" s="139" t="s">
        <v>1085</v>
      </c>
      <c r="E70" s="139" t="s">
        <v>170</v>
      </c>
      <c r="F70" s="139" t="s">
        <v>310</v>
      </c>
    </row>
    <row r="71" spans="1:6" outlineLevel="1">
      <c r="A71" s="153">
        <f t="shared" si="1"/>
        <v>46290</v>
      </c>
      <c r="B71" s="139" t="s">
        <v>174</v>
      </c>
      <c r="C71" s="145" t="str">
        <f>_xlfn.XLOOKUP(B71,Executive!B:B,Executive!D:D,,0)</f>
        <v>Giám sát tình trạng NGOẠI LỆ vượt hạn mức lỗ mtm</v>
      </c>
      <c r="D71" s="139" t="s">
        <v>1085</v>
      </c>
      <c r="E71" s="139" t="s">
        <v>170</v>
      </c>
      <c r="F71" s="139" t="s">
        <v>311</v>
      </c>
    </row>
    <row r="72" spans="1:6" outlineLevel="1">
      <c r="A72" s="153">
        <f t="shared" si="1"/>
        <v>46290</v>
      </c>
      <c r="B72" s="139" t="s">
        <v>175</v>
      </c>
      <c r="C72" s="145" t="str">
        <f>_xlfn.XLOOKUP(B72,Executive!B:B,Executive!D:D,,0)</f>
        <v>Danh mục Trading Gbond hiện ghi nhận lỗ MtM quanh 1.640 tỷ đồng (xu hướng tăng gần đây do yield tăng liên tục tuần qua) trên quy mô trạng thái rủi ro 17.413 tỷ đồng, vượt hạn mức 400 tỷ đồng và đang trong quá trình phê duyệt ngoại lệ.
=&gt; QLRR khuyến nghị FI/DCM duy trì báo cáo định kỳ cấp có thẩm quyền, vẫn tiếp tục tìm kiếm các biện pháp giảm thiểu/xử lý lỗ và kiểm soát không để rủi ro tiếp tục gia tăng; báo cáo xin ý kiến cấp có thẩm quyền trong t/h phát sinh các nhân tố có thể làm leo thang đáng kể tình trạng lỗ mtm.</v>
      </c>
      <c r="D72" s="139" t="s">
        <v>1085</v>
      </c>
      <c r="E72" s="139" t="s">
        <v>170</v>
      </c>
      <c r="F72" s="139" t="s">
        <v>312</v>
      </c>
    </row>
    <row r="73" spans="1:6" outlineLevel="1">
      <c r="A73" s="153">
        <f t="shared" si="1"/>
        <v>46290</v>
      </c>
      <c r="B73" s="139" t="s">
        <v>176</v>
      </c>
      <c r="C73" s="145" t="str">
        <f>_xlfn.XLOOKUP(B73,Executive!B:B,Executive!D:D,,0)</f>
        <v>Rủi ro LỖ KÉP tiếp tục là ÁP LỰC CHÍNH</v>
      </c>
      <c r="D73" s="139" t="s">
        <v>1085</v>
      </c>
      <c r="E73" s="139" t="s">
        <v>170</v>
      </c>
      <c r="F73" s="139" t="s">
        <v>313</v>
      </c>
    </row>
    <row r="74" spans="1:6" outlineLevel="1">
      <c r="A74" s="153">
        <f t="shared" si="1"/>
        <v>46290</v>
      </c>
      <c r="B74" s="139" t="s">
        <v>177</v>
      </c>
      <c r="C74" s="145" t="str">
        <f>_xlfn.XLOOKUP(B74,Executive!B:B,Executive!D:D,,0)</f>
        <v>Trong bối cảnh lợi suất trái phiếu tăng từ đầu tháng và chi phí vốn duy trì ở mức cao, các danh mục Banking Gbond, FIBond và Trading Gbond đang chịu đồng thời hai áp lực: lỗ đánh giá lại MtM và suy giảm NIM
=&gt; Đây không chỉ là rủi ro thị trường ngắn hạn, mà là vấn đề cần được cân nhắc trong chiến lược phân bổ bảng cân đối (danh quy mô DM đầu tư) và tối ưu hiệu quả vốn.</v>
      </c>
      <c r="D74" s="139" t="s">
        <v>1085</v>
      </c>
      <c r="E74" s="139" t="s">
        <v>170</v>
      </c>
      <c r="F74" s="139" t="s">
        <v>314</v>
      </c>
    </row>
    <row r="75" spans="1:6" outlineLevel="1">
      <c r="A75" s="153">
        <f t="shared" si="1"/>
        <v>46290</v>
      </c>
      <c r="B75" s="139" t="s">
        <v>316</v>
      </c>
      <c r="C75" s="145" t="str">
        <f>_xlfn.XLOOKUP(B75,Executive!B:B,Executive!D:D,,0)</f>
        <v>Tình hình rủi ro Danh mục Trái phiếu chính phủ</v>
      </c>
      <c r="D75" s="139" t="s">
        <v>1085</v>
      </c>
      <c r="E75" s="139" t="s">
        <v>315</v>
      </c>
      <c r="F75" s="139" t="s">
        <v>317</v>
      </c>
    </row>
    <row r="76" spans="1:6" outlineLevel="1">
      <c r="A76" s="153">
        <f t="shared" si="1"/>
        <v>46290</v>
      </c>
      <c r="B76" s="139" t="s">
        <v>319</v>
      </c>
      <c r="C76" s="145" t="str">
        <f>_xlfn.XLOOKUP(B76,Executive!B:B,Executive!D:D,,0)</f>
        <v>Trading Book chịu rủi ro thị trường</v>
      </c>
      <c r="D76" s="139" t="s">
        <v>1085</v>
      </c>
      <c r="E76" s="139" t="s">
        <v>127</v>
      </c>
      <c r="F76" s="139" t="s">
        <v>320</v>
      </c>
    </row>
    <row r="77" spans="1:6" outlineLevel="1">
      <c r="A77" s="374">
        <f t="shared" si="1"/>
        <v>46290</v>
      </c>
      <c r="B77" s="375" t="s">
        <v>322</v>
      </c>
      <c r="C77" s="376"/>
      <c r="D77" s="375" t="s">
        <v>1085</v>
      </c>
      <c r="E77" s="375" t="s">
        <v>127</v>
      </c>
      <c r="F77" s="375" t="s">
        <v>323</v>
      </c>
    </row>
    <row r="78" spans="1:6" outlineLevel="1">
      <c r="A78" s="153">
        <f t="shared" si="1"/>
        <v>46290</v>
      </c>
      <c r="B78" s="139" t="s">
        <v>128</v>
      </c>
      <c r="C78" s="364">
        <f>_xlfn.XLOOKUP(B78,Executive!B:B,Executive!D:D,,0)</f>
        <v>17513</v>
      </c>
      <c r="D78" s="139" t="s">
        <v>1085</v>
      </c>
      <c r="E78" s="139" t="s">
        <v>127</v>
      </c>
      <c r="F78" s="139" t="s">
        <v>324</v>
      </c>
    </row>
    <row r="79" spans="1:6" outlineLevel="1">
      <c r="A79" s="153">
        <f t="shared" si="1"/>
        <v>46290</v>
      </c>
      <c r="B79" s="139" t="s">
        <v>130</v>
      </c>
      <c r="C79" s="145">
        <f>_xlfn.XLOOKUP(B79,Executive!B:B,Executive!D:D,,0)</f>
        <v>0</v>
      </c>
      <c r="D79" s="139" t="s">
        <v>1085</v>
      </c>
      <c r="E79" s="139" t="s">
        <v>127</v>
      </c>
      <c r="F79" s="139" t="s">
        <v>32</v>
      </c>
    </row>
    <row r="80" spans="1:6" outlineLevel="1">
      <c r="A80" s="153">
        <f t="shared" si="1"/>
        <v>46290</v>
      </c>
      <c r="B80" s="139" t="s">
        <v>325</v>
      </c>
      <c r="C80" s="145" t="str">
        <f>_xlfn.XLOOKUP(B80,Executive!B:B,Executive!D:D,,0)</f>
        <v>Lãi suất DM:</v>
      </c>
      <c r="D80" s="139" t="s">
        <v>1085</v>
      </c>
      <c r="E80" s="139" t="s">
        <v>127</v>
      </c>
      <c r="F80" s="139" t="s">
        <v>326</v>
      </c>
    </row>
    <row r="81" spans="1:6" outlineLevel="1">
      <c r="A81" s="153">
        <f t="shared" si="1"/>
        <v>46290</v>
      </c>
      <c r="B81" s="139" t="s">
        <v>328</v>
      </c>
      <c r="C81" s="363">
        <f>_xlfn.XLOOKUP(B81,Executive!B:B,Executive!D:D,,0)</f>
        <v>3.0511557129E-2</v>
      </c>
      <c r="D81" s="139" t="s">
        <v>1085</v>
      </c>
      <c r="E81" s="139" t="s">
        <v>127</v>
      </c>
      <c r="F81" s="139" t="s">
        <v>329</v>
      </c>
    </row>
    <row r="82" spans="1:6" outlineLevel="1">
      <c r="A82" s="153">
        <f t="shared" si="1"/>
        <v>46290</v>
      </c>
      <c r="B82" s="139" t="s">
        <v>178</v>
      </c>
      <c r="C82" s="364">
        <f>_xlfn.XLOOKUP(B82,Executive!B:B,Executive!D:D,,0)</f>
        <v>5916</v>
      </c>
      <c r="D82" s="139" t="s">
        <v>1085</v>
      </c>
      <c r="E82" s="139" t="s">
        <v>127</v>
      </c>
      <c r="F82" s="139" t="s">
        <v>330</v>
      </c>
    </row>
    <row r="83" spans="1:6" outlineLevel="1">
      <c r="A83" s="153">
        <f t="shared" si="1"/>
        <v>46290</v>
      </c>
      <c r="B83" s="139" t="s">
        <v>331</v>
      </c>
      <c r="C83" s="145" t="str">
        <f>_xlfn.XLOOKUP(B83,Executive!B:B,Executive!D:D,,0)</f>
        <v>Sau giảm trừ giao dịch bán chưa thanh toán và BO chưa xác nhận (~</v>
      </c>
      <c r="D83" s="139" t="s">
        <v>1085</v>
      </c>
      <c r="E83" s="139" t="s">
        <v>127</v>
      </c>
      <c r="F83" s="139" t="s">
        <v>332</v>
      </c>
    </row>
    <row r="84" spans="1:6" outlineLevel="1">
      <c r="A84" s="153">
        <f t="shared" si="1"/>
        <v>46290</v>
      </c>
      <c r="B84" s="139" t="s">
        <v>334</v>
      </c>
      <c r="C84" s="145" t="str">
        <f>_xlfn.XLOOKUP(B84,Executive!B:B,Executive!D:D,,0)</f>
        <v>tỷ)</v>
      </c>
      <c r="D84" s="139" t="s">
        <v>1085</v>
      </c>
      <c r="E84" s="139" t="s">
        <v>127</v>
      </c>
      <c r="F84" s="139" t="s">
        <v>335</v>
      </c>
    </row>
    <row r="85" spans="1:6" outlineLevel="1">
      <c r="A85" s="153">
        <f t="shared" si="1"/>
        <v>46290</v>
      </c>
      <c r="B85" s="139" t="s">
        <v>337</v>
      </c>
      <c r="C85" s="145" t="str">
        <f>_xlfn.XLOOKUP(B85,Executive!B:B,Executive!D:D,,0)</f>
        <v>Hạn mức Trading Book</v>
      </c>
      <c r="D85" s="139" t="s">
        <v>1085</v>
      </c>
      <c r="E85" s="139" t="s">
        <v>127</v>
      </c>
      <c r="F85" s="139" t="s">
        <v>338</v>
      </c>
    </row>
    <row r="86" spans="1:6" outlineLevel="1">
      <c r="A86" s="153">
        <f t="shared" si="1"/>
        <v>46290</v>
      </c>
      <c r="B86" s="139" t="s">
        <v>340</v>
      </c>
      <c r="C86" s="145" t="str">
        <f>_xlfn.XLOOKUP(B86,Executive!B:B,Executive!D:D,,0)</f>
        <v>Limit</v>
      </c>
      <c r="D86" s="139" t="s">
        <v>1085</v>
      </c>
      <c r="E86" s="139" t="s">
        <v>127</v>
      </c>
      <c r="F86" s="139" t="s">
        <v>341</v>
      </c>
    </row>
    <row r="87" spans="1:6" outlineLevel="1">
      <c r="A87" s="153">
        <f t="shared" si="1"/>
        <v>46290</v>
      </c>
      <c r="B87" s="139" t="s">
        <v>342</v>
      </c>
      <c r="C87" s="145" t="str">
        <f>_xlfn.XLOOKUP(B87,Executive!B:B,Executive!D:D,,0)</f>
        <v>Mức sử dụng</v>
      </c>
      <c r="D87" s="139" t="s">
        <v>1085</v>
      </c>
      <c r="E87" s="139" t="s">
        <v>127</v>
      </c>
      <c r="F87" s="139" t="s">
        <v>343</v>
      </c>
    </row>
    <row r="88" spans="1:6" outlineLevel="1">
      <c r="A88" s="153">
        <f t="shared" si="1"/>
        <v>46290</v>
      </c>
      <c r="B88" s="139" t="s">
        <v>131</v>
      </c>
      <c r="C88" s="364">
        <f>_xlfn.XLOOKUP(B88,Executive!B:B,Executive!D:D,,0)</f>
        <v>20000</v>
      </c>
      <c r="D88" s="139" t="s">
        <v>1085</v>
      </c>
      <c r="E88" s="139" t="s">
        <v>127</v>
      </c>
      <c r="F88" s="139" t="s">
        <v>341</v>
      </c>
    </row>
    <row r="89" spans="1:6" outlineLevel="1">
      <c r="A89" s="153">
        <f t="shared" si="1"/>
        <v>46290</v>
      </c>
      <c r="B89" s="139" t="s">
        <v>132</v>
      </c>
      <c r="C89" s="362">
        <f>_xlfn.XLOOKUP(B89,Executive!B:B,Executive!D:D,,0)</f>
        <v>0.87565000000000004</v>
      </c>
      <c r="D89" s="139" t="s">
        <v>1085</v>
      </c>
      <c r="E89" s="139" t="s">
        <v>127</v>
      </c>
      <c r="F89" s="139" t="s">
        <v>343</v>
      </c>
    </row>
    <row r="90" spans="1:6" outlineLevel="1">
      <c r="A90" s="374">
        <f t="shared" si="1"/>
        <v>46290</v>
      </c>
      <c r="B90" s="375" t="s">
        <v>203</v>
      </c>
      <c r="C90" s="376"/>
      <c r="D90" s="375" t="s">
        <v>1085</v>
      </c>
      <c r="E90" s="375" t="s">
        <v>127</v>
      </c>
      <c r="F90" s="375" t="s">
        <v>1086</v>
      </c>
    </row>
    <row r="91" spans="1:6" outlineLevel="1">
      <c r="A91" s="153">
        <f t="shared" si="1"/>
        <v>46290</v>
      </c>
      <c r="B91" s="139" t="s">
        <v>344</v>
      </c>
      <c r="C91" s="145" t="str">
        <f>_xlfn.XLOOKUP(B91,Executive!B:B,Executive!D:D,,0)</f>
        <v>Lỗ MtM còn lại</v>
      </c>
      <c r="D91" s="139" t="s">
        <v>1085</v>
      </c>
      <c r="E91" s="139" t="s">
        <v>72</v>
      </c>
      <c r="F91" s="139" t="s">
        <v>320</v>
      </c>
    </row>
    <row r="92" spans="1:6" outlineLevel="1">
      <c r="A92" s="374">
        <f t="shared" si="1"/>
        <v>46290</v>
      </c>
      <c r="B92" s="375" t="s">
        <v>345</v>
      </c>
      <c r="C92" s="376"/>
      <c r="D92" s="375" t="s">
        <v>1085</v>
      </c>
      <c r="E92" s="375" t="s">
        <v>72</v>
      </c>
      <c r="F92" s="375" t="s">
        <v>323</v>
      </c>
    </row>
    <row r="93" spans="1:6" outlineLevel="1">
      <c r="A93" s="153">
        <f t="shared" si="1"/>
        <v>46290</v>
      </c>
      <c r="B93" s="139" t="s">
        <v>204</v>
      </c>
      <c r="C93" s="145" t="str">
        <f>_xlfn.XLOOKUP(B93,Executive!B:B,Executive!D:D,,0)</f>
        <v>Lưu ý: Đang trong trạng thái phê duyệt ngoại lệ</v>
      </c>
      <c r="D93" s="139" t="s">
        <v>1085</v>
      </c>
      <c r="E93" s="139" t="s">
        <v>72</v>
      </c>
      <c r="F93" s="139" t="s">
        <v>346</v>
      </c>
    </row>
    <row r="94" spans="1:6" outlineLevel="1">
      <c r="A94" s="153">
        <f t="shared" si="1"/>
        <v>46290</v>
      </c>
      <c r="B94" s="139" t="s">
        <v>143</v>
      </c>
      <c r="C94" s="145">
        <f>_xlfn.XLOOKUP(B94,Executive!B:B,Executive!D:D,,0)</f>
        <v>1634</v>
      </c>
      <c r="D94" s="139" t="s">
        <v>1085</v>
      </c>
      <c r="E94" s="139" t="s">
        <v>72</v>
      </c>
      <c r="F94" s="139" t="s">
        <v>324</v>
      </c>
    </row>
    <row r="95" spans="1:6" outlineLevel="1">
      <c r="A95" s="153">
        <f t="shared" si="1"/>
        <v>46290</v>
      </c>
      <c r="B95" s="139" t="s">
        <v>144</v>
      </c>
      <c r="C95" s="145">
        <f>_xlfn.XLOOKUP(B95,Executive!B:B,Executive!D:D,,0)</f>
        <v>0</v>
      </c>
      <c r="D95" s="139" t="s">
        <v>1085</v>
      </c>
      <c r="E95" s="139" t="s">
        <v>72</v>
      </c>
      <c r="F95" s="139" t="s">
        <v>32</v>
      </c>
    </row>
    <row r="96" spans="1:6" outlineLevel="1">
      <c r="A96" s="153">
        <f t="shared" si="1"/>
        <v>46290</v>
      </c>
      <c r="B96" s="139" t="s">
        <v>347</v>
      </c>
      <c r="C96" s="145" t="str">
        <f>_xlfn.XLOOKUP(B96,Executive!B:B,Executive!D:D,,0)</f>
        <v>Trading Book sau giảm trừ giao dịch đã bán chưa thanh toán</v>
      </c>
      <c r="D96" s="139" t="s">
        <v>1085</v>
      </c>
      <c r="E96" s="139" t="s">
        <v>72</v>
      </c>
      <c r="F96" s="139" t="s">
        <v>164</v>
      </c>
    </row>
    <row r="97" spans="1:6" outlineLevel="1">
      <c r="A97" s="153">
        <f t="shared" si="1"/>
        <v>46290</v>
      </c>
      <c r="B97" s="139" t="s">
        <v>349</v>
      </c>
      <c r="C97" s="145" t="str">
        <f>_xlfn.XLOOKUP(B97,Executive!B:B,Executive!D:D,,0)</f>
        <v>Hạn mức lỗ MtM</v>
      </c>
      <c r="D97" s="139" t="s">
        <v>1085</v>
      </c>
      <c r="E97" s="139" t="s">
        <v>72</v>
      </c>
      <c r="F97" s="139" t="s">
        <v>338</v>
      </c>
    </row>
    <row r="98" spans="1:6" outlineLevel="1">
      <c r="A98" s="153">
        <f t="shared" si="1"/>
        <v>46290</v>
      </c>
      <c r="B98" s="139" t="s">
        <v>145</v>
      </c>
      <c r="C98" s="145">
        <f>_xlfn.XLOOKUP(B98,Executive!B:B,Executive!D:D,,0)</f>
        <v>500</v>
      </c>
      <c r="D98" s="139" t="s">
        <v>1085</v>
      </c>
      <c r="E98" s="139" t="s">
        <v>72</v>
      </c>
      <c r="F98" s="139" t="s">
        <v>341</v>
      </c>
    </row>
    <row r="99" spans="1:6" outlineLevel="1">
      <c r="A99" s="153">
        <f t="shared" si="1"/>
        <v>46290</v>
      </c>
      <c r="B99" s="139" t="s">
        <v>146</v>
      </c>
      <c r="C99" s="361">
        <f>_xlfn.XLOOKUP(B99,Executive!B:B,Executive!D:D,,0)</f>
        <v>3.2679999999999998</v>
      </c>
      <c r="D99" s="139" t="s">
        <v>1085</v>
      </c>
      <c r="E99" s="139" t="s">
        <v>72</v>
      </c>
      <c r="F99" s="139" t="s">
        <v>343</v>
      </c>
    </row>
    <row r="100" spans="1:6" outlineLevel="1">
      <c r="A100" s="153">
        <f t="shared" si="1"/>
        <v>46290</v>
      </c>
      <c r="B100" s="139" t="s">
        <v>352</v>
      </c>
      <c r="C100" s="145" t="str">
        <f>_xlfn.XLOOKUP(B100,Executive!B:B,Executive!D:D,,0)</f>
        <v>Kịch bản bất lợi với giao dịch BO chưa xác nhận</v>
      </c>
      <c r="D100" s="139" t="s">
        <v>1085</v>
      </c>
      <c r="E100" s="139" t="s">
        <v>351</v>
      </c>
      <c r="F100" s="139" t="s">
        <v>320</v>
      </c>
    </row>
    <row r="101" spans="1:6" outlineLevel="1">
      <c r="A101" s="153">
        <f t="shared" si="1"/>
        <v>46290</v>
      </c>
      <c r="B101" s="139" t="s">
        <v>354</v>
      </c>
      <c r="C101" s="145" t="str">
        <f>_xlfn.XLOOKUP(B101,Executive!B:B,Executive!D:D,,0)</f>
        <v>Rủi ro trọng yếu</v>
      </c>
      <c r="D101" s="139" t="s">
        <v>1085</v>
      </c>
      <c r="E101" s="139" t="s">
        <v>351</v>
      </c>
      <c r="F101" s="139" t="s">
        <v>323</v>
      </c>
    </row>
    <row r="102" spans="1:6" outlineLevel="1">
      <c r="A102" s="153">
        <f t="shared" si="1"/>
        <v>46290</v>
      </c>
      <c r="B102" s="139" t="s">
        <v>147</v>
      </c>
      <c r="C102" s="145">
        <f>_xlfn.XLOOKUP(B102,Executive!B:B,Executive!D:D,,0)</f>
        <v>2016</v>
      </c>
      <c r="D102" s="139" t="s">
        <v>1085</v>
      </c>
      <c r="E102" s="139" t="s">
        <v>351</v>
      </c>
      <c r="F102" s="139" t="s">
        <v>324</v>
      </c>
    </row>
    <row r="103" spans="1:6" outlineLevel="1">
      <c r="A103" s="153">
        <f t="shared" si="1"/>
        <v>46290</v>
      </c>
      <c r="B103" s="139" t="s">
        <v>148</v>
      </c>
      <c r="C103" s="145">
        <f>_xlfn.XLOOKUP(B103,Executive!B:B,Executive!D:D,,0)</f>
        <v>-287.58941675390042</v>
      </c>
      <c r="D103" s="139" t="s">
        <v>1085</v>
      </c>
      <c r="E103" s="139" t="s">
        <v>351</v>
      </c>
      <c r="F103" s="139" t="s">
        <v>32</v>
      </c>
    </row>
    <row r="104" spans="1:6" outlineLevel="1">
      <c r="A104" s="153">
        <f t="shared" si="1"/>
        <v>46290</v>
      </c>
      <c r="B104" s="139" t="s">
        <v>356</v>
      </c>
      <c r="C104" s="145" t="str">
        <f>_xlfn.XLOOKUP(B104,Executive!B:B,Executive!D:D,,0)</f>
        <v>Lỗ MtM tiềm ẩn gia tăng nếu giao dịch BO chưa xác nhận có thể bị đối tác hủy khi thị trường bất lợi</v>
      </c>
      <c r="D104" s="139" t="s">
        <v>1085</v>
      </c>
      <c r="E104" s="139" t="s">
        <v>351</v>
      </c>
      <c r="F104" s="139" t="s">
        <v>164</v>
      </c>
    </row>
    <row r="105" spans="1:6" outlineLevel="1">
      <c r="A105" s="153">
        <f t="shared" si="1"/>
        <v>46290</v>
      </c>
      <c r="B105" s="139" t="s">
        <v>358</v>
      </c>
      <c r="C105" s="145" t="str">
        <f>_xlfn.XLOOKUP(B105,Executive!B:B,Executive!D:D,,0)</f>
        <v>T/h các giao dịch này thực hiện thanh toán thành công thì ngân hàng sẽ ghi nhận bổ sung vào KQKD phần lãi (+)/lỗ (-) là</v>
      </c>
      <c r="D105" s="139" t="s">
        <v>1085</v>
      </c>
      <c r="E105" s="139" t="s">
        <v>351</v>
      </c>
      <c r="F105" s="139" t="s">
        <v>359</v>
      </c>
    </row>
    <row r="106" spans="1:6" outlineLevel="1">
      <c r="A106" s="153">
        <f t="shared" si="1"/>
        <v>46290</v>
      </c>
      <c r="B106" s="139" t="s">
        <v>194</v>
      </c>
      <c r="C106" s="145">
        <f>_xlfn.XLOOKUP(B106,Executive!B:B,Executive!D:D,,0)</f>
        <v>-36.107355439899997</v>
      </c>
      <c r="D106" s="139" t="s">
        <v>1085</v>
      </c>
      <c r="E106" s="139" t="s">
        <v>351</v>
      </c>
      <c r="F106" s="139" t="s">
        <v>100</v>
      </c>
    </row>
    <row r="107" spans="1:6" outlineLevel="1">
      <c r="A107" s="153">
        <f t="shared" si="1"/>
        <v>46290</v>
      </c>
      <c r="B107" s="139" t="s">
        <v>361</v>
      </c>
      <c r="C107" s="145" t="str">
        <f>_xlfn.XLOOKUP(B107,Executive!B:B,Executive!D:D,,0)</f>
        <v>tỷ.</v>
      </c>
      <c r="D107" s="139" t="s">
        <v>1085</v>
      </c>
      <c r="E107" s="139" t="s">
        <v>351</v>
      </c>
      <c r="F107" s="139" t="s">
        <v>362</v>
      </c>
    </row>
    <row r="108" spans="1:6" outlineLevel="1">
      <c r="A108" s="153">
        <f t="shared" si="1"/>
        <v>46290</v>
      </c>
      <c r="B108" s="139" t="s">
        <v>364</v>
      </c>
      <c r="C108" s="145" t="str">
        <f>_xlfn.XLOOKUP(B108,Executive!B:B,Executive!D:D,,0)</f>
        <v>Áp lực suy giảm NIM 2026</v>
      </c>
      <c r="D108" s="139" t="s">
        <v>1085</v>
      </c>
      <c r="E108" s="139" t="s">
        <v>81</v>
      </c>
      <c r="F108" s="139" t="s">
        <v>320</v>
      </c>
    </row>
    <row r="109" spans="1:6" outlineLevel="1">
      <c r="A109" s="153">
        <f t="shared" si="1"/>
        <v>46290</v>
      </c>
      <c r="B109" s="139" t="s">
        <v>366</v>
      </c>
      <c r="C109" s="145" t="str">
        <f>_xlfn.XLOOKUP(B109,Executive!B:B,Executive!D:D,,0)</f>
        <v>Độ nhạy NIM</v>
      </c>
      <c r="D109" s="139" t="s">
        <v>1085</v>
      </c>
      <c r="E109" s="139" t="s">
        <v>81</v>
      </c>
      <c r="F109" s="139" t="s">
        <v>323</v>
      </c>
    </row>
    <row r="110" spans="1:6" outlineLevel="1">
      <c r="A110" s="153">
        <f t="shared" si="1"/>
        <v>46290</v>
      </c>
      <c r="B110" s="139" t="s">
        <v>151</v>
      </c>
      <c r="C110" s="385">
        <f>_xlfn.XLOOKUP(B110,Executive!B:B,Executive!D:D,,0)</f>
        <v>109.26200000000001</v>
      </c>
      <c r="D110" s="139" t="s">
        <v>1085</v>
      </c>
      <c r="E110" s="139" t="s">
        <v>81</v>
      </c>
      <c r="F110" s="139" t="s">
        <v>324</v>
      </c>
    </row>
    <row r="111" spans="1:6" outlineLevel="1">
      <c r="A111" s="374">
        <f t="shared" si="1"/>
        <v>46290</v>
      </c>
      <c r="B111" s="375" t="s">
        <v>152</v>
      </c>
      <c r="C111" s="376"/>
      <c r="D111" s="375" t="s">
        <v>1085</v>
      </c>
      <c r="E111" s="375" t="s">
        <v>81</v>
      </c>
      <c r="F111" s="375" t="s">
        <v>32</v>
      </c>
    </row>
    <row r="112" spans="1:6" outlineLevel="1">
      <c r="A112" s="153">
        <f t="shared" si="1"/>
        <v>46290</v>
      </c>
      <c r="B112" s="139" t="s">
        <v>367</v>
      </c>
      <c r="C112" s="145" t="str">
        <f>_xlfn.XLOOKUP(B112,Executive!B:B,Executive!D:D,,0)</f>
        <v>NIM giảm bao nhiêu nếu CoF tăng thêm 1%</v>
      </c>
      <c r="D112" s="139" t="s">
        <v>1085</v>
      </c>
      <c r="E112" s="139" t="s">
        <v>81</v>
      </c>
      <c r="F112" s="139" t="s">
        <v>332</v>
      </c>
    </row>
    <row r="113" spans="1:6" outlineLevel="1">
      <c r="A113" s="374">
        <f t="shared" si="1"/>
        <v>46290</v>
      </c>
      <c r="B113" s="375" t="s">
        <v>149</v>
      </c>
      <c r="C113" s="377"/>
      <c r="D113" s="375" t="s">
        <v>1085</v>
      </c>
      <c r="E113" s="375" t="s">
        <v>81</v>
      </c>
      <c r="F113" s="375" t="s">
        <v>181</v>
      </c>
    </row>
    <row r="114" spans="1:6" outlineLevel="1">
      <c r="A114" s="153">
        <f t="shared" si="1"/>
        <v>46290</v>
      </c>
      <c r="B114" s="139" t="s">
        <v>368</v>
      </c>
      <c r="C114" s="145" t="str">
        <f>_xlfn.XLOOKUP(B114,Executive!B:B,Executive!D:D,,0)</f>
        <v>Từ tháng 9 đến YE2026, giả định danh mục không thay đổi (chỉ điều chỉnh các deal valuedate trong tương lai lần lượt chuyển từ ngoại bảng vào nội bảng), nếu COF tăng thêm</v>
      </c>
      <c r="D114" s="139" t="s">
        <v>1085</v>
      </c>
      <c r="E114" s="139" t="s">
        <v>81</v>
      </c>
      <c r="F114" s="139" t="s">
        <v>369</v>
      </c>
    </row>
    <row r="115" spans="1:6" outlineLevel="1">
      <c r="A115" s="153">
        <f t="shared" si="1"/>
        <v>46290</v>
      </c>
      <c r="B115" s="139" t="s">
        <v>182</v>
      </c>
      <c r="C115" s="145" t="str">
        <f>_xlfn.XLOOKUP(B115,Executive!B:B,Executive!D:D,,0)</f>
        <v>1%</v>
      </c>
      <c r="D115" s="139" t="s">
        <v>1085</v>
      </c>
      <c r="E115" s="139" t="s">
        <v>81</v>
      </c>
      <c r="F115" s="139" t="s">
        <v>370</v>
      </c>
    </row>
    <row r="116" spans="1:6" outlineLevel="1">
      <c r="A116" s="153">
        <f t="shared" si="1"/>
        <v>46290</v>
      </c>
      <c r="B116" s="139" t="s">
        <v>372</v>
      </c>
      <c r="C116" s="145" t="str">
        <f>_xlfn.XLOOKUP(B116,Executive!B:B,Executive!D:D,,0)</f>
        <v>sẽ làm NIM giảm thêm ~</v>
      </c>
      <c r="D116" s="139" t="s">
        <v>1085</v>
      </c>
      <c r="E116" s="139" t="s">
        <v>81</v>
      </c>
      <c r="F116" s="139" t="s">
        <v>335</v>
      </c>
    </row>
    <row r="117" spans="1:6" outlineLevel="1">
      <c r="A117" s="153">
        <f t="shared" si="1"/>
        <v>46290</v>
      </c>
      <c r="B117" s="139" t="s">
        <v>183</v>
      </c>
      <c r="C117" s="145">
        <f>_xlfn.XLOOKUP(B117,Executive!B:B,Executive!D:D,,0)</f>
        <v>26</v>
      </c>
      <c r="D117" s="139" t="s">
        <v>1085</v>
      </c>
      <c r="E117" s="139" t="s">
        <v>81</v>
      </c>
      <c r="F117" s="139" t="s">
        <v>373</v>
      </c>
    </row>
    <row r="118" spans="1:6" outlineLevel="1">
      <c r="A118" s="153">
        <f t="shared" si="1"/>
        <v>46290</v>
      </c>
      <c r="B118" s="139" t="s">
        <v>374</v>
      </c>
      <c r="C118" s="145" t="str">
        <f>_xlfn.XLOOKUP(B118,Executive!B:B,Executive!D:D,,0)</f>
        <v>tỷ đồng/tháng.</v>
      </c>
      <c r="D118" s="139" t="s">
        <v>1085</v>
      </c>
      <c r="E118" s="139" t="s">
        <v>81</v>
      </c>
      <c r="F118" s="139" t="s">
        <v>375</v>
      </c>
    </row>
    <row r="119" spans="1:6" outlineLevel="1">
      <c r="A119" s="153">
        <f t="shared" si="1"/>
        <v>46290</v>
      </c>
      <c r="B119" s="139" t="s">
        <v>377</v>
      </c>
      <c r="C119" s="145" t="str">
        <f>_xlfn.XLOOKUP(B119,Executive!B:B,Executive!D:D,,0)</f>
        <v>Banking Gbond được tài trợ bởi Tiền gửi Hệ thống</v>
      </c>
      <c r="D119" s="139" t="s">
        <v>1085</v>
      </c>
      <c r="E119" s="139" t="s">
        <v>376</v>
      </c>
      <c r="F119" s="139" t="s">
        <v>320</v>
      </c>
    </row>
    <row r="120" spans="1:6" outlineLevel="1">
      <c r="A120" s="374">
        <f t="shared" si="1"/>
        <v>46290</v>
      </c>
      <c r="B120" s="375" t="s">
        <v>379</v>
      </c>
      <c r="C120" s="376"/>
      <c r="D120" s="375" t="s">
        <v>1085</v>
      </c>
      <c r="E120" s="375" t="s">
        <v>376</v>
      </c>
      <c r="F120" s="375" t="s">
        <v>323</v>
      </c>
    </row>
    <row r="121" spans="1:6" outlineLevel="1">
      <c r="A121" s="153">
        <f t="shared" si="1"/>
        <v>46290</v>
      </c>
      <c r="B121" s="139" t="s">
        <v>133</v>
      </c>
      <c r="C121" s="145" t="str">
        <f>_xlfn.XLOOKUP(B121,Executive!B:B,Executive!D:D,,0)</f>
        <v>12,000</v>
      </c>
      <c r="D121" s="139" t="s">
        <v>1085</v>
      </c>
      <c r="E121" s="139" t="s">
        <v>376</v>
      </c>
      <c r="F121" s="139" t="s">
        <v>324</v>
      </c>
    </row>
    <row r="122" spans="1:6" outlineLevel="1">
      <c r="A122" s="153">
        <f t="shared" si="1"/>
        <v>46290</v>
      </c>
      <c r="B122" s="139" t="s">
        <v>134</v>
      </c>
      <c r="C122" s="145">
        <f>_xlfn.XLOOKUP(B122,Executive!B:B,Executive!D:D,,0)</f>
        <v>0</v>
      </c>
      <c r="D122" s="139" t="s">
        <v>1085</v>
      </c>
      <c r="E122" s="139" t="s">
        <v>376</v>
      </c>
      <c r="F122" s="139" t="s">
        <v>32</v>
      </c>
    </row>
    <row r="123" spans="1:6" outlineLevel="1">
      <c r="A123" s="153">
        <f t="shared" si="1"/>
        <v>46290</v>
      </c>
      <c r="B123" s="139" t="s">
        <v>381</v>
      </c>
      <c r="C123" s="145" t="str">
        <f>_xlfn.XLOOKUP(B123,Executive!B:B,Executive!D:D,,0)</f>
        <v>Hệ thống tài trợ 12k tỷ để dự phòng thanh khoản cho kịch bản rút tiền gửi, tương ứng 10.848 tỷ theo mệnh giá.</v>
      </c>
      <c r="D123" s="139" t="s">
        <v>1085</v>
      </c>
      <c r="E123" s="139" t="s">
        <v>376</v>
      </c>
      <c r="F123" s="139" t="s">
        <v>164</v>
      </c>
    </row>
    <row r="124" spans="1:6" outlineLevel="1">
      <c r="A124" s="153">
        <f t="shared" si="1"/>
        <v>46290</v>
      </c>
      <c r="B124" s="139" t="s">
        <v>382</v>
      </c>
      <c r="C124" s="145" t="str">
        <f>_xlfn.XLOOKUP(B124,Executive!B:B,Executive!D:D,,0)</f>
        <v>Lưu ý:</v>
      </c>
      <c r="D124" s="139" t="s">
        <v>1085</v>
      </c>
      <c r="E124" s="139" t="s">
        <v>376</v>
      </c>
      <c r="F124" s="139" t="s">
        <v>383</v>
      </c>
    </row>
    <row r="125" spans="1:6" outlineLevel="1">
      <c r="A125" s="153">
        <f t="shared" si="1"/>
        <v>46290</v>
      </c>
      <c r="B125" s="139" t="s">
        <v>279</v>
      </c>
      <c r="C125" s="145" t="str">
        <f>_xlfn.XLOOKUP(B125,Executive!B:B,Executive!D:D,,0)</f>
        <v>Danh mục này có thể chịu các rủi ro tiềm ẩn IRRBB ở 02 khía cạnh sau :(1) Rủi ro tăng chi phí vốn tài trợ làm gia tăng chi phí thanh khoản phân bổ trong FTP ;(2) Rủi ro giảm giá trị: Mặc dù là Banking GBond nắm giữ để dự phòng thanh khoản, không phải để Trading, nhưng vẫn tiềm ẩn rủi ro Giảm giá trị (do đánh giá mtm) và có thể ghi nhận lỗ vào KQKD trong trường hợp buộc phải bán để đáp ứng nhu cầu thanh toán trong điều kiện căng thẳng thanh khoản.</v>
      </c>
      <c r="D125" s="139" t="s">
        <v>1085</v>
      </c>
      <c r="E125" s="139" t="s">
        <v>376</v>
      </c>
      <c r="F125" s="139" t="s">
        <v>385</v>
      </c>
    </row>
    <row r="126" spans="1:6" outlineLevel="1">
      <c r="A126" s="153">
        <f t="shared" si="1"/>
        <v>46290</v>
      </c>
      <c r="B126" s="139" t="s">
        <v>387</v>
      </c>
      <c r="C126" s="145" t="str">
        <f>_xlfn.XLOOKUP(B126,Executive!B:B,Executive!D:D,,0)</f>
        <v>Mức tài trợ từ Tiền gửi hệ thống (do ALCO phê duyệt)</v>
      </c>
      <c r="D126" s="139" t="s">
        <v>1085</v>
      </c>
      <c r="E126" s="139" t="s">
        <v>376</v>
      </c>
      <c r="F126" s="139" t="s">
        <v>388</v>
      </c>
    </row>
    <row r="127" spans="1:6" outlineLevel="1">
      <c r="A127" s="153">
        <f t="shared" si="1"/>
        <v>46290</v>
      </c>
      <c r="B127" s="139" t="s">
        <v>135</v>
      </c>
      <c r="C127" s="145" t="str">
        <f>_xlfn.XLOOKUP(B127,Executive!B:B,Executive!D:D,,0)</f>
        <v>12,000</v>
      </c>
      <c r="D127" s="139" t="s">
        <v>1085</v>
      </c>
      <c r="E127" s="139" t="s">
        <v>376</v>
      </c>
      <c r="F127" s="139" t="s">
        <v>341</v>
      </c>
    </row>
    <row r="128" spans="1:6" outlineLevel="1">
      <c r="A128" s="153">
        <f t="shared" si="1"/>
        <v>46290</v>
      </c>
      <c r="B128" s="139" t="s">
        <v>136</v>
      </c>
      <c r="C128" s="361">
        <f>_xlfn.XLOOKUP(B128,Executive!B:B,Executive!D:D,,0)</f>
        <v>1</v>
      </c>
      <c r="D128" s="139" t="s">
        <v>1085</v>
      </c>
      <c r="E128" s="139" t="s">
        <v>376</v>
      </c>
      <c r="F128" s="139" t="s">
        <v>343</v>
      </c>
    </row>
    <row r="129" spans="1:6" outlineLevel="1">
      <c r="A129" s="374">
        <f t="shared" si="1"/>
        <v>46290</v>
      </c>
      <c r="B129" s="375" t="s">
        <v>205</v>
      </c>
      <c r="C129" s="376"/>
      <c r="D129" s="375" t="s">
        <v>1085</v>
      </c>
      <c r="E129" s="375" t="s">
        <v>376</v>
      </c>
      <c r="F129" s="375" t="s">
        <v>390</v>
      </c>
    </row>
    <row r="130" spans="1:6" outlineLevel="1">
      <c r="A130" s="153">
        <f t="shared" ref="A130:A193" si="2">RPT</f>
        <v>46290</v>
      </c>
      <c r="B130" s="139" t="s">
        <v>392</v>
      </c>
      <c r="C130" s="145" t="str">
        <f>_xlfn.XLOOKUP(B130,Executive!B:B,Executive!D:D,,0)</f>
        <v>Banking Gbond dự phòng thanh khoản</v>
      </c>
      <c r="D130" s="139" t="s">
        <v>1085</v>
      </c>
      <c r="E130" s="139" t="s">
        <v>391</v>
      </c>
      <c r="F130" s="139" t="s">
        <v>320</v>
      </c>
    </row>
    <row r="131" spans="1:6" outlineLevel="1">
      <c r="A131" s="374">
        <f t="shared" si="2"/>
        <v>46290</v>
      </c>
      <c r="B131" s="375" t="s">
        <v>394</v>
      </c>
      <c r="C131" s="376"/>
      <c r="D131" s="375" t="s">
        <v>1085</v>
      </c>
      <c r="E131" s="375" t="s">
        <v>391</v>
      </c>
      <c r="F131" s="375" t="s">
        <v>323</v>
      </c>
    </row>
    <row r="132" spans="1:6" outlineLevel="1">
      <c r="A132" s="153">
        <f t="shared" si="2"/>
        <v>46290</v>
      </c>
      <c r="B132" s="139" t="s">
        <v>137</v>
      </c>
      <c r="C132" s="145">
        <f ca="1">_xlfn.XLOOKUP(B132,Executive!B:B,Executive!D:D,,0)</f>
        <v>10769</v>
      </c>
      <c r="D132" s="139" t="s">
        <v>1085</v>
      </c>
      <c r="E132" s="139" t="s">
        <v>391</v>
      </c>
      <c r="F132" s="139" t="s">
        <v>324</v>
      </c>
    </row>
    <row r="133" spans="1:6" outlineLevel="1">
      <c r="A133" s="153">
        <f t="shared" si="2"/>
        <v>46290</v>
      </c>
      <c r="B133" s="139" t="s">
        <v>138</v>
      </c>
      <c r="C133" s="145">
        <f ca="1">_xlfn.XLOOKUP(B133,Executive!B:B,Executive!D:D,,0)</f>
        <v>-4560</v>
      </c>
      <c r="D133" s="139" t="s">
        <v>1085</v>
      </c>
      <c r="E133" s="139" t="s">
        <v>391</v>
      </c>
      <c r="F133" s="139" t="s">
        <v>32</v>
      </c>
    </row>
    <row r="134" spans="1:6" outlineLevel="1">
      <c r="A134" s="153">
        <f t="shared" si="2"/>
        <v>46290</v>
      </c>
      <c r="B134" s="139" t="s">
        <v>395</v>
      </c>
      <c r="C134" s="145" t="str">
        <f>_xlfn.XLOOKUP(B134,Executive!B:B,Executive!D:D,,0)</f>
        <v>Nguồn Gbond còn lại có thể sử dụng cho mục tiêu dự phòng thanh khoản</v>
      </c>
      <c r="D134" s="139" t="s">
        <v>1085</v>
      </c>
      <c r="E134" s="139" t="s">
        <v>391</v>
      </c>
      <c r="F134" s="139" t="s">
        <v>164</v>
      </c>
    </row>
    <row r="135" spans="1:6" outlineLevel="1">
      <c r="A135" s="153">
        <f t="shared" si="2"/>
        <v>46290</v>
      </c>
      <c r="B135" s="139" t="s">
        <v>397</v>
      </c>
      <c r="C135" s="145" t="str">
        <f>_xlfn.XLOOKUP(B135,Executive!B:B,Executive!D:D,,0)</f>
        <v>Mức dự phòng thanh khoản mục tiêu</v>
      </c>
      <c r="D135" s="139" t="s">
        <v>1085</v>
      </c>
      <c r="E135" s="139" t="s">
        <v>391</v>
      </c>
      <c r="F135" s="139" t="s">
        <v>388</v>
      </c>
    </row>
    <row r="136" spans="1:6" outlineLevel="1">
      <c r="A136" s="153">
        <f t="shared" si="2"/>
        <v>46290</v>
      </c>
      <c r="B136" s="139" t="s">
        <v>399</v>
      </c>
      <c r="C136" s="145" t="str">
        <f>_xlfn.XLOOKUP(B136,Executive!B:B,Executive!D:D,,0)</f>
        <v>Target</v>
      </c>
      <c r="D136" s="139" t="s">
        <v>1085</v>
      </c>
      <c r="E136" s="139" t="s">
        <v>391</v>
      </c>
      <c r="F136" s="139" t="s">
        <v>400</v>
      </c>
    </row>
    <row r="137" spans="1:6" outlineLevel="1">
      <c r="A137" s="153">
        <f t="shared" si="2"/>
        <v>46290</v>
      </c>
      <c r="B137" s="139" t="s">
        <v>139</v>
      </c>
      <c r="C137" s="145">
        <f ca="1">_xlfn.XLOOKUP(B137,Executive!B:B,Executive!D:D,,0)</f>
        <v>10300</v>
      </c>
      <c r="D137" s="139" t="s">
        <v>1085</v>
      </c>
      <c r="E137" s="139" t="s">
        <v>391</v>
      </c>
      <c r="F137" s="139" t="s">
        <v>401</v>
      </c>
    </row>
    <row r="138" spans="1:6" outlineLevel="1">
      <c r="A138" s="153">
        <f t="shared" si="2"/>
        <v>46290</v>
      </c>
      <c r="B138" s="139" t="s">
        <v>668</v>
      </c>
      <c r="C138" s="147" t="str">
        <f>_xlfn.XLOOKUP(B138,Executive!B:B,Executive!D:D,,0)</f>
        <v>Ngưỡng cảnh báo</v>
      </c>
      <c r="D138" s="139" t="s">
        <v>1085</v>
      </c>
      <c r="E138" s="139" t="s">
        <v>391</v>
      </c>
      <c r="F138" s="139" t="s">
        <v>669</v>
      </c>
    </row>
    <row r="139" spans="1:6" outlineLevel="1">
      <c r="A139" s="153">
        <f t="shared" si="2"/>
        <v>46290</v>
      </c>
      <c r="B139" s="139" t="s">
        <v>671</v>
      </c>
      <c r="C139" s="147">
        <f>_xlfn.XLOOKUP(B139,Executive!B:B,Executive!D:D,,0)</f>
        <v>8000</v>
      </c>
      <c r="D139" s="139" t="s">
        <v>1085</v>
      </c>
      <c r="E139" s="139" t="s">
        <v>391</v>
      </c>
      <c r="F139" s="139" t="s">
        <v>672</v>
      </c>
    </row>
    <row r="140" spans="1:6" outlineLevel="1">
      <c r="A140" s="153">
        <f t="shared" si="2"/>
        <v>46290</v>
      </c>
      <c r="B140" s="139" t="s">
        <v>402</v>
      </c>
      <c r="C140" s="145" t="str">
        <f>_xlfn.XLOOKUP(B140,Executive!B:B,Executive!D:D,,0)</f>
        <v>Mức sử dụng so với mục tiêu</v>
      </c>
      <c r="D140" s="139" t="s">
        <v>1085</v>
      </c>
      <c r="E140" s="139" t="s">
        <v>391</v>
      </c>
      <c r="F140" s="139" t="s">
        <v>403</v>
      </c>
    </row>
    <row r="141" spans="1:6" outlineLevel="1">
      <c r="A141" s="153">
        <f t="shared" si="2"/>
        <v>46290</v>
      </c>
      <c r="B141" s="139" t="s">
        <v>140</v>
      </c>
      <c r="C141" s="361">
        <f ca="1">_xlfn.XLOOKUP(B141,Executive!B:B,Executive!D:D,,0)</f>
        <v>1.0455339805825243</v>
      </c>
      <c r="D141" s="139" t="s">
        <v>1085</v>
      </c>
      <c r="E141" s="139" t="s">
        <v>391</v>
      </c>
      <c r="F141" s="139" t="s">
        <v>404</v>
      </c>
    </row>
    <row r="142" spans="1:6" outlineLevel="1">
      <c r="A142" s="153">
        <f t="shared" si="2"/>
        <v>46290</v>
      </c>
      <c r="B142" s="139" t="s">
        <v>405</v>
      </c>
      <c r="C142" s="145" t="str">
        <f>_xlfn.XLOOKUP(B142,Executive!B:B,Executive!D:D,,0)</f>
        <v>&gt;=100%: Xanh - Đáp ứng tốt</v>
      </c>
      <c r="D142" s="139" t="s">
        <v>1085</v>
      </c>
      <c r="E142" s="139" t="s">
        <v>391</v>
      </c>
      <c r="F142" s="139" t="s">
        <v>406</v>
      </c>
    </row>
    <row r="143" spans="1:6" outlineLevel="1">
      <c r="A143" s="153">
        <f t="shared" si="2"/>
        <v>46290</v>
      </c>
      <c r="B143" s="139" t="s">
        <v>408</v>
      </c>
      <c r="C143" s="145" t="str">
        <f>_xlfn.XLOOKUP(B143,Executive!B:B,Executive!D:D,,0)</f>
        <v>&lt;100%: Vàng - Thiếu hụt so với mục tiêu</v>
      </c>
      <c r="D143" s="139" t="s">
        <v>1085</v>
      </c>
      <c r="E143" s="139" t="s">
        <v>391</v>
      </c>
      <c r="F143" s="139" t="s">
        <v>409</v>
      </c>
    </row>
    <row r="144" spans="1:6" outlineLevel="1">
      <c r="A144" s="153">
        <f t="shared" si="2"/>
        <v>46290</v>
      </c>
      <c r="B144" s="139" t="s">
        <v>410</v>
      </c>
      <c r="C144" s="145" t="str">
        <f>_xlfn.XLOOKUP(B144,Executive!B:B,Executive!D:D,,0)</f>
        <v>&lt;70%: Đỏ - Cảnh báo suy giảm năng lực ứng phó căng thẳng thanh khoản (tương đương Ngưỡng cảnh báo 8.000 tỷ theo y/c của ALCO</v>
      </c>
      <c r="D144" s="139" t="s">
        <v>1085</v>
      </c>
      <c r="E144" s="139" t="s">
        <v>391</v>
      </c>
      <c r="F144" s="139" t="s">
        <v>411</v>
      </c>
    </row>
    <row r="145" spans="1:6" outlineLevel="1">
      <c r="A145" s="153">
        <f t="shared" si="2"/>
        <v>46290</v>
      </c>
      <c r="B145" s="139" t="s">
        <v>412</v>
      </c>
      <c r="C145" s="145" t="str">
        <f>_xlfn.XLOOKUP(B145,Executive!B:B,Executive!D:D,,0)</f>
        <v>&lt;b&gt;Lưu ý:&lt;/b&gt; Danh mục đã về trên ngưỡng cảnh báo 8.000 tỷ nhưng vẫn thấp hơn mức target (là mức được tài trợ từ TT1 để dự phòng các kịch bản rút tiền gửi đột xuất/nghiêm trọng).&lt;br&gt;&lt;span style="color:#344054;font-weight:500;"&gt;Theo đó &lt;b&gt;việc tối ưu Banking book&lt;/b&gt; trong điều kiện bình thường (nếu có) chỉ nên được cân đối ngắn hạn và cần điều chỉnh các kế hoạch cân nguồn để đưa Giá trị danh mục về mức mục tiêu&lt;/span&gt;</v>
      </c>
      <c r="D145" s="139" t="s">
        <v>1085</v>
      </c>
      <c r="E145" s="139" t="s">
        <v>391</v>
      </c>
      <c r="F145" s="139" t="s">
        <v>413</v>
      </c>
    </row>
    <row r="146" spans="1:6" outlineLevel="1">
      <c r="A146" s="374">
        <f t="shared" si="2"/>
        <v>46290</v>
      </c>
      <c r="B146" s="375" t="s">
        <v>206</v>
      </c>
      <c r="C146" s="376"/>
      <c r="D146" s="375" t="s">
        <v>1085</v>
      </c>
      <c r="E146" s="375" t="s">
        <v>391</v>
      </c>
      <c r="F146" s="375" t="s">
        <v>414</v>
      </c>
    </row>
    <row r="147" spans="1:6" outlineLevel="1">
      <c r="A147" s="153">
        <f t="shared" si="2"/>
        <v>46290</v>
      </c>
      <c r="B147" s="139" t="s">
        <v>416</v>
      </c>
      <c r="C147" s="145" t="str">
        <f>_xlfn.XLOOKUP(B147,Executive!B:B,Executive!D:D,,0)</f>
        <v>Mức giảm giá theo MtM - Banking Gbond</v>
      </c>
      <c r="D147" s="139" t="s">
        <v>1085</v>
      </c>
      <c r="E147" s="139" t="s">
        <v>415</v>
      </c>
      <c r="F147" s="139" t="s">
        <v>320</v>
      </c>
    </row>
    <row r="148" spans="1:6" outlineLevel="1">
      <c r="A148" s="153">
        <f t="shared" si="2"/>
        <v>46290</v>
      </c>
      <c r="B148" s="139" t="s">
        <v>417</v>
      </c>
      <c r="C148" s="145" t="str">
        <f>_xlfn.XLOOKUP(B148,Executive!B:B,Executive!D:D,,0)</f>
        <v>Áp lực đánh giá lại</v>
      </c>
      <c r="D148" s="139" t="s">
        <v>1085</v>
      </c>
      <c r="E148" s="139" t="s">
        <v>415</v>
      </c>
      <c r="F148" s="139" t="s">
        <v>323</v>
      </c>
    </row>
    <row r="149" spans="1:6" outlineLevel="1">
      <c r="A149" s="153">
        <f t="shared" si="2"/>
        <v>46290</v>
      </c>
      <c r="B149" s="139" t="s">
        <v>141</v>
      </c>
      <c r="C149" s="145">
        <f>_xlfn.XLOOKUP(B149,Executive!B:B,Executive!D:D,,0)</f>
        <v>1740.2885239605</v>
      </c>
      <c r="D149" s="139" t="s">
        <v>1085</v>
      </c>
      <c r="E149" s="139" t="s">
        <v>415</v>
      </c>
      <c r="F149" s="139" t="s">
        <v>324</v>
      </c>
    </row>
    <row r="150" spans="1:6" outlineLevel="1">
      <c r="A150" s="153">
        <f t="shared" si="2"/>
        <v>46290</v>
      </c>
      <c r="B150" s="139" t="s">
        <v>142</v>
      </c>
      <c r="C150" s="145">
        <f>_xlfn.XLOOKUP(B150,Executive!B:B,Executive!D:D,,0)</f>
        <v>0</v>
      </c>
      <c r="D150" s="139" t="s">
        <v>1085</v>
      </c>
      <c r="E150" s="139" t="s">
        <v>415</v>
      </c>
      <c r="F150" s="139" t="s">
        <v>32</v>
      </c>
    </row>
    <row r="151" spans="1:6" outlineLevel="1">
      <c r="A151" s="153">
        <f t="shared" si="2"/>
        <v>46290</v>
      </c>
      <c r="B151" s="139" t="s">
        <v>419</v>
      </c>
      <c r="C151" s="145" t="str">
        <f>_xlfn.XLOOKUP(B151,Executive!B:B,Executive!D:D,,0)</f>
        <v>Mức suy giảm giá trị theo MtM của danh mục Banking Gbond</v>
      </c>
      <c r="D151" s="139" t="s">
        <v>1085</v>
      </c>
      <c r="E151" s="139" t="s">
        <v>415</v>
      </c>
      <c r="F151" s="139" t="s">
        <v>164</v>
      </c>
    </row>
    <row r="152" spans="1:6" outlineLevel="1">
      <c r="A152" s="153">
        <f t="shared" si="2"/>
        <v>46290</v>
      </c>
      <c r="B152" s="139" t="s">
        <v>421</v>
      </c>
      <c r="C152" s="145" t="str">
        <f>_xlfn.XLOOKUP(B152,Executive!B:B,Executive!D:D,,0)</f>
        <v>&lt;b&gt;CẢNH BÁO:&lt;/b&gt; Việc giảm giá MtM đối với danh mục này có thể tác động vào lãi/lỗ kinh doanh trong kịch bản MSB phải bán (thay vì cầm cố/repo/OMO) Gbond Banking Book để đáp ứng nhu cầu thanh khoản trong các kịch bản căng thẳng/rút tiền gửi lớn.</v>
      </c>
      <c r="D152" s="139" t="s">
        <v>1085</v>
      </c>
      <c r="E152" s="139" t="s">
        <v>415</v>
      </c>
      <c r="F152" s="139" t="s">
        <v>422</v>
      </c>
    </row>
    <row r="153" spans="1:6" outlineLevel="1">
      <c r="A153" s="153">
        <f t="shared" si="2"/>
        <v>46290</v>
      </c>
      <c r="B153" s="139" t="s">
        <v>424</v>
      </c>
      <c r="C153" s="145" t="str">
        <f>_xlfn.XLOOKUP(B153,Executive!B:B,Executive!D:D,,0)</f>
        <v>Khuyến nghị DCM/ALM đề xuất Cấp có thẩm quyền phương án quản lý:</v>
      </c>
      <c r="D153" s="139" t="s">
        <v>1085</v>
      </c>
      <c r="E153" s="139" t="s">
        <v>415</v>
      </c>
      <c r="F153" s="139" t="s">
        <v>425</v>
      </c>
    </row>
    <row r="154" spans="1:6" outlineLevel="1">
      <c r="A154" s="153">
        <f t="shared" si="2"/>
        <v>46290</v>
      </c>
      <c r="B154" s="139" t="s">
        <v>427</v>
      </c>
      <c r="C154" s="145" t="str">
        <f>_xlfn.XLOOKUP(B154,Executive!B:B,Executive!D:D,,0)</f>
        <v>(i) Phòng ngừa rủi ro giảm giá MtM gia tăng của danh mục Banking Gbond;</v>
      </c>
      <c r="D154" s="139" t="s">
        <v>1085</v>
      </c>
      <c r="E154" s="139" t="s">
        <v>415</v>
      </c>
      <c r="F154" s="139" t="s">
        <v>428</v>
      </c>
    </row>
    <row r="155" spans="1:6" outlineLevel="1">
      <c r="A155" s="153">
        <f t="shared" si="2"/>
        <v>46290</v>
      </c>
      <c r="B155" s="139" t="s">
        <v>430</v>
      </c>
      <c r="C155" s="145" t="str">
        <f>_xlfn.XLOOKUP(B155,Executive!B:B,Executive!D:D,,0)</f>
        <v>(ii) Xem xét phương án phân bổ vào chi phí thanh khoản nói chung (nếu cần) để giảm tác động tiêu cực vào PnL trong tương lai nếu buộc phải bán để đáp ứng thanh khoản.</v>
      </c>
      <c r="D155" s="139" t="s">
        <v>1085</v>
      </c>
      <c r="E155" s="139" t="s">
        <v>415</v>
      </c>
      <c r="F155" s="139" t="s">
        <v>431</v>
      </c>
    </row>
    <row r="156" spans="1:6" outlineLevel="1">
      <c r="A156" s="153">
        <f t="shared" si="2"/>
        <v>46290</v>
      </c>
      <c r="B156" s="139" t="s">
        <v>434</v>
      </c>
      <c r="C156" s="145" t="str">
        <f>_xlfn.XLOOKUP(B156,Executive!B:B,Executive!D:D,,0)</f>
        <v>Tình hình rủi ro Danh mục Trái phiếu TCTD</v>
      </c>
      <c r="D156" s="139" t="s">
        <v>1085</v>
      </c>
      <c r="E156" s="139" t="s">
        <v>433</v>
      </c>
      <c r="F156" s="139" t="s">
        <v>317</v>
      </c>
    </row>
    <row r="157" spans="1:6" outlineLevel="1">
      <c r="A157" s="153">
        <f t="shared" si="2"/>
        <v>46290</v>
      </c>
      <c r="B157" s="139" t="s">
        <v>436</v>
      </c>
      <c r="C157" s="145" t="str">
        <f>_xlfn.XLOOKUP(B157,Executive!B:B,Executive!D:D,,0)</f>
        <v>Trạng thái rủi ro Bond&amp;CD-FI</v>
      </c>
      <c r="D157" s="139" t="s">
        <v>1085</v>
      </c>
      <c r="E157" s="139" t="s">
        <v>433</v>
      </c>
      <c r="F157" s="139" t="s">
        <v>320</v>
      </c>
    </row>
    <row r="158" spans="1:6" outlineLevel="1">
      <c r="A158" s="374">
        <f t="shared" si="2"/>
        <v>46290</v>
      </c>
      <c r="B158" s="375" t="s">
        <v>437</v>
      </c>
      <c r="C158" s="376"/>
      <c r="D158" s="375" t="s">
        <v>1085</v>
      </c>
      <c r="E158" s="375" t="s">
        <v>433</v>
      </c>
      <c r="F158" s="375" t="s">
        <v>323</v>
      </c>
    </row>
    <row r="159" spans="1:6" outlineLevel="1">
      <c r="A159" s="153">
        <f t="shared" si="2"/>
        <v>46290</v>
      </c>
      <c r="B159" s="139" t="s">
        <v>186</v>
      </c>
      <c r="C159" s="145">
        <f>_xlfn.XLOOKUP(B159,Executive!B:B,Executive!D:D,,0)</f>
        <v>39414</v>
      </c>
      <c r="D159" s="139" t="s">
        <v>1085</v>
      </c>
      <c r="E159" s="139" t="s">
        <v>433</v>
      </c>
      <c r="F159" s="139" t="s">
        <v>324</v>
      </c>
    </row>
    <row r="160" spans="1:6" outlineLevel="1">
      <c r="A160" s="153">
        <f t="shared" si="2"/>
        <v>46290</v>
      </c>
      <c r="B160" s="139" t="s">
        <v>438</v>
      </c>
      <c r="C160" s="145" t="str">
        <f>_xlfn.XLOOKUP(B160,Executive!B:B,Executive!D:D,,0)</f>
        <v>Lợi suất bình quân của DM</v>
      </c>
      <c r="D160" s="139" t="s">
        <v>1085</v>
      </c>
      <c r="E160" s="139" t="s">
        <v>433</v>
      </c>
      <c r="F160" s="139" t="s">
        <v>439</v>
      </c>
    </row>
    <row r="161" spans="1:6" outlineLevel="1">
      <c r="A161" s="153">
        <f t="shared" si="2"/>
        <v>46290</v>
      </c>
      <c r="B161" s="139" t="s">
        <v>188</v>
      </c>
      <c r="C161" s="148">
        <f>_xlfn.XLOOKUP(B161,Executive!B:B,Executive!D:D,,0)</f>
        <v>7.6020316335849297E-2</v>
      </c>
      <c r="D161" s="139" t="s">
        <v>1085</v>
      </c>
      <c r="E161" s="139" t="s">
        <v>433</v>
      </c>
      <c r="F161" s="139" t="s">
        <v>441</v>
      </c>
    </row>
    <row r="162" spans="1:6" outlineLevel="1">
      <c r="A162" s="153">
        <f t="shared" si="2"/>
        <v>46290</v>
      </c>
      <c r="B162" s="139" t="s">
        <v>207</v>
      </c>
      <c r="C162" s="145" t="str">
        <f>_xlfn.XLOOKUP(B162,Executive!B:B,Executive!D:D,,0)</f>
        <v>Lưu ý: Hiện tại, TGĐ đã cho chủ trương xem xét giữ hạn mức ở 45k tỷ. MSB chưa tái đầu tư tăng danh mục FI bond sau khi các FI bond đáo hạn, tổng danh mục hiện tại đang ở quanh vùng 40k tỷ, đã bao gồm 637 tr KGS Trái phiếu của Kyrzystan MSB trúng thầu vào ngày 13/07 (tương đương 191 tỷ VND)</v>
      </c>
      <c r="D162" s="139" t="s">
        <v>1085</v>
      </c>
      <c r="E162" s="139" t="s">
        <v>433</v>
      </c>
      <c r="F162" s="139" t="s">
        <v>346</v>
      </c>
    </row>
    <row r="163" spans="1:6" outlineLevel="1">
      <c r="A163" s="153">
        <f t="shared" si="2"/>
        <v>46290</v>
      </c>
      <c r="B163" s="139" t="s">
        <v>442</v>
      </c>
      <c r="C163" s="145" t="str">
        <f>_xlfn.XLOOKUP(B163,Executive!B:B,Executive!D:D,,0)</f>
        <v>Hạn mức tối đa Danh mục Bond &amp; CD-FI</v>
      </c>
      <c r="D163" s="139" t="s">
        <v>1085</v>
      </c>
      <c r="E163" s="139" t="s">
        <v>433</v>
      </c>
      <c r="F163" s="139" t="s">
        <v>388</v>
      </c>
    </row>
    <row r="164" spans="1:6" outlineLevel="1">
      <c r="A164" s="153">
        <f t="shared" si="2"/>
        <v>46290</v>
      </c>
      <c r="B164" s="139" t="s">
        <v>192</v>
      </c>
      <c r="C164" s="145">
        <f>_xlfn.XLOOKUP(B164,Executive!B:B,Executive!D:D,,0)</f>
        <v>45000</v>
      </c>
      <c r="D164" s="139" t="s">
        <v>1085</v>
      </c>
      <c r="E164" s="139" t="s">
        <v>433</v>
      </c>
      <c r="F164" s="139" t="s">
        <v>341</v>
      </c>
    </row>
    <row r="165" spans="1:6" outlineLevel="1">
      <c r="A165" s="153">
        <f t="shared" si="2"/>
        <v>46290</v>
      </c>
      <c r="B165" s="139" t="s">
        <v>193</v>
      </c>
      <c r="C165" s="361">
        <f>_xlfn.XLOOKUP(B165,Executive!B:B,Executive!D:D,,0)</f>
        <v>0.87590000000000001</v>
      </c>
      <c r="D165" s="139" t="s">
        <v>1085</v>
      </c>
      <c r="E165" s="139" t="s">
        <v>433</v>
      </c>
      <c r="F165" s="139" t="s">
        <v>343</v>
      </c>
    </row>
    <row r="166" spans="1:6" outlineLevel="1">
      <c r="A166" s="153">
        <f t="shared" si="2"/>
        <v>46290</v>
      </c>
      <c r="B166" s="139" t="s">
        <v>445</v>
      </c>
      <c r="C166" s="145" t="str">
        <f>_xlfn.XLOOKUP(B166,Executive!B:B,Executive!D:D,,0)</f>
        <v>Ước tính điểm hòa vốn và rủi ro lỗ NIM</v>
      </c>
      <c r="D166" s="139" t="s">
        <v>1085</v>
      </c>
      <c r="E166" s="139" t="s">
        <v>444</v>
      </c>
      <c r="F166" s="139" t="s">
        <v>320</v>
      </c>
    </row>
    <row r="167" spans="1:6" outlineLevel="1">
      <c r="A167" s="153">
        <f t="shared" si="2"/>
        <v>46290</v>
      </c>
      <c r="B167" s="139" t="s">
        <v>447</v>
      </c>
      <c r="C167" s="145" t="str">
        <f>_xlfn.XLOOKUP(B167,Executive!B:B,Executive!D:D,,0)</f>
        <v>Rủi ro NIM</v>
      </c>
      <c r="D167" s="139" t="s">
        <v>1085</v>
      </c>
      <c r="E167" s="139" t="s">
        <v>444</v>
      </c>
      <c r="F167" s="139" t="s">
        <v>323</v>
      </c>
    </row>
    <row r="168" spans="1:6" outlineLevel="1">
      <c r="A168" s="153">
        <f t="shared" si="2"/>
        <v>46290</v>
      </c>
      <c r="B168" s="139" t="s">
        <v>449</v>
      </c>
      <c r="C168" s="145" t="str">
        <f>_xlfn.XLOOKUP(B168,Executive!B:B,Executive!D:D,,0)</f>
        <v>Nếu funding cost để tài trợ nguồn cho DM = lợi suất bình quân của DM (</v>
      </c>
      <c r="D168" s="139" t="s">
        <v>1085</v>
      </c>
      <c r="E168" s="139" t="s">
        <v>444</v>
      </c>
      <c r="F168" s="139" t="s">
        <v>450</v>
      </c>
    </row>
    <row r="169" spans="1:6" outlineLevel="1">
      <c r="A169" s="153">
        <f t="shared" si="2"/>
        <v>46290</v>
      </c>
      <c r="B169" s="139" t="s">
        <v>452</v>
      </c>
      <c r="C169" s="145" t="str">
        <f>_xlfn.XLOOKUP(B169,Executive!B:B,Executive!D:D,,0)</f>
        <v>) thì</v>
      </c>
      <c r="D169" s="139" t="s">
        <v>1085</v>
      </c>
      <c r="E169" s="139" t="s">
        <v>444</v>
      </c>
      <c r="F169" s="139" t="s">
        <v>453</v>
      </c>
    </row>
    <row r="170" spans="1:6" outlineLevel="1">
      <c r="A170" s="153">
        <f t="shared" si="2"/>
        <v>46290</v>
      </c>
      <c r="B170" s="139" t="s">
        <v>455</v>
      </c>
      <c r="C170" s="145" t="str">
        <f>_xlfn.XLOOKUP(B170,Executive!B:B,Executive!D:D,,0)</f>
        <v>Hòa vốn</v>
      </c>
      <c r="D170" s="139" t="s">
        <v>1085</v>
      </c>
      <c r="E170" s="139" t="s">
        <v>444</v>
      </c>
      <c r="F170" s="139" t="s">
        <v>456</v>
      </c>
    </row>
    <row r="171" spans="1:6" outlineLevel="1">
      <c r="A171" s="153">
        <f t="shared" si="2"/>
        <v>46290</v>
      </c>
      <c r="B171" s="139" t="s">
        <v>457</v>
      </c>
      <c r="C171" s="145" t="str">
        <f>_xlfn.XLOOKUP(B171,Executive!B:B,Executive!D:D,,0)</f>
        <v>Nếu funding cost &gt; Lợi suất BQ thì DM sẽ</v>
      </c>
      <c r="D171" s="139" t="s">
        <v>1085</v>
      </c>
      <c r="E171" s="139" t="s">
        <v>444</v>
      </c>
      <c r="F171" s="139" t="s">
        <v>458</v>
      </c>
    </row>
    <row r="172" spans="1:6" outlineLevel="1">
      <c r="A172" s="153">
        <f t="shared" si="2"/>
        <v>46290</v>
      </c>
      <c r="B172" s="139" t="s">
        <v>460</v>
      </c>
      <c r="C172" s="145" t="str">
        <f>_xlfn.XLOOKUP(B172,Executive!B:B,Executive!D:D,,0)</f>
        <v>Lỗ</v>
      </c>
      <c r="D172" s="139" t="s">
        <v>1085</v>
      </c>
      <c r="E172" s="139" t="s">
        <v>444</v>
      </c>
      <c r="F172" s="139" t="s">
        <v>461</v>
      </c>
    </row>
    <row r="173" spans="1:6" outlineLevel="1">
      <c r="A173" s="153">
        <f t="shared" si="2"/>
        <v>46290</v>
      </c>
      <c r="B173" s="139" t="s">
        <v>462</v>
      </c>
      <c r="C173" s="145" t="str">
        <f>_xlfn.XLOOKUP(B173,Executive!B:B,Executive!D:D,,0)</f>
        <v>Nếu funding cost tăng</v>
      </c>
      <c r="D173" s="139" t="s">
        <v>1085</v>
      </c>
      <c r="E173" s="139" t="s">
        <v>444</v>
      </c>
      <c r="F173" s="139" t="s">
        <v>463</v>
      </c>
    </row>
    <row r="174" spans="1:6" outlineLevel="1">
      <c r="A174" s="153">
        <f t="shared" si="2"/>
        <v>46290</v>
      </c>
      <c r="B174" s="139" t="s">
        <v>189</v>
      </c>
      <c r="C174" s="145" t="str">
        <f>_xlfn.XLOOKUP(B174,Executive!B:B,Executive!D:D,,0)</f>
        <v>1%</v>
      </c>
      <c r="D174" s="139" t="s">
        <v>1085</v>
      </c>
      <c r="E174" s="139" t="s">
        <v>444</v>
      </c>
      <c r="F174" s="139" t="s">
        <v>465</v>
      </c>
    </row>
    <row r="175" spans="1:6" outlineLevel="1">
      <c r="A175" s="153">
        <f t="shared" si="2"/>
        <v>46290</v>
      </c>
      <c r="B175" s="139" t="s">
        <v>466</v>
      </c>
      <c r="C175" s="145" t="str">
        <f>_xlfn.XLOOKUP(B175,Executive!B:B,Executive!D:D,,0)</f>
        <v>thì DM sẽ bị giảm NII là</v>
      </c>
      <c r="D175" s="139" t="s">
        <v>1085</v>
      </c>
      <c r="E175" s="139" t="s">
        <v>444</v>
      </c>
      <c r="F175" s="139" t="s">
        <v>467</v>
      </c>
    </row>
    <row r="176" spans="1:6" outlineLevel="1">
      <c r="A176" s="153">
        <f t="shared" si="2"/>
        <v>46290</v>
      </c>
      <c r="B176" s="139" t="s">
        <v>190</v>
      </c>
      <c r="C176" s="145">
        <f>_xlfn.XLOOKUP(B176,Executive!B:B,Executive!D:D,,0)</f>
        <v>25</v>
      </c>
      <c r="D176" s="139" t="s">
        <v>1085</v>
      </c>
      <c r="E176" s="139" t="s">
        <v>444</v>
      </c>
      <c r="F176" s="139" t="s">
        <v>469</v>
      </c>
    </row>
    <row r="177" spans="1:6" outlineLevel="1">
      <c r="A177" s="153">
        <f t="shared" si="2"/>
        <v>46290</v>
      </c>
      <c r="B177" s="139" t="s">
        <v>470</v>
      </c>
      <c r="C177" s="145" t="str">
        <f>_xlfn.XLOOKUP(B177,Executive!B:B,Executive!D:D,,0)</f>
        <v>tỷ/tháng</v>
      </c>
      <c r="D177" s="139" t="s">
        <v>1085</v>
      </c>
      <c r="E177" s="139" t="s">
        <v>444</v>
      </c>
      <c r="F177" s="139" t="s">
        <v>471</v>
      </c>
    </row>
    <row r="178" spans="1:6" outlineLevel="1">
      <c r="A178" s="153">
        <f t="shared" si="2"/>
        <v>46290</v>
      </c>
      <c r="B178" s="139" t="s">
        <v>473</v>
      </c>
      <c r="C178" s="145">
        <f>_xlfn.XLOOKUP(B178,Executive!B:B,Executive!D:D,,0)</f>
        <v>0</v>
      </c>
      <c r="D178" s="139" t="s">
        <v>1085</v>
      </c>
      <c r="E178" s="139" t="s">
        <v>472</v>
      </c>
      <c r="F178" s="139" t="s">
        <v>474</v>
      </c>
    </row>
    <row r="179" spans="1:6" outlineLevel="1">
      <c r="A179" s="153">
        <f t="shared" si="2"/>
        <v>46290</v>
      </c>
      <c r="B179" s="139" t="s">
        <v>475</v>
      </c>
      <c r="C179" s="145">
        <f>_xlfn.XLOOKUP(B179,Executive!B:B,Executive!D:D,,0)</f>
        <v>0</v>
      </c>
      <c r="D179" s="139" t="s">
        <v>1085</v>
      </c>
      <c r="E179" s="139" t="s">
        <v>472</v>
      </c>
      <c r="F179" s="139" t="s">
        <v>476</v>
      </c>
    </row>
    <row r="180" spans="1:6" outlineLevel="1">
      <c r="A180" s="153">
        <f t="shared" si="2"/>
        <v>46290</v>
      </c>
      <c r="B180" s="139" t="s">
        <v>478</v>
      </c>
      <c r="C180" s="145" t="str">
        <f>_xlfn.XLOOKUP(B180,Executive!B:B,Executive!D:D,,0)</f>
        <v>2. Các nội dung cần lưu ý</v>
      </c>
      <c r="D180" s="139" t="s">
        <v>1085</v>
      </c>
      <c r="E180" s="139" t="s">
        <v>477</v>
      </c>
      <c r="F180" s="139" t="s">
        <v>305</v>
      </c>
    </row>
    <row r="181" spans="1:6" outlineLevel="1">
      <c r="A181" s="153">
        <f t="shared" si="2"/>
        <v>46290</v>
      </c>
      <c r="B181" s="139" t="s">
        <v>480</v>
      </c>
      <c r="C181" s="145" t="str">
        <f>_xlfn.XLOOKUP(B181,Executive!B:B,Executive!D:D,,0)</f>
        <v>1. Bảo toàn bộ đệm thanh khoản Banking Gbond</v>
      </c>
      <c r="D181" s="139" t="s">
        <v>1085</v>
      </c>
      <c r="E181" s="139" t="s">
        <v>477</v>
      </c>
      <c r="F181" s="139" t="s">
        <v>481</v>
      </c>
    </row>
    <row r="182" spans="1:6" outlineLevel="1">
      <c r="A182" s="153">
        <f t="shared" si="2"/>
        <v>46290</v>
      </c>
      <c r="B182" s="139" t="s">
        <v>483</v>
      </c>
      <c r="C182" s="145" t="str">
        <f>_xlfn.XLOOKUP(B182,Executive!B:B,Executive!D:D,,0)</f>
        <v>Chỉ tối ưu Banking Gbond trên cơ sở vẫn duy trì đủ tài sản thanh khoản khả dụng cho các kịch bản bất thường</v>
      </c>
      <c r="D182" s="139" t="s">
        <v>1085</v>
      </c>
      <c r="E182" s="139" t="s">
        <v>477</v>
      </c>
      <c r="F182" s="139" t="s">
        <v>484</v>
      </c>
    </row>
    <row r="183" spans="1:6" outlineLevel="1">
      <c r="A183" s="153">
        <f t="shared" si="2"/>
        <v>46290</v>
      </c>
      <c r="B183" s="139" t="s">
        <v>486</v>
      </c>
      <c r="C183" s="145" t="str">
        <f>_xlfn.XLOOKUP(B183,Executive!B:B,Executive!D:D,,0)</f>
        <v>2. Lưu ý Quản lý lỗ/giảm giá trị đối với Banking Gbond</v>
      </c>
      <c r="D183" s="139" t="s">
        <v>1085</v>
      </c>
      <c r="E183" s="139" t="s">
        <v>477</v>
      </c>
      <c r="F183" s="139" t="s">
        <v>487</v>
      </c>
    </row>
    <row r="184" spans="1:6" outlineLevel="1">
      <c r="A184" s="153">
        <f t="shared" si="2"/>
        <v>46290</v>
      </c>
      <c r="B184" s="139" t="s">
        <v>489</v>
      </c>
      <c r="C184" s="145" t="str">
        <f>_xlfn.XLOOKUP(B184,Executive!B:B,Executive!D:D,,0)</f>
        <v>Đối với danh mục Gbond Banking Book, rủi ro chính theo thông lệ quản trị là áp lực NIM do chênh lệch giữa chi phí vốn tài trợ và lợi suất đầu tư. Tuy nhiên, trong kịch bản thanh khoản khẩn cấp, nếu MSB phải bán trái phiếu thay vì repo/OMO để đáp ứng chi trả, phần giảm giá theo MtM có thể chuyển thành lỗ thực ghi nhận vào KQKD.=&gt;Khuyến nghị ALM theo dõi riêng rủi ro này đối với danh mục Banking Book thuộc thẩm quyền quản lý; đồng thời xây dựng phương án xử lý/phòng ngừa phù hợp và báo cáo cấp có thẩm quyền khi cần.</v>
      </c>
      <c r="D184" s="139" t="s">
        <v>1085</v>
      </c>
      <c r="E184" s="139" t="s">
        <v>477</v>
      </c>
      <c r="F184" s="139" t="s">
        <v>490</v>
      </c>
    </row>
    <row r="185" spans="1:6" outlineLevel="1">
      <c r="A185" s="153">
        <f t="shared" si="2"/>
        <v>46290</v>
      </c>
      <c r="B185" s="139" t="s">
        <v>492</v>
      </c>
      <c r="C185" s="145" t="str">
        <f>_xlfn.XLOOKUP(B185,Executive!B:B,Executive!D:D,,0)</f>
        <v>3.Kiểm soát rủi ro NIM/carry của Bond&amp;CD-FI</v>
      </c>
      <c r="D185" s="139" t="s">
        <v>1085</v>
      </c>
      <c r="E185" s="139" t="s">
        <v>477</v>
      </c>
      <c r="F185" s="139" t="s">
        <v>493</v>
      </c>
    </row>
    <row r="186" spans="1:6" outlineLevel="1">
      <c r="A186" s="153">
        <f t="shared" si="2"/>
        <v>46290</v>
      </c>
      <c r="B186" s="139" t="s">
        <v>495</v>
      </c>
      <c r="C186" s="145" t="str">
        <f>_xlfn.XLOOKUP(B186,Executive!B:B,Executive!D:D,,0)</f>
        <v>(1) Đánh giá danh mục Bond&amp;CD-FI theo chênh lệch lợi suất danh mục và funding cost; (2) Theo dõi điểm hòa vốn, mức giảm NII hàng tháng và có phương án tái cơ cấu nếu chi phí vốn duy trì cao; (3) Xem xét đầu tư các Bond&amp; CD có L/s coupon tốt nhưng kỳ hạn còn lại đến đáo hạn ngắn để thu hẹp mở GAP và giảm thời gian chịu rủi ro chi phí vốn tăng.</v>
      </c>
      <c r="D186" s="139" t="s">
        <v>1085</v>
      </c>
      <c r="E186" s="139" t="s">
        <v>477</v>
      </c>
      <c r="F186" s="139" t="s">
        <v>496</v>
      </c>
    </row>
    <row r="187" spans="1:6" outlineLevel="1">
      <c r="A187" s="153">
        <f t="shared" si="2"/>
        <v>46290</v>
      </c>
      <c r="B187" s="139" t="s">
        <v>498</v>
      </c>
      <c r="C187" s="145" t="str">
        <f>_xlfn.XLOOKUP(B187,Executive!B:B,Executive!D:D,,0)</f>
        <v>4. Quản lý các giao dịch BO chưa xác nhận</v>
      </c>
      <c r="D187" s="139" t="s">
        <v>1085</v>
      </c>
      <c r="E187" s="139" t="s">
        <v>477</v>
      </c>
      <c r="F187" s="139" t="s">
        <v>499</v>
      </c>
    </row>
    <row r="188" spans="1:6" outlineLevel="1">
      <c r="A188" s="153">
        <f t="shared" si="2"/>
        <v>46290</v>
      </c>
      <c r="B188" s="139" t="s">
        <v>501</v>
      </c>
      <c r="C188" s="145" t="str">
        <f>_xlfn.XLOOKUP(B188,Executive!B:B,Executive!D:D,,0)</f>
        <v>DCM cần thúc đẩy hoàn thiện hồ sơ chứng từ đủ điện kiện để BO xác nhận giao dịch với đối tác, giảm rủi ro bị đối tác hủy giao dịch và MSB có thể phải ghi nhận tăng lỗ mtm từ giao dịch bị hủy và ghi nhận trở lại MSB.</v>
      </c>
      <c r="D188" s="139" t="s">
        <v>1085</v>
      </c>
      <c r="E188" s="139" t="s">
        <v>477</v>
      </c>
      <c r="F188" s="139" t="s">
        <v>502</v>
      </c>
    </row>
    <row r="189" spans="1:6" outlineLevel="1">
      <c r="A189" s="153">
        <f t="shared" si="2"/>
        <v>46290</v>
      </c>
      <c r="B189" s="139" t="s">
        <v>505</v>
      </c>
      <c r="C189" s="145" t="str">
        <f>_xlfn.XLOOKUP(B189,Executive!B:B,Executive!D:D,,0)</f>
        <v>Khe hở thanh khoản lũy kế 1M</v>
      </c>
      <c r="D189" s="139" t="s">
        <v>1085</v>
      </c>
      <c r="E189" s="139" t="s">
        <v>504</v>
      </c>
      <c r="F189" s="139" t="s">
        <v>506</v>
      </c>
    </row>
    <row r="190" spans="1:6" outlineLevel="1">
      <c r="A190" s="153">
        <f t="shared" si="2"/>
        <v>46290</v>
      </c>
      <c r="B190" s="139" t="s">
        <v>508</v>
      </c>
      <c r="C190" s="145">
        <f>_xlfn.XLOOKUP(B190,Executive!B:B,Executive!D:D,,0)</f>
        <v>0</v>
      </c>
      <c r="D190" s="139" t="s">
        <v>1085</v>
      </c>
      <c r="E190" s="139" t="s">
        <v>504</v>
      </c>
      <c r="F190" s="139" t="s">
        <v>509</v>
      </c>
    </row>
    <row r="191" spans="1:6" outlineLevel="1">
      <c r="A191" s="153">
        <f t="shared" si="2"/>
        <v>46290</v>
      </c>
      <c r="B191" s="139" t="s">
        <v>510</v>
      </c>
      <c r="C191" s="145" t="str">
        <f>_xlfn.XLOOKUP(B191,Executive!B:B,Executive!D:D,,0)</f>
        <v>-26.1</v>
      </c>
      <c r="D191" s="139" t="s">
        <v>1085</v>
      </c>
      <c r="E191" s="139" t="s">
        <v>504</v>
      </c>
      <c r="F191" s="139" t="s">
        <v>511</v>
      </c>
    </row>
    <row r="192" spans="1:6" outlineLevel="1">
      <c r="A192" s="153">
        <f t="shared" si="2"/>
        <v>46290</v>
      </c>
      <c r="B192" s="139" t="s">
        <v>513</v>
      </c>
      <c r="C192" s="145" t="str">
        <f>_xlfn.XLOOKUP(B192,Executive!B:B,Executive!D:D,,0)</f>
        <v>Nghìn tỷ VND</v>
      </c>
      <c r="D192" s="139" t="s">
        <v>1085</v>
      </c>
      <c r="E192" s="139" t="s">
        <v>504</v>
      </c>
      <c r="F192" s="139" t="s">
        <v>514</v>
      </c>
    </row>
    <row r="193" spans="1:6" outlineLevel="1">
      <c r="A193" s="153">
        <f t="shared" si="2"/>
        <v>46290</v>
      </c>
      <c r="B193" s="139" t="s">
        <v>516</v>
      </c>
      <c r="C193" s="145" t="str">
        <f>_xlfn.XLOOKUP(B193,Executive!B:B,Executive!D:D,,0)</f>
        <v>-22</v>
      </c>
      <c r="D193" s="139" t="s">
        <v>1085</v>
      </c>
      <c r="E193" s="139" t="s">
        <v>504</v>
      </c>
      <c r="F193" s="139" t="s">
        <v>517</v>
      </c>
    </row>
    <row r="194" spans="1:6" outlineLevel="1">
      <c r="A194" s="153">
        <f t="shared" ref="A194:A257" si="3">RPT</f>
        <v>46290</v>
      </c>
      <c r="B194" s="139" t="s">
        <v>519</v>
      </c>
      <c r="C194" s="145" t="str">
        <f>_xlfn.XLOOKUP(B194,Executive!B:B,Executive!D:D,,0)</f>
        <v>Mục tiêu theo dõi tối đa</v>
      </c>
      <c r="D194" s="139" t="s">
        <v>1085</v>
      </c>
      <c r="E194" s="139" t="s">
        <v>504</v>
      </c>
      <c r="F194" s="139" t="s">
        <v>520</v>
      </c>
    </row>
    <row r="195" spans="1:6" outlineLevel="1">
      <c r="A195" s="153">
        <f t="shared" si="3"/>
        <v>46290</v>
      </c>
      <c r="B195" s="139" t="s">
        <v>522</v>
      </c>
      <c r="C195" s="145" t="str">
        <f>_xlfn.XLOOKUP(B195,Executive!B:B,Executive!D:D,,0)</f>
        <v>nghìn tỷ VND</v>
      </c>
      <c r="D195" s="139" t="s">
        <v>1085</v>
      </c>
      <c r="E195" s="139" t="s">
        <v>504</v>
      </c>
      <c r="F195" s="139" t="s">
        <v>523</v>
      </c>
    </row>
    <row r="196" spans="1:6" outlineLevel="1">
      <c r="A196" s="374">
        <f t="shared" si="3"/>
        <v>46290</v>
      </c>
      <c r="B196" s="375" t="s">
        <v>525</v>
      </c>
      <c r="C196" s="376"/>
      <c r="D196" s="375" t="s">
        <v>1085</v>
      </c>
      <c r="E196" s="375" t="s">
        <v>504</v>
      </c>
      <c r="F196" s="375" t="s">
        <v>526</v>
      </c>
    </row>
    <row r="197" spans="1:6" outlineLevel="1">
      <c r="A197" s="153">
        <f t="shared" si="3"/>
        <v>46290</v>
      </c>
      <c r="B197" s="139" t="s">
        <v>527</v>
      </c>
      <c r="C197" s="145" t="str">
        <f>_xlfn.XLOOKUP(B197,Executive!B:B,Executive!D:D,,0)</f>
        <v>false</v>
      </c>
      <c r="D197" s="139" t="s">
        <v>1085</v>
      </c>
      <c r="E197" s="139" t="s">
        <v>504</v>
      </c>
      <c r="F197" s="139" t="s">
        <v>528</v>
      </c>
    </row>
    <row r="198" spans="1:6" outlineLevel="1">
      <c r="A198" s="153">
        <f t="shared" si="3"/>
        <v>46290</v>
      </c>
      <c r="B198" s="139" t="s">
        <v>530</v>
      </c>
      <c r="C198" s="145">
        <f>_xlfn.XLOOKUP(B198,Executive!B:B,Executive!D:D,,0)</f>
        <v>0</v>
      </c>
      <c r="D198" s="139" t="s">
        <v>1085</v>
      </c>
      <c r="E198" s="139" t="s">
        <v>504</v>
      </c>
      <c r="F198" s="139" t="s">
        <v>531</v>
      </c>
    </row>
    <row r="199" spans="1:6" outlineLevel="1">
      <c r="A199" s="153">
        <f t="shared" si="3"/>
        <v>46290</v>
      </c>
      <c r="B199" s="139" t="s">
        <v>532</v>
      </c>
      <c r="C199" s="145">
        <f>_xlfn.XLOOKUP(B199,Executive!B:B,Executive!D:D,,0)</f>
        <v>0</v>
      </c>
      <c r="D199" s="139" t="s">
        <v>1085</v>
      </c>
      <c r="E199" s="139" t="s">
        <v>504</v>
      </c>
      <c r="F199" s="139" t="s">
        <v>533</v>
      </c>
    </row>
    <row r="200" spans="1:6" outlineLevel="1">
      <c r="A200" s="153">
        <f t="shared" si="3"/>
        <v>46290</v>
      </c>
      <c r="B200" s="139" t="s">
        <v>534</v>
      </c>
      <c r="C200" s="145" t="str">
        <f>_xlfn.XLOOKUP(B200,Executive!B:B,Executive!D:D,,0)</f>
        <v>Khe hở thanh khoản lũy kế 3M</v>
      </c>
      <c r="D200" s="139" t="s">
        <v>1085</v>
      </c>
      <c r="E200" s="139" t="s">
        <v>504</v>
      </c>
      <c r="F200" s="139" t="s">
        <v>535</v>
      </c>
    </row>
    <row r="201" spans="1:6" outlineLevel="1">
      <c r="A201" s="153">
        <f t="shared" si="3"/>
        <v>46290</v>
      </c>
      <c r="B201" s="139" t="s">
        <v>537</v>
      </c>
      <c r="C201" s="145">
        <f>_xlfn.XLOOKUP(B201,Executive!B:B,Executive!D:D,,0)</f>
        <v>0</v>
      </c>
      <c r="D201" s="139" t="s">
        <v>1085</v>
      </c>
      <c r="E201" s="139" t="s">
        <v>504</v>
      </c>
      <c r="F201" s="139" t="s">
        <v>538</v>
      </c>
    </row>
    <row r="202" spans="1:6" outlineLevel="1">
      <c r="A202" s="153">
        <f t="shared" si="3"/>
        <v>46290</v>
      </c>
      <c r="B202" s="139" t="s">
        <v>539</v>
      </c>
      <c r="C202" s="145" t="str">
        <f>_xlfn.XLOOKUP(B202,Executive!B:B,Executive!D:D,,0)</f>
        <v>-29.1</v>
      </c>
      <c r="D202" s="139" t="s">
        <v>1085</v>
      </c>
      <c r="E202" s="139" t="s">
        <v>504</v>
      </c>
      <c r="F202" s="139" t="s">
        <v>540</v>
      </c>
    </row>
    <row r="203" spans="1:6" outlineLevel="1">
      <c r="A203" s="153">
        <f t="shared" si="3"/>
        <v>46290</v>
      </c>
      <c r="B203" s="139" t="s">
        <v>542</v>
      </c>
      <c r="C203" s="145" t="str">
        <f>_xlfn.XLOOKUP(B203,Executive!B:B,Executive!D:D,,0)</f>
        <v>Nghìn tỷ VND</v>
      </c>
      <c r="D203" s="139" t="s">
        <v>1085</v>
      </c>
      <c r="E203" s="139" t="s">
        <v>504</v>
      </c>
      <c r="F203" s="139" t="s">
        <v>543</v>
      </c>
    </row>
    <row r="204" spans="1:6" outlineLevel="1">
      <c r="A204" s="153">
        <f t="shared" si="3"/>
        <v>46290</v>
      </c>
      <c r="B204" s="139" t="s">
        <v>544</v>
      </c>
      <c r="C204" s="145" t="str">
        <f>_xlfn.XLOOKUP(B204,Executive!B:B,Executive!D:D,,0)</f>
        <v>-30</v>
      </c>
      <c r="D204" s="139" t="s">
        <v>1085</v>
      </c>
      <c r="E204" s="139" t="s">
        <v>504</v>
      </c>
      <c r="F204" s="139" t="s">
        <v>545</v>
      </c>
    </row>
    <row r="205" spans="1:6" outlineLevel="1">
      <c r="A205" s="153">
        <f t="shared" si="3"/>
        <v>46290</v>
      </c>
      <c r="B205" s="139" t="s">
        <v>547</v>
      </c>
      <c r="C205" s="145" t="str">
        <f>_xlfn.XLOOKUP(B205,Executive!B:B,Executive!D:D,,0)</f>
        <v>Mục tiêu theo dõi tối đa</v>
      </c>
      <c r="D205" s="139" t="s">
        <v>1085</v>
      </c>
      <c r="E205" s="139" t="s">
        <v>504</v>
      </c>
      <c r="F205" s="139" t="s">
        <v>548</v>
      </c>
    </row>
    <row r="206" spans="1:6" outlineLevel="1">
      <c r="A206" s="153">
        <f t="shared" si="3"/>
        <v>46290</v>
      </c>
      <c r="B206" s="139" t="s">
        <v>549</v>
      </c>
      <c r="C206" s="145" t="str">
        <f>_xlfn.XLOOKUP(B206,Executive!B:B,Executive!D:D,,0)</f>
        <v>nghìn tỷ VND</v>
      </c>
      <c r="D206" s="139" t="s">
        <v>1085</v>
      </c>
      <c r="E206" s="139" t="s">
        <v>504</v>
      </c>
      <c r="F206" s="139" t="s">
        <v>550</v>
      </c>
    </row>
    <row r="207" spans="1:6" outlineLevel="1">
      <c r="A207" s="374">
        <f t="shared" si="3"/>
        <v>46290</v>
      </c>
      <c r="B207" s="375" t="s">
        <v>551</v>
      </c>
      <c r="C207" s="376"/>
      <c r="D207" s="375" t="s">
        <v>1085</v>
      </c>
      <c r="E207" s="375" t="s">
        <v>504</v>
      </c>
      <c r="F207" s="375" t="s">
        <v>552</v>
      </c>
    </row>
    <row r="208" spans="1:6" outlineLevel="1">
      <c r="A208" s="153">
        <f t="shared" si="3"/>
        <v>46290</v>
      </c>
      <c r="B208" s="139" t="s">
        <v>553</v>
      </c>
      <c r="C208" s="145" t="str">
        <f>_xlfn.XLOOKUP(B208,Executive!B:B,Executive!D:D,,0)</f>
        <v>false</v>
      </c>
      <c r="D208" s="139" t="s">
        <v>1085</v>
      </c>
      <c r="E208" s="139" t="s">
        <v>504</v>
      </c>
      <c r="F208" s="139" t="s">
        <v>554</v>
      </c>
    </row>
    <row r="209" spans="1:6" outlineLevel="1">
      <c r="A209" s="153">
        <f t="shared" si="3"/>
        <v>46290</v>
      </c>
      <c r="B209" s="139" t="s">
        <v>555</v>
      </c>
      <c r="C209" s="145">
        <f>_xlfn.XLOOKUP(B209,Executive!B:B,Executive!D:D,,0)</f>
        <v>0</v>
      </c>
      <c r="D209" s="139" t="s">
        <v>1085</v>
      </c>
      <c r="E209" s="139" t="s">
        <v>504</v>
      </c>
      <c r="F209" s="139" t="s">
        <v>556</v>
      </c>
    </row>
    <row r="210" spans="1:6" outlineLevel="1">
      <c r="A210" s="153">
        <f t="shared" si="3"/>
        <v>46290</v>
      </c>
      <c r="B210" s="139" t="s">
        <v>557</v>
      </c>
      <c r="C210" s="145">
        <f>_xlfn.XLOOKUP(B210,Executive!B:B,Executive!D:D,,0)</f>
        <v>0</v>
      </c>
      <c r="D210" s="139" t="s">
        <v>1085</v>
      </c>
      <c r="E210" s="139" t="s">
        <v>504</v>
      </c>
      <c r="F210" s="139" t="s">
        <v>558</v>
      </c>
    </row>
    <row r="211" spans="1:6" outlineLevel="1">
      <c r="A211" s="153">
        <f t="shared" si="3"/>
        <v>46290</v>
      </c>
      <c r="B211" s="139" t="s">
        <v>559</v>
      </c>
      <c r="C211" s="145" t="str">
        <f>_xlfn.XLOOKUP(B211,Executive!B:B,Executive!D:D,,0)</f>
        <v>Khe hở tái định giá lũy kế 1M</v>
      </c>
      <c r="D211" s="139" t="s">
        <v>1085</v>
      </c>
      <c r="E211" s="139" t="s">
        <v>504</v>
      </c>
      <c r="F211" s="139" t="s">
        <v>560</v>
      </c>
    </row>
    <row r="212" spans="1:6" outlineLevel="1">
      <c r="A212" s="374">
        <f t="shared" si="3"/>
        <v>46290</v>
      </c>
      <c r="B212" s="375" t="s">
        <v>562</v>
      </c>
      <c r="C212" s="376"/>
      <c r="D212" s="375" t="s">
        <v>1085</v>
      </c>
      <c r="E212" s="375" t="s">
        <v>504</v>
      </c>
      <c r="F212" s="375" t="s">
        <v>563</v>
      </c>
    </row>
    <row r="213" spans="1:6" outlineLevel="1">
      <c r="A213" s="153">
        <f t="shared" si="3"/>
        <v>46290</v>
      </c>
      <c r="B213" s="139" t="s">
        <v>564</v>
      </c>
      <c r="C213" s="145" t="str">
        <f>_xlfn.XLOOKUP(B213,Executive!B:B,Executive!D:D,,0)</f>
        <v>-50.9</v>
      </c>
      <c r="D213" s="139" t="s">
        <v>1085</v>
      </c>
      <c r="E213" s="139" t="s">
        <v>504</v>
      </c>
      <c r="F213" s="139" t="s">
        <v>565</v>
      </c>
    </row>
    <row r="214" spans="1:6" outlineLevel="1">
      <c r="A214" s="153">
        <f t="shared" si="3"/>
        <v>46290</v>
      </c>
      <c r="B214" s="139" t="s">
        <v>567</v>
      </c>
      <c r="C214" s="145" t="str">
        <f>_xlfn.XLOOKUP(B214,Executive!B:B,Executive!D:D,,0)</f>
        <v>Nghìn tỷ VND</v>
      </c>
      <c r="D214" s="139" t="s">
        <v>1085</v>
      </c>
      <c r="E214" s="139" t="s">
        <v>504</v>
      </c>
      <c r="F214" s="139" t="s">
        <v>568</v>
      </c>
    </row>
    <row r="215" spans="1:6" outlineLevel="1">
      <c r="A215" s="153">
        <f t="shared" si="3"/>
        <v>46290</v>
      </c>
      <c r="B215" s="139" t="s">
        <v>569</v>
      </c>
      <c r="C215" s="145">
        <f>_xlfn.XLOOKUP(B215,Executive!B:B,Executive!D:D,,0)</f>
        <v>0</v>
      </c>
      <c r="D215" s="139" t="s">
        <v>1085</v>
      </c>
      <c r="E215" s="139" t="s">
        <v>504</v>
      </c>
      <c r="F215" s="139" t="s">
        <v>570</v>
      </c>
    </row>
    <row r="216" spans="1:6" outlineLevel="1">
      <c r="A216" s="153">
        <f t="shared" si="3"/>
        <v>46290</v>
      </c>
      <c r="B216" s="139" t="s">
        <v>571</v>
      </c>
      <c r="C216" s="145">
        <f>_xlfn.XLOOKUP(B216,Executive!B:B,Executive!D:D,,0)</f>
        <v>0</v>
      </c>
      <c r="D216" s="139" t="s">
        <v>1085</v>
      </c>
      <c r="E216" s="139" t="s">
        <v>504</v>
      </c>
      <c r="F216" s="139" t="s">
        <v>572</v>
      </c>
    </row>
    <row r="217" spans="1:6" outlineLevel="1">
      <c r="A217" s="153">
        <f t="shared" si="3"/>
        <v>46290</v>
      </c>
      <c r="B217" s="139" t="s">
        <v>573</v>
      </c>
      <c r="C217" s="145">
        <f>_xlfn.XLOOKUP(B217,Executive!B:B,Executive!D:D,,0)</f>
        <v>0</v>
      </c>
      <c r="D217" s="139" t="s">
        <v>1085</v>
      </c>
      <c r="E217" s="139" t="s">
        <v>504</v>
      </c>
      <c r="F217" s="139" t="s">
        <v>574</v>
      </c>
    </row>
    <row r="218" spans="1:6" outlineLevel="1">
      <c r="A218" s="153">
        <f t="shared" si="3"/>
        <v>46290</v>
      </c>
      <c r="B218" s="139" t="s">
        <v>575</v>
      </c>
      <c r="C218" s="145" t="str">
        <f>_xlfn.XLOOKUP(B218,Executive!B:B,Executive!D:D,,0)</f>
        <v>Không áp dụng limit; theo dõi xu hướng nhạy cảm lãi suất.</v>
      </c>
      <c r="D218" s="139" t="s">
        <v>1085</v>
      </c>
      <c r="E218" s="139" t="s">
        <v>504</v>
      </c>
      <c r="F218" s="139" t="s">
        <v>576</v>
      </c>
    </row>
    <row r="219" spans="1:6" outlineLevel="1">
      <c r="A219" s="153">
        <f t="shared" si="3"/>
        <v>46290</v>
      </c>
      <c r="B219" s="139" t="s">
        <v>578</v>
      </c>
      <c r="C219" s="145" t="str">
        <f>_xlfn.XLOOKUP(B219,Executive!B:B,Executive!D:D,,0)</f>
        <v>true</v>
      </c>
      <c r="D219" s="139" t="s">
        <v>1085</v>
      </c>
      <c r="E219" s="139" t="s">
        <v>504</v>
      </c>
      <c r="F219" s="139" t="s">
        <v>579</v>
      </c>
    </row>
    <row r="220" spans="1:6" outlineLevel="1">
      <c r="A220" s="153">
        <f t="shared" si="3"/>
        <v>46290</v>
      </c>
      <c r="B220" s="139" t="s">
        <v>581</v>
      </c>
      <c r="C220" s="145">
        <f>_xlfn.XLOOKUP(B220,Executive!B:B,Executive!D:D,,0)</f>
        <v>0</v>
      </c>
      <c r="D220" s="139" t="s">
        <v>1085</v>
      </c>
      <c r="E220" s="139" t="s">
        <v>504</v>
      </c>
      <c r="F220" s="139" t="s">
        <v>582</v>
      </c>
    </row>
    <row r="221" spans="1:6" outlineLevel="1">
      <c r="A221" s="153">
        <f t="shared" si="3"/>
        <v>46290</v>
      </c>
      <c r="B221" s="139" t="s">
        <v>583</v>
      </c>
      <c r="C221" s="145">
        <f>_xlfn.XLOOKUP(B221,Executive!B:B,Executive!D:D,,0)</f>
        <v>0</v>
      </c>
      <c r="D221" s="139" t="s">
        <v>1085</v>
      </c>
      <c r="E221" s="139" t="s">
        <v>504</v>
      </c>
      <c r="F221" s="139" t="s">
        <v>584</v>
      </c>
    </row>
    <row r="222" spans="1:6" outlineLevel="1">
      <c r="A222" s="153">
        <f t="shared" si="3"/>
        <v>46290</v>
      </c>
      <c r="B222" s="139" t="s">
        <v>585</v>
      </c>
      <c r="C222" s="145" t="str">
        <f>_xlfn.XLOOKUP(B222,Executive!B:B,Executive!D:D,,0)</f>
        <v>Khe hở tái định giá lũy kế 3M</v>
      </c>
      <c r="D222" s="139" t="s">
        <v>1085</v>
      </c>
      <c r="E222" s="139" t="s">
        <v>504</v>
      </c>
      <c r="F222" s="139" t="s">
        <v>586</v>
      </c>
    </row>
    <row r="223" spans="1:6" outlineLevel="1">
      <c r="A223" s="374">
        <f t="shared" si="3"/>
        <v>46290</v>
      </c>
      <c r="B223" s="375" t="s">
        <v>588</v>
      </c>
      <c r="C223" s="376"/>
      <c r="D223" s="375" t="s">
        <v>1085</v>
      </c>
      <c r="E223" s="375" t="s">
        <v>504</v>
      </c>
      <c r="F223" s="375" t="s">
        <v>589</v>
      </c>
    </row>
    <row r="224" spans="1:6" outlineLevel="1">
      <c r="A224" s="153">
        <f t="shared" si="3"/>
        <v>46290</v>
      </c>
      <c r="B224" s="139" t="s">
        <v>590</v>
      </c>
      <c r="C224" s="145" t="str">
        <f>_xlfn.XLOOKUP(B224,Executive!B:B,Executive!D:D,,0)</f>
        <v>-53.7</v>
      </c>
      <c r="D224" s="139" t="s">
        <v>1085</v>
      </c>
      <c r="E224" s="139" t="s">
        <v>504</v>
      </c>
      <c r="F224" s="139" t="s">
        <v>591</v>
      </c>
    </row>
    <row r="225" spans="1:6" outlineLevel="1">
      <c r="A225" s="153">
        <f t="shared" si="3"/>
        <v>46290</v>
      </c>
      <c r="B225" s="139" t="s">
        <v>593</v>
      </c>
      <c r="C225" s="145" t="str">
        <f>_xlfn.XLOOKUP(B225,Executive!B:B,Executive!D:D,,0)</f>
        <v>Nghìn tỷ VND</v>
      </c>
      <c r="D225" s="139" t="s">
        <v>1085</v>
      </c>
      <c r="E225" s="139" t="s">
        <v>504</v>
      </c>
      <c r="F225" s="139" t="s">
        <v>594</v>
      </c>
    </row>
    <row r="226" spans="1:6" outlineLevel="1">
      <c r="A226" s="153">
        <f t="shared" si="3"/>
        <v>46290</v>
      </c>
      <c r="B226" s="139" t="s">
        <v>595</v>
      </c>
      <c r="C226" s="145">
        <f>_xlfn.XLOOKUP(B226,Executive!B:B,Executive!D:D,,0)</f>
        <v>0</v>
      </c>
      <c r="D226" s="139" t="s">
        <v>1085</v>
      </c>
      <c r="E226" s="139" t="s">
        <v>504</v>
      </c>
      <c r="F226" s="139" t="s">
        <v>596</v>
      </c>
    </row>
    <row r="227" spans="1:6" outlineLevel="1">
      <c r="A227" s="153">
        <f t="shared" si="3"/>
        <v>46290</v>
      </c>
      <c r="B227" s="139" t="s">
        <v>597</v>
      </c>
      <c r="C227" s="145">
        <f>_xlfn.XLOOKUP(B227,Executive!B:B,Executive!D:D,,0)</f>
        <v>0</v>
      </c>
      <c r="D227" s="139" t="s">
        <v>1085</v>
      </c>
      <c r="E227" s="139" t="s">
        <v>504</v>
      </c>
      <c r="F227" s="139" t="s">
        <v>598</v>
      </c>
    </row>
    <row r="228" spans="1:6" outlineLevel="1">
      <c r="A228" s="153">
        <f t="shared" si="3"/>
        <v>46290</v>
      </c>
      <c r="B228" s="139" t="s">
        <v>599</v>
      </c>
      <c r="C228" s="145">
        <f>_xlfn.XLOOKUP(B228,Executive!B:B,Executive!D:D,,0)</f>
        <v>0</v>
      </c>
      <c r="D228" s="139" t="s">
        <v>1085</v>
      </c>
      <c r="E228" s="139" t="s">
        <v>504</v>
      </c>
      <c r="F228" s="139" t="s">
        <v>600</v>
      </c>
    </row>
    <row r="229" spans="1:6" outlineLevel="1">
      <c r="A229" s="153">
        <f t="shared" si="3"/>
        <v>46290</v>
      </c>
      <c r="B229" s="139" t="s">
        <v>601</v>
      </c>
      <c r="C229" s="145" t="str">
        <f>_xlfn.XLOOKUP(B229,Executive!B:B,Executive!D:D,,0)</f>
        <v>Không áp dụng limit; theo dõi xu hướng nhạy cảm lãi suất.</v>
      </c>
      <c r="D229" s="139" t="s">
        <v>1085</v>
      </c>
      <c r="E229" s="139" t="s">
        <v>504</v>
      </c>
      <c r="F229" s="139" t="s">
        <v>602</v>
      </c>
    </row>
    <row r="230" spans="1:6" outlineLevel="1">
      <c r="A230" s="153">
        <f t="shared" si="3"/>
        <v>46290</v>
      </c>
      <c r="B230" s="139" t="s">
        <v>603</v>
      </c>
      <c r="C230" s="145" t="str">
        <f>_xlfn.XLOOKUP(B230,Executive!B:B,Executive!D:D,,0)</f>
        <v>true</v>
      </c>
      <c r="D230" s="139" t="s">
        <v>1085</v>
      </c>
      <c r="E230" s="139" t="s">
        <v>504</v>
      </c>
      <c r="F230" s="139" t="s">
        <v>604</v>
      </c>
    </row>
    <row r="231" spans="1:6" outlineLevel="1">
      <c r="A231" s="153">
        <f t="shared" si="3"/>
        <v>46290</v>
      </c>
      <c r="B231" s="139" t="s">
        <v>605</v>
      </c>
      <c r="C231" s="145">
        <f>_xlfn.XLOOKUP(B231,Executive!B:B,Executive!D:D,,0)</f>
        <v>0</v>
      </c>
      <c r="D231" s="139" t="s">
        <v>1085</v>
      </c>
      <c r="E231" s="139" t="s">
        <v>504</v>
      </c>
      <c r="F231" s="139" t="s">
        <v>606</v>
      </c>
    </row>
    <row r="232" spans="1:6" outlineLevel="1">
      <c r="A232" s="153">
        <f t="shared" si="3"/>
        <v>46290</v>
      </c>
      <c r="B232" s="139" t="s">
        <v>607</v>
      </c>
      <c r="C232" s="145">
        <f>_xlfn.XLOOKUP(B232,Executive!B:B,Executive!D:D,,0)</f>
        <v>0</v>
      </c>
      <c r="D232" s="139" t="s">
        <v>1085</v>
      </c>
      <c r="E232" s="139" t="s">
        <v>504</v>
      </c>
      <c r="F232" s="139" t="s">
        <v>608</v>
      </c>
    </row>
    <row r="233" spans="1:6" outlineLevel="1">
      <c r="A233" s="153">
        <f t="shared" si="3"/>
        <v>46290</v>
      </c>
      <c r="B233" s="139" t="s">
        <v>609</v>
      </c>
      <c r="C233" s="145" t="str">
        <f>_xlfn.XLOOKUP(B233,Executive!B:B,Executive!D:D,,0)</f>
        <v>Kịch bản dự báo biến động NII trong 3M</v>
      </c>
      <c r="D233" s="139" t="s">
        <v>1085</v>
      </c>
      <c r="E233" s="139" t="s">
        <v>504</v>
      </c>
      <c r="F233" s="139" t="s">
        <v>610</v>
      </c>
    </row>
    <row r="234" spans="1:6" outlineLevel="1">
      <c r="A234" s="153">
        <f t="shared" si="3"/>
        <v>46290</v>
      </c>
      <c r="B234" s="139" t="s">
        <v>612</v>
      </c>
      <c r="C234" s="145" t="str">
        <f>_xlfn.XLOOKUP(B234,Executive!B:B,Executive!D:D,,0)</f>
        <v>(nếu Lãi suất funding tăng thêm 1% so với hiện tại và duy trì trong 3M tới)</v>
      </c>
      <c r="D234" s="139" t="s">
        <v>1085</v>
      </c>
      <c r="E234" s="139" t="s">
        <v>504</v>
      </c>
      <c r="F234" s="139" t="s">
        <v>613</v>
      </c>
    </row>
    <row r="235" spans="1:6" outlineLevel="1">
      <c r="A235" s="153">
        <f t="shared" si="3"/>
        <v>46290</v>
      </c>
      <c r="B235" s="139" t="s">
        <v>615</v>
      </c>
      <c r="C235" s="145" t="str">
        <f>_xlfn.XLOOKUP(B235,Executive!B:B,Executive!D:D,,0)</f>
        <v>-212</v>
      </c>
      <c r="D235" s="139" t="s">
        <v>1085</v>
      </c>
      <c r="E235" s="139" t="s">
        <v>504</v>
      </c>
      <c r="F235" s="139" t="s">
        <v>616</v>
      </c>
    </row>
    <row r="236" spans="1:6" outlineLevel="1">
      <c r="A236" s="153">
        <f t="shared" si="3"/>
        <v>46290</v>
      </c>
      <c r="B236" s="139" t="s">
        <v>618</v>
      </c>
      <c r="C236" s="145" t="str">
        <f>_xlfn.XLOOKUP(B236,Executive!B:B,Executive!D:D,,0)</f>
        <v>Tỷ VND</v>
      </c>
      <c r="D236" s="139" t="s">
        <v>1085</v>
      </c>
      <c r="E236" s="139" t="s">
        <v>504</v>
      </c>
      <c r="F236" s="139" t="s">
        <v>619</v>
      </c>
    </row>
    <row r="237" spans="1:6" outlineLevel="1">
      <c r="A237" s="153">
        <f t="shared" si="3"/>
        <v>46290</v>
      </c>
      <c r="B237" s="139" t="s">
        <v>621</v>
      </c>
      <c r="C237" s="145" t="str">
        <f>_xlfn.XLOOKUP(B237,Executive!B:B,Executive!D:D,,0)</f>
        <v>-200</v>
      </c>
      <c r="D237" s="139" t="s">
        <v>1085</v>
      </c>
      <c r="E237" s="139" t="s">
        <v>504</v>
      </c>
      <c r="F237" s="139" t="s">
        <v>622</v>
      </c>
    </row>
    <row r="238" spans="1:6" outlineLevel="1">
      <c r="A238" s="153">
        <f t="shared" si="3"/>
        <v>46290</v>
      </c>
      <c r="B238" s="139" t="s">
        <v>624</v>
      </c>
      <c r="C238" s="145" t="str">
        <f>_xlfn.XLOOKUP(B238,Executive!B:B,Executive!D:D,,0)</f>
        <v>Mục tiêu theo dõi tối đa</v>
      </c>
      <c r="D238" s="139" t="s">
        <v>1085</v>
      </c>
      <c r="E238" s="139" t="s">
        <v>504</v>
      </c>
      <c r="F238" s="139" t="s">
        <v>625</v>
      </c>
    </row>
    <row r="239" spans="1:6" outlineLevel="1">
      <c r="A239" s="153">
        <f t="shared" si="3"/>
        <v>46290</v>
      </c>
      <c r="B239" s="139" t="s">
        <v>626</v>
      </c>
      <c r="C239" s="145" t="str">
        <f>_xlfn.XLOOKUP(B239,Executive!B:B,Executive!D:D,,0)</f>
        <v>tỷ VND</v>
      </c>
      <c r="D239" s="139" t="s">
        <v>1085</v>
      </c>
      <c r="E239" s="139" t="s">
        <v>504</v>
      </c>
      <c r="F239" s="139" t="s">
        <v>627</v>
      </c>
    </row>
    <row r="240" spans="1:6" outlineLevel="1">
      <c r="A240" s="153">
        <f t="shared" si="3"/>
        <v>46290</v>
      </c>
      <c r="B240" s="139" t="s">
        <v>629</v>
      </c>
      <c r="C240" s="145">
        <f>_xlfn.XLOOKUP(B240,Executive!B:B,Executive!D:D,,0)</f>
        <v>0</v>
      </c>
      <c r="D240" s="139" t="s">
        <v>1085</v>
      </c>
      <c r="E240" s="139" t="s">
        <v>504</v>
      </c>
      <c r="F240" s="139" t="s">
        <v>630</v>
      </c>
    </row>
    <row r="241" spans="1:6" outlineLevel="1">
      <c r="A241" s="153">
        <f t="shared" si="3"/>
        <v>46290</v>
      </c>
      <c r="B241" s="139" t="s">
        <v>631</v>
      </c>
      <c r="C241" s="145" t="str">
        <f>_xlfn.XLOOKUP(B241,Executive!B:B,Executive!D:D,,0)</f>
        <v>false</v>
      </c>
      <c r="D241" s="139" t="s">
        <v>1085</v>
      </c>
      <c r="E241" s="139" t="s">
        <v>504</v>
      </c>
      <c r="F241" s="139" t="s">
        <v>632</v>
      </c>
    </row>
    <row r="242" spans="1:6" outlineLevel="1">
      <c r="A242" s="153">
        <f t="shared" si="3"/>
        <v>46290</v>
      </c>
      <c r="B242" s="139" t="s">
        <v>633</v>
      </c>
      <c r="C242" s="145">
        <f>_xlfn.XLOOKUP(B242,Executive!B:B,Executive!D:D,,0)</f>
        <v>0</v>
      </c>
      <c r="D242" s="139" t="s">
        <v>1085</v>
      </c>
      <c r="E242" s="139" t="s">
        <v>504</v>
      </c>
      <c r="F242" s="139" t="s">
        <v>634</v>
      </c>
    </row>
    <row r="243" spans="1:6" outlineLevel="1">
      <c r="A243" s="153">
        <f t="shared" si="3"/>
        <v>46290</v>
      </c>
      <c r="B243" s="139" t="s">
        <v>635</v>
      </c>
      <c r="C243" s="145">
        <f>_xlfn.XLOOKUP(B243,Executive!B:B,Executive!D:D,,0)</f>
        <v>0</v>
      </c>
      <c r="D243" s="139" t="s">
        <v>1085</v>
      </c>
      <c r="E243" s="139" t="s">
        <v>504</v>
      </c>
      <c r="F243" s="139" t="s">
        <v>636</v>
      </c>
    </row>
    <row r="244" spans="1:6" outlineLevel="1">
      <c r="A244" s="153">
        <f t="shared" si="3"/>
        <v>46290</v>
      </c>
      <c r="B244" s="139" t="s">
        <v>638</v>
      </c>
      <c r="C244" s="145" t="str">
        <f>_xlfn.XLOOKUP(B244,Executive!B:B,Executive!D:D,,0)</f>
        <v>Thanh khoản lũy kế</v>
      </c>
      <c r="D244" s="139" t="s">
        <v>1085</v>
      </c>
      <c r="E244" s="139" t="s">
        <v>637</v>
      </c>
      <c r="F244" s="139" t="s">
        <v>639</v>
      </c>
    </row>
    <row r="245" spans="1:6" outlineLevel="1">
      <c r="A245" s="153">
        <f t="shared" si="3"/>
        <v>46290</v>
      </c>
      <c r="B245" s="139" t="s">
        <v>641</v>
      </c>
      <c r="C245" s="145" t="str">
        <f>_xlfn.XLOOKUP(B245,Executive!B:B,Executive!D:D,,0)</f>
        <v>Khe hở thanh khoản lũy kế 3M âm 29.1 nghìn tỷ VND, chủ yếu do áp lực bucket &lt;1M. Điều này làm tăng áp lực cân nguồn mỗi ngày, đặc biệt khi TT LNH căng thẳng, từ đó phải chấp nhận huy động với lãi suất cao để tái tục nguồn tài trợ cho tài sản chưa đến kỳ đáo hạn.</v>
      </c>
      <c r="D245" s="139" t="s">
        <v>1085</v>
      </c>
      <c r="E245" s="139" t="s">
        <v>637</v>
      </c>
      <c r="F245" s="139" t="s">
        <v>642</v>
      </c>
    </row>
    <row r="246" spans="1:6" outlineLevel="1">
      <c r="A246" s="153">
        <f t="shared" si="3"/>
        <v>46290</v>
      </c>
      <c r="B246" s="139" t="s">
        <v>644</v>
      </c>
      <c r="C246" s="145" t="str">
        <f>_xlfn.XLOOKUP(B246,Executive!B:B,Executive!D:D,,0)</f>
        <v>Tái định giá lũy kế</v>
      </c>
      <c r="D246" s="139" t="s">
        <v>1085</v>
      </c>
      <c r="E246" s="139" t="s">
        <v>637</v>
      </c>
      <c r="F246" s="139" t="s">
        <v>645</v>
      </c>
    </row>
    <row r="247" spans="1:6" outlineLevel="1">
      <c r="A247" s="153">
        <f t="shared" si="3"/>
        <v>46290</v>
      </c>
      <c r="B247" s="139" t="s">
        <v>647</v>
      </c>
      <c r="C247" s="145" t="str">
        <f>_xlfn.XLOOKUP(B247,Executive!B:B,Executive!D:D,,0)</f>
        <v>Repricing GAP lũy kế 3M âm 53.7 nghìn tỷ VND, cho thấy trạng thái nhạy cảm với biến động lãi suất ngắn hạn.</v>
      </c>
      <c r="D247" s="139" t="s">
        <v>1085</v>
      </c>
      <c r="E247" s="139" t="s">
        <v>637</v>
      </c>
      <c r="F247" s="139" t="s">
        <v>648</v>
      </c>
    </row>
    <row r="248" spans="1:6" outlineLevel="1">
      <c r="A248" s="153">
        <f t="shared" si="3"/>
        <v>46290</v>
      </c>
      <c r="B248" s="139" t="s">
        <v>650</v>
      </c>
      <c r="C248" s="145" t="str">
        <f>_xlfn.XLOOKUP(B248,Executive!B:B,Executive!D:D,,0)</f>
        <v>Tác động NII</v>
      </c>
      <c r="D248" s="139" t="s">
        <v>1085</v>
      </c>
      <c r="E248" s="139" t="s">
        <v>637</v>
      </c>
      <c r="F248" s="139" t="s">
        <v>651</v>
      </c>
    </row>
    <row r="249" spans="1:6" outlineLevel="1">
      <c r="A249" s="153">
        <f t="shared" si="3"/>
        <v>46290</v>
      </c>
      <c r="B249" s="139" t="s">
        <v>653</v>
      </c>
      <c r="C249" s="145" t="str">
        <f>_xlfn.XLOOKUP(B249,Executive!B:B,Executive!D:D,,0)</f>
        <v>Nếu lãi suất funding tăng thêm 1% so với hiện tại và duy trì trong 3M tới, biến động NII ước tính âm 212 tỷ VND, vượt mục tiêu theo dõi tối đa -200 tỷ VND; mức sử dụng mục tiêu tương ứng 106%.</v>
      </c>
      <c r="D249" s="139" t="s">
        <v>1085</v>
      </c>
      <c r="E249" s="139" t="s">
        <v>637</v>
      </c>
      <c r="F249" s="139" t="s">
        <v>654</v>
      </c>
    </row>
    <row r="250" spans="1:6" outlineLevel="1">
      <c r="A250" s="153">
        <f t="shared" si="3"/>
        <v>46290</v>
      </c>
      <c r="B250" s="139" t="s">
        <v>1087</v>
      </c>
      <c r="C250" s="145"/>
      <c r="D250" s="139"/>
      <c r="E250" s="139"/>
      <c r="F250" s="139"/>
    </row>
    <row r="251" spans="1:6" s="387" customFormat="1">
      <c r="A251" s="386">
        <f t="shared" si="3"/>
        <v>46290</v>
      </c>
      <c r="B251" s="142" t="s">
        <v>124</v>
      </c>
      <c r="C251" s="142" t="s">
        <v>106</v>
      </c>
      <c r="D251" s="142" t="s">
        <v>2314</v>
      </c>
      <c r="E251" s="142" t="s">
        <v>165</v>
      </c>
      <c r="F251" s="142" t="s">
        <v>294</v>
      </c>
    </row>
    <row r="252" spans="1:6" outlineLevel="1">
      <c r="A252" s="153">
        <f t="shared" si="3"/>
        <v>46290</v>
      </c>
      <c r="B252" s="139" t="s">
        <v>1088</v>
      </c>
      <c r="C252" s="145" t="str">
        <f>_xlfn.XLOOKUP(B252,'Thị trường'!B:B,'Thị trường'!C:C,,0)</f>
        <v>Thông tin thị trường</v>
      </c>
      <c r="D252" s="139" t="s">
        <v>1089</v>
      </c>
      <c r="E252" s="139" t="s">
        <v>1071</v>
      </c>
      <c r="F252" s="139" t="s">
        <v>1090</v>
      </c>
    </row>
    <row r="253" spans="1:6" outlineLevel="1">
      <c r="A253" s="153">
        <f t="shared" si="3"/>
        <v>46290</v>
      </c>
      <c r="B253" s="139" t="s">
        <v>1091</v>
      </c>
      <c r="C253" s="145" t="str">
        <f>_xlfn.XLOOKUP(B253,'Thị trường'!B:B,'Thị trường'!C:C,,0)</f>
        <v>Theo dõi biến động DTD/WTD/MTD/YTD của lãi suất, lợi suất TPCP, tỷ giá và tín hiệu OMO/SBV phục vụ đánh giá rủi ro thị trường.</v>
      </c>
      <c r="D253" s="139" t="s">
        <v>1089</v>
      </c>
      <c r="E253" s="139" t="s">
        <v>1071</v>
      </c>
      <c r="F253" s="139" t="s">
        <v>1092</v>
      </c>
    </row>
    <row r="254" spans="1:6" outlineLevel="1">
      <c r="A254" s="153">
        <f t="shared" si="3"/>
        <v>46290</v>
      </c>
      <c r="B254" s="139" t="s">
        <v>1093</v>
      </c>
      <c r="C254" s="145" t="str">
        <f>_xlfn.XLOOKUP(B254,'Thị trường'!B:B,'Thị trường'!C:C,,0)</f>
        <v>Cập nhật:</v>
      </c>
      <c r="D254" s="139" t="s">
        <v>1089</v>
      </c>
      <c r="E254" s="139" t="s">
        <v>1071</v>
      </c>
      <c r="F254" s="139" t="s">
        <v>1094</v>
      </c>
    </row>
    <row r="255" spans="1:6" outlineLevel="1">
      <c r="A255" s="153">
        <f t="shared" si="3"/>
        <v>46290</v>
      </c>
      <c r="B255" s="139" t="s">
        <v>1095</v>
      </c>
      <c r="C255" s="146">
        <f>_xlfn.XLOOKUP(B255,'Thị trường'!B:B,'Thị trường'!C:C,,0)</f>
        <v>46290</v>
      </c>
      <c r="D255" s="139" t="s">
        <v>1089</v>
      </c>
      <c r="E255" s="139" t="s">
        <v>1089</v>
      </c>
      <c r="F255" s="139" t="s">
        <v>1096</v>
      </c>
    </row>
    <row r="256" spans="1:6" outlineLevel="1">
      <c r="A256" s="153">
        <f t="shared" si="3"/>
        <v>46290</v>
      </c>
      <c r="B256" s="139" t="s">
        <v>1097</v>
      </c>
      <c r="C256" s="145" t="str">
        <f>_xlfn.XLOOKUP(B256,'Thị trường'!B:B,'Thị trường'!C:C,,0)</f>
        <v>Theo dõi biến động lợi suất</v>
      </c>
      <c r="D256" s="139" t="s">
        <v>1089</v>
      </c>
      <c r="E256" s="139" t="s">
        <v>1089</v>
      </c>
      <c r="F256" s="139" t="s">
        <v>1098</v>
      </c>
    </row>
    <row r="257" spans="1:6" outlineLevel="1">
      <c r="A257" s="153">
        <f t="shared" si="3"/>
        <v>46290</v>
      </c>
      <c r="B257" s="139" t="s">
        <v>1099</v>
      </c>
      <c r="C257" s="145" t="str">
        <f>_xlfn.XLOOKUP(B257,'Thị trường'!B:B,'Thị trường'!C:C,,0)</f>
        <v>Lợi suất TPCP và chi phí vốn ngắn hạn được dự báo tăng. Cần tiếp tục kiểm soát trạng thái Trading Book, theo dõi sát lỗ MtM và đánh giá lại mức độ phù hợp của danh mục Banking Gbond phục vụ dự phòng thanh khoản.</v>
      </c>
      <c r="D257" s="139" t="s">
        <v>1089</v>
      </c>
      <c r="E257" s="139" t="s">
        <v>1089</v>
      </c>
      <c r="F257" s="139" t="s">
        <v>1100</v>
      </c>
    </row>
    <row r="258" spans="1:6" outlineLevel="1">
      <c r="A258" s="153">
        <f t="shared" ref="A258:A321" si="4">RPT</f>
        <v>46290</v>
      </c>
      <c r="B258" s="139" t="s">
        <v>1101</v>
      </c>
      <c r="C258" s="148">
        <f>_xlfn.XLOOKUP(B258,'Thị trường'!B:B,'Thị trường'!C:C,,0)</f>
        <v>3.6379999999999996E-2</v>
      </c>
      <c r="D258" s="139" t="s">
        <v>1089</v>
      </c>
      <c r="E258" s="139" t="s">
        <v>1089</v>
      </c>
      <c r="F258" s="139" t="s">
        <v>1102</v>
      </c>
    </row>
    <row r="259" spans="1:6" outlineLevel="1">
      <c r="A259" s="153">
        <f t="shared" si="4"/>
        <v>46290</v>
      </c>
      <c r="B259" s="139" t="s">
        <v>1103</v>
      </c>
      <c r="C259" s="385" t="str">
        <f>TEXT(_xlfn.XLOOKUP(B259,'Thị trường'!B:B,'Thị trường'!C:C,,0),"+0;-0")</f>
        <v>+0</v>
      </c>
      <c r="D259" s="139" t="s">
        <v>1089</v>
      </c>
      <c r="E259" s="139" t="s">
        <v>1089</v>
      </c>
      <c r="F259" s="139" t="s">
        <v>1104</v>
      </c>
    </row>
    <row r="260" spans="1:6" outlineLevel="1">
      <c r="A260" s="153">
        <f t="shared" si="4"/>
        <v>46290</v>
      </c>
      <c r="B260" s="139" t="s">
        <v>1105</v>
      </c>
      <c r="C260" s="385" t="str">
        <f>TEXT(_xlfn.XLOOKUP(B260,'Thị trường'!B:B,'Thị trường'!C:C,,0),"+0;-0")</f>
        <v>+0</v>
      </c>
      <c r="D260" s="139" t="s">
        <v>1089</v>
      </c>
      <c r="E260" s="139" t="s">
        <v>1089</v>
      </c>
      <c r="F260" s="139" t="s">
        <v>1106</v>
      </c>
    </row>
    <row r="261" spans="1:6" outlineLevel="1">
      <c r="A261" s="153">
        <f t="shared" si="4"/>
        <v>46290</v>
      </c>
      <c r="B261" s="139" t="s">
        <v>1107</v>
      </c>
      <c r="C261" s="385" t="str">
        <f>TEXT(_xlfn.XLOOKUP(B261,'Thị trường'!B:B,'Thị trường'!C:C,,0),"+0;-0")</f>
        <v>+0</v>
      </c>
      <c r="D261" s="139" t="s">
        <v>1089</v>
      </c>
      <c r="E261" s="139" t="s">
        <v>1089</v>
      </c>
      <c r="F261" s="139" t="s">
        <v>1108</v>
      </c>
    </row>
    <row r="262" spans="1:6" outlineLevel="1">
      <c r="A262" s="153">
        <f t="shared" si="4"/>
        <v>46290</v>
      </c>
      <c r="B262" s="139" t="s">
        <v>1109</v>
      </c>
      <c r="C262" s="385" t="str">
        <f>TEXT(_xlfn.XLOOKUP(B262,'Thị trường'!B:B,'Thị trường'!C:C,,0),"+0;-0")</f>
        <v>+165</v>
      </c>
      <c r="D262" s="139" t="s">
        <v>1089</v>
      </c>
      <c r="E262" s="139" t="s">
        <v>1089</v>
      </c>
      <c r="F262" s="139" t="s">
        <v>1110</v>
      </c>
    </row>
    <row r="263" spans="1:6" outlineLevel="1">
      <c r="A263" s="153">
        <f t="shared" si="4"/>
        <v>46290</v>
      </c>
      <c r="B263" s="139" t="s">
        <v>1111</v>
      </c>
      <c r="C263" s="148">
        <f>_xlfn.XLOOKUP(B263,'Thị trường'!B:B,'Thị trường'!C:C,,0)</f>
        <v>4.2960000000000005E-2</v>
      </c>
      <c r="D263" s="139" t="s">
        <v>1089</v>
      </c>
      <c r="E263" s="139" t="s">
        <v>1089</v>
      </c>
      <c r="F263" s="139" t="s">
        <v>1112</v>
      </c>
    </row>
    <row r="264" spans="1:6" outlineLevel="1">
      <c r="A264" s="153">
        <f t="shared" si="4"/>
        <v>46290</v>
      </c>
      <c r="B264" s="139" t="s">
        <v>1113</v>
      </c>
      <c r="C264" s="385" t="str">
        <f>TEXT(_xlfn.XLOOKUP(B264,'Thị trường'!B:B,'Thị trường'!C:C,,0),"+0;-0")</f>
        <v>+0</v>
      </c>
      <c r="D264" s="139" t="s">
        <v>1089</v>
      </c>
      <c r="E264" s="139" t="s">
        <v>1089</v>
      </c>
      <c r="F264" s="139" t="s">
        <v>1114</v>
      </c>
    </row>
    <row r="265" spans="1:6" outlineLevel="1">
      <c r="A265" s="153">
        <f t="shared" si="4"/>
        <v>46290</v>
      </c>
      <c r="B265" s="139" t="s">
        <v>1115</v>
      </c>
      <c r="C265" s="385" t="str">
        <f>TEXT(_xlfn.XLOOKUP(B265,'Thị trường'!B:B,'Thị trường'!C:C,,0),"+0;-0")</f>
        <v>-0</v>
      </c>
      <c r="D265" s="139" t="s">
        <v>1089</v>
      </c>
      <c r="E265" s="139" t="s">
        <v>1089</v>
      </c>
      <c r="F265" s="139" t="s">
        <v>1116</v>
      </c>
    </row>
    <row r="266" spans="1:6" outlineLevel="1">
      <c r="A266" s="153">
        <f t="shared" si="4"/>
        <v>46290</v>
      </c>
      <c r="B266" s="139" t="s">
        <v>1117</v>
      </c>
      <c r="C266" s="385" t="str">
        <f>TEXT(_xlfn.XLOOKUP(B266,'Thị trường'!B:B,'Thị trường'!C:C,,0),"+0;-0")</f>
        <v>-1</v>
      </c>
      <c r="D266" s="139" t="s">
        <v>1089</v>
      </c>
      <c r="E266" s="139" t="s">
        <v>1089</v>
      </c>
      <c r="F266" s="139" t="s">
        <v>1118</v>
      </c>
    </row>
    <row r="267" spans="1:6" outlineLevel="1">
      <c r="A267" s="153">
        <f t="shared" si="4"/>
        <v>46290</v>
      </c>
      <c r="B267" s="139" t="s">
        <v>1119</v>
      </c>
      <c r="C267" s="385" t="str">
        <f>TEXT(_xlfn.XLOOKUP(B267,'Thị trường'!B:B,'Thị trường'!C:C,,0),"+0;-0")</f>
        <v>+201</v>
      </c>
      <c r="D267" s="139" t="s">
        <v>1089</v>
      </c>
      <c r="E267" s="139" t="s">
        <v>1089</v>
      </c>
      <c r="F267" s="139" t="s">
        <v>1120</v>
      </c>
    </row>
    <row r="268" spans="1:6" outlineLevel="1">
      <c r="A268" s="153">
        <f t="shared" si="4"/>
        <v>46290</v>
      </c>
      <c r="B268" s="139" t="s">
        <v>1121</v>
      </c>
      <c r="C268" s="148">
        <f>_xlfn.XLOOKUP(B268,'Thị trường'!B:B,'Thị trường'!C:C,,0)</f>
        <v>4.4669999999999994E-2</v>
      </c>
      <c r="D268" s="139" t="s">
        <v>1089</v>
      </c>
      <c r="E268" s="139" t="s">
        <v>1089</v>
      </c>
      <c r="F268" s="139" t="s">
        <v>1122</v>
      </c>
    </row>
    <row r="269" spans="1:6" outlineLevel="1">
      <c r="A269" s="153">
        <f t="shared" si="4"/>
        <v>46290</v>
      </c>
      <c r="B269" s="139" t="s">
        <v>1123</v>
      </c>
      <c r="C269" s="385" t="str">
        <f>TEXT(_xlfn.XLOOKUP(B269,'Thị trường'!B:B,'Thị trường'!C:C,,0),"+0;-0")</f>
        <v>+0</v>
      </c>
      <c r="D269" s="139" t="s">
        <v>1089</v>
      </c>
      <c r="E269" s="139" t="s">
        <v>1089</v>
      </c>
      <c r="F269" s="139" t="s">
        <v>1124</v>
      </c>
    </row>
    <row r="270" spans="1:6" outlineLevel="1">
      <c r="A270" s="153">
        <f t="shared" si="4"/>
        <v>46290</v>
      </c>
      <c r="B270" s="139" t="s">
        <v>1125</v>
      </c>
      <c r="C270" s="385" t="str">
        <f>TEXT(_xlfn.XLOOKUP(B270,'Thị trường'!B:B,'Thị trường'!C:C,,0),"+0;-0")</f>
        <v>+0</v>
      </c>
      <c r="D270" s="139" t="s">
        <v>1089</v>
      </c>
      <c r="E270" s="139" t="s">
        <v>1089</v>
      </c>
      <c r="F270" s="139" t="s">
        <v>1126</v>
      </c>
    </row>
    <row r="271" spans="1:6" outlineLevel="1">
      <c r="A271" s="153">
        <f t="shared" si="4"/>
        <v>46290</v>
      </c>
      <c r="B271" s="139" t="s">
        <v>1127</v>
      </c>
      <c r="C271" s="385" t="str">
        <f>TEXT(_xlfn.XLOOKUP(B271,'Thị trường'!B:B,'Thị trường'!C:C,,0),"+0;-0")</f>
        <v>+2</v>
      </c>
      <c r="D271" s="139" t="s">
        <v>1089</v>
      </c>
      <c r="E271" s="139" t="s">
        <v>1089</v>
      </c>
      <c r="F271" s="139" t="s">
        <v>1128</v>
      </c>
    </row>
    <row r="272" spans="1:6" outlineLevel="1">
      <c r="A272" s="153">
        <f t="shared" si="4"/>
        <v>46290</v>
      </c>
      <c r="B272" s="139" t="s">
        <v>1129</v>
      </c>
      <c r="C272" s="385" t="str">
        <f>TEXT(_xlfn.XLOOKUP(B272,'Thị trường'!B:B,'Thị trường'!C:C,,0),"+0;-0")</f>
        <v>+150</v>
      </c>
      <c r="D272" s="139" t="s">
        <v>1089</v>
      </c>
      <c r="E272" s="139" t="s">
        <v>1089</v>
      </c>
      <c r="F272" s="139" t="s">
        <v>1130</v>
      </c>
    </row>
    <row r="273" spans="1:6" outlineLevel="1">
      <c r="A273" s="153">
        <f t="shared" si="4"/>
        <v>46290</v>
      </c>
      <c r="B273" s="139" t="s">
        <v>1131</v>
      </c>
      <c r="C273" s="149">
        <f>_xlfn.XLOOKUP(B273,'Thị trường'!B:B,'Thị trường'!C:C,,0)</f>
        <v>6.9999999999999993E-3</v>
      </c>
      <c r="D273" s="139" t="s">
        <v>1089</v>
      </c>
      <c r="E273" s="139" t="s">
        <v>1089</v>
      </c>
      <c r="F273" s="139" t="s">
        <v>1132</v>
      </c>
    </row>
    <row r="274" spans="1:6" outlineLevel="1">
      <c r="A274" s="153">
        <f t="shared" si="4"/>
        <v>46290</v>
      </c>
      <c r="B274" s="139" t="s">
        <v>1133</v>
      </c>
      <c r="C274" s="385" t="str">
        <f>TEXT(_xlfn.XLOOKUP(B274,'Thị trường'!B:B,'Thị trường'!C:C,,0),"+0;-0")</f>
        <v>-30</v>
      </c>
      <c r="D274" s="139" t="s">
        <v>1089</v>
      </c>
      <c r="E274" s="139" t="s">
        <v>1089</v>
      </c>
      <c r="F274" s="139" t="s">
        <v>1134</v>
      </c>
    </row>
    <row r="275" spans="1:6" outlineLevel="1">
      <c r="A275" s="153">
        <f t="shared" si="4"/>
        <v>46290</v>
      </c>
      <c r="B275" s="139" t="s">
        <v>1135</v>
      </c>
      <c r="C275" s="385" t="str">
        <f>TEXT(_xlfn.XLOOKUP(B275,'Thị trường'!B:B,'Thị trường'!C:C,,0),"+0;-0")</f>
        <v>-380</v>
      </c>
      <c r="D275" s="139" t="s">
        <v>1089</v>
      </c>
      <c r="E275" s="139" t="s">
        <v>1089</v>
      </c>
      <c r="F275" s="139" t="s">
        <v>1136</v>
      </c>
    </row>
    <row r="276" spans="1:6" outlineLevel="1">
      <c r="A276" s="153">
        <f t="shared" si="4"/>
        <v>46290</v>
      </c>
      <c r="B276" s="139" t="s">
        <v>1137</v>
      </c>
      <c r="C276" s="385" t="str">
        <f>TEXT(_xlfn.XLOOKUP(B276,'Thị trường'!B:B,'Thị trường'!C:C,,0),"+0;-0")</f>
        <v>-680</v>
      </c>
      <c r="D276" s="139" t="s">
        <v>1089</v>
      </c>
      <c r="E276" s="139" t="s">
        <v>1089</v>
      </c>
      <c r="F276" s="139" t="s">
        <v>1138</v>
      </c>
    </row>
    <row r="277" spans="1:6" outlineLevel="1">
      <c r="A277" s="153">
        <f t="shared" si="4"/>
        <v>46290</v>
      </c>
      <c r="B277" s="139" t="s">
        <v>1139</v>
      </c>
      <c r="C277" s="385" t="str">
        <f>TEXT(_xlfn.XLOOKUP(B277,'Thị trường'!B:B,'Thị trường'!C:C,,0),"+0;-0")</f>
        <v>-327</v>
      </c>
      <c r="D277" s="139" t="s">
        <v>1089</v>
      </c>
      <c r="E277" s="139" t="s">
        <v>1089</v>
      </c>
      <c r="F277" s="139" t="s">
        <v>1140</v>
      </c>
    </row>
    <row r="278" spans="1:6" outlineLevel="1">
      <c r="A278" s="153">
        <f t="shared" si="4"/>
        <v>46290</v>
      </c>
      <c r="B278" s="139" t="s">
        <v>158</v>
      </c>
      <c r="C278" s="149">
        <f>_xlfn.XLOOKUP(B278,'Thị trường'!B:B,'Thị trường'!C:C,,0)</f>
        <v>5.5999999999999994E-2</v>
      </c>
      <c r="D278" s="139" t="s">
        <v>1089</v>
      </c>
      <c r="E278" s="139" t="s">
        <v>1089</v>
      </c>
      <c r="F278" s="139" t="s">
        <v>1141</v>
      </c>
    </row>
    <row r="279" spans="1:6" outlineLevel="1">
      <c r="A279" s="153">
        <f t="shared" si="4"/>
        <v>46290</v>
      </c>
      <c r="B279" s="139" t="s">
        <v>1142</v>
      </c>
      <c r="C279" s="385" t="str">
        <f>TEXT(_xlfn.XLOOKUP(B279,'Thị trường'!B:B,'Thị trường'!C:C,,0),"+0;-0")</f>
        <v>+50</v>
      </c>
      <c r="D279" s="139" t="s">
        <v>1089</v>
      </c>
      <c r="E279" s="139" t="s">
        <v>1089</v>
      </c>
      <c r="F279" s="139" t="s">
        <v>1143</v>
      </c>
    </row>
    <row r="280" spans="1:6" outlineLevel="1">
      <c r="A280" s="153">
        <f t="shared" si="4"/>
        <v>46290</v>
      </c>
      <c r="B280" s="139" t="s">
        <v>1144</v>
      </c>
      <c r="C280" s="385" t="str">
        <f>TEXT(_xlfn.XLOOKUP(B280,'Thị trường'!B:B,'Thị trường'!C:C,,0),"+0;-0")</f>
        <v>+80</v>
      </c>
      <c r="D280" s="139" t="s">
        <v>1089</v>
      </c>
      <c r="E280" s="139" t="s">
        <v>1089</v>
      </c>
      <c r="F280" s="139" t="s">
        <v>1145</v>
      </c>
    </row>
    <row r="281" spans="1:6" outlineLevel="1">
      <c r="A281" s="153">
        <f t="shared" si="4"/>
        <v>46290</v>
      </c>
      <c r="B281" s="139" t="s">
        <v>1146</v>
      </c>
      <c r="C281" s="385" t="str">
        <f>TEXT(_xlfn.XLOOKUP(B281,'Thị trường'!B:B,'Thị trường'!C:C,,0),"+0;-0")</f>
        <v>-165</v>
      </c>
      <c r="D281" s="139" t="s">
        <v>1089</v>
      </c>
      <c r="E281" s="139" t="s">
        <v>1089</v>
      </c>
      <c r="F281" s="139" t="s">
        <v>1147</v>
      </c>
    </row>
    <row r="282" spans="1:6" outlineLevel="1">
      <c r="A282" s="153">
        <f t="shared" si="4"/>
        <v>46290</v>
      </c>
      <c r="B282" s="139" t="s">
        <v>1148</v>
      </c>
      <c r="C282" s="385" t="str">
        <f>TEXT(_xlfn.XLOOKUP(B282,'Thị trường'!B:B,'Thị trường'!C:C,,0),"+0;-0")</f>
        <v>+63</v>
      </c>
      <c r="D282" s="139" t="s">
        <v>1089</v>
      </c>
      <c r="E282" s="139" t="s">
        <v>1089</v>
      </c>
      <c r="F282" s="139" t="s">
        <v>1149</v>
      </c>
    </row>
    <row r="283" spans="1:6" outlineLevel="1">
      <c r="A283" s="153">
        <f t="shared" si="4"/>
        <v>46290</v>
      </c>
      <c r="B283" s="139" t="s">
        <v>292</v>
      </c>
      <c r="C283" s="149">
        <f>_xlfn.XLOOKUP(B283,'Thị trường'!B:B,'Thị trường'!C:C,,0)</f>
        <v>5.7500000000000002E-2</v>
      </c>
      <c r="D283" s="139" t="s">
        <v>1089</v>
      </c>
      <c r="E283" s="139" t="s">
        <v>1089</v>
      </c>
      <c r="F283" s="139" t="s">
        <v>1150</v>
      </c>
    </row>
    <row r="284" spans="1:6" outlineLevel="1">
      <c r="A284" s="153">
        <f t="shared" si="4"/>
        <v>46290</v>
      </c>
      <c r="B284" s="139" t="s">
        <v>1151</v>
      </c>
      <c r="C284" s="385" t="str">
        <f>TEXT(_xlfn.XLOOKUP(B284,'Thị trường'!B:B,'Thị trường'!C:C,,0),"+0;-0")</f>
        <v>+55</v>
      </c>
      <c r="D284" s="139" t="s">
        <v>1089</v>
      </c>
      <c r="E284" s="139" t="s">
        <v>1089</v>
      </c>
      <c r="F284" s="139" t="s">
        <v>1152</v>
      </c>
    </row>
    <row r="285" spans="1:6" outlineLevel="1">
      <c r="A285" s="153">
        <f t="shared" si="4"/>
        <v>46290</v>
      </c>
      <c r="B285" s="139" t="s">
        <v>1153</v>
      </c>
      <c r="C285" s="385" t="str">
        <f>TEXT(_xlfn.XLOOKUP(B285,'Thị trường'!B:B,'Thị trường'!C:C,,0),"+0;-0")</f>
        <v>-25</v>
      </c>
      <c r="D285" s="139" t="s">
        <v>1089</v>
      </c>
      <c r="E285" s="139" t="s">
        <v>1089</v>
      </c>
      <c r="F285" s="139" t="s">
        <v>1154</v>
      </c>
    </row>
    <row r="286" spans="1:6" outlineLevel="1">
      <c r="A286" s="153">
        <f t="shared" si="4"/>
        <v>46290</v>
      </c>
      <c r="B286" s="139" t="s">
        <v>1155</v>
      </c>
      <c r="C286" s="385" t="str">
        <f>TEXT(_xlfn.XLOOKUP(B286,'Thị trường'!B:B,'Thị trường'!C:C,,0),"+0;-0")</f>
        <v>-85</v>
      </c>
      <c r="D286" s="139" t="s">
        <v>1089</v>
      </c>
      <c r="E286" s="139" t="s">
        <v>1089</v>
      </c>
      <c r="F286" s="139" t="s">
        <v>1156</v>
      </c>
    </row>
    <row r="287" spans="1:6" outlineLevel="1">
      <c r="A287" s="153">
        <f t="shared" si="4"/>
        <v>46290</v>
      </c>
      <c r="B287" s="139" t="s">
        <v>1157</v>
      </c>
      <c r="C287" s="385" t="str">
        <f>TEXT(_xlfn.XLOOKUP(B287,'Thị trường'!B:B,'Thị trường'!C:C,,0),"+0;-0")</f>
        <v>+57</v>
      </c>
      <c r="D287" s="139" t="s">
        <v>1089</v>
      </c>
      <c r="E287" s="139" t="s">
        <v>1089</v>
      </c>
      <c r="F287" s="139" t="s">
        <v>1158</v>
      </c>
    </row>
    <row r="288" spans="1:6" outlineLevel="1">
      <c r="A288" s="153">
        <f t="shared" si="4"/>
        <v>46290</v>
      </c>
      <c r="B288" s="139" t="s">
        <v>656</v>
      </c>
      <c r="C288" s="149">
        <f>_xlfn.XLOOKUP(B288,'Thị trường'!B:B,'Thị trường'!C:C,,0)</f>
        <v>6.2E-2</v>
      </c>
      <c r="D288" s="139" t="s">
        <v>1089</v>
      </c>
      <c r="E288" s="139" t="s">
        <v>1089</v>
      </c>
      <c r="F288" s="139" t="s">
        <v>1159</v>
      </c>
    </row>
    <row r="289" spans="1:6" outlineLevel="1">
      <c r="A289" s="153">
        <f t="shared" si="4"/>
        <v>46290</v>
      </c>
      <c r="B289" s="139" t="s">
        <v>1160</v>
      </c>
      <c r="C289" s="385" t="str">
        <f>TEXT(_xlfn.XLOOKUP(B289,'Thị trường'!B:B,'Thị trường'!C:C,,0),"+0;-0")</f>
        <v>+5</v>
      </c>
      <c r="D289" s="139" t="s">
        <v>1089</v>
      </c>
      <c r="E289" s="139" t="s">
        <v>1089</v>
      </c>
      <c r="F289" s="139" t="s">
        <v>1161</v>
      </c>
    </row>
    <row r="290" spans="1:6" outlineLevel="1">
      <c r="A290" s="153">
        <f t="shared" si="4"/>
        <v>46290</v>
      </c>
      <c r="B290" s="139" t="s">
        <v>1162</v>
      </c>
      <c r="C290" s="385" t="str">
        <f>TEXT(_xlfn.XLOOKUP(B290,'Thị trường'!B:B,'Thị trường'!C:C,,0),"+0;-0")</f>
        <v>+20</v>
      </c>
      <c r="D290" s="139" t="s">
        <v>1089</v>
      </c>
      <c r="E290" s="139" t="s">
        <v>1089</v>
      </c>
      <c r="F290" s="139" t="s">
        <v>1163</v>
      </c>
    </row>
    <row r="291" spans="1:6" outlineLevel="1">
      <c r="A291" s="153">
        <f t="shared" si="4"/>
        <v>46290</v>
      </c>
      <c r="B291" s="139" t="s">
        <v>1164</v>
      </c>
      <c r="C291" s="385" t="str">
        <f>TEXT(_xlfn.XLOOKUP(B291,'Thị trường'!B:B,'Thị trường'!C:C,,0),"+0;-0")</f>
        <v>-35</v>
      </c>
      <c r="D291" s="139" t="s">
        <v>1089</v>
      </c>
      <c r="E291" s="139" t="s">
        <v>1089</v>
      </c>
      <c r="F291" s="139" t="s">
        <v>1165</v>
      </c>
    </row>
    <row r="292" spans="1:6" outlineLevel="1">
      <c r="A292" s="153">
        <f t="shared" si="4"/>
        <v>46290</v>
      </c>
      <c r="B292" s="139" t="s">
        <v>1166</v>
      </c>
      <c r="C292" s="385" t="str">
        <f>TEXT(_xlfn.XLOOKUP(B292,'Thị trường'!B:B,'Thị trường'!C:C,,0),"+0;-0")</f>
        <v>+90</v>
      </c>
      <c r="D292" s="139" t="s">
        <v>1089</v>
      </c>
      <c r="E292" s="139" t="s">
        <v>1089</v>
      </c>
      <c r="F292" s="139" t="s">
        <v>1167</v>
      </c>
    </row>
    <row r="293" spans="1:6" outlineLevel="1">
      <c r="A293" s="153">
        <f t="shared" si="4"/>
        <v>46290</v>
      </c>
      <c r="B293" s="139" t="s">
        <v>1168</v>
      </c>
      <c r="C293" s="147">
        <f>_xlfn.XLOOKUP(B293,'Thị trường'!B:B,'Thị trường'!C:C,,0)</f>
        <v>25976</v>
      </c>
      <c r="D293" s="139" t="s">
        <v>1089</v>
      </c>
      <c r="E293" s="139" t="s">
        <v>1089</v>
      </c>
      <c r="F293" s="139" t="s">
        <v>657</v>
      </c>
    </row>
    <row r="294" spans="1:6" outlineLevel="1">
      <c r="A294" s="153">
        <f t="shared" si="4"/>
        <v>46290</v>
      </c>
      <c r="B294" s="139" t="s">
        <v>1169</v>
      </c>
      <c r="C294" s="385" t="str">
        <f>TEXT(_xlfn.XLOOKUP(B294,'Thị trường'!B:B,'Thị trường'!C:C,,0),"+0;-0")</f>
        <v>-20</v>
      </c>
      <c r="D294" s="139" t="s">
        <v>1089</v>
      </c>
      <c r="E294" s="139" t="s">
        <v>1089</v>
      </c>
      <c r="F294" s="139" t="s">
        <v>1170</v>
      </c>
    </row>
    <row r="295" spans="1:6" outlineLevel="1">
      <c r="A295" s="153">
        <f t="shared" si="4"/>
        <v>46290</v>
      </c>
      <c r="B295" s="139" t="s">
        <v>1171</v>
      </c>
      <c r="C295" s="385" t="str">
        <f>TEXT(_xlfn.XLOOKUP(B295,'Thị trường'!B:B,'Thị trường'!C:C,,0),"+0;-0")</f>
        <v>-41</v>
      </c>
      <c r="D295" s="139" t="s">
        <v>1089</v>
      </c>
      <c r="E295" s="139" t="s">
        <v>1089</v>
      </c>
      <c r="F295" s="139" t="s">
        <v>1172</v>
      </c>
    </row>
    <row r="296" spans="1:6" outlineLevel="1">
      <c r="A296" s="153">
        <f t="shared" si="4"/>
        <v>46290</v>
      </c>
      <c r="B296" s="139" t="s">
        <v>1173</v>
      </c>
      <c r="C296" s="385" t="str">
        <f>TEXT(_xlfn.XLOOKUP(B296,'Thị trường'!B:B,'Thị trường'!C:C,,0),"+0;-0")</f>
        <v>-97</v>
      </c>
      <c r="D296" s="139" t="s">
        <v>1089</v>
      </c>
      <c r="E296" s="139" t="s">
        <v>1089</v>
      </c>
      <c r="F296" s="139" t="s">
        <v>1174</v>
      </c>
    </row>
    <row r="297" spans="1:6" outlineLevel="1">
      <c r="A297" s="153">
        <f t="shared" si="4"/>
        <v>46290</v>
      </c>
      <c r="B297" s="139" t="s">
        <v>1175</v>
      </c>
      <c r="C297" s="385" t="str">
        <f>TEXT(_xlfn.XLOOKUP(B297,'Thị trường'!B:B,'Thị trường'!C:C,,0),"+0;-0")</f>
        <v>+487</v>
      </c>
      <c r="D297" s="139" t="s">
        <v>1089</v>
      </c>
      <c r="E297" s="139" t="s">
        <v>1089</v>
      </c>
      <c r="F297" s="139" t="s">
        <v>1176</v>
      </c>
    </row>
    <row r="298" spans="1:6" outlineLevel="1">
      <c r="A298" s="153">
        <f t="shared" si="4"/>
        <v>46290</v>
      </c>
      <c r="B298" s="139" t="s">
        <v>1177</v>
      </c>
      <c r="C298" s="150">
        <f>_xlfn.XLOOKUP(B298,'Thị trường'!B:B,'Thị trường'!C:C,,0)</f>
        <v>186816</v>
      </c>
      <c r="D298" s="139" t="s">
        <v>1089</v>
      </c>
      <c r="E298" s="139" t="s">
        <v>1089</v>
      </c>
      <c r="F298" s="139" t="s">
        <v>658</v>
      </c>
    </row>
    <row r="299" spans="1:6" outlineLevel="1">
      <c r="A299" s="153">
        <f t="shared" si="4"/>
        <v>46290</v>
      </c>
      <c r="B299" s="139" t="s">
        <v>1178</v>
      </c>
      <c r="C299" s="385" t="str">
        <f>TEXT(_xlfn.XLOOKUP(B299,'Thị trường'!B:B,'Thị trường'!C:C,,0),"+0,00;-0,00")</f>
        <v>-5,301</v>
      </c>
      <c r="D299" s="139" t="s">
        <v>1089</v>
      </c>
      <c r="E299" s="139" t="s">
        <v>1089</v>
      </c>
      <c r="F299" s="139" t="s">
        <v>659</v>
      </c>
    </row>
    <row r="300" spans="1:6" outlineLevel="1">
      <c r="A300" s="153">
        <f t="shared" si="4"/>
        <v>46290</v>
      </c>
      <c r="B300" s="139" t="s">
        <v>1179</v>
      </c>
      <c r="C300" s="385" t="str">
        <f>TEXT(_xlfn.XLOOKUP(B300,'Thị trường'!B:B,'Thị trường'!C:C,,0),"+0,00;-0,00")</f>
        <v>-5,301</v>
      </c>
      <c r="D300" s="139" t="s">
        <v>1089</v>
      </c>
      <c r="E300" s="139" t="s">
        <v>1089</v>
      </c>
      <c r="F300" s="139" t="s">
        <v>660</v>
      </c>
    </row>
    <row r="301" spans="1:6" outlineLevel="1">
      <c r="A301" s="153">
        <f t="shared" si="4"/>
        <v>46290</v>
      </c>
      <c r="B301" s="139" t="s">
        <v>1180</v>
      </c>
      <c r="C301" s="385" t="str">
        <f>TEXT(_xlfn.XLOOKUP(B301,'Thị trường'!B:B,'Thị trường'!C:C,,0),"+0,00;-0,00")</f>
        <v>+34,330</v>
      </c>
      <c r="D301" s="139" t="s">
        <v>1089</v>
      </c>
      <c r="E301" s="139" t="s">
        <v>1089</v>
      </c>
      <c r="F301" s="139" t="s">
        <v>661</v>
      </c>
    </row>
    <row r="302" spans="1:6" outlineLevel="1">
      <c r="A302" s="153">
        <f t="shared" si="4"/>
        <v>46290</v>
      </c>
      <c r="B302" s="139" t="s">
        <v>1181</v>
      </c>
      <c r="C302" s="385" t="str">
        <f>TEXT(_xlfn.XLOOKUP(B302,'Thị trường'!B:B,'Thị trường'!C:C,,0),"+0,00;-0,00")</f>
        <v>-50,430</v>
      </c>
      <c r="D302" s="139" t="s">
        <v>1089</v>
      </c>
      <c r="E302" s="139" t="s">
        <v>1089</v>
      </c>
      <c r="F302" s="139" t="s">
        <v>662</v>
      </c>
    </row>
    <row r="303" spans="1:6" outlineLevel="1">
      <c r="A303" s="153">
        <f t="shared" si="4"/>
        <v>46290</v>
      </c>
      <c r="B303" s="139" t="s">
        <v>1182</v>
      </c>
      <c r="C303" s="388">
        <f>_xlfn.XLOOKUP(B303,'Thị trường'!B:B,'Thị trường'!C:C,,0)</f>
        <v>109827</v>
      </c>
      <c r="D303" s="139" t="s">
        <v>1089</v>
      </c>
      <c r="E303" s="139" t="s">
        <v>1089</v>
      </c>
      <c r="F303" s="139" t="s">
        <v>663</v>
      </c>
    </row>
    <row r="304" spans="1:6" outlineLevel="1">
      <c r="A304" s="153">
        <f t="shared" si="4"/>
        <v>46290</v>
      </c>
      <c r="B304" s="139" t="s">
        <v>1183</v>
      </c>
      <c r="C304" s="388">
        <f>_xlfn.XLOOKUP(B304,'Thị trường'!B:B,'Thị trường'!C:C,,0)</f>
        <v>78615</v>
      </c>
      <c r="D304" s="139" t="s">
        <v>1089</v>
      </c>
      <c r="E304" s="139" t="s">
        <v>1089</v>
      </c>
      <c r="F304" s="139" t="s">
        <v>664</v>
      </c>
    </row>
    <row r="305" spans="1:6" outlineLevel="1">
      <c r="A305" s="153">
        <f t="shared" si="4"/>
        <v>46290</v>
      </c>
      <c r="B305" s="139" t="s">
        <v>677</v>
      </c>
      <c r="C305" s="145" t="str">
        <f>_xlfn.XLOOKUP(B305,'Chi tiết DM'!B:B,'Chi tiết DM'!C:C,,0)</f>
        <v>2. Tổng quan các nội dung rủi ro trọng yếu</v>
      </c>
      <c r="D305" s="139" t="s">
        <v>1184</v>
      </c>
      <c r="E305" s="139" t="s">
        <v>676</v>
      </c>
      <c r="F305" s="139" t="s">
        <v>678</v>
      </c>
    </row>
    <row r="306" spans="1:6" outlineLevel="1">
      <c r="A306" s="153">
        <f t="shared" si="4"/>
        <v>46290</v>
      </c>
      <c r="B306" s="139" t="s">
        <v>680</v>
      </c>
      <c r="C306" s="145" t="str">
        <f>_xlfn.XLOOKUP(B306,'Chi tiết DM'!B:B,'Chi tiết DM'!C:C,,0)</f>
        <v>Nội dung rủi ro</v>
      </c>
      <c r="D306" s="139" t="s">
        <v>1184</v>
      </c>
      <c r="E306" s="139" t="s">
        <v>676</v>
      </c>
      <c r="F306" s="139" t="s">
        <v>681</v>
      </c>
    </row>
    <row r="307" spans="1:6" outlineLevel="1">
      <c r="A307" s="153">
        <f t="shared" si="4"/>
        <v>46290</v>
      </c>
      <c r="B307" s="139" t="s">
        <v>683</v>
      </c>
      <c r="C307" s="145" t="str">
        <f>_xlfn.XLOOKUP(B307,'Chi tiết DM'!B:B,'Chi tiết DM'!C:C,,0)</f>
        <v>Trạng thái</v>
      </c>
      <c r="D307" s="139" t="s">
        <v>1184</v>
      </c>
      <c r="E307" s="139" t="s">
        <v>676</v>
      </c>
      <c r="F307" s="139" t="s">
        <v>684</v>
      </c>
    </row>
    <row r="308" spans="1:6" outlineLevel="1">
      <c r="A308" s="153">
        <f t="shared" si="4"/>
        <v>46290</v>
      </c>
      <c r="B308" s="139" t="s">
        <v>685</v>
      </c>
      <c r="C308" s="145" t="str">
        <f>_xlfn.XLOOKUP(B308,'Chi tiết DM'!B:B,'Chi tiết DM'!C:C,,0)</f>
        <v>Diễn giải theo ngôn ngữ quản trị</v>
      </c>
      <c r="D308" s="139" t="s">
        <v>1184</v>
      </c>
      <c r="E308" s="139" t="s">
        <v>676</v>
      </c>
      <c r="F308" s="139" t="s">
        <v>686</v>
      </c>
    </row>
    <row r="309" spans="1:6" outlineLevel="1">
      <c r="A309" s="153">
        <f t="shared" si="4"/>
        <v>46290</v>
      </c>
      <c r="B309" s="139" t="s">
        <v>688</v>
      </c>
      <c r="C309" s="145" t="str">
        <f>_xlfn.XLOOKUP(B309,'Chi tiết DM'!B:B,'Chi tiết DM'!C:C,,0)</f>
        <v>Trạng thái Gbond Trading</v>
      </c>
      <c r="D309" s="139" t="s">
        <v>1184</v>
      </c>
      <c r="E309" s="139" t="s">
        <v>676</v>
      </c>
      <c r="F309" s="139" t="s">
        <v>689</v>
      </c>
    </row>
    <row r="310" spans="1:6" outlineLevel="1">
      <c r="A310" s="153">
        <f t="shared" si="4"/>
        <v>46290</v>
      </c>
      <c r="B310" s="139" t="s">
        <v>691</v>
      </c>
      <c r="C310" s="145" t="str">
        <f>_xlfn.XLOOKUP(B310,'Chi tiết DM'!B:B,'Chi tiết DM'!C:C,,0)</f>
        <v>Cần theo dõi</v>
      </c>
      <c r="D310" s="139" t="s">
        <v>1184</v>
      </c>
      <c r="E310" s="139" t="s">
        <v>676</v>
      </c>
      <c r="F310" s="139" t="s">
        <v>692</v>
      </c>
    </row>
    <row r="311" spans="1:6" outlineLevel="1">
      <c r="A311" s="153">
        <f t="shared" si="4"/>
        <v>46290</v>
      </c>
      <c r="B311" s="139" t="s">
        <v>694</v>
      </c>
      <c r="C311" s="145" t="str">
        <f>_xlfn.XLOOKUP(B311,'Chi tiết DM'!B:B,'Chi tiết DM'!C:C,,0)</f>
        <v>Trạng thái chịu RRTT đã giảm, nhưng trên cơ sở giả định các giao dịch bán chưa thanh toán và BO chưa valid sẽ được thực hiện thành công trong tương lai.</v>
      </c>
      <c r="D311" s="139" t="s">
        <v>1184</v>
      </c>
      <c r="E311" s="139" t="s">
        <v>676</v>
      </c>
      <c r="F311" s="139" t="s">
        <v>695</v>
      </c>
    </row>
    <row r="312" spans="1:6" outlineLevel="1">
      <c r="A312" s="153">
        <f t="shared" si="4"/>
        <v>46290</v>
      </c>
      <c r="B312" s="139" t="s">
        <v>697</v>
      </c>
      <c r="C312" s="145" t="str">
        <f>_xlfn.XLOOKUP(B312,'Chi tiết DM'!B:B,'Chi tiết DM'!C:C,,0)</f>
        <v>MtM / capital impact</v>
      </c>
      <c r="D312" s="139" t="s">
        <v>1184</v>
      </c>
      <c r="E312" s="139" t="s">
        <v>676</v>
      </c>
      <c r="F312" s="139" t="s">
        <v>698</v>
      </c>
    </row>
    <row r="313" spans="1:6" outlineLevel="1">
      <c r="A313" s="153">
        <f t="shared" si="4"/>
        <v>46290</v>
      </c>
      <c r="B313" s="139" t="s">
        <v>700</v>
      </c>
      <c r="C313" s="145" t="str">
        <f>_xlfn.XLOOKUP(B313,'Chi tiết DM'!B:B,'Chi tiết DM'!C:C,,0)</f>
        <v>Cần theo dõi</v>
      </c>
      <c r="D313" s="139" t="s">
        <v>1184</v>
      </c>
      <c r="E313" s="139" t="s">
        <v>676</v>
      </c>
      <c r="F313" s="139" t="s">
        <v>701</v>
      </c>
    </row>
    <row r="314" spans="1:6" outlineLevel="1">
      <c r="A314" s="153">
        <f t="shared" si="4"/>
        <v>46290</v>
      </c>
      <c r="B314" s="139" t="s">
        <v>702</v>
      </c>
      <c r="C314" s="145" t="str">
        <f>_xlfn.XLOOKUP(B314,'Chi tiết DM'!B:B,'Chi tiết DM'!C:C,,0)</f>
        <v>Lỗ MtM còn lại khoảng 1634 tỷ; trong kịch bản bất lợi có thể lên khoảng 2016 nếu phần giao dịch chưa valid quay lại danh mục.</v>
      </c>
      <c r="D314" s="139" t="s">
        <v>1184</v>
      </c>
      <c r="E314" s="139" t="s">
        <v>676</v>
      </c>
      <c r="F314" s="139" t="s">
        <v>703</v>
      </c>
    </row>
    <row r="315" spans="1:6" outlineLevel="1">
      <c r="A315" s="153">
        <f t="shared" si="4"/>
        <v>46290</v>
      </c>
      <c r="B315" s="139" t="s">
        <v>704</v>
      </c>
      <c r="C315" s="145" t="str">
        <f>_xlfn.XLOOKUP(B315,'Chi tiết DM'!B:B,'Chi tiết DM'!C:C,,0)</f>
        <v>Yield shock risk</v>
      </c>
      <c r="D315" s="139" t="s">
        <v>1184</v>
      </c>
      <c r="E315" s="139" t="s">
        <v>676</v>
      </c>
      <c r="F315" s="139" t="s">
        <v>705</v>
      </c>
    </row>
    <row r="316" spans="1:6" outlineLevel="1">
      <c r="A316" s="153">
        <f t="shared" si="4"/>
        <v>46290</v>
      </c>
      <c r="B316" s="139" t="s">
        <v>707</v>
      </c>
      <c r="C316" s="145" t="str">
        <f>_xlfn.XLOOKUP(B316,'Chi tiết DM'!B:B,'Chi tiết DM'!C:C,,0)</f>
        <v>Cảnh báo trong kịch bản bất lợi</v>
      </c>
      <c r="D316" s="139" t="s">
        <v>1184</v>
      </c>
      <c r="E316" s="139" t="s">
        <v>676</v>
      </c>
      <c r="F316" s="139" t="s">
        <v>708</v>
      </c>
    </row>
    <row r="317" spans="1:6" outlineLevel="1">
      <c r="A317" s="153">
        <f t="shared" si="4"/>
        <v>46290</v>
      </c>
      <c r="B317" s="139" t="s">
        <v>710</v>
      </c>
      <c r="C317" s="145" t="str">
        <f>_xlfn.XLOOKUP(B317,'Chi tiết DM'!B:B,'Chi tiết DM'!C:C,,0)</f>
        <v>Một số kịch bản yield 10Y cao làm vượt hạn mức ItD unrealized PnL; kịch bản NCKT cao có thể khiến tổng lỗ + lỗ tiềm ẩn tăng mạnh.</v>
      </c>
      <c r="D317" s="139" t="s">
        <v>1184</v>
      </c>
      <c r="E317" s="139" t="s">
        <v>676</v>
      </c>
      <c r="F317" s="139" t="s">
        <v>711</v>
      </c>
    </row>
    <row r="318" spans="1:6" outlineLevel="1">
      <c r="A318" s="153">
        <f t="shared" si="4"/>
        <v>46290</v>
      </c>
      <c r="B318" s="139" t="s">
        <v>713</v>
      </c>
      <c r="C318" s="145" t="str">
        <f>_xlfn.XLOOKUP(B318,'Chi tiết DM'!B:B,'Chi tiết DM'!C:C,,0)</f>
        <v>Funding cost / NIM drag</v>
      </c>
      <c r="D318" s="139" t="s">
        <v>1184</v>
      </c>
      <c r="E318" s="139" t="s">
        <v>676</v>
      </c>
      <c r="F318" s="139" t="s">
        <v>714</v>
      </c>
    </row>
    <row r="319" spans="1:6" outlineLevel="1">
      <c r="A319" s="153">
        <f t="shared" si="4"/>
        <v>46290</v>
      </c>
      <c r="B319" s="139" t="s">
        <v>716</v>
      </c>
      <c r="C319" s="145" t="str">
        <f>_xlfn.XLOOKUP(B319,'Chi tiết DM'!B:B,'Chi tiết DM'!C:C,,0)</f>
        <v>Cần theo dõi</v>
      </c>
      <c r="D319" s="139" t="s">
        <v>1184</v>
      </c>
      <c r="E319" s="139" t="s">
        <v>676</v>
      </c>
      <c r="F319" s="139" t="s">
        <v>717</v>
      </c>
    </row>
    <row r="320" spans="1:6" outlineLevel="1">
      <c r="A320" s="153">
        <f t="shared" si="4"/>
        <v>46290</v>
      </c>
      <c r="B320" s="139" t="s">
        <v>718</v>
      </c>
      <c r="C320" s="145" t="str">
        <f>_xlfn.XLOOKUP(B320,'Chi tiết DM'!B:B,'Chi tiết DM'!C:C,,0)</f>
        <v>Danh mục Bond không chỉ chịu rủi ro giảm giá khi lợi suất tăng mà còn chịu áp lực từ chi phí vốn duy trì ở mức cao, làm gia tăng tác động đồng thời lên lỗ đánh giá lại, vốn yêu cầu và hiệu quả sinh lời.</v>
      </c>
      <c r="D320" s="139" t="s">
        <v>1184</v>
      </c>
      <c r="E320" s="139" t="s">
        <v>676</v>
      </c>
      <c r="F320" s="139" t="s">
        <v>719</v>
      </c>
    </row>
    <row r="321" spans="1:6" outlineLevel="1">
      <c r="A321" s="153">
        <f t="shared" si="4"/>
        <v>46290</v>
      </c>
      <c r="B321" s="139" t="s">
        <v>721</v>
      </c>
      <c r="C321" s="145" t="str">
        <f>_xlfn.XLOOKUP(B321,'Chi tiết DM'!B:B,'Chi tiết DM'!C:C,,0)</f>
        <v>Banking Book economic loss</v>
      </c>
      <c r="D321" s="139" t="s">
        <v>1184</v>
      </c>
      <c r="E321" s="139" t="s">
        <v>676</v>
      </c>
      <c r="F321" s="139" t="s">
        <v>722</v>
      </c>
    </row>
    <row r="322" spans="1:6" outlineLevel="1">
      <c r="A322" s="153">
        <f t="shared" ref="A322:A385" si="5">RPT</f>
        <v>46290</v>
      </c>
      <c r="B322" s="139" t="s">
        <v>724</v>
      </c>
      <c r="C322" s="145" t="str">
        <f>_xlfn.XLOOKUP(B322,'Chi tiết DM'!B:B,'Chi tiết DM'!C:C,,0)</f>
        <v>Cần theo dõi</v>
      </c>
      <c r="D322" s="139" t="s">
        <v>1184</v>
      </c>
      <c r="E322" s="139" t="s">
        <v>676</v>
      </c>
      <c r="F322" s="139" t="s">
        <v>725</v>
      </c>
    </row>
    <row r="323" spans="1:6" outlineLevel="1">
      <c r="A323" s="153">
        <f t="shared" si="5"/>
        <v>46290</v>
      </c>
      <c r="B323" s="139" t="s">
        <v>726</v>
      </c>
      <c r="C323" s="145" t="str">
        <f>_xlfn.XLOOKUP(B323,'Chi tiết DM'!B:B,'Chi tiết DM'!C:C,,0)</f>
        <v>Banking Book không ghi nhận lỗ giá theo PnL, nhưng vẫn có lỗ kinh tế và lỗ NIM; cần xin ý kiến ALCO về cơ chế quản lý phù hợp.</v>
      </c>
      <c r="D323" s="139" t="s">
        <v>1184</v>
      </c>
      <c r="E323" s="139" t="s">
        <v>676</v>
      </c>
      <c r="F323" s="139" t="s">
        <v>727</v>
      </c>
    </row>
    <row r="324" spans="1:6" outlineLevel="1">
      <c r="A324" s="153">
        <f t="shared" si="5"/>
        <v>46290</v>
      </c>
      <c r="B324" s="139" t="s">
        <v>730</v>
      </c>
      <c r="C324" s="145" t="str">
        <f>_xlfn.XLOOKUP(B324,'Chi tiết DM'!B:B,'Chi tiết DM'!C:C,,0)</f>
        <v>3. Diễn giải một số thuật ngữ/ngôn ngữ rủi ro</v>
      </c>
      <c r="D324" s="139" t="s">
        <v>1184</v>
      </c>
      <c r="E324" s="139" t="s">
        <v>729</v>
      </c>
      <c r="F324" s="139" t="s">
        <v>731</v>
      </c>
    </row>
    <row r="325" spans="1:6" outlineLevel="1">
      <c r="A325" s="153">
        <f t="shared" si="5"/>
        <v>46290</v>
      </c>
      <c r="B325" s="139" t="s">
        <v>733</v>
      </c>
      <c r="C325" s="145" t="str">
        <f>_xlfn.XLOOKUP(B325,'Chi tiết DM'!B:B,'Chi tiết DM'!C:C,,0)</f>
        <v>Thuật ngữ/chỉ tiêu</v>
      </c>
      <c r="D325" s="139" t="s">
        <v>1184</v>
      </c>
      <c r="E325" s="139" t="s">
        <v>729</v>
      </c>
      <c r="F325" s="139" t="s">
        <v>734</v>
      </c>
    </row>
    <row r="326" spans="1:6" outlineLevel="1">
      <c r="A326" s="153">
        <f t="shared" si="5"/>
        <v>46290</v>
      </c>
      <c r="B326" s="139" t="s">
        <v>736</v>
      </c>
      <c r="C326" s="145" t="str">
        <f>_xlfn.XLOOKUP(B326,'Chi tiết DM'!B:B,'Chi tiết DM'!C:C,,0)</f>
        <v>Cách hiểu kỹ thuật</v>
      </c>
      <c r="D326" s="139" t="s">
        <v>1184</v>
      </c>
      <c r="E326" s="139" t="s">
        <v>729</v>
      </c>
      <c r="F326" s="139" t="s">
        <v>737</v>
      </c>
    </row>
    <row r="327" spans="1:6" outlineLevel="1">
      <c r="A327" s="153">
        <f t="shared" si="5"/>
        <v>46290</v>
      </c>
      <c r="B327" s="139" t="s">
        <v>739</v>
      </c>
      <c r="C327" s="145" t="str">
        <f>_xlfn.XLOOKUP(B327,'Chi tiết DM'!B:B,'Chi tiết DM'!C:C,,0)</f>
        <v>Diễn giải quản trị</v>
      </c>
      <c r="D327" s="139" t="s">
        <v>1184</v>
      </c>
      <c r="E327" s="139" t="s">
        <v>729</v>
      </c>
      <c r="F327" s="139" t="s">
        <v>740</v>
      </c>
    </row>
    <row r="328" spans="1:6" outlineLevel="1">
      <c r="A328" s="153">
        <f t="shared" si="5"/>
        <v>46290</v>
      </c>
      <c r="B328" s="139" t="s">
        <v>742</v>
      </c>
      <c r="C328" s="145" t="str">
        <f>_xlfn.XLOOKUP(B328,'Chi tiết DM'!B:B,'Chi tiết DM'!C:C,,0)</f>
        <v>PV01</v>
      </c>
      <c r="D328" s="139" t="s">
        <v>1184</v>
      </c>
      <c r="E328" s="139" t="s">
        <v>729</v>
      </c>
      <c r="F328" s="139" t="s">
        <v>743</v>
      </c>
    </row>
    <row r="329" spans="1:6" outlineLevel="1">
      <c r="A329" s="153">
        <f t="shared" si="5"/>
        <v>46290</v>
      </c>
      <c r="B329" s="139" t="s">
        <v>744</v>
      </c>
      <c r="C329" s="145" t="str">
        <f>_xlfn.XLOOKUP(B329,'Chi tiết DM'!B:B,'Chi tiết DM'!C:C,,0)</f>
        <v>PV01 Trading =</v>
      </c>
      <c r="D329" s="139" t="s">
        <v>1184</v>
      </c>
      <c r="E329" s="139" t="s">
        <v>729</v>
      </c>
      <c r="F329" s="139" t="s">
        <v>745</v>
      </c>
    </row>
    <row r="330" spans="1:6" outlineLevel="1">
      <c r="A330" s="153">
        <f t="shared" si="5"/>
        <v>46290</v>
      </c>
      <c r="B330" s="139" t="s">
        <v>153</v>
      </c>
      <c r="C330" s="145">
        <f>_xlfn.XLOOKUP(B330,'Chi tiết DM'!B:B,'Chi tiết DM'!C:C,,0)</f>
        <v>-10.6</v>
      </c>
      <c r="D330" s="139" t="s">
        <v>1184</v>
      </c>
      <c r="E330" s="139" t="s">
        <v>729</v>
      </c>
      <c r="F330" s="139" t="s">
        <v>747</v>
      </c>
    </row>
    <row r="331" spans="1:6" outlineLevel="1">
      <c r="A331" s="153">
        <f t="shared" si="5"/>
        <v>46290</v>
      </c>
      <c r="B331" s="139" t="s">
        <v>748</v>
      </c>
      <c r="C331" s="145" t="str">
        <f>_xlfn.XLOOKUP(B331,'Chi tiết DM'!B:B,'Chi tiết DM'!C:C,,0)</f>
        <v>, Banking =</v>
      </c>
      <c r="D331" s="139" t="s">
        <v>1184</v>
      </c>
      <c r="E331" s="139" t="s">
        <v>729</v>
      </c>
      <c r="F331" s="139" t="s">
        <v>749</v>
      </c>
    </row>
    <row r="332" spans="1:6" outlineLevel="1">
      <c r="A332" s="153">
        <f t="shared" si="5"/>
        <v>46290</v>
      </c>
      <c r="B332" s="139" t="s">
        <v>154</v>
      </c>
      <c r="C332" s="145">
        <f>_xlfn.XLOOKUP(B332,'Chi tiết DM'!B:B,'Chi tiết DM'!C:C,,0)</f>
        <v>-8.4</v>
      </c>
      <c r="D332" s="139" t="s">
        <v>1184</v>
      </c>
      <c r="E332" s="139" t="s">
        <v>729</v>
      </c>
      <c r="F332" s="139" t="s">
        <v>751</v>
      </c>
    </row>
    <row r="333" spans="1:6" outlineLevel="1">
      <c r="A333" s="153">
        <f t="shared" si="5"/>
        <v>46290</v>
      </c>
      <c r="B333" s="139" t="s">
        <v>752</v>
      </c>
      <c r="C333" s="145" t="str">
        <f>_xlfn.XLOOKUP(B333,'Chi tiết DM'!B:B,'Chi tiết DM'!C:C,,0)</f>
        <v>Kịch bản nếu yield tăng</v>
      </c>
      <c r="D333" s="139" t="s">
        <v>1184</v>
      </c>
      <c r="E333" s="139" t="s">
        <v>729</v>
      </c>
      <c r="F333" s="139" t="s">
        <v>753</v>
      </c>
    </row>
    <row r="334" spans="1:6" outlineLevel="1">
      <c r="A334" s="153">
        <f t="shared" si="5"/>
        <v>46290</v>
      </c>
      <c r="B334" s="139" t="s">
        <v>155</v>
      </c>
      <c r="C334" s="363">
        <f>_xlfn.XLOOKUP(B334,'Chi tiết DM'!B:B,'Chi tiết DM'!C:C,,0)</f>
        <v>2.5999999999999999E-3</v>
      </c>
      <c r="D334" s="139" t="s">
        <v>1184</v>
      </c>
      <c r="E334" s="139" t="s">
        <v>729</v>
      </c>
      <c r="F334" s="139" t="s">
        <v>754</v>
      </c>
    </row>
    <row r="335" spans="1:6" outlineLevel="1">
      <c r="A335" s="153">
        <f t="shared" si="5"/>
        <v>46290</v>
      </c>
      <c r="B335" s="139" t="s">
        <v>755</v>
      </c>
      <c r="C335" s="145" t="str">
        <f>_xlfn.XLOOKUP(B335,'Chi tiết DM'!B:B,'Chi tiết DM'!C:C,,0)</f>
        <v>, giá trị danh mục Trading Book giảm khoảng</v>
      </c>
      <c r="D335" s="139" t="s">
        <v>1184</v>
      </c>
      <c r="E335" s="139" t="s">
        <v>729</v>
      </c>
      <c r="F335" s="139" t="s">
        <v>756</v>
      </c>
    </row>
    <row r="336" spans="1:6" outlineLevel="1">
      <c r="A336" s="153">
        <f t="shared" si="5"/>
        <v>46290</v>
      </c>
      <c r="B336" s="139" t="s">
        <v>156</v>
      </c>
      <c r="C336" s="145">
        <f>_xlfn.XLOOKUP(B336,'Chi tiết DM'!B:B,'Chi tiết DM'!C:C,,0)</f>
        <v>-276</v>
      </c>
      <c r="D336" s="139" t="s">
        <v>1184</v>
      </c>
      <c r="E336" s="139" t="s">
        <v>729</v>
      </c>
      <c r="F336" s="139" t="s">
        <v>757</v>
      </c>
    </row>
    <row r="337" spans="1:6" outlineLevel="1">
      <c r="A337" s="153">
        <f t="shared" si="5"/>
        <v>46290</v>
      </c>
      <c r="B337" s="139" t="s">
        <v>758</v>
      </c>
      <c r="C337" s="145" t="str">
        <f>_xlfn.XLOOKUP(B337,'Chi tiết DM'!B:B,'Chi tiết DM'!C:C,,0)</f>
        <v>tỷ</v>
      </c>
      <c r="D337" s="139" t="s">
        <v>1184</v>
      </c>
      <c r="E337" s="139" t="s">
        <v>729</v>
      </c>
      <c r="F337" s="139" t="s">
        <v>759</v>
      </c>
    </row>
    <row r="338" spans="1:6" outlineLevel="1">
      <c r="A338" s="153">
        <f t="shared" si="5"/>
        <v>46290</v>
      </c>
      <c r="B338" s="139" t="s">
        <v>157</v>
      </c>
      <c r="C338" s="145" t="str">
        <f>_xlfn.XLOOKUP(B338,'Chi tiết DM'!B:B,'Chi tiết DM'!C:C,,0)</f>
        <v>và giá trị danh mục Banking Book giảm khoảng</v>
      </c>
      <c r="D338" s="139" t="s">
        <v>1184</v>
      </c>
      <c r="E338" s="139" t="s">
        <v>729</v>
      </c>
      <c r="F338" s="139" t="s">
        <v>760</v>
      </c>
    </row>
    <row r="339" spans="1:6" outlineLevel="1">
      <c r="A339" s="153">
        <f t="shared" si="5"/>
        <v>46290</v>
      </c>
      <c r="B339" s="139" t="s">
        <v>761</v>
      </c>
      <c r="C339" s="145" t="str">
        <f>_xlfn.XLOOKUP(B339,'Chi tiết DM'!B:B,'Chi tiết DM'!C:C,,0)</f>
        <v>-218 tỷ.</v>
      </c>
      <c r="D339" s="139" t="s">
        <v>1184</v>
      </c>
      <c r="E339" s="139" t="s">
        <v>729</v>
      </c>
      <c r="F339" s="139" t="s">
        <v>762</v>
      </c>
    </row>
    <row r="340" spans="1:6" outlineLevel="1">
      <c r="A340" s="153">
        <f t="shared" si="5"/>
        <v>46290</v>
      </c>
      <c r="B340" s="139" t="s">
        <v>763</v>
      </c>
      <c r="C340" s="145" t="str">
        <f>_xlfn.XLOOKUP(B340,'Chi tiết DM'!B:B,'Chi tiết DM'!C:C,,0)</f>
        <v>Unrealized MtM</v>
      </c>
      <c r="D340" s="139" t="s">
        <v>1184</v>
      </c>
      <c r="E340" s="139" t="s">
        <v>729</v>
      </c>
      <c r="F340" s="139" t="s">
        <v>764</v>
      </c>
    </row>
    <row r="341" spans="1:6" outlineLevel="1">
      <c r="A341" s="153">
        <f t="shared" si="5"/>
        <v>46290</v>
      </c>
      <c r="B341" s="139" t="s">
        <v>766</v>
      </c>
      <c r="C341" s="145" t="str">
        <f>_xlfn.XLOOKUP(B341,'Chi tiết DM'!B:B,'Chi tiết DM'!C:C,,0)</f>
        <v>ItD Unrealized PnL -</v>
      </c>
      <c r="D341" s="139" t="s">
        <v>1184</v>
      </c>
      <c r="E341" s="139" t="s">
        <v>729</v>
      </c>
      <c r="F341" s="139" t="s">
        <v>767</v>
      </c>
    </row>
    <row r="342" spans="1:6" outlineLevel="1">
      <c r="A342" s="153">
        <f t="shared" si="5"/>
        <v>46290</v>
      </c>
      <c r="B342" s="139" t="s">
        <v>770</v>
      </c>
      <c r="C342" s="145" t="str">
        <f>_xlfn.XLOOKUP(B342,'Chi tiết DM'!B:B,'Chi tiết DM'!C:C,,0)</f>
        <v>Đây là phần lỗ kinh tế chưa hiện thực hóa; nếu bán/giảm trạng thái sai thời điểm có thể chuyển thành lỗ thực.</v>
      </c>
      <c r="D342" s="139" t="s">
        <v>1184</v>
      </c>
      <c r="E342" s="139" t="s">
        <v>729</v>
      </c>
      <c r="F342" s="139" t="s">
        <v>771</v>
      </c>
    </row>
    <row r="343" spans="1:6" outlineLevel="1">
      <c r="A343" s="153">
        <f t="shared" si="5"/>
        <v>46290</v>
      </c>
      <c r="B343" s="139" t="s">
        <v>773</v>
      </c>
      <c r="C343" s="145" t="str">
        <f>_xlfn.XLOOKUP(B343,'Chi tiết DM'!B:B,'Chi tiết DM'!C:C,,0)</f>
        <v>BO valid / unvalid</v>
      </c>
      <c r="D343" s="139" t="s">
        <v>1184</v>
      </c>
      <c r="E343" s="139" t="s">
        <v>729</v>
      </c>
      <c r="F343" s="139" t="s">
        <v>774</v>
      </c>
    </row>
    <row r="344" spans="1:6" outlineLevel="1">
      <c r="A344" s="153">
        <f t="shared" si="5"/>
        <v>46290</v>
      </c>
      <c r="B344" s="139" t="s">
        <v>776</v>
      </c>
      <c r="C344" s="145" t="str">
        <f>_xlfn.XLOOKUP(B344,'Chi tiết DM'!B:B,'Chi tiết DM'!C:C,,0)</f>
        <v>Giao dịch bán chưa được BO xác nhận</v>
      </c>
      <c r="D344" s="139" t="s">
        <v>1184</v>
      </c>
      <c r="E344" s="139" t="s">
        <v>729</v>
      </c>
      <c r="F344" s="139" t="s">
        <v>777</v>
      </c>
    </row>
    <row r="345" spans="1:6" outlineLevel="1">
      <c r="A345" s="153">
        <f t="shared" si="5"/>
        <v>46290</v>
      </c>
      <c r="B345" s="139" t="s">
        <v>779</v>
      </c>
      <c r="C345" s="145" t="str">
        <f>_xlfn.XLOOKUP(B345,'Chi tiết DM'!B:B,'Chi tiết DM'!C:C,,0)</f>
        <v>Rủi ro xử lý: nếu giao dịch chưa hoàn tất pháp lý/vận hành, trạng thái rủi ro có thể quay lại danh mục.</v>
      </c>
      <c r="D345" s="139" t="s">
        <v>1184</v>
      </c>
      <c r="E345" s="139" t="s">
        <v>729</v>
      </c>
      <c r="F345" s="139" t="s">
        <v>780</v>
      </c>
    </row>
    <row r="346" spans="1:6" outlineLevel="1">
      <c r="A346" s="153">
        <f t="shared" si="5"/>
        <v>46290</v>
      </c>
      <c r="B346" s="139" t="s">
        <v>782</v>
      </c>
      <c r="C346" s="145" t="str">
        <f>_xlfn.XLOOKUP(B346,'Chi tiết DM'!B:B,'Chi tiết DM'!C:C,,0)</f>
        <v>Funding rate</v>
      </c>
      <c r="D346" s="139" t="s">
        <v>1184</v>
      </c>
      <c r="E346" s="139" t="s">
        <v>729</v>
      </c>
      <c r="F346" s="139" t="s">
        <v>783</v>
      </c>
    </row>
    <row r="347" spans="1:6" outlineLevel="1">
      <c r="A347" s="153">
        <f t="shared" si="5"/>
        <v>46290</v>
      </c>
      <c r="B347" s="139" t="s">
        <v>785</v>
      </c>
      <c r="C347" s="145" t="str">
        <f>_xlfn.XLOOKUP(B347,'Chi tiết DM'!B:B,'Chi tiết DM'!C:C,,0)</f>
        <v>Lỗ NIM theo giả định lãi suất fund</v>
      </c>
      <c r="D347" s="139" t="s">
        <v>1184</v>
      </c>
      <c r="E347" s="139" t="s">
        <v>729</v>
      </c>
      <c r="F347" s="139" t="s">
        <v>786</v>
      </c>
    </row>
    <row r="348" spans="1:6" outlineLevel="1">
      <c r="A348" s="153">
        <f t="shared" si="5"/>
        <v>46290</v>
      </c>
      <c r="B348" s="139" t="s">
        <v>788</v>
      </c>
      <c r="C348" s="145" t="str">
        <f>_xlfn.XLOOKUP(B348,'Chi tiết DM'!B:B,'Chi tiết DM'!C:C,,0)</f>
        <v>Carry trade trái phiếu đang chịu áp lực vì chi phí vốn cao hơn lợi suất danh mục.</v>
      </c>
      <c r="D348" s="139" t="s">
        <v>1184</v>
      </c>
      <c r="E348" s="139" t="s">
        <v>729</v>
      </c>
      <c r="F348" s="139" t="s">
        <v>789</v>
      </c>
    </row>
    <row r="349" spans="1:6" outlineLevel="1">
      <c r="A349" s="153">
        <f t="shared" si="5"/>
        <v>46290</v>
      </c>
      <c r="B349" s="139" t="s">
        <v>791</v>
      </c>
      <c r="C349" s="145" t="str">
        <f>_xlfn.XLOOKUP(B349,'Chi tiết DM'!B:B,'Chi tiết DM'!C:C,,0)</f>
        <v>Yield scenario</v>
      </c>
      <c r="D349" s="139" t="s">
        <v>1184</v>
      </c>
      <c r="E349" s="139" t="s">
        <v>729</v>
      </c>
      <c r="F349" s="139" t="s">
        <v>792</v>
      </c>
    </row>
    <row r="350" spans="1:6" outlineLevel="1">
      <c r="A350" s="153">
        <f t="shared" si="5"/>
        <v>46290</v>
      </c>
      <c r="B350" s="139" t="s">
        <v>794</v>
      </c>
      <c r="C350" s="145" t="str">
        <f>_xlfn.XLOOKUP(B350,'Chi tiết DM'!B:B,'Chi tiết DM'!C:C,,0)</f>
        <v>Yield 10Y tăng theo kịch bản</v>
      </c>
      <c r="D350" s="139" t="s">
        <v>1184</v>
      </c>
      <c r="E350" s="139" t="s">
        <v>729</v>
      </c>
      <c r="F350" s="139" t="s">
        <v>795</v>
      </c>
    </row>
    <row r="351" spans="1:6" outlineLevel="1">
      <c r="A351" s="153">
        <f t="shared" si="5"/>
        <v>46290</v>
      </c>
      <c r="B351" s="139" t="s">
        <v>797</v>
      </c>
      <c r="C351" s="145" t="str">
        <f>_xlfn.XLOOKUP(B351,'Chi tiết DM'!B:B,'Chi tiết DM'!C:C,,0)</f>
        <v>Nếu mặt bằng yield tiếp tục tăng, ngân hàng chịu áp lực đồng thời về vốn, PnL và định hướng giảm trạng thái.</v>
      </c>
      <c r="D351" s="139" t="s">
        <v>1184</v>
      </c>
      <c r="E351" s="139" t="s">
        <v>729</v>
      </c>
      <c r="F351" s="139" t="s">
        <v>798</v>
      </c>
    </row>
    <row r="352" spans="1:6" outlineLevel="1">
      <c r="A352" s="153">
        <f t="shared" si="5"/>
        <v>46290</v>
      </c>
      <c r="B352" s="139" t="s">
        <v>1087</v>
      </c>
    </row>
    <row r="353" spans="1:6" outlineLevel="1">
      <c r="A353" s="153">
        <f t="shared" si="5"/>
        <v>46290</v>
      </c>
      <c r="B353" s="139" t="s">
        <v>1087</v>
      </c>
    </row>
    <row r="354" spans="1:6" s="387" customFormat="1">
      <c r="A354" s="386">
        <f t="shared" si="5"/>
        <v>46290</v>
      </c>
      <c r="B354" s="142" t="s">
        <v>124</v>
      </c>
      <c r="C354" s="142" t="s">
        <v>106</v>
      </c>
      <c r="D354" s="142" t="s">
        <v>2313</v>
      </c>
      <c r="E354" s="142" t="s">
        <v>165</v>
      </c>
      <c r="F354" s="142" t="s">
        <v>1185</v>
      </c>
    </row>
    <row r="355" spans="1:6" outlineLevel="1">
      <c r="A355" s="153">
        <f t="shared" si="5"/>
        <v>46290</v>
      </c>
      <c r="B355" s="140" t="s">
        <v>1186</v>
      </c>
      <c r="C355" s="145" t="str">
        <f>'BK Gbond'!C4</f>
        <v>Thông tin chi tiết Danh mục GBond</v>
      </c>
      <c r="D355" s="139" t="s">
        <v>1184</v>
      </c>
      <c r="E355" s="139" t="s">
        <v>1187</v>
      </c>
      <c r="F355" s="139" t="s">
        <v>1188</v>
      </c>
    </row>
    <row r="356" spans="1:6" outlineLevel="1">
      <c r="A356" s="153">
        <f t="shared" si="5"/>
        <v>46290</v>
      </c>
      <c r="B356" s="140" t="s">
        <v>1190</v>
      </c>
      <c r="C356" s="145" t="str">
        <f>'BK Gbond'!C5</f>
        <v>Tổng hợp cơ cấu Banking Gbond còn lại sẵn sàng sử dụng, tổng quan rủi ro trọng yếu và diễn giải thuật ngữ rủi ro.</v>
      </c>
      <c r="D356" s="139" t="s">
        <v>1184</v>
      </c>
      <c r="E356" s="139" t="s">
        <v>1187</v>
      </c>
      <c r="F356" s="139" t="s">
        <v>1191</v>
      </c>
    </row>
    <row r="357" spans="1:6" outlineLevel="1">
      <c r="A357" s="153">
        <f t="shared" si="5"/>
        <v>46290</v>
      </c>
      <c r="B357" s="140" t="s">
        <v>1192</v>
      </c>
      <c r="C357" s="145" t="str">
        <f>'BK Gbond'!C6</f>
        <v>1.1 Cơ cấu sử dụng Banking Gbond được tài trợ bởi hệ thống</v>
      </c>
      <c r="D357" s="139" t="s">
        <v>1184</v>
      </c>
      <c r="E357" s="139" t="s">
        <v>1187</v>
      </c>
      <c r="F357" s="139" t="s">
        <v>1193</v>
      </c>
    </row>
    <row r="358" spans="1:6" outlineLevel="1">
      <c r="A358" s="153">
        <f t="shared" si="5"/>
        <v>46290</v>
      </c>
      <c r="B358" s="140" t="s">
        <v>1194</v>
      </c>
      <c r="C358" s="145" t="str">
        <f>'BK Gbond'!C7</f>
        <v>Chỉ tiêu</v>
      </c>
      <c r="D358" s="139" t="s">
        <v>1184</v>
      </c>
      <c r="E358" s="139" t="s">
        <v>1187</v>
      </c>
      <c r="F358" s="139" t="s">
        <v>1195</v>
      </c>
    </row>
    <row r="359" spans="1:6" outlineLevel="1">
      <c r="A359" s="153">
        <f t="shared" si="5"/>
        <v>46290</v>
      </c>
      <c r="B359" s="140" t="s">
        <v>1196</v>
      </c>
      <c r="C359" s="145" t="str">
        <f>'BK Gbond'!C8</f>
        <v>Giá trị</v>
      </c>
      <c r="D359" s="139" t="s">
        <v>1184</v>
      </c>
      <c r="E359" s="139" t="s">
        <v>1187</v>
      </c>
      <c r="F359" s="139" t="s">
        <v>1197</v>
      </c>
    </row>
    <row r="360" spans="1:6" outlineLevel="1">
      <c r="A360" s="153">
        <f t="shared" si="5"/>
        <v>46290</v>
      </c>
      <c r="B360" s="140" t="s">
        <v>1198</v>
      </c>
      <c r="C360" s="145" t="str">
        <f>'BK Gbond'!C9</f>
        <v>+/- Dtd</v>
      </c>
      <c r="D360" s="139" t="s">
        <v>1184</v>
      </c>
      <c r="E360" s="139" t="s">
        <v>1187</v>
      </c>
      <c r="F360" s="139" t="s">
        <v>1199</v>
      </c>
    </row>
    <row r="361" spans="1:6" outlineLevel="1">
      <c r="A361" s="153">
        <f t="shared" si="5"/>
        <v>46290</v>
      </c>
      <c r="B361" s="140" t="s">
        <v>1200</v>
      </c>
      <c r="C361" s="145" t="str">
        <f>'BK Gbond'!C10</f>
        <v>Tỷ trọng trong Banking Gbond hệ thống</v>
      </c>
      <c r="D361" s="139" t="s">
        <v>1184</v>
      </c>
      <c r="E361" s="139" t="s">
        <v>1187</v>
      </c>
      <c r="F361" s="139" t="s">
        <v>1201</v>
      </c>
    </row>
    <row r="362" spans="1:6" outlineLevel="1">
      <c r="A362" s="153">
        <f t="shared" si="5"/>
        <v>46290</v>
      </c>
      <c r="B362" s="140" t="s">
        <v>1202</v>
      </c>
      <c r="C362" s="145" t="str">
        <f>'BK Gbond'!C11</f>
        <v>Mức độ sử dụng</v>
      </c>
      <c r="D362" s="139" t="s">
        <v>1184</v>
      </c>
      <c r="E362" s="139" t="s">
        <v>1187</v>
      </c>
      <c r="F362" s="139" t="s">
        <v>1203</v>
      </c>
    </row>
    <row r="363" spans="1:6" outlineLevel="1">
      <c r="A363" s="153">
        <f t="shared" si="5"/>
        <v>46290</v>
      </c>
      <c r="B363" s="140" t="s">
        <v>1204</v>
      </c>
      <c r="C363" s="145" t="str">
        <f>'BK Gbond'!C12</f>
        <v>1.2 Cơ cấu Banking Gbond còn lại sẵn sàng sử dụng</v>
      </c>
      <c r="D363" s="139" t="s">
        <v>1184</v>
      </c>
      <c r="E363" s="139" t="s">
        <v>1187</v>
      </c>
      <c r="F363" s="139" t="s">
        <v>1205</v>
      </c>
    </row>
    <row r="364" spans="1:6" outlineLevel="1">
      <c r="A364" s="153">
        <f t="shared" si="5"/>
        <v>46290</v>
      </c>
      <c r="B364" s="140" t="s">
        <v>1206</v>
      </c>
      <c r="C364" s="145" t="str">
        <f>'BK Gbond'!C13</f>
        <v>Cấu phần</v>
      </c>
      <c r="D364" s="139" t="s">
        <v>1184</v>
      </c>
      <c r="E364" s="139" t="s">
        <v>1187</v>
      </c>
      <c r="F364" s="139" t="s">
        <v>1207</v>
      </c>
    </row>
    <row r="365" spans="1:6" outlineLevel="1">
      <c r="A365" s="153">
        <f t="shared" si="5"/>
        <v>46290</v>
      </c>
      <c r="B365" s="140" t="s">
        <v>1208</v>
      </c>
      <c r="C365" s="145" t="str">
        <f>'BK Gbond'!C14</f>
        <v>Giá trị</v>
      </c>
      <c r="D365" s="139" t="s">
        <v>1184</v>
      </c>
      <c r="E365" s="139" t="s">
        <v>1187</v>
      </c>
      <c r="F365" s="139" t="s">
        <v>1209</v>
      </c>
    </row>
    <row r="366" spans="1:6" outlineLevel="1">
      <c r="A366" s="153">
        <f t="shared" si="5"/>
        <v>46290</v>
      </c>
      <c r="B366" s="140" t="s">
        <v>1210</v>
      </c>
      <c r="C366" s="145" t="str">
        <f>'BK Gbond'!C15</f>
        <v>Tỷ trọng trong Available Gbond</v>
      </c>
      <c r="D366" s="139" t="s">
        <v>1184</v>
      </c>
      <c r="E366" s="139" t="s">
        <v>1187</v>
      </c>
      <c r="F366" s="139" t="s">
        <v>1211</v>
      </c>
    </row>
    <row r="367" spans="1:6" outlineLevel="1">
      <c r="A367" s="153">
        <f t="shared" si="5"/>
        <v>46290</v>
      </c>
      <c r="B367" s="140" t="s">
        <v>1212</v>
      </c>
      <c r="C367" s="145" t="str">
        <f>'BK Gbond'!C16</f>
        <v>Mức độ sử dụng</v>
      </c>
      <c r="D367" s="139" t="s">
        <v>1184</v>
      </c>
      <c r="E367" s="139" t="s">
        <v>1187</v>
      </c>
      <c r="F367" s="139" t="s">
        <v>1213</v>
      </c>
    </row>
    <row r="368" spans="1:6" outlineLevel="1">
      <c r="A368" s="153">
        <f t="shared" si="5"/>
        <v>46290</v>
      </c>
      <c r="B368" s="140" t="s">
        <v>1214</v>
      </c>
      <c r="C368" s="145" t="str">
        <f>'BK Gbond'!C17</f>
        <v>Diễn giải quản trị</v>
      </c>
      <c r="D368" s="139" t="s">
        <v>1184</v>
      </c>
      <c r="E368" s="139" t="s">
        <v>1187</v>
      </c>
      <c r="F368" s="139" t="s">
        <v>1215</v>
      </c>
    </row>
    <row r="369" spans="1:6" outlineLevel="1">
      <c r="A369" s="153">
        <f t="shared" si="5"/>
        <v>46290</v>
      </c>
      <c r="B369" s="140" t="s">
        <v>1216</v>
      </c>
      <c r="C369" s="145" t="str">
        <f>'BK Gbond'!C21</f>
        <v>(+) Banking Gbond được tài trợ bởi Hệ thống</v>
      </c>
      <c r="D369" s="139" t="s">
        <v>1184</v>
      </c>
      <c r="E369" s="139" t="s">
        <v>1217</v>
      </c>
      <c r="F369" s="139" t="s">
        <v>1218</v>
      </c>
    </row>
    <row r="370" spans="1:6" outlineLevel="1">
      <c r="A370" s="153">
        <f t="shared" si="5"/>
        <v>46290</v>
      </c>
      <c r="B370" s="140" t="s">
        <v>1219</v>
      </c>
      <c r="C370" s="145" t="str">
        <f>IF(ISNUMBER('BK Gbond'!D21),TEXT('BK Gbond'!D21,"#,##0"),'BK Gbond'!D21)</f>
        <v>44,319</v>
      </c>
      <c r="D370" s="139" t="s">
        <v>1184</v>
      </c>
      <c r="E370" s="139" t="s">
        <v>1217</v>
      </c>
      <c r="F370" s="139" t="s">
        <v>1218</v>
      </c>
    </row>
    <row r="371" spans="1:6" outlineLevel="1">
      <c r="A371" s="153">
        <f t="shared" si="5"/>
        <v>46290</v>
      </c>
      <c r="B371" s="140" t="s">
        <v>1220</v>
      </c>
      <c r="C371" s="145" t="str">
        <f>IF(ISNUMBER('BK Gbond'!E21),IF('BK Gbond'!E21&lt;0,"("&amp;TEXT(ABS('BK Gbond'!E21),"#,##0")&amp;")",TEXT('BK Gbond'!E21,"#,##0")),'BK Gbond'!E21)</f>
        <v>(4,560)</v>
      </c>
      <c r="D371" s="139" t="s">
        <v>1184</v>
      </c>
      <c r="E371" s="139" t="s">
        <v>1217</v>
      </c>
      <c r="F371" s="139" t="s">
        <v>1218</v>
      </c>
    </row>
    <row r="372" spans="1:6" outlineLevel="1">
      <c r="A372" s="153">
        <f t="shared" si="5"/>
        <v>46290</v>
      </c>
      <c r="B372" s="140" t="s">
        <v>1222</v>
      </c>
      <c r="C372" s="145" t="str">
        <f>IF('BK Gbond'!F21="","",TEXT('BK Gbond'!F21,"0.0%"))</f>
        <v>100.0%</v>
      </c>
      <c r="D372" s="139" t="s">
        <v>1184</v>
      </c>
      <c r="E372" s="139" t="s">
        <v>1217</v>
      </c>
      <c r="F372" s="139" t="s">
        <v>1218</v>
      </c>
    </row>
    <row r="373" spans="1:6" outlineLevel="1">
      <c r="A373" s="153">
        <f t="shared" si="5"/>
        <v>46290</v>
      </c>
      <c r="B373" s="140" t="s">
        <v>1224</v>
      </c>
      <c r="C373" s="145" t="str">
        <f>IF('BK Gbond'!F21="","",TEXT('BK Gbond'!F21,"0.0%"))</f>
        <v>100.0%</v>
      </c>
      <c r="D373" s="139" t="s">
        <v>1184</v>
      </c>
      <c r="E373" s="139" t="s">
        <v>1217</v>
      </c>
      <c r="F373" s="139" t="s">
        <v>1218</v>
      </c>
    </row>
    <row r="374" spans="1:6" outlineLevel="1">
      <c r="A374" s="153">
        <f t="shared" si="5"/>
        <v>46290</v>
      </c>
      <c r="B374" s="140" t="s">
        <v>1225</v>
      </c>
      <c r="C374" s="145" t="str">
        <f>'BK Gbond'!C22</f>
        <v>(+) Gbond đã nhận trong giao dịch Reverse Repo</v>
      </c>
      <c r="D374" s="139" t="s">
        <v>1184</v>
      </c>
      <c r="E374" s="139" t="s">
        <v>1217</v>
      </c>
      <c r="F374" s="139" t="s">
        <v>1226</v>
      </c>
    </row>
    <row r="375" spans="1:6" outlineLevel="1">
      <c r="A375" s="153">
        <f t="shared" si="5"/>
        <v>46290</v>
      </c>
      <c r="B375" s="140" t="s">
        <v>1227</v>
      </c>
      <c r="C375" s="145" t="str">
        <f>IF(ISNUMBER('BK Gbond'!D22),TEXT('BK Gbond'!D22,"#,##0"),'BK Gbond'!D22)</f>
        <v>0</v>
      </c>
      <c r="D375" s="139" t="s">
        <v>1184</v>
      </c>
      <c r="E375" s="139" t="s">
        <v>1217</v>
      </c>
      <c r="F375" s="139" t="s">
        <v>1226</v>
      </c>
    </row>
    <row r="376" spans="1:6" outlineLevel="1">
      <c r="A376" s="153">
        <f t="shared" si="5"/>
        <v>46290</v>
      </c>
      <c r="B376" s="140" t="s">
        <v>1228</v>
      </c>
      <c r="C376" s="145" t="str">
        <f>IF(ISNUMBER('BK Gbond'!E22),IF('BK Gbond'!E22&lt;0,"("&amp;TEXT(ABS('BK Gbond'!E22),"#,##0")&amp;")",TEXT('BK Gbond'!E22,"#,##0")),'BK Gbond'!E22)</f>
        <v>0</v>
      </c>
      <c r="D376" s="139" t="s">
        <v>1184</v>
      </c>
      <c r="E376" s="139" t="s">
        <v>1217</v>
      </c>
      <c r="F376" s="139" t="s">
        <v>1226</v>
      </c>
    </row>
    <row r="377" spans="1:6" outlineLevel="1">
      <c r="A377" s="153">
        <f t="shared" si="5"/>
        <v>46290</v>
      </c>
      <c r="B377" s="140" t="s">
        <v>1229</v>
      </c>
      <c r="C377" s="145" t="str">
        <f>IF('BK Gbond'!F22="","",TEXT('BK Gbond'!F22,"0.0%"))</f>
        <v>0.0%</v>
      </c>
      <c r="D377" s="139" t="s">
        <v>1184</v>
      </c>
      <c r="E377" s="139" t="s">
        <v>1217</v>
      </c>
      <c r="F377" s="139" t="s">
        <v>1226</v>
      </c>
    </row>
    <row r="378" spans="1:6" outlineLevel="1">
      <c r="A378" s="153">
        <f t="shared" si="5"/>
        <v>46290</v>
      </c>
      <c r="B378" s="140" t="s">
        <v>1230</v>
      </c>
      <c r="C378" s="145" t="str">
        <f>IF('BK Gbond'!F22="","",TEXT('BK Gbond'!F22,"0.0%"))</f>
        <v>0.0%</v>
      </c>
      <c r="D378" s="139" t="s">
        <v>1184</v>
      </c>
      <c r="E378" s="139" t="s">
        <v>1217</v>
      </c>
      <c r="F378" s="139" t="s">
        <v>1226</v>
      </c>
    </row>
    <row r="379" spans="1:6" outlineLevel="1">
      <c r="A379" s="153">
        <f t="shared" si="5"/>
        <v>46290</v>
      </c>
      <c r="B379" s="140" t="s">
        <v>1231</v>
      </c>
      <c r="C379" s="145" t="str">
        <f>'BK Gbond'!C23</f>
        <v>(-) Đã cầm cố kênh thanh toán Hạn mức nợ ròng/Napas</v>
      </c>
      <c r="D379" s="139" t="s">
        <v>1184</v>
      </c>
      <c r="E379" s="139" t="s">
        <v>1217</v>
      </c>
      <c r="F379" s="139" t="s">
        <v>1232</v>
      </c>
    </row>
    <row r="380" spans="1:6" outlineLevel="1">
      <c r="A380" s="153">
        <f t="shared" si="5"/>
        <v>46290</v>
      </c>
      <c r="B380" s="140" t="s">
        <v>1233</v>
      </c>
      <c r="C380" s="145" t="str">
        <f>IF(ISNUMBER('BK Gbond'!D23),TEXT('BK Gbond'!D23,"#,##0"),'BK Gbond'!D23)</f>
        <v>605</v>
      </c>
      <c r="D380" s="139" t="s">
        <v>1184</v>
      </c>
      <c r="E380" s="139" t="s">
        <v>1217</v>
      </c>
      <c r="F380" s="139" t="s">
        <v>1232</v>
      </c>
    </row>
    <row r="381" spans="1:6" outlineLevel="1">
      <c r="A381" s="153">
        <f t="shared" si="5"/>
        <v>46290</v>
      </c>
      <c r="B381" s="140" t="s">
        <v>1234</v>
      </c>
      <c r="C381" s="145" t="str">
        <f>IF(ISNUMBER('BK Gbond'!E23),IF('BK Gbond'!E23&lt;0,"("&amp;TEXT(ABS('BK Gbond'!E23),"#,##0")&amp;")",TEXT('BK Gbond'!E23,"#,##0")),'BK Gbond'!E23)</f>
        <v>0</v>
      </c>
      <c r="D381" s="139" t="s">
        <v>1184</v>
      </c>
      <c r="E381" s="139" t="s">
        <v>1217</v>
      </c>
      <c r="F381" s="139" t="s">
        <v>1232</v>
      </c>
    </row>
    <row r="382" spans="1:6" outlineLevel="1">
      <c r="A382" s="153">
        <f t="shared" si="5"/>
        <v>46290</v>
      </c>
      <c r="B382" s="140" t="s">
        <v>1235</v>
      </c>
      <c r="C382" s="145" t="str">
        <f>IF('BK Gbond'!F23="","",TEXT('BK Gbond'!F23,"0.0%"))</f>
        <v>1.4%</v>
      </c>
      <c r="D382" s="139" t="s">
        <v>1184</v>
      </c>
      <c r="E382" s="139" t="s">
        <v>1217</v>
      </c>
      <c r="F382" s="139" t="s">
        <v>1232</v>
      </c>
    </row>
    <row r="383" spans="1:6" outlineLevel="1">
      <c r="A383" s="153">
        <f t="shared" si="5"/>
        <v>46290</v>
      </c>
      <c r="B383" s="140" t="s">
        <v>1236</v>
      </c>
      <c r="C383" s="145" t="str">
        <f>IF('BK Gbond'!F23="","",TEXT('BK Gbond'!F23,"0.0%"))</f>
        <v>1.4%</v>
      </c>
      <c r="D383" s="139" t="s">
        <v>1184</v>
      </c>
      <c r="E383" s="139" t="s">
        <v>1217</v>
      </c>
      <c r="F383" s="139" t="s">
        <v>1232</v>
      </c>
    </row>
    <row r="384" spans="1:6" outlineLevel="1">
      <c r="A384" s="153">
        <f t="shared" si="5"/>
        <v>46290</v>
      </c>
      <c r="B384" s="140" t="s">
        <v>1237</v>
      </c>
      <c r="C384" s="145" t="str">
        <f>'BK Gbond'!C24</f>
        <v>(-) Đã sử dụng để vay OMO</v>
      </c>
      <c r="D384" s="139" t="s">
        <v>1184</v>
      </c>
      <c r="E384" s="139" t="s">
        <v>1217</v>
      </c>
      <c r="F384" s="139" t="s">
        <v>1238</v>
      </c>
    </row>
    <row r="385" spans="1:6" outlineLevel="1">
      <c r="A385" s="153">
        <f t="shared" si="5"/>
        <v>46290</v>
      </c>
      <c r="B385" s="140" t="s">
        <v>1239</v>
      </c>
      <c r="C385" s="145" t="str">
        <f>IF(ISNUMBER('BK Gbond'!D24),TEXT('BK Gbond'!D24,"#,##0"),'BK Gbond'!D24)</f>
        <v>9,366</v>
      </c>
      <c r="D385" s="139" t="s">
        <v>1184</v>
      </c>
      <c r="E385" s="139" t="s">
        <v>1217</v>
      </c>
      <c r="F385" s="139" t="s">
        <v>1238</v>
      </c>
    </row>
    <row r="386" spans="1:6" outlineLevel="1">
      <c r="A386" s="153">
        <f t="shared" ref="A386:A449" si="6">RPT</f>
        <v>46290</v>
      </c>
      <c r="B386" s="140" t="s">
        <v>1240</v>
      </c>
      <c r="C386" s="145" t="str">
        <f>IF(ISNUMBER('BK Gbond'!E24),IF('BK Gbond'!E24&lt;0,"("&amp;TEXT(ABS('BK Gbond'!E24),"#,##0")&amp;")",TEXT('BK Gbond'!E24,"#,##0")),'BK Gbond'!E24)</f>
        <v>0</v>
      </c>
      <c r="D386" s="139" t="s">
        <v>1184</v>
      </c>
      <c r="E386" s="139" t="s">
        <v>1217</v>
      </c>
      <c r="F386" s="139" t="s">
        <v>1238</v>
      </c>
    </row>
    <row r="387" spans="1:6" outlineLevel="1">
      <c r="A387" s="153">
        <f t="shared" si="6"/>
        <v>46290</v>
      </c>
      <c r="B387" s="140" t="s">
        <v>1241</v>
      </c>
      <c r="C387" s="145" t="str">
        <f>IF('BK Gbond'!F24="","",TEXT('BK Gbond'!F24,"0.0%"))</f>
        <v>21.1%</v>
      </c>
      <c r="D387" s="139" t="s">
        <v>1184</v>
      </c>
      <c r="E387" s="139" t="s">
        <v>1217</v>
      </c>
      <c r="F387" s="139" t="s">
        <v>1238</v>
      </c>
    </row>
    <row r="388" spans="1:6" outlineLevel="1">
      <c r="A388" s="153">
        <f t="shared" si="6"/>
        <v>46290</v>
      </c>
      <c r="B388" s="140" t="s">
        <v>1242</v>
      </c>
      <c r="C388" s="145" t="str">
        <f>IF('BK Gbond'!F24="","",TEXT('BK Gbond'!F24,"0.0%"))</f>
        <v>21.1%</v>
      </c>
      <c r="D388" s="139" t="s">
        <v>1184</v>
      </c>
      <c r="E388" s="139" t="s">
        <v>1217</v>
      </c>
      <c r="F388" s="139" t="s">
        <v>1238</v>
      </c>
    </row>
    <row r="389" spans="1:6" outlineLevel="1">
      <c r="A389" s="153">
        <f t="shared" si="6"/>
        <v>46290</v>
      </c>
      <c r="B389" s="140" t="s">
        <v>1243</v>
      </c>
      <c r="C389" s="145" t="str">
        <f>'BK Gbond'!C25</f>
        <v>(-) Đã sử dụng để vay REPO</v>
      </c>
      <c r="D389" s="139" t="s">
        <v>1184</v>
      </c>
      <c r="E389" s="139" t="s">
        <v>1217</v>
      </c>
      <c r="F389" s="139" t="s">
        <v>1244</v>
      </c>
    </row>
    <row r="390" spans="1:6" outlineLevel="1">
      <c r="A390" s="153">
        <f t="shared" si="6"/>
        <v>46290</v>
      </c>
      <c r="B390" s="140" t="s">
        <v>1245</v>
      </c>
      <c r="C390" s="145" t="str">
        <f>IF(ISNUMBER('BK Gbond'!D25),TEXT('BK Gbond'!D25,"#,##0"),'BK Gbond'!D25)</f>
        <v>23,578</v>
      </c>
      <c r="D390" s="139" t="s">
        <v>1184</v>
      </c>
      <c r="E390" s="139" t="s">
        <v>1217</v>
      </c>
      <c r="F390" s="139" t="s">
        <v>1244</v>
      </c>
    </row>
    <row r="391" spans="1:6" outlineLevel="1">
      <c r="A391" s="153">
        <f t="shared" si="6"/>
        <v>46290</v>
      </c>
      <c r="B391" s="140" t="s">
        <v>1246</v>
      </c>
      <c r="C391" s="145" t="str">
        <f>IF(ISNUMBER('BK Gbond'!E25),IF('BK Gbond'!E25&lt;0,"("&amp;TEXT(ABS('BK Gbond'!E25),"#,##0")&amp;")",TEXT('BK Gbond'!E25,"#,##0")),'BK Gbond'!E25)</f>
        <v>0</v>
      </c>
      <c r="D391" s="139" t="s">
        <v>1184</v>
      </c>
      <c r="E391" s="139" t="s">
        <v>1217</v>
      </c>
      <c r="F391" s="139" t="s">
        <v>1244</v>
      </c>
    </row>
    <row r="392" spans="1:6" outlineLevel="1">
      <c r="A392" s="153">
        <f t="shared" si="6"/>
        <v>46290</v>
      </c>
      <c r="B392" s="140" t="s">
        <v>1247</v>
      </c>
      <c r="C392" s="145" t="str">
        <f>IF('BK Gbond'!F25="","",TEXT('BK Gbond'!F25,"0.0%"))</f>
        <v>53.2%</v>
      </c>
      <c r="D392" s="139" t="s">
        <v>1184</v>
      </c>
      <c r="E392" s="139" t="s">
        <v>1217</v>
      </c>
      <c r="F392" s="139" t="s">
        <v>1244</v>
      </c>
    </row>
    <row r="393" spans="1:6" outlineLevel="1">
      <c r="A393" s="153">
        <f t="shared" si="6"/>
        <v>46290</v>
      </c>
      <c r="B393" s="140" t="s">
        <v>1248</v>
      </c>
      <c r="C393" s="145" t="str">
        <f>IF('BK Gbond'!F25="","",TEXT('BK Gbond'!F25,"0.0%"))</f>
        <v>53.2%</v>
      </c>
      <c r="D393" s="139" t="s">
        <v>1184</v>
      </c>
      <c r="E393" s="139" t="s">
        <v>1217</v>
      </c>
      <c r="F393" s="139" t="s">
        <v>1244</v>
      </c>
    </row>
    <row r="394" spans="1:6" outlineLevel="1">
      <c r="A394" s="153">
        <f t="shared" si="6"/>
        <v>46290</v>
      </c>
      <c r="B394" s="140" t="s">
        <v>1249</v>
      </c>
      <c r="C394" s="145" t="str">
        <f>'BK Gbond'!C26</f>
        <v>(-) Đã cầm cố vay có đảm bảo tại TCTD khác</v>
      </c>
      <c r="D394" s="139" t="s">
        <v>1184</v>
      </c>
      <c r="E394" s="139" t="s">
        <v>1217</v>
      </c>
      <c r="F394" s="139" t="s">
        <v>1250</v>
      </c>
    </row>
    <row r="395" spans="1:6" outlineLevel="1">
      <c r="A395" s="153">
        <f t="shared" si="6"/>
        <v>46290</v>
      </c>
      <c r="B395" s="140" t="s">
        <v>1251</v>
      </c>
      <c r="C395" s="145" t="str">
        <f>IF(ISNUMBER('BK Gbond'!D26),TEXT('BK Gbond'!D26,"#,##0"),'BK Gbond'!D26)</f>
        <v>0</v>
      </c>
      <c r="D395" s="139" t="s">
        <v>1184</v>
      </c>
      <c r="E395" s="139" t="s">
        <v>1217</v>
      </c>
      <c r="F395" s="139" t="s">
        <v>1250</v>
      </c>
    </row>
    <row r="396" spans="1:6" outlineLevel="1">
      <c r="A396" s="153">
        <f t="shared" si="6"/>
        <v>46290</v>
      </c>
      <c r="B396" s="140" t="s">
        <v>1252</v>
      </c>
      <c r="C396" s="145" t="str">
        <f>IF(ISNUMBER('BK Gbond'!E26),IF('BK Gbond'!E26&lt;0,"("&amp;TEXT(ABS('BK Gbond'!E26),"#,##0")&amp;")",TEXT('BK Gbond'!E26,"#,##0")),'BK Gbond'!E26)</f>
        <v>0</v>
      </c>
      <c r="D396" s="139" t="s">
        <v>1184</v>
      </c>
      <c r="E396" s="139" t="s">
        <v>1217</v>
      </c>
      <c r="F396" s="139" t="s">
        <v>1250</v>
      </c>
    </row>
    <row r="397" spans="1:6" outlineLevel="1">
      <c r="A397" s="153">
        <f t="shared" si="6"/>
        <v>46290</v>
      </c>
      <c r="B397" s="140" t="s">
        <v>1253</v>
      </c>
      <c r="C397" s="145" t="str">
        <f>IF('BK Gbond'!F26="","",TEXT('BK Gbond'!F26,"0.0%"))</f>
        <v>0.0%</v>
      </c>
      <c r="D397" s="139" t="s">
        <v>1184</v>
      </c>
      <c r="E397" s="139" t="s">
        <v>1217</v>
      </c>
      <c r="F397" s="139" t="s">
        <v>1250</v>
      </c>
    </row>
    <row r="398" spans="1:6" outlineLevel="1">
      <c r="A398" s="153">
        <f t="shared" si="6"/>
        <v>46290</v>
      </c>
      <c r="B398" s="140" t="s">
        <v>1254</v>
      </c>
      <c r="C398" s="145" t="str">
        <f>IF('BK Gbond'!F26="","",TEXT('BK Gbond'!F26,"0.0%"))</f>
        <v>0.0%</v>
      </c>
      <c r="D398" s="139" t="s">
        <v>1184</v>
      </c>
      <c r="E398" s="139" t="s">
        <v>1217</v>
      </c>
      <c r="F398" s="139" t="s">
        <v>1250</v>
      </c>
    </row>
    <row r="399" spans="1:6" outlineLevel="1">
      <c r="A399" s="153">
        <f t="shared" si="6"/>
        <v>46290</v>
      </c>
      <c r="B399" s="140" t="s">
        <v>1255</v>
      </c>
      <c r="C399" s="145" t="str">
        <f>'BK Gbond'!C27</f>
        <v>Banking Gbond còn lại sẵn sàng sử dụng</v>
      </c>
      <c r="D399" s="139" t="s">
        <v>1184</v>
      </c>
      <c r="E399" s="139" t="s">
        <v>1217</v>
      </c>
      <c r="F399" s="139" t="s">
        <v>1256</v>
      </c>
    </row>
    <row r="400" spans="1:6" outlineLevel="1">
      <c r="A400" s="153">
        <f t="shared" si="6"/>
        <v>46290</v>
      </c>
      <c r="B400" s="140" t="s">
        <v>1257</v>
      </c>
      <c r="C400" s="145" t="str">
        <f>IF(ISNUMBER('BK Gbond'!D27),TEXT('BK Gbond'!D27,"#,##0"),'BK Gbond'!D27)</f>
        <v>10,769</v>
      </c>
      <c r="D400" s="139" t="s">
        <v>1184</v>
      </c>
      <c r="E400" s="139" t="s">
        <v>1217</v>
      </c>
      <c r="F400" s="139" t="s">
        <v>1256</v>
      </c>
    </row>
    <row r="401" spans="1:6" outlineLevel="1">
      <c r="A401" s="153">
        <f t="shared" si="6"/>
        <v>46290</v>
      </c>
      <c r="B401" s="140" t="s">
        <v>1258</v>
      </c>
      <c r="C401" s="145" t="str">
        <f>IF(ISNUMBER('BK Gbond'!E27),IF('BK Gbond'!E27&lt;0,"("&amp;TEXT(ABS('BK Gbond'!E27),"#,##0")&amp;")",TEXT('BK Gbond'!E27,"#,##0")),'BK Gbond'!E27)</f>
        <v>(4,560)</v>
      </c>
      <c r="D401" s="139" t="s">
        <v>1184</v>
      </c>
      <c r="E401" s="139" t="s">
        <v>1217</v>
      </c>
      <c r="F401" s="139" t="s">
        <v>1256</v>
      </c>
    </row>
    <row r="402" spans="1:6" outlineLevel="1">
      <c r="A402" s="153">
        <f t="shared" si="6"/>
        <v>46290</v>
      </c>
      <c r="B402" s="140" t="s">
        <v>1259</v>
      </c>
      <c r="C402" s="145" t="str">
        <f>IF('BK Gbond'!F27="","",TEXT('BK Gbond'!F27,"0.0%"))</f>
        <v>24.3%</v>
      </c>
      <c r="D402" s="139" t="s">
        <v>1184</v>
      </c>
      <c r="E402" s="139" t="s">
        <v>1217</v>
      </c>
      <c r="F402" s="139" t="s">
        <v>1256</v>
      </c>
    </row>
    <row r="403" spans="1:6" outlineLevel="1">
      <c r="A403" s="153">
        <f t="shared" si="6"/>
        <v>46290</v>
      </c>
      <c r="B403" s="140" t="s">
        <v>1260</v>
      </c>
      <c r="C403" s="145" t="str">
        <f>IF('BK Gbond'!F27="","",TEXT('BK Gbond'!F27,"0.0%"))</f>
        <v>24.3%</v>
      </c>
      <c r="D403" s="139" t="s">
        <v>1184</v>
      </c>
      <c r="E403" s="139" t="s">
        <v>1217</v>
      </c>
      <c r="F403" s="139" t="s">
        <v>1256</v>
      </c>
    </row>
    <row r="404" spans="1:6" outlineLevel="1">
      <c r="A404" s="153">
        <f t="shared" si="6"/>
        <v>46290</v>
      </c>
      <c r="B404" s="140" t="s">
        <v>1261</v>
      </c>
      <c r="C404" s="145" t="str">
        <f>'BK Gbond'!C31</f>
        <v>Available Gbond</v>
      </c>
      <c r="D404" s="139" t="s">
        <v>1184</v>
      </c>
      <c r="E404" s="139" t="s">
        <v>1262</v>
      </c>
      <c r="F404" s="139" t="s">
        <v>1263</v>
      </c>
    </row>
    <row r="405" spans="1:6" outlineLevel="1">
      <c r="A405" s="153">
        <f t="shared" si="6"/>
        <v>46290</v>
      </c>
      <c r="B405" s="140" t="s">
        <v>1264</v>
      </c>
      <c r="C405" s="145" t="str">
        <f>IF(ISNUMBER('BK Gbond'!D31),TEXT('BK Gbond'!D31,"#,##0"),'BK Gbond'!D31)</f>
        <v>10,769</v>
      </c>
      <c r="D405" s="139" t="s">
        <v>1184</v>
      </c>
      <c r="E405" s="139" t="s">
        <v>1262</v>
      </c>
      <c r="F405" s="139" t="s">
        <v>1263</v>
      </c>
    </row>
    <row r="406" spans="1:6" outlineLevel="1">
      <c r="A406" s="153">
        <f t="shared" si="6"/>
        <v>46290</v>
      </c>
      <c r="B406" s="140" t="s">
        <v>1265</v>
      </c>
      <c r="C406" s="145" t="str">
        <f>IF('BK Gbond'!E31="","",TEXT('BK Gbond'!E31,"0.0%"))</f>
        <v>100.0%</v>
      </c>
      <c r="D406" s="139" t="s">
        <v>1184</v>
      </c>
      <c r="E406" s="139" t="s">
        <v>1262</v>
      </c>
      <c r="F406" s="139" t="s">
        <v>1263</v>
      </c>
    </row>
    <row r="407" spans="1:6" outlineLevel="1">
      <c r="A407" s="153">
        <f t="shared" si="6"/>
        <v>46290</v>
      </c>
      <c r="B407" s="140" t="s">
        <v>1266</v>
      </c>
      <c r="C407" s="145" t="str">
        <f>IF('BK Gbond'!E31="","",TEXT('BK Gbond'!E31,"0.0%"))</f>
        <v>100.0%</v>
      </c>
      <c r="D407" s="139" t="s">
        <v>1184</v>
      </c>
      <c r="E407" s="139" t="s">
        <v>1262</v>
      </c>
      <c r="F407" s="139" t="s">
        <v>1263</v>
      </c>
    </row>
    <row r="408" spans="1:6" outlineLevel="1">
      <c r="A408" s="153">
        <f t="shared" si="6"/>
        <v>46290</v>
      </c>
      <c r="B408" s="140" t="s">
        <v>1267</v>
      </c>
      <c r="C408" s="145" t="str">
        <f>'BK Gbond'!F31</f>
        <v>Bộ đệm thanh khoản có thể sử dụng qua bán, repo, OMO hoặc cầm cố.</v>
      </c>
      <c r="D408" s="139" t="s">
        <v>1184</v>
      </c>
      <c r="E408" s="139" t="s">
        <v>1262</v>
      </c>
      <c r="F408" s="139" t="s">
        <v>1263</v>
      </c>
    </row>
    <row r="409" spans="1:6" outlineLevel="1">
      <c r="A409" s="153">
        <f t="shared" si="6"/>
        <v>46290</v>
      </c>
      <c r="B409" s="140" t="s">
        <v>1268</v>
      </c>
      <c r="C409" s="145" t="str">
        <f>'BK Gbond'!C32</f>
        <v>Đặt mở Thấu chi SBV</v>
      </c>
      <c r="D409" s="139" t="s">
        <v>1184</v>
      </c>
      <c r="E409" s="139" t="s">
        <v>1262</v>
      </c>
      <c r="F409" s="139" t="s">
        <v>1269</v>
      </c>
    </row>
    <row r="410" spans="1:6" outlineLevel="1">
      <c r="A410" s="153">
        <f t="shared" si="6"/>
        <v>46290</v>
      </c>
      <c r="B410" s="140" t="s">
        <v>1270</v>
      </c>
      <c r="C410" s="145" t="str">
        <f>IF(ISNUMBER('BK Gbond'!D32),TEXT('BK Gbond'!D32,"#,##0"),'BK Gbond'!D32)</f>
        <v>1,459</v>
      </c>
      <c r="D410" s="139" t="s">
        <v>1184</v>
      </c>
      <c r="E410" s="139" t="s">
        <v>1262</v>
      </c>
      <c r="F410" s="139" t="s">
        <v>1269</v>
      </c>
    </row>
    <row r="411" spans="1:6" outlineLevel="1">
      <c r="A411" s="153">
        <f t="shared" si="6"/>
        <v>46290</v>
      </c>
      <c r="B411" s="140" t="s">
        <v>1271</v>
      </c>
      <c r="C411" s="145" t="str">
        <f>IF('BK Gbond'!E32="","",TEXT('BK Gbond'!E32,"0.0%"))</f>
        <v>13.5%</v>
      </c>
      <c r="D411" s="139" t="s">
        <v>1184</v>
      </c>
      <c r="E411" s="139" t="s">
        <v>1262</v>
      </c>
      <c r="F411" s="139" t="s">
        <v>1269</v>
      </c>
    </row>
    <row r="412" spans="1:6" outlineLevel="1">
      <c r="A412" s="153">
        <f t="shared" si="6"/>
        <v>46290</v>
      </c>
      <c r="B412" s="140" t="s">
        <v>1272</v>
      </c>
      <c r="C412" s="145" t="str">
        <f>IF('BK Gbond'!E32="","",TEXT('BK Gbond'!E32,"0.0%"))</f>
        <v>13.5%</v>
      </c>
      <c r="D412" s="139" t="s">
        <v>1184</v>
      </c>
      <c r="E412" s="139" t="s">
        <v>1262</v>
      </c>
      <c r="F412" s="139" t="s">
        <v>1269</v>
      </c>
    </row>
    <row r="413" spans="1:6" outlineLevel="1">
      <c r="A413" s="153">
        <f t="shared" si="6"/>
        <v>46290</v>
      </c>
      <c r="B413" s="140" t="s">
        <v>1273</v>
      </c>
      <c r="C413" s="145" t="str">
        <f>'BK Gbond'!F32</f>
        <v>Phần đã bố trí để mở/duy trì khả năng tiếp cận thấu chi tại NHNN; hỗ trợ nhu cầu thanh khoản trong ngày.</v>
      </c>
      <c r="D413" s="139" t="s">
        <v>1184</v>
      </c>
      <c r="E413" s="139" t="s">
        <v>1262</v>
      </c>
      <c r="F413" s="139" t="s">
        <v>1269</v>
      </c>
    </row>
    <row r="414" spans="1:6" outlineLevel="1">
      <c r="A414" s="153">
        <f t="shared" si="6"/>
        <v>46290</v>
      </c>
      <c r="B414" s="140" t="s">
        <v>1274</v>
      </c>
      <c r="C414" s="145" t="str">
        <f>'BK Gbond'!C33</f>
        <v>Đặt tại Bank khác mở Credit line</v>
      </c>
      <c r="D414" s="139" t="s">
        <v>1184</v>
      </c>
      <c r="E414" s="139" t="s">
        <v>1262</v>
      </c>
      <c r="F414" s="139" t="s">
        <v>1275</v>
      </c>
    </row>
    <row r="415" spans="1:6" outlineLevel="1">
      <c r="A415" s="153">
        <f t="shared" si="6"/>
        <v>46290</v>
      </c>
      <c r="B415" s="140" t="s">
        <v>1276</v>
      </c>
      <c r="C415" s="145" t="str">
        <f>IF(ISNUMBER('BK Gbond'!D33),TEXT('BK Gbond'!D33,"#,##0"),'BK Gbond'!D33)</f>
        <v>800</v>
      </c>
      <c r="D415" s="139" t="s">
        <v>1184</v>
      </c>
      <c r="E415" s="139" t="s">
        <v>1262</v>
      </c>
      <c r="F415" s="139" t="s">
        <v>1275</v>
      </c>
    </row>
    <row r="416" spans="1:6" outlineLevel="1">
      <c r="A416" s="153">
        <f t="shared" si="6"/>
        <v>46290</v>
      </c>
      <c r="B416" s="140" t="s">
        <v>1277</v>
      </c>
      <c r="C416" s="145" t="str">
        <f>IF('BK Gbond'!E33="","",TEXT('BK Gbond'!E33,"0.0%"))</f>
        <v>7.4%</v>
      </c>
      <c r="D416" s="139" t="s">
        <v>1184</v>
      </c>
      <c r="E416" s="139" t="s">
        <v>1262</v>
      </c>
      <c r="F416" s="139" t="s">
        <v>1275</v>
      </c>
    </row>
    <row r="417" spans="1:6" outlineLevel="1">
      <c r="A417" s="153">
        <f t="shared" si="6"/>
        <v>46290</v>
      </c>
      <c r="B417" s="140" t="s">
        <v>1278</v>
      </c>
      <c r="C417" s="145" t="str">
        <f>IF('BK Gbond'!E33="","",TEXT('BK Gbond'!E33,"0.0%"))</f>
        <v>7.4%</v>
      </c>
      <c r="D417" s="139" t="s">
        <v>1184</v>
      </c>
      <c r="E417" s="139" t="s">
        <v>1262</v>
      </c>
      <c r="F417" s="139" t="s">
        <v>1275</v>
      </c>
    </row>
    <row r="418" spans="1:6" outlineLevel="1">
      <c r="A418" s="153">
        <f t="shared" si="6"/>
        <v>46290</v>
      </c>
      <c r="B418" s="140" t="s">
        <v>1279</v>
      </c>
      <c r="C418" s="145" t="str">
        <f>'BK Gbond'!F33</f>
        <v>Phần Gbond dùng để hỗ trợ mở/duy trì hạn mức thanh khoản với ngân hàng khác.</v>
      </c>
      <c r="D418" s="139" t="s">
        <v>1184</v>
      </c>
      <c r="E418" s="139" t="s">
        <v>1262</v>
      </c>
      <c r="F418" s="139" t="s">
        <v>1275</v>
      </c>
    </row>
    <row r="419" spans="1:6" outlineLevel="1">
      <c r="A419" s="153">
        <f t="shared" si="6"/>
        <v>46290</v>
      </c>
      <c r="B419" s="140" t="s">
        <v>1280</v>
      </c>
      <c r="C419" s="145" t="str">
        <f>'BK Gbond'!C34</f>
        <v>Đặt tại OMO</v>
      </c>
      <c r="D419" s="139" t="s">
        <v>1184</v>
      </c>
      <c r="E419" s="139" t="s">
        <v>1262</v>
      </c>
      <c r="F419" s="139" t="s">
        <v>1281</v>
      </c>
    </row>
    <row r="420" spans="1:6" outlineLevel="1">
      <c r="A420" s="153">
        <f t="shared" si="6"/>
        <v>46290</v>
      </c>
      <c r="B420" s="140" t="s">
        <v>1282</v>
      </c>
      <c r="C420" s="145" t="str">
        <f>IF(ISNUMBER('BK Gbond'!D34),TEXT('BK Gbond'!D34,"#,##0"),'BK Gbond'!D34)</f>
        <v>7,393</v>
      </c>
      <c r="D420" s="139" t="s">
        <v>1184</v>
      </c>
      <c r="E420" s="139" t="s">
        <v>1262</v>
      </c>
      <c r="F420" s="139" t="s">
        <v>1281</v>
      </c>
    </row>
    <row r="421" spans="1:6" outlineLevel="1">
      <c r="A421" s="153">
        <f t="shared" si="6"/>
        <v>46290</v>
      </c>
      <c r="B421" s="140" t="s">
        <v>1283</v>
      </c>
      <c r="C421" s="145" t="str">
        <f>IF('BK Gbond'!E34="","",TEXT('BK Gbond'!E34,"0.0%"))</f>
        <v>68.6%</v>
      </c>
      <c r="D421" s="139" t="s">
        <v>1184</v>
      </c>
      <c r="E421" s="139" t="s">
        <v>1262</v>
      </c>
      <c r="F421" s="139" t="s">
        <v>1281</v>
      </c>
    </row>
    <row r="422" spans="1:6" outlineLevel="1">
      <c r="A422" s="153">
        <f t="shared" si="6"/>
        <v>46290</v>
      </c>
      <c r="B422" s="140" t="s">
        <v>1284</v>
      </c>
      <c r="C422" s="145" t="str">
        <f>IF('BK Gbond'!E34="","",TEXT('BK Gbond'!E34,"0.0%"))</f>
        <v>68.6%</v>
      </c>
      <c r="D422" s="139" t="s">
        <v>1184</v>
      </c>
      <c r="E422" s="139" t="s">
        <v>1262</v>
      </c>
      <c r="F422" s="139" t="s">
        <v>1281</v>
      </c>
    </row>
    <row r="423" spans="1:6" outlineLevel="1">
      <c r="A423" s="153">
        <f t="shared" si="6"/>
        <v>46290</v>
      </c>
      <c r="B423" s="140" t="s">
        <v>1285</v>
      </c>
      <c r="C423" s="145" t="str">
        <f>'BK Gbond'!F34</f>
        <v>Phần đã sẵn sàng cho kênh OMO/cầm cố với NHNN, giúp đáp ứng nhu cầu thanh khoản ngay khi cần.</v>
      </c>
      <c r="D423" s="139" t="s">
        <v>1184</v>
      </c>
      <c r="E423" s="139" t="s">
        <v>1262</v>
      </c>
      <c r="F423" s="139" t="s">
        <v>1281</v>
      </c>
    </row>
    <row r="424" spans="1:6" outlineLevel="1">
      <c r="A424" s="153">
        <f t="shared" si="6"/>
        <v>46290</v>
      </c>
      <c r="B424" s="140" t="s">
        <v>1286</v>
      </c>
      <c r="C424" s="145" t="str">
        <f>'BK Gbond'!C35</f>
        <v>Bond còn lại</v>
      </c>
      <c r="D424" s="139" t="s">
        <v>1184</v>
      </c>
      <c r="E424" s="139" t="s">
        <v>1262</v>
      </c>
      <c r="F424" s="139" t="s">
        <v>1287</v>
      </c>
    </row>
    <row r="425" spans="1:6" outlineLevel="1">
      <c r="A425" s="153">
        <f t="shared" si="6"/>
        <v>46290</v>
      </c>
      <c r="B425" s="140" t="s">
        <v>1288</v>
      </c>
      <c r="C425" s="145" t="str">
        <f>IF(ISNUMBER('BK Gbond'!D35),TEXT('BK Gbond'!D35,"#,##0"),'BK Gbond'!D35)</f>
        <v>1,117</v>
      </c>
      <c r="D425" s="139" t="s">
        <v>1184</v>
      </c>
      <c r="E425" s="139" t="s">
        <v>1262</v>
      </c>
      <c r="F425" s="139" t="s">
        <v>1287</v>
      </c>
    </row>
    <row r="426" spans="1:6" outlineLevel="1">
      <c r="A426" s="153">
        <f t="shared" si="6"/>
        <v>46290</v>
      </c>
      <c r="B426" s="140" t="s">
        <v>1289</v>
      </c>
      <c r="C426" s="145" t="str">
        <f>IF('BK Gbond'!E35="","",TEXT('BK Gbond'!E35,"0.0%"))</f>
        <v>10.4%</v>
      </c>
      <c r="D426" s="139" t="s">
        <v>1184</v>
      </c>
      <c r="E426" s="139" t="s">
        <v>1262</v>
      </c>
      <c r="F426" s="139" t="s">
        <v>1287</v>
      </c>
    </row>
    <row r="427" spans="1:6" outlineLevel="1">
      <c r="A427" s="153">
        <f t="shared" si="6"/>
        <v>46290</v>
      </c>
      <c r="B427" s="140" t="s">
        <v>1290</v>
      </c>
      <c r="C427" s="145" t="str">
        <f>IF('BK Gbond'!E35="","",TEXT('BK Gbond'!E35,"0.0%"))</f>
        <v>10.4%</v>
      </c>
      <c r="D427" s="139" t="s">
        <v>1184</v>
      </c>
      <c r="E427" s="139" t="s">
        <v>1262</v>
      </c>
      <c r="F427" s="139" t="s">
        <v>1287</v>
      </c>
    </row>
    <row r="428" spans="1:6" outlineLevel="1">
      <c r="A428" s="153">
        <f t="shared" si="6"/>
        <v>46290</v>
      </c>
      <c r="B428" s="140" t="s">
        <v>1291</v>
      </c>
      <c r="C428" s="145" t="str">
        <f>'BK Gbond'!F35</f>
        <v>Phần trái phiếu còn lại có thể linh hoạt sử dụng tùy trạng thái thị trường.</v>
      </c>
      <c r="D428" s="139" t="s">
        <v>1184</v>
      </c>
      <c r="E428" s="139" t="s">
        <v>1262</v>
      </c>
      <c r="F428" s="139" t="s">
        <v>1287</v>
      </c>
    </row>
    <row r="429" spans="1:6" outlineLevel="1">
      <c r="A429" s="153">
        <f t="shared" si="6"/>
        <v>46290</v>
      </c>
      <c r="B429" s="140" t="s">
        <v>1292</v>
      </c>
      <c r="C429" s="145" t="str">
        <f>'BK Gbond'!G35</f>
        <v>Lưu ý: Nếu cấu phần này duy trì thấp sẽ ảnh hưởng trọng yếu đến năng lực cân nguồn cho các kịch bản thanh khoản bất thường</v>
      </c>
      <c r="D429" s="139" t="s">
        <v>1184</v>
      </c>
      <c r="E429" s="139" t="s">
        <v>1262</v>
      </c>
      <c r="F429" s="139" t="s">
        <v>1287</v>
      </c>
    </row>
    <row r="430" spans="1:6" outlineLevel="1">
      <c r="A430" s="153">
        <f t="shared" si="6"/>
        <v>46290</v>
      </c>
      <c r="B430" s="140" t="s">
        <v>473</v>
      </c>
      <c r="C430" s="145" t="str">
        <f>'Market II_BS FI'!C4</f>
        <v>Cơ cấu dòng tiền thanh khoản - Market II</v>
      </c>
      <c r="D430" s="139" t="s">
        <v>1293</v>
      </c>
      <c r="E430" s="139" t="s">
        <v>1187</v>
      </c>
      <c r="F430" s="139" t="s">
        <v>1188</v>
      </c>
    </row>
    <row r="431" spans="1:6" outlineLevel="1">
      <c r="A431" s="153">
        <f t="shared" si="6"/>
        <v>46290</v>
      </c>
      <c r="B431" s="140" t="s">
        <v>475</v>
      </c>
      <c r="C431" s="145" t="str">
        <f>'Market II_BS FI'!C5</f>
        <v>Tóm tắt các điểm nghẽn dòng tiền Market II theo kỳ hạn; đơn vị bảng là nghìn tỷ VND, riêng tác động NII là tỷ VND.</v>
      </c>
      <c r="D431" s="139" t="s">
        <v>1293</v>
      </c>
      <c r="E431" s="139" t="s">
        <v>1187</v>
      </c>
      <c r="F431" s="139" t="s">
        <v>1191</v>
      </c>
    </row>
    <row r="432" spans="1:6" outlineLevel="1">
      <c r="A432" s="153">
        <f t="shared" si="6"/>
        <v>46290</v>
      </c>
      <c r="B432" s="140" t="s">
        <v>1294</v>
      </c>
      <c r="C432" s="146" t="str">
        <f>'Market II_BS FI'!C6</f>
        <v>28/09/2026</v>
      </c>
      <c r="D432" s="139" t="s">
        <v>1293</v>
      </c>
      <c r="E432" s="139" t="s">
        <v>1187</v>
      </c>
      <c r="F432" s="139" t="s">
        <v>1295</v>
      </c>
    </row>
    <row r="433" spans="1:6" outlineLevel="1">
      <c r="A433" s="153">
        <f t="shared" si="6"/>
        <v>46290</v>
      </c>
      <c r="B433" s="140" t="s">
        <v>505</v>
      </c>
      <c r="C433" s="145" t="str">
        <f>'Market II_BS FI'!B10</f>
        <v>Khe hở thanh khoản lũy kế 1M</v>
      </c>
      <c r="D433" s="139" t="s">
        <v>1293</v>
      </c>
      <c r="E433" s="139" t="s">
        <v>1296</v>
      </c>
      <c r="F433" s="139" t="s">
        <v>1297</v>
      </c>
    </row>
    <row r="434" spans="1:6" outlineLevel="1">
      <c r="A434" s="153">
        <f t="shared" si="6"/>
        <v>46290</v>
      </c>
      <c r="B434" s="140" t="s">
        <v>508</v>
      </c>
      <c r="C434" s="145" t="str">
        <f>IF('Market II_BS FI'!C10&lt;&gt;"",'Market II_BS FI'!C10,"")</f>
        <v/>
      </c>
      <c r="D434" s="139" t="s">
        <v>1293</v>
      </c>
      <c r="E434" s="139" t="s">
        <v>1296</v>
      </c>
      <c r="F434" s="139" t="s">
        <v>1297</v>
      </c>
    </row>
    <row r="435" spans="1:6" outlineLevel="1">
      <c r="A435" s="153">
        <f t="shared" si="6"/>
        <v>46290</v>
      </c>
      <c r="B435" s="140" t="s">
        <v>510</v>
      </c>
      <c r="C435" s="145">
        <f>'Market II_BS FI'!D10</f>
        <v>-10.1</v>
      </c>
      <c r="D435" s="139" t="s">
        <v>1293</v>
      </c>
      <c r="E435" s="139" t="s">
        <v>1296</v>
      </c>
      <c r="F435" s="139" t="s">
        <v>1297</v>
      </c>
    </row>
    <row r="436" spans="1:6" outlineLevel="1">
      <c r="A436" s="153">
        <f t="shared" si="6"/>
        <v>46290</v>
      </c>
      <c r="B436" s="140" t="s">
        <v>513</v>
      </c>
      <c r="C436" s="145" t="str">
        <f>'Market II_BS FI'!E10</f>
        <v>Nghìn tỷ VND</v>
      </c>
      <c r="D436" s="139" t="s">
        <v>1293</v>
      </c>
      <c r="E436" s="139" t="s">
        <v>1296</v>
      </c>
      <c r="F436" s="139" t="s">
        <v>1297</v>
      </c>
    </row>
    <row r="437" spans="1:6" outlineLevel="1">
      <c r="A437" s="153">
        <f t="shared" si="6"/>
        <v>46290</v>
      </c>
      <c r="B437" s="140" t="s">
        <v>516</v>
      </c>
      <c r="C437" s="145" t="str">
        <f>'Market II_BS FI'!F10</f>
        <v>-22</v>
      </c>
      <c r="D437" s="139" t="s">
        <v>1293</v>
      </c>
      <c r="E437" s="139" t="s">
        <v>1296</v>
      </c>
      <c r="F437" s="139" t="s">
        <v>1297</v>
      </c>
    </row>
    <row r="438" spans="1:6" outlineLevel="1">
      <c r="A438" s="153">
        <f t="shared" si="6"/>
        <v>46290</v>
      </c>
      <c r="B438" s="140" t="s">
        <v>519</v>
      </c>
      <c r="C438" s="145" t="str">
        <f>'Market II_BS FI'!G10</f>
        <v>Mục tiêu theo dõi tối đa</v>
      </c>
      <c r="D438" s="139" t="s">
        <v>1293</v>
      </c>
      <c r="E438" s="139" t="s">
        <v>1296</v>
      </c>
      <c r="F438" s="139" t="s">
        <v>1297</v>
      </c>
    </row>
    <row r="439" spans="1:6" outlineLevel="1">
      <c r="A439" s="153">
        <f t="shared" si="6"/>
        <v>46290</v>
      </c>
      <c r="B439" s="140" t="s">
        <v>522</v>
      </c>
      <c r="C439" s="145" t="str">
        <f>'Market II_BS FI'!H10</f>
        <v>nghìn tỷ VND</v>
      </c>
      <c r="D439" s="139" t="s">
        <v>1293</v>
      </c>
      <c r="E439" s="139" t="s">
        <v>1296</v>
      </c>
      <c r="F439" s="139" t="s">
        <v>1297</v>
      </c>
    </row>
    <row r="440" spans="1:6" outlineLevel="1">
      <c r="A440" s="153">
        <f t="shared" si="6"/>
        <v>46290</v>
      </c>
      <c r="B440" s="140" t="s">
        <v>525</v>
      </c>
      <c r="C440" s="145" t="str">
        <f>IF('Market II_BS FI'!I10&lt;&gt;"",'Market II_BS FI'!I10,"")</f>
        <v/>
      </c>
      <c r="D440" s="139" t="s">
        <v>1293</v>
      </c>
      <c r="E440" s="139" t="s">
        <v>1296</v>
      </c>
      <c r="F440" s="139" t="s">
        <v>1297</v>
      </c>
    </row>
    <row r="441" spans="1:6" outlineLevel="1">
      <c r="A441" s="153">
        <f t="shared" si="6"/>
        <v>46290</v>
      </c>
      <c r="B441" s="140" t="s">
        <v>527</v>
      </c>
      <c r="C441" s="145" t="str">
        <f>'Market II_BS FI'!J10</f>
        <v>false</v>
      </c>
      <c r="D441" s="139" t="s">
        <v>1293</v>
      </c>
      <c r="E441" s="139" t="s">
        <v>1296</v>
      </c>
      <c r="F441" s="139" t="s">
        <v>1297</v>
      </c>
    </row>
    <row r="442" spans="1:6" outlineLevel="1">
      <c r="A442" s="153">
        <f t="shared" si="6"/>
        <v>46290</v>
      </c>
      <c r="B442" s="140" t="s">
        <v>530</v>
      </c>
      <c r="C442" s="145" t="str">
        <f>IF('Market II_BS FI'!K10&lt;&gt;"",'Market II_BS FI'!K10,"")</f>
        <v/>
      </c>
      <c r="D442" s="139" t="s">
        <v>1293</v>
      </c>
      <c r="E442" s="139" t="s">
        <v>1296</v>
      </c>
      <c r="F442" s="139" t="s">
        <v>1297</v>
      </c>
    </row>
    <row r="443" spans="1:6" outlineLevel="1">
      <c r="A443" s="153">
        <f t="shared" si="6"/>
        <v>46290</v>
      </c>
      <c r="B443" s="140" t="s">
        <v>1298</v>
      </c>
      <c r="C443" s="145" t="str">
        <f>IF('Market II_BS FI'!K10&lt;&gt;"",'Market II_BS FI'!K10,"")</f>
        <v/>
      </c>
      <c r="D443" s="139" t="s">
        <v>1293</v>
      </c>
      <c r="E443" s="139" t="s">
        <v>1299</v>
      </c>
      <c r="F443" s="139" t="s">
        <v>1297</v>
      </c>
    </row>
    <row r="444" spans="1:6" outlineLevel="1">
      <c r="A444" s="153">
        <f t="shared" si="6"/>
        <v>46290</v>
      </c>
      <c r="B444" s="140" t="s">
        <v>532</v>
      </c>
      <c r="C444" s="145" t="str">
        <f>IF('Market II_BS FI'!L10&lt;&gt;"",'Market II_BS FI'!L10,"")</f>
        <v/>
      </c>
      <c r="D444" s="139" t="s">
        <v>1293</v>
      </c>
      <c r="E444" s="139" t="s">
        <v>1296</v>
      </c>
      <c r="F444" s="139" t="s">
        <v>1297</v>
      </c>
    </row>
    <row r="445" spans="1:6" outlineLevel="1">
      <c r="A445" s="153">
        <f t="shared" si="6"/>
        <v>46290</v>
      </c>
      <c r="B445" s="140" t="s">
        <v>1301</v>
      </c>
      <c r="C445" s="145" t="str">
        <f>IF('Market II_BS FI'!L10&lt;&gt;"",'Market II_BS FI'!L10,"")</f>
        <v/>
      </c>
      <c r="D445" s="139" t="s">
        <v>1293</v>
      </c>
      <c r="E445" s="139" t="s">
        <v>1299</v>
      </c>
      <c r="F445" s="139" t="s">
        <v>1297</v>
      </c>
    </row>
    <row r="446" spans="1:6" outlineLevel="1">
      <c r="A446" s="153">
        <f t="shared" si="6"/>
        <v>46290</v>
      </c>
      <c r="B446" s="140" t="s">
        <v>534</v>
      </c>
      <c r="C446" s="145" t="str">
        <f>'Market II_BS FI'!B11</f>
        <v>Khe hở thanh khoản lũy kế 3M</v>
      </c>
      <c r="D446" s="139" t="s">
        <v>1293</v>
      </c>
      <c r="E446" s="139" t="s">
        <v>1296</v>
      </c>
      <c r="F446" s="139" t="s">
        <v>1302</v>
      </c>
    </row>
    <row r="447" spans="1:6" outlineLevel="1">
      <c r="A447" s="153">
        <f t="shared" si="6"/>
        <v>46290</v>
      </c>
      <c r="B447" s="140" t="s">
        <v>537</v>
      </c>
      <c r="C447" s="145" t="str">
        <f>IF('Market II_BS FI'!C11&lt;&gt;"",'Market II_BS FI'!C11,"")</f>
        <v/>
      </c>
      <c r="D447" s="139" t="s">
        <v>1293</v>
      </c>
      <c r="E447" s="139" t="s">
        <v>1296</v>
      </c>
      <c r="F447" s="139" t="s">
        <v>1302</v>
      </c>
    </row>
    <row r="448" spans="1:6" outlineLevel="1">
      <c r="A448" s="153">
        <f t="shared" si="6"/>
        <v>46290</v>
      </c>
      <c r="B448" s="140" t="s">
        <v>539</v>
      </c>
      <c r="C448" s="145">
        <f>'Market II_BS FI'!D11</f>
        <v>-25.5</v>
      </c>
      <c r="D448" s="139" t="s">
        <v>1293</v>
      </c>
      <c r="E448" s="139" t="s">
        <v>1296</v>
      </c>
      <c r="F448" s="139" t="s">
        <v>1302</v>
      </c>
    </row>
    <row r="449" spans="1:6" outlineLevel="1">
      <c r="A449" s="153">
        <f t="shared" si="6"/>
        <v>46290</v>
      </c>
      <c r="B449" s="140" t="s">
        <v>542</v>
      </c>
      <c r="C449" s="145" t="str">
        <f>'Market II_BS FI'!E11</f>
        <v>Nghìn tỷ VND</v>
      </c>
      <c r="D449" s="139" t="s">
        <v>1293</v>
      </c>
      <c r="E449" s="139" t="s">
        <v>1296</v>
      </c>
      <c r="F449" s="139" t="s">
        <v>1302</v>
      </c>
    </row>
    <row r="450" spans="1:6" outlineLevel="1">
      <c r="A450" s="153">
        <f t="shared" ref="A450:A513" si="7">RPT</f>
        <v>46290</v>
      </c>
      <c r="B450" s="140" t="s">
        <v>544</v>
      </c>
      <c r="C450" s="145" t="str">
        <f>'Market II_BS FI'!F11</f>
        <v>-30</v>
      </c>
      <c r="D450" s="139" t="s">
        <v>1293</v>
      </c>
      <c r="E450" s="139" t="s">
        <v>1296</v>
      </c>
      <c r="F450" s="139" t="s">
        <v>1302</v>
      </c>
    </row>
    <row r="451" spans="1:6" outlineLevel="1">
      <c r="A451" s="153">
        <f t="shared" si="7"/>
        <v>46290</v>
      </c>
      <c r="B451" s="140" t="s">
        <v>547</v>
      </c>
      <c r="C451" s="145" t="str">
        <f>'Market II_BS FI'!G11</f>
        <v>Mục tiêu theo dõi tối đa</v>
      </c>
      <c r="D451" s="139" t="s">
        <v>1293</v>
      </c>
      <c r="E451" s="139" t="s">
        <v>1296</v>
      </c>
      <c r="F451" s="139" t="s">
        <v>1302</v>
      </c>
    </row>
    <row r="452" spans="1:6" outlineLevel="1">
      <c r="A452" s="153">
        <f t="shared" si="7"/>
        <v>46290</v>
      </c>
      <c r="B452" s="140" t="s">
        <v>549</v>
      </c>
      <c r="C452" s="145" t="str">
        <f>'Market II_BS FI'!H11</f>
        <v>nghìn tỷ VND</v>
      </c>
      <c r="D452" s="139" t="s">
        <v>1293</v>
      </c>
      <c r="E452" s="139" t="s">
        <v>1296</v>
      </c>
      <c r="F452" s="139" t="s">
        <v>1302</v>
      </c>
    </row>
    <row r="453" spans="1:6" outlineLevel="1">
      <c r="A453" s="153">
        <f t="shared" si="7"/>
        <v>46290</v>
      </c>
      <c r="B453" s="140" t="s">
        <v>551</v>
      </c>
      <c r="C453" s="145" t="str">
        <f>IF('Market II_BS FI'!I11&lt;&gt;"",'Market II_BS FI'!I11,"")</f>
        <v/>
      </c>
      <c r="D453" s="139" t="s">
        <v>1293</v>
      </c>
      <c r="E453" s="139" t="s">
        <v>1296</v>
      </c>
      <c r="F453" s="139" t="s">
        <v>1302</v>
      </c>
    </row>
    <row r="454" spans="1:6" outlineLevel="1">
      <c r="A454" s="153">
        <f t="shared" si="7"/>
        <v>46290</v>
      </c>
      <c r="B454" s="140" t="s">
        <v>553</v>
      </c>
      <c r="C454" s="145" t="str">
        <f>'Market II_BS FI'!J11</f>
        <v>false</v>
      </c>
      <c r="D454" s="139" t="s">
        <v>1293</v>
      </c>
      <c r="E454" s="139" t="s">
        <v>1296</v>
      </c>
      <c r="F454" s="139" t="s">
        <v>1302</v>
      </c>
    </row>
    <row r="455" spans="1:6" outlineLevel="1">
      <c r="A455" s="153">
        <f t="shared" si="7"/>
        <v>46290</v>
      </c>
      <c r="B455" s="140" t="s">
        <v>555</v>
      </c>
      <c r="C455" s="145" t="str">
        <f>IF('Market II_BS FI'!K11&lt;&gt;"",'Market II_BS FI'!K11,"")</f>
        <v/>
      </c>
      <c r="D455" s="139" t="s">
        <v>1293</v>
      </c>
      <c r="E455" s="139" t="s">
        <v>1296</v>
      </c>
      <c r="F455" s="139" t="s">
        <v>1302</v>
      </c>
    </row>
    <row r="456" spans="1:6" outlineLevel="1">
      <c r="A456" s="153">
        <f t="shared" si="7"/>
        <v>46290</v>
      </c>
      <c r="B456" s="140" t="s">
        <v>1303</v>
      </c>
      <c r="C456" s="145" t="str">
        <f>IF('Market II_BS FI'!K11&lt;&gt;"",'Market II_BS FI'!K11,"")</f>
        <v/>
      </c>
      <c r="D456" s="139" t="s">
        <v>1293</v>
      </c>
      <c r="E456" s="139" t="s">
        <v>1299</v>
      </c>
      <c r="F456" s="139" t="s">
        <v>1302</v>
      </c>
    </row>
    <row r="457" spans="1:6" outlineLevel="1">
      <c r="A457" s="153">
        <f t="shared" si="7"/>
        <v>46290</v>
      </c>
      <c r="B457" s="140" t="s">
        <v>557</v>
      </c>
      <c r="C457" s="145" t="str">
        <f>IF('Market II_BS FI'!L11&lt;&gt;"",'Market II_BS FI'!L11,"")</f>
        <v/>
      </c>
      <c r="D457" s="139" t="s">
        <v>1293</v>
      </c>
      <c r="E457" s="139" t="s">
        <v>1296</v>
      </c>
      <c r="F457" s="139" t="s">
        <v>1302</v>
      </c>
    </row>
    <row r="458" spans="1:6" outlineLevel="1">
      <c r="A458" s="153">
        <f t="shared" si="7"/>
        <v>46290</v>
      </c>
      <c r="B458" s="140" t="s">
        <v>1304</v>
      </c>
      <c r="C458" s="145" t="str">
        <f>IF('Market II_BS FI'!L11&lt;&gt;"",'Market II_BS FI'!L11,"")</f>
        <v/>
      </c>
      <c r="D458" s="139" t="s">
        <v>1293</v>
      </c>
      <c r="E458" s="139" t="s">
        <v>1299</v>
      </c>
      <c r="F458" s="139" t="s">
        <v>1302</v>
      </c>
    </row>
    <row r="459" spans="1:6" outlineLevel="1">
      <c r="A459" s="153">
        <f t="shared" si="7"/>
        <v>46290</v>
      </c>
      <c r="B459" s="140" t="s">
        <v>559</v>
      </c>
      <c r="C459" s="145" t="str">
        <f>'Market II_BS FI'!B12</f>
        <v>Khe hở tái định giá lũy kế 1M</v>
      </c>
      <c r="D459" s="139" t="s">
        <v>1293</v>
      </c>
      <c r="E459" s="139" t="s">
        <v>1296</v>
      </c>
      <c r="F459" s="139" t="s">
        <v>1305</v>
      </c>
    </row>
    <row r="460" spans="1:6" outlineLevel="1">
      <c r="A460" s="153">
        <f t="shared" si="7"/>
        <v>46290</v>
      </c>
      <c r="B460" s="140" t="s">
        <v>562</v>
      </c>
      <c r="C460" s="145" t="str">
        <f>IF('Market II_BS FI'!C12&lt;&gt;"",'Market II_BS FI'!C12,"")</f>
        <v/>
      </c>
      <c r="D460" s="139" t="s">
        <v>1293</v>
      </c>
      <c r="E460" s="139" t="s">
        <v>1296</v>
      </c>
      <c r="F460" s="139" t="s">
        <v>1305</v>
      </c>
    </row>
    <row r="461" spans="1:6" outlineLevel="1">
      <c r="A461" s="153">
        <f t="shared" si="7"/>
        <v>46290</v>
      </c>
      <c r="B461" s="140" t="s">
        <v>564</v>
      </c>
      <c r="C461" s="145">
        <f>'Market II_BS FI'!D12</f>
        <v>-10.1</v>
      </c>
      <c r="D461" s="139" t="s">
        <v>1293</v>
      </c>
      <c r="E461" s="139" t="s">
        <v>1296</v>
      </c>
      <c r="F461" s="139" t="s">
        <v>1305</v>
      </c>
    </row>
    <row r="462" spans="1:6" outlineLevel="1">
      <c r="A462" s="153">
        <f t="shared" si="7"/>
        <v>46290</v>
      </c>
      <c r="B462" s="140" t="s">
        <v>567</v>
      </c>
      <c r="C462" s="145" t="str">
        <f>'Market II_BS FI'!E12</f>
        <v>Nghìn tỷ VND</v>
      </c>
      <c r="D462" s="139" t="s">
        <v>1293</v>
      </c>
      <c r="E462" s="139" t="s">
        <v>1296</v>
      </c>
      <c r="F462" s="139" t="s">
        <v>1305</v>
      </c>
    </row>
    <row r="463" spans="1:6" outlineLevel="1">
      <c r="A463" s="153">
        <f t="shared" si="7"/>
        <v>46290</v>
      </c>
      <c r="B463" s="140" t="s">
        <v>569</v>
      </c>
      <c r="C463" s="145">
        <f>'Market II_BS FI'!F12</f>
        <v>0</v>
      </c>
      <c r="D463" s="139" t="s">
        <v>1293</v>
      </c>
      <c r="E463" s="139" t="s">
        <v>1296</v>
      </c>
      <c r="F463" s="139" t="s">
        <v>1305</v>
      </c>
    </row>
    <row r="464" spans="1:6" outlineLevel="1">
      <c r="A464" s="153">
        <f t="shared" si="7"/>
        <v>46290</v>
      </c>
      <c r="B464" s="140" t="s">
        <v>571</v>
      </c>
      <c r="C464" s="145">
        <f>'Market II_BS FI'!G12</f>
        <v>0</v>
      </c>
      <c r="D464" s="139" t="s">
        <v>1293</v>
      </c>
      <c r="E464" s="139" t="s">
        <v>1296</v>
      </c>
      <c r="F464" s="139" t="s">
        <v>1305</v>
      </c>
    </row>
    <row r="465" spans="1:6" outlineLevel="1">
      <c r="A465" s="153">
        <f t="shared" si="7"/>
        <v>46290</v>
      </c>
      <c r="B465" s="140" t="s">
        <v>573</v>
      </c>
      <c r="C465" s="145">
        <f>'Market II_BS FI'!H12</f>
        <v>0</v>
      </c>
      <c r="D465" s="139" t="s">
        <v>1293</v>
      </c>
      <c r="E465" s="139" t="s">
        <v>1296</v>
      </c>
      <c r="F465" s="139" t="s">
        <v>1305</v>
      </c>
    </row>
    <row r="466" spans="1:6" outlineLevel="1">
      <c r="A466" s="153">
        <f t="shared" si="7"/>
        <v>46290</v>
      </c>
      <c r="B466" s="140" t="s">
        <v>575</v>
      </c>
      <c r="C466" s="145" t="str">
        <f>'Market II_BS FI'!I12</f>
        <v>Không áp dụng limit; chỉ theo dõi xu hướng nhạy cảm lãi suất.</v>
      </c>
      <c r="D466" s="139" t="s">
        <v>1293</v>
      </c>
      <c r="E466" s="139" t="s">
        <v>1296</v>
      </c>
      <c r="F466" s="139" t="s">
        <v>1305</v>
      </c>
    </row>
    <row r="467" spans="1:6" outlineLevel="1">
      <c r="A467" s="153">
        <f t="shared" si="7"/>
        <v>46290</v>
      </c>
      <c r="B467" s="140" t="s">
        <v>578</v>
      </c>
      <c r="C467" s="145" t="str">
        <f>'Market II_BS FI'!J12</f>
        <v>true</v>
      </c>
      <c r="D467" s="139" t="s">
        <v>1293</v>
      </c>
      <c r="E467" s="139" t="s">
        <v>1296</v>
      </c>
      <c r="F467" s="139" t="s">
        <v>1305</v>
      </c>
    </row>
    <row r="468" spans="1:6" outlineLevel="1">
      <c r="A468" s="153">
        <f t="shared" si="7"/>
        <v>46290</v>
      </c>
      <c r="B468" s="140" t="s">
        <v>581</v>
      </c>
      <c r="C468" s="145" t="str">
        <f>IF('Market II_BS FI'!K12&lt;&gt;"",'Market II_BS FI'!K12,"")</f>
        <v/>
      </c>
      <c r="D468" s="139" t="s">
        <v>1293</v>
      </c>
      <c r="E468" s="139" t="s">
        <v>1296</v>
      </c>
      <c r="F468" s="139" t="s">
        <v>1305</v>
      </c>
    </row>
    <row r="469" spans="1:6" outlineLevel="1">
      <c r="A469" s="153">
        <f t="shared" si="7"/>
        <v>46290</v>
      </c>
      <c r="B469" s="140" t="s">
        <v>1306</v>
      </c>
      <c r="C469" s="145" t="str">
        <f>IF('Market II_BS FI'!K12&lt;&gt;"",'Market II_BS FI'!K12,"")</f>
        <v/>
      </c>
      <c r="D469" s="139" t="s">
        <v>1293</v>
      </c>
      <c r="E469" s="139" t="s">
        <v>1299</v>
      </c>
      <c r="F469" s="139" t="s">
        <v>1305</v>
      </c>
    </row>
    <row r="470" spans="1:6" outlineLevel="1">
      <c r="A470" s="153">
        <f t="shared" si="7"/>
        <v>46290</v>
      </c>
      <c r="B470" s="140" t="s">
        <v>583</v>
      </c>
      <c r="C470" s="145" t="str">
        <f>IF('Market II_BS FI'!L12&lt;&gt;"",'Market II_BS FI'!L12,"")</f>
        <v/>
      </c>
      <c r="D470" s="139" t="s">
        <v>1293</v>
      </c>
      <c r="E470" s="139" t="s">
        <v>1296</v>
      </c>
      <c r="F470" s="139" t="s">
        <v>1305</v>
      </c>
    </row>
    <row r="471" spans="1:6" outlineLevel="1">
      <c r="A471" s="153">
        <f t="shared" si="7"/>
        <v>46290</v>
      </c>
      <c r="B471" s="140" t="s">
        <v>1307</v>
      </c>
      <c r="C471" s="145" t="str">
        <f>IF('Market II_BS FI'!L12&lt;&gt;"",'Market II_BS FI'!L12,"")</f>
        <v/>
      </c>
      <c r="D471" s="139" t="s">
        <v>1293</v>
      </c>
      <c r="E471" s="139" t="s">
        <v>1299</v>
      </c>
      <c r="F471" s="139" t="s">
        <v>1305</v>
      </c>
    </row>
    <row r="472" spans="1:6" outlineLevel="1">
      <c r="A472" s="153">
        <f t="shared" si="7"/>
        <v>46290</v>
      </c>
      <c r="B472" s="140" t="s">
        <v>585</v>
      </c>
      <c r="C472" s="145" t="str">
        <f>'Market II_BS FI'!B13</f>
        <v>Khe hở tái định giá lũy kế 3M</v>
      </c>
      <c r="D472" s="139" t="s">
        <v>1293</v>
      </c>
      <c r="E472" s="139" t="s">
        <v>1296</v>
      </c>
      <c r="F472" s="139" t="s">
        <v>1308</v>
      </c>
    </row>
    <row r="473" spans="1:6" outlineLevel="1">
      <c r="A473" s="153">
        <f t="shared" si="7"/>
        <v>46290</v>
      </c>
      <c r="B473" s="140" t="s">
        <v>588</v>
      </c>
      <c r="C473" s="145" t="str">
        <f>IF('Market II_BS FI'!C13&lt;&gt;"",'Market II_BS FI'!C13,"")</f>
        <v/>
      </c>
      <c r="D473" s="139" t="s">
        <v>1293</v>
      </c>
      <c r="E473" s="139" t="s">
        <v>1296</v>
      </c>
      <c r="F473" s="139" t="s">
        <v>1308</v>
      </c>
    </row>
    <row r="474" spans="1:6" outlineLevel="1">
      <c r="A474" s="153">
        <f t="shared" si="7"/>
        <v>46290</v>
      </c>
      <c r="B474" s="140" t="s">
        <v>590</v>
      </c>
      <c r="C474" s="145">
        <f>'Market II_BS FI'!D13</f>
        <v>-25.5</v>
      </c>
      <c r="D474" s="139" t="s">
        <v>1293</v>
      </c>
      <c r="E474" s="139" t="s">
        <v>1296</v>
      </c>
      <c r="F474" s="139" t="s">
        <v>1308</v>
      </c>
    </row>
    <row r="475" spans="1:6" outlineLevel="1">
      <c r="A475" s="153">
        <f t="shared" si="7"/>
        <v>46290</v>
      </c>
      <c r="B475" s="140" t="s">
        <v>593</v>
      </c>
      <c r="C475" s="145" t="str">
        <f>'Market II_BS FI'!E13</f>
        <v>Nghìn tỷ VND</v>
      </c>
      <c r="D475" s="139" t="s">
        <v>1293</v>
      </c>
      <c r="E475" s="139" t="s">
        <v>1296</v>
      </c>
      <c r="F475" s="139" t="s">
        <v>1308</v>
      </c>
    </row>
    <row r="476" spans="1:6" outlineLevel="1">
      <c r="A476" s="153">
        <f t="shared" si="7"/>
        <v>46290</v>
      </c>
      <c r="B476" s="140" t="s">
        <v>595</v>
      </c>
      <c r="C476" s="145">
        <f>'Market II_BS FI'!F13</f>
        <v>0</v>
      </c>
      <c r="D476" s="139" t="s">
        <v>1293</v>
      </c>
      <c r="E476" s="139" t="s">
        <v>1296</v>
      </c>
      <c r="F476" s="139" t="s">
        <v>1308</v>
      </c>
    </row>
    <row r="477" spans="1:6" outlineLevel="1">
      <c r="A477" s="153">
        <f t="shared" si="7"/>
        <v>46290</v>
      </c>
      <c r="B477" s="140" t="s">
        <v>597</v>
      </c>
      <c r="C477" s="145">
        <f>'Market II_BS FI'!G13</f>
        <v>0</v>
      </c>
      <c r="D477" s="139" t="s">
        <v>1293</v>
      </c>
      <c r="E477" s="139" t="s">
        <v>1296</v>
      </c>
      <c r="F477" s="139" t="s">
        <v>1308</v>
      </c>
    </row>
    <row r="478" spans="1:6" outlineLevel="1">
      <c r="A478" s="153">
        <f t="shared" si="7"/>
        <v>46290</v>
      </c>
      <c r="B478" s="140" t="s">
        <v>599</v>
      </c>
      <c r="C478" s="145">
        <f>'Market II_BS FI'!H13</f>
        <v>0</v>
      </c>
      <c r="D478" s="139" t="s">
        <v>1293</v>
      </c>
      <c r="E478" s="139" t="s">
        <v>1296</v>
      </c>
      <c r="F478" s="139" t="s">
        <v>1308</v>
      </c>
    </row>
    <row r="479" spans="1:6" outlineLevel="1">
      <c r="A479" s="153">
        <f t="shared" si="7"/>
        <v>46290</v>
      </c>
      <c r="B479" s="140" t="s">
        <v>601</v>
      </c>
      <c r="C479" s="145" t="str">
        <f>'Market II_BS FI'!I13</f>
        <v>Không áp dụng limit; chỉ theo dõi xu hướng nhạy cảm lãi suất.</v>
      </c>
      <c r="D479" s="139" t="s">
        <v>1293</v>
      </c>
      <c r="E479" s="139" t="s">
        <v>1296</v>
      </c>
      <c r="F479" s="139" t="s">
        <v>1308</v>
      </c>
    </row>
    <row r="480" spans="1:6" outlineLevel="1">
      <c r="A480" s="153">
        <f t="shared" si="7"/>
        <v>46290</v>
      </c>
      <c r="B480" s="140" t="s">
        <v>603</v>
      </c>
      <c r="C480" s="145" t="str">
        <f>'Market II_BS FI'!J13</f>
        <v>true</v>
      </c>
      <c r="D480" s="139" t="s">
        <v>1293</v>
      </c>
      <c r="E480" s="139" t="s">
        <v>1296</v>
      </c>
      <c r="F480" s="139" t="s">
        <v>1308</v>
      </c>
    </row>
    <row r="481" spans="1:6" outlineLevel="1">
      <c r="A481" s="153">
        <f t="shared" si="7"/>
        <v>46290</v>
      </c>
      <c r="B481" s="140" t="s">
        <v>605</v>
      </c>
      <c r="C481" s="145" t="str">
        <f>IF('Market II_BS FI'!K13&lt;&gt;"",'Market II_BS FI'!K13,"")</f>
        <v/>
      </c>
      <c r="D481" s="139" t="s">
        <v>1293</v>
      </c>
      <c r="E481" s="139" t="s">
        <v>1296</v>
      </c>
      <c r="F481" s="139" t="s">
        <v>1308</v>
      </c>
    </row>
    <row r="482" spans="1:6" outlineLevel="1">
      <c r="A482" s="153">
        <f t="shared" si="7"/>
        <v>46290</v>
      </c>
      <c r="B482" s="140" t="s">
        <v>1309</v>
      </c>
      <c r="C482" s="145" t="str">
        <f>IF('Market II_BS FI'!K13&lt;&gt;"",'Market II_BS FI'!K13,"")</f>
        <v/>
      </c>
      <c r="D482" s="139" t="s">
        <v>1293</v>
      </c>
      <c r="E482" s="139" t="s">
        <v>1299</v>
      </c>
      <c r="F482" s="139" t="s">
        <v>1308</v>
      </c>
    </row>
    <row r="483" spans="1:6" outlineLevel="1">
      <c r="A483" s="153">
        <f t="shared" si="7"/>
        <v>46290</v>
      </c>
      <c r="B483" s="140" t="s">
        <v>607</v>
      </c>
      <c r="C483" s="145" t="str">
        <f>IF('Market II_BS FI'!L13&lt;&gt;"",'Market II_BS FI'!L13,"")</f>
        <v/>
      </c>
      <c r="D483" s="139" t="s">
        <v>1293</v>
      </c>
      <c r="E483" s="139" t="s">
        <v>1296</v>
      </c>
      <c r="F483" s="139" t="s">
        <v>1308</v>
      </c>
    </row>
    <row r="484" spans="1:6" outlineLevel="1">
      <c r="A484" s="153">
        <f t="shared" si="7"/>
        <v>46290</v>
      </c>
      <c r="B484" s="140" t="s">
        <v>1310</v>
      </c>
      <c r="C484" s="145" t="str">
        <f>IF('Market II_BS FI'!L13&lt;&gt;"",'Market II_BS FI'!L13,"")</f>
        <v/>
      </c>
      <c r="D484" s="139" t="s">
        <v>1293</v>
      </c>
      <c r="E484" s="139" t="s">
        <v>1299</v>
      </c>
      <c r="F484" s="139" t="s">
        <v>1308</v>
      </c>
    </row>
    <row r="485" spans="1:6" outlineLevel="1">
      <c r="A485" s="153">
        <f t="shared" si="7"/>
        <v>46290</v>
      </c>
      <c r="B485" s="140" t="s">
        <v>609</v>
      </c>
      <c r="C485" s="145" t="str">
        <f>'Market II_BS FI'!B14</f>
        <v>Kịch bản dự báo biến động NII trong 3M</v>
      </c>
      <c r="D485" s="139" t="s">
        <v>1293</v>
      </c>
      <c r="E485" s="139" t="s">
        <v>1296</v>
      </c>
      <c r="F485" s="139" t="s">
        <v>1311</v>
      </c>
    </row>
    <row r="486" spans="1:6" outlineLevel="1">
      <c r="A486" s="153">
        <f t="shared" si="7"/>
        <v>46290</v>
      </c>
      <c r="B486" s="140" t="s">
        <v>612</v>
      </c>
      <c r="C486" s="145" t="str">
        <f>'Market II_BS FI'!C14</f>
        <v>(nếu Lãi suất funding tăng thêm 2% so với hiện tại và duy trì trong 3M tới)</v>
      </c>
      <c r="D486" s="139" t="s">
        <v>1293</v>
      </c>
      <c r="E486" s="139" t="s">
        <v>1296</v>
      </c>
      <c r="F486" s="139" t="s">
        <v>1311</v>
      </c>
    </row>
    <row r="487" spans="1:6" outlineLevel="1">
      <c r="A487" s="153">
        <f t="shared" si="7"/>
        <v>46290</v>
      </c>
      <c r="B487" s="140" t="s">
        <v>615</v>
      </c>
      <c r="C487" s="145">
        <f>'Market II_BS FI'!D14</f>
        <v>-67.800000000000011</v>
      </c>
      <c r="D487" s="139" t="s">
        <v>1293</v>
      </c>
      <c r="E487" s="139" t="s">
        <v>1296</v>
      </c>
      <c r="F487" s="139" t="s">
        <v>1311</v>
      </c>
    </row>
    <row r="488" spans="1:6" outlineLevel="1">
      <c r="A488" s="153">
        <f t="shared" si="7"/>
        <v>46290</v>
      </c>
      <c r="B488" s="140" t="s">
        <v>618</v>
      </c>
      <c r="C488" s="145" t="str">
        <f>'Market II_BS FI'!E14</f>
        <v>Tỷ VND</v>
      </c>
      <c r="D488" s="139" t="s">
        <v>1293</v>
      </c>
      <c r="E488" s="139" t="s">
        <v>1296</v>
      </c>
      <c r="F488" s="139" t="s">
        <v>1311</v>
      </c>
    </row>
    <row r="489" spans="1:6" outlineLevel="1">
      <c r="A489" s="153">
        <f t="shared" si="7"/>
        <v>46290</v>
      </c>
      <c r="B489" s="140" t="s">
        <v>621</v>
      </c>
      <c r="C489" s="145" t="str">
        <f>'Market II_BS FI'!F14</f>
        <v>-100</v>
      </c>
      <c r="D489" s="139" t="s">
        <v>1293</v>
      </c>
      <c r="E489" s="139" t="s">
        <v>1296</v>
      </c>
      <c r="F489" s="139" t="s">
        <v>1311</v>
      </c>
    </row>
    <row r="490" spans="1:6" outlineLevel="1">
      <c r="A490" s="153">
        <f t="shared" si="7"/>
        <v>46290</v>
      </c>
      <c r="B490" s="140" t="s">
        <v>624</v>
      </c>
      <c r="C490" s="145" t="str">
        <f>'Market II_BS FI'!G14</f>
        <v>Mục tiêu theo dõi</v>
      </c>
      <c r="D490" s="139" t="s">
        <v>1293</v>
      </c>
      <c r="E490" s="139" t="s">
        <v>1296</v>
      </c>
      <c r="F490" s="139" t="s">
        <v>1311</v>
      </c>
    </row>
    <row r="491" spans="1:6" outlineLevel="1">
      <c r="A491" s="153">
        <f t="shared" si="7"/>
        <v>46290</v>
      </c>
      <c r="B491" s="140" t="s">
        <v>626</v>
      </c>
      <c r="C491" s="145" t="str">
        <f>'Market II_BS FI'!H14</f>
        <v>tỷ VND</v>
      </c>
      <c r="D491" s="139" t="s">
        <v>1293</v>
      </c>
      <c r="E491" s="139" t="s">
        <v>1296</v>
      </c>
      <c r="F491" s="139" t="s">
        <v>1311</v>
      </c>
    </row>
    <row r="492" spans="1:6" outlineLevel="1">
      <c r="A492" s="153">
        <f t="shared" si="7"/>
        <v>46290</v>
      </c>
      <c r="B492" s="140" t="s">
        <v>629</v>
      </c>
      <c r="C492" s="145" t="str">
        <f>IF('Market II_BS FI'!I14&lt;&gt;"",'Market II_BS FI'!I14,"")</f>
        <v/>
      </c>
      <c r="D492" s="139" t="s">
        <v>1293</v>
      </c>
      <c r="E492" s="139" t="s">
        <v>1296</v>
      </c>
      <c r="F492" s="139" t="s">
        <v>1311</v>
      </c>
    </row>
    <row r="493" spans="1:6" outlineLevel="1">
      <c r="A493" s="153">
        <f t="shared" si="7"/>
        <v>46290</v>
      </c>
      <c r="B493" s="140" t="s">
        <v>631</v>
      </c>
      <c r="C493" s="145" t="str">
        <f>'Market II_BS FI'!J14</f>
        <v>false</v>
      </c>
      <c r="D493" s="139" t="s">
        <v>1293</v>
      </c>
      <c r="E493" s="139" t="s">
        <v>1296</v>
      </c>
      <c r="F493" s="139" t="s">
        <v>1311</v>
      </c>
    </row>
    <row r="494" spans="1:6" outlineLevel="1">
      <c r="A494" s="153">
        <f t="shared" si="7"/>
        <v>46290</v>
      </c>
      <c r="B494" s="140" t="s">
        <v>633</v>
      </c>
      <c r="C494" s="145" t="str">
        <f>IF('Market II_BS FI'!K14&lt;&gt;"",'Market II_BS FI'!K14,"")</f>
        <v/>
      </c>
      <c r="D494" s="139" t="s">
        <v>1293</v>
      </c>
      <c r="E494" s="139" t="s">
        <v>1296</v>
      </c>
      <c r="F494" s="139" t="s">
        <v>1311</v>
      </c>
    </row>
    <row r="495" spans="1:6" outlineLevel="1">
      <c r="A495" s="153">
        <f t="shared" si="7"/>
        <v>46290</v>
      </c>
      <c r="B495" s="140" t="s">
        <v>1312</v>
      </c>
      <c r="C495" s="145" t="str">
        <f>IF('Market II_BS FI'!K14&lt;&gt;"",'Market II_BS FI'!K14,"")</f>
        <v/>
      </c>
      <c r="D495" s="139" t="s">
        <v>1293</v>
      </c>
      <c r="E495" s="139" t="s">
        <v>1299</v>
      </c>
      <c r="F495" s="139" t="s">
        <v>1311</v>
      </c>
    </row>
    <row r="496" spans="1:6" outlineLevel="1">
      <c r="A496" s="153">
        <f t="shared" si="7"/>
        <v>46290</v>
      </c>
      <c r="B496" s="140" t="s">
        <v>635</v>
      </c>
      <c r="C496" s="145" t="str">
        <f>IF('Market II_BS FI'!L14&lt;&gt;"",'Market II_BS FI'!L14,"")</f>
        <v/>
      </c>
      <c r="D496" s="139" t="s">
        <v>1293</v>
      </c>
      <c r="E496" s="139" t="s">
        <v>1296</v>
      </c>
      <c r="F496" s="139" t="s">
        <v>1311</v>
      </c>
    </row>
    <row r="497" spans="1:6" outlineLevel="1">
      <c r="A497" s="153">
        <f t="shared" si="7"/>
        <v>46290</v>
      </c>
      <c r="B497" s="140" t="s">
        <v>1313</v>
      </c>
      <c r="C497" s="145" t="str">
        <f>IF('Market II_BS FI'!L14&lt;&gt;"",'Market II_BS FI'!L14,"")</f>
        <v/>
      </c>
      <c r="D497" s="139" t="s">
        <v>1293</v>
      </c>
      <c r="E497" s="139" t="s">
        <v>1299</v>
      </c>
      <c r="F497" s="139" t="s">
        <v>1311</v>
      </c>
    </row>
    <row r="498" spans="1:6" outlineLevel="1">
      <c r="A498" s="153">
        <f t="shared" si="7"/>
        <v>46290</v>
      </c>
      <c r="B498" s="140" t="s">
        <v>638</v>
      </c>
      <c r="C498" s="145" t="str">
        <f>'Market II_BS FI'!B18</f>
        <v>Thanh khoản lũy kế</v>
      </c>
      <c r="D498" s="139" t="s">
        <v>1293</v>
      </c>
      <c r="E498" s="139" t="s">
        <v>1314</v>
      </c>
      <c r="F498" s="139" t="s">
        <v>1315</v>
      </c>
    </row>
    <row r="499" spans="1:6" outlineLevel="1">
      <c r="A499" s="153">
        <f t="shared" si="7"/>
        <v>46290</v>
      </c>
      <c r="B499" s="140" t="s">
        <v>641</v>
      </c>
      <c r="C499" s="145" t="str">
        <f>'Market II_BS FI'!C18</f>
        <v>Khe hở thanh khoản gap 3M có xu hướng tăng chiều âm trong tháng 9 chủ yếu do giảm cho vay LNH kì 1-3M trong khi tăng huy động LNH kì dưới 3M</v>
      </c>
      <c r="D499" s="139" t="s">
        <v>1293</v>
      </c>
      <c r="E499" s="139" t="s">
        <v>1314</v>
      </c>
      <c r="F499" s="139" t="s">
        <v>1315</v>
      </c>
    </row>
    <row r="500" spans="1:6" outlineLevel="1">
      <c r="A500" s="153">
        <f t="shared" si="7"/>
        <v>46290</v>
      </c>
      <c r="B500" s="140" t="s">
        <v>644</v>
      </c>
      <c r="C500" s="145" t="str">
        <f>'Market II_BS FI'!B19</f>
        <v>Tái định giá lũy kế</v>
      </c>
      <c r="D500" s="139" t="s">
        <v>1293</v>
      </c>
      <c r="E500" s="139" t="s">
        <v>1314</v>
      </c>
      <c r="F500" s="139" t="s">
        <v>1318</v>
      </c>
    </row>
    <row r="501" spans="1:6" outlineLevel="1">
      <c r="A501" s="153">
        <f t="shared" si="7"/>
        <v>46290</v>
      </c>
      <c r="B501" s="140" t="s">
        <v>647</v>
      </c>
      <c r="C501" s="145" t="str">
        <f>'Market II_BS FI'!C19</f>
        <v>Repricing GAP lũy kế 3M xu hướng mở rộng từ tuần trước, mức độ nhạy cảm với biến động lãi suất ngắn hạn tăng</v>
      </c>
      <c r="D501" s="139" t="s">
        <v>1293</v>
      </c>
      <c r="E501" s="139" t="s">
        <v>1314</v>
      </c>
      <c r="F501" s="139" t="s">
        <v>1318</v>
      </c>
    </row>
    <row r="502" spans="1:6" outlineLevel="1">
      <c r="A502" s="153">
        <f t="shared" si="7"/>
        <v>46290</v>
      </c>
      <c r="B502" s="140" t="s">
        <v>650</v>
      </c>
      <c r="C502" s="145" t="str">
        <f>'Market II_BS FI'!B20</f>
        <v>Tác động NII</v>
      </c>
      <c r="D502" s="139" t="s">
        <v>1293</v>
      </c>
      <c r="E502" s="139" t="s">
        <v>1314</v>
      </c>
      <c r="F502" s="139" t="s">
        <v>1319</v>
      </c>
    </row>
    <row r="503" spans="1:6" outlineLevel="1">
      <c r="A503" s="153">
        <f t="shared" si="7"/>
        <v>46290</v>
      </c>
      <c r="B503" s="140" t="s">
        <v>653</v>
      </c>
      <c r="C503" s="145" t="str">
        <f>'Market II_BS FI'!C20</f>
        <v>Nếu lãi suất funding tăng thêm 2% so với hiện tại và duy trì trong 3M tới, biến động NII ước tính lỗ về NIM theo quy mô như chỉ số hiện tại</v>
      </c>
      <c r="D503" s="139" t="s">
        <v>1293</v>
      </c>
      <c r="E503" s="139" t="s">
        <v>1314</v>
      </c>
      <c r="F503" s="139" t="s">
        <v>1319</v>
      </c>
    </row>
    <row r="504" spans="1:6" outlineLevel="1">
      <c r="A504" s="153">
        <f t="shared" si="7"/>
        <v>46290</v>
      </c>
      <c r="B504" s="140" t="s">
        <v>1087</v>
      </c>
      <c r="C504" s="145"/>
      <c r="D504" s="139"/>
      <c r="E504" s="139"/>
      <c r="F504" s="139"/>
    </row>
    <row r="505" spans="1:6" s="387" customFormat="1">
      <c r="A505" s="386">
        <f t="shared" si="7"/>
        <v>46290</v>
      </c>
      <c r="B505" s="142" t="s">
        <v>124</v>
      </c>
      <c r="C505" s="142" t="str">
        <f>'Market II_BS FI'!B22</f>
        <v>Value</v>
      </c>
      <c r="D505" s="142" t="s">
        <v>2315</v>
      </c>
      <c r="E505" s="142" t="s">
        <v>910</v>
      </c>
      <c r="F505" s="142" t="s">
        <v>164</v>
      </c>
    </row>
    <row r="506" spans="1:6" outlineLevel="1">
      <c r="A506" s="153">
        <f t="shared" si="7"/>
        <v>46290</v>
      </c>
      <c r="B506" s="139" t="s">
        <v>1320</v>
      </c>
      <c r="C506" s="145" t="str">
        <f>'Market II_BS FI'!B23</f>
        <v>Bảng chi tiết Cơ cấu dòng tiền Market II</v>
      </c>
      <c r="D506" s="139" t="s">
        <v>1293</v>
      </c>
      <c r="E506" s="139" t="s">
        <v>1321</v>
      </c>
      <c r="F506" s="139" t="s">
        <v>1322</v>
      </c>
    </row>
    <row r="507" spans="1:6" outlineLevel="1">
      <c r="A507" s="153">
        <f t="shared" si="7"/>
        <v>46290</v>
      </c>
      <c r="B507" s="139" t="s">
        <v>1323</v>
      </c>
      <c r="C507" s="145" t="str">
        <f>'Market II_BS FI'!B24</f>
        <v>Trình bày đầy đủ các nhóm số dư BS TT2, phân bổ kỳ hạn, phân bổ kỳ thanh khoản và kỳ hạn/lãi suất bình quân.</v>
      </c>
      <c r="D507" s="139" t="s">
        <v>1293</v>
      </c>
      <c r="E507" s="139" t="s">
        <v>1321</v>
      </c>
      <c r="F507" s="139" t="s">
        <v>1324</v>
      </c>
    </row>
    <row r="508" spans="1:6" outlineLevel="1">
      <c r="A508" s="153">
        <f t="shared" si="7"/>
        <v>46290</v>
      </c>
      <c r="B508" s="139" t="s">
        <v>1325</v>
      </c>
      <c r="C508" s="146" t="str">
        <f>'Market II_BS FI'!B25</f>
        <v>28/09/2026</v>
      </c>
      <c r="D508" s="139" t="s">
        <v>1293</v>
      </c>
      <c r="E508" s="139" t="s">
        <v>1321</v>
      </c>
      <c r="F508" s="139" t="s">
        <v>1326</v>
      </c>
    </row>
    <row r="509" spans="1:6" outlineLevel="1">
      <c r="A509" s="153">
        <f t="shared" si="7"/>
        <v>46290</v>
      </c>
      <c r="B509" s="139" t="s">
        <v>1327</v>
      </c>
      <c r="C509" s="145" t="str">
        <f>'Market II_BS FI'!B26</f>
        <v>Nghìn tỷ VND</v>
      </c>
      <c r="D509" s="139" t="s">
        <v>1293</v>
      </c>
      <c r="E509" s="139" t="s">
        <v>1321</v>
      </c>
      <c r="F509" s="139" t="s">
        <v>1328</v>
      </c>
    </row>
    <row r="510" spans="1:6" outlineLevel="1">
      <c r="A510" s="153">
        <f t="shared" si="7"/>
        <v>46290</v>
      </c>
      <c r="B510" s="139" t="s">
        <v>1329</v>
      </c>
      <c r="C510" s="145" t="str">
        <f>'Market II_BS FI'!B27</f>
        <v>STT</v>
      </c>
      <c r="D510" s="139" t="s">
        <v>1293</v>
      </c>
      <c r="E510" s="139" t="s">
        <v>1321</v>
      </c>
      <c r="F510" s="139" t="s">
        <v>1330</v>
      </c>
    </row>
    <row r="511" spans="1:6" outlineLevel="1">
      <c r="A511" s="153">
        <f t="shared" si="7"/>
        <v>46290</v>
      </c>
      <c r="B511" s="139" t="s">
        <v>1331</v>
      </c>
      <c r="C511" s="145" t="str">
        <f>'Market II_BS FI'!B28</f>
        <v>Chỉ tiêu</v>
      </c>
      <c r="D511" s="139" t="s">
        <v>1293</v>
      </c>
      <c r="E511" s="139" t="s">
        <v>1321</v>
      </c>
      <c r="F511" s="139" t="s">
        <v>1332</v>
      </c>
    </row>
    <row r="512" spans="1:6" outlineLevel="1">
      <c r="A512" s="153">
        <f t="shared" si="7"/>
        <v>46290</v>
      </c>
      <c r="B512" s="139" t="s">
        <v>1333</v>
      </c>
      <c r="C512" s="145" t="str">
        <f>'Market II_BS FI'!B29</f>
        <v>Nghìn tỷ VND</v>
      </c>
      <c r="D512" s="139" t="s">
        <v>1293</v>
      </c>
      <c r="E512" s="139" t="s">
        <v>1321</v>
      </c>
      <c r="F512" s="139" t="s">
        <v>1334</v>
      </c>
    </row>
    <row r="513" spans="1:6" outlineLevel="1">
      <c r="A513" s="153">
        <f t="shared" si="7"/>
        <v>46290</v>
      </c>
      <c r="B513" s="139" t="s">
        <v>1335</v>
      </c>
      <c r="C513" s="145" t="str">
        <f>'Market II_BS FI'!B30</f>
        <v>Số dư BS TT2</v>
      </c>
      <c r="D513" s="139" t="s">
        <v>1293</v>
      </c>
      <c r="E513" s="139" t="s">
        <v>1321</v>
      </c>
      <c r="F513" s="139" t="s">
        <v>1336</v>
      </c>
    </row>
    <row r="514" spans="1:6" outlineLevel="1">
      <c r="A514" s="153">
        <f t="shared" ref="A514:A577" si="8">RPT</f>
        <v>46290</v>
      </c>
      <c r="B514" s="139" t="s">
        <v>1337</v>
      </c>
      <c r="C514" s="146" t="str">
        <f>'Market II_BS FI'!B31</f>
        <v>28/09/2026</v>
      </c>
      <c r="D514" s="139" t="s">
        <v>1293</v>
      </c>
      <c r="E514" s="139" t="s">
        <v>1321</v>
      </c>
      <c r="F514" s="139" t="s">
        <v>1338</v>
      </c>
    </row>
    <row r="515" spans="1:6" outlineLevel="1">
      <c r="A515" s="153">
        <f t="shared" si="8"/>
        <v>46290</v>
      </c>
      <c r="B515" s="139" t="s">
        <v>1339</v>
      </c>
      <c r="C515" s="145" t="str">
        <f>'Market II_BS FI'!B32</f>
        <v>Tỷ trọng</v>
      </c>
      <c r="D515" s="139" t="s">
        <v>1293</v>
      </c>
      <c r="E515" s="139" t="s">
        <v>1321</v>
      </c>
      <c r="F515" s="139" t="s">
        <v>1340</v>
      </c>
    </row>
    <row r="516" spans="1:6" outlineLevel="1">
      <c r="A516" s="153">
        <f t="shared" si="8"/>
        <v>46290</v>
      </c>
      <c r="B516" s="139" t="s">
        <v>1341</v>
      </c>
      <c r="C516" s="145" t="str">
        <f>'Market II_BS FI'!B33</f>
        <v>Biến động số dư BS</v>
      </c>
      <c r="D516" s="139" t="s">
        <v>1293</v>
      </c>
      <c r="E516" s="139" t="s">
        <v>1321</v>
      </c>
      <c r="F516" s="139" t="s">
        <v>1342</v>
      </c>
    </row>
    <row r="517" spans="1:6" outlineLevel="1">
      <c r="A517" s="153">
        <f t="shared" si="8"/>
        <v>46290</v>
      </c>
      <c r="B517" s="139" t="s">
        <v>1343</v>
      </c>
      <c r="C517" s="146" t="str">
        <f>'Market II_BS FI'!B34</f>
        <v>+/- 27/9/2026</v>
      </c>
      <c r="D517" s="139" t="s">
        <v>1293</v>
      </c>
      <c r="E517" s="139" t="s">
        <v>1321</v>
      </c>
      <c r="F517" s="139" t="s">
        <v>1344</v>
      </c>
    </row>
    <row r="518" spans="1:6" outlineLevel="1">
      <c r="A518" s="153">
        <f t="shared" si="8"/>
        <v>46290</v>
      </c>
      <c r="B518" s="139" t="s">
        <v>1345</v>
      </c>
      <c r="C518" s="146" t="str">
        <f>'Market II_BS FI'!B35</f>
        <v>+/- 31/8/2026</v>
      </c>
      <c r="D518" s="139" t="s">
        <v>1293</v>
      </c>
      <c r="E518" s="139" t="s">
        <v>1321</v>
      </c>
      <c r="F518" s="139" t="s">
        <v>1346</v>
      </c>
    </row>
    <row r="519" spans="1:6" outlineLevel="1">
      <c r="A519" s="153">
        <f t="shared" si="8"/>
        <v>46290</v>
      </c>
      <c r="B519" s="139" t="s">
        <v>1347</v>
      </c>
      <c r="C519" s="146" t="str">
        <f>'Market II_BS FI'!B36</f>
        <v>+/- 31/12/2025</v>
      </c>
      <c r="D519" s="139" t="s">
        <v>1293</v>
      </c>
      <c r="E519" s="139" t="s">
        <v>1321</v>
      </c>
      <c r="F519" s="139" t="s">
        <v>1348</v>
      </c>
    </row>
    <row r="520" spans="1:6" outlineLevel="1">
      <c r="A520" s="153">
        <f t="shared" si="8"/>
        <v>46290</v>
      </c>
      <c r="B520" s="139" t="s">
        <v>1349</v>
      </c>
      <c r="C520" s="145" t="str">
        <f>'Market II_BS FI'!B37</f>
        <v>Phân bổ kỳ thanh khoản BS tại 28/09/2026</v>
      </c>
      <c r="D520" s="139" t="s">
        <v>1293</v>
      </c>
      <c r="E520" s="139" t="s">
        <v>1321</v>
      </c>
      <c r="F520" s="139" t="s">
        <v>1350</v>
      </c>
    </row>
    <row r="521" spans="1:6" outlineLevel="1">
      <c r="A521" s="153">
        <f t="shared" si="8"/>
        <v>46290</v>
      </c>
      <c r="B521" s="139" t="s">
        <v>1351</v>
      </c>
      <c r="C521" s="145" t="str">
        <f>'Market II_BS FI'!B38</f>
        <v>1M</v>
      </c>
      <c r="D521" s="139" t="s">
        <v>1293</v>
      </c>
      <c r="E521" s="139" t="s">
        <v>1321</v>
      </c>
      <c r="F521" s="139" t="s">
        <v>1352</v>
      </c>
    </row>
    <row r="522" spans="1:6" outlineLevel="1">
      <c r="A522" s="153">
        <f t="shared" si="8"/>
        <v>46290</v>
      </c>
      <c r="B522" s="139" t="s">
        <v>1353</v>
      </c>
      <c r="C522" s="145" t="str">
        <f>'Market II_BS FI'!B39</f>
        <v>1-3M</v>
      </c>
      <c r="D522" s="139" t="s">
        <v>1293</v>
      </c>
      <c r="E522" s="139" t="s">
        <v>1321</v>
      </c>
      <c r="F522" s="139" t="s">
        <v>1354</v>
      </c>
    </row>
    <row r="523" spans="1:6" outlineLevel="1">
      <c r="A523" s="153">
        <f t="shared" si="8"/>
        <v>46290</v>
      </c>
      <c r="B523" s="139" t="s">
        <v>1355</v>
      </c>
      <c r="C523" s="145" t="str">
        <f>'Market II_BS FI'!B40</f>
        <v>3-6M</v>
      </c>
      <c r="D523" s="139" t="s">
        <v>1293</v>
      </c>
      <c r="E523" s="139" t="s">
        <v>1321</v>
      </c>
      <c r="F523" s="139" t="s">
        <v>1356</v>
      </c>
    </row>
    <row r="524" spans="1:6" outlineLevel="1">
      <c r="A524" s="153">
        <f t="shared" si="8"/>
        <v>46290</v>
      </c>
      <c r="B524" s="139" t="s">
        <v>1357</v>
      </c>
      <c r="C524" s="145" t="str">
        <f>'Market II_BS FI'!B41</f>
        <v>6-12M</v>
      </c>
      <c r="D524" s="139" t="s">
        <v>1293</v>
      </c>
      <c r="E524" s="139" t="s">
        <v>1321</v>
      </c>
      <c r="F524" s="139" t="s">
        <v>1358</v>
      </c>
    </row>
    <row r="525" spans="1:6" outlineLevel="1">
      <c r="A525" s="153">
        <f t="shared" si="8"/>
        <v>46290</v>
      </c>
      <c r="B525" s="139" t="s">
        <v>1359</v>
      </c>
      <c r="C525" s="145" t="str">
        <f>'Market II_BS FI'!B42</f>
        <v>12M</v>
      </c>
      <c r="D525" s="139" t="s">
        <v>1293</v>
      </c>
      <c r="E525" s="139" t="s">
        <v>1321</v>
      </c>
      <c r="F525" s="139" t="s">
        <v>1360</v>
      </c>
    </row>
    <row r="526" spans="1:6" outlineLevel="1">
      <c r="A526" s="153">
        <f t="shared" si="8"/>
        <v>46290</v>
      </c>
      <c r="B526" s="139" t="s">
        <v>1361</v>
      </c>
      <c r="C526" s="145" t="str">
        <f>'Market II_BS FI'!B43</f>
        <v>Kỳ hạn bình quân</v>
      </c>
      <c r="D526" s="139" t="s">
        <v>1293</v>
      </c>
      <c r="E526" s="139" t="s">
        <v>1321</v>
      </c>
      <c r="F526" s="139" t="s">
        <v>1362</v>
      </c>
    </row>
    <row r="527" spans="1:6" outlineLevel="1">
      <c r="A527" s="153">
        <f t="shared" si="8"/>
        <v>46290</v>
      </c>
      <c r="B527" s="139" t="s">
        <v>1363</v>
      </c>
      <c r="C527" s="145" t="str">
        <f>'Market II_BS FI'!B44</f>
        <v>Lãi suất bình quân</v>
      </c>
      <c r="D527" s="139" t="s">
        <v>1293</v>
      </c>
      <c r="E527" s="139" t="s">
        <v>1321</v>
      </c>
      <c r="F527" s="139" t="s">
        <v>1364</v>
      </c>
    </row>
    <row r="528" spans="1:6" outlineLevel="1">
      <c r="A528" s="153">
        <f t="shared" si="8"/>
        <v>46290</v>
      </c>
      <c r="B528" s="140" t="s">
        <v>1365</v>
      </c>
      <c r="C528" s="145" t="str">
        <f>'Market II_BS FI'!O48</f>
        <v>normal</v>
      </c>
      <c r="D528" s="139" t="s">
        <v>1293</v>
      </c>
      <c r="E528" s="139" t="s">
        <v>1321</v>
      </c>
      <c r="F528" s="139" t="s">
        <v>887</v>
      </c>
    </row>
    <row r="529" spans="1:6" outlineLevel="1">
      <c r="A529" s="153">
        <f t="shared" si="8"/>
        <v>46290</v>
      </c>
      <c r="B529" s="140" t="s">
        <v>1367</v>
      </c>
      <c r="C529" s="145" t="str">
        <f>'Market II_BS FI'!A48</f>
        <v>1</v>
      </c>
      <c r="D529" s="139" t="s">
        <v>1293</v>
      </c>
      <c r="E529" s="139" t="s">
        <v>1321</v>
      </c>
      <c r="F529" s="139" t="s">
        <v>887</v>
      </c>
    </row>
    <row r="530" spans="1:6" outlineLevel="1">
      <c r="A530" s="153">
        <f t="shared" si="8"/>
        <v>46290</v>
      </c>
      <c r="B530" s="140" t="s">
        <v>1368</v>
      </c>
      <c r="C530" s="145" t="str">
        <f>SUBSTITUTE('Market II_BS FI'!B48,CHAR(10),"&lt;br&gt;")</f>
        <v>Gbond_Trading (On BS)</v>
      </c>
      <c r="D530" s="139" t="s">
        <v>1293</v>
      </c>
      <c r="E530" s="139" t="s">
        <v>1321</v>
      </c>
      <c r="F530" s="139" t="s">
        <v>887</v>
      </c>
    </row>
    <row r="531" spans="1:6" outlineLevel="1">
      <c r="A531" s="153">
        <f t="shared" si="8"/>
        <v>46290</v>
      </c>
      <c r="B531" s="140" t="s">
        <v>1369</v>
      </c>
      <c r="C531" s="145" t="str">
        <f>'Market II_BS FI'!C48</f>
        <v>33.5</v>
      </c>
      <c r="D531" s="139" t="s">
        <v>1293</v>
      </c>
      <c r="E531" s="139" t="s">
        <v>1321</v>
      </c>
      <c r="F531" s="139" t="s">
        <v>887</v>
      </c>
    </row>
    <row r="532" spans="1:6" outlineLevel="1">
      <c r="A532" s="153">
        <f t="shared" si="8"/>
        <v>46290</v>
      </c>
      <c r="B532" s="140" t="s">
        <v>1370</v>
      </c>
      <c r="C532" s="152">
        <f>'Market II_BS FI'!D48</f>
        <v>0.28803445428399799</v>
      </c>
      <c r="D532" s="139" t="s">
        <v>1293</v>
      </c>
      <c r="E532" s="139" t="s">
        <v>1321</v>
      </c>
      <c r="F532" s="139" t="s">
        <v>887</v>
      </c>
    </row>
    <row r="533" spans="1:6" outlineLevel="1">
      <c r="A533" s="153">
        <f t="shared" si="8"/>
        <v>46290</v>
      </c>
      <c r="B533" s="140" t="s">
        <v>1371</v>
      </c>
      <c r="C533" s="145" t="str">
        <f>'Market II_BS FI'!E48</f>
        <v>-4.6</v>
      </c>
      <c r="D533" s="139" t="s">
        <v>1293</v>
      </c>
      <c r="E533" s="139" t="s">
        <v>1321</v>
      </c>
      <c r="F533" s="139" t="s">
        <v>887</v>
      </c>
    </row>
    <row r="534" spans="1:6" outlineLevel="1">
      <c r="A534" s="153">
        <f t="shared" si="8"/>
        <v>46290</v>
      </c>
      <c r="B534" s="140" t="s">
        <v>1372</v>
      </c>
      <c r="C534" s="145" t="str">
        <f>'Market II_BS FI'!F48</f>
        <v>-5.7</v>
      </c>
      <c r="D534" s="139" t="s">
        <v>1293</v>
      </c>
      <c r="E534" s="139" t="s">
        <v>1321</v>
      </c>
      <c r="F534" s="139" t="s">
        <v>887</v>
      </c>
    </row>
    <row r="535" spans="1:6" outlineLevel="1">
      <c r="A535" s="153">
        <f t="shared" si="8"/>
        <v>46290</v>
      </c>
      <c r="B535" s="140" t="s">
        <v>1373</v>
      </c>
      <c r="C535" s="145" t="str">
        <f>'Market II_BS FI'!G48</f>
        <v>8.5</v>
      </c>
      <c r="D535" s="139" t="s">
        <v>1293</v>
      </c>
      <c r="E535" s="139" t="s">
        <v>1321</v>
      </c>
      <c r="F535" s="139" t="s">
        <v>887</v>
      </c>
    </row>
    <row r="536" spans="1:6" outlineLevel="1">
      <c r="A536" s="153">
        <f t="shared" si="8"/>
        <v>46290</v>
      </c>
      <c r="B536" s="140" t="s">
        <v>1374</v>
      </c>
      <c r="C536" s="145" t="str">
        <f>'Market II_BS FI'!H48</f>
        <v>20.9</v>
      </c>
      <c r="D536" s="139" t="s">
        <v>1293</v>
      </c>
      <c r="E536" s="139" t="s">
        <v>1321</v>
      </c>
      <c r="F536" s="139" t="s">
        <v>887</v>
      </c>
    </row>
    <row r="537" spans="1:6" outlineLevel="1">
      <c r="A537" s="153">
        <f t="shared" si="8"/>
        <v>46290</v>
      </c>
      <c r="B537" s="140" t="s">
        <v>1375</v>
      </c>
      <c r="C537" s="145" t="str">
        <f>'Market II_BS FI'!I48</f>
        <v>12.6</v>
      </c>
      <c r="D537" s="139" t="s">
        <v>1293</v>
      </c>
      <c r="E537" s="139" t="s">
        <v>1321</v>
      </c>
      <c r="F537" s="139" t="s">
        <v>887</v>
      </c>
    </row>
    <row r="538" spans="1:6" outlineLevel="1">
      <c r="A538" s="153">
        <f t="shared" si="8"/>
        <v>46290</v>
      </c>
      <c r="B538" s="140" t="s">
        <v>1376</v>
      </c>
      <c r="C538" s="145" t="str">
        <f>'Market II_BS FI'!J48</f>
        <v>0</v>
      </c>
      <c r="D538" s="139" t="s">
        <v>1293</v>
      </c>
      <c r="E538" s="139" t="s">
        <v>1321</v>
      </c>
      <c r="F538" s="139" t="s">
        <v>887</v>
      </c>
    </row>
    <row r="539" spans="1:6" outlineLevel="1">
      <c r="A539" s="153">
        <f t="shared" si="8"/>
        <v>46290</v>
      </c>
      <c r="B539" s="140" t="s">
        <v>1377</v>
      </c>
      <c r="C539" s="145" t="str">
        <f>'Market II_BS FI'!K48</f>
        <v>0</v>
      </c>
      <c r="D539" s="139" t="s">
        <v>1293</v>
      </c>
      <c r="E539" s="139" t="s">
        <v>1321</v>
      </c>
      <c r="F539" s="139" t="s">
        <v>887</v>
      </c>
    </row>
    <row r="540" spans="1:6" outlineLevel="1">
      <c r="A540" s="153">
        <f t="shared" si="8"/>
        <v>46290</v>
      </c>
      <c r="B540" s="140" t="s">
        <v>1378</v>
      </c>
      <c r="C540" s="145" t="str">
        <f>'Market II_BS FI'!L48</f>
        <v>0</v>
      </c>
      <c r="D540" s="139" t="s">
        <v>1293</v>
      </c>
      <c r="E540" s="139" t="s">
        <v>1321</v>
      </c>
      <c r="F540" s="139" t="s">
        <v>887</v>
      </c>
    </row>
    <row r="541" spans="1:6" outlineLevel="1">
      <c r="A541" s="153">
        <f t="shared" si="8"/>
        <v>46290</v>
      </c>
      <c r="B541" s="140" t="s">
        <v>1379</v>
      </c>
      <c r="C541" s="145" t="str">
        <f>'Market II_BS FI'!M48</f>
        <v>1.1</v>
      </c>
      <c r="D541" s="139" t="s">
        <v>1293</v>
      </c>
      <c r="E541" s="139" t="s">
        <v>1321</v>
      </c>
      <c r="F541" s="139" t="s">
        <v>887</v>
      </c>
    </row>
    <row r="542" spans="1:6" outlineLevel="1">
      <c r="A542" s="153">
        <f t="shared" si="8"/>
        <v>46290</v>
      </c>
      <c r="B542" s="140" t="s">
        <v>1380</v>
      </c>
      <c r="C542" s="145" t="str">
        <f>'Market II_BS FI'!N48</f>
        <v>Updating…</v>
      </c>
      <c r="D542" s="139" t="s">
        <v>1293</v>
      </c>
      <c r="E542" s="139" t="s">
        <v>1321</v>
      </c>
      <c r="F542" s="139" t="s">
        <v>887</v>
      </c>
    </row>
    <row r="543" spans="1:6" outlineLevel="1">
      <c r="A543" s="153">
        <f t="shared" si="8"/>
        <v>46290</v>
      </c>
      <c r="B543" s="140" t="s">
        <v>1381</v>
      </c>
      <c r="C543" s="145" t="str">
        <f>'Market II_BS FI'!O49</f>
        <v>normal</v>
      </c>
      <c r="D543" s="139" t="s">
        <v>1293</v>
      </c>
      <c r="E543" s="139" t="s">
        <v>1321</v>
      </c>
      <c r="F543" s="139" t="s">
        <v>888</v>
      </c>
    </row>
    <row r="544" spans="1:6" outlineLevel="1">
      <c r="A544" s="153">
        <f t="shared" si="8"/>
        <v>46290</v>
      </c>
      <c r="B544" s="140" t="s">
        <v>1382</v>
      </c>
      <c r="C544" s="145" t="str">
        <f>'Market II_BS FI'!A49</f>
        <v>2</v>
      </c>
      <c r="D544" s="139" t="s">
        <v>1293</v>
      </c>
      <c r="E544" s="139" t="s">
        <v>1321</v>
      </c>
      <c r="F544" s="139" t="s">
        <v>888</v>
      </c>
    </row>
    <row r="545" spans="1:6" outlineLevel="1">
      <c r="A545" s="153">
        <f t="shared" si="8"/>
        <v>46290</v>
      </c>
      <c r="B545" s="140" t="s">
        <v>1383</v>
      </c>
      <c r="C545" s="145" t="str">
        <f>SUBSTITUTE('Market II_BS FI'!B49,CHAR(10),"&lt;br&gt;")</f>
        <v>Gbond_Banking (On BS)</v>
      </c>
      <c r="D545" s="139" t="s">
        <v>1293</v>
      </c>
      <c r="E545" s="139" t="s">
        <v>1321</v>
      </c>
      <c r="F545" s="139" t="s">
        <v>888</v>
      </c>
    </row>
    <row r="546" spans="1:6" outlineLevel="1">
      <c r="A546" s="153">
        <f t="shared" si="8"/>
        <v>46290</v>
      </c>
      <c r="B546" s="140" t="s">
        <v>1384</v>
      </c>
      <c r="C546" s="145" t="str">
        <f>'Market II_BS FI'!C49</f>
        <v>10.9</v>
      </c>
      <c r="D546" s="139" t="s">
        <v>1293</v>
      </c>
      <c r="E546" s="139" t="s">
        <v>1321</v>
      </c>
      <c r="F546" s="139" t="s">
        <v>888</v>
      </c>
    </row>
    <row r="547" spans="1:6" outlineLevel="1">
      <c r="A547" s="153">
        <f t="shared" si="8"/>
        <v>46290</v>
      </c>
      <c r="B547" s="140" t="s">
        <v>1385</v>
      </c>
      <c r="C547" s="152">
        <f>'Market II_BS FI'!D49</f>
        <v>9.3467456349888733E-2</v>
      </c>
      <c r="D547" s="139" t="s">
        <v>1293</v>
      </c>
      <c r="E547" s="139" t="s">
        <v>1321</v>
      </c>
      <c r="F547" s="139" t="s">
        <v>888</v>
      </c>
    </row>
    <row r="548" spans="1:6" outlineLevel="1">
      <c r="A548" s="153">
        <f t="shared" si="8"/>
        <v>46290</v>
      </c>
      <c r="B548" s="140" t="s">
        <v>1386</v>
      </c>
      <c r="C548" s="145" t="str">
        <f>'Market II_BS FI'!E49</f>
        <v>0</v>
      </c>
      <c r="D548" s="139" t="s">
        <v>1293</v>
      </c>
      <c r="E548" s="139" t="s">
        <v>1321</v>
      </c>
      <c r="F548" s="139" t="s">
        <v>888</v>
      </c>
    </row>
    <row r="549" spans="1:6" outlineLevel="1">
      <c r="A549" s="153">
        <f t="shared" si="8"/>
        <v>46290</v>
      </c>
      <c r="B549" s="140" t="s">
        <v>1387</v>
      </c>
      <c r="C549" s="145" t="str">
        <f>'Market II_BS FI'!F49</f>
        <v>0</v>
      </c>
      <c r="D549" s="139" t="s">
        <v>1293</v>
      </c>
      <c r="E549" s="139" t="s">
        <v>1321</v>
      </c>
      <c r="F549" s="139" t="s">
        <v>888</v>
      </c>
    </row>
    <row r="550" spans="1:6" outlineLevel="1">
      <c r="A550" s="153">
        <f t="shared" si="8"/>
        <v>46290</v>
      </c>
      <c r="B550" s="140" t="s">
        <v>1388</v>
      </c>
      <c r="C550" s="145" t="str">
        <f>'Market II_BS FI'!G49</f>
        <v>-6.1</v>
      </c>
      <c r="D550" s="139" t="s">
        <v>1293</v>
      </c>
      <c r="E550" s="139" t="s">
        <v>1321</v>
      </c>
      <c r="F550" s="139" t="s">
        <v>888</v>
      </c>
    </row>
    <row r="551" spans="1:6" outlineLevel="1">
      <c r="A551" s="153">
        <f t="shared" si="8"/>
        <v>46290</v>
      </c>
      <c r="B551" s="140" t="s">
        <v>1389</v>
      </c>
      <c r="C551" s="145" t="str">
        <f>'Market II_BS FI'!H49</f>
        <v>0</v>
      </c>
      <c r="D551" s="139" t="s">
        <v>1293</v>
      </c>
      <c r="E551" s="139" t="s">
        <v>1321</v>
      </c>
      <c r="F551" s="139" t="s">
        <v>888</v>
      </c>
    </row>
    <row r="552" spans="1:6" outlineLevel="1">
      <c r="A552" s="153">
        <f t="shared" si="8"/>
        <v>46290</v>
      </c>
      <c r="B552" s="140" t="s">
        <v>1390</v>
      </c>
      <c r="C552" s="145" t="str">
        <f>'Market II_BS FI'!I49</f>
        <v>0</v>
      </c>
      <c r="D552" s="139" t="s">
        <v>1293</v>
      </c>
      <c r="E552" s="139" t="s">
        <v>1321</v>
      </c>
      <c r="F552" s="139" t="s">
        <v>888</v>
      </c>
    </row>
    <row r="553" spans="1:6" outlineLevel="1">
      <c r="A553" s="153">
        <f t="shared" si="8"/>
        <v>46290</v>
      </c>
      <c r="B553" s="140" t="s">
        <v>1391</v>
      </c>
      <c r="C553" s="145" t="str">
        <f>'Market II_BS FI'!J49</f>
        <v>0</v>
      </c>
      <c r="D553" s="139" t="s">
        <v>1293</v>
      </c>
      <c r="E553" s="139" t="s">
        <v>1321</v>
      </c>
      <c r="F553" s="139" t="s">
        <v>888</v>
      </c>
    </row>
    <row r="554" spans="1:6" outlineLevel="1">
      <c r="A554" s="153">
        <f t="shared" si="8"/>
        <v>46290</v>
      </c>
      <c r="B554" s="140" t="s">
        <v>1392</v>
      </c>
      <c r="C554" s="145" t="str">
        <f>'Market II_BS FI'!K49</f>
        <v>0</v>
      </c>
      <c r="D554" s="139" t="s">
        <v>1293</v>
      </c>
      <c r="E554" s="139" t="s">
        <v>1321</v>
      </c>
      <c r="F554" s="139" t="s">
        <v>888</v>
      </c>
    </row>
    <row r="555" spans="1:6" outlineLevel="1">
      <c r="A555" s="153">
        <f t="shared" si="8"/>
        <v>46290</v>
      </c>
      <c r="B555" s="140" t="s">
        <v>1393</v>
      </c>
      <c r="C555" s="145" t="str">
        <f>'Market II_BS FI'!L49</f>
        <v>10.9</v>
      </c>
      <c r="D555" s="139" t="s">
        <v>1293</v>
      </c>
      <c r="E555" s="139" t="s">
        <v>1321</v>
      </c>
      <c r="F555" s="139" t="s">
        <v>888</v>
      </c>
    </row>
    <row r="556" spans="1:6" outlineLevel="1">
      <c r="A556" s="153">
        <f t="shared" si="8"/>
        <v>46290</v>
      </c>
      <c r="B556" s="140" t="s">
        <v>1394</v>
      </c>
      <c r="C556" s="145" t="str">
        <f>'Market II_BS FI'!M49</f>
        <v>12</v>
      </c>
      <c r="D556" s="139" t="s">
        <v>1293</v>
      </c>
      <c r="E556" s="139" t="s">
        <v>1321</v>
      </c>
      <c r="F556" s="139" t="s">
        <v>888</v>
      </c>
    </row>
    <row r="557" spans="1:6" outlineLevel="1">
      <c r="A557" s="153">
        <f t="shared" si="8"/>
        <v>46290</v>
      </c>
      <c r="B557" s="140" t="s">
        <v>1395</v>
      </c>
      <c r="C557" s="145" t="str">
        <f>'Market II_BS FI'!N49</f>
        <v>Updating…</v>
      </c>
      <c r="D557" s="139" t="s">
        <v>1293</v>
      </c>
      <c r="E557" s="139" t="s">
        <v>1321</v>
      </c>
      <c r="F557" s="139" t="s">
        <v>888</v>
      </c>
    </row>
    <row r="558" spans="1:6" outlineLevel="1">
      <c r="A558" s="153">
        <f t="shared" si="8"/>
        <v>46290</v>
      </c>
      <c r="B558" s="140" t="s">
        <v>1396</v>
      </c>
      <c r="C558" s="145" t="str">
        <f>'Market II_BS FI'!O50</f>
        <v>normal</v>
      </c>
      <c r="D558" s="139" t="s">
        <v>1293</v>
      </c>
      <c r="E558" s="139" t="s">
        <v>1321</v>
      </c>
      <c r="F558" s="139" t="s">
        <v>889</v>
      </c>
    </row>
    <row r="559" spans="1:6" outlineLevel="1">
      <c r="A559" s="153">
        <f t="shared" si="8"/>
        <v>46290</v>
      </c>
      <c r="B559" s="140" t="s">
        <v>1397</v>
      </c>
      <c r="C559" s="145" t="str">
        <f>'Market II_BS FI'!A50</f>
        <v>3</v>
      </c>
      <c r="D559" s="139" t="s">
        <v>1293</v>
      </c>
      <c r="E559" s="139" t="s">
        <v>1321</v>
      </c>
      <c r="F559" s="139" t="s">
        <v>889</v>
      </c>
    </row>
    <row r="560" spans="1:6" outlineLevel="1">
      <c r="A560" s="153">
        <f t="shared" si="8"/>
        <v>46290</v>
      </c>
      <c r="B560" s="140" t="s">
        <v>1398</v>
      </c>
      <c r="C560" s="145" t="str">
        <f>SUBSTITUTE('Market II_BS FI'!B50,CHAR(10),"&lt;br&gt;")</f>
        <v>Gbond_Phụ trội chiết khấu</v>
      </c>
      <c r="D560" s="139" t="s">
        <v>1293</v>
      </c>
      <c r="E560" s="139" t="s">
        <v>1321</v>
      </c>
      <c r="F560" s="139" t="s">
        <v>889</v>
      </c>
    </row>
    <row r="561" spans="1:6" outlineLevel="1">
      <c r="A561" s="153">
        <f t="shared" si="8"/>
        <v>46290</v>
      </c>
      <c r="B561" s="140" t="s">
        <v>1399</v>
      </c>
      <c r="C561" s="145" t="str">
        <f>'Market II_BS FI'!C50</f>
        <v>2.6</v>
      </c>
      <c r="D561" s="139" t="s">
        <v>1293</v>
      </c>
      <c r="E561" s="139" t="s">
        <v>1321</v>
      </c>
      <c r="F561" s="139" t="s">
        <v>889</v>
      </c>
    </row>
    <row r="562" spans="1:6" outlineLevel="1">
      <c r="A562" s="153">
        <f t="shared" si="8"/>
        <v>46290</v>
      </c>
      <c r="B562" s="140" t="s">
        <v>1400</v>
      </c>
      <c r="C562" s="152">
        <f>'Market II_BS FI'!D50</f>
        <v>2.2547256543454471E-2</v>
      </c>
      <c r="D562" s="139" t="s">
        <v>1293</v>
      </c>
      <c r="E562" s="139" t="s">
        <v>1321</v>
      </c>
      <c r="F562" s="139" t="s">
        <v>889</v>
      </c>
    </row>
    <row r="563" spans="1:6" outlineLevel="1">
      <c r="A563" s="153">
        <f t="shared" si="8"/>
        <v>46290</v>
      </c>
      <c r="B563" s="140" t="s">
        <v>1401</v>
      </c>
      <c r="C563" s="145" t="str">
        <f>'Market II_BS FI'!E50</f>
        <v>0.1</v>
      </c>
      <c r="D563" s="139" t="s">
        <v>1293</v>
      </c>
      <c r="E563" s="139" t="s">
        <v>1321</v>
      </c>
      <c r="F563" s="139" t="s">
        <v>889</v>
      </c>
    </row>
    <row r="564" spans="1:6" outlineLevel="1">
      <c r="A564" s="153">
        <f t="shared" si="8"/>
        <v>46290</v>
      </c>
      <c r="B564" s="140" t="s">
        <v>1402</v>
      </c>
      <c r="C564" s="145" t="str">
        <f>'Market II_BS FI'!F50</f>
        <v>-0.7</v>
      </c>
      <c r="D564" s="139" t="s">
        <v>1293</v>
      </c>
      <c r="E564" s="139" t="s">
        <v>1321</v>
      </c>
      <c r="F564" s="139" t="s">
        <v>889</v>
      </c>
    </row>
    <row r="565" spans="1:6" outlineLevel="1">
      <c r="A565" s="153">
        <f t="shared" si="8"/>
        <v>46290</v>
      </c>
      <c r="B565" s="140" t="s">
        <v>1403</v>
      </c>
      <c r="C565" s="145" t="str">
        <f>'Market II_BS FI'!G50</f>
        <v>-1.3</v>
      </c>
      <c r="D565" s="139" t="s">
        <v>1293</v>
      </c>
      <c r="E565" s="139" t="s">
        <v>1321</v>
      </c>
      <c r="F565" s="139" t="s">
        <v>889</v>
      </c>
    </row>
    <row r="566" spans="1:6" outlineLevel="1">
      <c r="A566" s="153">
        <f t="shared" si="8"/>
        <v>46290</v>
      </c>
      <c r="B566" s="140" t="s">
        <v>1404</v>
      </c>
      <c r="C566" s="145" t="str">
        <f>'Market II_BS FI'!H50</f>
        <v>2.6</v>
      </c>
      <c r="D566" s="139" t="s">
        <v>1293</v>
      </c>
      <c r="E566" s="139" t="s">
        <v>1321</v>
      </c>
      <c r="F566" s="139" t="s">
        <v>889</v>
      </c>
    </row>
    <row r="567" spans="1:6" outlineLevel="1">
      <c r="A567" s="153">
        <f t="shared" si="8"/>
        <v>46290</v>
      </c>
      <c r="B567" s="140" t="s">
        <v>1405</v>
      </c>
      <c r="C567" s="145" t="str">
        <f>'Market II_BS FI'!I50</f>
        <v>0</v>
      </c>
      <c r="D567" s="139" t="s">
        <v>1293</v>
      </c>
      <c r="E567" s="139" t="s">
        <v>1321</v>
      </c>
      <c r="F567" s="139" t="s">
        <v>889</v>
      </c>
    </row>
    <row r="568" spans="1:6" outlineLevel="1">
      <c r="A568" s="153">
        <f t="shared" si="8"/>
        <v>46290</v>
      </c>
      <c r="B568" s="140" t="s">
        <v>1406</v>
      </c>
      <c r="C568" s="145" t="str">
        <f>'Market II_BS FI'!J50</f>
        <v>0</v>
      </c>
      <c r="D568" s="139" t="s">
        <v>1293</v>
      </c>
      <c r="E568" s="139" t="s">
        <v>1321</v>
      </c>
      <c r="F568" s="139" t="s">
        <v>889</v>
      </c>
    </row>
    <row r="569" spans="1:6" outlineLevel="1">
      <c r="A569" s="153">
        <f t="shared" si="8"/>
        <v>46290</v>
      </c>
      <c r="B569" s="140" t="s">
        <v>1407</v>
      </c>
      <c r="C569" s="145" t="str">
        <f>'Market II_BS FI'!K50</f>
        <v>0</v>
      </c>
      <c r="D569" s="139" t="s">
        <v>1293</v>
      </c>
      <c r="E569" s="139" t="s">
        <v>1321</v>
      </c>
      <c r="F569" s="139" t="s">
        <v>889</v>
      </c>
    </row>
    <row r="570" spans="1:6" outlineLevel="1">
      <c r="A570" s="153">
        <f t="shared" si="8"/>
        <v>46290</v>
      </c>
      <c r="B570" s="140" t="s">
        <v>1408</v>
      </c>
      <c r="C570" s="145" t="str">
        <f>'Market II_BS FI'!L50</f>
        <v>0</v>
      </c>
      <c r="D570" s="139" t="s">
        <v>1293</v>
      </c>
      <c r="E570" s="139" t="s">
        <v>1321</v>
      </c>
      <c r="F570" s="139" t="s">
        <v>889</v>
      </c>
    </row>
    <row r="571" spans="1:6" outlineLevel="1">
      <c r="A571" s="153">
        <f t="shared" si="8"/>
        <v>46290</v>
      </c>
      <c r="B571" s="140" t="s">
        <v>1409</v>
      </c>
      <c r="C571" s="145" t="str">
        <f>'Market II_BS FI'!M50</f>
        <v>0.5</v>
      </c>
      <c r="D571" s="139" t="s">
        <v>1293</v>
      </c>
      <c r="E571" s="139" t="s">
        <v>1321</v>
      </c>
      <c r="F571" s="139" t="s">
        <v>889</v>
      </c>
    </row>
    <row r="572" spans="1:6" outlineLevel="1">
      <c r="A572" s="153">
        <f t="shared" si="8"/>
        <v>46290</v>
      </c>
      <c r="B572" s="140" t="s">
        <v>1410</v>
      </c>
      <c r="C572" s="145" t="str">
        <f>'Market II_BS FI'!N50</f>
        <v>Updating…</v>
      </c>
      <c r="D572" s="139" t="s">
        <v>1293</v>
      </c>
      <c r="E572" s="139" t="s">
        <v>1321</v>
      </c>
      <c r="F572" s="139" t="s">
        <v>889</v>
      </c>
    </row>
    <row r="573" spans="1:6" outlineLevel="1">
      <c r="A573" s="153">
        <f t="shared" si="8"/>
        <v>46290</v>
      </c>
      <c r="B573" s="140" t="s">
        <v>1411</v>
      </c>
      <c r="C573" s="145" t="str">
        <f>'Market II_BS FI'!O51</f>
        <v>normal</v>
      </c>
      <c r="D573" s="139" t="s">
        <v>1293</v>
      </c>
      <c r="E573" s="139" t="s">
        <v>1321</v>
      </c>
      <c r="F573" s="139" t="s">
        <v>1412</v>
      </c>
    </row>
    <row r="574" spans="1:6" outlineLevel="1">
      <c r="A574" s="153">
        <f t="shared" si="8"/>
        <v>46290</v>
      </c>
      <c r="B574" s="140" t="s">
        <v>1413</v>
      </c>
      <c r="C574" s="145" t="str">
        <f>'Market II_BS FI'!A51</f>
        <v>4</v>
      </c>
      <c r="D574" s="139" t="s">
        <v>1293</v>
      </c>
      <c r="E574" s="139" t="s">
        <v>1321</v>
      </c>
      <c r="F574" s="139" t="s">
        <v>1412</v>
      </c>
    </row>
    <row r="575" spans="1:6" outlineLevel="1">
      <c r="A575" s="153">
        <f t="shared" si="8"/>
        <v>46290</v>
      </c>
      <c r="B575" s="140" t="s">
        <v>1414</v>
      </c>
      <c r="C575" s="145" t="str">
        <f>SUBSTITUTE('Market II_BS FI'!B51,CHAR(10),"&lt;br&gt;")</f>
        <v>FIBond (including PTCK)</v>
      </c>
      <c r="D575" s="139" t="s">
        <v>1293</v>
      </c>
      <c r="E575" s="139" t="s">
        <v>1321</v>
      </c>
      <c r="F575" s="139" t="s">
        <v>1412</v>
      </c>
    </row>
    <row r="576" spans="1:6" outlineLevel="1">
      <c r="A576" s="153">
        <f t="shared" si="8"/>
        <v>46290</v>
      </c>
      <c r="B576" s="140" t="s">
        <v>1415</v>
      </c>
      <c r="C576" s="145" t="str">
        <f>'Market II_BS FI'!C51</f>
        <v>37.4</v>
      </c>
      <c r="D576" s="139" t="s">
        <v>1293</v>
      </c>
      <c r="E576" s="139" t="s">
        <v>1321</v>
      </c>
      <c r="F576" s="139" t="s">
        <v>1412</v>
      </c>
    </row>
    <row r="577" spans="1:6" outlineLevel="1">
      <c r="A577" s="153">
        <f t="shared" si="8"/>
        <v>46290</v>
      </c>
      <c r="B577" s="140" t="s">
        <v>1416</v>
      </c>
      <c r="C577" s="152">
        <f>'Market II_BS FI'!D51</f>
        <v>0.32154113056455724</v>
      </c>
      <c r="D577" s="139" t="s">
        <v>1293</v>
      </c>
      <c r="E577" s="139" t="s">
        <v>1321</v>
      </c>
      <c r="F577" s="139" t="s">
        <v>1412</v>
      </c>
    </row>
    <row r="578" spans="1:6" outlineLevel="1">
      <c r="A578" s="153">
        <f t="shared" ref="A578:A641" si="9">RPT</f>
        <v>46290</v>
      </c>
      <c r="B578" s="140" t="s">
        <v>1417</v>
      </c>
      <c r="C578" s="145" t="str">
        <f>'Market II_BS FI'!E51</f>
        <v>0</v>
      </c>
      <c r="D578" s="139" t="s">
        <v>1293</v>
      </c>
      <c r="E578" s="139" t="s">
        <v>1321</v>
      </c>
      <c r="F578" s="139" t="s">
        <v>1412</v>
      </c>
    </row>
    <row r="579" spans="1:6" outlineLevel="1">
      <c r="A579" s="153">
        <f t="shared" si="9"/>
        <v>46290</v>
      </c>
      <c r="B579" s="140" t="s">
        <v>1418</v>
      </c>
      <c r="C579" s="145" t="str">
        <f>'Market II_BS FI'!F51</f>
        <v>1</v>
      </c>
      <c r="D579" s="139" t="s">
        <v>1293</v>
      </c>
      <c r="E579" s="139" t="s">
        <v>1321</v>
      </c>
      <c r="F579" s="139" t="s">
        <v>1412</v>
      </c>
    </row>
    <row r="580" spans="1:6" outlineLevel="1">
      <c r="A580" s="153">
        <f t="shared" si="9"/>
        <v>46290</v>
      </c>
      <c r="B580" s="140" t="s">
        <v>1419</v>
      </c>
      <c r="C580" s="145" t="str">
        <f>'Market II_BS FI'!G51</f>
        <v>-3.1</v>
      </c>
      <c r="D580" s="139" t="s">
        <v>1293</v>
      </c>
      <c r="E580" s="139" t="s">
        <v>1321</v>
      </c>
      <c r="F580" s="139" t="s">
        <v>1412</v>
      </c>
    </row>
    <row r="581" spans="1:6" outlineLevel="1">
      <c r="A581" s="153">
        <f t="shared" si="9"/>
        <v>46290</v>
      </c>
      <c r="B581" s="140" t="s">
        <v>1420</v>
      </c>
      <c r="C581" s="145" t="str">
        <f>'Market II_BS FI'!H51</f>
        <v>1.3</v>
      </c>
      <c r="D581" s="139" t="s">
        <v>1293</v>
      </c>
      <c r="E581" s="139" t="s">
        <v>1321</v>
      </c>
      <c r="F581" s="139" t="s">
        <v>1412</v>
      </c>
    </row>
    <row r="582" spans="1:6" outlineLevel="1">
      <c r="A582" s="153">
        <f t="shared" si="9"/>
        <v>46290</v>
      </c>
      <c r="B582" s="140" t="s">
        <v>1421</v>
      </c>
      <c r="C582" s="145" t="str">
        <f>'Market II_BS FI'!I51</f>
        <v>9</v>
      </c>
      <c r="D582" s="139" t="s">
        <v>1293</v>
      </c>
      <c r="E582" s="139" t="s">
        <v>1321</v>
      </c>
      <c r="F582" s="139" t="s">
        <v>1412</v>
      </c>
    </row>
    <row r="583" spans="1:6" outlineLevel="1">
      <c r="A583" s="153">
        <f t="shared" si="9"/>
        <v>46290</v>
      </c>
      <c r="B583" s="140" t="s">
        <v>1422</v>
      </c>
      <c r="C583" s="145" t="str">
        <f>'Market II_BS FI'!J51</f>
        <v>2.4</v>
      </c>
      <c r="D583" s="139" t="s">
        <v>1293</v>
      </c>
      <c r="E583" s="139" t="s">
        <v>1321</v>
      </c>
      <c r="F583" s="139" t="s">
        <v>1412</v>
      </c>
    </row>
    <row r="584" spans="1:6" outlineLevel="1">
      <c r="A584" s="153">
        <f t="shared" si="9"/>
        <v>46290</v>
      </c>
      <c r="B584" s="140" t="s">
        <v>1423</v>
      </c>
      <c r="C584" s="145" t="str">
        <f>'Market II_BS FI'!K51</f>
        <v>20.9</v>
      </c>
      <c r="D584" s="139" t="s">
        <v>1293</v>
      </c>
      <c r="E584" s="139" t="s">
        <v>1321</v>
      </c>
      <c r="F584" s="139" t="s">
        <v>1412</v>
      </c>
    </row>
    <row r="585" spans="1:6" outlineLevel="1">
      <c r="A585" s="153">
        <f t="shared" si="9"/>
        <v>46290</v>
      </c>
      <c r="B585" s="140" t="s">
        <v>1424</v>
      </c>
      <c r="C585" s="145" t="str">
        <f>'Market II_BS FI'!L51</f>
        <v>3.8</v>
      </c>
      <c r="D585" s="139" t="s">
        <v>1293</v>
      </c>
      <c r="E585" s="139" t="s">
        <v>1321</v>
      </c>
      <c r="F585" s="139" t="s">
        <v>1412</v>
      </c>
    </row>
    <row r="586" spans="1:6" outlineLevel="1">
      <c r="A586" s="153">
        <f t="shared" si="9"/>
        <v>46290</v>
      </c>
      <c r="B586" s="140" t="s">
        <v>1425</v>
      </c>
      <c r="C586" s="145" t="str">
        <f>'Market II_BS FI'!M51</f>
        <v>7</v>
      </c>
      <c r="D586" s="139" t="s">
        <v>1293</v>
      </c>
      <c r="E586" s="139" t="s">
        <v>1321</v>
      </c>
      <c r="F586" s="139" t="s">
        <v>1412</v>
      </c>
    </row>
    <row r="587" spans="1:6" outlineLevel="1">
      <c r="A587" s="153">
        <f t="shared" si="9"/>
        <v>46290</v>
      </c>
      <c r="B587" s="140" t="s">
        <v>1426</v>
      </c>
      <c r="C587" s="145" t="str">
        <f>'Market II_BS FI'!N51</f>
        <v>Updating…</v>
      </c>
      <c r="D587" s="139" t="s">
        <v>1293</v>
      </c>
      <c r="E587" s="139" t="s">
        <v>1321</v>
      </c>
      <c r="F587" s="139" t="s">
        <v>1412</v>
      </c>
    </row>
    <row r="588" spans="1:6" outlineLevel="1">
      <c r="A588" s="153">
        <f t="shared" si="9"/>
        <v>46290</v>
      </c>
      <c r="B588" s="140" t="s">
        <v>1427</v>
      </c>
      <c r="C588" s="145" t="str">
        <f>'Market II_BS FI'!O52</f>
        <v>normal</v>
      </c>
      <c r="D588" s="139" t="s">
        <v>1293</v>
      </c>
      <c r="E588" s="139" t="s">
        <v>1321</v>
      </c>
      <c r="F588" s="139" t="s">
        <v>1428</v>
      </c>
    </row>
    <row r="589" spans="1:6" outlineLevel="1">
      <c r="A589" s="153">
        <f t="shared" si="9"/>
        <v>46290</v>
      </c>
      <c r="B589" s="140" t="s">
        <v>1429</v>
      </c>
      <c r="C589" s="145" t="str">
        <f>'Market II_BS FI'!A52</f>
        <v>5</v>
      </c>
      <c r="D589" s="139" t="s">
        <v>1293</v>
      </c>
      <c r="E589" s="139" t="s">
        <v>1321</v>
      </c>
      <c r="F589" s="139" t="s">
        <v>1428</v>
      </c>
    </row>
    <row r="590" spans="1:6" outlineLevel="1">
      <c r="A590" s="153">
        <f t="shared" si="9"/>
        <v>46290</v>
      </c>
      <c r="B590" s="140" t="s">
        <v>1430</v>
      </c>
      <c r="C590" s="145" t="str">
        <f>SUBSTITUTE('Market II_BS FI'!B52,CHAR(10),"&lt;br&gt;")</f>
        <v>Interbank Lending</v>
      </c>
      <c r="D590" s="139" t="s">
        <v>1293</v>
      </c>
      <c r="E590" s="139" t="s">
        <v>1321</v>
      </c>
      <c r="F590" s="139" t="s">
        <v>1428</v>
      </c>
    </row>
    <row r="591" spans="1:6" outlineLevel="1">
      <c r="A591" s="153">
        <f t="shared" si="9"/>
        <v>46290</v>
      </c>
      <c r="B591" s="140" t="s">
        <v>1431</v>
      </c>
      <c r="C591" s="145" t="str">
        <f>'Market II_BS FI'!C52</f>
        <v>29.3</v>
      </c>
      <c r="D591" s="139" t="s">
        <v>1293</v>
      </c>
      <c r="E591" s="139" t="s">
        <v>1321</v>
      </c>
      <c r="F591" s="139" t="s">
        <v>1428</v>
      </c>
    </row>
    <row r="592" spans="1:6" outlineLevel="1">
      <c r="A592" s="153">
        <f t="shared" si="9"/>
        <v>46290</v>
      </c>
      <c r="B592" s="140" t="s">
        <v>1432</v>
      </c>
      <c r="C592" s="152">
        <f>'Market II_BS FI'!D52</f>
        <v>0.25256195625473404</v>
      </c>
      <c r="D592" s="139" t="s">
        <v>1293</v>
      </c>
      <c r="E592" s="139" t="s">
        <v>1321</v>
      </c>
      <c r="F592" s="139" t="s">
        <v>1428</v>
      </c>
    </row>
    <row r="593" spans="1:6" outlineLevel="1">
      <c r="A593" s="153">
        <f t="shared" si="9"/>
        <v>46290</v>
      </c>
      <c r="B593" s="140" t="s">
        <v>1433</v>
      </c>
      <c r="C593" s="145" t="str">
        <f>'Market II_BS FI'!E52</f>
        <v>0.3</v>
      </c>
      <c r="D593" s="139" t="s">
        <v>1293</v>
      </c>
      <c r="E593" s="139" t="s">
        <v>1321</v>
      </c>
      <c r="F593" s="139" t="s">
        <v>1428</v>
      </c>
    </row>
    <row r="594" spans="1:6" outlineLevel="1">
      <c r="A594" s="153">
        <f t="shared" si="9"/>
        <v>46290</v>
      </c>
      <c r="B594" s="140" t="s">
        <v>1434</v>
      </c>
      <c r="C594" s="145" t="str">
        <f>'Market II_BS FI'!F52</f>
        <v>-1.2</v>
      </c>
      <c r="D594" s="139" t="s">
        <v>1293</v>
      </c>
      <c r="E594" s="139" t="s">
        <v>1321</v>
      </c>
      <c r="F594" s="139" t="s">
        <v>1428</v>
      </c>
    </row>
    <row r="595" spans="1:6" outlineLevel="1">
      <c r="A595" s="153">
        <f t="shared" si="9"/>
        <v>46290</v>
      </c>
      <c r="B595" s="140" t="s">
        <v>1435</v>
      </c>
      <c r="C595" s="145" t="str">
        <f>'Market II_BS FI'!G52</f>
        <v>2.2</v>
      </c>
      <c r="D595" s="139" t="s">
        <v>1293</v>
      </c>
      <c r="E595" s="139" t="s">
        <v>1321</v>
      </c>
      <c r="F595" s="139" t="s">
        <v>1428</v>
      </c>
    </row>
    <row r="596" spans="1:6" outlineLevel="1">
      <c r="A596" s="153">
        <f t="shared" si="9"/>
        <v>46290</v>
      </c>
      <c r="B596" s="140" t="s">
        <v>1436</v>
      </c>
      <c r="C596" s="145" t="str">
        <f>'Market II_BS FI'!H52</f>
        <v>18.1</v>
      </c>
      <c r="D596" s="139" t="s">
        <v>1293</v>
      </c>
      <c r="E596" s="139" t="s">
        <v>1321</v>
      </c>
      <c r="F596" s="139" t="s">
        <v>1428</v>
      </c>
    </row>
    <row r="597" spans="1:6" outlineLevel="1">
      <c r="A597" s="153">
        <f t="shared" si="9"/>
        <v>46290</v>
      </c>
      <c r="B597" s="140" t="s">
        <v>1437</v>
      </c>
      <c r="C597" s="145" t="str">
        <f>'Market II_BS FI'!I52</f>
        <v>4.3</v>
      </c>
      <c r="D597" s="139" t="s">
        <v>1293</v>
      </c>
      <c r="E597" s="139" t="s">
        <v>1321</v>
      </c>
      <c r="F597" s="139" t="s">
        <v>1428</v>
      </c>
    </row>
    <row r="598" spans="1:6" outlineLevel="1">
      <c r="A598" s="153">
        <f t="shared" si="9"/>
        <v>46290</v>
      </c>
      <c r="B598" s="140" t="s">
        <v>1438</v>
      </c>
      <c r="C598" s="145" t="str">
        <f>'Market II_BS FI'!J52</f>
        <v>1.1</v>
      </c>
      <c r="D598" s="139" t="s">
        <v>1293</v>
      </c>
      <c r="E598" s="139" t="s">
        <v>1321</v>
      </c>
      <c r="F598" s="139" t="s">
        <v>1428</v>
      </c>
    </row>
    <row r="599" spans="1:6" outlineLevel="1">
      <c r="A599" s="153">
        <f t="shared" si="9"/>
        <v>46290</v>
      </c>
      <c r="B599" s="140" t="s">
        <v>1439</v>
      </c>
      <c r="C599" s="145" t="str">
        <f>'Market II_BS FI'!K52</f>
        <v>5.8</v>
      </c>
      <c r="D599" s="139" t="s">
        <v>1293</v>
      </c>
      <c r="E599" s="139" t="s">
        <v>1321</v>
      </c>
      <c r="F599" s="139" t="s">
        <v>1428</v>
      </c>
    </row>
    <row r="600" spans="1:6" outlineLevel="1">
      <c r="A600" s="153">
        <f t="shared" si="9"/>
        <v>46290</v>
      </c>
      <c r="B600" s="140" t="s">
        <v>1440</v>
      </c>
      <c r="C600" s="145" t="str">
        <f>'Market II_BS FI'!L52</f>
        <v>0</v>
      </c>
      <c r="D600" s="139" t="s">
        <v>1293</v>
      </c>
      <c r="E600" s="139" t="s">
        <v>1321</v>
      </c>
      <c r="F600" s="139" t="s">
        <v>1428</v>
      </c>
    </row>
    <row r="601" spans="1:6" outlineLevel="1">
      <c r="A601" s="153">
        <f t="shared" si="9"/>
        <v>46290</v>
      </c>
      <c r="B601" s="140" t="s">
        <v>1441</v>
      </c>
      <c r="C601" s="145" t="str">
        <f>'Market II_BS FI'!M52</f>
        <v>2.5</v>
      </c>
      <c r="D601" s="139" t="s">
        <v>1293</v>
      </c>
      <c r="E601" s="139" t="s">
        <v>1321</v>
      </c>
      <c r="F601" s="139" t="s">
        <v>1428</v>
      </c>
    </row>
    <row r="602" spans="1:6" outlineLevel="1">
      <c r="A602" s="153">
        <f t="shared" si="9"/>
        <v>46290</v>
      </c>
      <c r="B602" s="140" t="s">
        <v>1442</v>
      </c>
      <c r="C602" s="145" t="str">
        <f>'Market II_BS FI'!N52</f>
        <v>Updating…</v>
      </c>
      <c r="D602" s="139" t="s">
        <v>1293</v>
      </c>
      <c r="E602" s="139" t="s">
        <v>1321</v>
      </c>
      <c r="F602" s="139" t="s">
        <v>1428</v>
      </c>
    </row>
    <row r="603" spans="1:6" outlineLevel="1">
      <c r="A603" s="153">
        <f t="shared" si="9"/>
        <v>46290</v>
      </c>
      <c r="B603" s="140" t="s">
        <v>1443</v>
      </c>
      <c r="C603" s="145" t="str">
        <f>'Market II_BS FI'!O53</f>
        <v>normal</v>
      </c>
      <c r="D603" s="139" t="s">
        <v>1293</v>
      </c>
      <c r="E603" s="139" t="s">
        <v>1321</v>
      </c>
      <c r="F603" s="139" t="s">
        <v>892</v>
      </c>
    </row>
    <row r="604" spans="1:6" outlineLevel="1">
      <c r="A604" s="153">
        <f t="shared" si="9"/>
        <v>46290</v>
      </c>
      <c r="B604" s="140" t="s">
        <v>1444</v>
      </c>
      <c r="C604" s="145" t="str">
        <f>'Market II_BS FI'!A53</f>
        <v>6</v>
      </c>
      <c r="D604" s="139" t="s">
        <v>1293</v>
      </c>
      <c r="E604" s="139" t="s">
        <v>1321</v>
      </c>
      <c r="F604" s="139" t="s">
        <v>892</v>
      </c>
    </row>
    <row r="605" spans="1:6" outlineLevel="1">
      <c r="A605" s="153">
        <f t="shared" si="9"/>
        <v>46290</v>
      </c>
      <c r="B605" s="140" t="s">
        <v>1445</v>
      </c>
      <c r="C605" s="145" t="str">
        <f>SUBSTITUTE('Market II_BS FI'!B53,CHAR(10),"&lt;br&gt;")</f>
        <v>Mproduct Lending</v>
      </c>
      <c r="D605" s="139" t="s">
        <v>1293</v>
      </c>
      <c r="E605" s="139" t="s">
        <v>1321</v>
      </c>
      <c r="F605" s="139" t="s">
        <v>892</v>
      </c>
    </row>
    <row r="606" spans="1:6" outlineLevel="1">
      <c r="A606" s="153">
        <f t="shared" si="9"/>
        <v>46290</v>
      </c>
      <c r="B606" s="140" t="s">
        <v>1446</v>
      </c>
      <c r="C606" s="145" t="str">
        <f>'Market II_BS FI'!C53</f>
        <v>2</v>
      </c>
      <c r="D606" s="139" t="s">
        <v>1293</v>
      </c>
      <c r="E606" s="139" t="s">
        <v>1321</v>
      </c>
      <c r="F606" s="139" t="s">
        <v>892</v>
      </c>
    </row>
    <row r="607" spans="1:6" outlineLevel="1">
      <c r="A607" s="153">
        <f t="shared" si="9"/>
        <v>46290</v>
      </c>
      <c r="B607" s="140" t="s">
        <v>1447</v>
      </c>
      <c r="C607" s="152">
        <f>'Market II_BS FI'!D53</f>
        <v>1.7038128070437791E-2</v>
      </c>
      <c r="D607" s="139" t="s">
        <v>1293</v>
      </c>
      <c r="E607" s="139" t="s">
        <v>1321</v>
      </c>
      <c r="F607" s="139" t="s">
        <v>892</v>
      </c>
    </row>
    <row r="608" spans="1:6" outlineLevel="1">
      <c r="A608" s="153">
        <f t="shared" si="9"/>
        <v>46290</v>
      </c>
      <c r="B608" s="140" t="s">
        <v>1448</v>
      </c>
      <c r="C608" s="145" t="str">
        <f>'Market II_BS FI'!E53</f>
        <v>0</v>
      </c>
      <c r="D608" s="139" t="s">
        <v>1293</v>
      </c>
      <c r="E608" s="139" t="s">
        <v>1321</v>
      </c>
      <c r="F608" s="139" t="s">
        <v>892</v>
      </c>
    </row>
    <row r="609" spans="1:6" outlineLevel="1">
      <c r="A609" s="153">
        <f t="shared" si="9"/>
        <v>46290</v>
      </c>
      <c r="B609" s="140" t="s">
        <v>1449</v>
      </c>
      <c r="C609" s="145" t="str">
        <f>'Market II_BS FI'!F53</f>
        <v>0.5</v>
      </c>
      <c r="D609" s="139" t="s">
        <v>1293</v>
      </c>
      <c r="E609" s="139" t="s">
        <v>1321</v>
      </c>
      <c r="F609" s="139" t="s">
        <v>892</v>
      </c>
    </row>
    <row r="610" spans="1:6" outlineLevel="1">
      <c r="A610" s="153">
        <f t="shared" si="9"/>
        <v>46290</v>
      </c>
      <c r="B610" s="140" t="s">
        <v>1450</v>
      </c>
      <c r="C610" s="145" t="str">
        <f>'Market II_BS FI'!G53</f>
        <v>1.2</v>
      </c>
      <c r="D610" s="139" t="s">
        <v>1293</v>
      </c>
      <c r="E610" s="139" t="s">
        <v>1321</v>
      </c>
      <c r="F610" s="139" t="s">
        <v>892</v>
      </c>
    </row>
    <row r="611" spans="1:6" outlineLevel="1">
      <c r="A611" s="153">
        <f t="shared" si="9"/>
        <v>46290</v>
      </c>
      <c r="B611" s="140" t="s">
        <v>1451</v>
      </c>
      <c r="C611" s="145" t="str">
        <f>'Market II_BS FI'!H53</f>
        <v>0.1</v>
      </c>
      <c r="D611" s="139" t="s">
        <v>1293</v>
      </c>
      <c r="E611" s="139" t="s">
        <v>1321</v>
      </c>
      <c r="F611" s="139" t="s">
        <v>892</v>
      </c>
    </row>
    <row r="612" spans="1:6" outlineLevel="1">
      <c r="A612" s="153">
        <f t="shared" si="9"/>
        <v>46290</v>
      </c>
      <c r="B612" s="140" t="s">
        <v>1452</v>
      </c>
      <c r="C612" s="145" t="str">
        <f>'Market II_BS FI'!I53</f>
        <v>0.4</v>
      </c>
      <c r="D612" s="139" t="s">
        <v>1293</v>
      </c>
      <c r="E612" s="139" t="s">
        <v>1321</v>
      </c>
      <c r="F612" s="139" t="s">
        <v>892</v>
      </c>
    </row>
    <row r="613" spans="1:6" outlineLevel="1">
      <c r="A613" s="153">
        <f t="shared" si="9"/>
        <v>46290</v>
      </c>
      <c r="B613" s="140" t="s">
        <v>1453</v>
      </c>
      <c r="C613" s="145" t="str">
        <f>'Market II_BS FI'!J53</f>
        <v>0.8</v>
      </c>
      <c r="D613" s="139" t="s">
        <v>1293</v>
      </c>
      <c r="E613" s="139" t="s">
        <v>1321</v>
      </c>
      <c r="F613" s="139" t="s">
        <v>892</v>
      </c>
    </row>
    <row r="614" spans="1:6" outlineLevel="1">
      <c r="A614" s="153">
        <f t="shared" si="9"/>
        <v>46290</v>
      </c>
      <c r="B614" s="140" t="s">
        <v>1454</v>
      </c>
      <c r="C614" s="145" t="str">
        <f>'Market II_BS FI'!K53</f>
        <v>0.7</v>
      </c>
      <c r="D614" s="139" t="s">
        <v>1293</v>
      </c>
      <c r="E614" s="139" t="s">
        <v>1321</v>
      </c>
      <c r="F614" s="139" t="s">
        <v>892</v>
      </c>
    </row>
    <row r="615" spans="1:6" outlineLevel="1">
      <c r="A615" s="153">
        <f t="shared" si="9"/>
        <v>46290</v>
      </c>
      <c r="B615" s="140" t="s">
        <v>1455</v>
      </c>
      <c r="C615" s="145" t="str">
        <f>'Market II_BS FI'!L53</f>
        <v>0</v>
      </c>
      <c r="D615" s="139" t="s">
        <v>1293</v>
      </c>
      <c r="E615" s="139" t="s">
        <v>1321</v>
      </c>
      <c r="F615" s="139" t="s">
        <v>892</v>
      </c>
    </row>
    <row r="616" spans="1:6" outlineLevel="1">
      <c r="A616" s="153">
        <f t="shared" si="9"/>
        <v>46290</v>
      </c>
      <c r="B616" s="140" t="s">
        <v>1456</v>
      </c>
      <c r="C616" s="145" t="str">
        <f>'Market II_BS FI'!M53</f>
        <v>5</v>
      </c>
      <c r="D616" s="139" t="s">
        <v>1293</v>
      </c>
      <c r="E616" s="139" t="s">
        <v>1321</v>
      </c>
      <c r="F616" s="139" t="s">
        <v>892</v>
      </c>
    </row>
    <row r="617" spans="1:6" outlineLevel="1">
      <c r="A617" s="153">
        <f t="shared" si="9"/>
        <v>46290</v>
      </c>
      <c r="B617" s="140" t="s">
        <v>1457</v>
      </c>
      <c r="C617" s="145" t="str">
        <f>'Market II_BS FI'!N53</f>
        <v>Updating…</v>
      </c>
      <c r="D617" s="139" t="s">
        <v>1293</v>
      </c>
      <c r="E617" s="139" t="s">
        <v>1321</v>
      </c>
      <c r="F617" s="139" t="s">
        <v>892</v>
      </c>
    </row>
    <row r="618" spans="1:6" outlineLevel="1">
      <c r="A618" s="153">
        <f t="shared" si="9"/>
        <v>46290</v>
      </c>
      <c r="B618" s="140" t="s">
        <v>1458</v>
      </c>
      <c r="C618" s="145" t="str">
        <f>'Market II_BS FI'!O54</f>
        <v>normal</v>
      </c>
      <c r="D618" s="139" t="s">
        <v>1293</v>
      </c>
      <c r="E618" s="139" t="s">
        <v>1321</v>
      </c>
      <c r="F618" s="139" t="s">
        <v>893</v>
      </c>
    </row>
    <row r="619" spans="1:6" outlineLevel="1">
      <c r="A619" s="153">
        <f t="shared" si="9"/>
        <v>46290</v>
      </c>
      <c r="B619" s="140" t="s">
        <v>1459</v>
      </c>
      <c r="C619" s="145" t="str">
        <f>'Market II_BS FI'!A54</f>
        <v>7</v>
      </c>
      <c r="D619" s="139" t="s">
        <v>1293</v>
      </c>
      <c r="E619" s="139" t="s">
        <v>1321</v>
      </c>
      <c r="F619" s="139" t="s">
        <v>893</v>
      </c>
    </row>
    <row r="620" spans="1:6" outlineLevel="1">
      <c r="A620" s="153">
        <f t="shared" si="9"/>
        <v>46290</v>
      </c>
      <c r="B620" s="140" t="s">
        <v>1460</v>
      </c>
      <c r="C620" s="145" t="str">
        <f>SUBSTITUTE('Market II_BS FI'!B54,CHAR(10),"&lt;br&gt;")</f>
        <v>Other Assets</v>
      </c>
      <c r="D620" s="139" t="s">
        <v>1293</v>
      </c>
      <c r="E620" s="139" t="s">
        <v>1321</v>
      </c>
      <c r="F620" s="139" t="s">
        <v>893</v>
      </c>
    </row>
    <row r="621" spans="1:6" outlineLevel="1">
      <c r="A621" s="153">
        <f t="shared" si="9"/>
        <v>46290</v>
      </c>
      <c r="B621" s="140" t="s">
        <v>1461</v>
      </c>
      <c r="C621" s="145" t="str">
        <f>'Market II_BS FI'!C54</f>
        <v>0.6</v>
      </c>
      <c r="D621" s="139" t="s">
        <v>1293</v>
      </c>
      <c r="E621" s="139" t="s">
        <v>1321</v>
      </c>
      <c r="F621" s="139" t="s">
        <v>893</v>
      </c>
    </row>
    <row r="622" spans="1:6" outlineLevel="1">
      <c r="A622" s="153">
        <f t="shared" si="9"/>
        <v>46290</v>
      </c>
      <c r="B622" s="140" t="s">
        <v>1462</v>
      </c>
      <c r="C622" s="152">
        <f>'Market II_BS FI'!D54</f>
        <v>4.8096179329298354E-3</v>
      </c>
      <c r="D622" s="139" t="s">
        <v>1293</v>
      </c>
      <c r="E622" s="139" t="s">
        <v>1321</v>
      </c>
      <c r="F622" s="139" t="s">
        <v>893</v>
      </c>
    </row>
    <row r="623" spans="1:6" outlineLevel="1">
      <c r="A623" s="153">
        <f t="shared" si="9"/>
        <v>46290</v>
      </c>
      <c r="B623" s="140" t="s">
        <v>1463</v>
      </c>
      <c r="C623" s="145" t="str">
        <f>'Market II_BS FI'!E54</f>
        <v>-2.8</v>
      </c>
      <c r="D623" s="139" t="s">
        <v>1293</v>
      </c>
      <c r="E623" s="139" t="s">
        <v>1321</v>
      </c>
      <c r="F623" s="139" t="s">
        <v>893</v>
      </c>
    </row>
    <row r="624" spans="1:6" outlineLevel="1">
      <c r="A624" s="153">
        <f t="shared" si="9"/>
        <v>46290</v>
      </c>
      <c r="B624" s="140" t="s">
        <v>1464</v>
      </c>
      <c r="C624" s="145" t="str">
        <f>'Market II_BS FI'!F54</f>
        <v>-4.9</v>
      </c>
      <c r="D624" s="139" t="s">
        <v>1293</v>
      </c>
      <c r="E624" s="139" t="s">
        <v>1321</v>
      </c>
      <c r="F624" s="139" t="s">
        <v>893</v>
      </c>
    </row>
    <row r="625" spans="1:6" outlineLevel="1">
      <c r="A625" s="153">
        <f t="shared" si="9"/>
        <v>46290</v>
      </c>
      <c r="B625" s="140" t="s">
        <v>1465</v>
      </c>
      <c r="C625" s="145" t="str">
        <f>'Market II_BS FI'!G54</f>
        <v>-2.4</v>
      </c>
      <c r="D625" s="139" t="s">
        <v>1293</v>
      </c>
      <c r="E625" s="139" t="s">
        <v>1321</v>
      </c>
      <c r="F625" s="139" t="s">
        <v>893</v>
      </c>
    </row>
    <row r="626" spans="1:6" outlineLevel="1">
      <c r="A626" s="153">
        <f t="shared" si="9"/>
        <v>46290</v>
      </c>
      <c r="B626" s="140" t="s">
        <v>1466</v>
      </c>
      <c r="C626" s="145" t="str">
        <f>'Market II_BS FI'!H54</f>
        <v>0.6</v>
      </c>
      <c r="D626" s="139" t="s">
        <v>1293</v>
      </c>
      <c r="E626" s="139" t="s">
        <v>1321</v>
      </c>
      <c r="F626" s="139" t="s">
        <v>893</v>
      </c>
    </row>
    <row r="627" spans="1:6" outlineLevel="1">
      <c r="A627" s="153">
        <f t="shared" si="9"/>
        <v>46290</v>
      </c>
      <c r="B627" s="140" t="s">
        <v>1467</v>
      </c>
      <c r="C627" s="145" t="str">
        <f>'Market II_BS FI'!I54</f>
        <v>0</v>
      </c>
      <c r="D627" s="139" t="s">
        <v>1293</v>
      </c>
      <c r="E627" s="139" t="s">
        <v>1321</v>
      </c>
      <c r="F627" s="139" t="s">
        <v>893</v>
      </c>
    </row>
    <row r="628" spans="1:6" outlineLevel="1">
      <c r="A628" s="153">
        <f t="shared" si="9"/>
        <v>46290</v>
      </c>
      <c r="B628" s="140" t="s">
        <v>1468</v>
      </c>
      <c r="C628" s="145" t="str">
        <f>'Market II_BS FI'!J54</f>
        <v>0</v>
      </c>
      <c r="D628" s="139" t="s">
        <v>1293</v>
      </c>
      <c r="E628" s="139" t="s">
        <v>1321</v>
      </c>
      <c r="F628" s="139" t="s">
        <v>893</v>
      </c>
    </row>
    <row r="629" spans="1:6" outlineLevel="1">
      <c r="A629" s="153">
        <f t="shared" si="9"/>
        <v>46290</v>
      </c>
      <c r="B629" s="140" t="s">
        <v>1469</v>
      </c>
      <c r="C629" s="145" t="str">
        <f>'Market II_BS FI'!K54</f>
        <v>0</v>
      </c>
      <c r="D629" s="139" t="s">
        <v>1293</v>
      </c>
      <c r="E629" s="139" t="s">
        <v>1321</v>
      </c>
      <c r="F629" s="139" t="s">
        <v>893</v>
      </c>
    </row>
    <row r="630" spans="1:6" outlineLevel="1">
      <c r="A630" s="153">
        <f t="shared" si="9"/>
        <v>46290</v>
      </c>
      <c r="B630" s="140" t="s">
        <v>1470</v>
      </c>
      <c r="C630" s="145" t="str">
        <f>'Market II_BS FI'!L54</f>
        <v>0</v>
      </c>
      <c r="D630" s="139" t="s">
        <v>1293</v>
      </c>
      <c r="E630" s="139" t="s">
        <v>1321</v>
      </c>
      <c r="F630" s="139" t="s">
        <v>893</v>
      </c>
    </row>
    <row r="631" spans="1:6" outlineLevel="1">
      <c r="A631" s="153">
        <f t="shared" si="9"/>
        <v>46290</v>
      </c>
      <c r="B631" s="140" t="s">
        <v>1471</v>
      </c>
      <c r="C631" s="145" t="str">
        <f>'Market II_BS FI'!M54</f>
        <v>0.5</v>
      </c>
      <c r="D631" s="139" t="s">
        <v>1293</v>
      </c>
      <c r="E631" s="139" t="s">
        <v>1321</v>
      </c>
      <c r="F631" s="139" t="s">
        <v>893</v>
      </c>
    </row>
    <row r="632" spans="1:6" outlineLevel="1">
      <c r="A632" s="153">
        <f t="shared" si="9"/>
        <v>46290</v>
      </c>
      <c r="B632" s="140" t="s">
        <v>1472</v>
      </c>
      <c r="C632" s="145" t="str">
        <f>'Market II_BS FI'!N54</f>
        <v>Updating…</v>
      </c>
      <c r="D632" s="139" t="s">
        <v>1293</v>
      </c>
      <c r="E632" s="139" t="s">
        <v>1321</v>
      </c>
      <c r="F632" s="139" t="s">
        <v>893</v>
      </c>
    </row>
    <row r="633" spans="1:6" outlineLevel="1">
      <c r="A633" s="153">
        <f t="shared" si="9"/>
        <v>46290</v>
      </c>
      <c r="B633" s="140" t="s">
        <v>1473</v>
      </c>
      <c r="C633" s="145" t="str">
        <f>'Market II_BS FI'!O55</f>
        <v>total</v>
      </c>
      <c r="D633" s="139" t="s">
        <v>1293</v>
      </c>
      <c r="E633" s="139" t="s">
        <v>1321</v>
      </c>
      <c r="F633" s="139" t="s">
        <v>1474</v>
      </c>
    </row>
    <row r="634" spans="1:6" outlineLevel="1">
      <c r="A634" s="153">
        <f t="shared" si="9"/>
        <v>46290</v>
      </c>
      <c r="B634" s="140" t="s">
        <v>1475</v>
      </c>
      <c r="C634" s="145" t="str">
        <f>'Market II_BS FI'!A55</f>
        <v>I</v>
      </c>
      <c r="D634" s="139" t="s">
        <v>1293</v>
      </c>
      <c r="E634" s="139" t="s">
        <v>1321</v>
      </c>
      <c r="F634" s="139" t="s">
        <v>1474</v>
      </c>
    </row>
    <row r="635" spans="1:6" outlineLevel="1">
      <c r="A635" s="153">
        <f t="shared" si="9"/>
        <v>46290</v>
      </c>
      <c r="B635" s="140" t="s">
        <v>1476</v>
      </c>
      <c r="C635" s="145" t="str">
        <f>SUBSTITUTE('Market II_BS FI'!B55,CHAR(10),"&lt;br&gt;")</f>
        <v>Total Assets</v>
      </c>
      <c r="D635" s="139" t="s">
        <v>1293</v>
      </c>
      <c r="E635" s="139" t="s">
        <v>1321</v>
      </c>
      <c r="F635" s="139" t="s">
        <v>1474</v>
      </c>
    </row>
    <row r="636" spans="1:6" outlineLevel="1">
      <c r="A636" s="153">
        <f t="shared" si="9"/>
        <v>46290</v>
      </c>
      <c r="B636" s="140" t="s">
        <v>1477</v>
      </c>
      <c r="C636" s="145" t="str">
        <f>'Market II_BS FI'!C55</f>
        <v>116.2</v>
      </c>
      <c r="D636" s="139" t="s">
        <v>1293</v>
      </c>
      <c r="E636" s="139" t="s">
        <v>1321</v>
      </c>
      <c r="F636" s="139" t="s">
        <v>1474</v>
      </c>
    </row>
    <row r="637" spans="1:6" outlineLevel="1">
      <c r="A637" s="153">
        <f t="shared" si="9"/>
        <v>46290</v>
      </c>
      <c r="B637" s="140" t="s">
        <v>1478</v>
      </c>
      <c r="C637" s="152">
        <f>'Market II_BS FI'!D55</f>
        <v>1</v>
      </c>
      <c r="D637" s="139" t="s">
        <v>1293</v>
      </c>
      <c r="E637" s="139" t="s">
        <v>1321</v>
      </c>
      <c r="F637" s="139" t="s">
        <v>1474</v>
      </c>
    </row>
    <row r="638" spans="1:6" outlineLevel="1">
      <c r="A638" s="153">
        <f t="shared" si="9"/>
        <v>46290</v>
      </c>
      <c r="B638" s="140" t="s">
        <v>1479</v>
      </c>
      <c r="C638" s="145" t="str">
        <f>'Market II_BS FI'!E55</f>
        <v>-7</v>
      </c>
      <c r="D638" s="139" t="s">
        <v>1293</v>
      </c>
      <c r="E638" s="139" t="s">
        <v>1321</v>
      </c>
      <c r="F638" s="139" t="s">
        <v>1474</v>
      </c>
    </row>
    <row r="639" spans="1:6" outlineLevel="1">
      <c r="A639" s="153">
        <f t="shared" si="9"/>
        <v>46290</v>
      </c>
      <c r="B639" s="140" t="s">
        <v>1480</v>
      </c>
      <c r="C639" s="145" t="str">
        <f>'Market II_BS FI'!F55</f>
        <v>-11</v>
      </c>
      <c r="D639" s="139" t="s">
        <v>1293</v>
      </c>
      <c r="E639" s="139" t="s">
        <v>1321</v>
      </c>
      <c r="F639" s="139" t="s">
        <v>1474</v>
      </c>
    </row>
    <row r="640" spans="1:6" outlineLevel="1">
      <c r="A640" s="153">
        <f t="shared" si="9"/>
        <v>46290</v>
      </c>
      <c r="B640" s="140" t="s">
        <v>1481</v>
      </c>
      <c r="C640" s="145" t="str">
        <f>'Market II_BS FI'!G55</f>
        <v>-0.9</v>
      </c>
      <c r="D640" s="139" t="s">
        <v>1293</v>
      </c>
      <c r="E640" s="139" t="s">
        <v>1321</v>
      </c>
      <c r="F640" s="139" t="s">
        <v>1474</v>
      </c>
    </row>
    <row r="641" spans="1:6" outlineLevel="1">
      <c r="A641" s="153">
        <f t="shared" si="9"/>
        <v>46290</v>
      </c>
      <c r="B641" s="140" t="s">
        <v>1482</v>
      </c>
      <c r="C641" s="145" t="str">
        <f>'Market II_BS FI'!H55</f>
        <v>43.6</v>
      </c>
      <c r="D641" s="139" t="s">
        <v>1293</v>
      </c>
      <c r="E641" s="139" t="s">
        <v>1321</v>
      </c>
      <c r="F641" s="139" t="s">
        <v>1474</v>
      </c>
    </row>
    <row r="642" spans="1:6" outlineLevel="1">
      <c r="A642" s="153">
        <f t="shared" ref="A642:A705" si="10">RPT</f>
        <v>46290</v>
      </c>
      <c r="B642" s="140" t="s">
        <v>1483</v>
      </c>
      <c r="C642" s="145" t="str">
        <f>'Market II_BS FI'!I55</f>
        <v>26.3</v>
      </c>
      <c r="D642" s="139" t="s">
        <v>1293</v>
      </c>
      <c r="E642" s="139" t="s">
        <v>1321</v>
      </c>
      <c r="F642" s="139" t="s">
        <v>1474</v>
      </c>
    </row>
    <row r="643" spans="1:6" outlineLevel="1">
      <c r="A643" s="153">
        <f t="shared" si="10"/>
        <v>46290</v>
      </c>
      <c r="B643" s="140" t="s">
        <v>1484</v>
      </c>
      <c r="C643" s="145" t="str">
        <f>'Market II_BS FI'!J55</f>
        <v>4.3</v>
      </c>
      <c r="D643" s="139" t="s">
        <v>1293</v>
      </c>
      <c r="E643" s="139" t="s">
        <v>1321</v>
      </c>
      <c r="F643" s="139" t="s">
        <v>1474</v>
      </c>
    </row>
    <row r="644" spans="1:6" outlineLevel="1">
      <c r="A644" s="153">
        <f t="shared" si="10"/>
        <v>46290</v>
      </c>
      <c r="B644" s="140" t="s">
        <v>1485</v>
      </c>
      <c r="C644" s="145" t="str">
        <f>'Market II_BS FI'!K55</f>
        <v>27.3</v>
      </c>
      <c r="D644" s="139" t="s">
        <v>1293</v>
      </c>
      <c r="E644" s="139" t="s">
        <v>1321</v>
      </c>
      <c r="F644" s="139" t="s">
        <v>1474</v>
      </c>
    </row>
    <row r="645" spans="1:6" outlineLevel="1">
      <c r="A645" s="153">
        <f t="shared" si="10"/>
        <v>46290</v>
      </c>
      <c r="B645" s="140" t="s">
        <v>1486</v>
      </c>
      <c r="C645" s="145" t="str">
        <f>'Market II_BS FI'!L55</f>
        <v>14.6</v>
      </c>
      <c r="D645" s="139" t="s">
        <v>1293</v>
      </c>
      <c r="E645" s="139" t="s">
        <v>1321</v>
      </c>
      <c r="F645" s="139" t="s">
        <v>1474</v>
      </c>
    </row>
    <row r="646" spans="1:6" outlineLevel="1">
      <c r="A646" s="153">
        <f t="shared" si="10"/>
        <v>46290</v>
      </c>
      <c r="B646" s="140" t="s">
        <v>1487</v>
      </c>
      <c r="C646" s="145" t="str">
        <f>'Market II_BS FI'!M55</f>
        <v>4.4</v>
      </c>
      <c r="D646" s="139" t="s">
        <v>1293</v>
      </c>
      <c r="E646" s="139" t="s">
        <v>1321</v>
      </c>
      <c r="F646" s="139" t="s">
        <v>1474</v>
      </c>
    </row>
    <row r="647" spans="1:6" outlineLevel="1">
      <c r="A647" s="153">
        <f t="shared" si="10"/>
        <v>46290</v>
      </c>
      <c r="B647" s="140" t="s">
        <v>1488</v>
      </c>
      <c r="C647" s="145" t="str">
        <f>'Market II_BS FI'!N55</f>
        <v>Updating…</v>
      </c>
      <c r="D647" s="139" t="s">
        <v>1293</v>
      </c>
      <c r="E647" s="139" t="s">
        <v>1321</v>
      </c>
      <c r="F647" s="139" t="s">
        <v>1474</v>
      </c>
    </row>
    <row r="648" spans="1:6" outlineLevel="1">
      <c r="A648" s="153">
        <f t="shared" si="10"/>
        <v>46290</v>
      </c>
      <c r="B648" s="140" t="s">
        <v>1489</v>
      </c>
      <c r="C648" s="145" t="str">
        <f>'Market II_BS FI'!O56</f>
        <v>normal</v>
      </c>
      <c r="D648" s="139" t="s">
        <v>1293</v>
      </c>
      <c r="E648" s="139" t="s">
        <v>1321</v>
      </c>
      <c r="F648" s="139" t="s">
        <v>896</v>
      </c>
    </row>
    <row r="649" spans="1:6" outlineLevel="1">
      <c r="A649" s="153">
        <f t="shared" si="10"/>
        <v>46290</v>
      </c>
      <c r="B649" s="140" t="s">
        <v>1490</v>
      </c>
      <c r="C649" s="145" t="str">
        <f>'Market II_BS FI'!A56</f>
        <v>1</v>
      </c>
      <c r="D649" s="139" t="s">
        <v>1293</v>
      </c>
      <c r="E649" s="139" t="s">
        <v>1321</v>
      </c>
      <c r="F649" s="139" t="s">
        <v>896</v>
      </c>
    </row>
    <row r="650" spans="1:6" outlineLevel="1">
      <c r="A650" s="153">
        <f t="shared" si="10"/>
        <v>46290</v>
      </c>
      <c r="B650" s="140" t="s">
        <v>1491</v>
      </c>
      <c r="C650" s="145" t="str">
        <f>SUBSTITUTE('Market II_BS FI'!B56,CHAR(10),"&lt;br&gt;")</f>
        <v>Repo/OMO</v>
      </c>
      <c r="D650" s="139" t="s">
        <v>1293</v>
      </c>
      <c r="E650" s="139" t="s">
        <v>1321</v>
      </c>
      <c r="F650" s="139" t="s">
        <v>896</v>
      </c>
    </row>
    <row r="651" spans="1:6" outlineLevel="1">
      <c r="A651" s="153">
        <f t="shared" si="10"/>
        <v>46290</v>
      </c>
      <c r="B651" s="140" t="s">
        <v>1492</v>
      </c>
      <c r="C651" s="145" t="str">
        <f>'Market II_BS FI'!C56</f>
        <v>33.6</v>
      </c>
      <c r="D651" s="139" t="s">
        <v>1293</v>
      </c>
      <c r="E651" s="139" t="s">
        <v>1321</v>
      </c>
      <c r="F651" s="139" t="s">
        <v>896</v>
      </c>
    </row>
    <row r="652" spans="1:6" outlineLevel="1">
      <c r="A652" s="153">
        <f t="shared" si="10"/>
        <v>46290</v>
      </c>
      <c r="B652" s="140" t="s">
        <v>1493</v>
      </c>
      <c r="C652" s="152">
        <f>'Market II_BS FI'!D56</f>
        <v>0.28963294576387721</v>
      </c>
      <c r="D652" s="139" t="s">
        <v>1293</v>
      </c>
      <c r="E652" s="139" t="s">
        <v>1321</v>
      </c>
      <c r="F652" s="139" t="s">
        <v>896</v>
      </c>
    </row>
    <row r="653" spans="1:6" outlineLevel="1">
      <c r="A653" s="153">
        <f t="shared" si="10"/>
        <v>46290</v>
      </c>
      <c r="B653" s="140" t="s">
        <v>1494</v>
      </c>
      <c r="C653" s="145" t="str">
        <f>'Market II_BS FI'!E56</f>
        <v>0</v>
      </c>
      <c r="D653" s="139" t="s">
        <v>1293</v>
      </c>
      <c r="E653" s="139" t="s">
        <v>1321</v>
      </c>
      <c r="F653" s="139" t="s">
        <v>896</v>
      </c>
    </row>
    <row r="654" spans="1:6" outlineLevel="1">
      <c r="A654" s="153">
        <f t="shared" si="10"/>
        <v>46290</v>
      </c>
      <c r="B654" s="140" t="s">
        <v>1495</v>
      </c>
      <c r="C654" s="145" t="str">
        <f>'Market II_BS FI'!F56</f>
        <v>-4.7</v>
      </c>
      <c r="D654" s="139" t="s">
        <v>1293</v>
      </c>
      <c r="E654" s="139" t="s">
        <v>1321</v>
      </c>
      <c r="F654" s="139" t="s">
        <v>896</v>
      </c>
    </row>
    <row r="655" spans="1:6" outlineLevel="1">
      <c r="A655" s="153">
        <f t="shared" si="10"/>
        <v>46290</v>
      </c>
      <c r="B655" s="140" t="s">
        <v>1496</v>
      </c>
      <c r="C655" s="145" t="str">
        <f>'Market II_BS FI'!G56</f>
        <v>4.8</v>
      </c>
      <c r="D655" s="139" t="s">
        <v>1293</v>
      </c>
      <c r="E655" s="139" t="s">
        <v>1321</v>
      </c>
      <c r="F655" s="139" t="s">
        <v>896</v>
      </c>
    </row>
    <row r="656" spans="1:6" outlineLevel="1">
      <c r="A656" s="153">
        <f t="shared" si="10"/>
        <v>46290</v>
      </c>
      <c r="B656" s="140" t="s">
        <v>1497</v>
      </c>
      <c r="C656" s="145" t="str">
        <f>'Market II_BS FI'!H56</f>
        <v>21.1</v>
      </c>
      <c r="D656" s="139" t="s">
        <v>1293</v>
      </c>
      <c r="E656" s="139" t="s">
        <v>1321</v>
      </c>
      <c r="F656" s="139" t="s">
        <v>896</v>
      </c>
    </row>
    <row r="657" spans="1:6" outlineLevel="1">
      <c r="A657" s="153">
        <f t="shared" si="10"/>
        <v>46290</v>
      </c>
      <c r="B657" s="140" t="s">
        <v>1498</v>
      </c>
      <c r="C657" s="145" t="str">
        <f>'Market II_BS FI'!I56</f>
        <v>12.6</v>
      </c>
      <c r="D657" s="139" t="s">
        <v>1293</v>
      </c>
      <c r="E657" s="139" t="s">
        <v>1321</v>
      </c>
      <c r="F657" s="139" t="s">
        <v>896</v>
      </c>
    </row>
    <row r="658" spans="1:6" outlineLevel="1">
      <c r="A658" s="153">
        <f t="shared" si="10"/>
        <v>46290</v>
      </c>
      <c r="B658" s="140" t="s">
        <v>1499</v>
      </c>
      <c r="C658" s="145" t="str">
        <f>'Market II_BS FI'!J56</f>
        <v>0</v>
      </c>
      <c r="D658" s="139" t="s">
        <v>1293</v>
      </c>
      <c r="E658" s="139" t="s">
        <v>1321</v>
      </c>
      <c r="F658" s="139" t="s">
        <v>896</v>
      </c>
    </row>
    <row r="659" spans="1:6" outlineLevel="1">
      <c r="A659" s="153">
        <f t="shared" si="10"/>
        <v>46290</v>
      </c>
      <c r="B659" s="140" t="s">
        <v>1500</v>
      </c>
      <c r="C659" s="145" t="str">
        <f>'Market II_BS FI'!K56</f>
        <v>0</v>
      </c>
      <c r="D659" s="139" t="s">
        <v>1293</v>
      </c>
      <c r="E659" s="139" t="s">
        <v>1321</v>
      </c>
      <c r="F659" s="139" t="s">
        <v>896</v>
      </c>
    </row>
    <row r="660" spans="1:6" outlineLevel="1">
      <c r="A660" s="153">
        <f t="shared" si="10"/>
        <v>46290</v>
      </c>
      <c r="B660" s="140" t="s">
        <v>1501</v>
      </c>
      <c r="C660" s="145" t="str">
        <f>'Market II_BS FI'!L56</f>
        <v>0</v>
      </c>
      <c r="D660" s="139" t="s">
        <v>1293</v>
      </c>
      <c r="E660" s="139" t="s">
        <v>1321</v>
      </c>
      <c r="F660" s="139" t="s">
        <v>896</v>
      </c>
    </row>
    <row r="661" spans="1:6" outlineLevel="1">
      <c r="A661" s="153">
        <f t="shared" si="10"/>
        <v>46290</v>
      </c>
      <c r="B661" s="140" t="s">
        <v>1502</v>
      </c>
      <c r="C661" s="145" t="str">
        <f>'Market II_BS FI'!M56</f>
        <v>1.1</v>
      </c>
      <c r="D661" s="139" t="s">
        <v>1293</v>
      </c>
      <c r="E661" s="139" t="s">
        <v>1321</v>
      </c>
      <c r="F661" s="139" t="s">
        <v>896</v>
      </c>
    </row>
    <row r="662" spans="1:6" outlineLevel="1">
      <c r="A662" s="153">
        <f t="shared" si="10"/>
        <v>46290</v>
      </c>
      <c r="B662" s="140" t="s">
        <v>1503</v>
      </c>
      <c r="C662" s="145" t="str">
        <f>'Market II_BS FI'!N56</f>
        <v>Updating…</v>
      </c>
      <c r="D662" s="139" t="s">
        <v>1293</v>
      </c>
      <c r="E662" s="139" t="s">
        <v>1321</v>
      </c>
      <c r="F662" s="139" t="s">
        <v>896</v>
      </c>
    </row>
    <row r="663" spans="1:6" outlineLevel="1">
      <c r="A663" s="153">
        <f t="shared" si="10"/>
        <v>46290</v>
      </c>
      <c r="B663" s="140" t="s">
        <v>1504</v>
      </c>
      <c r="C663" s="145" t="str">
        <f>'Market II_BS FI'!O57</f>
        <v>normal</v>
      </c>
      <c r="D663" s="139" t="s">
        <v>1293</v>
      </c>
      <c r="E663" s="139" t="s">
        <v>1321</v>
      </c>
      <c r="F663" s="139" t="s">
        <v>897</v>
      </c>
    </row>
    <row r="664" spans="1:6" outlineLevel="1">
      <c r="A664" s="153">
        <f t="shared" si="10"/>
        <v>46290</v>
      </c>
      <c r="B664" s="140" t="s">
        <v>1505</v>
      </c>
      <c r="C664" s="145" t="str">
        <f>'Market II_BS FI'!A57</f>
        <v>2</v>
      </c>
      <c r="D664" s="139" t="s">
        <v>1293</v>
      </c>
      <c r="E664" s="139" t="s">
        <v>1321</v>
      </c>
      <c r="F664" s="139" t="s">
        <v>897</v>
      </c>
    </row>
    <row r="665" spans="1:6" outlineLevel="1">
      <c r="A665" s="153">
        <f t="shared" si="10"/>
        <v>46290</v>
      </c>
      <c r="B665" s="140" t="s">
        <v>1506</v>
      </c>
      <c r="C665" s="145" t="str">
        <f>SUBSTITUTE('Market II_BS FI'!B57,CHAR(10),"&lt;br&gt;")</f>
        <v>Interbank borrowing</v>
      </c>
      <c r="D665" s="139" t="s">
        <v>1293</v>
      </c>
      <c r="E665" s="139" t="s">
        <v>1321</v>
      </c>
      <c r="F665" s="139" t="s">
        <v>897</v>
      </c>
    </row>
    <row r="666" spans="1:6" outlineLevel="1">
      <c r="A666" s="153">
        <f t="shared" si="10"/>
        <v>46290</v>
      </c>
      <c r="B666" s="140" t="s">
        <v>1507</v>
      </c>
      <c r="C666" s="145" t="str">
        <f>'Market II_BS FI'!C57</f>
        <v>35.6</v>
      </c>
      <c r="D666" s="139" t="s">
        <v>1293</v>
      </c>
      <c r="E666" s="139" t="s">
        <v>1321</v>
      </c>
      <c r="F666" s="139" t="s">
        <v>897</v>
      </c>
    </row>
    <row r="667" spans="1:6" outlineLevel="1">
      <c r="A667" s="153">
        <f t="shared" si="10"/>
        <v>46290</v>
      </c>
      <c r="B667" s="140" t="s">
        <v>1508</v>
      </c>
      <c r="C667" s="152">
        <f>'Market II_BS FI'!D57</f>
        <v>0.30648804287995596</v>
      </c>
      <c r="D667" s="139" t="s">
        <v>1293</v>
      </c>
      <c r="E667" s="139" t="s">
        <v>1321</v>
      </c>
      <c r="F667" s="139" t="s">
        <v>897</v>
      </c>
    </row>
    <row r="668" spans="1:6" outlineLevel="1">
      <c r="A668" s="153">
        <f t="shared" si="10"/>
        <v>46290</v>
      </c>
      <c r="B668" s="140" t="s">
        <v>1509</v>
      </c>
      <c r="C668" s="145" t="str">
        <f>'Market II_BS FI'!E57</f>
        <v>-4</v>
      </c>
      <c r="D668" s="139" t="s">
        <v>1293</v>
      </c>
      <c r="E668" s="139" t="s">
        <v>1321</v>
      </c>
      <c r="F668" s="139" t="s">
        <v>897</v>
      </c>
    </row>
    <row r="669" spans="1:6" outlineLevel="1">
      <c r="A669" s="153">
        <f t="shared" si="10"/>
        <v>46290</v>
      </c>
      <c r="B669" s="140" t="s">
        <v>1510</v>
      </c>
      <c r="C669" s="145" t="str">
        <f>'Market II_BS FI'!F57</f>
        <v>-1.6</v>
      </c>
      <c r="D669" s="139" t="s">
        <v>1293</v>
      </c>
      <c r="E669" s="139" t="s">
        <v>1321</v>
      </c>
      <c r="F669" s="139" t="s">
        <v>897</v>
      </c>
    </row>
    <row r="670" spans="1:6" outlineLevel="1">
      <c r="A670" s="153">
        <f t="shared" si="10"/>
        <v>46290</v>
      </c>
      <c r="B670" s="140" t="s">
        <v>1511</v>
      </c>
      <c r="C670" s="145" t="str">
        <f>'Market II_BS FI'!G57</f>
        <v>1.4</v>
      </c>
      <c r="D670" s="139" t="s">
        <v>1293</v>
      </c>
      <c r="E670" s="139" t="s">
        <v>1321</v>
      </c>
      <c r="F670" s="139" t="s">
        <v>897</v>
      </c>
    </row>
    <row r="671" spans="1:6" outlineLevel="1">
      <c r="A671" s="153">
        <f t="shared" si="10"/>
        <v>46290</v>
      </c>
      <c r="B671" s="140" t="s">
        <v>1512</v>
      </c>
      <c r="C671" s="145" t="str">
        <f>'Market II_BS FI'!H57</f>
        <v>18.8</v>
      </c>
      <c r="D671" s="139" t="s">
        <v>1293</v>
      </c>
      <c r="E671" s="139" t="s">
        <v>1321</v>
      </c>
      <c r="F671" s="139" t="s">
        <v>897</v>
      </c>
    </row>
    <row r="672" spans="1:6" outlineLevel="1">
      <c r="A672" s="153">
        <f t="shared" si="10"/>
        <v>46290</v>
      </c>
      <c r="B672" s="140" t="s">
        <v>1513</v>
      </c>
      <c r="C672" s="145" t="str">
        <f>'Market II_BS FI'!I57</f>
        <v>9</v>
      </c>
      <c r="D672" s="139" t="s">
        <v>1293</v>
      </c>
      <c r="E672" s="139" t="s">
        <v>1321</v>
      </c>
      <c r="F672" s="139" t="s">
        <v>897</v>
      </c>
    </row>
    <row r="673" spans="1:6" outlineLevel="1">
      <c r="A673" s="153">
        <f t="shared" si="10"/>
        <v>46290</v>
      </c>
      <c r="B673" s="140" t="s">
        <v>1514</v>
      </c>
      <c r="C673" s="145" t="str">
        <f>'Market II_BS FI'!J57</f>
        <v>6.1</v>
      </c>
      <c r="D673" s="139" t="s">
        <v>1293</v>
      </c>
      <c r="E673" s="139" t="s">
        <v>1321</v>
      </c>
      <c r="F673" s="139" t="s">
        <v>897</v>
      </c>
    </row>
    <row r="674" spans="1:6" outlineLevel="1">
      <c r="A674" s="153">
        <f t="shared" si="10"/>
        <v>46290</v>
      </c>
      <c r="B674" s="140" t="s">
        <v>1515</v>
      </c>
      <c r="C674" s="145" t="str">
        <f>'Market II_BS FI'!K57</f>
        <v>1.7</v>
      </c>
      <c r="D674" s="139" t="s">
        <v>1293</v>
      </c>
      <c r="E674" s="139" t="s">
        <v>1321</v>
      </c>
      <c r="F674" s="139" t="s">
        <v>897</v>
      </c>
    </row>
    <row r="675" spans="1:6" outlineLevel="1">
      <c r="A675" s="153">
        <f t="shared" si="10"/>
        <v>46290</v>
      </c>
      <c r="B675" s="140" t="s">
        <v>1516</v>
      </c>
      <c r="C675" s="145" t="str">
        <f>'Market II_BS FI'!L57</f>
        <v>0</v>
      </c>
      <c r="D675" s="139" t="s">
        <v>1293</v>
      </c>
      <c r="E675" s="139" t="s">
        <v>1321</v>
      </c>
      <c r="F675" s="139" t="s">
        <v>897</v>
      </c>
    </row>
    <row r="676" spans="1:6" outlineLevel="1">
      <c r="A676" s="153">
        <f t="shared" si="10"/>
        <v>46290</v>
      </c>
      <c r="B676" s="140" t="s">
        <v>1517</v>
      </c>
      <c r="C676" s="145" t="str">
        <f>'Market II_BS FI'!M57</f>
        <v>1.9</v>
      </c>
      <c r="D676" s="139" t="s">
        <v>1293</v>
      </c>
      <c r="E676" s="139" t="s">
        <v>1321</v>
      </c>
      <c r="F676" s="139" t="s">
        <v>897</v>
      </c>
    </row>
    <row r="677" spans="1:6" outlineLevel="1">
      <c r="A677" s="153">
        <f t="shared" si="10"/>
        <v>46290</v>
      </c>
      <c r="B677" s="140" t="s">
        <v>1518</v>
      </c>
      <c r="C677" s="145" t="str">
        <f>'Market II_BS FI'!N57</f>
        <v>Updating…</v>
      </c>
      <c r="D677" s="139" t="s">
        <v>1293</v>
      </c>
      <c r="E677" s="139" t="s">
        <v>1321</v>
      </c>
      <c r="F677" s="139" t="s">
        <v>897</v>
      </c>
    </row>
    <row r="678" spans="1:6" outlineLevel="1">
      <c r="A678" s="153">
        <f t="shared" si="10"/>
        <v>46290</v>
      </c>
      <c r="B678" s="140" t="s">
        <v>1519</v>
      </c>
      <c r="C678" s="145" t="str">
        <f>'Market II_BS FI'!O58</f>
        <v>normal</v>
      </c>
      <c r="D678" s="139" t="s">
        <v>1293</v>
      </c>
      <c r="E678" s="139" t="s">
        <v>1321</v>
      </c>
      <c r="F678" s="139" t="s">
        <v>1520</v>
      </c>
    </row>
    <row r="679" spans="1:6" outlineLevel="1">
      <c r="A679" s="153">
        <f t="shared" si="10"/>
        <v>46290</v>
      </c>
      <c r="B679" s="140" t="s">
        <v>1521</v>
      </c>
      <c r="C679" s="145" t="str">
        <f>'Market II_BS FI'!A58</f>
        <v>3</v>
      </c>
      <c r="D679" s="139" t="s">
        <v>1293</v>
      </c>
      <c r="E679" s="139" t="s">
        <v>1321</v>
      </c>
      <c r="F679" s="139" t="s">
        <v>1520</v>
      </c>
    </row>
    <row r="680" spans="1:6" outlineLevel="1">
      <c r="A680" s="153">
        <f t="shared" si="10"/>
        <v>46290</v>
      </c>
      <c r="B680" s="140" t="s">
        <v>1522</v>
      </c>
      <c r="C680" s="145" t="str">
        <f>SUBSTITUTE('Market II_BS FI'!B58,CHAR(10),"&lt;br&gt;")</f>
        <v>Casa FD Fund FI</v>
      </c>
      <c r="D680" s="139" t="s">
        <v>1293</v>
      </c>
      <c r="E680" s="139" t="s">
        <v>1321</v>
      </c>
      <c r="F680" s="139" t="s">
        <v>1520</v>
      </c>
    </row>
    <row r="681" spans="1:6" outlineLevel="1">
      <c r="A681" s="153">
        <f t="shared" si="10"/>
        <v>46290</v>
      </c>
      <c r="B681" s="140" t="s">
        <v>1523</v>
      </c>
      <c r="C681" s="145" t="str">
        <f>'Market II_BS FI'!C58</f>
        <v>11.1</v>
      </c>
      <c r="D681" s="139" t="s">
        <v>1293</v>
      </c>
      <c r="E681" s="139" t="s">
        <v>1321</v>
      </c>
      <c r="F681" s="139" t="s">
        <v>1520</v>
      </c>
    </row>
    <row r="682" spans="1:6" outlineLevel="1">
      <c r="A682" s="153">
        <f t="shared" si="10"/>
        <v>46290</v>
      </c>
      <c r="B682" s="140" t="s">
        <v>1524</v>
      </c>
      <c r="C682" s="152">
        <f>'Market II_BS FI'!D58</f>
        <v>9.5759165694585952E-2</v>
      </c>
      <c r="D682" s="139" t="s">
        <v>1293</v>
      </c>
      <c r="E682" s="139" t="s">
        <v>1321</v>
      </c>
      <c r="F682" s="139" t="s">
        <v>1520</v>
      </c>
    </row>
    <row r="683" spans="1:6" outlineLevel="1">
      <c r="A683" s="153">
        <f t="shared" si="10"/>
        <v>46290</v>
      </c>
      <c r="B683" s="140" t="s">
        <v>1525</v>
      </c>
      <c r="C683" s="145" t="str">
        <f>'Market II_BS FI'!E58</f>
        <v>0</v>
      </c>
      <c r="D683" s="139" t="s">
        <v>1293</v>
      </c>
      <c r="E683" s="139" t="s">
        <v>1321</v>
      </c>
      <c r="F683" s="139" t="s">
        <v>1520</v>
      </c>
    </row>
    <row r="684" spans="1:6" outlineLevel="1">
      <c r="A684" s="153">
        <f t="shared" si="10"/>
        <v>46290</v>
      </c>
      <c r="B684" s="140" t="s">
        <v>1526</v>
      </c>
      <c r="C684" s="145" t="str">
        <f>'Market II_BS FI'!F58</f>
        <v>-3.7</v>
      </c>
      <c r="D684" s="139" t="s">
        <v>1293</v>
      </c>
      <c r="E684" s="139" t="s">
        <v>1321</v>
      </c>
      <c r="F684" s="139" t="s">
        <v>1520</v>
      </c>
    </row>
    <row r="685" spans="1:6" outlineLevel="1">
      <c r="A685" s="153">
        <f t="shared" si="10"/>
        <v>46290</v>
      </c>
      <c r="B685" s="140" t="s">
        <v>1527</v>
      </c>
      <c r="C685" s="145" t="str">
        <f>'Market II_BS FI'!G58</f>
        <v>-2.3</v>
      </c>
      <c r="D685" s="139" t="s">
        <v>1293</v>
      </c>
      <c r="E685" s="139" t="s">
        <v>1321</v>
      </c>
      <c r="F685" s="139" t="s">
        <v>1520</v>
      </c>
    </row>
    <row r="686" spans="1:6" outlineLevel="1">
      <c r="A686" s="153">
        <f t="shared" si="10"/>
        <v>46290</v>
      </c>
      <c r="B686" s="140" t="s">
        <v>1528</v>
      </c>
      <c r="C686" s="145" t="str">
        <f>'Market II_BS FI'!H58</f>
        <v>1.6</v>
      </c>
      <c r="D686" s="139" t="s">
        <v>1293</v>
      </c>
      <c r="E686" s="139" t="s">
        <v>1321</v>
      </c>
      <c r="F686" s="139" t="s">
        <v>1520</v>
      </c>
    </row>
    <row r="687" spans="1:6" outlineLevel="1">
      <c r="A687" s="153">
        <f t="shared" si="10"/>
        <v>46290</v>
      </c>
      <c r="B687" s="140" t="s">
        <v>1529</v>
      </c>
      <c r="C687" s="145" t="str">
        <f>'Market II_BS FI'!I58</f>
        <v>9.5</v>
      </c>
      <c r="D687" s="139" t="s">
        <v>1293</v>
      </c>
      <c r="E687" s="139" t="s">
        <v>1321</v>
      </c>
      <c r="F687" s="139" t="s">
        <v>1520</v>
      </c>
    </row>
    <row r="688" spans="1:6" outlineLevel="1">
      <c r="A688" s="153">
        <f t="shared" si="10"/>
        <v>46290</v>
      </c>
      <c r="B688" s="140" t="s">
        <v>1530</v>
      </c>
      <c r="C688" s="145" t="str">
        <f>'Market II_BS FI'!J58</f>
        <v>0</v>
      </c>
      <c r="D688" s="139" t="s">
        <v>1293</v>
      </c>
      <c r="E688" s="139" t="s">
        <v>1321</v>
      </c>
      <c r="F688" s="139" t="s">
        <v>1520</v>
      </c>
    </row>
    <row r="689" spans="1:6" outlineLevel="1">
      <c r="A689" s="153">
        <f t="shared" si="10"/>
        <v>46290</v>
      </c>
      <c r="B689" s="140" t="s">
        <v>1531</v>
      </c>
      <c r="C689" s="145" t="str">
        <f>'Market II_BS FI'!K58</f>
        <v>0</v>
      </c>
      <c r="D689" s="139" t="s">
        <v>1293</v>
      </c>
      <c r="E689" s="139" t="s">
        <v>1321</v>
      </c>
      <c r="F689" s="139" t="s">
        <v>1520</v>
      </c>
    </row>
    <row r="690" spans="1:6" outlineLevel="1">
      <c r="A690" s="153">
        <f t="shared" si="10"/>
        <v>46290</v>
      </c>
      <c r="B690" s="140" t="s">
        <v>1532</v>
      </c>
      <c r="C690" s="145" t="str">
        <f>'Market II_BS FI'!L58</f>
        <v>0</v>
      </c>
      <c r="D690" s="139" t="s">
        <v>1293</v>
      </c>
      <c r="E690" s="139" t="s">
        <v>1321</v>
      </c>
      <c r="F690" s="139" t="s">
        <v>1520</v>
      </c>
    </row>
    <row r="691" spans="1:6" outlineLevel="1">
      <c r="A691" s="153">
        <f t="shared" si="10"/>
        <v>46290</v>
      </c>
      <c r="B691" s="140" t="s">
        <v>1533</v>
      </c>
      <c r="C691" s="145" t="str">
        <f>'Market II_BS FI'!M58</f>
        <v>1.8</v>
      </c>
      <c r="D691" s="139" t="s">
        <v>1293</v>
      </c>
      <c r="E691" s="139" t="s">
        <v>1321</v>
      </c>
      <c r="F691" s="139" t="s">
        <v>1520</v>
      </c>
    </row>
    <row r="692" spans="1:6" outlineLevel="1">
      <c r="A692" s="153">
        <f t="shared" si="10"/>
        <v>46290</v>
      </c>
      <c r="B692" s="140" t="s">
        <v>1534</v>
      </c>
      <c r="C692" s="145" t="str">
        <f>'Market II_BS FI'!N58</f>
        <v>Updating…</v>
      </c>
      <c r="D692" s="139" t="s">
        <v>1293</v>
      </c>
      <c r="E692" s="139" t="s">
        <v>1321</v>
      </c>
      <c r="F692" s="139" t="s">
        <v>1520</v>
      </c>
    </row>
    <row r="693" spans="1:6" outlineLevel="1">
      <c r="A693" s="153">
        <f t="shared" si="10"/>
        <v>46290</v>
      </c>
      <c r="B693" s="140" t="s">
        <v>1535</v>
      </c>
      <c r="C693" s="145" t="str">
        <f>'Market II_BS FI'!O59</f>
        <v>normal</v>
      </c>
      <c r="D693" s="139" t="s">
        <v>1293</v>
      </c>
      <c r="E693" s="139" t="s">
        <v>1321</v>
      </c>
      <c r="F693" s="139" t="s">
        <v>899</v>
      </c>
    </row>
    <row r="694" spans="1:6" outlineLevel="1">
      <c r="A694" s="153">
        <f t="shared" si="10"/>
        <v>46290</v>
      </c>
      <c r="B694" s="140" t="s">
        <v>1536</v>
      </c>
      <c r="C694" s="145" t="str">
        <f>'Market II_BS FI'!A59</f>
        <v>4</v>
      </c>
      <c r="D694" s="139" t="s">
        <v>1293</v>
      </c>
      <c r="E694" s="139" t="s">
        <v>1321</v>
      </c>
      <c r="F694" s="139" t="s">
        <v>899</v>
      </c>
    </row>
    <row r="695" spans="1:6" outlineLevel="1">
      <c r="A695" s="153">
        <f t="shared" si="10"/>
        <v>46290</v>
      </c>
      <c r="B695" s="140" t="s">
        <v>1537</v>
      </c>
      <c r="C695" s="145" t="str">
        <f>SUBSTITUTE('Market II_BS FI'!B59,CHAR(10),"&lt;br&gt;")</f>
        <v>PHGTCG</v>
      </c>
      <c r="D695" s="139" t="s">
        <v>1293</v>
      </c>
      <c r="E695" s="139" t="s">
        <v>1321</v>
      </c>
      <c r="F695" s="139" t="s">
        <v>899</v>
      </c>
    </row>
    <row r="696" spans="1:6" outlineLevel="1">
      <c r="A696" s="153">
        <f t="shared" si="10"/>
        <v>46290</v>
      </c>
      <c r="B696" s="140" t="s">
        <v>1538</v>
      </c>
      <c r="C696" s="145" t="str">
        <f>'Market II_BS FI'!C59</f>
        <v>6.5</v>
      </c>
      <c r="D696" s="139" t="s">
        <v>1293</v>
      </c>
      <c r="E696" s="139" t="s">
        <v>1321</v>
      </c>
      <c r="F696" s="139" t="s">
        <v>899</v>
      </c>
    </row>
    <row r="697" spans="1:6" outlineLevel="1">
      <c r="A697" s="153">
        <f t="shared" si="10"/>
        <v>46290</v>
      </c>
      <c r="B697" s="140" t="s">
        <v>1539</v>
      </c>
      <c r="C697" s="152">
        <f>'Market II_BS FI'!D59</f>
        <v>5.5953072966870208E-2</v>
      </c>
      <c r="D697" s="139" t="s">
        <v>1293</v>
      </c>
      <c r="E697" s="139" t="s">
        <v>1321</v>
      </c>
      <c r="F697" s="139" t="s">
        <v>899</v>
      </c>
    </row>
    <row r="698" spans="1:6" outlineLevel="1">
      <c r="A698" s="153">
        <f t="shared" si="10"/>
        <v>46290</v>
      </c>
      <c r="B698" s="140" t="s">
        <v>1540</v>
      </c>
      <c r="C698" s="145" t="str">
        <f>'Market II_BS FI'!E59</f>
        <v>0</v>
      </c>
      <c r="D698" s="139" t="s">
        <v>1293</v>
      </c>
      <c r="E698" s="139" t="s">
        <v>1321</v>
      </c>
      <c r="F698" s="139" t="s">
        <v>899</v>
      </c>
    </row>
    <row r="699" spans="1:6" outlineLevel="1">
      <c r="A699" s="153">
        <f t="shared" si="10"/>
        <v>46290</v>
      </c>
      <c r="B699" s="140" t="s">
        <v>1541</v>
      </c>
      <c r="C699" s="145" t="str">
        <f>'Market II_BS FI'!F59</f>
        <v>0</v>
      </c>
      <c r="D699" s="139" t="s">
        <v>1293</v>
      </c>
      <c r="E699" s="139" t="s">
        <v>1321</v>
      </c>
      <c r="F699" s="139" t="s">
        <v>899</v>
      </c>
    </row>
    <row r="700" spans="1:6" outlineLevel="1">
      <c r="A700" s="153">
        <f t="shared" si="10"/>
        <v>46290</v>
      </c>
      <c r="B700" s="140" t="s">
        <v>1542</v>
      </c>
      <c r="C700" s="145" t="str">
        <f>'Market II_BS FI'!G59</f>
        <v>-4.4</v>
      </c>
      <c r="D700" s="139" t="s">
        <v>1293</v>
      </c>
      <c r="E700" s="139" t="s">
        <v>1321</v>
      </c>
      <c r="F700" s="139" t="s">
        <v>899</v>
      </c>
    </row>
    <row r="701" spans="1:6" outlineLevel="1">
      <c r="A701" s="153">
        <f t="shared" si="10"/>
        <v>46290</v>
      </c>
      <c r="B701" s="140" t="s">
        <v>1543</v>
      </c>
      <c r="C701" s="145" t="str">
        <f>'Market II_BS FI'!H59</f>
        <v>2</v>
      </c>
      <c r="D701" s="139" t="s">
        <v>1293</v>
      </c>
      <c r="E701" s="139" t="s">
        <v>1321</v>
      </c>
      <c r="F701" s="139" t="s">
        <v>899</v>
      </c>
    </row>
    <row r="702" spans="1:6" outlineLevel="1">
      <c r="A702" s="153">
        <f t="shared" si="10"/>
        <v>46290</v>
      </c>
      <c r="B702" s="140" t="s">
        <v>1544</v>
      </c>
      <c r="C702" s="145" t="str">
        <f>'Market II_BS FI'!I59</f>
        <v>3.5</v>
      </c>
      <c r="D702" s="139" t="s">
        <v>1293</v>
      </c>
      <c r="E702" s="139" t="s">
        <v>1321</v>
      </c>
      <c r="F702" s="139" t="s">
        <v>899</v>
      </c>
    </row>
    <row r="703" spans="1:6" outlineLevel="1">
      <c r="A703" s="153">
        <f t="shared" si="10"/>
        <v>46290</v>
      </c>
      <c r="B703" s="140" t="s">
        <v>1545</v>
      </c>
      <c r="C703" s="145" t="str">
        <f>'Market II_BS FI'!J59</f>
        <v>0</v>
      </c>
      <c r="D703" s="139" t="s">
        <v>1293</v>
      </c>
      <c r="E703" s="139" t="s">
        <v>1321</v>
      </c>
      <c r="F703" s="139" t="s">
        <v>899</v>
      </c>
    </row>
    <row r="704" spans="1:6" outlineLevel="1">
      <c r="A704" s="153">
        <f t="shared" si="10"/>
        <v>46290</v>
      </c>
      <c r="B704" s="140" t="s">
        <v>1546</v>
      </c>
      <c r="C704" s="145" t="str">
        <f>'Market II_BS FI'!K59</f>
        <v>1</v>
      </c>
      <c r="D704" s="139" t="s">
        <v>1293</v>
      </c>
      <c r="E704" s="139" t="s">
        <v>1321</v>
      </c>
      <c r="F704" s="139" t="s">
        <v>899</v>
      </c>
    </row>
    <row r="705" spans="1:6" outlineLevel="1">
      <c r="A705" s="153">
        <f t="shared" si="10"/>
        <v>46290</v>
      </c>
      <c r="B705" s="140" t="s">
        <v>1547</v>
      </c>
      <c r="C705" s="145" t="str">
        <f>'Market II_BS FI'!L59</f>
        <v>0</v>
      </c>
      <c r="D705" s="139" t="s">
        <v>1293</v>
      </c>
      <c r="E705" s="139" t="s">
        <v>1321</v>
      </c>
      <c r="F705" s="139" t="s">
        <v>899</v>
      </c>
    </row>
    <row r="706" spans="1:6" outlineLevel="1">
      <c r="A706" s="153">
        <f t="shared" ref="A706:A769" si="11">RPT</f>
        <v>46290</v>
      </c>
      <c r="B706" s="140" t="s">
        <v>1548</v>
      </c>
      <c r="C706" s="145" t="str">
        <f>'Market II_BS FI'!M59</f>
        <v>2.6</v>
      </c>
      <c r="D706" s="139" t="s">
        <v>1293</v>
      </c>
      <c r="E706" s="139" t="s">
        <v>1321</v>
      </c>
      <c r="F706" s="139" t="s">
        <v>899</v>
      </c>
    </row>
    <row r="707" spans="1:6" outlineLevel="1">
      <c r="A707" s="153">
        <f t="shared" si="11"/>
        <v>46290</v>
      </c>
      <c r="B707" s="140" t="s">
        <v>1549</v>
      </c>
      <c r="C707" s="145" t="str">
        <f>'Market II_BS FI'!N59</f>
        <v>Updating…</v>
      </c>
      <c r="D707" s="139" t="s">
        <v>1293</v>
      </c>
      <c r="E707" s="139" t="s">
        <v>1321</v>
      </c>
      <c r="F707" s="139" t="s">
        <v>899</v>
      </c>
    </row>
    <row r="708" spans="1:6" outlineLevel="1">
      <c r="A708" s="153">
        <f t="shared" si="11"/>
        <v>46290</v>
      </c>
      <c r="B708" s="140" t="s">
        <v>1550</v>
      </c>
      <c r="C708" s="145" t="str">
        <f>'Market II_BS FI'!O60</f>
        <v>normal</v>
      </c>
      <c r="D708" s="139" t="s">
        <v>1293</v>
      </c>
      <c r="E708" s="139" t="s">
        <v>1321</v>
      </c>
      <c r="F708" s="139" t="s">
        <v>900</v>
      </c>
    </row>
    <row r="709" spans="1:6" outlineLevel="1">
      <c r="A709" s="153">
        <f t="shared" si="11"/>
        <v>46290</v>
      </c>
      <c r="B709" s="140" t="s">
        <v>1551</v>
      </c>
      <c r="C709" s="145" t="str">
        <f>'Market II_BS FI'!A60</f>
        <v>5</v>
      </c>
      <c r="D709" s="139" t="s">
        <v>1293</v>
      </c>
      <c r="E709" s="139" t="s">
        <v>1321</v>
      </c>
      <c r="F709" s="139" t="s">
        <v>900</v>
      </c>
    </row>
    <row r="710" spans="1:6" outlineLevel="1">
      <c r="A710" s="153">
        <f t="shared" si="11"/>
        <v>46290</v>
      </c>
      <c r="B710" s="140" t="s">
        <v>1552</v>
      </c>
      <c r="C710" s="145" t="str">
        <f>SUBSTITUTE('Market II_BS FI'!B60,CHAR(10),"&lt;br&gt;")</f>
        <v>Other Liabilities</v>
      </c>
      <c r="D710" s="139" t="s">
        <v>1293</v>
      </c>
      <c r="E710" s="139" t="s">
        <v>1321</v>
      </c>
      <c r="F710" s="139" t="s">
        <v>900</v>
      </c>
    </row>
    <row r="711" spans="1:6" outlineLevel="1">
      <c r="A711" s="153">
        <f t="shared" si="11"/>
        <v>46290</v>
      </c>
      <c r="B711" s="140" t="s">
        <v>1553</v>
      </c>
      <c r="C711" s="145" t="str">
        <f>'Market II_BS FI'!C60</f>
        <v>2.7</v>
      </c>
      <c r="D711" s="139" t="s">
        <v>1293</v>
      </c>
      <c r="E711" s="139" t="s">
        <v>1321</v>
      </c>
      <c r="F711" s="139" t="s">
        <v>900</v>
      </c>
    </row>
    <row r="712" spans="1:6" outlineLevel="1">
      <c r="A712" s="153">
        <f t="shared" si="11"/>
        <v>46290</v>
      </c>
      <c r="B712" s="140" t="s">
        <v>1554</v>
      </c>
      <c r="C712" s="152">
        <f>'Market II_BS FI'!D60</f>
        <v>2.3229936861991016E-2</v>
      </c>
      <c r="D712" s="139" t="s">
        <v>1293</v>
      </c>
      <c r="E712" s="139" t="s">
        <v>1321</v>
      </c>
      <c r="F712" s="139" t="s">
        <v>900</v>
      </c>
    </row>
    <row r="713" spans="1:6" outlineLevel="1">
      <c r="A713" s="153">
        <f t="shared" si="11"/>
        <v>46290</v>
      </c>
      <c r="B713" s="140" t="s">
        <v>1555</v>
      </c>
      <c r="C713" s="145" t="str">
        <f>'Market II_BS FI'!E60</f>
        <v>-0.2</v>
      </c>
      <c r="D713" s="139" t="s">
        <v>1293</v>
      </c>
      <c r="E713" s="139" t="s">
        <v>1321</v>
      </c>
      <c r="F713" s="139" t="s">
        <v>900</v>
      </c>
    </row>
    <row r="714" spans="1:6" outlineLevel="1">
      <c r="A714" s="153">
        <f t="shared" si="11"/>
        <v>46290</v>
      </c>
      <c r="B714" s="140" t="s">
        <v>1556</v>
      </c>
      <c r="C714" s="145" t="str">
        <f>'Market II_BS FI'!F60</f>
        <v>0.3</v>
      </c>
      <c r="D714" s="139" t="s">
        <v>1293</v>
      </c>
      <c r="E714" s="139" t="s">
        <v>1321</v>
      </c>
      <c r="F714" s="139" t="s">
        <v>900</v>
      </c>
    </row>
    <row r="715" spans="1:6" outlineLevel="1">
      <c r="A715" s="153">
        <f t="shared" si="11"/>
        <v>46290</v>
      </c>
      <c r="B715" s="140" t="s">
        <v>1557</v>
      </c>
      <c r="C715" s="145" t="str">
        <f>'Market II_BS FI'!G60</f>
        <v>-0.4</v>
      </c>
      <c r="D715" s="139" t="s">
        <v>1293</v>
      </c>
      <c r="E715" s="139" t="s">
        <v>1321</v>
      </c>
      <c r="F715" s="139" t="s">
        <v>900</v>
      </c>
    </row>
    <row r="716" spans="1:6" outlineLevel="1">
      <c r="A716" s="153">
        <f t="shared" si="11"/>
        <v>46290</v>
      </c>
      <c r="B716" s="140" t="s">
        <v>1558</v>
      </c>
      <c r="C716" s="145" t="str">
        <f>'Market II_BS FI'!H60</f>
        <v>2.7</v>
      </c>
      <c r="D716" s="139" t="s">
        <v>1293</v>
      </c>
      <c r="E716" s="139" t="s">
        <v>1321</v>
      </c>
      <c r="F716" s="139" t="s">
        <v>900</v>
      </c>
    </row>
    <row r="717" spans="1:6" outlineLevel="1">
      <c r="A717" s="153">
        <f t="shared" si="11"/>
        <v>46290</v>
      </c>
      <c r="B717" s="140" t="s">
        <v>1559</v>
      </c>
      <c r="C717" s="145" t="str">
        <f>'Market II_BS FI'!I60</f>
        <v>0</v>
      </c>
      <c r="D717" s="139" t="s">
        <v>1293</v>
      </c>
      <c r="E717" s="139" t="s">
        <v>1321</v>
      </c>
      <c r="F717" s="139" t="s">
        <v>900</v>
      </c>
    </row>
    <row r="718" spans="1:6" outlineLevel="1">
      <c r="A718" s="153">
        <f t="shared" si="11"/>
        <v>46290</v>
      </c>
      <c r="B718" s="140" t="s">
        <v>1560</v>
      </c>
      <c r="C718" s="145" t="str">
        <f>'Market II_BS FI'!J60</f>
        <v>0</v>
      </c>
      <c r="D718" s="139" t="s">
        <v>1293</v>
      </c>
      <c r="E718" s="139" t="s">
        <v>1321</v>
      </c>
      <c r="F718" s="139" t="s">
        <v>900</v>
      </c>
    </row>
    <row r="719" spans="1:6" outlineLevel="1">
      <c r="A719" s="153">
        <f t="shared" si="11"/>
        <v>46290</v>
      </c>
      <c r="B719" s="140" t="s">
        <v>1561</v>
      </c>
      <c r="C719" s="145" t="str">
        <f>'Market II_BS FI'!K60</f>
        <v>0</v>
      </c>
      <c r="D719" s="139" t="s">
        <v>1293</v>
      </c>
      <c r="E719" s="139" t="s">
        <v>1321</v>
      </c>
      <c r="F719" s="139" t="s">
        <v>900</v>
      </c>
    </row>
    <row r="720" spans="1:6" outlineLevel="1">
      <c r="A720" s="153">
        <f t="shared" si="11"/>
        <v>46290</v>
      </c>
      <c r="B720" s="140" t="s">
        <v>1562</v>
      </c>
      <c r="C720" s="145" t="str">
        <f>'Market II_BS FI'!L60</f>
        <v>0</v>
      </c>
      <c r="D720" s="139" t="s">
        <v>1293</v>
      </c>
      <c r="E720" s="139" t="s">
        <v>1321</v>
      </c>
      <c r="F720" s="139" t="s">
        <v>900</v>
      </c>
    </row>
    <row r="721" spans="1:6" outlineLevel="1">
      <c r="A721" s="153">
        <f t="shared" si="11"/>
        <v>46290</v>
      </c>
      <c r="B721" s="140" t="s">
        <v>1563</v>
      </c>
      <c r="C721" s="145" t="str">
        <f>'Market II_BS FI'!M60</f>
        <v>0.5</v>
      </c>
      <c r="D721" s="139" t="s">
        <v>1293</v>
      </c>
      <c r="E721" s="139" t="s">
        <v>1321</v>
      </c>
      <c r="F721" s="139" t="s">
        <v>900</v>
      </c>
    </row>
    <row r="722" spans="1:6" outlineLevel="1">
      <c r="A722" s="153">
        <f t="shared" si="11"/>
        <v>46290</v>
      </c>
      <c r="B722" s="140" t="s">
        <v>1564</v>
      </c>
      <c r="C722" s="145" t="str">
        <f>'Market II_BS FI'!N60</f>
        <v>Updating…</v>
      </c>
      <c r="D722" s="139" t="s">
        <v>1293</v>
      </c>
      <c r="E722" s="139" t="s">
        <v>1321</v>
      </c>
      <c r="F722" s="139" t="s">
        <v>900</v>
      </c>
    </row>
    <row r="723" spans="1:6" outlineLevel="1">
      <c r="A723" s="153">
        <f t="shared" si="11"/>
        <v>46290</v>
      </c>
      <c r="B723" s="140" t="s">
        <v>1565</v>
      </c>
      <c r="C723" s="145" t="str">
        <f>'Market II_BS FI'!O61</f>
        <v>normal</v>
      </c>
      <c r="D723" s="139" t="s">
        <v>1293</v>
      </c>
      <c r="E723" s="139" t="s">
        <v>1321</v>
      </c>
      <c r="F723" s="139" t="s">
        <v>901</v>
      </c>
    </row>
    <row r="724" spans="1:6" outlineLevel="1">
      <c r="A724" s="153">
        <f t="shared" si="11"/>
        <v>46290</v>
      </c>
      <c r="B724" s="140" t="s">
        <v>1566</v>
      </c>
      <c r="C724" s="145" t="str">
        <f>'Market II_BS FI'!A61</f>
        <v>6</v>
      </c>
      <c r="D724" s="139" t="s">
        <v>1293</v>
      </c>
      <c r="E724" s="139" t="s">
        <v>1321</v>
      </c>
      <c r="F724" s="139" t="s">
        <v>901</v>
      </c>
    </row>
    <row r="725" spans="1:6" outlineLevel="1">
      <c r="A725" s="153">
        <f t="shared" si="11"/>
        <v>46290</v>
      </c>
      <c r="B725" s="140" t="s">
        <v>1567</v>
      </c>
      <c r="C725" s="145" t="str">
        <f>SUBSTITUTE('Market II_BS FI'!B61,CHAR(10),"&lt;br&gt;")</f>
        <v>Vốn TT1 tài trợ Gbond Banking</v>
      </c>
      <c r="D725" s="139" t="s">
        <v>1293</v>
      </c>
      <c r="E725" s="139" t="s">
        <v>1321</v>
      </c>
      <c r="F725" s="139" t="s">
        <v>901</v>
      </c>
    </row>
    <row r="726" spans="1:6" outlineLevel="1">
      <c r="A726" s="153">
        <f t="shared" si="11"/>
        <v>46290</v>
      </c>
      <c r="B726" s="140" t="s">
        <v>1568</v>
      </c>
      <c r="C726" s="145" t="str">
        <f>'Market II_BS FI'!C61</f>
        <v>12</v>
      </c>
      <c r="D726" s="139" t="s">
        <v>1293</v>
      </c>
      <c r="E726" s="139" t="s">
        <v>1321</v>
      </c>
      <c r="F726" s="139" t="s">
        <v>901</v>
      </c>
    </row>
    <row r="727" spans="1:6" outlineLevel="1">
      <c r="A727" s="153">
        <f t="shared" si="11"/>
        <v>46290</v>
      </c>
      <c r="B727" s="140" t="s">
        <v>1569</v>
      </c>
      <c r="C727" s="152">
        <f>'Market II_BS FI'!D61</f>
        <v>0.10329798086191425</v>
      </c>
      <c r="D727" s="139" t="s">
        <v>1293</v>
      </c>
      <c r="E727" s="139" t="s">
        <v>1321</v>
      </c>
      <c r="F727" s="139" t="s">
        <v>901</v>
      </c>
    </row>
    <row r="728" spans="1:6" outlineLevel="1">
      <c r="A728" s="153">
        <f t="shared" si="11"/>
        <v>46290</v>
      </c>
      <c r="B728" s="140" t="s">
        <v>1570</v>
      </c>
      <c r="C728" s="145" t="str">
        <f>'Market II_BS FI'!E61</f>
        <v>0</v>
      </c>
      <c r="D728" s="139" t="s">
        <v>1293</v>
      </c>
      <c r="E728" s="139" t="s">
        <v>1321</v>
      </c>
      <c r="F728" s="139" t="s">
        <v>901</v>
      </c>
    </row>
    <row r="729" spans="1:6" outlineLevel="1">
      <c r="A729" s="153">
        <f t="shared" si="11"/>
        <v>46290</v>
      </c>
      <c r="B729" s="140" t="s">
        <v>1571</v>
      </c>
      <c r="C729" s="145" t="str">
        <f>'Market II_BS FI'!F61</f>
        <v>0</v>
      </c>
      <c r="D729" s="139" t="s">
        <v>1293</v>
      </c>
      <c r="E729" s="139" t="s">
        <v>1321</v>
      </c>
      <c r="F729" s="139" t="s">
        <v>901</v>
      </c>
    </row>
    <row r="730" spans="1:6" outlineLevel="1">
      <c r="A730" s="153">
        <f t="shared" si="11"/>
        <v>46290</v>
      </c>
      <c r="B730" s="140" t="s">
        <v>1572</v>
      </c>
      <c r="C730" s="145" t="str">
        <f>'Market II_BS FI'!G61</f>
        <v>0</v>
      </c>
      <c r="D730" s="139" t="s">
        <v>1293</v>
      </c>
      <c r="E730" s="139" t="s">
        <v>1321</v>
      </c>
      <c r="F730" s="139" t="s">
        <v>901</v>
      </c>
    </row>
    <row r="731" spans="1:6" outlineLevel="1">
      <c r="A731" s="153">
        <f t="shared" si="11"/>
        <v>46290</v>
      </c>
      <c r="B731" s="140" t="s">
        <v>1573</v>
      </c>
      <c r="C731" s="145" t="str">
        <f>'Market II_BS FI'!H61</f>
        <v>0</v>
      </c>
      <c r="D731" s="139" t="s">
        <v>1293</v>
      </c>
      <c r="E731" s="139" t="s">
        <v>1321</v>
      </c>
      <c r="F731" s="139" t="s">
        <v>901</v>
      </c>
    </row>
    <row r="732" spans="1:6" outlineLevel="1">
      <c r="A732" s="153">
        <f t="shared" si="11"/>
        <v>46290</v>
      </c>
      <c r="B732" s="140" t="s">
        <v>1574</v>
      </c>
      <c r="C732" s="145" t="str">
        <f>'Market II_BS FI'!I61</f>
        <v>0</v>
      </c>
      <c r="D732" s="139" t="s">
        <v>1293</v>
      </c>
      <c r="E732" s="139" t="s">
        <v>1321</v>
      </c>
      <c r="F732" s="139" t="s">
        <v>901</v>
      </c>
    </row>
    <row r="733" spans="1:6" outlineLevel="1">
      <c r="A733" s="153">
        <f t="shared" si="11"/>
        <v>46290</v>
      </c>
      <c r="B733" s="140" t="s">
        <v>1575</v>
      </c>
      <c r="C733" s="145" t="str">
        <f>'Market II_BS FI'!J61</f>
        <v>0</v>
      </c>
      <c r="D733" s="139" t="s">
        <v>1293</v>
      </c>
      <c r="E733" s="139" t="s">
        <v>1321</v>
      </c>
      <c r="F733" s="139" t="s">
        <v>901</v>
      </c>
    </row>
    <row r="734" spans="1:6" outlineLevel="1">
      <c r="A734" s="153">
        <f t="shared" si="11"/>
        <v>46290</v>
      </c>
      <c r="B734" s="140" t="s">
        <v>1576</v>
      </c>
      <c r="C734" s="145" t="str">
        <f>'Market II_BS FI'!K61</f>
        <v>0</v>
      </c>
      <c r="D734" s="139" t="s">
        <v>1293</v>
      </c>
      <c r="E734" s="139" t="s">
        <v>1321</v>
      </c>
      <c r="F734" s="139" t="s">
        <v>901</v>
      </c>
    </row>
    <row r="735" spans="1:6" outlineLevel="1">
      <c r="A735" s="153">
        <f t="shared" si="11"/>
        <v>46290</v>
      </c>
      <c r="B735" s="140" t="s">
        <v>1577</v>
      </c>
      <c r="C735" s="145" t="str">
        <f>'Market II_BS FI'!L61</f>
        <v>12</v>
      </c>
      <c r="D735" s="139" t="s">
        <v>1293</v>
      </c>
      <c r="E735" s="139" t="s">
        <v>1321</v>
      </c>
      <c r="F735" s="139" t="s">
        <v>901</v>
      </c>
    </row>
    <row r="736" spans="1:6" outlineLevel="1">
      <c r="A736" s="153">
        <f t="shared" si="11"/>
        <v>46290</v>
      </c>
      <c r="B736" s="140" t="s">
        <v>1578</v>
      </c>
      <c r="C736" s="145" t="str">
        <f>'Market II_BS FI'!M61</f>
        <v>12</v>
      </c>
      <c r="D736" s="139" t="s">
        <v>1293</v>
      </c>
      <c r="E736" s="139" t="s">
        <v>1321</v>
      </c>
      <c r="F736" s="139" t="s">
        <v>901</v>
      </c>
    </row>
    <row r="737" spans="1:6" outlineLevel="1">
      <c r="A737" s="153">
        <f t="shared" si="11"/>
        <v>46290</v>
      </c>
      <c r="B737" s="140" t="s">
        <v>1579</v>
      </c>
      <c r="C737" s="145" t="str">
        <f>'Market II_BS FI'!N61</f>
        <v>Updating…</v>
      </c>
      <c r="D737" s="139" t="s">
        <v>1293</v>
      </c>
      <c r="E737" s="139" t="s">
        <v>1321</v>
      </c>
      <c r="F737" s="139" t="s">
        <v>901</v>
      </c>
    </row>
    <row r="738" spans="1:6" outlineLevel="1">
      <c r="A738" s="153">
        <f t="shared" si="11"/>
        <v>46290</v>
      </c>
      <c r="B738" s="140" t="s">
        <v>1580</v>
      </c>
      <c r="C738" s="145" t="str">
        <f>'Market II_BS FI'!O62</f>
        <v>total</v>
      </c>
      <c r="D738" s="139" t="s">
        <v>1293</v>
      </c>
      <c r="E738" s="139" t="s">
        <v>1321</v>
      </c>
      <c r="F738" s="139" t="s">
        <v>1581</v>
      </c>
    </row>
    <row r="739" spans="1:6" outlineLevel="1">
      <c r="A739" s="153">
        <f t="shared" si="11"/>
        <v>46290</v>
      </c>
      <c r="B739" s="140" t="s">
        <v>1582</v>
      </c>
      <c r="C739" s="145" t="str">
        <f>'Market II_BS FI'!A62</f>
        <v>II</v>
      </c>
      <c r="D739" s="139" t="s">
        <v>1293</v>
      </c>
      <c r="E739" s="139" t="s">
        <v>1321</v>
      </c>
      <c r="F739" s="139" t="s">
        <v>1581</v>
      </c>
    </row>
    <row r="740" spans="1:6" outlineLevel="1">
      <c r="A740" s="153">
        <f t="shared" si="11"/>
        <v>46290</v>
      </c>
      <c r="B740" s="140" t="s">
        <v>1583</v>
      </c>
      <c r="C740" s="145" t="str">
        <f>SUBSTITUTE('Market II_BS FI'!B62,CHAR(10),"&lt;br&gt;")</f>
        <v>Total Liabilities</v>
      </c>
      <c r="D740" s="139" t="s">
        <v>1293</v>
      </c>
      <c r="E740" s="139" t="s">
        <v>1321</v>
      </c>
      <c r="F740" s="139" t="s">
        <v>1581</v>
      </c>
    </row>
    <row r="741" spans="1:6" outlineLevel="1">
      <c r="A741" s="153">
        <f t="shared" si="11"/>
        <v>46290</v>
      </c>
      <c r="B741" s="140" t="s">
        <v>1584</v>
      </c>
      <c r="C741" s="145" t="str">
        <f>'Market II_BS FI'!C62</f>
        <v>101.6</v>
      </c>
      <c r="D741" s="139" t="s">
        <v>1293</v>
      </c>
      <c r="E741" s="139" t="s">
        <v>1321</v>
      </c>
      <c r="F741" s="139" t="s">
        <v>1581</v>
      </c>
    </row>
    <row r="742" spans="1:6" outlineLevel="1">
      <c r="A742" s="153">
        <f t="shared" si="11"/>
        <v>46290</v>
      </c>
      <c r="B742" s="140" t="s">
        <v>1585</v>
      </c>
      <c r="C742" s="152">
        <f>'Market II_BS FI'!D62</f>
        <v>0.8743611450291946</v>
      </c>
      <c r="D742" s="139" t="s">
        <v>1293</v>
      </c>
      <c r="E742" s="139" t="s">
        <v>1321</v>
      </c>
      <c r="F742" s="139" t="s">
        <v>1581</v>
      </c>
    </row>
    <row r="743" spans="1:6" outlineLevel="1">
      <c r="A743" s="153">
        <f t="shared" si="11"/>
        <v>46290</v>
      </c>
      <c r="B743" s="140" t="s">
        <v>1586</v>
      </c>
      <c r="C743" s="145" t="str">
        <f>'Market II_BS FI'!E62</f>
        <v>-4.2</v>
      </c>
      <c r="D743" s="139" t="s">
        <v>1293</v>
      </c>
      <c r="E743" s="139" t="s">
        <v>1321</v>
      </c>
      <c r="F743" s="139" t="s">
        <v>1581</v>
      </c>
    </row>
    <row r="744" spans="1:6" outlineLevel="1">
      <c r="A744" s="153">
        <f t="shared" si="11"/>
        <v>46290</v>
      </c>
      <c r="B744" s="140" t="s">
        <v>1587</v>
      </c>
      <c r="C744" s="145" t="str">
        <f>'Market II_BS FI'!F62</f>
        <v>-9.7</v>
      </c>
      <c r="D744" s="139" t="s">
        <v>1293</v>
      </c>
      <c r="E744" s="139" t="s">
        <v>1321</v>
      </c>
      <c r="F744" s="139" t="s">
        <v>1581</v>
      </c>
    </row>
    <row r="745" spans="1:6" outlineLevel="1">
      <c r="A745" s="153">
        <f t="shared" si="11"/>
        <v>46290</v>
      </c>
      <c r="B745" s="140" t="s">
        <v>1588</v>
      </c>
      <c r="C745" s="145" t="str">
        <f>'Market II_BS FI'!G62</f>
        <v>-1</v>
      </c>
      <c r="D745" s="139" t="s">
        <v>1293</v>
      </c>
      <c r="E745" s="139" t="s">
        <v>1321</v>
      </c>
      <c r="F745" s="139" t="s">
        <v>1581</v>
      </c>
    </row>
    <row r="746" spans="1:6" outlineLevel="1">
      <c r="A746" s="153">
        <f t="shared" si="11"/>
        <v>46290</v>
      </c>
      <c r="B746" s="140" t="s">
        <v>1589</v>
      </c>
      <c r="C746" s="145" t="str">
        <f>'Market II_BS FI'!H62</f>
        <v>46.1</v>
      </c>
      <c r="D746" s="139" t="s">
        <v>1293</v>
      </c>
      <c r="E746" s="139" t="s">
        <v>1321</v>
      </c>
      <c r="F746" s="139" t="s">
        <v>1581</v>
      </c>
    </row>
    <row r="747" spans="1:6" outlineLevel="1">
      <c r="A747" s="153">
        <f t="shared" si="11"/>
        <v>46290</v>
      </c>
      <c r="B747" s="140" t="s">
        <v>1590</v>
      </c>
      <c r="C747" s="145" t="str">
        <f>'Market II_BS FI'!I62</f>
        <v>34.6</v>
      </c>
      <c r="D747" s="139" t="s">
        <v>1293</v>
      </c>
      <c r="E747" s="139" t="s">
        <v>1321</v>
      </c>
      <c r="F747" s="139" t="s">
        <v>1581</v>
      </c>
    </row>
    <row r="748" spans="1:6" outlineLevel="1">
      <c r="A748" s="153">
        <f t="shared" si="11"/>
        <v>46290</v>
      </c>
      <c r="B748" s="140" t="s">
        <v>1591</v>
      </c>
      <c r="C748" s="145" t="str">
        <f>'Market II_BS FI'!J62</f>
        <v>6.1</v>
      </c>
      <c r="D748" s="139" t="s">
        <v>1293</v>
      </c>
      <c r="E748" s="139" t="s">
        <v>1321</v>
      </c>
      <c r="F748" s="139" t="s">
        <v>1581</v>
      </c>
    </row>
    <row r="749" spans="1:6" outlineLevel="1">
      <c r="A749" s="153">
        <f t="shared" si="11"/>
        <v>46290</v>
      </c>
      <c r="B749" s="140" t="s">
        <v>1592</v>
      </c>
      <c r="C749" s="145" t="str">
        <f>'Market II_BS FI'!K62</f>
        <v>2.7</v>
      </c>
      <c r="D749" s="139" t="s">
        <v>1293</v>
      </c>
      <c r="E749" s="139" t="s">
        <v>1321</v>
      </c>
      <c r="F749" s="139" t="s">
        <v>1581</v>
      </c>
    </row>
    <row r="750" spans="1:6" outlineLevel="1">
      <c r="A750" s="153">
        <f t="shared" si="11"/>
        <v>46290</v>
      </c>
      <c r="B750" s="140" t="s">
        <v>1593</v>
      </c>
      <c r="C750" s="145" t="str">
        <f>'Market II_BS FI'!L62</f>
        <v>12</v>
      </c>
      <c r="D750" s="139" t="s">
        <v>1293</v>
      </c>
      <c r="E750" s="139" t="s">
        <v>1321</v>
      </c>
      <c r="F750" s="139" t="s">
        <v>1581</v>
      </c>
    </row>
    <row r="751" spans="1:6" outlineLevel="1">
      <c r="A751" s="153">
        <f t="shared" si="11"/>
        <v>46290</v>
      </c>
      <c r="B751" s="140" t="s">
        <v>1594</v>
      </c>
      <c r="C751" s="145" t="str">
        <f>'Market II_BS FI'!M62</f>
        <v>2.8</v>
      </c>
      <c r="D751" s="139" t="s">
        <v>1293</v>
      </c>
      <c r="E751" s="139" t="s">
        <v>1321</v>
      </c>
      <c r="F751" s="139" t="s">
        <v>1581</v>
      </c>
    </row>
    <row r="752" spans="1:6" outlineLevel="1">
      <c r="A752" s="153">
        <f t="shared" si="11"/>
        <v>46290</v>
      </c>
      <c r="B752" s="140" t="s">
        <v>1595</v>
      </c>
      <c r="C752" s="145" t="str">
        <f>'Market II_BS FI'!N62</f>
        <v>Updating…</v>
      </c>
      <c r="D752" s="139" t="s">
        <v>1293</v>
      </c>
      <c r="E752" s="139" t="s">
        <v>1321</v>
      </c>
      <c r="F752" s="139" t="s">
        <v>1581</v>
      </c>
    </row>
    <row r="753" spans="1:6" outlineLevel="1">
      <c r="A753" s="153">
        <f t="shared" si="11"/>
        <v>46290</v>
      </c>
      <c r="B753" s="140" t="s">
        <v>1596</v>
      </c>
      <c r="C753" s="145" t="str">
        <f>'Market II_BS FI'!O63</f>
        <v>total</v>
      </c>
      <c r="D753" s="139" t="s">
        <v>1293</v>
      </c>
      <c r="E753" s="139" t="s">
        <v>1321</v>
      </c>
      <c r="F753" s="139" t="s">
        <v>1597</v>
      </c>
    </row>
    <row r="754" spans="1:6" outlineLevel="1">
      <c r="A754" s="153">
        <f t="shared" si="11"/>
        <v>46290</v>
      </c>
      <c r="B754" s="140" t="s">
        <v>1598</v>
      </c>
      <c r="C754" s="145" t="str">
        <f>'Market II_BS FI'!A63</f>
        <v>III</v>
      </c>
      <c r="D754" s="139" t="s">
        <v>1293</v>
      </c>
      <c r="E754" s="139" t="s">
        <v>1321</v>
      </c>
      <c r="F754" s="139" t="s">
        <v>1597</v>
      </c>
    </row>
    <row r="755" spans="1:6" outlineLevel="1">
      <c r="A755" s="153">
        <f t="shared" si="11"/>
        <v>46290</v>
      </c>
      <c r="B755" s="140" t="s">
        <v>1599</v>
      </c>
      <c r="C755" s="145" t="str">
        <f>SUBSTITUTE('Market II_BS FI'!B63,CHAR(10),"&lt;br&gt;")</f>
        <v>Excess Deposit from TT1</v>
      </c>
      <c r="D755" s="139" t="s">
        <v>1293</v>
      </c>
      <c r="E755" s="139" t="s">
        <v>1321</v>
      </c>
      <c r="F755" s="139" t="s">
        <v>1597</v>
      </c>
    </row>
    <row r="756" spans="1:6" outlineLevel="1">
      <c r="A756" s="153">
        <f t="shared" si="11"/>
        <v>46290</v>
      </c>
      <c r="B756" s="140" t="s">
        <v>1600</v>
      </c>
      <c r="C756" s="145" t="str">
        <f>'Market II_BS FI'!C63</f>
        <v>14.6</v>
      </c>
      <c r="D756" s="139" t="s">
        <v>1293</v>
      </c>
      <c r="E756" s="139" t="s">
        <v>1321</v>
      </c>
      <c r="F756" s="139" t="s">
        <v>1597</v>
      </c>
    </row>
    <row r="757" spans="1:6" outlineLevel="1">
      <c r="A757" s="153">
        <f t="shared" si="11"/>
        <v>46290</v>
      </c>
      <c r="B757" s="140" t="s">
        <v>1601</v>
      </c>
      <c r="C757" s="152">
        <f>'Market II_BS FI'!D63</f>
        <v>0.12563885497080551</v>
      </c>
      <c r="D757" s="139" t="s">
        <v>1293</v>
      </c>
      <c r="E757" s="139" t="s">
        <v>1321</v>
      </c>
      <c r="F757" s="139" t="s">
        <v>1597</v>
      </c>
    </row>
    <row r="758" spans="1:6" outlineLevel="1">
      <c r="A758" s="153">
        <f t="shared" si="11"/>
        <v>46290</v>
      </c>
      <c r="B758" s="140" t="s">
        <v>1602</v>
      </c>
      <c r="C758" s="145" t="str">
        <f>'Market II_BS FI'!E63</f>
        <v>-2.8</v>
      </c>
      <c r="D758" s="139" t="s">
        <v>1293</v>
      </c>
      <c r="E758" s="139" t="s">
        <v>1321</v>
      </c>
      <c r="F758" s="139" t="s">
        <v>1597</v>
      </c>
    </row>
    <row r="759" spans="1:6" outlineLevel="1">
      <c r="A759" s="153">
        <f t="shared" si="11"/>
        <v>46290</v>
      </c>
      <c r="B759" s="140" t="s">
        <v>1603</v>
      </c>
      <c r="C759" s="145" t="str">
        <f>'Market II_BS FI'!F63</f>
        <v>-1.3</v>
      </c>
      <c r="D759" s="139" t="s">
        <v>1293</v>
      </c>
      <c r="E759" s="139" t="s">
        <v>1321</v>
      </c>
      <c r="F759" s="139" t="s">
        <v>1597</v>
      </c>
    </row>
    <row r="760" spans="1:6" outlineLevel="1">
      <c r="A760" s="153">
        <f t="shared" si="11"/>
        <v>46290</v>
      </c>
      <c r="B760" s="140" t="s">
        <v>1604</v>
      </c>
      <c r="C760" s="145" t="str">
        <f>'Market II_BS FI'!G63</f>
        <v>0.1</v>
      </c>
      <c r="D760" s="139" t="s">
        <v>1293</v>
      </c>
      <c r="E760" s="139" t="s">
        <v>1321</v>
      </c>
      <c r="F760" s="139" t="s">
        <v>1597</v>
      </c>
    </row>
    <row r="761" spans="1:6" outlineLevel="1">
      <c r="A761" s="153">
        <f t="shared" si="11"/>
        <v>46290</v>
      </c>
      <c r="B761" s="140" t="s">
        <v>1605</v>
      </c>
      <c r="C761" s="145" t="str">
        <f>'Market II_BS FI'!H63</f>
        <v>7.6</v>
      </c>
      <c r="D761" s="139" t="s">
        <v>1293</v>
      </c>
      <c r="E761" s="139" t="s">
        <v>1321</v>
      </c>
      <c r="F761" s="139" t="s">
        <v>1597</v>
      </c>
    </row>
    <row r="762" spans="1:6" outlineLevel="1">
      <c r="A762" s="153">
        <f t="shared" si="11"/>
        <v>46290</v>
      </c>
      <c r="B762" s="140" t="s">
        <v>1606</v>
      </c>
      <c r="C762" s="145" t="str">
        <f>'Market II_BS FI'!I63</f>
        <v>7</v>
      </c>
      <c r="D762" s="139" t="s">
        <v>1293</v>
      </c>
      <c r="E762" s="139" t="s">
        <v>1321</v>
      </c>
      <c r="F762" s="139" t="s">
        <v>1597</v>
      </c>
    </row>
    <row r="763" spans="1:6" outlineLevel="1">
      <c r="A763" s="153">
        <f t="shared" si="11"/>
        <v>46290</v>
      </c>
      <c r="B763" s="140" t="s">
        <v>1607</v>
      </c>
      <c r="C763" s="145" t="str">
        <f>'Market II_BS FI'!J63</f>
        <v>0</v>
      </c>
      <c r="D763" s="139" t="s">
        <v>1293</v>
      </c>
      <c r="E763" s="139" t="s">
        <v>1321</v>
      </c>
      <c r="F763" s="139" t="s">
        <v>1597</v>
      </c>
    </row>
    <row r="764" spans="1:6" outlineLevel="1">
      <c r="A764" s="153">
        <f t="shared" si="11"/>
        <v>46290</v>
      </c>
      <c r="B764" s="140" t="s">
        <v>1608</v>
      </c>
      <c r="C764" s="145" t="str">
        <f>'Market II_BS FI'!K63</f>
        <v>0</v>
      </c>
      <c r="D764" s="139" t="s">
        <v>1293</v>
      </c>
      <c r="E764" s="139" t="s">
        <v>1321</v>
      </c>
      <c r="F764" s="139" t="s">
        <v>1597</v>
      </c>
    </row>
    <row r="765" spans="1:6" outlineLevel="1">
      <c r="A765" s="153">
        <f t="shared" si="11"/>
        <v>46290</v>
      </c>
      <c r="B765" s="140" t="s">
        <v>1609</v>
      </c>
      <c r="C765" s="145" t="str">
        <f>'Market II_BS FI'!L63</f>
        <v>0</v>
      </c>
      <c r="D765" s="139" t="s">
        <v>1293</v>
      </c>
      <c r="E765" s="139" t="s">
        <v>1321</v>
      </c>
      <c r="F765" s="139" t="s">
        <v>1597</v>
      </c>
    </row>
    <row r="766" spans="1:6" outlineLevel="1">
      <c r="A766" s="153">
        <f t="shared" si="11"/>
        <v>46290</v>
      </c>
      <c r="B766" s="140" t="s">
        <v>1610</v>
      </c>
      <c r="C766" s="145" t="str">
        <f>'Market II_BS FI'!M63</f>
        <v>1.2</v>
      </c>
      <c r="D766" s="139" t="s">
        <v>1293</v>
      </c>
      <c r="E766" s="139" t="s">
        <v>1321</v>
      </c>
      <c r="F766" s="139" t="s">
        <v>1597</v>
      </c>
    </row>
    <row r="767" spans="1:6" outlineLevel="1">
      <c r="A767" s="153">
        <f t="shared" si="11"/>
        <v>46290</v>
      </c>
      <c r="B767" s="140" t="s">
        <v>1611</v>
      </c>
      <c r="C767" s="145" t="str">
        <f>'Market II_BS FI'!N63</f>
        <v>Updating…</v>
      </c>
      <c r="D767" s="139" t="s">
        <v>1293</v>
      </c>
      <c r="E767" s="139" t="s">
        <v>1321</v>
      </c>
      <c r="F767" s="139" t="s">
        <v>1597</v>
      </c>
    </row>
    <row r="768" spans="1:6" outlineLevel="1">
      <c r="A768" s="153">
        <f t="shared" si="11"/>
        <v>46290</v>
      </c>
      <c r="B768" s="140" t="s">
        <v>1612</v>
      </c>
      <c r="C768" s="145" t="str">
        <f>'Market II_BS FI'!O64</f>
        <v>gap</v>
      </c>
      <c r="D768" s="139" t="s">
        <v>1293</v>
      </c>
      <c r="E768" s="139" t="s">
        <v>1321</v>
      </c>
      <c r="F768" s="139" t="s">
        <v>1613</v>
      </c>
    </row>
    <row r="769" spans="1:6" outlineLevel="1">
      <c r="A769" s="153">
        <f t="shared" si="11"/>
        <v>46290</v>
      </c>
      <c r="B769" s="140" t="s">
        <v>1614</v>
      </c>
      <c r="C769" s="145" t="str">
        <f>'Market II_BS FI'!A64</f>
        <v>IV</v>
      </c>
      <c r="D769" s="139" t="s">
        <v>1293</v>
      </c>
      <c r="E769" s="139" t="s">
        <v>1321</v>
      </c>
      <c r="F769" s="139" t="s">
        <v>1613</v>
      </c>
    </row>
    <row r="770" spans="1:6" outlineLevel="1">
      <c r="A770" s="153">
        <f t="shared" ref="A770:A833" si="12">RPT</f>
        <v>46290</v>
      </c>
      <c r="B770" s="140" t="s">
        <v>1615</v>
      </c>
      <c r="C770" s="145" t="str">
        <f>SUBSTITUTE('Market II_BS FI'!B64,CHAR(10),"&lt;br&gt;")</f>
        <v>Liquidity GAP&lt;br&gt;(theo tính chất thanh khoản)</v>
      </c>
      <c r="D770" s="139" t="s">
        <v>1293</v>
      </c>
      <c r="E770" s="139" t="s">
        <v>1321</v>
      </c>
      <c r="F770" s="139" t="s">
        <v>1613</v>
      </c>
    </row>
    <row r="771" spans="1:6" outlineLevel="1">
      <c r="A771" s="153">
        <f t="shared" si="12"/>
        <v>46290</v>
      </c>
      <c r="B771" s="140" t="s">
        <v>1616</v>
      </c>
      <c r="C771" s="145" t="str">
        <f>'Market II_BS FI'!C64</f>
        <v>-10.1</v>
      </c>
      <c r="D771" s="139" t="s">
        <v>1293</v>
      </c>
      <c r="E771" s="139" t="s">
        <v>1321</v>
      </c>
      <c r="F771" s="139" t="s">
        <v>1613</v>
      </c>
    </row>
    <row r="772" spans="1:6" outlineLevel="1">
      <c r="A772" s="153">
        <f t="shared" si="12"/>
        <v>46290</v>
      </c>
      <c r="B772" s="140" t="s">
        <v>1617</v>
      </c>
      <c r="C772" s="145">
        <f>'Market II_BS FI'!D64</f>
        <v>0</v>
      </c>
      <c r="D772" s="139" t="s">
        <v>1293</v>
      </c>
      <c r="E772" s="139" t="s">
        <v>1321</v>
      </c>
      <c r="F772" s="139" t="s">
        <v>1613</v>
      </c>
    </row>
    <row r="773" spans="1:6" outlineLevel="1">
      <c r="A773" s="153">
        <f t="shared" si="12"/>
        <v>46290</v>
      </c>
      <c r="B773" s="140" t="s">
        <v>1618</v>
      </c>
      <c r="C773" s="145" t="str">
        <f>'Market II_BS FI'!E64</f>
        <v>-0.3</v>
      </c>
      <c r="D773" s="139" t="s">
        <v>1293</v>
      </c>
      <c r="E773" s="139" t="s">
        <v>1321</v>
      </c>
      <c r="F773" s="139" t="s">
        <v>1613</v>
      </c>
    </row>
    <row r="774" spans="1:6" outlineLevel="1">
      <c r="A774" s="153">
        <f t="shared" si="12"/>
        <v>46290</v>
      </c>
      <c r="B774" s="140" t="s">
        <v>1619</v>
      </c>
      <c r="C774" s="145" t="str">
        <f>'Market II_BS FI'!F64</f>
        <v>-5.6</v>
      </c>
      <c r="D774" s="139" t="s">
        <v>1293</v>
      </c>
      <c r="E774" s="139" t="s">
        <v>1321</v>
      </c>
      <c r="F774" s="139" t="s">
        <v>1613</v>
      </c>
    </row>
    <row r="775" spans="1:6" outlineLevel="1">
      <c r="A775" s="153">
        <f t="shared" si="12"/>
        <v>46290</v>
      </c>
      <c r="B775" s="140" t="s">
        <v>1620</v>
      </c>
      <c r="C775" s="145" t="str">
        <f>'Market II_BS FI'!G64</f>
        <v>6.7</v>
      </c>
      <c r="D775" s="139" t="s">
        <v>1293</v>
      </c>
      <c r="E775" s="139" t="s">
        <v>1321</v>
      </c>
      <c r="F775" s="139" t="s">
        <v>1613</v>
      </c>
    </row>
    <row r="776" spans="1:6" outlineLevel="1">
      <c r="A776" s="153">
        <f t="shared" si="12"/>
        <v>46290</v>
      </c>
      <c r="B776" s="140" t="s">
        <v>1621</v>
      </c>
      <c r="C776" s="145" t="str">
        <f>'Market II_BS FI'!H64</f>
        <v>-10.1</v>
      </c>
      <c r="D776" s="139" t="s">
        <v>1293</v>
      </c>
      <c r="E776" s="139" t="s">
        <v>1321</v>
      </c>
      <c r="F776" s="139" t="s">
        <v>1613</v>
      </c>
    </row>
    <row r="777" spans="1:6" outlineLevel="1">
      <c r="A777" s="153">
        <f t="shared" si="12"/>
        <v>46290</v>
      </c>
      <c r="B777" s="140" t="s">
        <v>1622</v>
      </c>
      <c r="C777" s="145" t="str">
        <f>'Market II_BS FI'!I64</f>
        <v>-15.4</v>
      </c>
      <c r="D777" s="139" t="s">
        <v>1293</v>
      </c>
      <c r="E777" s="139" t="s">
        <v>1321</v>
      </c>
      <c r="F777" s="139" t="s">
        <v>1613</v>
      </c>
    </row>
    <row r="778" spans="1:6" outlineLevel="1">
      <c r="A778" s="153">
        <f t="shared" si="12"/>
        <v>46290</v>
      </c>
      <c r="B778" s="140" t="s">
        <v>1623</v>
      </c>
      <c r="C778" s="145" t="str">
        <f>'Market II_BS FI'!J64</f>
        <v>-1.8</v>
      </c>
      <c r="D778" s="139" t="s">
        <v>1293</v>
      </c>
      <c r="E778" s="139" t="s">
        <v>1321</v>
      </c>
      <c r="F778" s="139" t="s">
        <v>1613</v>
      </c>
    </row>
    <row r="779" spans="1:6" outlineLevel="1">
      <c r="A779" s="153">
        <f t="shared" si="12"/>
        <v>46290</v>
      </c>
      <c r="B779" s="140" t="s">
        <v>1624</v>
      </c>
      <c r="C779" s="145" t="str">
        <f>'Market II_BS FI'!K64</f>
        <v>24.7</v>
      </c>
      <c r="D779" s="139" t="s">
        <v>1293</v>
      </c>
      <c r="E779" s="139" t="s">
        <v>1321</v>
      </c>
      <c r="F779" s="139" t="s">
        <v>1613</v>
      </c>
    </row>
    <row r="780" spans="1:6" outlineLevel="1">
      <c r="A780" s="153">
        <f t="shared" si="12"/>
        <v>46290</v>
      </c>
      <c r="B780" s="140" t="s">
        <v>1625</v>
      </c>
      <c r="C780" s="145" t="str">
        <f>'Market II_BS FI'!L64</f>
        <v>2.6</v>
      </c>
      <c r="D780" s="139" t="s">
        <v>1293</v>
      </c>
      <c r="E780" s="139" t="s">
        <v>1321</v>
      </c>
      <c r="F780" s="139" t="s">
        <v>1613</v>
      </c>
    </row>
    <row r="781" spans="1:6" outlineLevel="1">
      <c r="A781" s="153">
        <f t="shared" si="12"/>
        <v>46290</v>
      </c>
      <c r="B781" s="140" t="s">
        <v>1626</v>
      </c>
      <c r="C781" s="145">
        <f>'Market II_BS FI'!M64</f>
        <v>0</v>
      </c>
      <c r="D781" s="139" t="s">
        <v>1293</v>
      </c>
      <c r="E781" s="139" t="s">
        <v>1321</v>
      </c>
      <c r="F781" s="139" t="s">
        <v>1613</v>
      </c>
    </row>
    <row r="782" spans="1:6" outlineLevel="1">
      <c r="A782" s="153">
        <f t="shared" si="12"/>
        <v>46290</v>
      </c>
      <c r="B782" s="140" t="s">
        <v>1627</v>
      </c>
      <c r="C782" s="145" t="str">
        <f>'Market II_BS FI'!N64</f>
        <v>Updating…</v>
      </c>
      <c r="D782" s="139" t="s">
        <v>1293</v>
      </c>
      <c r="E782" s="139" t="s">
        <v>1321</v>
      </c>
      <c r="F782" s="139" t="s">
        <v>1613</v>
      </c>
    </row>
    <row r="783" spans="1:6" outlineLevel="1">
      <c r="A783" s="153">
        <f t="shared" si="12"/>
        <v>46290</v>
      </c>
      <c r="B783" s="140" t="s">
        <v>1628</v>
      </c>
      <c r="C783" s="145" t="str">
        <f>'Market II_BS FI'!O65</f>
        <v>gap</v>
      </c>
      <c r="D783" s="139" t="s">
        <v>1293</v>
      </c>
      <c r="E783" s="139" t="s">
        <v>1321</v>
      </c>
      <c r="F783" s="139" t="s">
        <v>1629</v>
      </c>
    </row>
    <row r="784" spans="1:6" outlineLevel="1">
      <c r="A784" s="153">
        <f t="shared" si="12"/>
        <v>46290</v>
      </c>
      <c r="B784" s="140" t="s">
        <v>1630</v>
      </c>
      <c r="C784" s="145" t="str">
        <f>'Market II_BS FI'!A65</f>
        <v>V</v>
      </c>
      <c r="D784" s="139" t="s">
        <v>1293</v>
      </c>
      <c r="E784" s="139" t="s">
        <v>1321</v>
      </c>
      <c r="F784" s="139" t="s">
        <v>1629</v>
      </c>
    </row>
    <row r="785" spans="1:6" outlineLevel="1">
      <c r="A785" s="153">
        <f t="shared" si="12"/>
        <v>46290</v>
      </c>
      <c r="B785" s="140" t="s">
        <v>1631</v>
      </c>
      <c r="C785" s="145" t="str">
        <f>SUBSTITUTE('Market II_BS FI'!B65,CHAR(10),"&lt;br&gt;")</f>
        <v>Repricing GAP&lt;br&gt;(theo kỳ Tái định giá lãi suất)</v>
      </c>
      <c r="D785" s="139" t="s">
        <v>1293</v>
      </c>
      <c r="E785" s="139" t="s">
        <v>1321</v>
      </c>
      <c r="F785" s="139" t="s">
        <v>1629</v>
      </c>
    </row>
    <row r="786" spans="1:6" outlineLevel="1">
      <c r="A786" s="153">
        <f t="shared" si="12"/>
        <v>46290</v>
      </c>
      <c r="B786" s="140" t="s">
        <v>1632</v>
      </c>
      <c r="C786" s="145" t="str">
        <f>'Market II_BS FI'!C65</f>
        <v>-10.1</v>
      </c>
      <c r="D786" s="139" t="s">
        <v>1293</v>
      </c>
      <c r="E786" s="139" t="s">
        <v>1321</v>
      </c>
      <c r="F786" s="139" t="s">
        <v>1629</v>
      </c>
    </row>
    <row r="787" spans="1:6" outlineLevel="1">
      <c r="A787" s="153">
        <f t="shared" si="12"/>
        <v>46290</v>
      </c>
      <c r="B787" s="140" t="s">
        <v>1633</v>
      </c>
      <c r="C787" s="145">
        <f>'Market II_BS FI'!D65</f>
        <v>0</v>
      </c>
      <c r="D787" s="139" t="s">
        <v>1293</v>
      </c>
      <c r="E787" s="139" t="s">
        <v>1321</v>
      </c>
      <c r="F787" s="139" t="s">
        <v>1629</v>
      </c>
    </row>
    <row r="788" spans="1:6" outlineLevel="1">
      <c r="A788" s="153">
        <f t="shared" si="12"/>
        <v>46290</v>
      </c>
      <c r="B788" s="140" t="s">
        <v>1634</v>
      </c>
      <c r="C788" s="145" t="str">
        <f>'Market II_BS FI'!E65</f>
        <v>-0.3</v>
      </c>
      <c r="D788" s="139" t="s">
        <v>1293</v>
      </c>
      <c r="E788" s="139" t="s">
        <v>1321</v>
      </c>
      <c r="F788" s="139" t="s">
        <v>1629</v>
      </c>
    </row>
    <row r="789" spans="1:6" outlineLevel="1">
      <c r="A789" s="153">
        <f t="shared" si="12"/>
        <v>46290</v>
      </c>
      <c r="B789" s="140" t="s">
        <v>1635</v>
      </c>
      <c r="C789" s="145" t="str">
        <f>'Market II_BS FI'!F65</f>
        <v>-5.6</v>
      </c>
      <c r="D789" s="139" t="s">
        <v>1293</v>
      </c>
      <c r="E789" s="139" t="s">
        <v>1321</v>
      </c>
      <c r="F789" s="139" t="s">
        <v>1629</v>
      </c>
    </row>
    <row r="790" spans="1:6" outlineLevel="1">
      <c r="A790" s="153">
        <f t="shared" si="12"/>
        <v>46290</v>
      </c>
      <c r="B790" s="140" t="s">
        <v>1636</v>
      </c>
      <c r="C790" s="145" t="str">
        <f>'Market II_BS FI'!G65</f>
        <v>6.7</v>
      </c>
      <c r="D790" s="139" t="s">
        <v>1293</v>
      </c>
      <c r="E790" s="139" t="s">
        <v>1321</v>
      </c>
      <c r="F790" s="139" t="s">
        <v>1629</v>
      </c>
    </row>
    <row r="791" spans="1:6" outlineLevel="1">
      <c r="A791" s="153">
        <f t="shared" si="12"/>
        <v>46290</v>
      </c>
      <c r="B791" s="140" t="s">
        <v>1637</v>
      </c>
      <c r="C791" s="145" t="str">
        <f>'Market II_BS FI'!H65</f>
        <v>-10.1</v>
      </c>
      <c r="D791" s="139" t="s">
        <v>1293</v>
      </c>
      <c r="E791" s="139" t="s">
        <v>1321</v>
      </c>
      <c r="F791" s="139" t="s">
        <v>1629</v>
      </c>
    </row>
    <row r="792" spans="1:6" outlineLevel="1">
      <c r="A792" s="153">
        <f t="shared" si="12"/>
        <v>46290</v>
      </c>
      <c r="B792" s="140" t="s">
        <v>1638</v>
      </c>
      <c r="C792" s="145" t="str">
        <f>'Market II_BS FI'!I65</f>
        <v>-15.4</v>
      </c>
      <c r="D792" s="139" t="s">
        <v>1293</v>
      </c>
      <c r="E792" s="139" t="s">
        <v>1321</v>
      </c>
      <c r="F792" s="139" t="s">
        <v>1629</v>
      </c>
    </row>
    <row r="793" spans="1:6" outlineLevel="1">
      <c r="A793" s="153">
        <f t="shared" si="12"/>
        <v>46290</v>
      </c>
      <c r="B793" s="140" t="s">
        <v>1639</v>
      </c>
      <c r="C793" s="145" t="str">
        <f>'Market II_BS FI'!J65</f>
        <v>-1.8</v>
      </c>
      <c r="D793" s="139" t="s">
        <v>1293</v>
      </c>
      <c r="E793" s="139" t="s">
        <v>1321</v>
      </c>
      <c r="F793" s="139" t="s">
        <v>1629</v>
      </c>
    </row>
    <row r="794" spans="1:6" outlineLevel="1">
      <c r="A794" s="153">
        <f t="shared" si="12"/>
        <v>46290</v>
      </c>
      <c r="B794" s="140" t="s">
        <v>1640</v>
      </c>
      <c r="C794" s="145" t="str">
        <f>'Market II_BS FI'!K65</f>
        <v>24.7</v>
      </c>
      <c r="D794" s="139" t="s">
        <v>1293</v>
      </c>
      <c r="E794" s="139" t="s">
        <v>1321</v>
      </c>
      <c r="F794" s="139" t="s">
        <v>1629</v>
      </c>
    </row>
    <row r="795" spans="1:6" outlineLevel="1">
      <c r="A795" s="153">
        <f t="shared" si="12"/>
        <v>46290</v>
      </c>
      <c r="B795" s="140" t="s">
        <v>1641</v>
      </c>
      <c r="C795" s="145" t="str">
        <f>'Market II_BS FI'!L65</f>
        <v>2.6</v>
      </c>
      <c r="D795" s="139" t="s">
        <v>1293</v>
      </c>
      <c r="E795" s="139" t="s">
        <v>1321</v>
      </c>
      <c r="F795" s="139" t="s">
        <v>1629</v>
      </c>
    </row>
    <row r="796" spans="1:6" outlineLevel="1">
      <c r="A796" s="153">
        <f t="shared" si="12"/>
        <v>46290</v>
      </c>
      <c r="B796" s="140" t="s">
        <v>1642</v>
      </c>
      <c r="C796" s="145">
        <f>'Market II_BS FI'!M65</f>
        <v>0</v>
      </c>
      <c r="D796" s="139" t="s">
        <v>1293</v>
      </c>
      <c r="E796" s="139" t="s">
        <v>1321</v>
      </c>
      <c r="F796" s="139" t="s">
        <v>1629</v>
      </c>
    </row>
    <row r="797" spans="1:6" outlineLevel="1">
      <c r="A797" s="153">
        <f t="shared" si="12"/>
        <v>46290</v>
      </c>
      <c r="B797" s="140" t="s">
        <v>1643</v>
      </c>
      <c r="C797" s="145" t="str">
        <f>'Market II_BS FI'!N65</f>
        <v>Updating…</v>
      </c>
      <c r="D797" s="139" t="s">
        <v>1293</v>
      </c>
      <c r="E797" s="139" t="s">
        <v>1321</v>
      </c>
      <c r="F797" s="139" t="s">
        <v>1629</v>
      </c>
    </row>
    <row r="798" spans="1:6" outlineLevel="1">
      <c r="A798" s="153">
        <f t="shared" si="12"/>
        <v>46290</v>
      </c>
      <c r="B798" s="140" t="s">
        <v>1644</v>
      </c>
      <c r="C798" s="145" t="str">
        <f>'Market II_BS FI'!O66</f>
        <v>gap</v>
      </c>
      <c r="D798" s="139" t="s">
        <v>1293</v>
      </c>
      <c r="E798" s="139" t="s">
        <v>1321</v>
      </c>
      <c r="F798" s="139" t="s">
        <v>1645</v>
      </c>
    </row>
    <row r="799" spans="1:6" outlineLevel="1">
      <c r="A799" s="153">
        <f t="shared" si="12"/>
        <v>46290</v>
      </c>
      <c r="B799" s="140" t="s">
        <v>1646</v>
      </c>
      <c r="C799" s="145" t="str">
        <f>'Market II_BS FI'!A66</f>
        <v>1</v>
      </c>
      <c r="D799" s="139" t="s">
        <v>1293</v>
      </c>
      <c r="E799" s="139" t="s">
        <v>1321</v>
      </c>
      <c r="F799" s="139" t="s">
        <v>1645</v>
      </c>
    </row>
    <row r="800" spans="1:6" outlineLevel="1">
      <c r="A800" s="153">
        <f t="shared" si="12"/>
        <v>46290</v>
      </c>
      <c r="B800" s="140" t="s">
        <v>1647</v>
      </c>
      <c r="C800" s="145" t="str">
        <f>SUBSTITUTE('Market II_BS FI'!B66,CHAR(10),"&lt;br&gt;")</f>
        <v>Repricing GAP_lũy kế (theo kỳ Tái định giá lãi suất)</v>
      </c>
      <c r="D800" s="139" t="s">
        <v>1293</v>
      </c>
      <c r="E800" s="139" t="s">
        <v>1321</v>
      </c>
      <c r="F800" s="139" t="s">
        <v>1645</v>
      </c>
    </row>
    <row r="801" spans="1:6" outlineLevel="1">
      <c r="A801" s="153">
        <f t="shared" si="12"/>
        <v>46290</v>
      </c>
      <c r="B801" s="140" t="s">
        <v>1648</v>
      </c>
      <c r="C801" s="145" t="str">
        <f>'Market II_BS FI'!C66</f>
        <v>-10.1</v>
      </c>
      <c r="D801" s="139" t="s">
        <v>1293</v>
      </c>
      <c r="E801" s="139" t="s">
        <v>1321</v>
      </c>
      <c r="F801" s="139" t="s">
        <v>1645</v>
      </c>
    </row>
    <row r="802" spans="1:6" outlineLevel="1">
      <c r="A802" s="153">
        <f t="shared" si="12"/>
        <v>46290</v>
      </c>
      <c r="B802" s="140" t="s">
        <v>1649</v>
      </c>
      <c r="C802" s="145">
        <f>'Market II_BS FI'!D66</f>
        <v>0</v>
      </c>
      <c r="D802" s="139" t="s">
        <v>1293</v>
      </c>
      <c r="E802" s="139" t="s">
        <v>1321</v>
      </c>
      <c r="F802" s="139" t="s">
        <v>1645</v>
      </c>
    </row>
    <row r="803" spans="1:6" outlineLevel="1">
      <c r="A803" s="153">
        <f t="shared" si="12"/>
        <v>46290</v>
      </c>
      <c r="B803" s="140" t="s">
        <v>1650</v>
      </c>
      <c r="C803" s="145" t="str">
        <f>'Market II_BS FI'!E66</f>
        <v>-0.3</v>
      </c>
      <c r="D803" s="139" t="s">
        <v>1293</v>
      </c>
      <c r="E803" s="139" t="s">
        <v>1321</v>
      </c>
      <c r="F803" s="139" t="s">
        <v>1645</v>
      </c>
    </row>
    <row r="804" spans="1:6" outlineLevel="1">
      <c r="A804" s="153">
        <f t="shared" si="12"/>
        <v>46290</v>
      </c>
      <c r="B804" s="140" t="s">
        <v>1651</v>
      </c>
      <c r="C804" s="145" t="str">
        <f>'Market II_BS FI'!F66</f>
        <v>-5.6</v>
      </c>
      <c r="D804" s="139" t="s">
        <v>1293</v>
      </c>
      <c r="E804" s="139" t="s">
        <v>1321</v>
      </c>
      <c r="F804" s="139" t="s">
        <v>1645</v>
      </c>
    </row>
    <row r="805" spans="1:6" outlineLevel="1">
      <c r="A805" s="153">
        <f t="shared" si="12"/>
        <v>46290</v>
      </c>
      <c r="B805" s="140" t="s">
        <v>1652</v>
      </c>
      <c r="C805" s="145" t="str">
        <f>'Market II_BS FI'!G66</f>
        <v>6.7</v>
      </c>
      <c r="D805" s="139" t="s">
        <v>1293</v>
      </c>
      <c r="E805" s="139" t="s">
        <v>1321</v>
      </c>
      <c r="F805" s="139" t="s">
        <v>1645</v>
      </c>
    </row>
    <row r="806" spans="1:6" outlineLevel="1">
      <c r="A806" s="153">
        <f t="shared" si="12"/>
        <v>46290</v>
      </c>
      <c r="B806" s="140" t="s">
        <v>1653</v>
      </c>
      <c r="C806" s="145" t="str">
        <f>'Market II_BS FI'!H66</f>
        <v>-10.1</v>
      </c>
      <c r="D806" s="139" t="s">
        <v>1293</v>
      </c>
      <c r="E806" s="139" t="s">
        <v>1321</v>
      </c>
      <c r="F806" s="139" t="s">
        <v>1645</v>
      </c>
    </row>
    <row r="807" spans="1:6" outlineLevel="1">
      <c r="A807" s="153">
        <f t="shared" si="12"/>
        <v>46290</v>
      </c>
      <c r="B807" s="140" t="s">
        <v>1654</v>
      </c>
      <c r="C807" s="145" t="str">
        <f>'Market II_BS FI'!I66</f>
        <v>-25.5</v>
      </c>
      <c r="D807" s="139" t="s">
        <v>1293</v>
      </c>
      <c r="E807" s="139" t="s">
        <v>1321</v>
      </c>
      <c r="F807" s="139" t="s">
        <v>1645</v>
      </c>
    </row>
    <row r="808" spans="1:6" outlineLevel="1">
      <c r="A808" s="153">
        <f t="shared" si="12"/>
        <v>46290</v>
      </c>
      <c r="B808" s="140" t="s">
        <v>1655</v>
      </c>
      <c r="C808" s="145" t="str">
        <f>'Market II_BS FI'!J66</f>
        <v>-27.3</v>
      </c>
      <c r="D808" s="139" t="s">
        <v>1293</v>
      </c>
      <c r="E808" s="139" t="s">
        <v>1321</v>
      </c>
      <c r="F808" s="139" t="s">
        <v>1645</v>
      </c>
    </row>
    <row r="809" spans="1:6" outlineLevel="1">
      <c r="A809" s="153">
        <f t="shared" si="12"/>
        <v>46290</v>
      </c>
      <c r="B809" s="140" t="s">
        <v>1656</v>
      </c>
      <c r="C809" s="145" t="str">
        <f>'Market II_BS FI'!K66</f>
        <v>-2.6</v>
      </c>
      <c r="D809" s="139" t="s">
        <v>1293</v>
      </c>
      <c r="E809" s="139" t="s">
        <v>1321</v>
      </c>
      <c r="F809" s="139" t="s">
        <v>1645</v>
      </c>
    </row>
    <row r="810" spans="1:6" outlineLevel="1">
      <c r="A810" s="153">
        <f t="shared" si="12"/>
        <v>46290</v>
      </c>
      <c r="B810" s="140" t="s">
        <v>1657</v>
      </c>
      <c r="C810" s="145" t="str">
        <f>'Market II_BS FI'!L66</f>
        <v>0</v>
      </c>
      <c r="D810" s="139" t="s">
        <v>1293</v>
      </c>
      <c r="E810" s="139" t="s">
        <v>1321</v>
      </c>
      <c r="F810" s="139" t="s">
        <v>1645</v>
      </c>
    </row>
    <row r="811" spans="1:6" outlineLevel="1">
      <c r="A811" s="153">
        <f t="shared" si="12"/>
        <v>46290</v>
      </c>
      <c r="B811" s="140" t="s">
        <v>1658</v>
      </c>
      <c r="C811" s="145">
        <f>'Market II_BS FI'!M66</f>
        <v>0</v>
      </c>
      <c r="D811" s="139" t="s">
        <v>1293</v>
      </c>
      <c r="E811" s="139" t="s">
        <v>1321</v>
      </c>
      <c r="F811" s="139" t="s">
        <v>1645</v>
      </c>
    </row>
    <row r="812" spans="1:6" outlineLevel="1">
      <c r="A812" s="153">
        <f t="shared" si="12"/>
        <v>46290</v>
      </c>
      <c r="B812" s="140" t="s">
        <v>1659</v>
      </c>
      <c r="C812" s="145" t="str">
        <f>'Market II_BS FI'!N66</f>
        <v>Updating…</v>
      </c>
      <c r="D812" s="139" t="s">
        <v>1293</v>
      </c>
      <c r="E812" s="139" t="s">
        <v>1321</v>
      </c>
      <c r="F812" s="139" t="s">
        <v>1645</v>
      </c>
    </row>
    <row r="813" spans="1:6" outlineLevel="1">
      <c r="A813" s="153">
        <f t="shared" si="12"/>
        <v>46290</v>
      </c>
      <c r="B813" s="140" t="s">
        <v>1660</v>
      </c>
      <c r="C813" s="145" t="str">
        <f>'Market II_BS FI'!O67</f>
        <v>gap</v>
      </c>
      <c r="D813" s="139" t="s">
        <v>1293</v>
      </c>
      <c r="E813" s="139" t="s">
        <v>1321</v>
      </c>
      <c r="F813" s="139" t="s">
        <v>1661</v>
      </c>
    </row>
    <row r="814" spans="1:6" outlineLevel="1">
      <c r="A814" s="153">
        <f t="shared" si="12"/>
        <v>46290</v>
      </c>
      <c r="B814" s="140" t="s">
        <v>1662</v>
      </c>
      <c r="C814" s="145" t="str">
        <f>'Market II_BS FI'!A67</f>
        <v>2</v>
      </c>
      <c r="D814" s="139" t="s">
        <v>1293</v>
      </c>
      <c r="E814" s="139" t="s">
        <v>1321</v>
      </c>
      <c r="F814" s="139" t="s">
        <v>1661</v>
      </c>
    </row>
    <row r="815" spans="1:6" outlineLevel="1">
      <c r="A815" s="153">
        <f t="shared" si="12"/>
        <v>46290</v>
      </c>
      <c r="B815" s="140" t="s">
        <v>1663</v>
      </c>
      <c r="C815" s="145" t="str">
        <f>SUBSTITUTE('Market II_BS FI'!B67,CHAR(10),"&lt;br&gt;")</f>
        <v>Biến động NII nếu ls thay đổi 2% trong 3M tới (tỷ VND)</v>
      </c>
      <c r="D815" s="139" t="s">
        <v>1293</v>
      </c>
      <c r="E815" s="139" t="s">
        <v>1321</v>
      </c>
      <c r="F815" s="139" t="s">
        <v>1661</v>
      </c>
    </row>
    <row r="816" spans="1:6" outlineLevel="1">
      <c r="A816" s="153">
        <f t="shared" si="12"/>
        <v>46290</v>
      </c>
      <c r="B816" s="140" t="s">
        <v>1664</v>
      </c>
      <c r="C816" s="145" t="str">
        <f>'Market II_BS FI'!C67</f>
        <v>-67.8</v>
      </c>
      <c r="D816" s="139" t="s">
        <v>1293</v>
      </c>
      <c r="E816" s="139" t="s">
        <v>1321</v>
      </c>
      <c r="F816" s="139" t="s">
        <v>1661</v>
      </c>
    </row>
    <row r="817" spans="1:6" outlineLevel="1">
      <c r="A817" s="153">
        <f t="shared" si="12"/>
        <v>46290</v>
      </c>
      <c r="B817" s="140" t="s">
        <v>1665</v>
      </c>
      <c r="C817" s="145">
        <f>'Market II_BS FI'!D67</f>
        <v>0</v>
      </c>
      <c r="D817" s="139" t="s">
        <v>1293</v>
      </c>
      <c r="E817" s="139" t="s">
        <v>1321</v>
      </c>
      <c r="F817" s="139" t="s">
        <v>1661</v>
      </c>
    </row>
    <row r="818" spans="1:6" outlineLevel="1">
      <c r="A818" s="153">
        <f t="shared" si="12"/>
        <v>46290</v>
      </c>
      <c r="B818" s="140" t="s">
        <v>1666</v>
      </c>
      <c r="C818" s="145" t="str">
        <f>'Market II_BS FI'!E67</f>
        <v>-1.1</v>
      </c>
      <c r="D818" s="139" t="s">
        <v>1293</v>
      </c>
      <c r="E818" s="139" t="s">
        <v>1321</v>
      </c>
      <c r="F818" s="139" t="s">
        <v>1661</v>
      </c>
    </row>
    <row r="819" spans="1:6" outlineLevel="1">
      <c r="A819" s="153">
        <f t="shared" si="12"/>
        <v>46290</v>
      </c>
      <c r="B819" s="140" t="s">
        <v>1667</v>
      </c>
      <c r="C819" s="145" t="str">
        <f>'Market II_BS FI'!F67</f>
        <v>-27</v>
      </c>
      <c r="D819" s="139" t="s">
        <v>1293</v>
      </c>
      <c r="E819" s="139" t="s">
        <v>1321</v>
      </c>
      <c r="F819" s="139" t="s">
        <v>1661</v>
      </c>
    </row>
    <row r="820" spans="1:6" outlineLevel="1">
      <c r="A820" s="153">
        <f t="shared" si="12"/>
        <v>46290</v>
      </c>
      <c r="B820" s="140" t="s">
        <v>1668</v>
      </c>
      <c r="C820" s="145" t="str">
        <f>'Market II_BS FI'!G67</f>
        <v>34.3</v>
      </c>
      <c r="D820" s="139" t="s">
        <v>1293</v>
      </c>
      <c r="E820" s="139" t="s">
        <v>1321</v>
      </c>
      <c r="F820" s="139" t="s">
        <v>1661</v>
      </c>
    </row>
    <row r="821" spans="1:6" outlineLevel="1">
      <c r="A821" s="153">
        <f t="shared" si="12"/>
        <v>46290</v>
      </c>
      <c r="B821" s="140" t="s">
        <v>1669</v>
      </c>
      <c r="C821" s="145" t="str">
        <f>'Market II_BS FI'!H67</f>
        <v>-42.2</v>
      </c>
      <c r="D821" s="139" t="s">
        <v>1293</v>
      </c>
      <c r="E821" s="139" t="s">
        <v>1321</v>
      </c>
      <c r="F821" s="139" t="s">
        <v>1661</v>
      </c>
    </row>
    <row r="822" spans="1:6" outlineLevel="1">
      <c r="A822" s="153">
        <f t="shared" si="12"/>
        <v>46290</v>
      </c>
      <c r="B822" s="140" t="s">
        <v>1670</v>
      </c>
      <c r="C822" s="145" t="str">
        <f>'Market II_BS FI'!I67</f>
        <v>-25.6</v>
      </c>
      <c r="D822" s="139" t="s">
        <v>1293</v>
      </c>
      <c r="E822" s="139" t="s">
        <v>1321</v>
      </c>
      <c r="F822" s="139" t="s">
        <v>1661</v>
      </c>
    </row>
    <row r="823" spans="1:6" outlineLevel="1">
      <c r="A823" s="153">
        <f t="shared" si="12"/>
        <v>46290</v>
      </c>
      <c r="B823" s="140" t="s">
        <v>1671</v>
      </c>
      <c r="C823" s="145" t="str">
        <f>'Market II_BS FI'!J67</f>
        <v>0</v>
      </c>
      <c r="D823" s="139" t="s">
        <v>1293</v>
      </c>
      <c r="E823" s="139" t="s">
        <v>1321</v>
      </c>
      <c r="F823" s="139" t="s">
        <v>1661</v>
      </c>
    </row>
    <row r="824" spans="1:6" outlineLevel="1">
      <c r="A824" s="153">
        <f t="shared" si="12"/>
        <v>46290</v>
      </c>
      <c r="B824" s="140" t="s">
        <v>1672</v>
      </c>
      <c r="C824" s="145" t="str">
        <f>'Market II_BS FI'!K67</f>
        <v>0</v>
      </c>
      <c r="D824" s="139" t="s">
        <v>1293</v>
      </c>
      <c r="E824" s="139" t="s">
        <v>1321</v>
      </c>
      <c r="F824" s="139" t="s">
        <v>1661</v>
      </c>
    </row>
    <row r="825" spans="1:6" outlineLevel="1">
      <c r="A825" s="153">
        <f t="shared" si="12"/>
        <v>46290</v>
      </c>
      <c r="B825" s="140" t="s">
        <v>1673</v>
      </c>
      <c r="C825" s="145" t="str">
        <f>'Market II_BS FI'!L67</f>
        <v>0</v>
      </c>
      <c r="D825" s="139" t="s">
        <v>1293</v>
      </c>
      <c r="E825" s="139" t="s">
        <v>1321</v>
      </c>
      <c r="F825" s="139" t="s">
        <v>1661</v>
      </c>
    </row>
    <row r="826" spans="1:6" outlineLevel="1">
      <c r="A826" s="153">
        <f t="shared" si="12"/>
        <v>46290</v>
      </c>
      <c r="B826" s="140" t="s">
        <v>1674</v>
      </c>
      <c r="C826" s="145">
        <f>'Market II_BS FI'!M67</f>
        <v>0</v>
      </c>
      <c r="D826" s="139" t="s">
        <v>1293</v>
      </c>
      <c r="E826" s="139" t="s">
        <v>1321</v>
      </c>
      <c r="F826" s="139" t="s">
        <v>1661</v>
      </c>
    </row>
    <row r="827" spans="1:6" outlineLevel="1">
      <c r="A827" s="153">
        <f t="shared" si="12"/>
        <v>46290</v>
      </c>
      <c r="B827" s="140" t="s">
        <v>1675</v>
      </c>
      <c r="C827" s="145" t="str">
        <f>'Market II_BS FI'!N67</f>
        <v>Updating…</v>
      </c>
      <c r="D827" s="139" t="s">
        <v>1293</v>
      </c>
      <c r="E827" s="139" t="s">
        <v>1321</v>
      </c>
      <c r="F827" s="139" t="s">
        <v>1661</v>
      </c>
    </row>
    <row r="828" spans="1:6" outlineLevel="1">
      <c r="A828" s="153">
        <f t="shared" si="12"/>
        <v>46290</v>
      </c>
      <c r="B828" s="140" t="s">
        <v>1676</v>
      </c>
      <c r="C828" s="145" t="str">
        <f>'Market II_BS FI'!O68</f>
        <v>gap</v>
      </c>
      <c r="D828" s="139" t="s">
        <v>1293</v>
      </c>
      <c r="E828" s="139" t="s">
        <v>1321</v>
      </c>
      <c r="F828" s="139" t="s">
        <v>1677</v>
      </c>
    </row>
    <row r="829" spans="1:6" outlineLevel="1">
      <c r="A829" s="153">
        <f t="shared" si="12"/>
        <v>46290</v>
      </c>
      <c r="B829" s="140" t="s">
        <v>1678</v>
      </c>
      <c r="C829" s="145" t="str">
        <f>'Market II_BS FI'!A68</f>
        <v>3</v>
      </c>
      <c r="D829" s="139" t="s">
        <v>1293</v>
      </c>
      <c r="E829" s="139" t="s">
        <v>1321</v>
      </c>
      <c r="F829" s="139" t="s">
        <v>1677</v>
      </c>
    </row>
    <row r="830" spans="1:6" outlineLevel="1">
      <c r="A830" s="153">
        <f t="shared" si="12"/>
        <v>46290</v>
      </c>
      <c r="B830" s="140" t="s">
        <v>1679</v>
      </c>
      <c r="C830" s="145" t="str">
        <f>SUBSTITUTE('Market II_BS FI'!B68,CHAR(10),"&lt;br&gt;")</f>
        <v>Biến động NII nếu ls thay đổi 2% trong 6M tới (tỷ VND)</v>
      </c>
      <c r="D830" s="139" t="s">
        <v>1293</v>
      </c>
      <c r="E830" s="139" t="s">
        <v>1321</v>
      </c>
      <c r="F830" s="139" t="s">
        <v>1677</v>
      </c>
    </row>
    <row r="831" spans="1:6" outlineLevel="1">
      <c r="A831" s="153">
        <f t="shared" si="12"/>
        <v>46290</v>
      </c>
      <c r="B831" s="140" t="s">
        <v>1680</v>
      </c>
      <c r="C831" s="145" t="str">
        <f>'Market II_BS FI'!C68</f>
        <v>-201.3</v>
      </c>
      <c r="D831" s="139" t="s">
        <v>1293</v>
      </c>
      <c r="E831" s="139" t="s">
        <v>1321</v>
      </c>
      <c r="F831" s="139" t="s">
        <v>1677</v>
      </c>
    </row>
    <row r="832" spans="1:6" outlineLevel="1">
      <c r="A832" s="153">
        <f t="shared" si="12"/>
        <v>46290</v>
      </c>
      <c r="B832" s="140" t="s">
        <v>1681</v>
      </c>
      <c r="C832" s="145">
        <f>'Market II_BS FI'!D68</f>
        <v>0</v>
      </c>
      <c r="D832" s="139" t="s">
        <v>1293</v>
      </c>
      <c r="E832" s="139" t="s">
        <v>1321</v>
      </c>
      <c r="F832" s="139" t="s">
        <v>1677</v>
      </c>
    </row>
    <row r="833" spans="1:6" outlineLevel="1">
      <c r="A833" s="153">
        <f t="shared" si="12"/>
        <v>46290</v>
      </c>
      <c r="B833" s="140" t="s">
        <v>1682</v>
      </c>
      <c r="C833" s="145" t="str">
        <f>'Market II_BS FI'!E68</f>
        <v>-2.5</v>
      </c>
      <c r="D833" s="139" t="s">
        <v>1293</v>
      </c>
      <c r="E833" s="139" t="s">
        <v>1321</v>
      </c>
      <c r="F833" s="139" t="s">
        <v>1677</v>
      </c>
    </row>
    <row r="834" spans="1:6" outlineLevel="1">
      <c r="A834" s="153">
        <f t="shared" ref="A834:A848" si="13">RPT</f>
        <v>46290</v>
      </c>
      <c r="B834" s="140" t="s">
        <v>1683</v>
      </c>
      <c r="C834" s="145" t="str">
        <f>'Market II_BS FI'!F68</f>
        <v>-64</v>
      </c>
      <c r="D834" s="139" t="s">
        <v>1293</v>
      </c>
      <c r="E834" s="139" t="s">
        <v>1321</v>
      </c>
      <c r="F834" s="139" t="s">
        <v>1677</v>
      </c>
    </row>
    <row r="835" spans="1:6" outlineLevel="1">
      <c r="A835" s="153">
        <f t="shared" si="13"/>
        <v>46290</v>
      </c>
      <c r="B835" s="140" t="s">
        <v>1684</v>
      </c>
      <c r="C835" s="145" t="str">
        <f>'Market II_BS FI'!G68</f>
        <v>2.1</v>
      </c>
      <c r="D835" s="139" t="s">
        <v>1293</v>
      </c>
      <c r="E835" s="139" t="s">
        <v>1321</v>
      </c>
      <c r="F835" s="139" t="s">
        <v>1677</v>
      </c>
    </row>
    <row r="836" spans="1:6" outlineLevel="1">
      <c r="A836" s="153">
        <f t="shared" si="13"/>
        <v>46290</v>
      </c>
      <c r="B836" s="140" t="s">
        <v>1685</v>
      </c>
      <c r="C836" s="145" t="str">
        <f>'Market II_BS FI'!H68</f>
        <v>-92.9</v>
      </c>
      <c r="D836" s="139" t="s">
        <v>1293</v>
      </c>
      <c r="E836" s="139" t="s">
        <v>1321</v>
      </c>
      <c r="F836" s="139" t="s">
        <v>1677</v>
      </c>
    </row>
    <row r="837" spans="1:6" outlineLevel="1">
      <c r="A837" s="153">
        <f t="shared" si="13"/>
        <v>46290</v>
      </c>
      <c r="B837" s="140" t="s">
        <v>1686</v>
      </c>
      <c r="C837" s="145" t="str">
        <f>'Market II_BS FI'!I68</f>
        <v>-102.4</v>
      </c>
      <c r="D837" s="139" t="s">
        <v>1293</v>
      </c>
      <c r="E837" s="139" t="s">
        <v>1321</v>
      </c>
      <c r="F837" s="139" t="s">
        <v>1677</v>
      </c>
    </row>
    <row r="838" spans="1:6" outlineLevel="1">
      <c r="A838" s="153">
        <f t="shared" si="13"/>
        <v>46290</v>
      </c>
      <c r="B838" s="140" t="s">
        <v>1687</v>
      </c>
      <c r="C838" s="145" t="str">
        <f>'Market II_BS FI'!J68</f>
        <v>-6</v>
      </c>
      <c r="D838" s="139" t="s">
        <v>1293</v>
      </c>
      <c r="E838" s="139" t="s">
        <v>1321</v>
      </c>
      <c r="F838" s="139" t="s">
        <v>1677</v>
      </c>
    </row>
    <row r="839" spans="1:6" outlineLevel="1">
      <c r="A839" s="153">
        <f t="shared" si="13"/>
        <v>46290</v>
      </c>
      <c r="B839" s="140" t="s">
        <v>1688</v>
      </c>
      <c r="C839" s="145" t="str">
        <f>'Market II_BS FI'!K68</f>
        <v>0</v>
      </c>
      <c r="D839" s="139" t="s">
        <v>1293</v>
      </c>
      <c r="E839" s="139" t="s">
        <v>1321</v>
      </c>
      <c r="F839" s="139" t="s">
        <v>1677</v>
      </c>
    </row>
    <row r="840" spans="1:6" outlineLevel="1">
      <c r="A840" s="153">
        <f t="shared" si="13"/>
        <v>46290</v>
      </c>
      <c r="B840" s="140" t="s">
        <v>1689</v>
      </c>
      <c r="C840" s="145" t="str">
        <f>'Market II_BS FI'!L68</f>
        <v>0</v>
      </c>
      <c r="D840" s="139" t="s">
        <v>1293</v>
      </c>
      <c r="E840" s="139" t="s">
        <v>1321</v>
      </c>
      <c r="F840" s="139" t="s">
        <v>1677</v>
      </c>
    </row>
    <row r="841" spans="1:6" outlineLevel="1">
      <c r="A841" s="153">
        <f t="shared" si="13"/>
        <v>46290</v>
      </c>
      <c r="B841" s="140" t="s">
        <v>1690</v>
      </c>
      <c r="C841" s="145">
        <f>'Market II_BS FI'!M68</f>
        <v>0</v>
      </c>
      <c r="D841" s="139" t="s">
        <v>1293</v>
      </c>
      <c r="E841" s="139" t="s">
        <v>1321</v>
      </c>
      <c r="F841" s="139" t="s">
        <v>1677</v>
      </c>
    </row>
    <row r="842" spans="1:6" outlineLevel="1">
      <c r="A842" s="153">
        <f t="shared" si="13"/>
        <v>46290</v>
      </c>
      <c r="B842" s="140" t="s">
        <v>1691</v>
      </c>
      <c r="C842" s="145" t="str">
        <f>'Market II_BS FI'!N68</f>
        <v>Updating…</v>
      </c>
      <c r="D842" s="139" t="s">
        <v>1293</v>
      </c>
      <c r="E842" s="139" t="s">
        <v>1321</v>
      </c>
      <c r="F842" s="139" t="s">
        <v>1677</v>
      </c>
    </row>
    <row r="843" spans="1:6" outlineLevel="1">
      <c r="A843" s="153">
        <f t="shared" si="13"/>
        <v>46290</v>
      </c>
      <c r="B843" s="140" t="s">
        <v>1087</v>
      </c>
    </row>
    <row r="844" spans="1:6" s="387" customFormat="1">
      <c r="A844" s="386">
        <f t="shared" si="13"/>
        <v>46290</v>
      </c>
      <c r="B844" s="142" t="s">
        <v>124</v>
      </c>
      <c r="C844" s="142" t="s">
        <v>106</v>
      </c>
      <c r="D844" s="142" t="s">
        <v>2316</v>
      </c>
      <c r="E844" s="142" t="s">
        <v>910</v>
      </c>
      <c r="F844" s="142" t="s">
        <v>164</v>
      </c>
    </row>
    <row r="845" spans="1:6" outlineLevel="1">
      <c r="A845" s="153">
        <f t="shared" si="13"/>
        <v>46290</v>
      </c>
      <c r="B845" s="140" t="s">
        <v>1692</v>
      </c>
      <c r="C845" s="145" t="str">
        <f>'Import module'!B2</f>
        <v>Import Data</v>
      </c>
      <c r="D845" s="139" t="s">
        <v>1693</v>
      </c>
      <c r="E845" s="139" t="s">
        <v>1071</v>
      </c>
      <c r="F845" s="139" t="s">
        <v>1694</v>
      </c>
    </row>
    <row r="846" spans="1:6" outlineLevel="1">
      <c r="A846" s="153">
        <f t="shared" si="13"/>
        <v>46290</v>
      </c>
      <c r="B846" s="140" t="s">
        <v>1695</v>
      </c>
      <c r="C846" s="145" t="str">
        <f>'Import module'!B3</f>
        <v>Module dành cho Report Maker cập nhật dữ liệu đầu vào và đồng bộ lên giao diện báo cáo.</v>
      </c>
      <c r="D846" s="139" t="s">
        <v>1693</v>
      </c>
      <c r="E846" s="139" t="s">
        <v>1071</v>
      </c>
      <c r="F846" s="139" t="s">
        <v>1696</v>
      </c>
    </row>
    <row r="847" spans="1:6" outlineLevel="1">
      <c r="A847" s="153">
        <f t="shared" si="13"/>
        <v>46290</v>
      </c>
      <c r="B847" s="140" t="s">
        <v>1697</v>
      </c>
      <c r="C847" s="145" t="str">
        <f>'Import module'!B4</f>
        <v>Report Maker</v>
      </c>
      <c r="D847" s="139" t="s">
        <v>1693</v>
      </c>
      <c r="E847" s="139" t="s">
        <v>1071</v>
      </c>
      <c r="F847" s="139" t="s">
        <v>1698</v>
      </c>
    </row>
    <row r="848" spans="1:6" outlineLevel="1">
      <c r="A848" s="153">
        <f t="shared" si="13"/>
        <v>46290</v>
      </c>
      <c r="B848" s="140" t="s">
        <v>1699</v>
      </c>
      <c r="C848" s="145" t="str">
        <f>'Import module'!B5</f>
        <v>7. Data Import - Cập nhật số liệu báo cáo</v>
      </c>
      <c r="D848" s="139" t="s">
        <v>1693</v>
      </c>
      <c r="E848" s="139" t="s">
        <v>1071</v>
      </c>
      <c r="F848" s="139" t="s">
        <v>1700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C2F7-754D-4E89-8A6C-B980A5D57D8C}">
  <sheetPr codeName="Sheet6">
    <tabColor theme="8" tint="0.39997558519241921"/>
  </sheetPr>
  <dimension ref="A1"/>
  <sheetViews>
    <sheetView workbookViewId="0">
      <selection activeCell="N30" sqref="N30"/>
    </sheetView>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G26"/>
  <sheetViews>
    <sheetView workbookViewId="0">
      <pane ySplit="2" topLeftCell="A3" activePane="bottomLeft" state="frozen"/>
      <selection pane="bottomLeft" activeCell="I20" sqref="I20"/>
    </sheetView>
  </sheetViews>
  <sheetFormatPr defaultRowHeight="14.4"/>
  <cols>
    <col min="1" max="1" width="5.59765625" customWidth="1"/>
    <col min="2" max="2" width="11.59765625" customWidth="1"/>
    <col min="3" max="3" width="23.8984375" customWidth="1"/>
    <col min="4" max="4" width="35.3984375" style="11" customWidth="1"/>
    <col min="5" max="5" width="52.59765625" bestFit="1" customWidth="1"/>
    <col min="6" max="6" width="16.69921875" bestFit="1" customWidth="1"/>
  </cols>
  <sheetData>
    <row r="1" spans="1:7">
      <c r="A1" s="5" t="s">
        <v>46</v>
      </c>
    </row>
    <row r="2" spans="1:7">
      <c r="A2" s="24" t="s">
        <v>8</v>
      </c>
      <c r="B2" s="24" t="s">
        <v>35</v>
      </c>
      <c r="C2" s="105" t="s">
        <v>36</v>
      </c>
      <c r="D2" s="24" t="s">
        <v>9</v>
      </c>
      <c r="E2" s="24" t="s">
        <v>10</v>
      </c>
      <c r="F2" s="24" t="s">
        <v>43</v>
      </c>
    </row>
    <row r="3" spans="1:7">
      <c r="A3">
        <v>1</v>
      </c>
      <c r="B3" t="s">
        <v>33</v>
      </c>
      <c r="C3" s="104" t="s">
        <v>829</v>
      </c>
      <c r="D3" s="8" t="str">
        <f>C3&amp;TEXT(Lastyear,"'yyyy-m-d'")&amp;"order by RptDate desc"</f>
        <v>select RptDate, Indicators, Class,Tenor_Value,Actual
from GS_RRTT.dbo.Bond_Trading_Historical a
where Indicators like '%Trang thai mo' 
and Tenor_Value = '' and Class = 'All' and Input_data = 'Spot'
and Rptdate &gt;='2024-12-31'order by RptDate desc</v>
      </c>
      <c r="E3" t="s">
        <v>37</v>
      </c>
      <c r="F3" t="s">
        <v>816</v>
      </c>
      <c r="G3" s="11"/>
    </row>
    <row r="4" spans="1:7">
      <c r="A4">
        <v>2</v>
      </c>
      <c r="B4" t="s">
        <v>33</v>
      </c>
      <c r="C4" t="s">
        <v>1973</v>
      </c>
      <c r="D4" s="8" t="str">
        <f>C4&amp;TEXT(Lastyear,"'yyyy-m-d'")&amp;"order by RptDate desc"</f>
        <v>select RptDate, Indicators,Class, Tenor_Value,Actual 
from GS_RRTT.dbo.Bond_Banking_Historical a
where Indicators like '%Trang thai mo' and Rpt_Grp = ''
and Input_data = 'Spot' and Tenor_Value = '' and Class = 'All' 
and Rptdate &gt;='2024-12-31'order by RptDate desc</v>
      </c>
      <c r="E4" t="s">
        <v>38</v>
      </c>
      <c r="F4" t="s">
        <v>817</v>
      </c>
    </row>
    <row r="5" spans="1:7">
      <c r="A5">
        <v>3</v>
      </c>
      <c r="B5" t="s">
        <v>33</v>
      </c>
      <c r="C5" t="s">
        <v>830</v>
      </c>
      <c r="D5" s="8" t="str">
        <f>C5&amp;TEXT(Lastmonth,"'yyyy-m-d'")&amp;"order by RptDate desc"</f>
        <v>select RptDate, Indicators, Tenor_Value,Actual
from GS_RRTT.dbo.Bond_Trading_Historical a
where Indicators = 'PV01' 
and Tenor_Value = '' 
and Class = 'All'
and Input_data = 'Spot'
and Rptdate &gt;='2026-8-28'order by RptDate desc</v>
      </c>
      <c r="E5" t="s">
        <v>39</v>
      </c>
      <c r="F5" t="s">
        <v>818</v>
      </c>
    </row>
    <row r="6" spans="1:7">
      <c r="A6">
        <v>4</v>
      </c>
      <c r="B6" t="s">
        <v>33</v>
      </c>
      <c r="C6" t="s">
        <v>831</v>
      </c>
      <c r="D6" s="8" t="str">
        <f>C6&amp;TEXT(Lastmonth,"'yyyy-m-d'")&amp;"order by RptDate desc"</f>
        <v>select RptDate,Indicators,Tenor_Value, Rpt_Grp,Actual
from GS_RRTT.dbo.Bond_Banking_Historical
where  Indicators = 'PV01' 
and Tenor_Value = '' 
and Class = 'All'
and Input_data = 'Spot'
and Rptdate &gt;='2026-8-28'order by RptDate desc</v>
      </c>
      <c r="E6" t="s">
        <v>40</v>
      </c>
      <c r="F6" t="s">
        <v>819</v>
      </c>
    </row>
    <row r="7" spans="1:7">
      <c r="A7">
        <v>5</v>
      </c>
      <c r="B7" t="s">
        <v>33</v>
      </c>
      <c r="C7" t="s">
        <v>832</v>
      </c>
      <c r="D7" s="8" t="str">
        <f>C7&amp;TEXT(Lastmonth,"'yyyy-m-d'")&amp;"order by RptDate desc"</f>
        <v xml:space="preserve"> select RptDate, Indicators,Tenor_Value, Actual
from GS_RRTT.dbo.Bond_Trading_Historical a
where Indicators = 'Unrealized_ItD_MtM_PnL' 
and Tenor_Value = '' 
and Class = 'All'
and Input_data = 'Spot'
and Rptdate &gt;='2026-8-28'order by RptDate desc</v>
      </c>
      <c r="E7" t="s">
        <v>41</v>
      </c>
      <c r="F7" t="s">
        <v>820</v>
      </c>
    </row>
    <row r="8" spans="1:7">
      <c r="A8">
        <v>6</v>
      </c>
      <c r="B8" t="s">
        <v>33</v>
      </c>
      <c r="C8" t="s">
        <v>833</v>
      </c>
      <c r="D8" s="8" t="str">
        <f>C8&amp;TEXT(Lastmonth,"'yyyy-m-d'")&amp;"order by RptDate desc"</f>
        <v xml:space="preserve"> select RptDate, Indicators,Tenor_Value, Actual
from GS_RRTT.dbo.Bond_Banking_Historical a
where Indicators = 'ItD Unrealized PnL' 
and Tenor_Value = '' 
and Class = 'All'
and Input_data = 'Spot'
and Rptdate &gt;='2026-8-28'order by RptDate desc</v>
      </c>
      <c r="E8" t="s">
        <v>42</v>
      </c>
      <c r="F8" t="s">
        <v>821</v>
      </c>
    </row>
    <row r="9" spans="1:7">
      <c r="A9">
        <v>7</v>
      </c>
      <c r="B9" t="s">
        <v>33</v>
      </c>
      <c r="C9" t="s">
        <v>811</v>
      </c>
      <c r="D9" s="8" t="str">
        <f>C9&amp;TEXT(Lastyear,"'yyyy-m-d'")&amp;"order by RptDate desc"</f>
        <v>select RptDate,Indicators,Input_data,Class,Actual from GS_RRTT.dbo.Bond_Trading_Historical
where Indicators in ('ON BS','OFF BS','NGOAI BS','YTM_ON BS')
and Rptdate &gt;='2024-12-31'order by RptDate desc</v>
      </c>
      <c r="E9" t="s">
        <v>55</v>
      </c>
      <c r="F9" t="s">
        <v>822</v>
      </c>
    </row>
    <row r="10" spans="1:7">
      <c r="A10">
        <v>8</v>
      </c>
      <c r="B10" t="s">
        <v>33</v>
      </c>
      <c r="C10" t="s">
        <v>812</v>
      </c>
      <c r="D10" s="8" t="str">
        <f>C10&amp;TEXT(Lastyear,"'yyyy-m-d'")&amp;"order by RptDate desc"</f>
        <v>select RptDate, Indicators, Product, Actual
from GS_RRTT.dbo.FIBond_Historical
where Product in ('FI Bond', 'CD')
and Indicators = 'Face value'
and Issuer = ''
and Tenor = ''
and Rptdate &gt;='2024-12-31'order by RptDate desc</v>
      </c>
      <c r="E10" t="s">
        <v>834</v>
      </c>
      <c r="F10" t="s">
        <v>823</v>
      </c>
    </row>
    <row r="11" spans="1:7">
      <c r="A11">
        <v>9</v>
      </c>
      <c r="B11" t="s">
        <v>33</v>
      </c>
      <c r="C11" t="s">
        <v>813</v>
      </c>
      <c r="D11" s="8" t="str">
        <f>C11&amp;TEXT(Lastyear,"'yyyy-m-d'")&amp;"order by RptDate desc"</f>
        <v>select RptDate, Indicators, Product, Actual
from GS_RRTT.dbo.FIBond_Historical
where Indicators in ('Face value','YTM binh quan')
and Product like '% BS'
and Rptdate &gt;='2024-12-31'order by RptDate desc</v>
      </c>
      <c r="E11" t="s">
        <v>835</v>
      </c>
      <c r="F11" t="s">
        <v>824</v>
      </c>
    </row>
    <row r="12" spans="1:7">
      <c r="A12">
        <v>10</v>
      </c>
      <c r="B12" t="s">
        <v>33</v>
      </c>
      <c r="C12" t="s">
        <v>1827</v>
      </c>
      <c r="D12" s="8" t="str">
        <f>C12&amp;TEXT(Lastmonth,"'yyyy-m-d'")&amp;"order by Date desc"</f>
        <v>select Date,Indicators,Value 
from QLRRTT.dbo.MSB_Report_AvailableBond
where indicators in ('Face_HLA','Face_Secured_Unused','Face_SBV_Overdraft','Face_OMO_Available','Face_HMNR_NAPAS') 
and Date &gt;='2026-8-28'order by Date desc</v>
      </c>
      <c r="E12" s="106" t="s">
        <v>261</v>
      </c>
      <c r="F12" t="s">
        <v>825</v>
      </c>
    </row>
    <row r="13" spans="1:7">
      <c r="A13">
        <v>11</v>
      </c>
      <c r="B13" t="s">
        <v>33</v>
      </c>
      <c r="C13" t="s">
        <v>1828</v>
      </c>
      <c r="D13" s="8" t="str">
        <f>C13&amp;TEXT(RPT,"'yyyy-m-d'")&amp;"order by RptDate desc"</f>
        <v>select RptDate,Indicators,Actual
from GS_RRTT.dbo.Bond_Trading_Historical
where indicators like 'Est %'
and Rptdate ='2026-9-25'order by RptDate desc</v>
      </c>
      <c r="E13" t="s">
        <v>840</v>
      </c>
      <c r="F13" t="s">
        <v>826</v>
      </c>
    </row>
    <row r="14" spans="1:7">
      <c r="A14">
        <v>12</v>
      </c>
      <c r="B14" t="s">
        <v>33</v>
      </c>
      <c r="C14" t="s">
        <v>815</v>
      </c>
      <c r="D14" s="8" t="str">
        <f>C14&amp;TEXT(Yesterday,"'yyyy-m-d'")&amp;"order by RptDate desc"</f>
        <v>select RptDate,Indicators,Actual
from GS_RRTT.dbo.Bond_Trading_Historical
where indicators in ('Realized off BS', 'Realized ngoai BS')
and Rptdate &gt;='2026-9-24'order by RptDate desc</v>
      </c>
      <c r="E14" t="s">
        <v>265</v>
      </c>
      <c r="F14" t="s">
        <v>827</v>
      </c>
    </row>
    <row r="15" spans="1:7">
      <c r="A15">
        <v>13</v>
      </c>
      <c r="B15" t="s">
        <v>33</v>
      </c>
      <c r="C15" t="s">
        <v>2039</v>
      </c>
      <c r="D15" s="8" t="str">
        <f>C15&amp;TEXT(Yesterday,"'yyyy-m-d'")&amp;"order by RptDate desc"</f>
        <v>select RptDate, Indicators,Actual
from GS_RRTT.dbo.Bond_Trading_Historical a
where Indicators = 'YTM'
and Rptdate &gt;='2026-9-24'order by RptDate desc</v>
      </c>
      <c r="E15" t="s">
        <v>2038</v>
      </c>
      <c r="F15" t="s">
        <v>828</v>
      </c>
    </row>
    <row r="16" spans="1:7">
      <c r="A16">
        <v>15</v>
      </c>
      <c r="B16" t="s">
        <v>44</v>
      </c>
      <c r="C16" t="s">
        <v>1984</v>
      </c>
      <c r="D16" s="8" t="str">
        <f>C16&amp;TEXT(Lastyear,"'yyyy-m-d'")&amp;"order by RptDate desc"</f>
        <v>select RptDate,Tenor,Average as 'Yield' from GS_RRTT.dbo.All_Marketdata_Historical
where Indicators like 'VBMA%' and Indicators not like 'VBMA.%'
and Rptdate &gt;='2024-12-31'order by RptDate desc</v>
      </c>
      <c r="E16" t="s">
        <v>45</v>
      </c>
      <c r="F16" t="s">
        <v>102</v>
      </c>
    </row>
    <row r="17" spans="1:6">
      <c r="A17">
        <v>16</v>
      </c>
      <c r="B17" t="s">
        <v>44</v>
      </c>
      <c r="C17" t="s">
        <v>814</v>
      </c>
      <c r="D17" s="8" t="str">
        <f>C17&amp;TEXT(Lastyear,"'yyyy-m-d'")&amp;"order by RptDate desc"</f>
        <v>select RptDate,Indicators,Average from GS_RRTT.dbo.All_Marketdata_Historical
where Class = 'LNH' and Indicators like '%VND'
 and Rptdate &gt;='2024-12-31'order by RptDate desc</v>
      </c>
      <c r="E17" t="s">
        <v>159</v>
      </c>
      <c r="F17" t="s">
        <v>103</v>
      </c>
    </row>
    <row r="18" spans="1:6">
      <c r="A18">
        <v>17</v>
      </c>
      <c r="B18" t="s">
        <v>44</v>
      </c>
      <c r="C18" t="s">
        <v>1972</v>
      </c>
      <c r="D18" s="8" t="str">
        <f>C18&amp;TEXT(Lastyear,"'yyyy-m-d'")&amp;"order by Date desc"</f>
        <v>select Date,Indicators,Value  from QLRRTT.dbo.MSB_Report_Other_Data
where Indicators like '%OMO%' 
and Date &gt;='2024-12-31'order by Date desc</v>
      </c>
      <c r="E18" t="s">
        <v>184</v>
      </c>
      <c r="F18" t="s">
        <v>104</v>
      </c>
    </row>
    <row r="19" spans="1:6">
      <c r="A19">
        <v>18</v>
      </c>
      <c r="B19" t="s">
        <v>44</v>
      </c>
      <c r="C19" t="s">
        <v>1819</v>
      </c>
      <c r="D19" s="8" t="str">
        <f>C19&amp;TEXT(Lastyear,"'yyyy-m-d'")&amp;"order by RptDate desc"</f>
        <v>select RptDate,Average as 'TygiaUV' 
from GS_RRTT.dbo.All_Marketdata_Historical
where Indicators like 'UV1'
 and RptDate &gt;='2024-12-31'order by RptDate desc</v>
      </c>
      <c r="E19" t="s">
        <v>1822</v>
      </c>
      <c r="F19" t="s">
        <v>1823</v>
      </c>
    </row>
    <row r="24" spans="1:6" ht="14.3" customHeight="1"/>
    <row r="25" spans="1:6">
      <c r="E25" s="11"/>
    </row>
    <row r="26" spans="1:6">
      <c r="E26" s="156"/>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BQ7467"/>
  <sheetViews>
    <sheetView topLeftCell="BD1" workbookViewId="0">
      <pane ySplit="3" topLeftCell="A4" activePane="bottomLeft" state="frozen"/>
      <selection activeCell="E12" sqref="E12"/>
      <selection pane="bottomLeft" activeCell="BN4" sqref="BN4:BQ51"/>
    </sheetView>
  </sheetViews>
  <sheetFormatPr defaultRowHeight="14.4"/>
  <cols>
    <col min="1" max="1" width="10.59765625" bestFit="1" customWidth="1"/>
    <col min="2" max="2" width="13.09765625" bestFit="1" customWidth="1"/>
    <col min="3" max="3" width="7.8984375" customWidth="1"/>
    <col min="4" max="4" width="12.09765625" bestFit="1" customWidth="1"/>
    <col min="5" max="5" width="9.59765625" style="14" bestFit="1" customWidth="1"/>
    <col min="6" max="6" width="9.59765625" style="14" customWidth="1"/>
    <col min="7" max="7" width="10.59765625" bestFit="1" customWidth="1"/>
    <col min="8" max="8" width="13.09765625" bestFit="1" customWidth="1"/>
    <col min="9" max="9" width="8.09765625" bestFit="1" customWidth="1"/>
    <col min="10" max="10" width="14.59765625" bestFit="1" customWidth="1"/>
    <col min="11" max="11" width="10.09765625" style="14" bestFit="1" customWidth="1"/>
    <col min="12" max="12" width="8.8984375" customWidth="1"/>
    <col min="13" max="13" width="10.09765625" bestFit="1" customWidth="1"/>
    <col min="14" max="14" width="9.19921875" bestFit="1" customWidth="1"/>
    <col min="15" max="15" width="11.59765625" bestFit="1" customWidth="1"/>
    <col min="16" max="16" width="7.3984375" style="14" bestFit="1" customWidth="1"/>
    <col min="17" max="17" width="8.8984375" customWidth="1"/>
    <col min="18" max="18" width="10.09765625" bestFit="1" customWidth="1"/>
    <col min="19" max="19" width="9.19921875" bestFit="1" customWidth="1"/>
    <col min="20" max="20" width="11.59765625" bestFit="1" customWidth="1"/>
    <col min="21" max="21" width="7.3984375" style="358" bestFit="1" customWidth="1"/>
    <col min="22" max="22" width="7.8984375" bestFit="1" customWidth="1"/>
    <col min="23" max="23" width="8.8984375" customWidth="1"/>
    <col min="24" max="24" width="10.09765625" bestFit="1" customWidth="1"/>
    <col min="25" max="25" width="22.59765625" bestFit="1" customWidth="1"/>
    <col min="26" max="26" width="11.59765625" bestFit="1" customWidth="1"/>
    <col min="27" max="27" width="7.3984375" style="14" bestFit="1" customWidth="1"/>
    <col min="28" max="28" width="8.8984375" customWidth="1"/>
    <col min="29" max="29" width="10.09765625" style="3" bestFit="1" customWidth="1"/>
    <col min="30" max="30" width="16.296875" bestFit="1" customWidth="1"/>
    <col min="31" max="31" width="11.59765625" bestFit="1" customWidth="1"/>
    <col min="32" max="32" width="7.19921875" bestFit="1" customWidth="1"/>
    <col min="33" max="33" width="8.3984375" bestFit="1" customWidth="1"/>
    <col min="34" max="34" width="10.59765625" bestFit="1" customWidth="1"/>
    <col min="35" max="35" width="12" bestFit="1" customWidth="1"/>
    <col min="36" max="36" width="12.8984375" bestFit="1" customWidth="1"/>
    <col min="37" max="37" width="10.09765625" bestFit="1" customWidth="1"/>
    <col min="38" max="38" width="8.8984375" bestFit="1" customWidth="1"/>
    <col min="39" max="39" width="8.3984375" bestFit="1" customWidth="1"/>
    <col min="40" max="40" width="10.3984375" bestFit="1" customWidth="1"/>
    <col min="41" max="41" width="10.09765625" bestFit="1" customWidth="1"/>
    <col min="42" max="42" width="7.8984375" bestFit="1" customWidth="1"/>
    <col min="43" max="43" width="8" bestFit="1" customWidth="1"/>
    <col min="44" max="44" width="8.3984375" bestFit="1" customWidth="1"/>
    <col min="45" max="45" width="10.3984375" style="8" bestFit="1" customWidth="1"/>
    <col min="46" max="46" width="14.09765625" bestFit="1" customWidth="1"/>
    <col min="47" max="47" width="24" bestFit="1" customWidth="1"/>
    <col min="48" max="48" width="10.09765625" style="14" bestFit="1" customWidth="1"/>
    <col min="50" max="50" width="9.8984375" customWidth="1"/>
    <col min="51" max="51" width="21.09765625" style="1" bestFit="1" customWidth="1"/>
    <col min="52" max="52" width="17.09765625" customWidth="1"/>
    <col min="54" max="54" width="10.3984375" bestFit="1" customWidth="1"/>
    <col min="55" max="55" width="16.59765625" bestFit="1" customWidth="1"/>
    <col min="56" max="56" width="9.59765625" style="357" bestFit="1" customWidth="1"/>
    <col min="58" max="58" width="12.09765625" customWidth="1"/>
    <col min="59" max="59" width="31" bestFit="1" customWidth="1"/>
    <col min="62" max="62" width="10.3984375" bestFit="1" customWidth="1"/>
    <col min="63" max="63" width="9.69921875" bestFit="1" customWidth="1"/>
    <col min="64" max="64" width="10.3984375" style="371" customWidth="1"/>
    <col min="66" max="66" width="9.5" style="7" bestFit="1" customWidth="1"/>
    <col min="67" max="67" width="22.19921875" style="7" bestFit="1" customWidth="1"/>
    <col min="68" max="68" width="11.296875" style="7" bestFit="1" customWidth="1"/>
    <col min="69" max="69" width="7.3984375" style="108" bestFit="1" customWidth="1"/>
  </cols>
  <sheetData>
    <row r="1" spans="1:69">
      <c r="A1" s="2" t="s">
        <v>16</v>
      </c>
      <c r="G1" s="2" t="s">
        <v>17</v>
      </c>
      <c r="M1" s="2" t="s">
        <v>19</v>
      </c>
      <c r="R1" s="2" t="s">
        <v>21</v>
      </c>
      <c r="X1" s="2" t="s">
        <v>23</v>
      </c>
      <c r="AA1" s="14" t="e">
        <f>AA4-#REF!</f>
        <v>#REF!</v>
      </c>
      <c r="AC1" s="2" t="s">
        <v>24</v>
      </c>
      <c r="AG1" s="3"/>
      <c r="AH1" s="2" t="s">
        <v>836</v>
      </c>
      <c r="AN1" s="2" t="s">
        <v>837</v>
      </c>
      <c r="AS1" s="18" t="s">
        <v>838</v>
      </c>
      <c r="AX1" s="2" t="s">
        <v>839</v>
      </c>
      <c r="AY1" s="4"/>
      <c r="AZ1" s="2"/>
      <c r="BB1" s="2" t="s">
        <v>2021</v>
      </c>
      <c r="BF1" s="2" t="s">
        <v>2020</v>
      </c>
      <c r="BJ1" s="2" t="s">
        <v>2036</v>
      </c>
      <c r="BN1" s="2" t="s">
        <v>841</v>
      </c>
    </row>
    <row r="2" spans="1:69">
      <c r="A2" s="1"/>
      <c r="AC2"/>
      <c r="AG2" s="3"/>
    </row>
    <row r="3" spans="1:69">
      <c r="A3" t="s">
        <v>11</v>
      </c>
      <c r="B3" t="s">
        <v>12</v>
      </c>
      <c r="C3" t="s">
        <v>26</v>
      </c>
      <c r="D3" t="s">
        <v>13</v>
      </c>
      <c r="E3" s="14" t="s">
        <v>14</v>
      </c>
      <c r="G3" t="s">
        <v>11</v>
      </c>
      <c r="H3" t="s">
        <v>12</v>
      </c>
      <c r="I3" t="s">
        <v>26</v>
      </c>
      <c r="J3" t="s">
        <v>13</v>
      </c>
      <c r="K3" s="14" t="s">
        <v>14</v>
      </c>
      <c r="M3" t="s">
        <v>11</v>
      </c>
      <c r="N3" t="s">
        <v>12</v>
      </c>
      <c r="O3" t="s">
        <v>13</v>
      </c>
      <c r="P3" s="14" t="s">
        <v>14</v>
      </c>
      <c r="R3" t="s">
        <v>11</v>
      </c>
      <c r="S3" t="s">
        <v>12</v>
      </c>
      <c r="T3" t="s">
        <v>13</v>
      </c>
      <c r="U3" s="358" t="s">
        <v>14</v>
      </c>
      <c r="V3" t="s">
        <v>83</v>
      </c>
      <c r="X3" t="s">
        <v>11</v>
      </c>
      <c r="Y3" t="s">
        <v>12</v>
      </c>
      <c r="Z3" t="s">
        <v>13</v>
      </c>
      <c r="AA3" s="14" t="s">
        <v>14</v>
      </c>
      <c r="AC3" t="s">
        <v>11</v>
      </c>
      <c r="AD3" t="s">
        <v>12</v>
      </c>
      <c r="AE3" t="s">
        <v>13</v>
      </c>
      <c r="AF3" t="s">
        <v>14</v>
      </c>
      <c r="AH3" t="s">
        <v>11</v>
      </c>
      <c r="AI3" t="s">
        <v>12</v>
      </c>
      <c r="AJ3" t="s">
        <v>48</v>
      </c>
      <c r="AK3" t="s">
        <v>26</v>
      </c>
      <c r="AL3" t="s">
        <v>14</v>
      </c>
      <c r="AN3" t="s">
        <v>11</v>
      </c>
      <c r="AO3" t="s">
        <v>12</v>
      </c>
      <c r="AP3" t="s">
        <v>87</v>
      </c>
      <c r="AQ3" t="s">
        <v>14</v>
      </c>
      <c r="AS3" t="s">
        <v>11</v>
      </c>
      <c r="AT3" t="s">
        <v>12</v>
      </c>
      <c r="AU3" t="s">
        <v>87</v>
      </c>
      <c r="AV3" s="14" t="s">
        <v>14</v>
      </c>
      <c r="AX3" s="1" t="s">
        <v>47</v>
      </c>
      <c r="AY3" t="s">
        <v>12</v>
      </c>
      <c r="AZ3" t="s">
        <v>106</v>
      </c>
      <c r="BB3" t="s">
        <v>11</v>
      </c>
      <c r="BC3" t="s">
        <v>12</v>
      </c>
      <c r="BD3" s="357" t="s">
        <v>14</v>
      </c>
      <c r="BF3" t="s">
        <v>11</v>
      </c>
      <c r="BG3" t="s">
        <v>12</v>
      </c>
      <c r="BH3" s="14" t="s">
        <v>14</v>
      </c>
      <c r="BJ3" t="s">
        <v>11</v>
      </c>
      <c r="BK3" t="s">
        <v>12</v>
      </c>
      <c r="BL3" s="371" t="s">
        <v>14</v>
      </c>
      <c r="BN3" s="17" t="s">
        <v>47</v>
      </c>
      <c r="BO3" s="17" t="s">
        <v>29</v>
      </c>
      <c r="BP3" s="17" t="s">
        <v>274</v>
      </c>
      <c r="BQ3" s="107" t="s">
        <v>14</v>
      </c>
    </row>
    <row r="4" spans="1:69">
      <c r="A4" t="s">
        <v>2335</v>
      </c>
      <c r="B4" t="s">
        <v>15</v>
      </c>
      <c r="C4" t="s">
        <v>27</v>
      </c>
      <c r="D4" t="s">
        <v>20</v>
      </c>
      <c r="E4" s="14">
        <v>17513</v>
      </c>
      <c r="G4" t="s">
        <v>2335</v>
      </c>
      <c r="H4" t="s">
        <v>15</v>
      </c>
      <c r="I4" t="s">
        <v>27</v>
      </c>
      <c r="J4" t="s">
        <v>20</v>
      </c>
      <c r="K4" s="14">
        <v>10858.311299999999</v>
      </c>
      <c r="M4" t="s">
        <v>2335</v>
      </c>
      <c r="N4" t="s">
        <v>18</v>
      </c>
      <c r="O4" t="s">
        <v>20</v>
      </c>
      <c r="P4" s="14">
        <v>-10.5434056627</v>
      </c>
      <c r="R4" t="s">
        <v>2335</v>
      </c>
      <c r="S4" t="s">
        <v>18</v>
      </c>
      <c r="T4" t="s">
        <v>20</v>
      </c>
      <c r="U4" s="358">
        <v>-8.3967354523999997</v>
      </c>
      <c r="V4" t="s">
        <v>20</v>
      </c>
      <c r="X4" t="s">
        <v>2335</v>
      </c>
      <c r="Y4" t="s">
        <v>22</v>
      </c>
      <c r="Z4" t="s">
        <v>20</v>
      </c>
      <c r="AA4" s="14">
        <v>-1631.9294522291</v>
      </c>
      <c r="AC4" t="s">
        <v>2335</v>
      </c>
      <c r="AD4" t="s">
        <v>25</v>
      </c>
      <c r="AE4" t="s">
        <v>20</v>
      </c>
      <c r="AF4" s="3">
        <v>-1738.7218988290999</v>
      </c>
      <c r="AH4" t="s">
        <v>2335</v>
      </c>
      <c r="AI4" t="s">
        <v>65</v>
      </c>
      <c r="AJ4" t="s">
        <v>66</v>
      </c>
      <c r="AK4" s="3" t="s">
        <v>27</v>
      </c>
      <c r="AL4" s="3">
        <v>33460.300000000003</v>
      </c>
      <c r="AN4" t="s">
        <v>2335</v>
      </c>
      <c r="AO4" t="s">
        <v>88</v>
      </c>
      <c r="AP4" t="s">
        <v>86</v>
      </c>
      <c r="AQ4" s="3">
        <v>11965.1918687824</v>
      </c>
      <c r="AS4" t="s">
        <v>2335</v>
      </c>
      <c r="AT4" t="s">
        <v>88</v>
      </c>
      <c r="AU4" t="s">
        <v>109</v>
      </c>
      <c r="AV4" s="14">
        <v>18899.099999999999</v>
      </c>
      <c r="AX4" s="1">
        <v>46293</v>
      </c>
      <c r="AY4" t="s">
        <v>185</v>
      </c>
      <c r="AZ4" s="3">
        <v>10769.311299999999</v>
      </c>
      <c r="BB4" t="s">
        <v>2331</v>
      </c>
      <c r="BC4" t="s">
        <v>229</v>
      </c>
      <c r="BD4" s="357">
        <v>4.2464764718000003</v>
      </c>
      <c r="BF4" t="s">
        <v>2335</v>
      </c>
      <c r="BG4" t="s">
        <v>262</v>
      </c>
      <c r="BH4" s="14">
        <v>-32.480626469699999</v>
      </c>
      <c r="BJ4" t="s">
        <v>2335</v>
      </c>
      <c r="BK4" t="s">
        <v>2035</v>
      </c>
      <c r="BL4" s="371">
        <v>3.0511557129</v>
      </c>
      <c r="BN4" s="13">
        <v>46052</v>
      </c>
      <c r="BO4" s="7" t="s">
        <v>275</v>
      </c>
      <c r="BP4" s="7" t="s">
        <v>81</v>
      </c>
      <c r="BQ4" s="108">
        <v>-14.843060050389743</v>
      </c>
    </row>
    <row r="5" spans="1:69">
      <c r="A5" t="s">
        <v>2331</v>
      </c>
      <c r="B5" t="s">
        <v>15</v>
      </c>
      <c r="C5" t="s">
        <v>27</v>
      </c>
      <c r="D5" t="s">
        <v>20</v>
      </c>
      <c r="E5" s="14">
        <v>17513</v>
      </c>
      <c r="G5" t="s">
        <v>2331</v>
      </c>
      <c r="H5" t="s">
        <v>15</v>
      </c>
      <c r="I5" t="s">
        <v>27</v>
      </c>
      <c r="J5" t="s">
        <v>20</v>
      </c>
      <c r="K5" s="14">
        <v>10858.311299999999</v>
      </c>
      <c r="M5" t="s">
        <v>2331</v>
      </c>
      <c r="N5" t="s">
        <v>18</v>
      </c>
      <c r="O5" t="s">
        <v>20</v>
      </c>
      <c r="P5" s="14">
        <v>-10.551945590100001</v>
      </c>
      <c r="R5" t="s">
        <v>2331</v>
      </c>
      <c r="S5" t="s">
        <v>18</v>
      </c>
      <c r="T5" t="s">
        <v>20</v>
      </c>
      <c r="U5" s="358">
        <v>-8.4014384207999999</v>
      </c>
      <c r="V5" t="s">
        <v>20</v>
      </c>
      <c r="X5" t="s">
        <v>2331</v>
      </c>
      <c r="Y5" t="s">
        <v>22</v>
      </c>
      <c r="Z5" t="s">
        <v>20</v>
      </c>
      <c r="AA5" s="14">
        <v>-1633.9372969816</v>
      </c>
      <c r="AC5" t="s">
        <v>2331</v>
      </c>
      <c r="AD5" t="s">
        <v>25</v>
      </c>
      <c r="AE5" s="10" t="s">
        <v>20</v>
      </c>
      <c r="AF5" s="3">
        <v>-1740.2885239605</v>
      </c>
      <c r="AH5" t="s">
        <v>2335</v>
      </c>
      <c r="AI5" t="s">
        <v>65</v>
      </c>
      <c r="AJ5" t="s">
        <v>72</v>
      </c>
      <c r="AK5" s="3" t="s">
        <v>27</v>
      </c>
      <c r="AL5" s="3">
        <v>33706.984058000002</v>
      </c>
      <c r="AN5" t="s">
        <v>2335</v>
      </c>
      <c r="AO5" t="s">
        <v>88</v>
      </c>
      <c r="AP5" t="s">
        <v>90</v>
      </c>
      <c r="AQ5" s="3">
        <v>27449.1</v>
      </c>
      <c r="AS5" t="s">
        <v>2335</v>
      </c>
      <c r="AT5" t="s">
        <v>88</v>
      </c>
      <c r="AU5" t="s">
        <v>110</v>
      </c>
      <c r="AV5" s="14">
        <v>397.61059999999998</v>
      </c>
      <c r="AX5" s="1">
        <v>46293</v>
      </c>
      <c r="AY5" t="s">
        <v>195</v>
      </c>
      <c r="AZ5" s="3">
        <v>-800</v>
      </c>
      <c r="BB5" t="s">
        <v>2331</v>
      </c>
      <c r="BC5" t="s">
        <v>228</v>
      </c>
      <c r="BD5" s="357">
        <v>0</v>
      </c>
      <c r="BF5" t="s">
        <v>2335</v>
      </c>
      <c r="BG5" t="s">
        <v>263</v>
      </c>
      <c r="BH5" s="14">
        <v>-0.61667934530000001</v>
      </c>
      <c r="BJ5" t="s">
        <v>2331</v>
      </c>
      <c r="BK5" t="s">
        <v>2035</v>
      </c>
      <c r="BL5" s="371">
        <v>3.0511557129</v>
      </c>
      <c r="BN5" s="13">
        <v>46052</v>
      </c>
      <c r="BO5" s="7" t="s">
        <v>275</v>
      </c>
      <c r="BP5" s="7" t="s">
        <v>99</v>
      </c>
      <c r="BQ5" s="108">
        <v>2.863312321832276</v>
      </c>
    </row>
    <row r="6" spans="1:69">
      <c r="A6" t="s">
        <v>2330</v>
      </c>
      <c r="B6" t="s">
        <v>15</v>
      </c>
      <c r="C6" t="s">
        <v>27</v>
      </c>
      <c r="D6" t="s">
        <v>20</v>
      </c>
      <c r="E6" s="14">
        <v>17513</v>
      </c>
      <c r="G6" t="s">
        <v>2330</v>
      </c>
      <c r="H6" t="s">
        <v>15</v>
      </c>
      <c r="I6" t="s">
        <v>27</v>
      </c>
      <c r="J6" t="s">
        <v>20</v>
      </c>
      <c r="K6" s="14">
        <v>10858.311299999999</v>
      </c>
      <c r="M6" t="s">
        <v>2330</v>
      </c>
      <c r="N6" t="s">
        <v>18</v>
      </c>
      <c r="O6" t="s">
        <v>20</v>
      </c>
      <c r="P6" s="14">
        <v>-10.5549964403</v>
      </c>
      <c r="R6" t="s">
        <v>2330</v>
      </c>
      <c r="S6" t="s">
        <v>18</v>
      </c>
      <c r="T6" t="s">
        <v>20</v>
      </c>
      <c r="U6" s="358">
        <v>-8.4030959531999994</v>
      </c>
      <c r="V6" t="s">
        <v>20</v>
      </c>
      <c r="X6" t="s">
        <v>2330</v>
      </c>
      <c r="Y6" t="s">
        <v>22</v>
      </c>
      <c r="Z6" t="s">
        <v>20</v>
      </c>
      <c r="AA6" s="14">
        <v>-1634.2982918645</v>
      </c>
      <c r="AC6" t="s">
        <v>2330</v>
      </c>
      <c r="AD6" t="s">
        <v>25</v>
      </c>
      <c r="AE6" s="10" t="s">
        <v>20</v>
      </c>
      <c r="AF6" s="3">
        <v>-1740.6870506389</v>
      </c>
      <c r="AH6" t="s">
        <v>2335</v>
      </c>
      <c r="AI6" t="s">
        <v>65</v>
      </c>
      <c r="AJ6" t="s">
        <v>113</v>
      </c>
      <c r="AK6" s="3" t="s">
        <v>27</v>
      </c>
      <c r="AL6" s="3">
        <v>1710.1845948108</v>
      </c>
      <c r="AN6" t="s">
        <v>2331</v>
      </c>
      <c r="AO6" t="s">
        <v>88</v>
      </c>
      <c r="AP6" t="s">
        <v>86</v>
      </c>
      <c r="AQ6" s="3">
        <v>11965.304855299601</v>
      </c>
      <c r="AS6" t="s">
        <v>2335</v>
      </c>
      <c r="AT6" t="s">
        <v>88</v>
      </c>
      <c r="AU6" t="s">
        <v>111</v>
      </c>
      <c r="AV6" s="14">
        <v>11000</v>
      </c>
      <c r="AX6" s="1">
        <v>46293</v>
      </c>
      <c r="AY6" t="s">
        <v>200</v>
      </c>
      <c r="AZ6" s="3">
        <v>-1459</v>
      </c>
      <c r="BB6" t="s">
        <v>2331</v>
      </c>
      <c r="BC6" t="s">
        <v>227</v>
      </c>
      <c r="BD6" s="357">
        <v>0</v>
      </c>
      <c r="BF6" t="s">
        <v>2331</v>
      </c>
      <c r="BG6" t="s">
        <v>262</v>
      </c>
      <c r="BH6" s="14">
        <v>-35.5024965554</v>
      </c>
      <c r="BJ6" t="s">
        <v>2330</v>
      </c>
      <c r="BK6" t="s">
        <v>2035</v>
      </c>
      <c r="BL6" s="371">
        <v>3.0511557129</v>
      </c>
      <c r="BN6" s="13">
        <v>46052</v>
      </c>
      <c r="BO6" s="7" t="s">
        <v>277</v>
      </c>
      <c r="BP6" s="7" t="s">
        <v>81</v>
      </c>
      <c r="BQ6" s="108">
        <v>-14.723000000000001</v>
      </c>
    </row>
    <row r="7" spans="1:69">
      <c r="A7" t="s">
        <v>2329</v>
      </c>
      <c r="B7" t="s">
        <v>15</v>
      </c>
      <c r="C7" t="s">
        <v>27</v>
      </c>
      <c r="D7" t="s">
        <v>20</v>
      </c>
      <c r="E7" s="14">
        <v>17513</v>
      </c>
      <c r="G7" t="s">
        <v>2329</v>
      </c>
      <c r="H7" t="s">
        <v>15</v>
      </c>
      <c r="I7" t="s">
        <v>27</v>
      </c>
      <c r="J7" t="s">
        <v>20</v>
      </c>
      <c r="K7" s="14">
        <v>10858.311299999999</v>
      </c>
      <c r="M7" t="s">
        <v>2329</v>
      </c>
      <c r="N7" t="s">
        <v>18</v>
      </c>
      <c r="O7" t="s">
        <v>20</v>
      </c>
      <c r="P7" s="14">
        <v>-10.557814431900001</v>
      </c>
      <c r="R7" t="s">
        <v>2329</v>
      </c>
      <c r="S7" t="s">
        <v>18</v>
      </c>
      <c r="T7" t="s">
        <v>20</v>
      </c>
      <c r="U7" s="358">
        <v>-8.4046857556999992</v>
      </c>
      <c r="V7" t="s">
        <v>20</v>
      </c>
      <c r="X7" t="s">
        <v>2329</v>
      </c>
      <c r="Y7" t="s">
        <v>22</v>
      </c>
      <c r="Z7" t="s">
        <v>20</v>
      </c>
      <c r="AA7" s="14">
        <v>-1635.0998855409</v>
      </c>
      <c r="AC7" t="s">
        <v>2329</v>
      </c>
      <c r="AD7" t="s">
        <v>25</v>
      </c>
      <c r="AE7" s="10" t="s">
        <v>20</v>
      </c>
      <c r="AF7" s="3">
        <v>-1741.1784024133999</v>
      </c>
      <c r="AH7" t="s">
        <v>2335</v>
      </c>
      <c r="AI7" t="s">
        <v>65</v>
      </c>
      <c r="AJ7" t="s">
        <v>108</v>
      </c>
      <c r="AK7" s="3" t="s">
        <v>27</v>
      </c>
      <c r="AL7" s="3">
        <v>-1463.5005368108</v>
      </c>
      <c r="AN7" t="s">
        <v>2331</v>
      </c>
      <c r="AO7" t="s">
        <v>88</v>
      </c>
      <c r="AP7" t="s">
        <v>90</v>
      </c>
      <c r="AQ7" s="3">
        <v>27449.1</v>
      </c>
      <c r="AS7" t="s">
        <v>2335</v>
      </c>
      <c r="AT7" t="s">
        <v>88</v>
      </c>
      <c r="AU7" t="s">
        <v>268</v>
      </c>
      <c r="AV7" s="14">
        <v>0</v>
      </c>
      <c r="AX7" s="1">
        <v>46293</v>
      </c>
      <c r="AY7" t="s">
        <v>281</v>
      </c>
      <c r="AZ7" s="3">
        <v>-605</v>
      </c>
      <c r="BB7" t="s">
        <v>2331</v>
      </c>
      <c r="BC7" t="s">
        <v>226</v>
      </c>
      <c r="BD7" s="357">
        <v>0</v>
      </c>
      <c r="BF7" t="s">
        <v>2331</v>
      </c>
      <c r="BG7" t="s">
        <v>263</v>
      </c>
      <c r="BH7" s="14">
        <v>-0.60485888450000003</v>
      </c>
      <c r="BN7" s="13">
        <v>46052</v>
      </c>
      <c r="BO7" s="7" t="s">
        <v>277</v>
      </c>
      <c r="BP7" s="7" t="s">
        <v>99</v>
      </c>
      <c r="BQ7" s="108">
        <v>-2.222</v>
      </c>
    </row>
    <row r="8" spans="1:69">
      <c r="A8" t="s">
        <v>2328</v>
      </c>
      <c r="B8" t="s">
        <v>15</v>
      </c>
      <c r="C8" t="s">
        <v>27</v>
      </c>
      <c r="D8" t="s">
        <v>20</v>
      </c>
      <c r="E8" s="14">
        <v>17513</v>
      </c>
      <c r="G8" t="s">
        <v>2328</v>
      </c>
      <c r="H8" t="s">
        <v>15</v>
      </c>
      <c r="I8" t="s">
        <v>27</v>
      </c>
      <c r="J8" t="s">
        <v>20</v>
      </c>
      <c r="K8" s="14">
        <v>10858.311299999999</v>
      </c>
      <c r="M8" t="s">
        <v>2328</v>
      </c>
      <c r="N8" t="s">
        <v>18</v>
      </c>
      <c r="O8" t="s">
        <v>20</v>
      </c>
      <c r="P8" s="14">
        <v>-10.559506587</v>
      </c>
      <c r="R8" t="s">
        <v>2328</v>
      </c>
      <c r="S8" t="s">
        <v>18</v>
      </c>
      <c r="T8" t="s">
        <v>20</v>
      </c>
      <c r="U8" s="358">
        <v>-8.4057127570999999</v>
      </c>
      <c r="V8" t="s">
        <v>20</v>
      </c>
      <c r="X8" t="s">
        <v>2328</v>
      </c>
      <c r="Y8" t="s">
        <v>22</v>
      </c>
      <c r="Z8" t="s">
        <v>20</v>
      </c>
      <c r="AA8" s="14">
        <v>-1637.6918036008001</v>
      </c>
      <c r="AC8" t="s">
        <v>2328</v>
      </c>
      <c r="AD8" t="s">
        <v>25</v>
      </c>
      <c r="AE8" s="10" t="s">
        <v>20</v>
      </c>
      <c r="AF8" s="3">
        <v>-1742.2555337189001</v>
      </c>
      <c r="AH8" t="s">
        <v>2335</v>
      </c>
      <c r="AI8" t="s">
        <v>65</v>
      </c>
      <c r="AJ8" t="s">
        <v>98</v>
      </c>
      <c r="AK8" s="3" t="s">
        <v>27</v>
      </c>
      <c r="AL8" s="3">
        <v>-1432.6245368108</v>
      </c>
      <c r="AN8" t="s">
        <v>2330</v>
      </c>
      <c r="AO8" t="s">
        <v>88</v>
      </c>
      <c r="AP8" t="s">
        <v>86</v>
      </c>
      <c r="AQ8" s="3">
        <v>11965.753742511501</v>
      </c>
      <c r="AS8" t="s">
        <v>2335</v>
      </c>
      <c r="AT8" t="s">
        <v>88</v>
      </c>
      <c r="AU8" t="s">
        <v>269</v>
      </c>
      <c r="AV8" s="14">
        <v>0</v>
      </c>
      <c r="AX8" s="1">
        <v>46293</v>
      </c>
      <c r="AY8" t="s">
        <v>201</v>
      </c>
      <c r="AZ8" s="3">
        <v>7392.8208999999997</v>
      </c>
      <c r="BB8" t="s">
        <v>2331</v>
      </c>
      <c r="BC8" t="s">
        <v>225</v>
      </c>
      <c r="BD8" s="357">
        <v>0</v>
      </c>
      <c r="BF8" t="s">
        <v>2330</v>
      </c>
      <c r="BG8" t="s">
        <v>262</v>
      </c>
      <c r="BH8" s="14">
        <v>-33.975478686599999</v>
      </c>
      <c r="BN8" s="13">
        <v>46052</v>
      </c>
      <c r="BO8" s="7" t="s">
        <v>276</v>
      </c>
      <c r="BP8" s="7" t="s">
        <v>81</v>
      </c>
      <c r="BQ8" s="108">
        <v>-11.038693008146939</v>
      </c>
    </row>
    <row r="9" spans="1:69">
      <c r="A9" t="s">
        <v>2327</v>
      </c>
      <c r="B9" t="s">
        <v>15</v>
      </c>
      <c r="C9" t="s">
        <v>27</v>
      </c>
      <c r="D9" t="s">
        <v>20</v>
      </c>
      <c r="E9" s="14">
        <v>17513</v>
      </c>
      <c r="G9" t="s">
        <v>2327</v>
      </c>
      <c r="H9" t="s">
        <v>15</v>
      </c>
      <c r="I9" t="s">
        <v>27</v>
      </c>
      <c r="J9" t="s">
        <v>20</v>
      </c>
      <c r="K9" s="14">
        <v>10858.311299999999</v>
      </c>
      <c r="M9" t="s">
        <v>2327</v>
      </c>
      <c r="N9" t="s">
        <v>18</v>
      </c>
      <c r="O9" t="s">
        <v>20</v>
      </c>
      <c r="P9" s="14">
        <v>-10.5633340963</v>
      </c>
      <c r="R9" t="s">
        <v>2327</v>
      </c>
      <c r="S9" t="s">
        <v>18</v>
      </c>
      <c r="T9" t="s">
        <v>20</v>
      </c>
      <c r="U9" s="358">
        <v>-8.4082436185000002</v>
      </c>
      <c r="V9" t="s">
        <v>20</v>
      </c>
      <c r="X9" t="s">
        <v>2327</v>
      </c>
      <c r="Y9" t="s">
        <v>22</v>
      </c>
      <c r="Z9" t="s">
        <v>20</v>
      </c>
      <c r="AA9" s="14">
        <v>-1637.0596240159</v>
      </c>
      <c r="AC9" t="s">
        <v>2327</v>
      </c>
      <c r="AD9" t="s">
        <v>25</v>
      </c>
      <c r="AE9" s="10" t="s">
        <v>20</v>
      </c>
      <c r="AF9" s="3">
        <v>-1741.8634214203</v>
      </c>
      <c r="AH9" t="s">
        <v>2335</v>
      </c>
      <c r="AI9" t="s">
        <v>67</v>
      </c>
      <c r="AJ9" t="s">
        <v>66</v>
      </c>
      <c r="AK9" s="3" t="s">
        <v>27</v>
      </c>
      <c r="AL9" s="3">
        <v>-17794.7</v>
      </c>
      <c r="AN9" t="s">
        <v>2330</v>
      </c>
      <c r="AO9" t="s">
        <v>88</v>
      </c>
      <c r="AP9" t="s">
        <v>90</v>
      </c>
      <c r="AQ9" s="3">
        <v>27449.1</v>
      </c>
      <c r="AS9" t="s">
        <v>2335</v>
      </c>
      <c r="AT9" t="s">
        <v>88</v>
      </c>
      <c r="AU9" t="s">
        <v>270</v>
      </c>
      <c r="AV9" s="14">
        <v>0</v>
      </c>
      <c r="AX9" s="1">
        <v>46292</v>
      </c>
      <c r="AY9" t="s">
        <v>185</v>
      </c>
      <c r="AZ9" s="3">
        <v>15329.311299999999</v>
      </c>
      <c r="BB9" t="s">
        <v>2331</v>
      </c>
      <c r="BC9" t="s">
        <v>224</v>
      </c>
      <c r="BD9" s="357">
        <v>0</v>
      </c>
      <c r="BF9" t="s">
        <v>2330</v>
      </c>
      <c r="BG9" t="s">
        <v>263</v>
      </c>
      <c r="BH9" s="14">
        <v>-2.4092187964999998</v>
      </c>
      <c r="BN9" s="13">
        <v>46052</v>
      </c>
      <c r="BO9" s="7" t="s">
        <v>276</v>
      </c>
      <c r="BP9" s="7" t="s">
        <v>99</v>
      </c>
      <c r="BQ9" s="108">
        <v>-3.892796E-3</v>
      </c>
    </row>
    <row r="10" spans="1:69">
      <c r="A10" t="s">
        <v>2326</v>
      </c>
      <c r="B10" t="s">
        <v>15</v>
      </c>
      <c r="C10" t="s">
        <v>27</v>
      </c>
      <c r="D10" t="s">
        <v>20</v>
      </c>
      <c r="E10" s="14">
        <v>17513</v>
      </c>
      <c r="G10" t="s">
        <v>2326</v>
      </c>
      <c r="H10" t="s">
        <v>15</v>
      </c>
      <c r="I10" t="s">
        <v>27</v>
      </c>
      <c r="J10" t="s">
        <v>20</v>
      </c>
      <c r="K10" s="14">
        <v>10858.311299999999</v>
      </c>
      <c r="M10" t="s">
        <v>2326</v>
      </c>
      <c r="N10" t="s">
        <v>18</v>
      </c>
      <c r="O10" t="s">
        <v>20</v>
      </c>
      <c r="P10" s="14">
        <v>-10.573884245</v>
      </c>
      <c r="R10" t="s">
        <v>2326</v>
      </c>
      <c r="S10" t="s">
        <v>18</v>
      </c>
      <c r="T10" t="s">
        <v>20</v>
      </c>
      <c r="U10" s="358">
        <v>-8.4146508193000003</v>
      </c>
      <c r="V10" t="s">
        <v>20</v>
      </c>
      <c r="X10" t="s">
        <v>2326</v>
      </c>
      <c r="Y10" t="s">
        <v>22</v>
      </c>
      <c r="Z10" t="s">
        <v>20</v>
      </c>
      <c r="AA10" s="14">
        <v>-1637.4850010798</v>
      </c>
      <c r="AC10" t="s">
        <v>2326</v>
      </c>
      <c r="AD10" t="s">
        <v>25</v>
      </c>
      <c r="AE10" s="10" t="s">
        <v>20</v>
      </c>
      <c r="AF10" s="3">
        <v>-1741.8966134166999</v>
      </c>
      <c r="AH10" t="s">
        <v>2335</v>
      </c>
      <c r="AI10" t="s">
        <v>67</v>
      </c>
      <c r="AJ10" t="s">
        <v>72</v>
      </c>
      <c r="AK10" s="3" t="s">
        <v>27</v>
      </c>
      <c r="AL10" s="3">
        <v>-19411.759581999999</v>
      </c>
      <c r="AN10" t="s">
        <v>2329</v>
      </c>
      <c r="AO10" t="s">
        <v>88</v>
      </c>
      <c r="AP10" t="s">
        <v>86</v>
      </c>
      <c r="AQ10" s="3">
        <v>12965.5265268167</v>
      </c>
      <c r="AS10" t="s">
        <v>2335</v>
      </c>
      <c r="AT10" t="s">
        <v>88</v>
      </c>
      <c r="AU10" t="s">
        <v>271</v>
      </c>
      <c r="AV10" s="14">
        <v>8550</v>
      </c>
      <c r="AX10" s="1">
        <v>46292</v>
      </c>
      <c r="AY10" t="s">
        <v>195</v>
      </c>
      <c r="AZ10" s="3">
        <v>-800</v>
      </c>
      <c r="BB10" t="s">
        <v>2331</v>
      </c>
      <c r="BC10" t="s">
        <v>223</v>
      </c>
      <c r="BD10" s="357">
        <v>0</v>
      </c>
      <c r="BN10" s="13">
        <v>46080</v>
      </c>
      <c r="BO10" s="7" t="s">
        <v>276</v>
      </c>
      <c r="BP10" s="7" t="s">
        <v>99</v>
      </c>
      <c r="BQ10" s="108">
        <v>-3.892796E-3</v>
      </c>
    </row>
    <row r="11" spans="1:69">
      <c r="A11" t="s">
        <v>2325</v>
      </c>
      <c r="B11" t="s">
        <v>15</v>
      </c>
      <c r="C11" t="s">
        <v>27</v>
      </c>
      <c r="D11" t="s">
        <v>20</v>
      </c>
      <c r="E11" s="14">
        <v>17513</v>
      </c>
      <c r="G11" t="s">
        <v>2325</v>
      </c>
      <c r="H11" t="s">
        <v>15</v>
      </c>
      <c r="I11" t="s">
        <v>27</v>
      </c>
      <c r="J11" t="s">
        <v>20</v>
      </c>
      <c r="K11" s="14">
        <v>10858.311299999999</v>
      </c>
      <c r="M11" t="s">
        <v>2325</v>
      </c>
      <c r="N11" t="s">
        <v>18</v>
      </c>
      <c r="O11" t="s">
        <v>20</v>
      </c>
      <c r="P11" s="14">
        <v>-10.577625557199999</v>
      </c>
      <c r="R11" t="s">
        <v>2325</v>
      </c>
      <c r="S11" t="s">
        <v>18</v>
      </c>
      <c r="T11" t="s">
        <v>20</v>
      </c>
      <c r="U11" s="358">
        <v>-8.4177501125000003</v>
      </c>
      <c r="V11" t="s">
        <v>20</v>
      </c>
      <c r="X11" t="s">
        <v>2325</v>
      </c>
      <c r="Y11" t="s">
        <v>22</v>
      </c>
      <c r="Z11" t="s">
        <v>20</v>
      </c>
      <c r="AA11" s="14">
        <v>-1637.4335306946</v>
      </c>
      <c r="AC11" t="s">
        <v>2325</v>
      </c>
      <c r="AD11" t="s">
        <v>25</v>
      </c>
      <c r="AE11" s="10" t="s">
        <v>20</v>
      </c>
      <c r="AF11" s="3">
        <v>-1740.9607037622</v>
      </c>
      <c r="AH11" t="s">
        <v>2335</v>
      </c>
      <c r="AI11" t="s">
        <v>67</v>
      </c>
      <c r="AJ11" t="s">
        <v>113</v>
      </c>
      <c r="AK11" s="3" t="s">
        <v>27</v>
      </c>
      <c r="AL11" s="3">
        <v>-1515.1092498889</v>
      </c>
      <c r="AN11" t="s">
        <v>2329</v>
      </c>
      <c r="AO11" t="s">
        <v>88</v>
      </c>
      <c r="AP11" t="s">
        <v>90</v>
      </c>
      <c r="AQ11" s="3">
        <v>28149.1</v>
      </c>
      <c r="AS11" t="s">
        <v>2335</v>
      </c>
      <c r="AT11" t="s">
        <v>88</v>
      </c>
      <c r="AU11" t="s">
        <v>272</v>
      </c>
      <c r="AV11" s="14">
        <v>0</v>
      </c>
      <c r="AX11" s="1">
        <v>46292</v>
      </c>
      <c r="AY11" t="s">
        <v>200</v>
      </c>
      <c r="AZ11" s="3">
        <v>-1459</v>
      </c>
      <c r="BB11" t="s">
        <v>2331</v>
      </c>
      <c r="BC11" t="s">
        <v>222</v>
      </c>
      <c r="BD11" s="357">
        <v>0</v>
      </c>
      <c r="BN11" s="13">
        <v>46080</v>
      </c>
      <c r="BO11" s="7" t="s">
        <v>276</v>
      </c>
      <c r="BP11" s="7" t="s">
        <v>81</v>
      </c>
      <c r="BQ11" s="108">
        <v>-11.430736636786591</v>
      </c>
    </row>
    <row r="12" spans="1:69">
      <c r="A12" t="s">
        <v>2324</v>
      </c>
      <c r="B12" t="s">
        <v>15</v>
      </c>
      <c r="C12" t="s">
        <v>27</v>
      </c>
      <c r="D12" t="s">
        <v>20</v>
      </c>
      <c r="E12" s="14">
        <v>17513</v>
      </c>
      <c r="G12" t="s">
        <v>2324</v>
      </c>
      <c r="H12" t="s">
        <v>15</v>
      </c>
      <c r="I12" t="s">
        <v>27</v>
      </c>
      <c r="J12" t="s">
        <v>20</v>
      </c>
      <c r="K12" s="14">
        <v>10858.311299999999</v>
      </c>
      <c r="M12" t="s">
        <v>2324</v>
      </c>
      <c r="N12" t="s">
        <v>18</v>
      </c>
      <c r="O12" t="s">
        <v>20</v>
      </c>
      <c r="P12" s="14">
        <v>-10.581796815600001</v>
      </c>
      <c r="R12" t="s">
        <v>2324</v>
      </c>
      <c r="S12" t="s">
        <v>18</v>
      </c>
      <c r="T12" t="s">
        <v>20</v>
      </c>
      <c r="U12" s="358">
        <v>-8.4199731238000002</v>
      </c>
      <c r="V12" t="s">
        <v>20</v>
      </c>
      <c r="X12" t="s">
        <v>2324</v>
      </c>
      <c r="Y12" t="s">
        <v>22</v>
      </c>
      <c r="Z12" t="s">
        <v>20</v>
      </c>
      <c r="AA12" s="14">
        <v>-1636.2582582401999</v>
      </c>
      <c r="AC12" t="s">
        <v>2324</v>
      </c>
      <c r="AD12" t="s">
        <v>25</v>
      </c>
      <c r="AE12" s="10" t="s">
        <v>20</v>
      </c>
      <c r="AF12" s="3">
        <v>-1740.7865509096</v>
      </c>
      <c r="AH12" t="s">
        <v>2335</v>
      </c>
      <c r="AI12" t="s">
        <v>67</v>
      </c>
      <c r="AJ12" t="s">
        <v>108</v>
      </c>
      <c r="AK12" s="3" t="s">
        <v>27</v>
      </c>
      <c r="AL12" s="3">
        <v>-101.9503321111</v>
      </c>
      <c r="AN12" t="s">
        <v>2328</v>
      </c>
      <c r="AO12" t="s">
        <v>88</v>
      </c>
      <c r="AP12" t="s">
        <v>86</v>
      </c>
      <c r="AQ12" s="3">
        <v>12966.3874993716</v>
      </c>
      <c r="AS12" t="s">
        <v>2335</v>
      </c>
      <c r="AT12" t="s">
        <v>88</v>
      </c>
      <c r="AU12" t="s">
        <v>273</v>
      </c>
      <c r="AV12" s="14">
        <v>0</v>
      </c>
      <c r="AX12" s="1">
        <v>46292</v>
      </c>
      <c r="AY12" t="s">
        <v>281</v>
      </c>
      <c r="AZ12" s="3">
        <v>-605</v>
      </c>
      <c r="BB12" t="s">
        <v>2331</v>
      </c>
      <c r="BC12" t="s">
        <v>232</v>
      </c>
      <c r="BD12" s="357">
        <v>3.5992079033</v>
      </c>
      <c r="BN12" s="13">
        <v>46080</v>
      </c>
      <c r="BO12" s="7" t="s">
        <v>277</v>
      </c>
      <c r="BP12" s="7" t="s">
        <v>99</v>
      </c>
      <c r="BQ12" s="108">
        <v>3.048</v>
      </c>
    </row>
    <row r="13" spans="1:69">
      <c r="A13" t="s">
        <v>2323</v>
      </c>
      <c r="B13" t="s">
        <v>15</v>
      </c>
      <c r="C13" t="s">
        <v>27</v>
      </c>
      <c r="D13" t="s">
        <v>20</v>
      </c>
      <c r="E13" s="14">
        <v>17513</v>
      </c>
      <c r="G13" t="s">
        <v>2323</v>
      </c>
      <c r="H13" t="s">
        <v>15</v>
      </c>
      <c r="I13" t="s">
        <v>27</v>
      </c>
      <c r="J13" t="s">
        <v>20</v>
      </c>
      <c r="K13" s="14">
        <v>10858.311299999999</v>
      </c>
      <c r="M13" t="s">
        <v>2323</v>
      </c>
      <c r="N13" t="s">
        <v>18</v>
      </c>
      <c r="O13" t="s">
        <v>20</v>
      </c>
      <c r="P13" s="14">
        <v>-10.584026291400001</v>
      </c>
      <c r="R13" t="s">
        <v>2323</v>
      </c>
      <c r="S13" t="s">
        <v>18</v>
      </c>
      <c r="T13" t="s">
        <v>20</v>
      </c>
      <c r="U13" s="358">
        <v>-8.4211268563000008</v>
      </c>
      <c r="V13" t="s">
        <v>20</v>
      </c>
      <c r="X13" t="s">
        <v>2323</v>
      </c>
      <c r="Y13" t="s">
        <v>22</v>
      </c>
      <c r="Z13" t="s">
        <v>20</v>
      </c>
      <c r="AA13" s="14">
        <v>-1638.5771679760001</v>
      </c>
      <c r="AC13" t="s">
        <v>2323</v>
      </c>
      <c r="AD13" t="s">
        <v>25</v>
      </c>
      <c r="AE13" s="10" t="s">
        <v>20</v>
      </c>
      <c r="AF13" s="3">
        <v>-1741.6388140060999</v>
      </c>
      <c r="AH13" t="s">
        <v>2335</v>
      </c>
      <c r="AI13" t="s">
        <v>67</v>
      </c>
      <c r="AJ13" t="s">
        <v>98</v>
      </c>
      <c r="AK13" s="3" t="s">
        <v>27</v>
      </c>
      <c r="AL13" s="3">
        <v>-101.9503321111</v>
      </c>
      <c r="AN13" t="s">
        <v>2328</v>
      </c>
      <c r="AO13" t="s">
        <v>88</v>
      </c>
      <c r="AP13" t="s">
        <v>90</v>
      </c>
      <c r="AQ13" s="3">
        <v>28749.1</v>
      </c>
      <c r="AS13" t="s">
        <v>2335</v>
      </c>
      <c r="AT13" t="s">
        <v>196</v>
      </c>
      <c r="AU13" t="s">
        <v>197</v>
      </c>
      <c r="AV13" s="391">
        <v>7.6809373318553504</v>
      </c>
      <c r="AX13" s="1">
        <v>46292</v>
      </c>
      <c r="AY13" t="s">
        <v>201</v>
      </c>
      <c r="AZ13" s="3">
        <v>7392.8208999999997</v>
      </c>
      <c r="BB13" t="s">
        <v>2331</v>
      </c>
      <c r="BC13" t="s">
        <v>231</v>
      </c>
      <c r="BD13" s="357">
        <v>3.8006657951</v>
      </c>
      <c r="BN13" s="13">
        <v>46080</v>
      </c>
      <c r="BO13" s="7" t="s">
        <v>275</v>
      </c>
      <c r="BP13" s="7" t="s">
        <v>99</v>
      </c>
      <c r="BQ13" s="108">
        <v>9.8120631110088237</v>
      </c>
    </row>
    <row r="14" spans="1:69">
      <c r="A14" t="s">
        <v>2321</v>
      </c>
      <c r="B14" t="s">
        <v>15</v>
      </c>
      <c r="C14" t="s">
        <v>27</v>
      </c>
      <c r="D14" t="s">
        <v>20</v>
      </c>
      <c r="E14" s="14">
        <v>17663</v>
      </c>
      <c r="G14" t="s">
        <v>2321</v>
      </c>
      <c r="H14" t="s">
        <v>15</v>
      </c>
      <c r="I14" t="s">
        <v>27</v>
      </c>
      <c r="J14" t="s">
        <v>20</v>
      </c>
      <c r="K14" s="14">
        <v>10858.311299999999</v>
      </c>
      <c r="M14" t="s">
        <v>2321</v>
      </c>
      <c r="N14" t="s">
        <v>18</v>
      </c>
      <c r="O14" t="s">
        <v>20</v>
      </c>
      <c r="P14" s="14">
        <v>-10.665755598000001</v>
      </c>
      <c r="R14" t="s">
        <v>2321</v>
      </c>
      <c r="S14" t="s">
        <v>18</v>
      </c>
      <c r="T14" t="s">
        <v>20</v>
      </c>
      <c r="U14" s="358">
        <v>-8.4239771022000003</v>
      </c>
      <c r="V14" t="s">
        <v>20</v>
      </c>
      <c r="X14" t="s">
        <v>2321</v>
      </c>
      <c r="Y14" t="s">
        <v>22</v>
      </c>
      <c r="Z14" t="s">
        <v>20</v>
      </c>
      <c r="AA14" s="14">
        <v>-1638.8986645895</v>
      </c>
      <c r="AC14" t="s">
        <v>2321</v>
      </c>
      <c r="AD14" t="s">
        <v>25</v>
      </c>
      <c r="AE14" s="10" t="s">
        <v>20</v>
      </c>
      <c r="AF14" s="3">
        <v>-1741.0148270806001</v>
      </c>
      <c r="AH14" t="s">
        <v>2335</v>
      </c>
      <c r="AI14" t="s">
        <v>67</v>
      </c>
      <c r="AJ14" t="s">
        <v>66</v>
      </c>
      <c r="AK14" s="3" t="s">
        <v>114</v>
      </c>
      <c r="AL14" s="3">
        <v>4731.32</v>
      </c>
      <c r="AN14" t="s">
        <v>2327</v>
      </c>
      <c r="AO14" t="s">
        <v>88</v>
      </c>
      <c r="AP14" t="s">
        <v>86</v>
      </c>
      <c r="AQ14" s="3">
        <v>12966.024738091901</v>
      </c>
      <c r="AS14" t="s">
        <v>2335</v>
      </c>
      <c r="AT14" t="s">
        <v>196</v>
      </c>
      <c r="AU14" t="s">
        <v>109</v>
      </c>
      <c r="AV14" s="391">
        <v>7.3566433136777798</v>
      </c>
      <c r="AX14" s="1">
        <v>46289</v>
      </c>
      <c r="AY14" t="s">
        <v>185</v>
      </c>
      <c r="AZ14" s="3">
        <v>15469.311299999999</v>
      </c>
      <c r="BB14" t="s">
        <v>2331</v>
      </c>
      <c r="BC14" t="s">
        <v>230</v>
      </c>
      <c r="BD14" s="357">
        <v>3.9499878997</v>
      </c>
      <c r="BN14" s="13">
        <v>46080</v>
      </c>
      <c r="BO14" s="7" t="s">
        <v>275</v>
      </c>
      <c r="BP14" s="7" t="s">
        <v>81</v>
      </c>
      <c r="BQ14" s="108">
        <v>-13.818340816006355</v>
      </c>
    </row>
    <row r="15" spans="1:69">
      <c r="A15" t="s">
        <v>2320</v>
      </c>
      <c r="B15" t="s">
        <v>15</v>
      </c>
      <c r="C15" t="s">
        <v>27</v>
      </c>
      <c r="D15" t="s">
        <v>20</v>
      </c>
      <c r="E15" s="14">
        <v>17513</v>
      </c>
      <c r="G15" t="s">
        <v>2320</v>
      </c>
      <c r="H15" t="s">
        <v>15</v>
      </c>
      <c r="I15" t="s">
        <v>27</v>
      </c>
      <c r="J15" t="s">
        <v>20</v>
      </c>
      <c r="K15" s="14">
        <v>10858.311299999999</v>
      </c>
      <c r="M15" t="s">
        <v>2320</v>
      </c>
      <c r="N15" t="s">
        <v>18</v>
      </c>
      <c r="O15" t="s">
        <v>20</v>
      </c>
      <c r="P15" s="14">
        <v>-10.595632884500001</v>
      </c>
      <c r="R15" t="s">
        <v>2320</v>
      </c>
      <c r="S15" t="s">
        <v>18</v>
      </c>
      <c r="T15" t="s">
        <v>20</v>
      </c>
      <c r="U15" s="358">
        <v>-8.4261398155999991</v>
      </c>
      <c r="V15" t="s">
        <v>20</v>
      </c>
      <c r="X15" t="s">
        <v>2320</v>
      </c>
      <c r="Y15" t="s">
        <v>22</v>
      </c>
      <c r="Z15" t="s">
        <v>20</v>
      </c>
      <c r="AA15" s="14">
        <v>-1641.3731423321999</v>
      </c>
      <c r="AC15" t="s">
        <v>2320</v>
      </c>
      <c r="AD15" t="s">
        <v>25</v>
      </c>
      <c r="AE15" s="10" t="s">
        <v>20</v>
      </c>
      <c r="AF15" s="3">
        <v>-1744.6062569679</v>
      </c>
      <c r="AH15" t="s">
        <v>2335</v>
      </c>
      <c r="AI15" t="s">
        <v>67</v>
      </c>
      <c r="AJ15" t="s">
        <v>98</v>
      </c>
      <c r="AK15" s="3" t="s">
        <v>114</v>
      </c>
      <c r="AL15" s="3">
        <v>-144.41233818079999</v>
      </c>
      <c r="AN15" t="s">
        <v>2327</v>
      </c>
      <c r="AO15" t="s">
        <v>88</v>
      </c>
      <c r="AP15" t="s">
        <v>90</v>
      </c>
      <c r="AQ15" s="3">
        <v>28749.1</v>
      </c>
      <c r="AS15" t="s">
        <v>2335</v>
      </c>
      <c r="AT15" t="s">
        <v>196</v>
      </c>
      <c r="AU15" t="s">
        <v>198</v>
      </c>
      <c r="AV15" s="391">
        <v>7.6020316335849296</v>
      </c>
      <c r="AX15" s="1">
        <v>46289</v>
      </c>
      <c r="AY15" t="s">
        <v>195</v>
      </c>
      <c r="AZ15" s="3">
        <v>-800</v>
      </c>
      <c r="BB15" t="s">
        <v>2331</v>
      </c>
      <c r="BC15" t="s">
        <v>221</v>
      </c>
      <c r="BD15" s="357">
        <v>0</v>
      </c>
      <c r="BN15" s="13">
        <v>46080</v>
      </c>
      <c r="BO15" s="7" t="s">
        <v>277</v>
      </c>
      <c r="BP15" s="7" t="s">
        <v>81</v>
      </c>
      <c r="BQ15" s="108">
        <v>-56.598999999999997</v>
      </c>
    </row>
    <row r="16" spans="1:69">
      <c r="A16" t="s">
        <v>2319</v>
      </c>
      <c r="B16" t="s">
        <v>15</v>
      </c>
      <c r="C16" t="s">
        <v>27</v>
      </c>
      <c r="D16" t="s">
        <v>20</v>
      </c>
      <c r="E16" s="14">
        <v>17513</v>
      </c>
      <c r="G16" t="s">
        <v>2319</v>
      </c>
      <c r="H16" t="s">
        <v>15</v>
      </c>
      <c r="I16" t="s">
        <v>27</v>
      </c>
      <c r="J16" t="s">
        <v>20</v>
      </c>
      <c r="K16" s="14">
        <v>10858.311299999999</v>
      </c>
      <c r="M16" t="s">
        <v>2319</v>
      </c>
      <c r="N16" t="s">
        <v>18</v>
      </c>
      <c r="O16" t="s">
        <v>20</v>
      </c>
      <c r="P16" s="14">
        <v>-10.6029648205</v>
      </c>
      <c r="R16" t="s">
        <v>2319</v>
      </c>
      <c r="S16" t="s">
        <v>18</v>
      </c>
      <c r="T16" t="s">
        <v>20</v>
      </c>
      <c r="U16" s="358">
        <v>-8.4316400320000007</v>
      </c>
      <c r="V16" t="s">
        <v>20</v>
      </c>
      <c r="X16" t="s">
        <v>2319</v>
      </c>
      <c r="Y16" t="s">
        <v>22</v>
      </c>
      <c r="Z16" t="s">
        <v>20</v>
      </c>
      <c r="AA16" s="14">
        <v>-1637.3041740458</v>
      </c>
      <c r="AC16" t="s">
        <v>2319</v>
      </c>
      <c r="AD16" t="s">
        <v>25</v>
      </c>
      <c r="AE16" s="10" t="s">
        <v>20</v>
      </c>
      <c r="AF16" s="3">
        <v>-1741.5353032184</v>
      </c>
      <c r="AH16" t="s">
        <v>2335</v>
      </c>
      <c r="AI16" t="s">
        <v>67</v>
      </c>
      <c r="AJ16" t="s">
        <v>66</v>
      </c>
      <c r="AK16" s="3" t="s">
        <v>115</v>
      </c>
      <c r="AL16" s="3">
        <v>22526.02</v>
      </c>
      <c r="AN16" t="s">
        <v>2326</v>
      </c>
      <c r="AO16" t="s">
        <v>88</v>
      </c>
      <c r="AP16" t="s">
        <v>86</v>
      </c>
      <c r="AQ16" s="3">
        <v>12966.2096077401</v>
      </c>
      <c r="AS16" t="s">
        <v>2331</v>
      </c>
      <c r="AT16" t="s">
        <v>88</v>
      </c>
      <c r="AU16" t="s">
        <v>109</v>
      </c>
      <c r="AV16" s="14">
        <v>18899.099999999999</v>
      </c>
      <c r="AX16" s="1">
        <v>46289</v>
      </c>
      <c r="AY16" t="s">
        <v>200</v>
      </c>
      <c r="AZ16" s="3">
        <v>-1459</v>
      </c>
      <c r="BB16" t="s">
        <v>2331</v>
      </c>
      <c r="BC16" t="s">
        <v>245</v>
      </c>
      <c r="BD16" s="357">
        <v>34454.300000000003</v>
      </c>
      <c r="BN16" s="13">
        <v>46112</v>
      </c>
      <c r="BO16" s="7" t="s">
        <v>275</v>
      </c>
      <c r="BP16" s="7" t="s">
        <v>81</v>
      </c>
      <c r="BQ16" s="108">
        <v>-23.324770541142993</v>
      </c>
    </row>
    <row r="17" spans="1:69">
      <c r="A17" t="s">
        <v>2317</v>
      </c>
      <c r="B17" t="s">
        <v>15</v>
      </c>
      <c r="C17" t="s">
        <v>27</v>
      </c>
      <c r="D17" t="s">
        <v>20</v>
      </c>
      <c r="E17" s="14">
        <v>18513</v>
      </c>
      <c r="G17" t="s">
        <v>2317</v>
      </c>
      <c r="H17" t="s">
        <v>15</v>
      </c>
      <c r="I17" t="s">
        <v>27</v>
      </c>
      <c r="J17" t="s">
        <v>20</v>
      </c>
      <c r="K17" s="14">
        <v>10858.311299999999</v>
      </c>
      <c r="M17" t="s">
        <v>2317</v>
      </c>
      <c r="N17" t="s">
        <v>18</v>
      </c>
      <c r="O17" t="s">
        <v>20</v>
      </c>
      <c r="P17" s="14">
        <v>-11.388407249</v>
      </c>
      <c r="R17" t="s">
        <v>2317</v>
      </c>
      <c r="S17" t="s">
        <v>18</v>
      </c>
      <c r="T17" t="s">
        <v>20</v>
      </c>
      <c r="U17" s="358">
        <v>-8.4349222078999997</v>
      </c>
      <c r="V17" t="s">
        <v>20</v>
      </c>
      <c r="X17" t="s">
        <v>2317</v>
      </c>
      <c r="Y17" t="s">
        <v>22</v>
      </c>
      <c r="Z17" t="s">
        <v>20</v>
      </c>
      <c r="AA17" s="14">
        <v>-1635.3189724711999</v>
      </c>
      <c r="AC17" t="s">
        <v>2317</v>
      </c>
      <c r="AD17" t="s">
        <v>25</v>
      </c>
      <c r="AE17" s="10" t="s">
        <v>20</v>
      </c>
      <c r="AF17" s="3">
        <v>-1740.2685995979</v>
      </c>
      <c r="AH17" t="s">
        <v>2335</v>
      </c>
      <c r="AI17" t="s">
        <v>67</v>
      </c>
      <c r="AJ17" t="s">
        <v>98</v>
      </c>
      <c r="AK17" s="3" t="s">
        <v>115</v>
      </c>
      <c r="AL17" s="3">
        <v>-42.462006069700003</v>
      </c>
      <c r="AN17" t="s">
        <v>2326</v>
      </c>
      <c r="AO17" t="s">
        <v>88</v>
      </c>
      <c r="AP17" t="s">
        <v>90</v>
      </c>
      <c r="AQ17" s="3">
        <v>28749.1</v>
      </c>
      <c r="AS17" t="s">
        <v>2331</v>
      </c>
      <c r="AT17" t="s">
        <v>88</v>
      </c>
      <c r="AU17" t="s">
        <v>110</v>
      </c>
      <c r="AV17" s="14">
        <v>397.61059999999998</v>
      </c>
      <c r="AX17" s="1">
        <v>46289</v>
      </c>
      <c r="AY17" t="s">
        <v>281</v>
      </c>
      <c r="AZ17" s="3">
        <v>-605</v>
      </c>
      <c r="BB17" t="s">
        <v>2331</v>
      </c>
      <c r="BC17" t="s">
        <v>244</v>
      </c>
      <c r="BD17" s="357">
        <v>0</v>
      </c>
      <c r="BN17" s="13">
        <v>46112</v>
      </c>
      <c r="BO17" s="7" t="s">
        <v>275</v>
      </c>
      <c r="BP17" s="7" t="s">
        <v>99</v>
      </c>
      <c r="BQ17" s="108">
        <v>3.9186445876586387</v>
      </c>
    </row>
    <row r="18" spans="1:69">
      <c r="A18" t="s">
        <v>2309</v>
      </c>
      <c r="B18" t="s">
        <v>15</v>
      </c>
      <c r="C18" t="s">
        <v>27</v>
      </c>
      <c r="D18" t="s">
        <v>20</v>
      </c>
      <c r="E18" s="14">
        <v>17513</v>
      </c>
      <c r="G18" t="s">
        <v>2309</v>
      </c>
      <c r="H18" t="s">
        <v>15</v>
      </c>
      <c r="I18" t="s">
        <v>27</v>
      </c>
      <c r="J18" t="s">
        <v>20</v>
      </c>
      <c r="K18" s="14">
        <v>10858.311299999999</v>
      </c>
      <c r="M18" t="s">
        <v>2309</v>
      </c>
      <c r="N18" t="s">
        <v>18</v>
      </c>
      <c r="O18" t="s">
        <v>20</v>
      </c>
      <c r="P18" s="14">
        <v>-10.609883457500001</v>
      </c>
      <c r="R18" t="s">
        <v>2309</v>
      </c>
      <c r="S18" t="s">
        <v>18</v>
      </c>
      <c r="T18" t="s">
        <v>20</v>
      </c>
      <c r="U18" s="358">
        <v>-8.4350590589000003</v>
      </c>
      <c r="V18" t="s">
        <v>20</v>
      </c>
      <c r="X18" t="s">
        <v>2309</v>
      </c>
      <c r="Y18" t="s">
        <v>22</v>
      </c>
      <c r="Z18" t="s">
        <v>20</v>
      </c>
      <c r="AA18" s="14">
        <v>-1637.0617197209999</v>
      </c>
      <c r="AC18" t="s">
        <v>2309</v>
      </c>
      <c r="AD18" t="s">
        <v>25</v>
      </c>
      <c r="AE18" s="10" t="s">
        <v>20</v>
      </c>
      <c r="AF18" s="3">
        <v>-1742.1944580893</v>
      </c>
      <c r="AH18" t="s">
        <v>2335</v>
      </c>
      <c r="AI18" t="s">
        <v>68</v>
      </c>
      <c r="AJ18" t="s">
        <v>66</v>
      </c>
      <c r="AK18" s="3" t="s">
        <v>27</v>
      </c>
      <c r="AL18" s="3">
        <v>1847.4</v>
      </c>
      <c r="AN18" t="s">
        <v>2325</v>
      </c>
      <c r="AO18" t="s">
        <v>88</v>
      </c>
      <c r="AP18" t="s">
        <v>86</v>
      </c>
      <c r="AQ18" s="3">
        <v>12966.096047687401</v>
      </c>
      <c r="AS18" t="s">
        <v>2331</v>
      </c>
      <c r="AT18" t="s">
        <v>88</v>
      </c>
      <c r="AU18" t="s">
        <v>111</v>
      </c>
      <c r="AV18" s="14">
        <v>11000</v>
      </c>
      <c r="AX18" s="1">
        <v>46289</v>
      </c>
      <c r="AY18" t="s">
        <v>201</v>
      </c>
      <c r="AZ18" s="3">
        <v>7692.8208999999997</v>
      </c>
      <c r="BB18" t="s">
        <v>2331</v>
      </c>
      <c r="BC18" t="s">
        <v>243</v>
      </c>
      <c r="BD18" s="357">
        <v>0</v>
      </c>
      <c r="BN18" s="13">
        <v>46112</v>
      </c>
      <c r="BO18" s="7" t="s">
        <v>277</v>
      </c>
      <c r="BP18" s="7" t="s">
        <v>81</v>
      </c>
      <c r="BQ18" s="108">
        <v>-6.8920000000000003</v>
      </c>
    </row>
    <row r="19" spans="1:69">
      <c r="A19" t="s">
        <v>2308</v>
      </c>
      <c r="B19" t="s">
        <v>15</v>
      </c>
      <c r="C19" t="s">
        <v>27</v>
      </c>
      <c r="D19" t="s">
        <v>20</v>
      </c>
      <c r="E19" s="14">
        <v>17513</v>
      </c>
      <c r="G19" t="s">
        <v>2308</v>
      </c>
      <c r="H19" t="s">
        <v>15</v>
      </c>
      <c r="I19" t="s">
        <v>27</v>
      </c>
      <c r="J19" t="s">
        <v>20</v>
      </c>
      <c r="K19" s="14">
        <v>10858.311299999999</v>
      </c>
      <c r="M19" t="s">
        <v>2308</v>
      </c>
      <c r="N19" t="s">
        <v>18</v>
      </c>
      <c r="O19" t="s">
        <v>20</v>
      </c>
      <c r="P19" s="14">
        <v>-10.612477029000001</v>
      </c>
      <c r="R19" t="s">
        <v>2308</v>
      </c>
      <c r="S19" t="s">
        <v>18</v>
      </c>
      <c r="T19" t="s">
        <v>20</v>
      </c>
      <c r="U19" s="358">
        <v>-8.4355926362000009</v>
      </c>
      <c r="V19" t="s">
        <v>20</v>
      </c>
      <c r="X19" t="s">
        <v>2308</v>
      </c>
      <c r="Y19" t="s">
        <v>22</v>
      </c>
      <c r="Z19" t="s">
        <v>20</v>
      </c>
      <c r="AA19" s="14">
        <v>-1637.7747929523</v>
      </c>
      <c r="AC19" t="s">
        <v>2308</v>
      </c>
      <c r="AD19" t="s">
        <v>25</v>
      </c>
      <c r="AE19" s="10" t="s">
        <v>20</v>
      </c>
      <c r="AF19" s="3">
        <v>-1743.5762632758001</v>
      </c>
      <c r="AH19" t="s">
        <v>2335</v>
      </c>
      <c r="AI19" t="s">
        <v>68</v>
      </c>
      <c r="AJ19" t="s">
        <v>72</v>
      </c>
      <c r="AK19" s="3" t="s">
        <v>27</v>
      </c>
      <c r="AL19" s="3">
        <v>1705.8913239999999</v>
      </c>
      <c r="AN19" t="s">
        <v>2325</v>
      </c>
      <c r="AO19" t="s">
        <v>88</v>
      </c>
      <c r="AP19" t="s">
        <v>90</v>
      </c>
      <c r="AQ19" s="3">
        <v>28799.1</v>
      </c>
      <c r="AS19" t="s">
        <v>2331</v>
      </c>
      <c r="AT19" t="s">
        <v>88</v>
      </c>
      <c r="AU19" t="s">
        <v>268</v>
      </c>
      <c r="AV19" s="14">
        <v>0</v>
      </c>
      <c r="AX19" s="1">
        <v>46288</v>
      </c>
      <c r="AY19" t="s">
        <v>185</v>
      </c>
      <c r="AZ19" s="3">
        <v>12899.311299999999</v>
      </c>
      <c r="BB19" t="s">
        <v>2331</v>
      </c>
      <c r="BC19" t="s">
        <v>242</v>
      </c>
      <c r="BD19" s="357">
        <v>0</v>
      </c>
      <c r="BN19" s="13">
        <v>46112</v>
      </c>
      <c r="BO19" s="7" t="s">
        <v>277</v>
      </c>
      <c r="BP19" s="7" t="s">
        <v>99</v>
      </c>
      <c r="BQ19" s="108">
        <v>-24.617000000000001</v>
      </c>
    </row>
    <row r="20" spans="1:69">
      <c r="A20" t="s">
        <v>2053</v>
      </c>
      <c r="B20" t="s">
        <v>15</v>
      </c>
      <c r="C20" t="s">
        <v>27</v>
      </c>
      <c r="D20" t="s">
        <v>20</v>
      </c>
      <c r="E20" s="14">
        <v>17513</v>
      </c>
      <c r="G20" t="s">
        <v>2053</v>
      </c>
      <c r="H20" t="s">
        <v>15</v>
      </c>
      <c r="I20" t="s">
        <v>27</v>
      </c>
      <c r="J20" t="s">
        <v>20</v>
      </c>
      <c r="K20" s="14">
        <v>10858.311299999999</v>
      </c>
      <c r="M20" t="s">
        <v>2053</v>
      </c>
      <c r="N20" t="s">
        <v>18</v>
      </c>
      <c r="O20" t="s">
        <v>20</v>
      </c>
      <c r="P20" s="14">
        <v>-10.621376741800001</v>
      </c>
      <c r="R20" t="s">
        <v>2053</v>
      </c>
      <c r="S20" t="s">
        <v>18</v>
      </c>
      <c r="T20" t="s">
        <v>20</v>
      </c>
      <c r="U20" s="358">
        <v>-8.4413599216000001</v>
      </c>
      <c r="V20" t="s">
        <v>20</v>
      </c>
      <c r="X20" t="s">
        <v>2053</v>
      </c>
      <c r="Y20" t="s">
        <v>22</v>
      </c>
      <c r="Z20" t="s">
        <v>20</v>
      </c>
      <c r="AA20" s="14">
        <v>-1639.6464789761001</v>
      </c>
      <c r="AC20" t="s">
        <v>2053</v>
      </c>
      <c r="AD20" t="s">
        <v>25</v>
      </c>
      <c r="AE20" s="10" t="s">
        <v>20</v>
      </c>
      <c r="AF20" s="3">
        <v>-1744.2174312212001</v>
      </c>
      <c r="AH20" t="s">
        <v>2335</v>
      </c>
      <c r="AI20" t="s">
        <v>68</v>
      </c>
      <c r="AJ20" t="s">
        <v>113</v>
      </c>
      <c r="AK20" s="3" t="s">
        <v>27</v>
      </c>
      <c r="AL20" s="3">
        <v>-65.268159181000001</v>
      </c>
      <c r="AN20" t="s">
        <v>2324</v>
      </c>
      <c r="AO20" t="s">
        <v>88</v>
      </c>
      <c r="AP20" t="s">
        <v>86</v>
      </c>
      <c r="AQ20" s="3">
        <v>12965.7012640023</v>
      </c>
      <c r="AS20" t="s">
        <v>2331</v>
      </c>
      <c r="AT20" t="s">
        <v>88</v>
      </c>
      <c r="AU20" t="s">
        <v>269</v>
      </c>
      <c r="AV20" s="14">
        <v>0</v>
      </c>
      <c r="AX20" s="1">
        <v>46288</v>
      </c>
      <c r="AY20" t="s">
        <v>195</v>
      </c>
      <c r="AZ20" s="3">
        <v>-800</v>
      </c>
      <c r="BB20" t="s">
        <v>2331</v>
      </c>
      <c r="BC20" t="s">
        <v>241</v>
      </c>
      <c r="BD20" s="357">
        <v>0</v>
      </c>
      <c r="BN20" s="13">
        <v>46112</v>
      </c>
      <c r="BO20" s="7" t="s">
        <v>276</v>
      </c>
      <c r="BP20" s="7" t="s">
        <v>81</v>
      </c>
      <c r="BQ20" s="108">
        <v>-12.727281089906239</v>
      </c>
    </row>
    <row r="21" spans="1:69">
      <c r="A21" t="s">
        <v>2044</v>
      </c>
      <c r="B21" t="s">
        <v>15</v>
      </c>
      <c r="C21" t="s">
        <v>27</v>
      </c>
      <c r="D21" t="s">
        <v>20</v>
      </c>
      <c r="E21" s="14">
        <v>17513</v>
      </c>
      <c r="G21" t="s">
        <v>2044</v>
      </c>
      <c r="H21" t="s">
        <v>15</v>
      </c>
      <c r="I21" t="s">
        <v>27</v>
      </c>
      <c r="J21" t="s">
        <v>20</v>
      </c>
      <c r="K21" s="14">
        <v>10858.311299999999</v>
      </c>
      <c r="M21" t="s">
        <v>2044</v>
      </c>
      <c r="N21" t="s">
        <v>18</v>
      </c>
      <c r="O21" t="s">
        <v>20</v>
      </c>
      <c r="P21" s="14">
        <v>-10.6272499538</v>
      </c>
      <c r="R21" t="s">
        <v>2044</v>
      </c>
      <c r="S21" t="s">
        <v>18</v>
      </c>
      <c r="T21" t="s">
        <v>20</v>
      </c>
      <c r="U21" s="358">
        <v>-8.4438312724000006</v>
      </c>
      <c r="V21" t="s">
        <v>20</v>
      </c>
      <c r="X21" t="s">
        <v>2044</v>
      </c>
      <c r="Y21" t="s">
        <v>22</v>
      </c>
      <c r="Z21" t="s">
        <v>20</v>
      </c>
      <c r="AA21" s="14">
        <v>-1635.9934249354001</v>
      </c>
      <c r="AC21" t="s">
        <v>2044</v>
      </c>
      <c r="AD21" t="s">
        <v>25</v>
      </c>
      <c r="AE21" s="10" t="s">
        <v>20</v>
      </c>
      <c r="AF21" s="3">
        <v>-1743.7374750636</v>
      </c>
      <c r="AH21" t="s">
        <v>2335</v>
      </c>
      <c r="AI21" t="s">
        <v>68</v>
      </c>
      <c r="AJ21" t="s">
        <v>108</v>
      </c>
      <c r="AK21" s="3" t="s">
        <v>27</v>
      </c>
      <c r="AL21" s="3">
        <v>-76.240516819000007</v>
      </c>
      <c r="AN21" t="s">
        <v>2324</v>
      </c>
      <c r="AO21" t="s">
        <v>88</v>
      </c>
      <c r="AP21" t="s">
        <v>90</v>
      </c>
      <c r="AQ21" s="3">
        <v>28799.1</v>
      </c>
      <c r="AS21" t="s">
        <v>2331</v>
      </c>
      <c r="AT21" t="s">
        <v>88</v>
      </c>
      <c r="AU21" t="s">
        <v>270</v>
      </c>
      <c r="AV21" s="14">
        <v>0</v>
      </c>
      <c r="AX21" s="1">
        <v>46288</v>
      </c>
      <c r="AY21" t="s">
        <v>200</v>
      </c>
      <c r="AZ21" s="3">
        <v>-1459</v>
      </c>
      <c r="BB21" t="s">
        <v>2331</v>
      </c>
      <c r="BC21" t="s">
        <v>240</v>
      </c>
      <c r="BD21" s="357">
        <v>0</v>
      </c>
      <c r="BN21" s="13">
        <v>46112</v>
      </c>
      <c r="BO21" s="7" t="s">
        <v>276</v>
      </c>
      <c r="BP21" s="7" t="s">
        <v>99</v>
      </c>
      <c r="BQ21" s="108">
        <v>-3.892796E-3</v>
      </c>
    </row>
    <row r="22" spans="1:69">
      <c r="A22" t="s">
        <v>2043</v>
      </c>
      <c r="B22" t="s">
        <v>15</v>
      </c>
      <c r="C22" t="s">
        <v>27</v>
      </c>
      <c r="D22" t="s">
        <v>20</v>
      </c>
      <c r="E22" s="14">
        <v>17513</v>
      </c>
      <c r="G22" t="s">
        <v>2043</v>
      </c>
      <c r="H22" t="s">
        <v>15</v>
      </c>
      <c r="I22" t="s">
        <v>27</v>
      </c>
      <c r="J22" t="s">
        <v>20</v>
      </c>
      <c r="K22" s="14">
        <v>10858.311299999999</v>
      </c>
      <c r="M22" t="s">
        <v>2043</v>
      </c>
      <c r="N22" t="s">
        <v>18</v>
      </c>
      <c r="O22" t="s">
        <v>20</v>
      </c>
      <c r="P22" s="14">
        <v>-10.645370185000001</v>
      </c>
      <c r="R22" t="s">
        <v>2043</v>
      </c>
      <c r="S22" t="s">
        <v>18</v>
      </c>
      <c r="T22" t="s">
        <v>20</v>
      </c>
      <c r="U22" s="358">
        <v>-8.4550612165000008</v>
      </c>
      <c r="V22" t="s">
        <v>20</v>
      </c>
      <c r="X22" t="s">
        <v>2043</v>
      </c>
      <c r="Y22" t="s">
        <v>22</v>
      </c>
      <c r="Z22" t="s">
        <v>20</v>
      </c>
      <c r="AA22" s="14">
        <v>-1640.2643233217</v>
      </c>
      <c r="AC22" t="s">
        <v>2043</v>
      </c>
      <c r="AD22" t="s">
        <v>25</v>
      </c>
      <c r="AE22" s="10" t="s">
        <v>20</v>
      </c>
      <c r="AF22" s="3">
        <v>-1745.4061688864001</v>
      </c>
      <c r="AH22" t="s">
        <v>2335</v>
      </c>
      <c r="AI22" t="s">
        <v>68</v>
      </c>
      <c r="AJ22" t="s">
        <v>98</v>
      </c>
      <c r="AK22" s="3" t="s">
        <v>27</v>
      </c>
      <c r="AL22" s="3">
        <v>-76.240516819000007</v>
      </c>
      <c r="AN22" t="s">
        <v>2323</v>
      </c>
      <c r="AO22" t="s">
        <v>88</v>
      </c>
      <c r="AP22" t="s">
        <v>86</v>
      </c>
      <c r="AQ22" s="3">
        <v>12965.0806028722</v>
      </c>
      <c r="AS22" t="s">
        <v>2331</v>
      </c>
      <c r="AT22" t="s">
        <v>88</v>
      </c>
      <c r="AU22" t="s">
        <v>271</v>
      </c>
      <c r="AV22" s="14">
        <v>8550</v>
      </c>
      <c r="AX22" s="1">
        <v>46288</v>
      </c>
      <c r="AY22" t="s">
        <v>281</v>
      </c>
      <c r="AZ22" s="3">
        <v>-605</v>
      </c>
      <c r="BB22" t="s">
        <v>2331</v>
      </c>
      <c r="BC22" t="s">
        <v>239</v>
      </c>
      <c r="BD22" s="357">
        <v>0</v>
      </c>
      <c r="BN22" s="13">
        <v>46141</v>
      </c>
      <c r="BO22" s="7" t="s">
        <v>276</v>
      </c>
      <c r="BP22" s="7" t="s">
        <v>81</v>
      </c>
      <c r="BQ22" s="108">
        <v>-10.589189414096406</v>
      </c>
    </row>
    <row r="23" spans="1:69">
      <c r="A23" t="s">
        <v>2042</v>
      </c>
      <c r="B23" t="s">
        <v>15</v>
      </c>
      <c r="C23" t="s">
        <v>27</v>
      </c>
      <c r="D23" t="s">
        <v>20</v>
      </c>
      <c r="E23" s="14">
        <v>17513</v>
      </c>
      <c r="G23" t="s">
        <v>2042</v>
      </c>
      <c r="H23" t="s">
        <v>15</v>
      </c>
      <c r="I23" t="s">
        <v>27</v>
      </c>
      <c r="J23" t="s">
        <v>20</v>
      </c>
      <c r="K23" s="14">
        <v>10858.311299999999</v>
      </c>
      <c r="Z23" s="3"/>
      <c r="AC23"/>
      <c r="AE23" s="3"/>
      <c r="AH23" t="s">
        <v>2335</v>
      </c>
      <c r="AI23" t="s">
        <v>68</v>
      </c>
      <c r="AJ23" t="s">
        <v>66</v>
      </c>
      <c r="AK23" s="3" t="s">
        <v>114</v>
      </c>
      <c r="AL23" s="3">
        <v>7763.4</v>
      </c>
      <c r="AN23" t="s">
        <v>2323</v>
      </c>
      <c r="AO23" t="s">
        <v>88</v>
      </c>
      <c r="AP23" t="s">
        <v>90</v>
      </c>
      <c r="AQ23" s="3">
        <v>28799.1</v>
      </c>
      <c r="AS23" t="s">
        <v>2331</v>
      </c>
      <c r="AT23" t="s">
        <v>88</v>
      </c>
      <c r="AU23" t="s">
        <v>272</v>
      </c>
      <c r="AV23" s="14">
        <v>0</v>
      </c>
      <c r="AX23" s="1">
        <v>46288</v>
      </c>
      <c r="AY23" t="s">
        <v>201</v>
      </c>
      <c r="AZ23" s="3">
        <v>8042.8208999999997</v>
      </c>
      <c r="BB23" t="s">
        <v>2331</v>
      </c>
      <c r="BC23" t="s">
        <v>238</v>
      </c>
      <c r="BD23" s="357">
        <v>0</v>
      </c>
      <c r="BN23" s="13">
        <v>46141</v>
      </c>
      <c r="BO23" s="7" t="s">
        <v>277</v>
      </c>
      <c r="BP23" s="7" t="s">
        <v>99</v>
      </c>
      <c r="BQ23" s="108">
        <v>-16.905000000000001</v>
      </c>
    </row>
    <row r="24" spans="1:69">
      <c r="A24" t="s">
        <v>2041</v>
      </c>
      <c r="B24" t="s">
        <v>15</v>
      </c>
      <c r="C24" t="s">
        <v>27</v>
      </c>
      <c r="D24" t="s">
        <v>20</v>
      </c>
      <c r="E24" s="14">
        <v>17513</v>
      </c>
      <c r="G24" t="s">
        <v>2041</v>
      </c>
      <c r="H24" t="s">
        <v>15</v>
      </c>
      <c r="I24" t="s">
        <v>27</v>
      </c>
      <c r="J24" t="s">
        <v>20</v>
      </c>
      <c r="K24" s="14">
        <v>10858.311299999999</v>
      </c>
      <c r="Z24" s="3"/>
      <c r="AC24"/>
      <c r="AE24" s="3"/>
      <c r="AH24" t="s">
        <v>2335</v>
      </c>
      <c r="AI24" t="s">
        <v>68</v>
      </c>
      <c r="AJ24" t="s">
        <v>98</v>
      </c>
      <c r="AK24" s="3" t="s">
        <v>114</v>
      </c>
      <c r="AL24" s="3">
        <v>-478.75171616440002</v>
      </c>
      <c r="AN24" t="s">
        <v>2321</v>
      </c>
      <c r="AO24" t="s">
        <v>88</v>
      </c>
      <c r="AP24" t="s">
        <v>86</v>
      </c>
      <c r="AQ24" s="3">
        <v>12965.495842660999</v>
      </c>
      <c r="AS24" t="s">
        <v>2331</v>
      </c>
      <c r="AT24" t="s">
        <v>88</v>
      </c>
      <c r="AU24" t="s">
        <v>273</v>
      </c>
      <c r="AV24" s="14">
        <v>0</v>
      </c>
      <c r="AX24" s="1">
        <v>46287</v>
      </c>
      <c r="AY24" t="s">
        <v>185</v>
      </c>
      <c r="AZ24" s="3">
        <v>11846.530699999999</v>
      </c>
      <c r="BB24" t="s">
        <v>2331</v>
      </c>
      <c r="BC24" t="s">
        <v>248</v>
      </c>
      <c r="BD24" s="357">
        <v>28046.7</v>
      </c>
      <c r="BN24" s="13">
        <v>46141</v>
      </c>
      <c r="BO24" s="7" t="s">
        <v>276</v>
      </c>
      <c r="BP24" s="7" t="s">
        <v>99</v>
      </c>
      <c r="BQ24" s="108">
        <v>-3.892796E-3</v>
      </c>
    </row>
    <row r="25" spans="1:69">
      <c r="A25" t="s">
        <v>2040</v>
      </c>
      <c r="B25" t="s">
        <v>15</v>
      </c>
      <c r="C25" t="s">
        <v>27</v>
      </c>
      <c r="D25" t="s">
        <v>20</v>
      </c>
      <c r="E25" s="14">
        <v>17513</v>
      </c>
      <c r="G25" t="s">
        <v>2040</v>
      </c>
      <c r="H25" t="s">
        <v>15</v>
      </c>
      <c r="I25" t="s">
        <v>27</v>
      </c>
      <c r="J25" t="s">
        <v>20</v>
      </c>
      <c r="K25" s="14">
        <v>10858.311299999999</v>
      </c>
      <c r="Z25" s="3"/>
      <c r="AC25"/>
      <c r="AE25" s="3"/>
      <c r="AH25" t="s">
        <v>2335</v>
      </c>
      <c r="AI25" t="s">
        <v>68</v>
      </c>
      <c r="AJ25" t="s">
        <v>66</v>
      </c>
      <c r="AK25" s="3" t="s">
        <v>115</v>
      </c>
      <c r="AL25" s="3">
        <v>5916</v>
      </c>
      <c r="AN25" t="s">
        <v>2321</v>
      </c>
      <c r="AO25" t="s">
        <v>88</v>
      </c>
      <c r="AP25" t="s">
        <v>90</v>
      </c>
      <c r="AQ25" s="3">
        <v>28799.1</v>
      </c>
      <c r="AS25" t="s">
        <v>2331</v>
      </c>
      <c r="AT25" t="s">
        <v>196</v>
      </c>
      <c r="AU25" t="s">
        <v>197</v>
      </c>
      <c r="AV25" s="14">
        <v>7.6807069475662599</v>
      </c>
      <c r="AX25" s="1">
        <v>46287</v>
      </c>
      <c r="AY25" t="s">
        <v>195</v>
      </c>
      <c r="AZ25" s="3">
        <v>-800</v>
      </c>
      <c r="BB25" t="s">
        <v>2331</v>
      </c>
      <c r="BC25" t="s">
        <v>247</v>
      </c>
      <c r="BD25" s="357">
        <v>33845.699999999997</v>
      </c>
      <c r="BN25" s="13">
        <v>46141</v>
      </c>
      <c r="BO25" s="7" t="s">
        <v>275</v>
      </c>
      <c r="BP25" s="7" t="s">
        <v>99</v>
      </c>
      <c r="BQ25" s="108">
        <v>12.845422649891303</v>
      </c>
    </row>
    <row r="26" spans="1:69">
      <c r="A26" t="s">
        <v>2034</v>
      </c>
      <c r="B26" t="s">
        <v>15</v>
      </c>
      <c r="C26" t="s">
        <v>27</v>
      </c>
      <c r="D26" t="s">
        <v>20</v>
      </c>
      <c r="E26" s="14">
        <v>17513</v>
      </c>
      <c r="G26" t="s">
        <v>2034</v>
      </c>
      <c r="H26" t="s">
        <v>15</v>
      </c>
      <c r="I26" t="s">
        <v>27</v>
      </c>
      <c r="J26" t="s">
        <v>20</v>
      </c>
      <c r="K26" s="14">
        <v>10858.311299999999</v>
      </c>
      <c r="Z26" s="3"/>
      <c r="AC26"/>
      <c r="AE26" s="3"/>
      <c r="AH26" t="s">
        <v>2335</v>
      </c>
      <c r="AI26" t="s">
        <v>68</v>
      </c>
      <c r="AJ26" t="s">
        <v>98</v>
      </c>
      <c r="AK26" s="3" t="s">
        <v>115</v>
      </c>
      <c r="AL26" s="3">
        <v>-402.51119934529999</v>
      </c>
      <c r="AN26" t="s">
        <v>2320</v>
      </c>
      <c r="AO26" t="s">
        <v>88</v>
      </c>
      <c r="AP26" t="s">
        <v>86</v>
      </c>
      <c r="AQ26" s="3">
        <v>12963.987826337499</v>
      </c>
      <c r="AS26" t="s">
        <v>2331</v>
      </c>
      <c r="AT26" t="s">
        <v>196</v>
      </c>
      <c r="AU26" t="s">
        <v>109</v>
      </c>
      <c r="AV26" s="14">
        <v>7.3566433136777798</v>
      </c>
      <c r="AX26" s="1">
        <v>46287</v>
      </c>
      <c r="AY26" t="s">
        <v>200</v>
      </c>
      <c r="AZ26" s="3">
        <v>-1459</v>
      </c>
      <c r="BB26" t="s">
        <v>2331</v>
      </c>
      <c r="BC26" t="s">
        <v>246</v>
      </c>
      <c r="BD26" s="357">
        <v>34767.699999999997</v>
      </c>
      <c r="BN26" s="13">
        <v>46141</v>
      </c>
      <c r="BO26" s="7" t="s">
        <v>275</v>
      </c>
      <c r="BP26" s="7" t="s">
        <v>81</v>
      </c>
      <c r="BQ26" s="108">
        <v>-9.9944719935248436</v>
      </c>
    </row>
    <row r="27" spans="1:69">
      <c r="A27" t="s">
        <v>2033</v>
      </c>
      <c r="B27" t="s">
        <v>15</v>
      </c>
      <c r="C27" t="s">
        <v>27</v>
      </c>
      <c r="D27" t="s">
        <v>20</v>
      </c>
      <c r="E27" s="14">
        <v>17513</v>
      </c>
      <c r="G27" t="s">
        <v>2033</v>
      </c>
      <c r="H27" t="s">
        <v>15</v>
      </c>
      <c r="I27" t="s">
        <v>27</v>
      </c>
      <c r="J27" t="s">
        <v>20</v>
      </c>
      <c r="K27" s="14">
        <v>10858.311299999999</v>
      </c>
      <c r="Z27" s="3"/>
      <c r="AC27"/>
      <c r="AE27" s="3"/>
      <c r="AH27" t="s">
        <v>2335</v>
      </c>
      <c r="AI27" t="s">
        <v>800</v>
      </c>
      <c r="AJ27" t="s">
        <v>31</v>
      </c>
      <c r="AK27" s="3" t="s">
        <v>27</v>
      </c>
      <c r="AL27" s="3">
        <v>4.1229722165</v>
      </c>
      <c r="AN27" t="s">
        <v>2320</v>
      </c>
      <c r="AO27" t="s">
        <v>88</v>
      </c>
      <c r="AP27" t="s">
        <v>90</v>
      </c>
      <c r="AQ27" s="3">
        <v>28799.1</v>
      </c>
      <c r="AS27" t="s">
        <v>2331</v>
      </c>
      <c r="AT27" t="s">
        <v>196</v>
      </c>
      <c r="AU27" t="s">
        <v>198</v>
      </c>
      <c r="AV27" s="14">
        <v>7.6020316335849296</v>
      </c>
      <c r="AX27" s="1">
        <v>46287</v>
      </c>
      <c r="AY27" t="s">
        <v>281</v>
      </c>
      <c r="AZ27" s="3">
        <v>-605</v>
      </c>
      <c r="BB27" t="s">
        <v>2331</v>
      </c>
      <c r="BC27" t="s">
        <v>237</v>
      </c>
      <c r="BD27" s="357">
        <v>0</v>
      </c>
      <c r="BN27" s="13">
        <v>46141</v>
      </c>
      <c r="BO27" s="7" t="s">
        <v>277</v>
      </c>
      <c r="BP27" s="7" t="s">
        <v>81</v>
      </c>
      <c r="BQ27" s="108">
        <v>-8.6370000000000005</v>
      </c>
    </row>
    <row r="28" spans="1:69">
      <c r="A28" t="s">
        <v>2032</v>
      </c>
      <c r="B28" t="s">
        <v>15</v>
      </c>
      <c r="C28" t="s">
        <v>27</v>
      </c>
      <c r="D28" t="s">
        <v>20</v>
      </c>
      <c r="E28" s="14">
        <v>17513</v>
      </c>
      <c r="G28" t="s">
        <v>2032</v>
      </c>
      <c r="H28" t="s">
        <v>15</v>
      </c>
      <c r="I28" t="s">
        <v>27</v>
      </c>
      <c r="J28" t="s">
        <v>20</v>
      </c>
      <c r="K28" s="14">
        <v>10858.311299999999</v>
      </c>
      <c r="Z28" s="3"/>
      <c r="AC28"/>
      <c r="AE28" s="3"/>
      <c r="AH28" t="s">
        <v>2331</v>
      </c>
      <c r="AI28" t="s">
        <v>800</v>
      </c>
      <c r="AJ28" t="s">
        <v>31</v>
      </c>
      <c r="AK28" s="3" t="s">
        <v>27</v>
      </c>
      <c r="AL28" s="3">
        <v>4.0940599042999999</v>
      </c>
      <c r="AN28" t="s">
        <v>2319</v>
      </c>
      <c r="AO28" t="s">
        <v>88</v>
      </c>
      <c r="AP28" t="s">
        <v>86</v>
      </c>
      <c r="AQ28" s="3">
        <v>12963.8042949391</v>
      </c>
      <c r="AS28" t="s">
        <v>2330</v>
      </c>
      <c r="AT28" t="s">
        <v>88</v>
      </c>
      <c r="AU28" t="s">
        <v>109</v>
      </c>
      <c r="AV28" s="14">
        <v>16599.099999999999</v>
      </c>
      <c r="AX28" s="1">
        <v>46287</v>
      </c>
      <c r="AY28" t="s">
        <v>201</v>
      </c>
      <c r="AZ28" s="3">
        <v>8770.0403000000006</v>
      </c>
      <c r="BN28" s="13">
        <v>46171</v>
      </c>
      <c r="BO28" s="7" t="s">
        <v>275</v>
      </c>
      <c r="BP28" s="7" t="s">
        <v>81</v>
      </c>
      <c r="BQ28" s="108">
        <v>-14.006185501709231</v>
      </c>
    </row>
    <row r="29" spans="1:69">
      <c r="A29" t="s">
        <v>2026</v>
      </c>
      <c r="B29" t="s">
        <v>15</v>
      </c>
      <c r="C29" t="s">
        <v>27</v>
      </c>
      <c r="D29" t="s">
        <v>20</v>
      </c>
      <c r="E29" s="14">
        <v>17513</v>
      </c>
      <c r="G29" t="s">
        <v>2026</v>
      </c>
      <c r="H29" t="s">
        <v>15</v>
      </c>
      <c r="I29" t="s">
        <v>27</v>
      </c>
      <c r="J29" t="s">
        <v>20</v>
      </c>
      <c r="K29" s="14">
        <v>10858.311299999999</v>
      </c>
      <c r="Z29" s="3"/>
      <c r="AC29"/>
      <c r="AE29" s="3"/>
      <c r="AH29" t="s">
        <v>2331</v>
      </c>
      <c r="AI29" t="s">
        <v>65</v>
      </c>
      <c r="AJ29" t="s">
        <v>66</v>
      </c>
      <c r="AK29" s="3" t="s">
        <v>27</v>
      </c>
      <c r="AL29" s="3">
        <v>38020.300000000003</v>
      </c>
      <c r="AN29" t="s">
        <v>2319</v>
      </c>
      <c r="AO29" t="s">
        <v>88</v>
      </c>
      <c r="AP29" t="s">
        <v>90</v>
      </c>
      <c r="AQ29" s="3">
        <v>27899.1</v>
      </c>
      <c r="AS29" t="s">
        <v>2330</v>
      </c>
      <c r="AT29" t="s">
        <v>88</v>
      </c>
      <c r="AU29" t="s">
        <v>110</v>
      </c>
      <c r="AV29" s="14">
        <v>397.61059999999998</v>
      </c>
      <c r="AX29" s="1">
        <v>46286</v>
      </c>
      <c r="AY29" t="s">
        <v>185</v>
      </c>
      <c r="AZ29" s="3">
        <v>15607.311299999999</v>
      </c>
      <c r="BN29" s="13">
        <v>46171</v>
      </c>
      <c r="BO29" s="7" t="s">
        <v>275</v>
      </c>
      <c r="BP29" s="7" t="s">
        <v>99</v>
      </c>
      <c r="BQ29" s="108">
        <v>12.177065909192775</v>
      </c>
    </row>
    <row r="30" spans="1:69">
      <c r="A30" t="s">
        <v>2025</v>
      </c>
      <c r="B30" t="s">
        <v>15</v>
      </c>
      <c r="C30" t="s">
        <v>27</v>
      </c>
      <c r="D30" t="s">
        <v>20</v>
      </c>
      <c r="E30" s="14">
        <v>17513</v>
      </c>
      <c r="G30" t="s">
        <v>2025</v>
      </c>
      <c r="H30" t="s">
        <v>15</v>
      </c>
      <c r="I30" t="s">
        <v>27</v>
      </c>
      <c r="J30" t="s">
        <v>20</v>
      </c>
      <c r="K30" s="14">
        <v>10858.311299999999</v>
      </c>
      <c r="Z30" s="3"/>
      <c r="AC30"/>
      <c r="AE30" s="3"/>
      <c r="AH30" t="s">
        <v>2331</v>
      </c>
      <c r="AI30" t="s">
        <v>65</v>
      </c>
      <c r="AJ30" t="s">
        <v>72</v>
      </c>
      <c r="AK30" s="3" t="s">
        <v>27</v>
      </c>
      <c r="AL30" s="3">
        <v>38033.783694999998</v>
      </c>
      <c r="AN30" t="s">
        <v>2317</v>
      </c>
      <c r="AO30" t="s">
        <v>88</v>
      </c>
      <c r="AP30" t="s">
        <v>86</v>
      </c>
      <c r="AQ30" s="3">
        <v>12963.799993422001</v>
      </c>
      <c r="AS30" t="s">
        <v>2330</v>
      </c>
      <c r="AT30" t="s">
        <v>88</v>
      </c>
      <c r="AU30" t="s">
        <v>111</v>
      </c>
      <c r="AV30" s="14">
        <v>11000</v>
      </c>
      <c r="AX30" s="1">
        <v>46286</v>
      </c>
      <c r="AY30" t="s">
        <v>195</v>
      </c>
      <c r="AZ30" s="3">
        <v>-800</v>
      </c>
      <c r="BN30" s="13">
        <v>46171</v>
      </c>
      <c r="BO30" s="7" t="s">
        <v>277</v>
      </c>
      <c r="BP30" s="7" t="s">
        <v>81</v>
      </c>
      <c r="BQ30" s="108">
        <v>-31.376999999999999</v>
      </c>
    </row>
    <row r="31" spans="1:69">
      <c r="A31" t="s">
        <v>2024</v>
      </c>
      <c r="B31" t="s">
        <v>15</v>
      </c>
      <c r="C31" t="s">
        <v>27</v>
      </c>
      <c r="D31" t="s">
        <v>20</v>
      </c>
      <c r="E31" s="14">
        <v>17513</v>
      </c>
      <c r="G31" t="s">
        <v>2024</v>
      </c>
      <c r="H31" t="s">
        <v>15</v>
      </c>
      <c r="I31" t="s">
        <v>27</v>
      </c>
      <c r="J31" t="s">
        <v>20</v>
      </c>
      <c r="K31" s="14">
        <v>10858.311299999999</v>
      </c>
      <c r="Z31" s="3"/>
      <c r="AB31" s="395"/>
      <c r="AC31"/>
      <c r="AE31" s="3"/>
      <c r="AH31" t="s">
        <v>2331</v>
      </c>
      <c r="AI31" t="s">
        <v>65</v>
      </c>
      <c r="AJ31" t="s">
        <v>113</v>
      </c>
      <c r="AK31" s="3" t="s">
        <v>27</v>
      </c>
      <c r="AL31" s="3">
        <v>1658.4946931529</v>
      </c>
      <c r="AN31" t="s">
        <v>2317</v>
      </c>
      <c r="AO31" t="s">
        <v>88</v>
      </c>
      <c r="AP31" t="s">
        <v>90</v>
      </c>
      <c r="AQ31" s="3">
        <v>27899.1</v>
      </c>
      <c r="AS31" t="s">
        <v>2330</v>
      </c>
      <c r="AT31" t="s">
        <v>88</v>
      </c>
      <c r="AU31" t="s">
        <v>268</v>
      </c>
      <c r="AV31" s="14">
        <v>0</v>
      </c>
      <c r="AX31" s="1">
        <v>46286</v>
      </c>
      <c r="AY31" t="s">
        <v>200</v>
      </c>
      <c r="AZ31" s="3">
        <v>-1459</v>
      </c>
      <c r="BN31" s="13">
        <v>46171</v>
      </c>
      <c r="BO31" s="7" t="s">
        <v>277</v>
      </c>
      <c r="BP31" s="7" t="s">
        <v>99</v>
      </c>
      <c r="BQ31" s="108">
        <v>5.7329999999999997</v>
      </c>
    </row>
    <row r="32" spans="1:69">
      <c r="A32" t="s">
        <v>2023</v>
      </c>
      <c r="B32" t="s">
        <v>15</v>
      </c>
      <c r="C32" t="s">
        <v>27</v>
      </c>
      <c r="D32" t="s">
        <v>20</v>
      </c>
      <c r="E32" s="14">
        <v>17513</v>
      </c>
      <c r="G32" t="s">
        <v>2023</v>
      </c>
      <c r="H32" t="s">
        <v>15</v>
      </c>
      <c r="I32" t="s">
        <v>27</v>
      </c>
      <c r="J32" t="s">
        <v>20</v>
      </c>
      <c r="K32" s="14">
        <v>10858.311299999999</v>
      </c>
      <c r="Z32" s="3"/>
      <c r="AC32"/>
      <c r="AE32" s="3"/>
      <c r="AH32" t="s">
        <v>2331</v>
      </c>
      <c r="AI32" t="s">
        <v>65</v>
      </c>
      <c r="AJ32" t="s">
        <v>108</v>
      </c>
      <c r="AK32" s="3" t="s">
        <v>27</v>
      </c>
      <c r="AL32" s="3">
        <v>-1645.0109981528999</v>
      </c>
      <c r="AN32" t="s">
        <v>2309</v>
      </c>
      <c r="AO32" t="s">
        <v>88</v>
      </c>
      <c r="AP32" t="s">
        <v>86</v>
      </c>
      <c r="AQ32" s="3">
        <v>12965.2588768607</v>
      </c>
      <c r="AS32" t="s">
        <v>2330</v>
      </c>
      <c r="AT32" t="s">
        <v>88</v>
      </c>
      <c r="AU32" t="s">
        <v>269</v>
      </c>
      <c r="AV32" s="14">
        <v>0</v>
      </c>
      <c r="AX32" s="1">
        <v>46286</v>
      </c>
      <c r="AY32" t="s">
        <v>281</v>
      </c>
      <c r="AZ32" s="3">
        <v>-605</v>
      </c>
      <c r="BN32" s="13">
        <v>46171</v>
      </c>
      <c r="BO32" s="7" t="s">
        <v>276</v>
      </c>
      <c r="BP32" s="7" t="s">
        <v>81</v>
      </c>
      <c r="BQ32" s="108">
        <v>-12.610369757281383</v>
      </c>
    </row>
    <row r="33" spans="1:69">
      <c r="A33" t="s">
        <v>2022</v>
      </c>
      <c r="B33" t="s">
        <v>15</v>
      </c>
      <c r="C33" t="s">
        <v>27</v>
      </c>
      <c r="D33" t="s">
        <v>20</v>
      </c>
      <c r="E33" s="14">
        <v>17513</v>
      </c>
      <c r="G33" t="s">
        <v>2022</v>
      </c>
      <c r="H33" t="s">
        <v>15</v>
      </c>
      <c r="I33" t="s">
        <v>27</v>
      </c>
      <c r="J33" t="s">
        <v>20</v>
      </c>
      <c r="K33" s="14">
        <v>10858.311299999999</v>
      </c>
      <c r="Z33" s="3"/>
      <c r="AC33" s="395"/>
      <c r="AE33" s="3"/>
      <c r="AH33" t="s">
        <v>2331</v>
      </c>
      <c r="AI33" t="s">
        <v>65</v>
      </c>
      <c r="AJ33" t="s">
        <v>98</v>
      </c>
      <c r="AK33" s="3" t="s">
        <v>27</v>
      </c>
      <c r="AL33" s="3">
        <v>-1614.1154981529</v>
      </c>
      <c r="AN33" t="s">
        <v>2309</v>
      </c>
      <c r="AO33" t="s">
        <v>88</v>
      </c>
      <c r="AP33" t="s">
        <v>90</v>
      </c>
      <c r="AQ33" s="3">
        <v>28199.1</v>
      </c>
      <c r="AS33" t="s">
        <v>2330</v>
      </c>
      <c r="AT33" t="s">
        <v>88</v>
      </c>
      <c r="AU33" t="s">
        <v>270</v>
      </c>
      <c r="AV33" s="14">
        <v>0</v>
      </c>
      <c r="AX33" s="1">
        <v>46286</v>
      </c>
      <c r="AY33" t="s">
        <v>201</v>
      </c>
      <c r="AZ33" s="3">
        <v>7952.8208999999997</v>
      </c>
      <c r="BN33" s="13">
        <v>46171</v>
      </c>
      <c r="BO33" s="7" t="s">
        <v>276</v>
      </c>
      <c r="BP33" s="7" t="s">
        <v>99</v>
      </c>
      <c r="BQ33" s="108">
        <v>-3.892796E-3</v>
      </c>
    </row>
    <row r="34" spans="1:69">
      <c r="A34" t="s">
        <v>2018</v>
      </c>
      <c r="B34" t="s">
        <v>15</v>
      </c>
      <c r="C34" t="s">
        <v>27</v>
      </c>
      <c r="D34" t="s">
        <v>20</v>
      </c>
      <c r="E34" s="14">
        <v>17513</v>
      </c>
      <c r="G34" t="s">
        <v>2018</v>
      </c>
      <c r="H34" t="s">
        <v>15</v>
      </c>
      <c r="I34" t="s">
        <v>27</v>
      </c>
      <c r="J34" t="s">
        <v>20</v>
      </c>
      <c r="K34" s="14">
        <v>10858.311299999999</v>
      </c>
      <c r="Z34" s="3"/>
      <c r="AC34"/>
      <c r="AE34" s="3"/>
      <c r="AH34" t="s">
        <v>2331</v>
      </c>
      <c r="AI34" t="s">
        <v>67</v>
      </c>
      <c r="AJ34" t="s">
        <v>66</v>
      </c>
      <c r="AK34" s="3" t="s">
        <v>27</v>
      </c>
      <c r="AL34" s="3">
        <v>-24864.7</v>
      </c>
      <c r="AN34" t="s">
        <v>2308</v>
      </c>
      <c r="AO34" t="s">
        <v>88</v>
      </c>
      <c r="AP34" t="s">
        <v>86</v>
      </c>
      <c r="AQ34" s="3">
        <v>12966.251093483301</v>
      </c>
      <c r="AS34" t="s">
        <v>2330</v>
      </c>
      <c r="AT34" t="s">
        <v>88</v>
      </c>
      <c r="AU34" t="s">
        <v>271</v>
      </c>
      <c r="AV34" s="14">
        <v>10850</v>
      </c>
      <c r="AX34" s="1">
        <v>46285</v>
      </c>
      <c r="AY34" t="s">
        <v>185</v>
      </c>
      <c r="AZ34" s="3">
        <v>14261.311299999999</v>
      </c>
      <c r="BN34" s="13">
        <v>46203</v>
      </c>
      <c r="BO34" s="7" t="s">
        <v>276</v>
      </c>
      <c r="BP34" s="7" t="s">
        <v>99</v>
      </c>
      <c r="BQ34" s="108">
        <v>-3.892796E-3</v>
      </c>
    </row>
    <row r="35" spans="1:69">
      <c r="A35" t="s">
        <v>2016</v>
      </c>
      <c r="B35" t="s">
        <v>15</v>
      </c>
      <c r="C35" t="s">
        <v>27</v>
      </c>
      <c r="D35" t="s">
        <v>20</v>
      </c>
      <c r="E35" s="14">
        <v>17513</v>
      </c>
      <c r="G35" t="s">
        <v>2016</v>
      </c>
      <c r="H35" t="s">
        <v>15</v>
      </c>
      <c r="I35" t="s">
        <v>27</v>
      </c>
      <c r="J35" t="s">
        <v>20</v>
      </c>
      <c r="K35" s="14">
        <v>10858.311299999999</v>
      </c>
      <c r="Z35" s="3"/>
      <c r="AC35"/>
      <c r="AE35" s="3"/>
      <c r="AH35" t="s">
        <v>2331</v>
      </c>
      <c r="AI35" t="s">
        <v>67</v>
      </c>
      <c r="AJ35" t="s">
        <v>72</v>
      </c>
      <c r="AK35" s="3" t="s">
        <v>27</v>
      </c>
      <c r="AL35" s="3">
        <v>-26045.627225</v>
      </c>
      <c r="AN35" t="s">
        <v>2308</v>
      </c>
      <c r="AO35" t="s">
        <v>88</v>
      </c>
      <c r="AP35" t="s">
        <v>90</v>
      </c>
      <c r="AQ35" s="3">
        <v>27199.1</v>
      </c>
      <c r="AS35" t="s">
        <v>2330</v>
      </c>
      <c r="AT35" t="s">
        <v>88</v>
      </c>
      <c r="AU35" t="s">
        <v>272</v>
      </c>
      <c r="AV35" s="14">
        <v>0</v>
      </c>
      <c r="AX35" s="1">
        <v>46285</v>
      </c>
      <c r="AY35" t="s">
        <v>195</v>
      </c>
      <c r="AZ35" s="3">
        <v>-800</v>
      </c>
      <c r="BN35" s="13">
        <v>46203</v>
      </c>
      <c r="BO35" s="7" t="s">
        <v>277</v>
      </c>
      <c r="BP35" s="7" t="s">
        <v>99</v>
      </c>
      <c r="BQ35" s="108">
        <v>-5.2460000000000004</v>
      </c>
    </row>
    <row r="36" spans="1:69">
      <c r="A36" t="s">
        <v>1829</v>
      </c>
      <c r="B36" t="s">
        <v>15</v>
      </c>
      <c r="C36" t="s">
        <v>27</v>
      </c>
      <c r="D36" t="s">
        <v>20</v>
      </c>
      <c r="E36" s="14">
        <v>17513</v>
      </c>
      <c r="G36" t="s">
        <v>1829</v>
      </c>
      <c r="H36" t="s">
        <v>15</v>
      </c>
      <c r="I36" t="s">
        <v>27</v>
      </c>
      <c r="J36" t="s">
        <v>20</v>
      </c>
      <c r="K36" s="14">
        <v>10858.311299999999</v>
      </c>
      <c r="Z36" s="3"/>
      <c r="AC36"/>
      <c r="AE36" s="3"/>
      <c r="AH36" t="s">
        <v>2331</v>
      </c>
      <c r="AI36" t="s">
        <v>67</v>
      </c>
      <c r="AJ36" t="s">
        <v>113</v>
      </c>
      <c r="AK36" s="3" t="s">
        <v>27</v>
      </c>
      <c r="AL36" s="3">
        <v>-1449.1642866376001</v>
      </c>
      <c r="AN36" t="s">
        <v>2053</v>
      </c>
      <c r="AO36" t="s">
        <v>88</v>
      </c>
      <c r="AP36" t="s">
        <v>86</v>
      </c>
      <c r="AQ36" s="3">
        <v>12967.292251812099</v>
      </c>
      <c r="AS36" t="s">
        <v>2330</v>
      </c>
      <c r="AT36" t="s">
        <v>88</v>
      </c>
      <c r="AU36" t="s">
        <v>273</v>
      </c>
      <c r="AV36" s="14">
        <v>0</v>
      </c>
      <c r="AX36" s="1">
        <v>46285</v>
      </c>
      <c r="AY36" t="s">
        <v>200</v>
      </c>
      <c r="AZ36" s="3">
        <v>-1459</v>
      </c>
      <c r="BN36" s="13">
        <v>46203</v>
      </c>
      <c r="BO36" s="7" t="s">
        <v>276</v>
      </c>
      <c r="BP36" s="7" t="s">
        <v>81</v>
      </c>
      <c r="BQ36" s="108">
        <v>-11.352706747631441</v>
      </c>
    </row>
    <row r="37" spans="1:69">
      <c r="A37" t="s">
        <v>1826</v>
      </c>
      <c r="B37" t="s">
        <v>15</v>
      </c>
      <c r="C37" t="s">
        <v>27</v>
      </c>
      <c r="D37" t="s">
        <v>20</v>
      </c>
      <c r="E37" s="14">
        <v>16370</v>
      </c>
      <c r="G37" t="s">
        <v>1826</v>
      </c>
      <c r="H37" t="s">
        <v>15</v>
      </c>
      <c r="I37" t="s">
        <v>27</v>
      </c>
      <c r="J37" t="s">
        <v>20</v>
      </c>
      <c r="K37" s="14">
        <v>12001.311299999999</v>
      </c>
      <c r="Z37" s="3"/>
      <c r="AC37"/>
      <c r="AE37" s="3"/>
      <c r="AH37" t="s">
        <v>2331</v>
      </c>
      <c r="AI37" t="s">
        <v>67</v>
      </c>
      <c r="AJ37" t="s">
        <v>108</v>
      </c>
      <c r="AK37" s="3" t="s">
        <v>27</v>
      </c>
      <c r="AL37" s="3">
        <v>268.23706163759999</v>
      </c>
      <c r="AN37" t="s">
        <v>2053</v>
      </c>
      <c r="AO37" t="s">
        <v>88</v>
      </c>
      <c r="AP37" t="s">
        <v>90</v>
      </c>
      <c r="AQ37" s="3">
        <v>27199.1</v>
      </c>
      <c r="AS37" t="s">
        <v>2330</v>
      </c>
      <c r="AT37" t="s">
        <v>196</v>
      </c>
      <c r="AU37" t="s">
        <v>197</v>
      </c>
      <c r="AV37" s="14">
        <v>7.6808235607142397</v>
      </c>
      <c r="AX37" s="1">
        <v>46285</v>
      </c>
      <c r="AY37" t="s">
        <v>281</v>
      </c>
      <c r="AZ37" s="3">
        <v>-803</v>
      </c>
      <c r="BN37" s="13">
        <v>46203</v>
      </c>
      <c r="BO37" s="7" t="s">
        <v>275</v>
      </c>
      <c r="BP37" s="7" t="s">
        <v>99</v>
      </c>
      <c r="BQ37" s="108">
        <v>17.012411231264164</v>
      </c>
    </row>
    <row r="38" spans="1:69">
      <c r="A38" t="s">
        <v>1825</v>
      </c>
      <c r="B38" t="s">
        <v>15</v>
      </c>
      <c r="C38" t="s">
        <v>27</v>
      </c>
      <c r="D38" t="s">
        <v>20</v>
      </c>
      <c r="E38" s="14">
        <v>16370</v>
      </c>
      <c r="G38" t="s">
        <v>1825</v>
      </c>
      <c r="H38" t="s">
        <v>15</v>
      </c>
      <c r="I38" t="s">
        <v>27</v>
      </c>
      <c r="J38" t="s">
        <v>20</v>
      </c>
      <c r="K38" s="14">
        <v>12001.311299999999</v>
      </c>
      <c r="Z38" s="3"/>
      <c r="AC38"/>
      <c r="AE38" s="3"/>
      <c r="AH38" t="s">
        <v>2331</v>
      </c>
      <c r="AI38" t="s">
        <v>67</v>
      </c>
      <c r="AJ38" t="s">
        <v>98</v>
      </c>
      <c r="AK38" s="3" t="s">
        <v>27</v>
      </c>
      <c r="AL38" s="3">
        <v>268.23706163759999</v>
      </c>
      <c r="AN38" t="s">
        <v>2044</v>
      </c>
      <c r="AO38" t="s">
        <v>88</v>
      </c>
      <c r="AP38" t="s">
        <v>86</v>
      </c>
      <c r="AQ38" s="3">
        <v>12967.9959800179</v>
      </c>
      <c r="AS38" t="s">
        <v>2330</v>
      </c>
      <c r="AT38" t="s">
        <v>196</v>
      </c>
      <c r="AU38" t="s">
        <v>109</v>
      </c>
      <c r="AV38" s="14">
        <v>7.2133672277564704</v>
      </c>
      <c r="AX38" s="1">
        <v>46285</v>
      </c>
      <c r="AY38" t="s">
        <v>201</v>
      </c>
      <c r="AZ38" s="3">
        <v>7254.8208999999997</v>
      </c>
      <c r="BN38" s="13">
        <v>46203</v>
      </c>
      <c r="BO38" s="7" t="s">
        <v>275</v>
      </c>
      <c r="BP38" s="7" t="s">
        <v>81</v>
      </c>
      <c r="BQ38" s="108">
        <v>-23.518876622352693</v>
      </c>
    </row>
    <row r="39" spans="1:69">
      <c r="A39" t="s">
        <v>809</v>
      </c>
      <c r="B39" t="s">
        <v>15</v>
      </c>
      <c r="C39" t="s">
        <v>27</v>
      </c>
      <c r="D39" t="s">
        <v>20</v>
      </c>
      <c r="E39" s="14">
        <v>16370</v>
      </c>
      <c r="G39" t="s">
        <v>809</v>
      </c>
      <c r="H39" t="s">
        <v>15</v>
      </c>
      <c r="I39" t="s">
        <v>27</v>
      </c>
      <c r="J39" t="s">
        <v>20</v>
      </c>
      <c r="K39" s="14">
        <v>12001.311299999999</v>
      </c>
      <c r="Z39" s="3"/>
      <c r="AC39"/>
      <c r="AE39" s="3"/>
      <c r="AH39" t="s">
        <v>2331</v>
      </c>
      <c r="AI39" t="s">
        <v>67</v>
      </c>
      <c r="AJ39" t="s">
        <v>66</v>
      </c>
      <c r="AK39" s="3" t="s">
        <v>114</v>
      </c>
      <c r="AL39" s="3">
        <v>500</v>
      </c>
      <c r="AN39" t="s">
        <v>2044</v>
      </c>
      <c r="AO39" t="s">
        <v>88</v>
      </c>
      <c r="AP39" t="s">
        <v>90</v>
      </c>
      <c r="AQ39" s="3">
        <v>27199.1</v>
      </c>
      <c r="AS39" t="s">
        <v>2330</v>
      </c>
      <c r="AT39" t="s">
        <v>196</v>
      </c>
      <c r="AU39" t="s">
        <v>198</v>
      </c>
      <c r="AV39" s="14">
        <v>7.534914299715</v>
      </c>
      <c r="AX39" s="1">
        <v>46282</v>
      </c>
      <c r="AY39" t="s">
        <v>185</v>
      </c>
      <c r="AZ39" s="3">
        <v>10666.447399999999</v>
      </c>
      <c r="BN39" s="13">
        <v>46203</v>
      </c>
      <c r="BO39" s="7" t="s">
        <v>277</v>
      </c>
      <c r="BP39" s="7" t="s">
        <v>81</v>
      </c>
      <c r="BQ39" s="108">
        <v>-37.67</v>
      </c>
    </row>
    <row r="40" spans="1:69">
      <c r="A40" t="s">
        <v>808</v>
      </c>
      <c r="B40" t="s">
        <v>15</v>
      </c>
      <c r="C40" t="s">
        <v>27</v>
      </c>
      <c r="D40" t="s">
        <v>20</v>
      </c>
      <c r="E40" s="14">
        <v>16370</v>
      </c>
      <c r="G40" t="s">
        <v>808</v>
      </c>
      <c r="H40" t="s">
        <v>15</v>
      </c>
      <c r="I40" t="s">
        <v>27</v>
      </c>
      <c r="J40" t="s">
        <v>20</v>
      </c>
      <c r="K40" s="14">
        <v>12001.311299999999</v>
      </c>
      <c r="Z40" s="3"/>
      <c r="AC40"/>
      <c r="AE40" s="3"/>
      <c r="AH40" t="s">
        <v>2331</v>
      </c>
      <c r="AI40" t="s">
        <v>67</v>
      </c>
      <c r="AJ40" t="s">
        <v>98</v>
      </c>
      <c r="AK40" s="3" t="s">
        <v>114</v>
      </c>
      <c r="AL40" s="3">
        <v>-37.094821917799997</v>
      </c>
      <c r="AN40" t="s">
        <v>2043</v>
      </c>
      <c r="AO40" t="s">
        <v>88</v>
      </c>
      <c r="AP40" t="s">
        <v>86</v>
      </c>
      <c r="AQ40" s="3">
        <v>12967.427797397</v>
      </c>
      <c r="AS40" t="s">
        <v>2329</v>
      </c>
      <c r="AT40" t="s">
        <v>88</v>
      </c>
      <c r="AU40" t="s">
        <v>109</v>
      </c>
      <c r="AV40" s="14">
        <v>15699.1</v>
      </c>
      <c r="AX40" s="1">
        <v>46282</v>
      </c>
      <c r="AY40" t="s">
        <v>195</v>
      </c>
      <c r="AZ40" s="3">
        <v>-800</v>
      </c>
      <c r="BN40" s="13">
        <v>46234</v>
      </c>
      <c r="BO40" s="7" t="s">
        <v>275</v>
      </c>
      <c r="BP40" s="7" t="s">
        <v>81</v>
      </c>
      <c r="BQ40" s="108">
        <v>-14.181212509212344</v>
      </c>
    </row>
    <row r="41" spans="1:69">
      <c r="A41" t="s">
        <v>807</v>
      </c>
      <c r="B41" t="s">
        <v>15</v>
      </c>
      <c r="C41" t="s">
        <v>27</v>
      </c>
      <c r="D41" t="s">
        <v>20</v>
      </c>
      <c r="E41" s="14">
        <v>16370</v>
      </c>
      <c r="G41" t="s">
        <v>807</v>
      </c>
      <c r="H41" t="s">
        <v>15</v>
      </c>
      <c r="I41" t="s">
        <v>27</v>
      </c>
      <c r="J41" t="s">
        <v>20</v>
      </c>
      <c r="K41" s="14">
        <v>12001.311299999999</v>
      </c>
      <c r="Z41" s="3"/>
      <c r="AC41"/>
      <c r="AE41" s="3"/>
      <c r="AH41" t="s">
        <v>2331</v>
      </c>
      <c r="AI41" t="s">
        <v>67</v>
      </c>
      <c r="AJ41" t="s">
        <v>66</v>
      </c>
      <c r="AK41" s="3" t="s">
        <v>115</v>
      </c>
      <c r="AL41" s="3">
        <v>25364.7</v>
      </c>
      <c r="AN41" t="s">
        <v>2043</v>
      </c>
      <c r="AO41" t="s">
        <v>88</v>
      </c>
      <c r="AP41" t="s">
        <v>90</v>
      </c>
      <c r="AQ41" s="3">
        <v>27199.1</v>
      </c>
      <c r="AS41" t="s">
        <v>2329</v>
      </c>
      <c r="AT41" t="s">
        <v>88</v>
      </c>
      <c r="AU41" t="s">
        <v>110</v>
      </c>
      <c r="AV41" s="14">
        <v>397.61059999999998</v>
      </c>
      <c r="AX41" s="1">
        <v>46282</v>
      </c>
      <c r="AY41" t="s">
        <v>200</v>
      </c>
      <c r="AZ41" s="3">
        <v>-1459</v>
      </c>
      <c r="BN41" s="13">
        <v>46234</v>
      </c>
      <c r="BO41" s="7" t="s">
        <v>275</v>
      </c>
      <c r="BP41" s="7" t="s">
        <v>99</v>
      </c>
      <c r="BQ41" s="108">
        <v>10.942971056766099</v>
      </c>
    </row>
    <row r="42" spans="1:69">
      <c r="A42" t="s">
        <v>806</v>
      </c>
      <c r="B42" t="s">
        <v>15</v>
      </c>
      <c r="C42" t="s">
        <v>27</v>
      </c>
      <c r="D42" t="s">
        <v>20</v>
      </c>
      <c r="E42" s="14">
        <v>16370</v>
      </c>
      <c r="G42" t="s">
        <v>806</v>
      </c>
      <c r="H42" t="s">
        <v>15</v>
      </c>
      <c r="I42" t="s">
        <v>27</v>
      </c>
      <c r="J42" t="s">
        <v>20</v>
      </c>
      <c r="K42" s="14">
        <v>12001.311299999999</v>
      </c>
      <c r="Z42" s="3"/>
      <c r="AC42"/>
      <c r="AE42" s="3"/>
      <c r="AH42" t="s">
        <v>2331</v>
      </c>
      <c r="AI42" t="s">
        <v>67</v>
      </c>
      <c r="AJ42" t="s">
        <v>98</v>
      </c>
      <c r="AK42" s="3" t="s">
        <v>115</v>
      </c>
      <c r="AL42" s="3">
        <v>-305.3318835554</v>
      </c>
      <c r="AN42" t="s">
        <v>2042</v>
      </c>
      <c r="AO42" t="s">
        <v>88</v>
      </c>
      <c r="AP42" t="s">
        <v>86</v>
      </c>
      <c r="AQ42" s="3">
        <v>12967.6573072343</v>
      </c>
      <c r="AS42" t="s">
        <v>2329</v>
      </c>
      <c r="AT42" t="s">
        <v>88</v>
      </c>
      <c r="AU42" t="s">
        <v>111</v>
      </c>
      <c r="AV42" s="14">
        <v>12000</v>
      </c>
      <c r="AX42" s="1">
        <v>46282</v>
      </c>
      <c r="AY42" t="s">
        <v>281</v>
      </c>
      <c r="AZ42" s="3">
        <v>-803</v>
      </c>
      <c r="BN42" s="13">
        <v>46234</v>
      </c>
      <c r="BO42" s="7" t="s">
        <v>277</v>
      </c>
      <c r="BP42" s="7" t="s">
        <v>81</v>
      </c>
      <c r="BQ42" s="108">
        <v>-5.1580000000000004</v>
      </c>
    </row>
    <row r="43" spans="1:69">
      <c r="A43" t="s">
        <v>1830</v>
      </c>
      <c r="B43" t="s">
        <v>15</v>
      </c>
      <c r="C43" t="s">
        <v>27</v>
      </c>
      <c r="D43" t="s">
        <v>20</v>
      </c>
      <c r="E43" s="14">
        <v>16370</v>
      </c>
      <c r="G43" t="s">
        <v>1830</v>
      </c>
      <c r="H43" t="s">
        <v>15</v>
      </c>
      <c r="I43" t="s">
        <v>27</v>
      </c>
      <c r="J43" t="s">
        <v>20</v>
      </c>
      <c r="K43" s="14">
        <v>12001.311299999999</v>
      </c>
      <c r="Z43" s="3"/>
      <c r="AC43"/>
      <c r="AE43" s="3"/>
      <c r="AH43" t="s">
        <v>2331</v>
      </c>
      <c r="AI43" t="s">
        <v>68</v>
      </c>
      <c r="AJ43" t="s">
        <v>66</v>
      </c>
      <c r="AK43" s="3" t="s">
        <v>27</v>
      </c>
      <c r="AL43" s="3">
        <v>4357.3999999999996</v>
      </c>
      <c r="AN43" t="s">
        <v>2042</v>
      </c>
      <c r="AO43" t="s">
        <v>88</v>
      </c>
      <c r="AP43" t="s">
        <v>90</v>
      </c>
      <c r="AQ43" s="3">
        <v>27199.1</v>
      </c>
      <c r="AS43" t="s">
        <v>2329</v>
      </c>
      <c r="AT43" t="s">
        <v>88</v>
      </c>
      <c r="AU43" t="s">
        <v>268</v>
      </c>
      <c r="AV43" s="14">
        <v>0</v>
      </c>
      <c r="AX43" s="1">
        <v>46282</v>
      </c>
      <c r="AY43" t="s">
        <v>201</v>
      </c>
      <c r="AZ43" s="3">
        <v>7475.9570000000003</v>
      </c>
      <c r="BN43" s="13">
        <v>46234</v>
      </c>
      <c r="BO43" s="7" t="s">
        <v>277</v>
      </c>
      <c r="BP43" s="7" t="s">
        <v>99</v>
      </c>
      <c r="BQ43" s="108">
        <v>-2.2469999999999999</v>
      </c>
    </row>
    <row r="44" spans="1:69">
      <c r="A44" t="s">
        <v>1831</v>
      </c>
      <c r="B44" t="s">
        <v>15</v>
      </c>
      <c r="C44" t="s">
        <v>27</v>
      </c>
      <c r="D44" t="s">
        <v>20</v>
      </c>
      <c r="E44" s="14">
        <v>16370</v>
      </c>
      <c r="G44" t="s">
        <v>1831</v>
      </c>
      <c r="H44" t="s">
        <v>15</v>
      </c>
      <c r="I44" t="s">
        <v>27</v>
      </c>
      <c r="J44" t="s">
        <v>20</v>
      </c>
      <c r="K44" s="14">
        <v>12001.311299999999</v>
      </c>
      <c r="Z44" s="3"/>
      <c r="AC44"/>
      <c r="AE44" s="3"/>
      <c r="AH44" t="s">
        <v>2331</v>
      </c>
      <c r="AI44" t="s">
        <v>68</v>
      </c>
      <c r="AJ44" t="s">
        <v>72</v>
      </c>
      <c r="AK44" s="3" t="s">
        <v>27</v>
      </c>
      <c r="AL44" s="3">
        <v>4011.4077699999998</v>
      </c>
      <c r="AN44" t="s">
        <v>2041</v>
      </c>
      <c r="AO44" t="s">
        <v>88</v>
      </c>
      <c r="AP44" t="s">
        <v>86</v>
      </c>
      <c r="AQ44" s="3">
        <v>11967.8955156951</v>
      </c>
      <c r="AS44" t="s">
        <v>2329</v>
      </c>
      <c r="AT44" t="s">
        <v>88</v>
      </c>
      <c r="AU44" t="s">
        <v>269</v>
      </c>
      <c r="AV44" s="14">
        <v>0</v>
      </c>
      <c r="AX44" s="1">
        <v>46281</v>
      </c>
      <c r="AY44" t="s">
        <v>195</v>
      </c>
      <c r="AZ44" s="3">
        <v>-800</v>
      </c>
      <c r="BN44" s="13">
        <v>46234</v>
      </c>
      <c r="BO44" s="7" t="s">
        <v>276</v>
      </c>
      <c r="BP44" s="7" t="s">
        <v>81</v>
      </c>
      <c r="BQ44" s="108">
        <v>-10.280183901417397</v>
      </c>
    </row>
    <row r="45" spans="1:69">
      <c r="A45" t="s">
        <v>1832</v>
      </c>
      <c r="B45" t="s">
        <v>15</v>
      </c>
      <c r="C45" t="s">
        <v>27</v>
      </c>
      <c r="D45" t="s">
        <v>20</v>
      </c>
      <c r="E45" s="14">
        <v>16370</v>
      </c>
      <c r="G45" t="s">
        <v>1832</v>
      </c>
      <c r="H45" t="s">
        <v>15</v>
      </c>
      <c r="I45" t="s">
        <v>27</v>
      </c>
      <c r="J45" t="s">
        <v>20</v>
      </c>
      <c r="K45" s="14">
        <v>12001.311299999999</v>
      </c>
      <c r="Z45" s="3"/>
      <c r="AC45"/>
      <c r="AE45" s="3"/>
      <c r="AH45" t="s">
        <v>2331</v>
      </c>
      <c r="AI45" t="s">
        <v>68</v>
      </c>
      <c r="AJ45" t="s">
        <v>113</v>
      </c>
      <c r="AK45" s="3" t="s">
        <v>27</v>
      </c>
      <c r="AL45" s="3">
        <v>-79.062616802299999</v>
      </c>
      <c r="AN45" t="s">
        <v>2041</v>
      </c>
      <c r="AO45" t="s">
        <v>88</v>
      </c>
      <c r="AP45" t="s">
        <v>90</v>
      </c>
      <c r="AQ45" s="3">
        <v>27199.1</v>
      </c>
      <c r="AS45" t="s">
        <v>2329</v>
      </c>
      <c r="AT45" t="s">
        <v>88</v>
      </c>
      <c r="AU45" t="s">
        <v>270</v>
      </c>
      <c r="AV45" s="14">
        <v>0</v>
      </c>
      <c r="AX45" s="1">
        <v>46281</v>
      </c>
      <c r="AY45" t="s">
        <v>200</v>
      </c>
      <c r="AZ45" s="3">
        <v>-1459</v>
      </c>
      <c r="BN45" s="13">
        <v>46234</v>
      </c>
      <c r="BO45" s="7" t="s">
        <v>276</v>
      </c>
      <c r="BP45" s="7" t="s">
        <v>99</v>
      </c>
      <c r="BQ45" s="108">
        <v>-3.892796E-3</v>
      </c>
    </row>
    <row r="46" spans="1:69">
      <c r="A46" t="s">
        <v>1833</v>
      </c>
      <c r="B46" t="s">
        <v>15</v>
      </c>
      <c r="C46" t="s">
        <v>27</v>
      </c>
      <c r="D46" t="s">
        <v>20</v>
      </c>
      <c r="E46" s="14">
        <v>16370</v>
      </c>
      <c r="G46" t="s">
        <v>1833</v>
      </c>
      <c r="H46" t="s">
        <v>15</v>
      </c>
      <c r="I46" t="s">
        <v>27</v>
      </c>
      <c r="J46" t="s">
        <v>20</v>
      </c>
      <c r="K46" s="14">
        <v>12001.311299999999</v>
      </c>
      <c r="Z46" s="3"/>
      <c r="AC46"/>
      <c r="AE46" s="3"/>
      <c r="AH46" t="s">
        <v>2331</v>
      </c>
      <c r="AI46" t="s">
        <v>68</v>
      </c>
      <c r="AJ46" t="s">
        <v>108</v>
      </c>
      <c r="AK46" s="3" t="s">
        <v>27</v>
      </c>
      <c r="AL46" s="3">
        <v>-266.92961319770001</v>
      </c>
      <c r="AN46" t="s">
        <v>2040</v>
      </c>
      <c r="AO46" t="s">
        <v>88</v>
      </c>
      <c r="AP46" t="s">
        <v>86</v>
      </c>
      <c r="AQ46" s="3">
        <v>10968.253975457599</v>
      </c>
      <c r="AS46" t="s">
        <v>2329</v>
      </c>
      <c r="AT46" t="s">
        <v>88</v>
      </c>
      <c r="AU46" t="s">
        <v>271</v>
      </c>
      <c r="AV46" s="14">
        <v>12450</v>
      </c>
      <c r="AX46" s="1">
        <v>46281</v>
      </c>
      <c r="AY46" t="s">
        <v>281</v>
      </c>
      <c r="AZ46" s="3">
        <v>-803</v>
      </c>
      <c r="BN46" s="13">
        <v>46262</v>
      </c>
      <c r="BO46" s="7" t="s">
        <v>276</v>
      </c>
      <c r="BP46" s="7" t="s">
        <v>81</v>
      </c>
      <c r="BQ46" s="108">
        <v>-7.2647386510407816</v>
      </c>
    </row>
    <row r="47" spans="1:69">
      <c r="A47" t="s">
        <v>1834</v>
      </c>
      <c r="B47" t="s">
        <v>15</v>
      </c>
      <c r="C47" t="s">
        <v>27</v>
      </c>
      <c r="D47" t="s">
        <v>20</v>
      </c>
      <c r="E47" s="14">
        <v>16370</v>
      </c>
      <c r="G47" t="s">
        <v>1834</v>
      </c>
      <c r="H47" t="s">
        <v>15</v>
      </c>
      <c r="I47" t="s">
        <v>27</v>
      </c>
      <c r="J47" t="s">
        <v>20</v>
      </c>
      <c r="K47" s="14">
        <v>12001.311299999999</v>
      </c>
      <c r="Z47" s="3"/>
      <c r="AC47"/>
      <c r="AE47" s="3"/>
      <c r="AH47" t="s">
        <v>2331</v>
      </c>
      <c r="AI47" t="s">
        <v>68</v>
      </c>
      <c r="AJ47" t="s">
        <v>98</v>
      </c>
      <c r="AK47" s="3" t="s">
        <v>27</v>
      </c>
      <c r="AL47" s="3">
        <v>-266.92961319770001</v>
      </c>
      <c r="AN47" t="s">
        <v>2040</v>
      </c>
      <c r="AO47" t="s">
        <v>88</v>
      </c>
      <c r="AP47" t="s">
        <v>90</v>
      </c>
      <c r="AQ47" s="3">
        <v>27549.1</v>
      </c>
      <c r="AS47" t="s">
        <v>2329</v>
      </c>
      <c r="AT47" t="s">
        <v>88</v>
      </c>
      <c r="AU47" t="s">
        <v>272</v>
      </c>
      <c r="AV47" s="14">
        <v>0</v>
      </c>
      <c r="AX47" s="1">
        <v>46281</v>
      </c>
      <c r="AY47" t="s">
        <v>201</v>
      </c>
      <c r="AZ47" s="3">
        <v>6909.6334999999999</v>
      </c>
      <c r="BN47" s="13">
        <v>46262</v>
      </c>
      <c r="BO47" s="7" t="s">
        <v>275</v>
      </c>
      <c r="BP47" s="7" t="s">
        <v>81</v>
      </c>
      <c r="BQ47" s="108">
        <v>-20.181444604946591</v>
      </c>
    </row>
    <row r="48" spans="1:69">
      <c r="A48" t="s">
        <v>1835</v>
      </c>
      <c r="B48" t="s">
        <v>15</v>
      </c>
      <c r="C48" t="s">
        <v>27</v>
      </c>
      <c r="D48" t="s">
        <v>20</v>
      </c>
      <c r="E48" s="14">
        <v>16370</v>
      </c>
      <c r="G48" t="s">
        <v>1835</v>
      </c>
      <c r="H48" t="s">
        <v>15</v>
      </c>
      <c r="I48" t="s">
        <v>27</v>
      </c>
      <c r="J48" t="s">
        <v>20</v>
      </c>
      <c r="K48" s="14">
        <v>12001.311299999999</v>
      </c>
      <c r="Z48" s="3"/>
      <c r="AC48"/>
      <c r="AE48" s="3"/>
      <c r="AH48" t="s">
        <v>2331</v>
      </c>
      <c r="AI48" t="s">
        <v>68</v>
      </c>
      <c r="AJ48" t="s">
        <v>66</v>
      </c>
      <c r="AK48" s="3" t="s">
        <v>114</v>
      </c>
      <c r="AL48" s="3">
        <v>10273.4</v>
      </c>
      <c r="AN48" t="s">
        <v>2034</v>
      </c>
      <c r="AO48" t="s">
        <v>88</v>
      </c>
      <c r="AP48" t="s">
        <v>86</v>
      </c>
      <c r="AQ48" s="3">
        <v>10969.649769978199</v>
      </c>
      <c r="AS48" t="s">
        <v>2329</v>
      </c>
      <c r="AT48" t="s">
        <v>88</v>
      </c>
      <c r="AU48" t="s">
        <v>273</v>
      </c>
      <c r="AV48" s="14">
        <v>0</v>
      </c>
      <c r="AX48" s="1">
        <v>46281</v>
      </c>
      <c r="AY48" t="s">
        <v>185</v>
      </c>
      <c r="AZ48" s="3">
        <v>11959.123900000001</v>
      </c>
      <c r="BN48" s="13">
        <v>46262</v>
      </c>
      <c r="BO48" s="7" t="s">
        <v>275</v>
      </c>
      <c r="BP48" s="7" t="s">
        <v>99</v>
      </c>
      <c r="BQ48" s="108">
        <v>5.1150764972227947</v>
      </c>
    </row>
    <row r="49" spans="1:69">
      <c r="A49" t="s">
        <v>1836</v>
      </c>
      <c r="B49" t="s">
        <v>15</v>
      </c>
      <c r="C49" t="s">
        <v>27</v>
      </c>
      <c r="D49" t="s">
        <v>20</v>
      </c>
      <c r="E49" s="14">
        <v>11412</v>
      </c>
      <c r="G49" t="s">
        <v>1836</v>
      </c>
      <c r="H49" t="s">
        <v>15</v>
      </c>
      <c r="I49" t="s">
        <v>27</v>
      </c>
      <c r="J49" t="s">
        <v>20</v>
      </c>
      <c r="K49" s="14">
        <v>16959.311300000001</v>
      </c>
      <c r="Z49" s="3"/>
      <c r="AC49"/>
      <c r="AE49" s="3"/>
      <c r="AH49" t="s">
        <v>2331</v>
      </c>
      <c r="AI49" t="s">
        <v>68</v>
      </c>
      <c r="AJ49" t="s">
        <v>98</v>
      </c>
      <c r="AK49" s="3" t="s">
        <v>114</v>
      </c>
      <c r="AL49" s="3">
        <v>-669.95591208220003</v>
      </c>
      <c r="AN49" t="s">
        <v>2034</v>
      </c>
      <c r="AO49" t="s">
        <v>88</v>
      </c>
      <c r="AP49" t="s">
        <v>90</v>
      </c>
      <c r="AQ49" s="3">
        <v>26949.1</v>
      </c>
      <c r="AS49" t="s">
        <v>2329</v>
      </c>
      <c r="AT49" t="s">
        <v>196</v>
      </c>
      <c r="AU49" t="s">
        <v>197</v>
      </c>
      <c r="AV49" s="14">
        <v>7.6542840574975699</v>
      </c>
      <c r="AX49" s="1">
        <v>46280</v>
      </c>
      <c r="AY49" t="s">
        <v>185</v>
      </c>
      <c r="AZ49" s="3">
        <v>10350.123900000001</v>
      </c>
      <c r="BN49" s="13">
        <v>46262</v>
      </c>
      <c r="BO49" s="7" t="s">
        <v>277</v>
      </c>
      <c r="BP49" s="7" t="s">
        <v>81</v>
      </c>
      <c r="BQ49" s="108">
        <v>10.106999999999999</v>
      </c>
    </row>
    <row r="50" spans="1:69">
      <c r="A50" t="s">
        <v>1837</v>
      </c>
      <c r="B50" t="s">
        <v>15</v>
      </c>
      <c r="C50" t="s">
        <v>27</v>
      </c>
      <c r="D50" t="s">
        <v>20</v>
      </c>
      <c r="E50" s="14">
        <v>11412</v>
      </c>
      <c r="G50" t="s">
        <v>1837</v>
      </c>
      <c r="H50" t="s">
        <v>15</v>
      </c>
      <c r="I50" t="s">
        <v>27</v>
      </c>
      <c r="J50" t="s">
        <v>20</v>
      </c>
      <c r="K50" s="14">
        <v>16959.311300000001</v>
      </c>
      <c r="Z50" s="3"/>
      <c r="AC50"/>
      <c r="AE50" s="3"/>
      <c r="AH50" t="s">
        <v>2331</v>
      </c>
      <c r="AI50" t="s">
        <v>68</v>
      </c>
      <c r="AJ50" t="s">
        <v>66</v>
      </c>
      <c r="AK50" s="3" t="s">
        <v>115</v>
      </c>
      <c r="AL50" s="3">
        <v>5916</v>
      </c>
      <c r="AN50" t="s">
        <v>2033</v>
      </c>
      <c r="AO50" t="s">
        <v>88</v>
      </c>
      <c r="AP50" t="s">
        <v>86</v>
      </c>
      <c r="AQ50" s="3">
        <v>10964.9235497015</v>
      </c>
      <c r="AS50" t="s">
        <v>2329</v>
      </c>
      <c r="AT50" t="s">
        <v>196</v>
      </c>
      <c r="AU50" t="s">
        <v>109</v>
      </c>
      <c r="AV50" s="14">
        <v>7.0443171683776802</v>
      </c>
      <c r="AX50" s="1">
        <v>46280</v>
      </c>
      <c r="AY50" t="s">
        <v>195</v>
      </c>
      <c r="AZ50" s="3">
        <v>-800</v>
      </c>
      <c r="BN50" s="13">
        <v>46262</v>
      </c>
      <c r="BO50" s="7" t="s">
        <v>277</v>
      </c>
      <c r="BP50" s="7" t="s">
        <v>99</v>
      </c>
      <c r="BQ50" s="108">
        <v>-6.4989999999999997</v>
      </c>
    </row>
    <row r="51" spans="1:69">
      <c r="A51" t="s">
        <v>1838</v>
      </c>
      <c r="B51" t="s">
        <v>15</v>
      </c>
      <c r="C51" t="s">
        <v>27</v>
      </c>
      <c r="D51" t="s">
        <v>20</v>
      </c>
      <c r="E51" s="14">
        <v>11412</v>
      </c>
      <c r="G51" t="s">
        <v>1838</v>
      </c>
      <c r="H51" t="s">
        <v>15</v>
      </c>
      <c r="I51" t="s">
        <v>27</v>
      </c>
      <c r="J51" t="s">
        <v>20</v>
      </c>
      <c r="K51" s="14">
        <v>16959.311300000001</v>
      </c>
      <c r="Z51" s="3"/>
      <c r="AC51"/>
      <c r="AE51" s="3"/>
      <c r="AH51" t="s">
        <v>2331</v>
      </c>
      <c r="AI51" t="s">
        <v>68</v>
      </c>
      <c r="AJ51" t="s">
        <v>98</v>
      </c>
      <c r="AK51" s="3" t="s">
        <v>115</v>
      </c>
      <c r="AL51" s="3">
        <v>-403.02629888450002</v>
      </c>
      <c r="AN51" t="s">
        <v>2033</v>
      </c>
      <c r="AO51" t="s">
        <v>88</v>
      </c>
      <c r="AP51" t="s">
        <v>90</v>
      </c>
      <c r="AQ51" s="3">
        <v>26949.1</v>
      </c>
      <c r="AS51" t="s">
        <v>2329</v>
      </c>
      <c r="AT51" t="s">
        <v>196</v>
      </c>
      <c r="AU51" t="s">
        <v>198</v>
      </c>
      <c r="AV51" s="14">
        <v>7.4414364963115904</v>
      </c>
      <c r="AX51" s="1">
        <v>46280</v>
      </c>
      <c r="AY51" t="s">
        <v>200</v>
      </c>
      <c r="AZ51" s="3">
        <v>-1459</v>
      </c>
      <c r="BN51" s="13">
        <v>46262</v>
      </c>
      <c r="BO51" s="7" t="s">
        <v>276</v>
      </c>
      <c r="BP51" s="7" t="s">
        <v>99</v>
      </c>
      <c r="BQ51" s="108">
        <v>-3.892796E-3</v>
      </c>
    </row>
    <row r="52" spans="1:69">
      <c r="A52" t="s">
        <v>1839</v>
      </c>
      <c r="B52" t="s">
        <v>15</v>
      </c>
      <c r="C52" t="s">
        <v>27</v>
      </c>
      <c r="D52" t="s">
        <v>20</v>
      </c>
      <c r="E52" s="14">
        <v>11412</v>
      </c>
      <c r="G52" t="s">
        <v>1839</v>
      </c>
      <c r="H52" t="s">
        <v>15</v>
      </c>
      <c r="I52" t="s">
        <v>27</v>
      </c>
      <c r="J52" t="s">
        <v>20</v>
      </c>
      <c r="K52" s="14">
        <v>16959.311300000001</v>
      </c>
      <c r="Z52" s="3"/>
      <c r="AC52"/>
      <c r="AE52" s="3"/>
      <c r="AH52" t="s">
        <v>2330</v>
      </c>
      <c r="AI52" t="s">
        <v>65</v>
      </c>
      <c r="AJ52" t="s">
        <v>66</v>
      </c>
      <c r="AK52" s="3" t="s">
        <v>27</v>
      </c>
      <c r="AL52" s="3">
        <v>35910.300000000003</v>
      </c>
      <c r="AN52" t="s">
        <v>2032</v>
      </c>
      <c r="AO52" t="s">
        <v>88</v>
      </c>
      <c r="AP52" t="s">
        <v>86</v>
      </c>
      <c r="AQ52" s="3">
        <v>10768.3850283468</v>
      </c>
      <c r="AS52" t="s">
        <v>2328</v>
      </c>
      <c r="AT52" t="s">
        <v>88</v>
      </c>
      <c r="AU52" t="s">
        <v>109</v>
      </c>
      <c r="AV52" s="14">
        <v>14399.1</v>
      </c>
      <c r="AX52" s="1">
        <v>46280</v>
      </c>
      <c r="AY52" t="s">
        <v>281</v>
      </c>
      <c r="AZ52" s="3">
        <v>-803</v>
      </c>
    </row>
    <row r="53" spans="1:69">
      <c r="A53" t="s">
        <v>1840</v>
      </c>
      <c r="B53" t="s">
        <v>15</v>
      </c>
      <c r="C53" t="s">
        <v>27</v>
      </c>
      <c r="D53" t="s">
        <v>20</v>
      </c>
      <c r="E53" s="14">
        <v>11412</v>
      </c>
      <c r="G53" t="s">
        <v>1840</v>
      </c>
      <c r="H53" t="s">
        <v>15</v>
      </c>
      <c r="I53" t="s">
        <v>27</v>
      </c>
      <c r="J53" t="s">
        <v>20</v>
      </c>
      <c r="K53" s="14">
        <v>16959.311300000001</v>
      </c>
      <c r="Z53" s="3"/>
      <c r="AC53"/>
      <c r="AE53" s="3"/>
      <c r="AH53" t="s">
        <v>2330</v>
      </c>
      <c r="AI53" t="s">
        <v>65</v>
      </c>
      <c r="AJ53" t="s">
        <v>72</v>
      </c>
      <c r="AK53" s="3" t="s">
        <v>27</v>
      </c>
      <c r="AL53" s="3">
        <v>36110.781342000002</v>
      </c>
      <c r="AN53" t="s">
        <v>2032</v>
      </c>
      <c r="AO53" t="s">
        <v>88</v>
      </c>
      <c r="AP53" t="s">
        <v>90</v>
      </c>
      <c r="AQ53" s="3">
        <v>28449.1</v>
      </c>
      <c r="AS53" t="s">
        <v>2328</v>
      </c>
      <c r="AT53" t="s">
        <v>88</v>
      </c>
      <c r="AU53" t="s">
        <v>110</v>
      </c>
      <c r="AV53" s="14">
        <v>397.61059999999998</v>
      </c>
      <c r="AX53" s="1">
        <v>46280</v>
      </c>
      <c r="AY53" t="s">
        <v>201</v>
      </c>
      <c r="AZ53" s="3">
        <v>6909.6334999999999</v>
      </c>
    </row>
    <row r="54" spans="1:69">
      <c r="A54" t="s">
        <v>1841</v>
      </c>
      <c r="B54" t="s">
        <v>15</v>
      </c>
      <c r="C54" t="s">
        <v>27</v>
      </c>
      <c r="D54" t="s">
        <v>20</v>
      </c>
      <c r="E54" s="14">
        <v>11412</v>
      </c>
      <c r="G54" t="s">
        <v>1841</v>
      </c>
      <c r="H54" t="s">
        <v>15</v>
      </c>
      <c r="I54" t="s">
        <v>27</v>
      </c>
      <c r="J54" t="s">
        <v>20</v>
      </c>
      <c r="K54" s="14">
        <v>16959.311300000001</v>
      </c>
      <c r="Z54" s="3"/>
      <c r="AC54"/>
      <c r="AE54" s="3"/>
      <c r="AH54" t="s">
        <v>2330</v>
      </c>
      <c r="AI54" t="s">
        <v>65</v>
      </c>
      <c r="AJ54" t="s">
        <v>113</v>
      </c>
      <c r="AK54" s="3" t="s">
        <v>27</v>
      </c>
      <c r="AL54" s="3">
        <v>1673.7939465311999</v>
      </c>
      <c r="AN54" t="s">
        <v>2026</v>
      </c>
      <c r="AO54" t="s">
        <v>88</v>
      </c>
      <c r="AP54" t="s">
        <v>86</v>
      </c>
      <c r="AQ54" s="3">
        <v>10769.740006249</v>
      </c>
      <c r="AS54" t="s">
        <v>2328</v>
      </c>
      <c r="AT54" t="s">
        <v>88</v>
      </c>
      <c r="AU54" t="s">
        <v>111</v>
      </c>
      <c r="AV54" s="14">
        <v>12000</v>
      </c>
      <c r="AX54" s="1">
        <v>46279</v>
      </c>
      <c r="AY54" t="s">
        <v>185</v>
      </c>
      <c r="AZ54" s="3">
        <v>10355.6129</v>
      </c>
    </row>
    <row r="55" spans="1:69">
      <c r="A55" t="s">
        <v>1842</v>
      </c>
      <c r="B55" t="s">
        <v>15</v>
      </c>
      <c r="C55" t="s">
        <v>27</v>
      </c>
      <c r="D55" t="s">
        <v>20</v>
      </c>
      <c r="E55" s="14">
        <v>11412</v>
      </c>
      <c r="G55" t="s">
        <v>1842</v>
      </c>
      <c r="H55" t="s">
        <v>15</v>
      </c>
      <c r="I55" t="s">
        <v>27</v>
      </c>
      <c r="J55" t="s">
        <v>20</v>
      </c>
      <c r="K55" s="14">
        <v>16959.311300000001</v>
      </c>
      <c r="Z55" s="3"/>
      <c r="AC55"/>
      <c r="AE55" s="3"/>
      <c r="AH55" t="s">
        <v>2330</v>
      </c>
      <c r="AI55" t="s">
        <v>65</v>
      </c>
      <c r="AJ55" t="s">
        <v>108</v>
      </c>
      <c r="AK55" s="3" t="s">
        <v>27</v>
      </c>
      <c r="AL55" s="3">
        <v>-1473.3126045311999</v>
      </c>
      <c r="AN55" t="s">
        <v>2026</v>
      </c>
      <c r="AO55" t="s">
        <v>88</v>
      </c>
      <c r="AP55" t="s">
        <v>90</v>
      </c>
      <c r="AQ55" s="3">
        <v>29449.1</v>
      </c>
      <c r="AS55" t="s">
        <v>2328</v>
      </c>
      <c r="AT55" t="s">
        <v>88</v>
      </c>
      <c r="AU55" t="s">
        <v>268</v>
      </c>
      <c r="AV55" s="14">
        <v>0</v>
      </c>
      <c r="AX55" s="1">
        <v>46279</v>
      </c>
      <c r="AY55" t="s">
        <v>195</v>
      </c>
      <c r="AZ55" s="3">
        <v>-800</v>
      </c>
    </row>
    <row r="56" spans="1:69">
      <c r="A56" t="s">
        <v>1843</v>
      </c>
      <c r="B56" t="s">
        <v>15</v>
      </c>
      <c r="C56" t="s">
        <v>27</v>
      </c>
      <c r="D56" t="s">
        <v>20</v>
      </c>
      <c r="E56" s="14">
        <v>11412</v>
      </c>
      <c r="G56" t="s">
        <v>1843</v>
      </c>
      <c r="H56" t="s">
        <v>15</v>
      </c>
      <c r="I56" t="s">
        <v>27</v>
      </c>
      <c r="J56" t="s">
        <v>20</v>
      </c>
      <c r="K56" s="14">
        <v>16959.311300000001</v>
      </c>
      <c r="Z56" s="3"/>
      <c r="AC56"/>
      <c r="AE56" s="3"/>
      <c r="AH56" t="s">
        <v>2330</v>
      </c>
      <c r="AI56" t="s">
        <v>65</v>
      </c>
      <c r="AJ56" t="s">
        <v>98</v>
      </c>
      <c r="AK56" s="3" t="s">
        <v>27</v>
      </c>
      <c r="AL56" s="3">
        <v>-1442.4111045312</v>
      </c>
      <c r="AN56" t="s">
        <v>2025</v>
      </c>
      <c r="AO56" t="s">
        <v>88</v>
      </c>
      <c r="AP56" t="s">
        <v>86</v>
      </c>
      <c r="AQ56" s="3">
        <v>10769.827470431101</v>
      </c>
      <c r="AS56" t="s">
        <v>2328</v>
      </c>
      <c r="AT56" t="s">
        <v>88</v>
      </c>
      <c r="AU56" t="s">
        <v>269</v>
      </c>
      <c r="AV56" s="14">
        <v>0</v>
      </c>
      <c r="AX56" s="1">
        <v>46279</v>
      </c>
      <c r="AY56" t="s">
        <v>200</v>
      </c>
      <c r="AZ56" s="3">
        <v>-1459</v>
      </c>
    </row>
    <row r="57" spans="1:69">
      <c r="A57" t="s">
        <v>1844</v>
      </c>
      <c r="B57" t="s">
        <v>15</v>
      </c>
      <c r="C57" t="s">
        <v>27</v>
      </c>
      <c r="D57" t="s">
        <v>20</v>
      </c>
      <c r="E57" s="14">
        <v>11412</v>
      </c>
      <c r="G57" t="s">
        <v>1844</v>
      </c>
      <c r="H57" t="s">
        <v>15</v>
      </c>
      <c r="I57" t="s">
        <v>27</v>
      </c>
      <c r="J57" t="s">
        <v>20</v>
      </c>
      <c r="K57" s="14">
        <v>16959.311300000001</v>
      </c>
      <c r="Z57" s="3"/>
      <c r="AC57"/>
      <c r="AE57" s="3"/>
      <c r="AH57" t="s">
        <v>2330</v>
      </c>
      <c r="AI57" t="s">
        <v>67</v>
      </c>
      <c r="AJ57" t="s">
        <v>66</v>
      </c>
      <c r="AK57" s="3" t="s">
        <v>27</v>
      </c>
      <c r="AL57" s="3">
        <v>-18194.7</v>
      </c>
      <c r="AN57" t="s">
        <v>2025</v>
      </c>
      <c r="AO57" t="s">
        <v>88</v>
      </c>
      <c r="AP57" t="s">
        <v>90</v>
      </c>
      <c r="AQ57" s="3">
        <v>29449.1</v>
      </c>
      <c r="AS57" t="s">
        <v>2328</v>
      </c>
      <c r="AT57" t="s">
        <v>88</v>
      </c>
      <c r="AU57" t="s">
        <v>270</v>
      </c>
      <c r="AV57" s="14">
        <v>0</v>
      </c>
      <c r="AX57" s="1">
        <v>46279</v>
      </c>
      <c r="AY57" t="s">
        <v>281</v>
      </c>
      <c r="AZ57" s="3">
        <v>-803</v>
      </c>
    </row>
    <row r="58" spans="1:69">
      <c r="A58" t="s">
        <v>1845</v>
      </c>
      <c r="B58" t="s">
        <v>15</v>
      </c>
      <c r="C58" t="s">
        <v>27</v>
      </c>
      <c r="D58" t="s">
        <v>20</v>
      </c>
      <c r="E58" s="14">
        <v>11412</v>
      </c>
      <c r="G58" t="s">
        <v>1845</v>
      </c>
      <c r="H58" t="s">
        <v>15</v>
      </c>
      <c r="I58" t="s">
        <v>27</v>
      </c>
      <c r="J58" t="s">
        <v>20</v>
      </c>
      <c r="K58" s="14">
        <v>16959.311300000001</v>
      </c>
      <c r="Z58" s="3"/>
      <c r="AC58"/>
      <c r="AE58" s="3"/>
      <c r="AH58" t="s">
        <v>2330</v>
      </c>
      <c r="AI58" t="s">
        <v>67</v>
      </c>
      <c r="AJ58" t="s">
        <v>72</v>
      </c>
      <c r="AK58" s="3" t="s">
        <v>27</v>
      </c>
      <c r="AL58" s="3">
        <v>-19795.247338000001</v>
      </c>
      <c r="AN58" t="s">
        <v>2024</v>
      </c>
      <c r="AO58" t="s">
        <v>88</v>
      </c>
      <c r="AP58" t="s">
        <v>86</v>
      </c>
      <c r="AQ58" s="3">
        <v>10770.408844371201</v>
      </c>
      <c r="AS58" t="s">
        <v>2328</v>
      </c>
      <c r="AT58" t="s">
        <v>88</v>
      </c>
      <c r="AU58" t="s">
        <v>271</v>
      </c>
      <c r="AV58" s="14">
        <v>14350</v>
      </c>
      <c r="AX58" s="1">
        <v>46279</v>
      </c>
      <c r="AY58" t="s">
        <v>201</v>
      </c>
      <c r="AZ58" s="3">
        <v>6676.1225000000004</v>
      </c>
    </row>
    <row r="59" spans="1:69">
      <c r="A59" t="s">
        <v>1846</v>
      </c>
      <c r="B59" t="s">
        <v>15</v>
      </c>
      <c r="C59" t="s">
        <v>27</v>
      </c>
      <c r="D59" t="s">
        <v>20</v>
      </c>
      <c r="E59" s="14">
        <v>11412</v>
      </c>
      <c r="G59" t="s">
        <v>1846</v>
      </c>
      <c r="H59" t="s">
        <v>15</v>
      </c>
      <c r="I59" t="s">
        <v>27</v>
      </c>
      <c r="J59" t="s">
        <v>20</v>
      </c>
      <c r="K59" s="14">
        <v>16959.311300000001</v>
      </c>
      <c r="Z59" s="3"/>
      <c r="AC59"/>
      <c r="AE59" s="3"/>
      <c r="AH59" t="s">
        <v>2330</v>
      </c>
      <c r="AI59" t="s">
        <v>67</v>
      </c>
      <c r="AJ59" t="s">
        <v>113</v>
      </c>
      <c r="AK59" s="3" t="s">
        <v>27</v>
      </c>
      <c r="AL59" s="3">
        <v>-1517.628896166</v>
      </c>
      <c r="AN59" t="s">
        <v>2024</v>
      </c>
      <c r="AO59" t="s">
        <v>88</v>
      </c>
      <c r="AP59" t="s">
        <v>90</v>
      </c>
      <c r="AQ59" s="3">
        <v>28950</v>
      </c>
      <c r="AS59" t="s">
        <v>2328</v>
      </c>
      <c r="AT59" t="s">
        <v>88</v>
      </c>
      <c r="AU59" t="s">
        <v>272</v>
      </c>
      <c r="AV59" s="14">
        <v>0</v>
      </c>
      <c r="AX59" s="1">
        <v>46278</v>
      </c>
      <c r="AY59" t="s">
        <v>185</v>
      </c>
      <c r="AZ59" s="3">
        <v>11405.6129</v>
      </c>
    </row>
    <row r="60" spans="1:69">
      <c r="A60" t="s">
        <v>1847</v>
      </c>
      <c r="B60" t="s">
        <v>15</v>
      </c>
      <c r="C60" t="s">
        <v>27</v>
      </c>
      <c r="D60" t="s">
        <v>20</v>
      </c>
      <c r="E60" s="14">
        <v>11412</v>
      </c>
      <c r="G60" t="s">
        <v>1847</v>
      </c>
      <c r="H60" t="s">
        <v>15</v>
      </c>
      <c r="I60" t="s">
        <v>27</v>
      </c>
      <c r="J60" t="s">
        <v>20</v>
      </c>
      <c r="K60" s="14">
        <v>16959.311300000001</v>
      </c>
      <c r="Z60" s="3"/>
      <c r="AC60"/>
      <c r="AE60" s="3"/>
      <c r="AH60" t="s">
        <v>2330</v>
      </c>
      <c r="AI60" t="s">
        <v>67</v>
      </c>
      <c r="AJ60" t="s">
        <v>108</v>
      </c>
      <c r="AK60" s="3" t="s">
        <v>27</v>
      </c>
      <c r="AL60" s="3">
        <v>-82.918441834000006</v>
      </c>
      <c r="AN60" t="s">
        <v>2023</v>
      </c>
      <c r="AO60" t="s">
        <v>88</v>
      </c>
      <c r="AP60" t="s">
        <v>86</v>
      </c>
      <c r="AQ60" s="3">
        <v>10768.799216653701</v>
      </c>
      <c r="AS60" t="s">
        <v>2328</v>
      </c>
      <c r="AT60" t="s">
        <v>88</v>
      </c>
      <c r="AU60" t="s">
        <v>273</v>
      </c>
      <c r="AV60" s="14">
        <v>0</v>
      </c>
      <c r="AX60" s="1">
        <v>46278</v>
      </c>
      <c r="AY60" t="s">
        <v>195</v>
      </c>
      <c r="AZ60" s="3">
        <v>-800</v>
      </c>
    </row>
    <row r="61" spans="1:69">
      <c r="A61" t="s">
        <v>1848</v>
      </c>
      <c r="B61" t="s">
        <v>15</v>
      </c>
      <c r="C61" t="s">
        <v>27</v>
      </c>
      <c r="D61" t="s">
        <v>20</v>
      </c>
      <c r="E61" s="14">
        <v>11412</v>
      </c>
      <c r="G61" t="s">
        <v>1848</v>
      </c>
      <c r="H61" t="s">
        <v>15</v>
      </c>
      <c r="I61" t="s">
        <v>27</v>
      </c>
      <c r="J61" t="s">
        <v>20</v>
      </c>
      <c r="K61" s="14">
        <v>16959.311300000001</v>
      </c>
      <c r="Z61" s="3"/>
      <c r="AC61"/>
      <c r="AE61" s="3"/>
      <c r="AH61" t="s">
        <v>2330</v>
      </c>
      <c r="AI61" t="s">
        <v>67</v>
      </c>
      <c r="AJ61" t="s">
        <v>98</v>
      </c>
      <c r="AK61" s="3" t="s">
        <v>27</v>
      </c>
      <c r="AL61" s="3">
        <v>-82.918441834000006</v>
      </c>
      <c r="AN61" t="s">
        <v>2023</v>
      </c>
      <c r="AO61" t="s">
        <v>88</v>
      </c>
      <c r="AP61" t="s">
        <v>90</v>
      </c>
      <c r="AQ61" s="3">
        <v>28050</v>
      </c>
      <c r="AS61" t="s">
        <v>2328</v>
      </c>
      <c r="AT61" t="s">
        <v>196</v>
      </c>
      <c r="AU61" t="s">
        <v>197</v>
      </c>
      <c r="AV61" s="14">
        <v>7.6540452096514704</v>
      </c>
      <c r="AX61" s="1">
        <v>46278</v>
      </c>
      <c r="AY61" t="s">
        <v>200</v>
      </c>
      <c r="AZ61" s="3">
        <v>-1459</v>
      </c>
    </row>
    <row r="62" spans="1:69">
      <c r="A62" t="s">
        <v>1849</v>
      </c>
      <c r="B62" t="s">
        <v>15</v>
      </c>
      <c r="C62" t="s">
        <v>27</v>
      </c>
      <c r="D62" t="s">
        <v>20</v>
      </c>
      <c r="E62" s="14">
        <v>11412</v>
      </c>
      <c r="G62" t="s">
        <v>1849</v>
      </c>
      <c r="H62" t="s">
        <v>15</v>
      </c>
      <c r="I62" t="s">
        <v>27</v>
      </c>
      <c r="J62" t="s">
        <v>20</v>
      </c>
      <c r="K62" s="14">
        <v>16959.311300000001</v>
      </c>
      <c r="Z62" s="3"/>
      <c r="AC62"/>
      <c r="AE62" s="3"/>
      <c r="AH62" t="s">
        <v>2330</v>
      </c>
      <c r="AI62" t="s">
        <v>67</v>
      </c>
      <c r="AJ62" t="s">
        <v>66</v>
      </c>
      <c r="AK62" s="3" t="s">
        <v>114</v>
      </c>
      <c r="AL62" s="3">
        <v>2310</v>
      </c>
      <c r="AN62" t="s">
        <v>2022</v>
      </c>
      <c r="AO62" t="s">
        <v>88</v>
      </c>
      <c r="AP62" t="s">
        <v>86</v>
      </c>
      <c r="AQ62" s="3">
        <v>10767.414701666999</v>
      </c>
      <c r="AS62" t="s">
        <v>2328</v>
      </c>
      <c r="AT62" t="s">
        <v>196</v>
      </c>
      <c r="AU62" t="s">
        <v>109</v>
      </c>
      <c r="AV62" s="14">
        <v>6.8073170465218897</v>
      </c>
      <c r="AX62" s="1">
        <v>46278</v>
      </c>
      <c r="AY62" t="s">
        <v>281</v>
      </c>
      <c r="AZ62" s="3">
        <v>-803</v>
      </c>
    </row>
    <row r="63" spans="1:69">
      <c r="A63" t="s">
        <v>1850</v>
      </c>
      <c r="B63" t="s">
        <v>15</v>
      </c>
      <c r="C63" t="s">
        <v>27</v>
      </c>
      <c r="D63" t="s">
        <v>20</v>
      </c>
      <c r="E63" s="14">
        <v>11412</v>
      </c>
      <c r="G63" t="s">
        <v>1850</v>
      </c>
      <c r="H63" t="s">
        <v>15</v>
      </c>
      <c r="I63" t="s">
        <v>27</v>
      </c>
      <c r="J63" t="s">
        <v>20</v>
      </c>
      <c r="K63" s="14">
        <v>16959.311300000001</v>
      </c>
      <c r="Z63" s="3"/>
      <c r="AC63"/>
      <c r="AE63" s="3"/>
      <c r="AH63" t="s">
        <v>2330</v>
      </c>
      <c r="AI63" t="s">
        <v>67</v>
      </c>
      <c r="AJ63" t="s">
        <v>98</v>
      </c>
      <c r="AK63" s="3" t="s">
        <v>114</v>
      </c>
      <c r="AL63" s="3">
        <v>-178.76949452049999</v>
      </c>
      <c r="AN63" t="s">
        <v>2022</v>
      </c>
      <c r="AO63" t="s">
        <v>88</v>
      </c>
      <c r="AP63" t="s">
        <v>90</v>
      </c>
      <c r="AQ63" s="3">
        <v>26650</v>
      </c>
      <c r="AS63" t="s">
        <v>2328</v>
      </c>
      <c r="AT63" t="s">
        <v>196</v>
      </c>
      <c r="AU63" t="s">
        <v>198</v>
      </c>
      <c r="AV63" s="14">
        <v>7.3295385434010401</v>
      </c>
      <c r="AX63" s="1">
        <v>46278</v>
      </c>
      <c r="AY63" t="s">
        <v>201</v>
      </c>
      <c r="AZ63" s="3">
        <v>6676.1225000000004</v>
      </c>
    </row>
    <row r="64" spans="1:69">
      <c r="A64" t="s">
        <v>1851</v>
      </c>
      <c r="B64" t="s">
        <v>15</v>
      </c>
      <c r="C64" t="s">
        <v>27</v>
      </c>
      <c r="D64" t="s">
        <v>20</v>
      </c>
      <c r="E64" s="14">
        <v>11412</v>
      </c>
      <c r="G64" t="s">
        <v>1851</v>
      </c>
      <c r="H64" t="s">
        <v>15</v>
      </c>
      <c r="I64" t="s">
        <v>27</v>
      </c>
      <c r="J64" t="s">
        <v>20</v>
      </c>
      <c r="K64" s="14">
        <v>16959.311300000001</v>
      </c>
      <c r="Z64" s="3"/>
      <c r="AC64"/>
      <c r="AE64" s="3"/>
      <c r="AH64" t="s">
        <v>2330</v>
      </c>
      <c r="AI64" t="s">
        <v>67</v>
      </c>
      <c r="AJ64" t="s">
        <v>66</v>
      </c>
      <c r="AK64" s="3" t="s">
        <v>115</v>
      </c>
      <c r="AL64" s="3">
        <v>20504.7</v>
      </c>
      <c r="AN64" t="s">
        <v>2018</v>
      </c>
      <c r="AO64" t="s">
        <v>88</v>
      </c>
      <c r="AP64" t="s">
        <v>86</v>
      </c>
      <c r="AQ64" s="3">
        <v>10767.3666202642</v>
      </c>
      <c r="AS64" t="s">
        <v>2327</v>
      </c>
      <c r="AT64" t="s">
        <v>88</v>
      </c>
      <c r="AU64" t="s">
        <v>109</v>
      </c>
      <c r="AV64" s="14">
        <v>14449.1</v>
      </c>
      <c r="AX64" s="1">
        <v>46275</v>
      </c>
      <c r="AY64" t="s">
        <v>185</v>
      </c>
      <c r="AZ64" s="3">
        <v>11619.6129</v>
      </c>
    </row>
    <row r="65" spans="1:52">
      <c r="A65" t="s">
        <v>1852</v>
      </c>
      <c r="B65" t="s">
        <v>15</v>
      </c>
      <c r="C65" t="s">
        <v>27</v>
      </c>
      <c r="D65" t="s">
        <v>20</v>
      </c>
      <c r="E65" s="14">
        <v>11412</v>
      </c>
      <c r="G65" t="s">
        <v>1852</v>
      </c>
      <c r="H65" t="s">
        <v>15</v>
      </c>
      <c r="I65" t="s">
        <v>27</v>
      </c>
      <c r="J65" t="s">
        <v>20</v>
      </c>
      <c r="K65" s="14">
        <v>16959.311300000001</v>
      </c>
      <c r="Z65" s="3"/>
      <c r="AC65"/>
      <c r="AE65" s="3"/>
      <c r="AH65" t="s">
        <v>2330</v>
      </c>
      <c r="AI65" t="s">
        <v>67</v>
      </c>
      <c r="AJ65" t="s">
        <v>98</v>
      </c>
      <c r="AK65" s="3" t="s">
        <v>115</v>
      </c>
      <c r="AL65" s="3">
        <v>-95.851052686599999</v>
      </c>
      <c r="AN65" t="s">
        <v>2018</v>
      </c>
      <c r="AO65" t="s">
        <v>88</v>
      </c>
      <c r="AP65" t="s">
        <v>90</v>
      </c>
      <c r="AQ65" s="3">
        <v>26650</v>
      </c>
      <c r="AS65" t="s">
        <v>2327</v>
      </c>
      <c r="AT65" t="s">
        <v>88</v>
      </c>
      <c r="AU65" t="s">
        <v>110</v>
      </c>
      <c r="AV65" s="14">
        <v>397.61059999999998</v>
      </c>
      <c r="AX65" s="1">
        <v>46275</v>
      </c>
      <c r="AY65" t="s">
        <v>195</v>
      </c>
      <c r="AZ65" s="3">
        <v>-800</v>
      </c>
    </row>
    <row r="66" spans="1:52">
      <c r="A66" t="s">
        <v>1853</v>
      </c>
      <c r="B66" t="s">
        <v>15</v>
      </c>
      <c r="C66" t="s">
        <v>27</v>
      </c>
      <c r="D66" t="s">
        <v>20</v>
      </c>
      <c r="E66" s="14">
        <v>11412</v>
      </c>
      <c r="G66" t="s">
        <v>1853</v>
      </c>
      <c r="H66" t="s">
        <v>15</v>
      </c>
      <c r="I66" t="s">
        <v>27</v>
      </c>
      <c r="J66" t="s">
        <v>20</v>
      </c>
      <c r="K66" s="14">
        <v>16959.311300000001</v>
      </c>
      <c r="Z66" s="3"/>
      <c r="AC66"/>
      <c r="AE66" s="3"/>
      <c r="AH66" t="s">
        <v>2330</v>
      </c>
      <c r="AI66" t="s">
        <v>68</v>
      </c>
      <c r="AJ66" t="s">
        <v>66</v>
      </c>
      <c r="AK66" s="3" t="s">
        <v>27</v>
      </c>
      <c r="AL66" s="3">
        <v>-202.6</v>
      </c>
      <c r="AN66" t="s">
        <v>2016</v>
      </c>
      <c r="AO66" t="s">
        <v>88</v>
      </c>
      <c r="AP66" t="s">
        <v>86</v>
      </c>
      <c r="AQ66" s="3">
        <v>12768.6779138701</v>
      </c>
      <c r="AS66" t="s">
        <v>2327</v>
      </c>
      <c r="AT66" t="s">
        <v>88</v>
      </c>
      <c r="AU66" t="s">
        <v>111</v>
      </c>
      <c r="AV66" s="14">
        <v>12000</v>
      </c>
      <c r="AX66" s="1">
        <v>46275</v>
      </c>
      <c r="AY66" t="s">
        <v>200</v>
      </c>
      <c r="AZ66" s="3">
        <v>-1459</v>
      </c>
    </row>
    <row r="67" spans="1:52">
      <c r="A67" t="s">
        <v>1854</v>
      </c>
      <c r="B67" t="s">
        <v>15</v>
      </c>
      <c r="C67" t="s">
        <v>27</v>
      </c>
      <c r="D67" t="s">
        <v>20</v>
      </c>
      <c r="E67" s="14">
        <v>11412</v>
      </c>
      <c r="G67" t="s">
        <v>1854</v>
      </c>
      <c r="H67" t="s">
        <v>15</v>
      </c>
      <c r="I67" t="s">
        <v>27</v>
      </c>
      <c r="J67" t="s">
        <v>20</v>
      </c>
      <c r="K67" s="14">
        <v>16959.311300000001</v>
      </c>
      <c r="Z67" s="3"/>
      <c r="AC67"/>
      <c r="AE67" s="3"/>
      <c r="AH67" t="s">
        <v>2330</v>
      </c>
      <c r="AI67" t="s">
        <v>68</v>
      </c>
      <c r="AJ67" t="s">
        <v>72</v>
      </c>
      <c r="AK67" s="3" t="s">
        <v>27</v>
      </c>
      <c r="AL67" s="3">
        <v>-316.176064</v>
      </c>
      <c r="AN67" t="s">
        <v>2016</v>
      </c>
      <c r="AO67" t="s">
        <v>88</v>
      </c>
      <c r="AP67" t="s">
        <v>90</v>
      </c>
      <c r="AQ67" s="3">
        <v>25450</v>
      </c>
      <c r="AS67" t="s">
        <v>2327</v>
      </c>
      <c r="AT67" t="s">
        <v>88</v>
      </c>
      <c r="AU67" t="s">
        <v>268</v>
      </c>
      <c r="AV67" s="14">
        <v>0</v>
      </c>
      <c r="AX67" s="1">
        <v>46275</v>
      </c>
      <c r="AY67" t="s">
        <v>281</v>
      </c>
      <c r="AZ67" s="3">
        <v>-450</v>
      </c>
    </row>
    <row r="68" spans="1:52">
      <c r="A68" t="s">
        <v>1855</v>
      </c>
      <c r="B68" t="s">
        <v>15</v>
      </c>
      <c r="C68" t="s">
        <v>27</v>
      </c>
      <c r="D68" t="s">
        <v>20</v>
      </c>
      <c r="E68" s="14">
        <v>11412</v>
      </c>
      <c r="G68" t="s">
        <v>1855</v>
      </c>
      <c r="H68" t="s">
        <v>15</v>
      </c>
      <c r="I68" t="s">
        <v>27</v>
      </c>
      <c r="J68" t="s">
        <v>20</v>
      </c>
      <c r="K68" s="14">
        <v>16959.311300000001</v>
      </c>
      <c r="Z68" s="3"/>
      <c r="AC68"/>
      <c r="AE68" s="3"/>
      <c r="AH68" t="s">
        <v>2330</v>
      </c>
      <c r="AI68" t="s">
        <v>68</v>
      </c>
      <c r="AJ68" t="s">
        <v>113</v>
      </c>
      <c r="AK68" s="3" t="s">
        <v>27</v>
      </c>
      <c r="AL68" s="3">
        <v>-25.7411260294</v>
      </c>
      <c r="AN68" t="s">
        <v>1829</v>
      </c>
      <c r="AO68" t="s">
        <v>88</v>
      </c>
      <c r="AP68" t="s">
        <v>86</v>
      </c>
      <c r="AQ68" s="3">
        <v>12769.3422592966</v>
      </c>
      <c r="AS68" t="s">
        <v>2327</v>
      </c>
      <c r="AT68" t="s">
        <v>88</v>
      </c>
      <c r="AU68" t="s">
        <v>269</v>
      </c>
      <c r="AV68" s="14">
        <v>0</v>
      </c>
      <c r="AX68" s="1">
        <v>46275</v>
      </c>
      <c r="AY68" t="s">
        <v>201</v>
      </c>
      <c r="AZ68" s="3">
        <v>7029.1225000000004</v>
      </c>
    </row>
    <row r="69" spans="1:52">
      <c r="A69" t="s">
        <v>1856</v>
      </c>
      <c r="B69" t="s">
        <v>15</v>
      </c>
      <c r="C69" t="s">
        <v>27</v>
      </c>
      <c r="D69" t="s">
        <v>20</v>
      </c>
      <c r="E69" s="14">
        <v>11412</v>
      </c>
      <c r="G69" t="s">
        <v>1856</v>
      </c>
      <c r="H69" t="s">
        <v>15</v>
      </c>
      <c r="I69" t="s">
        <v>27</v>
      </c>
      <c r="J69" t="s">
        <v>20</v>
      </c>
      <c r="K69" s="14">
        <v>16959.311300000001</v>
      </c>
      <c r="Z69" s="3"/>
      <c r="AC69"/>
      <c r="AE69" s="3"/>
      <c r="AH69" t="s">
        <v>2330</v>
      </c>
      <c r="AI69" t="s">
        <v>68</v>
      </c>
      <c r="AJ69" t="s">
        <v>108</v>
      </c>
      <c r="AK69" s="3" t="s">
        <v>27</v>
      </c>
      <c r="AL69" s="3">
        <v>-87.834937970599995</v>
      </c>
      <c r="AN69" t="s">
        <v>1829</v>
      </c>
      <c r="AO69" t="s">
        <v>88</v>
      </c>
      <c r="AP69" t="s">
        <v>90</v>
      </c>
      <c r="AQ69" s="3">
        <v>25450</v>
      </c>
      <c r="AS69" t="s">
        <v>2327</v>
      </c>
      <c r="AT69" t="s">
        <v>88</v>
      </c>
      <c r="AU69" t="s">
        <v>270</v>
      </c>
      <c r="AV69" s="14">
        <v>0</v>
      </c>
      <c r="AX69" s="1">
        <v>46274</v>
      </c>
      <c r="AY69" t="s">
        <v>185</v>
      </c>
      <c r="AZ69" s="3">
        <v>12373.934300000001</v>
      </c>
    </row>
    <row r="70" spans="1:52">
      <c r="A70" t="s">
        <v>1857</v>
      </c>
      <c r="B70" t="s">
        <v>15</v>
      </c>
      <c r="C70" t="s">
        <v>27</v>
      </c>
      <c r="D70" t="s">
        <v>20</v>
      </c>
      <c r="E70" s="14">
        <v>11412</v>
      </c>
      <c r="G70" t="s">
        <v>1857</v>
      </c>
      <c r="H70" t="s">
        <v>15</v>
      </c>
      <c r="I70" t="s">
        <v>27</v>
      </c>
      <c r="J70" t="s">
        <v>20</v>
      </c>
      <c r="K70" s="14">
        <v>16959.311300000001</v>
      </c>
      <c r="Z70" s="3"/>
      <c r="AC70"/>
      <c r="AE70" s="3"/>
      <c r="AH70" t="s">
        <v>2330</v>
      </c>
      <c r="AI70" t="s">
        <v>68</v>
      </c>
      <c r="AJ70" t="s">
        <v>98</v>
      </c>
      <c r="AK70" s="3" t="s">
        <v>27</v>
      </c>
      <c r="AL70" s="3">
        <v>-87.834937970599995</v>
      </c>
      <c r="AN70" t="s">
        <v>1826</v>
      </c>
      <c r="AO70" t="s">
        <v>88</v>
      </c>
      <c r="AP70" t="s">
        <v>86</v>
      </c>
      <c r="AQ70" s="3">
        <v>12770.199025923601</v>
      </c>
      <c r="AS70" t="s">
        <v>2327</v>
      </c>
      <c r="AT70" t="s">
        <v>88</v>
      </c>
      <c r="AU70" t="s">
        <v>271</v>
      </c>
      <c r="AV70" s="14">
        <v>14300</v>
      </c>
      <c r="AX70" s="1">
        <v>46274</v>
      </c>
      <c r="AY70" t="s">
        <v>195</v>
      </c>
      <c r="AZ70" s="3">
        <v>-800</v>
      </c>
    </row>
    <row r="71" spans="1:52">
      <c r="A71" t="s">
        <v>1858</v>
      </c>
      <c r="B71" t="s">
        <v>15</v>
      </c>
      <c r="C71" t="s">
        <v>27</v>
      </c>
      <c r="D71" t="s">
        <v>20</v>
      </c>
      <c r="E71" s="14">
        <v>11412</v>
      </c>
      <c r="G71" t="s">
        <v>1858</v>
      </c>
      <c r="H71" t="s">
        <v>15</v>
      </c>
      <c r="I71" t="s">
        <v>27</v>
      </c>
      <c r="J71" t="s">
        <v>20</v>
      </c>
      <c r="K71" s="14">
        <v>16959.311300000001</v>
      </c>
      <c r="Z71" s="3"/>
      <c r="AC71"/>
      <c r="AE71" s="3"/>
      <c r="AH71" t="s">
        <v>2330</v>
      </c>
      <c r="AI71" t="s">
        <v>68</v>
      </c>
      <c r="AJ71" t="s">
        <v>66</v>
      </c>
      <c r="AK71" s="3" t="s">
        <v>114</v>
      </c>
      <c r="AL71" s="3">
        <v>9623.4</v>
      </c>
      <c r="AN71" t="s">
        <v>1826</v>
      </c>
      <c r="AO71" t="s">
        <v>88</v>
      </c>
      <c r="AP71" t="s">
        <v>90</v>
      </c>
      <c r="AQ71" s="3">
        <v>25450</v>
      </c>
      <c r="AS71" t="s">
        <v>2327</v>
      </c>
      <c r="AT71" t="s">
        <v>88</v>
      </c>
      <c r="AU71" t="s">
        <v>272</v>
      </c>
      <c r="AV71" s="14">
        <v>0</v>
      </c>
      <c r="AX71" s="1">
        <v>46274</v>
      </c>
      <c r="AY71" t="s">
        <v>200</v>
      </c>
      <c r="AZ71" s="3">
        <v>-1459</v>
      </c>
    </row>
    <row r="72" spans="1:52">
      <c r="A72" t="s">
        <v>1859</v>
      </c>
      <c r="B72" t="s">
        <v>15</v>
      </c>
      <c r="C72" t="s">
        <v>27</v>
      </c>
      <c r="D72" t="s">
        <v>20</v>
      </c>
      <c r="E72" s="14">
        <v>11412</v>
      </c>
      <c r="G72" t="s">
        <v>1859</v>
      </c>
      <c r="H72" t="s">
        <v>15</v>
      </c>
      <c r="I72" t="s">
        <v>27</v>
      </c>
      <c r="J72" t="s">
        <v>20</v>
      </c>
      <c r="K72" s="14">
        <v>16959.311300000001</v>
      </c>
      <c r="Z72" s="3"/>
      <c r="AC72"/>
      <c r="AE72" s="3"/>
      <c r="AH72" t="s">
        <v>2330</v>
      </c>
      <c r="AI72" t="s">
        <v>68</v>
      </c>
      <c r="AJ72" t="s">
        <v>98</v>
      </c>
      <c r="AK72" s="3" t="s">
        <v>114</v>
      </c>
      <c r="AL72" s="3">
        <v>-606.5554767671</v>
      </c>
      <c r="AN72" t="s">
        <v>1825</v>
      </c>
      <c r="AO72" t="s">
        <v>88</v>
      </c>
      <c r="AP72" t="s">
        <v>86</v>
      </c>
      <c r="AQ72" s="3">
        <v>12770.977026992099</v>
      </c>
      <c r="AS72" t="s">
        <v>2327</v>
      </c>
      <c r="AT72" t="s">
        <v>88</v>
      </c>
      <c r="AU72" t="s">
        <v>273</v>
      </c>
      <c r="AV72" s="14">
        <v>0</v>
      </c>
      <c r="AX72" s="1">
        <v>46274</v>
      </c>
      <c r="AY72" t="s">
        <v>281</v>
      </c>
      <c r="AZ72" s="3">
        <v>-450</v>
      </c>
    </row>
    <row r="73" spans="1:52">
      <c r="A73" t="s">
        <v>1860</v>
      </c>
      <c r="B73" t="s">
        <v>15</v>
      </c>
      <c r="C73" t="s">
        <v>27</v>
      </c>
      <c r="D73" t="s">
        <v>20</v>
      </c>
      <c r="E73" s="14">
        <v>11412</v>
      </c>
      <c r="G73" t="s">
        <v>1860</v>
      </c>
      <c r="H73" t="s">
        <v>15</v>
      </c>
      <c r="I73" t="s">
        <v>27</v>
      </c>
      <c r="J73" t="s">
        <v>20</v>
      </c>
      <c r="K73" s="14">
        <v>16959.311300000001</v>
      </c>
      <c r="Z73" s="3"/>
      <c r="AC73"/>
      <c r="AE73" s="3"/>
      <c r="AH73" t="s">
        <v>2330</v>
      </c>
      <c r="AI73" t="s">
        <v>68</v>
      </c>
      <c r="AJ73" t="s">
        <v>66</v>
      </c>
      <c r="AK73" s="3" t="s">
        <v>115</v>
      </c>
      <c r="AL73" s="3">
        <v>9826</v>
      </c>
      <c r="AN73" t="s">
        <v>1825</v>
      </c>
      <c r="AO73" t="s">
        <v>88</v>
      </c>
      <c r="AP73" t="s">
        <v>90</v>
      </c>
      <c r="AQ73" s="3">
        <v>25450</v>
      </c>
      <c r="AS73" t="s">
        <v>2327</v>
      </c>
      <c r="AT73" t="s">
        <v>196</v>
      </c>
      <c r="AU73" t="s">
        <v>197</v>
      </c>
      <c r="AV73" s="14">
        <v>7.6539565849447602</v>
      </c>
      <c r="AX73" s="1">
        <v>46274</v>
      </c>
      <c r="AY73" t="s">
        <v>201</v>
      </c>
      <c r="AZ73" s="3">
        <v>7042.4439000000002</v>
      </c>
    </row>
    <row r="74" spans="1:52">
      <c r="A74" t="s">
        <v>1861</v>
      </c>
      <c r="B74" t="s">
        <v>15</v>
      </c>
      <c r="C74" t="s">
        <v>27</v>
      </c>
      <c r="D74" t="s">
        <v>20</v>
      </c>
      <c r="E74" s="14">
        <v>11412</v>
      </c>
      <c r="G74" t="s">
        <v>1861</v>
      </c>
      <c r="H74" t="s">
        <v>15</v>
      </c>
      <c r="I74" t="s">
        <v>27</v>
      </c>
      <c r="J74" t="s">
        <v>20</v>
      </c>
      <c r="K74" s="14">
        <v>16959.311300000001</v>
      </c>
      <c r="Z74" s="3"/>
      <c r="AC74"/>
      <c r="AE74" s="3"/>
      <c r="AH74" t="s">
        <v>2330</v>
      </c>
      <c r="AI74" t="s">
        <v>68</v>
      </c>
      <c r="AJ74" t="s">
        <v>98</v>
      </c>
      <c r="AK74" s="3" t="s">
        <v>115</v>
      </c>
      <c r="AL74" s="3">
        <v>-518.72053879650002</v>
      </c>
      <c r="AN74" t="s">
        <v>809</v>
      </c>
      <c r="AO74" t="s">
        <v>88</v>
      </c>
      <c r="AP74" t="s">
        <v>86</v>
      </c>
      <c r="AQ74" s="3">
        <v>12771.307001152099</v>
      </c>
      <c r="AS74" t="s">
        <v>2327</v>
      </c>
      <c r="AT74" t="s">
        <v>196</v>
      </c>
      <c r="AU74" t="s">
        <v>109</v>
      </c>
      <c r="AV74" s="14">
        <v>6.8179014043823898</v>
      </c>
      <c r="AX74" s="1">
        <v>46273</v>
      </c>
      <c r="AY74" t="s">
        <v>185</v>
      </c>
      <c r="AZ74" s="3">
        <v>11163.5362</v>
      </c>
    </row>
    <row r="75" spans="1:52">
      <c r="A75" t="s">
        <v>1862</v>
      </c>
      <c r="B75" t="s">
        <v>15</v>
      </c>
      <c r="C75" t="s">
        <v>27</v>
      </c>
      <c r="D75" t="s">
        <v>20</v>
      </c>
      <c r="E75" s="14">
        <v>11412</v>
      </c>
      <c r="G75" t="s">
        <v>1862</v>
      </c>
      <c r="H75" t="s">
        <v>15</v>
      </c>
      <c r="I75" t="s">
        <v>27</v>
      </c>
      <c r="J75" t="s">
        <v>20</v>
      </c>
      <c r="K75" s="14">
        <v>16959.311300000001</v>
      </c>
      <c r="Z75" s="3"/>
      <c r="AC75"/>
      <c r="AE75" s="3"/>
      <c r="AH75" t="s">
        <v>2330</v>
      </c>
      <c r="AI75" t="s">
        <v>800</v>
      </c>
      <c r="AJ75" t="s">
        <v>31</v>
      </c>
      <c r="AK75" s="3" t="s">
        <v>27</v>
      </c>
      <c r="AL75" s="3">
        <v>4.1476240778999998</v>
      </c>
      <c r="AN75" t="s">
        <v>809</v>
      </c>
      <c r="AO75" t="s">
        <v>88</v>
      </c>
      <c r="AP75" t="s">
        <v>90</v>
      </c>
      <c r="AQ75" s="3">
        <v>25250</v>
      </c>
      <c r="AS75" t="s">
        <v>2327</v>
      </c>
      <c r="AT75" t="s">
        <v>196</v>
      </c>
      <c r="AU75" t="s">
        <v>198</v>
      </c>
      <c r="AV75" s="14">
        <v>7.3344526299745398</v>
      </c>
      <c r="AX75" s="1">
        <v>46273</v>
      </c>
      <c r="AY75" t="s">
        <v>195</v>
      </c>
      <c r="AZ75" s="3">
        <v>-800</v>
      </c>
    </row>
    <row r="76" spans="1:52">
      <c r="A76" t="s">
        <v>1863</v>
      </c>
      <c r="B76" t="s">
        <v>15</v>
      </c>
      <c r="C76" t="s">
        <v>27</v>
      </c>
      <c r="D76" t="s">
        <v>20</v>
      </c>
      <c r="E76" s="14">
        <v>11412</v>
      </c>
      <c r="G76" t="s">
        <v>1863</v>
      </c>
      <c r="H76" t="s">
        <v>15</v>
      </c>
      <c r="I76" t="s">
        <v>27</v>
      </c>
      <c r="J76" t="s">
        <v>20</v>
      </c>
      <c r="K76" s="14">
        <v>16959.311300000001</v>
      </c>
      <c r="Z76" s="3"/>
      <c r="AC76"/>
      <c r="AE76" s="3"/>
      <c r="AH76" t="s">
        <v>2329</v>
      </c>
      <c r="AI76" t="s">
        <v>800</v>
      </c>
      <c r="AJ76" t="s">
        <v>31</v>
      </c>
      <c r="AK76" s="3" t="s">
        <v>27</v>
      </c>
      <c r="AL76" s="3">
        <v>4.0951140027999999</v>
      </c>
      <c r="AN76" t="s">
        <v>808</v>
      </c>
      <c r="AO76" t="s">
        <v>88</v>
      </c>
      <c r="AP76" t="s">
        <v>86</v>
      </c>
      <c r="AQ76" s="3">
        <v>12771.645769524999</v>
      </c>
      <c r="AS76" t="s">
        <v>2326</v>
      </c>
      <c r="AT76" t="s">
        <v>88</v>
      </c>
      <c r="AU76" t="s">
        <v>109</v>
      </c>
      <c r="AV76" s="14">
        <v>15399.1</v>
      </c>
      <c r="AX76" s="1">
        <v>46273</v>
      </c>
      <c r="AY76" t="s">
        <v>200</v>
      </c>
      <c r="AZ76" s="3">
        <v>-1459</v>
      </c>
    </row>
    <row r="77" spans="1:52">
      <c r="A77" t="s">
        <v>1864</v>
      </c>
      <c r="B77" t="s">
        <v>15</v>
      </c>
      <c r="C77" t="s">
        <v>27</v>
      </c>
      <c r="D77" t="s">
        <v>20</v>
      </c>
      <c r="E77" s="14">
        <v>11412</v>
      </c>
      <c r="G77" t="s">
        <v>1864</v>
      </c>
      <c r="H77" t="s">
        <v>15</v>
      </c>
      <c r="I77" t="s">
        <v>27</v>
      </c>
      <c r="J77" t="s">
        <v>20</v>
      </c>
      <c r="K77" s="14">
        <v>16959.311300000001</v>
      </c>
      <c r="Z77" s="3"/>
      <c r="AC77"/>
      <c r="AE77" s="3"/>
      <c r="AH77" t="s">
        <v>2329</v>
      </c>
      <c r="AI77" t="s">
        <v>65</v>
      </c>
      <c r="AJ77" t="s">
        <v>66</v>
      </c>
      <c r="AK77" s="3" t="s">
        <v>27</v>
      </c>
      <c r="AL77" s="3">
        <v>34340.300000000003</v>
      </c>
      <c r="AN77" t="s">
        <v>808</v>
      </c>
      <c r="AO77" t="s">
        <v>88</v>
      </c>
      <c r="AP77" t="s">
        <v>90</v>
      </c>
      <c r="AQ77" s="3">
        <v>26250</v>
      </c>
      <c r="AS77" t="s">
        <v>2326</v>
      </c>
      <c r="AT77" t="s">
        <v>88</v>
      </c>
      <c r="AU77" t="s">
        <v>110</v>
      </c>
      <c r="AV77" s="14">
        <v>397.61059999999998</v>
      </c>
      <c r="AX77" s="1">
        <v>46273</v>
      </c>
      <c r="AY77" t="s">
        <v>281</v>
      </c>
      <c r="AZ77" s="3">
        <v>-450</v>
      </c>
    </row>
    <row r="78" spans="1:52">
      <c r="A78" t="s">
        <v>1865</v>
      </c>
      <c r="B78" t="s">
        <v>15</v>
      </c>
      <c r="C78" t="s">
        <v>27</v>
      </c>
      <c r="D78" t="s">
        <v>20</v>
      </c>
      <c r="E78" s="14">
        <v>11412</v>
      </c>
      <c r="G78" t="s">
        <v>1865</v>
      </c>
      <c r="H78" t="s">
        <v>15</v>
      </c>
      <c r="I78" t="s">
        <v>27</v>
      </c>
      <c r="J78" t="s">
        <v>20</v>
      </c>
      <c r="K78" s="14">
        <v>16959.311300000001</v>
      </c>
      <c r="Z78" s="3"/>
      <c r="AC78"/>
      <c r="AE78" s="3"/>
      <c r="AH78" t="s">
        <v>2329</v>
      </c>
      <c r="AI78" t="s">
        <v>65</v>
      </c>
      <c r="AJ78" t="s">
        <v>72</v>
      </c>
      <c r="AK78" s="3" t="s">
        <v>27</v>
      </c>
      <c r="AL78" s="3">
        <v>34506.243942000001</v>
      </c>
      <c r="AN78" t="s">
        <v>807</v>
      </c>
      <c r="AO78" t="s">
        <v>88</v>
      </c>
      <c r="AP78" t="s">
        <v>86</v>
      </c>
      <c r="AQ78" s="3">
        <v>12771.7900137334</v>
      </c>
      <c r="AS78" t="s">
        <v>2326</v>
      </c>
      <c r="AT78" t="s">
        <v>88</v>
      </c>
      <c r="AU78" t="s">
        <v>111</v>
      </c>
      <c r="AV78" s="14">
        <v>12000</v>
      </c>
      <c r="AX78" s="1">
        <v>46273</v>
      </c>
      <c r="AY78" t="s">
        <v>201</v>
      </c>
      <c r="AZ78" s="3">
        <v>7036.0457999999999</v>
      </c>
    </row>
    <row r="79" spans="1:52">
      <c r="A79" t="s">
        <v>1866</v>
      </c>
      <c r="B79" t="s">
        <v>15</v>
      </c>
      <c r="C79" t="s">
        <v>27</v>
      </c>
      <c r="D79" t="s">
        <v>20</v>
      </c>
      <c r="E79" s="14">
        <v>11412</v>
      </c>
      <c r="G79" t="s">
        <v>1866</v>
      </c>
      <c r="H79" t="s">
        <v>15</v>
      </c>
      <c r="I79" t="s">
        <v>27</v>
      </c>
      <c r="J79" t="s">
        <v>20</v>
      </c>
      <c r="K79" s="14">
        <v>16959.311300000001</v>
      </c>
      <c r="Z79" s="3"/>
      <c r="AC79"/>
      <c r="AE79" s="3"/>
      <c r="AH79" t="s">
        <v>2329</v>
      </c>
      <c r="AI79" t="s">
        <v>65</v>
      </c>
      <c r="AJ79" t="s">
        <v>113</v>
      </c>
      <c r="AK79" s="3" t="s">
        <v>27</v>
      </c>
      <c r="AL79" s="3">
        <v>1696.4958048599999</v>
      </c>
      <c r="AN79" t="s">
        <v>807</v>
      </c>
      <c r="AO79" t="s">
        <v>88</v>
      </c>
      <c r="AP79" t="s">
        <v>90</v>
      </c>
      <c r="AQ79" s="3">
        <v>26750</v>
      </c>
      <c r="AS79" t="s">
        <v>2326</v>
      </c>
      <c r="AT79" t="s">
        <v>88</v>
      </c>
      <c r="AU79" t="s">
        <v>268</v>
      </c>
      <c r="AV79" s="14">
        <v>0</v>
      </c>
      <c r="AX79" s="1">
        <v>46272</v>
      </c>
      <c r="AY79" t="s">
        <v>185</v>
      </c>
      <c r="AZ79" s="3">
        <v>12910.9362</v>
      </c>
    </row>
    <row r="80" spans="1:52">
      <c r="A80" t="s">
        <v>1867</v>
      </c>
      <c r="B80" t="s">
        <v>15</v>
      </c>
      <c r="C80" t="s">
        <v>27</v>
      </c>
      <c r="D80" t="s">
        <v>20</v>
      </c>
      <c r="E80" s="14">
        <v>11412</v>
      </c>
      <c r="G80" t="s">
        <v>1867</v>
      </c>
      <c r="H80" t="s">
        <v>15</v>
      </c>
      <c r="I80" t="s">
        <v>27</v>
      </c>
      <c r="J80" t="s">
        <v>20</v>
      </c>
      <c r="K80" s="14">
        <v>16959.311300000001</v>
      </c>
      <c r="Z80" s="3"/>
      <c r="AC80"/>
      <c r="AE80" s="3"/>
      <c r="AH80" t="s">
        <v>2329</v>
      </c>
      <c r="AI80" t="s">
        <v>65</v>
      </c>
      <c r="AJ80" t="s">
        <v>108</v>
      </c>
      <c r="AK80" s="3" t="s">
        <v>27</v>
      </c>
      <c r="AL80" s="3">
        <v>-1530.55186286</v>
      </c>
      <c r="AN80" t="s">
        <v>806</v>
      </c>
      <c r="AO80" t="s">
        <v>88</v>
      </c>
      <c r="AP80" t="s">
        <v>86</v>
      </c>
      <c r="AQ80" s="3">
        <v>12772.262129138</v>
      </c>
      <c r="AS80" t="s">
        <v>2326</v>
      </c>
      <c r="AT80" t="s">
        <v>88</v>
      </c>
      <c r="AU80" t="s">
        <v>269</v>
      </c>
      <c r="AV80" s="14">
        <v>0</v>
      </c>
      <c r="AX80" s="1">
        <v>46272</v>
      </c>
      <c r="AY80" t="s">
        <v>195</v>
      </c>
      <c r="AZ80" s="3">
        <v>-800</v>
      </c>
    </row>
    <row r="81" spans="1:52">
      <c r="A81" t="s">
        <v>1868</v>
      </c>
      <c r="B81" t="s">
        <v>15</v>
      </c>
      <c r="C81" t="s">
        <v>27</v>
      </c>
      <c r="D81" t="s">
        <v>20</v>
      </c>
      <c r="E81" s="14">
        <v>11412</v>
      </c>
      <c r="G81" t="s">
        <v>1868</v>
      </c>
      <c r="H81" t="s">
        <v>15</v>
      </c>
      <c r="I81" t="s">
        <v>27</v>
      </c>
      <c r="J81" t="s">
        <v>20</v>
      </c>
      <c r="K81" s="14">
        <v>16959.311300000001</v>
      </c>
      <c r="Z81" s="3"/>
      <c r="AC81"/>
      <c r="AE81" s="3"/>
      <c r="AH81" t="s">
        <v>2329</v>
      </c>
      <c r="AI81" t="s">
        <v>65</v>
      </c>
      <c r="AJ81" t="s">
        <v>98</v>
      </c>
      <c r="AK81" s="3" t="s">
        <v>27</v>
      </c>
      <c r="AL81" s="3">
        <v>-1530.55186286</v>
      </c>
      <c r="AN81" t="s">
        <v>806</v>
      </c>
      <c r="AO81" t="s">
        <v>88</v>
      </c>
      <c r="AP81" t="s">
        <v>90</v>
      </c>
      <c r="AQ81" s="3">
        <v>26750</v>
      </c>
      <c r="AS81" t="s">
        <v>2326</v>
      </c>
      <c r="AT81" t="s">
        <v>88</v>
      </c>
      <c r="AU81" t="s">
        <v>270</v>
      </c>
      <c r="AV81" s="14">
        <v>0</v>
      </c>
      <c r="AX81" s="1">
        <v>46272</v>
      </c>
      <c r="AY81" t="s">
        <v>200</v>
      </c>
      <c r="AZ81" s="3">
        <v>-1459</v>
      </c>
    </row>
    <row r="82" spans="1:52">
      <c r="A82" t="s">
        <v>1869</v>
      </c>
      <c r="B82" t="s">
        <v>15</v>
      </c>
      <c r="C82" t="s">
        <v>27</v>
      </c>
      <c r="D82" t="s">
        <v>20</v>
      </c>
      <c r="E82" s="14">
        <v>11412</v>
      </c>
      <c r="G82" t="s">
        <v>1869</v>
      </c>
      <c r="H82" t="s">
        <v>15</v>
      </c>
      <c r="I82" t="s">
        <v>27</v>
      </c>
      <c r="J82" t="s">
        <v>20</v>
      </c>
      <c r="K82" s="14">
        <v>16959.311300000001</v>
      </c>
      <c r="Z82" s="3"/>
      <c r="AC82"/>
      <c r="AE82" s="3"/>
      <c r="AH82" t="s">
        <v>2329</v>
      </c>
      <c r="AI82" t="s">
        <v>67</v>
      </c>
      <c r="AJ82" t="s">
        <v>66</v>
      </c>
      <c r="AK82" s="3" t="s">
        <v>27</v>
      </c>
      <c r="AL82" s="3">
        <v>-18734.7</v>
      </c>
      <c r="AN82" t="s">
        <v>1830</v>
      </c>
      <c r="AO82" t="s">
        <v>88</v>
      </c>
      <c r="AP82" t="s">
        <v>86</v>
      </c>
      <c r="AQ82" s="3">
        <v>12771.9823393447</v>
      </c>
      <c r="AS82" t="s">
        <v>2326</v>
      </c>
      <c r="AT82" t="s">
        <v>88</v>
      </c>
      <c r="AU82" t="s">
        <v>271</v>
      </c>
      <c r="AV82" s="14">
        <v>13350</v>
      </c>
      <c r="AX82" s="1">
        <v>46272</v>
      </c>
      <c r="AY82" t="s">
        <v>281</v>
      </c>
      <c r="AZ82" s="3">
        <v>-450</v>
      </c>
    </row>
    <row r="83" spans="1:52">
      <c r="A83" t="s">
        <v>1870</v>
      </c>
      <c r="B83" t="s">
        <v>15</v>
      </c>
      <c r="C83" t="s">
        <v>27</v>
      </c>
      <c r="D83" t="s">
        <v>20</v>
      </c>
      <c r="E83" s="14">
        <v>11412</v>
      </c>
      <c r="G83" t="s">
        <v>1870</v>
      </c>
      <c r="H83" t="s">
        <v>15</v>
      </c>
      <c r="I83" t="s">
        <v>27</v>
      </c>
      <c r="J83" t="s">
        <v>20</v>
      </c>
      <c r="K83" s="14">
        <v>16959.311300000001</v>
      </c>
      <c r="Z83" s="3"/>
      <c r="AC83"/>
      <c r="AE83" s="3"/>
      <c r="AH83" t="s">
        <v>2329</v>
      </c>
      <c r="AI83" t="s">
        <v>67</v>
      </c>
      <c r="AJ83" t="s">
        <v>72</v>
      </c>
      <c r="AK83" s="3" t="s">
        <v>27</v>
      </c>
      <c r="AL83" s="3">
        <v>-20114.220548000001</v>
      </c>
      <c r="AN83" t="s">
        <v>1830</v>
      </c>
      <c r="AO83" t="s">
        <v>88</v>
      </c>
      <c r="AP83" t="s">
        <v>90</v>
      </c>
      <c r="AQ83" s="3">
        <v>26750</v>
      </c>
      <c r="AS83" t="s">
        <v>2326</v>
      </c>
      <c r="AT83" t="s">
        <v>88</v>
      </c>
      <c r="AU83" t="s">
        <v>272</v>
      </c>
      <c r="AV83" s="14">
        <v>0</v>
      </c>
      <c r="AX83" s="1">
        <v>46272</v>
      </c>
      <c r="AY83" t="s">
        <v>201</v>
      </c>
      <c r="AZ83" s="3">
        <v>7036.0457999999999</v>
      </c>
    </row>
    <row r="84" spans="1:52">
      <c r="A84" t="s">
        <v>1871</v>
      </c>
      <c r="B84" t="s">
        <v>15</v>
      </c>
      <c r="C84" t="s">
        <v>27</v>
      </c>
      <c r="D84" t="s">
        <v>20</v>
      </c>
      <c r="E84" s="14">
        <v>6162</v>
      </c>
      <c r="G84" t="s">
        <v>1871</v>
      </c>
      <c r="H84" t="s">
        <v>15</v>
      </c>
      <c r="I84" t="s">
        <v>27</v>
      </c>
      <c r="J84" t="s">
        <v>20</v>
      </c>
      <c r="K84" s="14">
        <v>16959.311300000001</v>
      </c>
      <c r="Z84" s="3"/>
      <c r="AC84"/>
      <c r="AE84" s="3"/>
      <c r="AH84" t="s">
        <v>2329</v>
      </c>
      <c r="AI84" t="s">
        <v>67</v>
      </c>
      <c r="AJ84" t="s">
        <v>113</v>
      </c>
      <c r="AK84" s="3" t="s">
        <v>27</v>
      </c>
      <c r="AL84" s="3">
        <v>-1535.4028950511999</v>
      </c>
      <c r="AN84" t="s">
        <v>1831</v>
      </c>
      <c r="AO84" t="s">
        <v>88</v>
      </c>
      <c r="AP84" t="s">
        <v>86</v>
      </c>
      <c r="AQ84" s="3">
        <v>11773.040034617199</v>
      </c>
      <c r="AS84" t="s">
        <v>2326</v>
      </c>
      <c r="AT84" t="s">
        <v>88</v>
      </c>
      <c r="AU84" t="s">
        <v>273</v>
      </c>
      <c r="AV84" s="14">
        <v>0</v>
      </c>
      <c r="AX84" s="1">
        <v>46271</v>
      </c>
      <c r="AY84" t="s">
        <v>185</v>
      </c>
      <c r="AZ84" s="3">
        <v>11427.5362</v>
      </c>
    </row>
    <row r="85" spans="1:52">
      <c r="A85" t="s">
        <v>1872</v>
      </c>
      <c r="B85" t="s">
        <v>15</v>
      </c>
      <c r="C85" t="s">
        <v>27</v>
      </c>
      <c r="D85" t="s">
        <v>20</v>
      </c>
      <c r="E85" s="14">
        <v>6162</v>
      </c>
      <c r="G85" t="s">
        <v>1872</v>
      </c>
      <c r="H85" t="s">
        <v>15</v>
      </c>
      <c r="I85" t="s">
        <v>27</v>
      </c>
      <c r="J85" t="s">
        <v>20</v>
      </c>
      <c r="K85" s="14">
        <v>16959.311300000001</v>
      </c>
      <c r="Z85" s="3"/>
      <c r="AC85"/>
      <c r="AE85" s="3"/>
      <c r="AH85" t="s">
        <v>2329</v>
      </c>
      <c r="AI85" t="s">
        <v>67</v>
      </c>
      <c r="AJ85" t="s">
        <v>108</v>
      </c>
      <c r="AK85" s="3" t="s">
        <v>27</v>
      </c>
      <c r="AL85" s="3">
        <v>155.88234705119999</v>
      </c>
      <c r="AN85" t="s">
        <v>1831</v>
      </c>
      <c r="AO85" t="s">
        <v>88</v>
      </c>
      <c r="AP85" t="s">
        <v>90</v>
      </c>
      <c r="AQ85" s="3">
        <v>27150</v>
      </c>
      <c r="AS85" t="s">
        <v>2326</v>
      </c>
      <c r="AT85" t="s">
        <v>196</v>
      </c>
      <c r="AU85" t="s">
        <v>197</v>
      </c>
      <c r="AV85" s="14">
        <v>7.65401102428378</v>
      </c>
      <c r="AX85" s="1">
        <v>46271</v>
      </c>
      <c r="AY85" t="s">
        <v>195</v>
      </c>
      <c r="AZ85" s="3">
        <v>-800</v>
      </c>
    </row>
    <row r="86" spans="1:52">
      <c r="A86" t="s">
        <v>1873</v>
      </c>
      <c r="B86" t="s">
        <v>15</v>
      </c>
      <c r="C86" t="s">
        <v>27</v>
      </c>
      <c r="D86" t="s">
        <v>20</v>
      </c>
      <c r="E86" s="14">
        <v>6162</v>
      </c>
      <c r="G86" t="s">
        <v>1873</v>
      </c>
      <c r="H86" t="s">
        <v>15</v>
      </c>
      <c r="I86" t="s">
        <v>27</v>
      </c>
      <c r="J86" t="s">
        <v>20</v>
      </c>
      <c r="K86" s="14">
        <v>16959.311300000001</v>
      </c>
      <c r="Z86" s="3"/>
      <c r="AC86"/>
      <c r="AE86" s="3"/>
      <c r="AH86" t="s">
        <v>2329</v>
      </c>
      <c r="AI86" t="s">
        <v>67</v>
      </c>
      <c r="AJ86" t="s">
        <v>98</v>
      </c>
      <c r="AK86" s="3" t="s">
        <v>27</v>
      </c>
      <c r="AL86" s="3">
        <v>155.88234705119999</v>
      </c>
      <c r="AN86" t="s">
        <v>1832</v>
      </c>
      <c r="AO86" t="s">
        <v>88</v>
      </c>
      <c r="AP86" t="s">
        <v>86</v>
      </c>
      <c r="AQ86" s="3">
        <v>11773.1449916357</v>
      </c>
      <c r="AS86" t="s">
        <v>2326</v>
      </c>
      <c r="AT86" t="s">
        <v>196</v>
      </c>
      <c r="AU86" t="s">
        <v>109</v>
      </c>
      <c r="AV86" s="14">
        <v>6.81094002081581</v>
      </c>
      <c r="AX86" s="1">
        <v>46271</v>
      </c>
      <c r="AY86" t="s">
        <v>200</v>
      </c>
      <c r="AZ86" s="3">
        <v>-1459</v>
      </c>
    </row>
    <row r="87" spans="1:52">
      <c r="A87" t="s">
        <v>1874</v>
      </c>
      <c r="B87" t="s">
        <v>15</v>
      </c>
      <c r="C87" t="s">
        <v>27</v>
      </c>
      <c r="D87" t="s">
        <v>20</v>
      </c>
      <c r="E87" s="14">
        <v>6162</v>
      </c>
      <c r="G87" t="s">
        <v>1874</v>
      </c>
      <c r="H87" t="s">
        <v>15</v>
      </c>
      <c r="I87" t="s">
        <v>27</v>
      </c>
      <c r="J87" t="s">
        <v>20</v>
      </c>
      <c r="K87" s="14">
        <v>16959.311300000001</v>
      </c>
      <c r="Z87" s="3"/>
      <c r="AC87"/>
      <c r="AE87" s="3"/>
      <c r="AH87" t="s">
        <v>2329</v>
      </c>
      <c r="AI87" t="s">
        <v>67</v>
      </c>
      <c r="AJ87" t="s">
        <v>66</v>
      </c>
      <c r="AK87" s="3" t="s">
        <v>114</v>
      </c>
      <c r="AL87" s="3">
        <v>2950</v>
      </c>
      <c r="AN87" t="s">
        <v>1832</v>
      </c>
      <c r="AO87" t="s">
        <v>88</v>
      </c>
      <c r="AP87" t="s">
        <v>90</v>
      </c>
      <c r="AQ87" s="3">
        <v>28650</v>
      </c>
      <c r="AS87" t="s">
        <v>2326</v>
      </c>
      <c r="AT87" t="s">
        <v>196</v>
      </c>
      <c r="AU87" t="s">
        <v>198</v>
      </c>
      <c r="AV87" s="14">
        <v>7.3163083958019604</v>
      </c>
      <c r="AX87" s="1">
        <v>46271</v>
      </c>
      <c r="AY87" t="s">
        <v>281</v>
      </c>
      <c r="AZ87" s="3">
        <v>-450</v>
      </c>
    </row>
    <row r="88" spans="1:52">
      <c r="A88" t="s">
        <v>1875</v>
      </c>
      <c r="B88" t="s">
        <v>15</v>
      </c>
      <c r="C88" t="s">
        <v>27</v>
      </c>
      <c r="D88" t="s">
        <v>20</v>
      </c>
      <c r="E88" s="14">
        <v>6162</v>
      </c>
      <c r="G88" t="s">
        <v>1875</v>
      </c>
      <c r="H88" t="s">
        <v>15</v>
      </c>
      <c r="I88" t="s">
        <v>27</v>
      </c>
      <c r="J88" t="s">
        <v>20</v>
      </c>
      <c r="K88" s="14">
        <v>16959.311300000001</v>
      </c>
      <c r="Z88" s="3"/>
      <c r="AC88"/>
      <c r="AE88" s="3"/>
      <c r="AH88" t="s">
        <v>2329</v>
      </c>
      <c r="AI88" t="s">
        <v>67</v>
      </c>
      <c r="AJ88" t="s">
        <v>98</v>
      </c>
      <c r="AK88" s="3" t="s">
        <v>114</v>
      </c>
      <c r="AL88" s="3">
        <v>-38.0629383562</v>
      </c>
      <c r="AN88" t="s">
        <v>1833</v>
      </c>
      <c r="AO88" t="s">
        <v>88</v>
      </c>
      <c r="AP88" t="s">
        <v>86</v>
      </c>
      <c r="AQ88" s="3">
        <v>11772.9438718116</v>
      </c>
      <c r="AS88" t="s">
        <v>2325</v>
      </c>
      <c r="AT88" t="s">
        <v>88</v>
      </c>
      <c r="AU88" t="s">
        <v>109</v>
      </c>
      <c r="AV88" s="14">
        <v>15649.1</v>
      </c>
      <c r="AX88" s="1">
        <v>46271</v>
      </c>
      <c r="AY88" t="s">
        <v>201</v>
      </c>
      <c r="AZ88" s="3">
        <v>7020.0457999999999</v>
      </c>
    </row>
    <row r="89" spans="1:52">
      <c r="A89" t="s">
        <v>1876</v>
      </c>
      <c r="B89" t="s">
        <v>15</v>
      </c>
      <c r="C89" t="s">
        <v>27</v>
      </c>
      <c r="D89" t="s">
        <v>20</v>
      </c>
      <c r="E89" s="14">
        <v>6362</v>
      </c>
      <c r="G89" t="s">
        <v>1876</v>
      </c>
      <c r="H89" t="s">
        <v>15</v>
      </c>
      <c r="I89" t="s">
        <v>27</v>
      </c>
      <c r="J89" t="s">
        <v>20</v>
      </c>
      <c r="K89" s="14">
        <v>16959.311300000001</v>
      </c>
      <c r="Z89" s="3"/>
      <c r="AC89"/>
      <c r="AE89" s="3"/>
      <c r="AH89" t="s">
        <v>2329</v>
      </c>
      <c r="AI89" t="s">
        <v>67</v>
      </c>
      <c r="AJ89" t="s">
        <v>66</v>
      </c>
      <c r="AK89" s="3" t="s">
        <v>115</v>
      </c>
      <c r="AL89" s="3">
        <v>21684.7</v>
      </c>
      <c r="AN89" t="s">
        <v>1833</v>
      </c>
      <c r="AO89" t="s">
        <v>88</v>
      </c>
      <c r="AP89" t="s">
        <v>90</v>
      </c>
      <c r="AQ89" s="3">
        <v>28650</v>
      </c>
      <c r="AS89" t="s">
        <v>2325</v>
      </c>
      <c r="AT89" t="s">
        <v>88</v>
      </c>
      <c r="AU89" t="s">
        <v>110</v>
      </c>
      <c r="AV89" s="14">
        <v>397.61059999999998</v>
      </c>
      <c r="AX89" s="1">
        <v>46268</v>
      </c>
      <c r="AY89" t="s">
        <v>185</v>
      </c>
      <c r="AZ89" s="3">
        <v>12616.8362</v>
      </c>
    </row>
    <row r="90" spans="1:52">
      <c r="A90" t="s">
        <v>1877</v>
      </c>
      <c r="B90" t="s">
        <v>15</v>
      </c>
      <c r="C90" t="s">
        <v>27</v>
      </c>
      <c r="D90" t="s">
        <v>20</v>
      </c>
      <c r="E90" s="14">
        <v>6362</v>
      </c>
      <c r="G90" t="s">
        <v>1877</v>
      </c>
      <c r="H90" t="s">
        <v>15</v>
      </c>
      <c r="I90" t="s">
        <v>27</v>
      </c>
      <c r="J90" t="s">
        <v>20</v>
      </c>
      <c r="K90" s="14">
        <v>16959.311300000001</v>
      </c>
      <c r="Z90" s="3"/>
      <c r="AC90"/>
      <c r="AE90" s="3"/>
      <c r="AH90" t="s">
        <v>2329</v>
      </c>
      <c r="AI90" t="s">
        <v>67</v>
      </c>
      <c r="AJ90" t="s">
        <v>98</v>
      </c>
      <c r="AK90" s="3" t="s">
        <v>115</v>
      </c>
      <c r="AL90" s="3">
        <v>-193.94528540740001</v>
      </c>
      <c r="AN90" t="s">
        <v>1834</v>
      </c>
      <c r="AO90" t="s">
        <v>88</v>
      </c>
      <c r="AP90" t="s">
        <v>86</v>
      </c>
      <c r="AQ90" s="3">
        <v>11697.940715131899</v>
      </c>
      <c r="AS90" t="s">
        <v>2325</v>
      </c>
      <c r="AT90" t="s">
        <v>88</v>
      </c>
      <c r="AU90" t="s">
        <v>111</v>
      </c>
      <c r="AV90" s="14">
        <v>12000</v>
      </c>
      <c r="AX90" s="1">
        <v>46268</v>
      </c>
      <c r="AY90" t="s">
        <v>195</v>
      </c>
      <c r="AZ90" s="3">
        <v>-800</v>
      </c>
    </row>
    <row r="91" spans="1:52">
      <c r="A91" t="s">
        <v>1878</v>
      </c>
      <c r="B91" t="s">
        <v>15</v>
      </c>
      <c r="C91" t="s">
        <v>27</v>
      </c>
      <c r="D91" t="s">
        <v>20</v>
      </c>
      <c r="E91" s="14">
        <v>6362</v>
      </c>
      <c r="G91" t="s">
        <v>1878</v>
      </c>
      <c r="H91" t="s">
        <v>15</v>
      </c>
      <c r="I91" t="s">
        <v>27</v>
      </c>
      <c r="J91" t="s">
        <v>20</v>
      </c>
      <c r="K91" s="14">
        <v>16959.311300000001</v>
      </c>
      <c r="Z91" s="3"/>
      <c r="AC91"/>
      <c r="AE91" s="3"/>
      <c r="AH91" t="s">
        <v>2329</v>
      </c>
      <c r="AI91" t="s">
        <v>68</v>
      </c>
      <c r="AJ91" t="s">
        <v>66</v>
      </c>
      <c r="AK91" s="3" t="s">
        <v>27</v>
      </c>
      <c r="AL91" s="3">
        <v>1907.4</v>
      </c>
      <c r="AN91" t="s">
        <v>1834</v>
      </c>
      <c r="AO91" t="s">
        <v>88</v>
      </c>
      <c r="AP91" t="s">
        <v>90</v>
      </c>
      <c r="AQ91" s="3">
        <v>28650</v>
      </c>
      <c r="AS91" t="s">
        <v>2325</v>
      </c>
      <c r="AT91" t="s">
        <v>88</v>
      </c>
      <c r="AU91" t="s">
        <v>268</v>
      </c>
      <c r="AV91" s="14">
        <v>0</v>
      </c>
      <c r="AX91" s="1">
        <v>46268</v>
      </c>
      <c r="AY91" t="s">
        <v>200</v>
      </c>
      <c r="AZ91" s="3">
        <v>-1459</v>
      </c>
    </row>
    <row r="92" spans="1:52">
      <c r="A92" t="s">
        <v>1879</v>
      </c>
      <c r="B92" t="s">
        <v>15</v>
      </c>
      <c r="C92" t="s">
        <v>27</v>
      </c>
      <c r="D92" t="s">
        <v>20</v>
      </c>
      <c r="E92" s="14">
        <v>6362</v>
      </c>
      <c r="G92" t="s">
        <v>1879</v>
      </c>
      <c r="H92" t="s">
        <v>15</v>
      </c>
      <c r="I92" t="s">
        <v>27</v>
      </c>
      <c r="J92" t="s">
        <v>20</v>
      </c>
      <c r="K92" s="14">
        <v>16959.311300000001</v>
      </c>
      <c r="Z92" s="3"/>
      <c r="AC92"/>
      <c r="AE92" s="3"/>
      <c r="AH92" t="s">
        <v>2329</v>
      </c>
      <c r="AI92" t="s">
        <v>68</v>
      </c>
      <c r="AJ92" t="s">
        <v>72</v>
      </c>
      <c r="AK92" s="3" t="s">
        <v>27</v>
      </c>
      <c r="AL92" s="3">
        <v>1606.8190360000001</v>
      </c>
      <c r="AN92" t="s">
        <v>1835</v>
      </c>
      <c r="AO92" t="s">
        <v>88</v>
      </c>
      <c r="AP92" t="s">
        <v>86</v>
      </c>
      <c r="AQ92" s="3">
        <v>11389.297859202599</v>
      </c>
      <c r="AS92" t="s">
        <v>2325</v>
      </c>
      <c r="AT92" t="s">
        <v>88</v>
      </c>
      <c r="AU92" t="s">
        <v>269</v>
      </c>
      <c r="AV92" s="14">
        <v>0</v>
      </c>
      <c r="AX92" s="1">
        <v>46268</v>
      </c>
      <c r="AY92" t="s">
        <v>281</v>
      </c>
      <c r="AZ92" s="3">
        <v>-450</v>
      </c>
    </row>
    <row r="93" spans="1:52">
      <c r="A93" t="s">
        <v>1880</v>
      </c>
      <c r="B93" t="s">
        <v>15</v>
      </c>
      <c r="C93" t="s">
        <v>27</v>
      </c>
      <c r="D93" t="s">
        <v>20</v>
      </c>
      <c r="E93" s="14">
        <v>6362</v>
      </c>
      <c r="G93" t="s">
        <v>1880</v>
      </c>
      <c r="H93" t="s">
        <v>15</v>
      </c>
      <c r="I93" t="s">
        <v>27</v>
      </c>
      <c r="J93" t="s">
        <v>20</v>
      </c>
      <c r="K93" s="14">
        <v>16959.311300000001</v>
      </c>
      <c r="Z93" s="3"/>
      <c r="AC93"/>
      <c r="AE93" s="3"/>
      <c r="AH93" t="s">
        <v>2329</v>
      </c>
      <c r="AI93" t="s">
        <v>68</v>
      </c>
      <c r="AJ93" t="s">
        <v>113</v>
      </c>
      <c r="AK93" s="3" t="s">
        <v>27</v>
      </c>
      <c r="AL93" s="3">
        <v>-40.360564252899998</v>
      </c>
      <c r="AN93" t="s">
        <v>1835</v>
      </c>
      <c r="AO93" t="s">
        <v>88</v>
      </c>
      <c r="AP93" t="s">
        <v>90</v>
      </c>
      <c r="AQ93" s="3">
        <v>28650</v>
      </c>
      <c r="AS93" t="s">
        <v>2325</v>
      </c>
      <c r="AT93" t="s">
        <v>88</v>
      </c>
      <c r="AU93" t="s">
        <v>270</v>
      </c>
      <c r="AV93" s="14">
        <v>0</v>
      </c>
      <c r="AX93" s="1">
        <v>46268</v>
      </c>
      <c r="AY93" t="s">
        <v>201</v>
      </c>
      <c r="AZ93" s="3">
        <v>7020.0457999999999</v>
      </c>
    </row>
    <row r="94" spans="1:52">
      <c r="A94" t="s">
        <v>1881</v>
      </c>
      <c r="B94" t="s">
        <v>15</v>
      </c>
      <c r="C94" t="s">
        <v>27</v>
      </c>
      <c r="D94" t="s">
        <v>20</v>
      </c>
      <c r="E94" s="14">
        <v>6362</v>
      </c>
      <c r="G94" t="s">
        <v>1881</v>
      </c>
      <c r="H94" t="s">
        <v>15</v>
      </c>
      <c r="I94" t="s">
        <v>27</v>
      </c>
      <c r="J94" t="s">
        <v>20</v>
      </c>
      <c r="K94" s="14">
        <v>16959.311300000001</v>
      </c>
      <c r="Z94" s="3"/>
      <c r="AC94"/>
      <c r="AE94" s="3"/>
      <c r="AH94" t="s">
        <v>2329</v>
      </c>
      <c r="AI94" t="s">
        <v>68</v>
      </c>
      <c r="AJ94" t="s">
        <v>108</v>
      </c>
      <c r="AK94" s="3" t="s">
        <v>27</v>
      </c>
      <c r="AL94" s="3">
        <v>-260.22039974709998</v>
      </c>
      <c r="AN94" t="s">
        <v>1836</v>
      </c>
      <c r="AO94" t="s">
        <v>88</v>
      </c>
      <c r="AP94" t="s">
        <v>90</v>
      </c>
      <c r="AQ94" s="3">
        <v>28650</v>
      </c>
      <c r="AS94" t="s">
        <v>2325</v>
      </c>
      <c r="AT94" t="s">
        <v>88</v>
      </c>
      <c r="AU94" t="s">
        <v>271</v>
      </c>
      <c r="AV94" s="14">
        <v>13150</v>
      </c>
      <c r="AX94" s="1">
        <v>46267</v>
      </c>
      <c r="AY94" t="s">
        <v>185</v>
      </c>
      <c r="AZ94" s="3">
        <v>12025.8362</v>
      </c>
    </row>
    <row r="95" spans="1:52">
      <c r="A95" t="s">
        <v>1882</v>
      </c>
      <c r="B95" t="s">
        <v>15</v>
      </c>
      <c r="C95" t="s">
        <v>27</v>
      </c>
      <c r="D95" t="s">
        <v>20</v>
      </c>
      <c r="E95" s="14">
        <v>6612</v>
      </c>
      <c r="G95" t="s">
        <v>1882</v>
      </c>
      <c r="H95" t="s">
        <v>15</v>
      </c>
      <c r="I95" t="s">
        <v>27</v>
      </c>
      <c r="J95" t="s">
        <v>20</v>
      </c>
      <c r="K95" s="14">
        <v>16959.311300000001</v>
      </c>
      <c r="Z95" s="3"/>
      <c r="AC95"/>
      <c r="AE95" s="3"/>
      <c r="AH95" t="s">
        <v>2329</v>
      </c>
      <c r="AI95" t="s">
        <v>68</v>
      </c>
      <c r="AJ95" t="s">
        <v>98</v>
      </c>
      <c r="AK95" s="3" t="s">
        <v>27</v>
      </c>
      <c r="AL95" s="3">
        <v>-260.22039974709998</v>
      </c>
      <c r="AN95" t="s">
        <v>1836</v>
      </c>
      <c r="AO95" t="s">
        <v>88</v>
      </c>
      <c r="AP95" t="s">
        <v>86</v>
      </c>
      <c r="AQ95" s="3">
        <v>11389.3736005724</v>
      </c>
      <c r="AS95" t="s">
        <v>2325</v>
      </c>
      <c r="AT95" t="s">
        <v>88</v>
      </c>
      <c r="AU95" t="s">
        <v>272</v>
      </c>
      <c r="AV95" s="14">
        <v>0</v>
      </c>
      <c r="AX95" s="1">
        <v>46267</v>
      </c>
      <c r="AY95" t="s">
        <v>195</v>
      </c>
      <c r="AZ95" s="3">
        <v>-655</v>
      </c>
    </row>
    <row r="96" spans="1:52">
      <c r="A96" t="s">
        <v>1883</v>
      </c>
      <c r="B96" t="s">
        <v>15</v>
      </c>
      <c r="C96" t="s">
        <v>27</v>
      </c>
      <c r="D96" t="s">
        <v>20</v>
      </c>
      <c r="E96" s="14">
        <v>6612</v>
      </c>
      <c r="G96" t="s">
        <v>1883</v>
      </c>
      <c r="H96" t="s">
        <v>15</v>
      </c>
      <c r="I96" t="s">
        <v>27</v>
      </c>
      <c r="J96" t="s">
        <v>20</v>
      </c>
      <c r="K96" s="14">
        <v>16959.311300000001</v>
      </c>
      <c r="Z96" s="3"/>
      <c r="AC96"/>
      <c r="AE96" s="3"/>
      <c r="AH96" t="s">
        <v>2329</v>
      </c>
      <c r="AI96" t="s">
        <v>68</v>
      </c>
      <c r="AJ96" t="s">
        <v>66</v>
      </c>
      <c r="AK96" s="3" t="s">
        <v>114</v>
      </c>
      <c r="AL96" s="3">
        <v>11233.4</v>
      </c>
      <c r="AN96" t="s">
        <v>1837</v>
      </c>
      <c r="AO96" t="s">
        <v>88</v>
      </c>
      <c r="AP96" t="s">
        <v>86</v>
      </c>
      <c r="AQ96" s="3">
        <v>11389.382395110901</v>
      </c>
      <c r="AS96" t="s">
        <v>2325</v>
      </c>
      <c r="AT96" t="s">
        <v>88</v>
      </c>
      <c r="AU96" t="s">
        <v>273</v>
      </c>
      <c r="AV96" s="14">
        <v>0</v>
      </c>
      <c r="AX96" s="1">
        <v>46267</v>
      </c>
      <c r="AY96" t="s">
        <v>200</v>
      </c>
      <c r="AZ96" s="3">
        <v>-1459</v>
      </c>
    </row>
    <row r="97" spans="1:52">
      <c r="A97" t="s">
        <v>1884</v>
      </c>
      <c r="B97" t="s">
        <v>15</v>
      </c>
      <c r="C97" t="s">
        <v>27</v>
      </c>
      <c r="D97" t="s">
        <v>20</v>
      </c>
      <c r="E97" s="14">
        <v>6612</v>
      </c>
      <c r="G97" t="s">
        <v>1884</v>
      </c>
      <c r="H97" t="s">
        <v>15</v>
      </c>
      <c r="I97" t="s">
        <v>27</v>
      </c>
      <c r="J97" t="s">
        <v>20</v>
      </c>
      <c r="K97" s="14">
        <v>16959.311300000001</v>
      </c>
      <c r="Z97" s="3"/>
      <c r="AC97"/>
      <c r="AE97" s="3"/>
      <c r="AH97" t="s">
        <v>2329</v>
      </c>
      <c r="AI97" t="s">
        <v>68</v>
      </c>
      <c r="AJ97" t="s">
        <v>98</v>
      </c>
      <c r="AK97" s="3" t="s">
        <v>114</v>
      </c>
      <c r="AL97" s="3">
        <v>-725.43607128769997</v>
      </c>
      <c r="AN97" t="s">
        <v>1837</v>
      </c>
      <c r="AO97" t="s">
        <v>88</v>
      </c>
      <c r="AP97" t="s">
        <v>90</v>
      </c>
      <c r="AQ97" s="3">
        <v>28650</v>
      </c>
      <c r="AS97" t="s">
        <v>2325</v>
      </c>
      <c r="AT97" t="s">
        <v>196</v>
      </c>
      <c r="AU97" t="s">
        <v>197</v>
      </c>
      <c r="AV97" s="14">
        <v>7.6542002849136201</v>
      </c>
      <c r="AX97" s="1">
        <v>46267</v>
      </c>
      <c r="AY97" t="s">
        <v>281</v>
      </c>
      <c r="AZ97" s="3">
        <v>-450</v>
      </c>
    </row>
    <row r="98" spans="1:52">
      <c r="A98" t="s">
        <v>1885</v>
      </c>
      <c r="B98" t="s">
        <v>15</v>
      </c>
      <c r="C98" t="s">
        <v>27</v>
      </c>
      <c r="D98" t="s">
        <v>20</v>
      </c>
      <c r="E98" s="14">
        <v>6612</v>
      </c>
      <c r="G98" t="s">
        <v>1885</v>
      </c>
      <c r="H98" t="s">
        <v>15</v>
      </c>
      <c r="I98" t="s">
        <v>27</v>
      </c>
      <c r="J98" t="s">
        <v>20</v>
      </c>
      <c r="K98" s="14">
        <v>16959.311300000001</v>
      </c>
      <c r="Z98" s="3"/>
      <c r="AC98"/>
      <c r="AE98" s="3"/>
      <c r="AH98" t="s">
        <v>2329</v>
      </c>
      <c r="AI98" t="s">
        <v>68</v>
      </c>
      <c r="AJ98" t="s">
        <v>66</v>
      </c>
      <c r="AK98" s="3" t="s">
        <v>115</v>
      </c>
      <c r="AL98" s="3">
        <v>9326</v>
      </c>
      <c r="AN98" t="s">
        <v>1838</v>
      </c>
      <c r="AO98" t="s">
        <v>88</v>
      </c>
      <c r="AP98" t="s">
        <v>86</v>
      </c>
      <c r="AQ98" s="3">
        <v>11389.1903810199</v>
      </c>
      <c r="AS98" t="s">
        <v>2325</v>
      </c>
      <c r="AT98" t="s">
        <v>196</v>
      </c>
      <c r="AU98" t="s">
        <v>109</v>
      </c>
      <c r="AV98" s="14">
        <v>6.8067599128627503</v>
      </c>
      <c r="AX98" s="1">
        <v>46267</v>
      </c>
      <c r="AY98" t="s">
        <v>201</v>
      </c>
      <c r="AZ98" s="3">
        <v>7020.0457999999999</v>
      </c>
    </row>
    <row r="99" spans="1:52">
      <c r="A99" t="s">
        <v>1886</v>
      </c>
      <c r="B99" t="s">
        <v>15</v>
      </c>
      <c r="C99" t="s">
        <v>27</v>
      </c>
      <c r="D99" t="s">
        <v>20</v>
      </c>
      <c r="E99" s="14">
        <v>6612</v>
      </c>
      <c r="G99" t="s">
        <v>1886</v>
      </c>
      <c r="H99" t="s">
        <v>15</v>
      </c>
      <c r="I99" t="s">
        <v>27</v>
      </c>
      <c r="J99" t="s">
        <v>20</v>
      </c>
      <c r="K99" s="14">
        <v>16959.311300000001</v>
      </c>
      <c r="Z99" s="3"/>
      <c r="AC99"/>
      <c r="AE99" s="3"/>
      <c r="AH99" t="s">
        <v>2329</v>
      </c>
      <c r="AI99" t="s">
        <v>68</v>
      </c>
      <c r="AJ99" t="s">
        <v>98</v>
      </c>
      <c r="AK99" s="3" t="s">
        <v>115</v>
      </c>
      <c r="AL99" s="3">
        <v>-465.21567154050001</v>
      </c>
      <c r="AN99" t="s">
        <v>1838</v>
      </c>
      <c r="AO99" t="s">
        <v>88</v>
      </c>
      <c r="AP99" t="s">
        <v>90</v>
      </c>
      <c r="AQ99" s="3">
        <v>28650</v>
      </c>
      <c r="AS99" t="s">
        <v>2325</v>
      </c>
      <c r="AT99" t="s">
        <v>196</v>
      </c>
      <c r="AU99" t="s">
        <v>198</v>
      </c>
      <c r="AV99" s="14">
        <v>7.3103342409441998</v>
      </c>
      <c r="AX99" s="1">
        <v>46265</v>
      </c>
      <c r="AY99" t="s">
        <v>185</v>
      </c>
      <c r="AZ99" s="3">
        <v>12025.8362</v>
      </c>
    </row>
    <row r="100" spans="1:52">
      <c r="A100" t="s">
        <v>1887</v>
      </c>
      <c r="B100" t="s">
        <v>15</v>
      </c>
      <c r="C100" t="s">
        <v>27</v>
      </c>
      <c r="D100" t="s">
        <v>20</v>
      </c>
      <c r="E100" s="14">
        <v>6612</v>
      </c>
      <c r="G100" t="s">
        <v>1887</v>
      </c>
      <c r="H100" t="s">
        <v>15</v>
      </c>
      <c r="I100" t="s">
        <v>27</v>
      </c>
      <c r="J100" t="s">
        <v>20</v>
      </c>
      <c r="K100" s="14">
        <v>16959.311300000001</v>
      </c>
      <c r="Z100" s="3"/>
      <c r="AC100"/>
      <c r="AE100" s="3"/>
      <c r="AH100" t="s">
        <v>2328</v>
      </c>
      <c r="AI100" t="s">
        <v>800</v>
      </c>
      <c r="AJ100" t="s">
        <v>31</v>
      </c>
      <c r="AK100" s="3" t="s">
        <v>27</v>
      </c>
      <c r="AL100" s="3">
        <v>4.1372843174999998</v>
      </c>
      <c r="AN100" t="s">
        <v>1839</v>
      </c>
      <c r="AO100" t="s">
        <v>88</v>
      </c>
      <c r="AP100" t="s">
        <v>86</v>
      </c>
      <c r="AQ100" s="3">
        <v>11389.1434130859</v>
      </c>
      <c r="AS100" t="s">
        <v>2324</v>
      </c>
      <c r="AT100" t="s">
        <v>88</v>
      </c>
      <c r="AU100" t="s">
        <v>109</v>
      </c>
      <c r="AV100" s="14">
        <v>17549.099999999999</v>
      </c>
      <c r="AX100" s="1">
        <v>46265</v>
      </c>
      <c r="AY100" t="s">
        <v>195</v>
      </c>
      <c r="AZ100" s="3">
        <v>-655</v>
      </c>
    </row>
    <row r="101" spans="1:52">
      <c r="A101" t="s">
        <v>1888</v>
      </c>
      <c r="B101" t="s">
        <v>15</v>
      </c>
      <c r="C101" t="s">
        <v>27</v>
      </c>
      <c r="D101" t="s">
        <v>20</v>
      </c>
      <c r="E101" s="14">
        <v>6512</v>
      </c>
      <c r="G101" t="s">
        <v>1888</v>
      </c>
      <c r="H101" t="s">
        <v>15</v>
      </c>
      <c r="I101" t="s">
        <v>27</v>
      </c>
      <c r="J101" t="s">
        <v>20</v>
      </c>
      <c r="K101" s="14">
        <v>16959.311300000001</v>
      </c>
      <c r="Z101" s="3"/>
      <c r="AC101"/>
      <c r="AE101" s="3"/>
      <c r="AH101" t="s">
        <v>2328</v>
      </c>
      <c r="AI101" t="s">
        <v>65</v>
      </c>
      <c r="AJ101" t="s">
        <v>66</v>
      </c>
      <c r="AK101" s="3" t="s">
        <v>27</v>
      </c>
      <c r="AL101" s="3">
        <v>32960.300000000003</v>
      </c>
      <c r="AN101" t="s">
        <v>1839</v>
      </c>
      <c r="AO101" t="s">
        <v>88</v>
      </c>
      <c r="AP101" t="s">
        <v>90</v>
      </c>
      <c r="AQ101" s="3">
        <v>28650</v>
      </c>
      <c r="AS101" t="s">
        <v>2324</v>
      </c>
      <c r="AT101" t="s">
        <v>88</v>
      </c>
      <c r="AU101" t="s">
        <v>110</v>
      </c>
      <c r="AV101" s="14">
        <v>397.61059999999998</v>
      </c>
      <c r="AX101" s="1">
        <v>46265</v>
      </c>
      <c r="AY101" t="s">
        <v>200</v>
      </c>
      <c r="AZ101" s="3">
        <v>-1459</v>
      </c>
    </row>
    <row r="102" spans="1:52">
      <c r="A102" t="s">
        <v>1889</v>
      </c>
      <c r="B102" t="s">
        <v>15</v>
      </c>
      <c r="C102" t="s">
        <v>27</v>
      </c>
      <c r="D102" t="s">
        <v>20</v>
      </c>
      <c r="E102" s="14">
        <v>6512</v>
      </c>
      <c r="G102" t="s">
        <v>1889</v>
      </c>
      <c r="H102" t="s">
        <v>15</v>
      </c>
      <c r="I102" t="s">
        <v>27</v>
      </c>
      <c r="J102" t="s">
        <v>20</v>
      </c>
      <c r="K102" s="14">
        <v>16959.311300000001</v>
      </c>
      <c r="Z102" s="3"/>
      <c r="AC102"/>
      <c r="AE102" s="3"/>
      <c r="AH102" t="s">
        <v>2328</v>
      </c>
      <c r="AI102" t="s">
        <v>65</v>
      </c>
      <c r="AJ102" t="s">
        <v>72</v>
      </c>
      <c r="AK102" s="3" t="s">
        <v>27</v>
      </c>
      <c r="AL102" s="3">
        <v>33231.453426</v>
      </c>
      <c r="AN102" t="s">
        <v>1840</v>
      </c>
      <c r="AO102" t="s">
        <v>88</v>
      </c>
      <c r="AP102" t="s">
        <v>86</v>
      </c>
      <c r="AQ102" s="3">
        <v>11388.898631763799</v>
      </c>
      <c r="AS102" t="s">
        <v>2324</v>
      </c>
      <c r="AT102" t="s">
        <v>88</v>
      </c>
      <c r="AU102" t="s">
        <v>111</v>
      </c>
      <c r="AV102" s="14">
        <v>12000</v>
      </c>
      <c r="AX102" s="1">
        <v>46265</v>
      </c>
      <c r="AY102" t="s">
        <v>281</v>
      </c>
      <c r="AZ102" s="3">
        <v>-450</v>
      </c>
    </row>
    <row r="103" spans="1:52">
      <c r="A103" t="s">
        <v>1890</v>
      </c>
      <c r="B103" t="s">
        <v>15</v>
      </c>
      <c r="C103" t="s">
        <v>27</v>
      </c>
      <c r="D103" t="s">
        <v>20</v>
      </c>
      <c r="E103" s="14">
        <v>6512</v>
      </c>
      <c r="G103" t="s">
        <v>1890</v>
      </c>
      <c r="H103" t="s">
        <v>15</v>
      </c>
      <c r="I103" t="s">
        <v>27</v>
      </c>
      <c r="J103" t="s">
        <v>20</v>
      </c>
      <c r="K103" s="14">
        <v>16959.311300000001</v>
      </c>
      <c r="Z103" s="3"/>
      <c r="AC103"/>
      <c r="AE103" s="3"/>
      <c r="AH103" t="s">
        <v>2328</v>
      </c>
      <c r="AI103" t="s">
        <v>65</v>
      </c>
      <c r="AJ103" t="s">
        <v>113</v>
      </c>
      <c r="AK103" s="3" t="s">
        <v>27</v>
      </c>
      <c r="AL103" s="3">
        <v>1693.6077758174999</v>
      </c>
      <c r="AN103" t="s">
        <v>1840</v>
      </c>
      <c r="AO103" t="s">
        <v>88</v>
      </c>
      <c r="AP103" t="s">
        <v>90</v>
      </c>
      <c r="AQ103" s="3">
        <v>28650</v>
      </c>
      <c r="AS103" t="s">
        <v>2324</v>
      </c>
      <c r="AT103" t="s">
        <v>88</v>
      </c>
      <c r="AU103" t="s">
        <v>268</v>
      </c>
      <c r="AV103" s="14">
        <v>0</v>
      </c>
      <c r="AX103" s="1">
        <v>46265</v>
      </c>
      <c r="AY103" t="s">
        <v>201</v>
      </c>
      <c r="AZ103" s="3">
        <v>7020.0457999999999</v>
      </c>
    </row>
    <row r="104" spans="1:52">
      <c r="A104" t="s">
        <v>1891</v>
      </c>
      <c r="B104" t="s">
        <v>15</v>
      </c>
      <c r="C104" t="s">
        <v>27</v>
      </c>
      <c r="D104" t="s">
        <v>20</v>
      </c>
      <c r="E104" s="14">
        <v>6612</v>
      </c>
      <c r="G104" t="s">
        <v>1891</v>
      </c>
      <c r="H104" t="s">
        <v>15</v>
      </c>
      <c r="I104" t="s">
        <v>27</v>
      </c>
      <c r="J104" t="s">
        <v>20</v>
      </c>
      <c r="K104" s="14">
        <v>16959.311300000001</v>
      </c>
      <c r="Z104" s="3"/>
      <c r="AC104"/>
      <c r="AE104" s="3"/>
      <c r="AH104" t="s">
        <v>2328</v>
      </c>
      <c r="AI104" t="s">
        <v>65</v>
      </c>
      <c r="AJ104" t="s">
        <v>108</v>
      </c>
      <c r="AK104" s="3" t="s">
        <v>27</v>
      </c>
      <c r="AL104" s="3">
        <v>-1422.4543498175001</v>
      </c>
      <c r="AN104" t="s">
        <v>1841</v>
      </c>
      <c r="AO104" t="s">
        <v>88</v>
      </c>
      <c r="AP104" t="s">
        <v>86</v>
      </c>
      <c r="AQ104" s="3">
        <v>11388.898631763799</v>
      </c>
      <c r="AS104" t="s">
        <v>2324</v>
      </c>
      <c r="AT104" t="s">
        <v>88</v>
      </c>
      <c r="AU104" t="s">
        <v>269</v>
      </c>
      <c r="AV104" s="14">
        <v>0</v>
      </c>
    </row>
    <row r="105" spans="1:52">
      <c r="A105" t="s">
        <v>1892</v>
      </c>
      <c r="B105" t="s">
        <v>15</v>
      </c>
      <c r="C105" t="s">
        <v>27</v>
      </c>
      <c r="D105" t="s">
        <v>20</v>
      </c>
      <c r="E105" s="14">
        <v>6612</v>
      </c>
      <c r="G105" t="s">
        <v>1892</v>
      </c>
      <c r="H105" t="s">
        <v>15</v>
      </c>
      <c r="I105" t="s">
        <v>27</v>
      </c>
      <c r="J105" t="s">
        <v>20</v>
      </c>
      <c r="K105" s="14">
        <v>16959.311300000001</v>
      </c>
      <c r="Z105" s="3"/>
      <c r="AC105"/>
      <c r="AE105" s="3"/>
      <c r="AH105" t="s">
        <v>2328</v>
      </c>
      <c r="AI105" t="s">
        <v>65</v>
      </c>
      <c r="AJ105" t="s">
        <v>98</v>
      </c>
      <c r="AK105" s="3" t="s">
        <v>27</v>
      </c>
      <c r="AL105" s="3">
        <v>-1422.4543498175001</v>
      </c>
      <c r="AN105" t="s">
        <v>1841</v>
      </c>
      <c r="AO105" t="s">
        <v>88</v>
      </c>
      <c r="AP105" t="s">
        <v>90</v>
      </c>
      <c r="AQ105" s="3">
        <v>28650</v>
      </c>
      <c r="AS105" t="s">
        <v>2324</v>
      </c>
      <c r="AT105" t="s">
        <v>88</v>
      </c>
      <c r="AU105" t="s">
        <v>270</v>
      </c>
      <c r="AV105" s="14">
        <v>0</v>
      </c>
    </row>
    <row r="106" spans="1:52">
      <c r="A106" t="s">
        <v>1893</v>
      </c>
      <c r="B106" t="s">
        <v>15</v>
      </c>
      <c r="C106" t="s">
        <v>27</v>
      </c>
      <c r="D106" t="s">
        <v>20</v>
      </c>
      <c r="E106" s="14">
        <v>6462</v>
      </c>
      <c r="G106" t="s">
        <v>1893</v>
      </c>
      <c r="H106" t="s">
        <v>15</v>
      </c>
      <c r="I106" t="s">
        <v>27</v>
      </c>
      <c r="J106" t="s">
        <v>20</v>
      </c>
      <c r="K106" s="14">
        <v>16959.311300000001</v>
      </c>
      <c r="Z106" s="3"/>
      <c r="AC106"/>
      <c r="AE106" s="3"/>
      <c r="AH106" t="s">
        <v>2328</v>
      </c>
      <c r="AI106" t="s">
        <v>67</v>
      </c>
      <c r="AJ106" t="s">
        <v>66</v>
      </c>
      <c r="AK106" s="3" t="s">
        <v>27</v>
      </c>
      <c r="AL106" s="3">
        <v>-18924.7</v>
      </c>
      <c r="AN106" t="s">
        <v>1842</v>
      </c>
      <c r="AO106" t="s">
        <v>88</v>
      </c>
      <c r="AP106" t="s">
        <v>86</v>
      </c>
      <c r="AQ106" s="3">
        <v>11388.923103523101</v>
      </c>
      <c r="AS106" t="s">
        <v>2324</v>
      </c>
      <c r="AT106" t="s">
        <v>88</v>
      </c>
      <c r="AU106" t="s">
        <v>271</v>
      </c>
      <c r="AV106" s="14">
        <v>11250</v>
      </c>
    </row>
    <row r="107" spans="1:52">
      <c r="A107" t="s">
        <v>1894</v>
      </c>
      <c r="B107" t="s">
        <v>15</v>
      </c>
      <c r="C107" t="s">
        <v>27</v>
      </c>
      <c r="D107" t="s">
        <v>20</v>
      </c>
      <c r="E107" s="14">
        <v>6462</v>
      </c>
      <c r="G107" t="s">
        <v>1894</v>
      </c>
      <c r="H107" t="s">
        <v>15</v>
      </c>
      <c r="I107" t="s">
        <v>27</v>
      </c>
      <c r="J107" t="s">
        <v>20</v>
      </c>
      <c r="K107" s="14">
        <v>16959.311300000001</v>
      </c>
      <c r="Z107" s="3"/>
      <c r="AC107"/>
      <c r="AE107" s="3"/>
      <c r="AH107" t="s">
        <v>2328</v>
      </c>
      <c r="AI107" t="s">
        <v>67</v>
      </c>
      <c r="AJ107" t="s">
        <v>72</v>
      </c>
      <c r="AK107" s="3" t="s">
        <v>27</v>
      </c>
      <c r="AL107" s="3">
        <v>-20445.472753999999</v>
      </c>
      <c r="AN107" t="s">
        <v>1842</v>
      </c>
      <c r="AO107" t="s">
        <v>88</v>
      </c>
      <c r="AP107" t="s">
        <v>90</v>
      </c>
      <c r="AQ107" s="3">
        <v>28650</v>
      </c>
      <c r="AS107" t="s">
        <v>2324</v>
      </c>
      <c r="AT107" t="s">
        <v>88</v>
      </c>
      <c r="AU107" t="s">
        <v>272</v>
      </c>
      <c r="AV107" s="14">
        <v>0</v>
      </c>
    </row>
    <row r="108" spans="1:52">
      <c r="A108" t="s">
        <v>1895</v>
      </c>
      <c r="B108" t="s">
        <v>15</v>
      </c>
      <c r="C108" t="s">
        <v>27</v>
      </c>
      <c r="D108" t="s">
        <v>20</v>
      </c>
      <c r="E108" s="14">
        <v>6412</v>
      </c>
      <c r="G108" t="s">
        <v>1895</v>
      </c>
      <c r="H108" t="s">
        <v>15</v>
      </c>
      <c r="I108" t="s">
        <v>27</v>
      </c>
      <c r="J108" t="s">
        <v>20</v>
      </c>
      <c r="K108" s="14">
        <v>16959.311300000001</v>
      </c>
      <c r="Z108" s="3"/>
      <c r="AC108"/>
      <c r="AE108" s="3"/>
      <c r="AH108" t="s">
        <v>2328</v>
      </c>
      <c r="AI108" t="s">
        <v>67</v>
      </c>
      <c r="AJ108" t="s">
        <v>113</v>
      </c>
      <c r="AK108" s="3" t="s">
        <v>27</v>
      </c>
      <c r="AL108" s="3">
        <v>-1500.2909717765999</v>
      </c>
      <c r="AN108" t="s">
        <v>1843</v>
      </c>
      <c r="AO108" t="s">
        <v>88</v>
      </c>
      <c r="AP108" t="s">
        <v>86</v>
      </c>
      <c r="AQ108" s="3">
        <v>11388.919024896601</v>
      </c>
      <c r="AS108" t="s">
        <v>2324</v>
      </c>
      <c r="AT108" t="s">
        <v>88</v>
      </c>
      <c r="AU108" t="s">
        <v>273</v>
      </c>
      <c r="AV108" s="14">
        <v>0</v>
      </c>
    </row>
    <row r="109" spans="1:52">
      <c r="A109" t="s">
        <v>1896</v>
      </c>
      <c r="B109" t="s">
        <v>15</v>
      </c>
      <c r="C109" t="s">
        <v>27</v>
      </c>
      <c r="D109" t="s">
        <v>20</v>
      </c>
      <c r="E109" s="14">
        <v>6412</v>
      </c>
      <c r="G109" t="s">
        <v>1896</v>
      </c>
      <c r="H109" t="s">
        <v>15</v>
      </c>
      <c r="I109" t="s">
        <v>27</v>
      </c>
      <c r="J109" t="s">
        <v>20</v>
      </c>
      <c r="K109" s="14">
        <v>16959.311300000001</v>
      </c>
      <c r="Z109" s="3"/>
      <c r="AC109"/>
      <c r="AE109" s="3"/>
      <c r="AH109" t="s">
        <v>2328</v>
      </c>
      <c r="AI109" t="s">
        <v>67</v>
      </c>
      <c r="AJ109" t="s">
        <v>108</v>
      </c>
      <c r="AK109" s="3" t="s">
        <v>27</v>
      </c>
      <c r="AL109" s="3">
        <v>-20.4817822234</v>
      </c>
      <c r="AN109" t="s">
        <v>1843</v>
      </c>
      <c r="AO109" t="s">
        <v>88</v>
      </c>
      <c r="AP109" t="s">
        <v>90</v>
      </c>
      <c r="AQ109" s="3">
        <v>28650</v>
      </c>
      <c r="AS109" t="s">
        <v>2324</v>
      </c>
      <c r="AT109" t="s">
        <v>196</v>
      </c>
      <c r="AU109" t="s">
        <v>197</v>
      </c>
      <c r="AV109" s="14">
        <v>7.6544978508775099</v>
      </c>
    </row>
    <row r="110" spans="1:52">
      <c r="A110" t="s">
        <v>1897</v>
      </c>
      <c r="B110" t="s">
        <v>15</v>
      </c>
      <c r="C110" t="s">
        <v>27</v>
      </c>
      <c r="D110" t="s">
        <v>20</v>
      </c>
      <c r="E110" s="14">
        <v>6412</v>
      </c>
      <c r="G110" t="s">
        <v>1897</v>
      </c>
      <c r="H110" t="s">
        <v>15</v>
      </c>
      <c r="I110" t="s">
        <v>27</v>
      </c>
      <c r="J110" t="s">
        <v>20</v>
      </c>
      <c r="K110" s="14">
        <v>16959.311300000001</v>
      </c>
      <c r="Z110" s="3"/>
      <c r="AC110"/>
      <c r="AE110" s="3"/>
      <c r="AH110" t="s">
        <v>2328</v>
      </c>
      <c r="AI110" t="s">
        <v>67</v>
      </c>
      <c r="AJ110" t="s">
        <v>98</v>
      </c>
      <c r="AK110" s="3" t="s">
        <v>27</v>
      </c>
      <c r="AL110" s="3">
        <v>-20.4817822234</v>
      </c>
      <c r="AN110" t="s">
        <v>1844</v>
      </c>
      <c r="AO110" t="s">
        <v>88</v>
      </c>
      <c r="AP110" t="s">
        <v>86</v>
      </c>
      <c r="AQ110" s="3">
        <v>11197.6106</v>
      </c>
      <c r="AS110" t="s">
        <v>2324</v>
      </c>
      <c r="AT110" t="s">
        <v>196</v>
      </c>
      <c r="AU110" t="s">
        <v>109</v>
      </c>
      <c r="AV110" s="14">
        <v>6.8640686916495204</v>
      </c>
    </row>
    <row r="111" spans="1:52">
      <c r="A111" t="s">
        <v>1898</v>
      </c>
      <c r="B111" t="s">
        <v>15</v>
      </c>
      <c r="C111" t="s">
        <v>27</v>
      </c>
      <c r="D111" t="s">
        <v>20</v>
      </c>
      <c r="E111" s="14">
        <v>6191</v>
      </c>
      <c r="G111" t="s">
        <v>1898</v>
      </c>
      <c r="H111" t="s">
        <v>15</v>
      </c>
      <c r="I111" t="s">
        <v>27</v>
      </c>
      <c r="J111" t="s">
        <v>20</v>
      </c>
      <c r="K111" s="14">
        <v>16959.311300000001</v>
      </c>
      <c r="Z111" s="3"/>
      <c r="AC111"/>
      <c r="AE111" s="3"/>
      <c r="AH111" t="s">
        <v>2328</v>
      </c>
      <c r="AI111" t="s">
        <v>67</v>
      </c>
      <c r="AJ111" t="s">
        <v>66</v>
      </c>
      <c r="AK111" s="3" t="s">
        <v>114</v>
      </c>
      <c r="AL111" s="3">
        <v>1380</v>
      </c>
      <c r="AN111" t="s">
        <v>1844</v>
      </c>
      <c r="AO111" t="s">
        <v>88</v>
      </c>
      <c r="AP111" t="s">
        <v>90</v>
      </c>
      <c r="AQ111" s="3">
        <v>28650</v>
      </c>
      <c r="AS111" t="s">
        <v>2324</v>
      </c>
      <c r="AT111" t="s">
        <v>196</v>
      </c>
      <c r="AU111" t="s">
        <v>198</v>
      </c>
      <c r="AV111" s="14">
        <v>7.3171800437093504</v>
      </c>
    </row>
    <row r="112" spans="1:52">
      <c r="A112" t="s">
        <v>1899</v>
      </c>
      <c r="B112" t="s">
        <v>15</v>
      </c>
      <c r="C112" t="s">
        <v>27</v>
      </c>
      <c r="D112" t="s">
        <v>20</v>
      </c>
      <c r="E112" s="14">
        <v>6141</v>
      </c>
      <c r="G112" t="s">
        <v>1899</v>
      </c>
      <c r="H112" t="s">
        <v>15</v>
      </c>
      <c r="I112" t="s">
        <v>27</v>
      </c>
      <c r="J112" t="s">
        <v>20</v>
      </c>
      <c r="K112" s="14">
        <v>16959.311300000001</v>
      </c>
      <c r="Z112" s="3"/>
      <c r="AC112"/>
      <c r="AE112" s="3"/>
      <c r="AH112" t="s">
        <v>2328</v>
      </c>
      <c r="AI112" t="s">
        <v>67</v>
      </c>
      <c r="AJ112" t="s">
        <v>98</v>
      </c>
      <c r="AK112" s="3" t="s">
        <v>114</v>
      </c>
      <c r="AL112" s="3">
        <v>-110.6815767123</v>
      </c>
      <c r="AN112" t="s">
        <v>1845</v>
      </c>
      <c r="AO112" t="s">
        <v>88</v>
      </c>
      <c r="AP112" t="s">
        <v>86</v>
      </c>
      <c r="AQ112" s="3">
        <v>11197.6106</v>
      </c>
      <c r="AS112" t="s">
        <v>2323</v>
      </c>
      <c r="AT112" t="s">
        <v>88</v>
      </c>
      <c r="AU112" t="s">
        <v>109</v>
      </c>
      <c r="AV112" s="14">
        <v>18849.099999999999</v>
      </c>
    </row>
    <row r="113" spans="1:48">
      <c r="A113" t="s">
        <v>1900</v>
      </c>
      <c r="B113" t="s">
        <v>15</v>
      </c>
      <c r="C113" t="s">
        <v>27</v>
      </c>
      <c r="D113" t="s">
        <v>20</v>
      </c>
      <c r="E113" s="14">
        <v>6091</v>
      </c>
      <c r="G113" t="s">
        <v>1900</v>
      </c>
      <c r="H113" t="s">
        <v>15</v>
      </c>
      <c r="I113" t="s">
        <v>27</v>
      </c>
      <c r="J113" t="s">
        <v>20</v>
      </c>
      <c r="K113" s="14">
        <v>16959.311300000001</v>
      </c>
      <c r="Z113" s="3"/>
      <c r="AC113"/>
      <c r="AE113" s="3"/>
      <c r="AH113" t="s">
        <v>2328</v>
      </c>
      <c r="AI113" t="s">
        <v>67</v>
      </c>
      <c r="AJ113" t="s">
        <v>66</v>
      </c>
      <c r="AK113" s="3" t="s">
        <v>115</v>
      </c>
      <c r="AL113" s="3">
        <v>20304.7</v>
      </c>
      <c r="AN113" t="s">
        <v>1845</v>
      </c>
      <c r="AO113" t="s">
        <v>88</v>
      </c>
      <c r="AP113" t="s">
        <v>90</v>
      </c>
      <c r="AQ113" s="3">
        <v>28650</v>
      </c>
      <c r="AS113" t="s">
        <v>2323</v>
      </c>
      <c r="AT113" t="s">
        <v>88</v>
      </c>
      <c r="AU113" t="s">
        <v>110</v>
      </c>
      <c r="AV113" s="14">
        <v>397.61059999999998</v>
      </c>
    </row>
    <row r="114" spans="1:48">
      <c r="A114" t="s">
        <v>1901</v>
      </c>
      <c r="B114" t="s">
        <v>15</v>
      </c>
      <c r="C114" t="s">
        <v>27</v>
      </c>
      <c r="D114" t="s">
        <v>20</v>
      </c>
      <c r="E114" s="14">
        <v>6241</v>
      </c>
      <c r="G114" t="s">
        <v>1901</v>
      </c>
      <c r="H114" t="s">
        <v>15</v>
      </c>
      <c r="I114" t="s">
        <v>27</v>
      </c>
      <c r="J114" t="s">
        <v>20</v>
      </c>
      <c r="K114" s="14">
        <v>16959.311300000001</v>
      </c>
      <c r="Z114" s="3"/>
      <c r="AC114"/>
      <c r="AE114" s="3"/>
      <c r="AH114" t="s">
        <v>2328</v>
      </c>
      <c r="AI114" t="s">
        <v>67</v>
      </c>
      <c r="AJ114" t="s">
        <v>98</v>
      </c>
      <c r="AK114" s="3" t="s">
        <v>115</v>
      </c>
      <c r="AL114" s="3">
        <v>-90.199794488899997</v>
      </c>
      <c r="AN114" t="s">
        <v>1846</v>
      </c>
      <c r="AO114" t="s">
        <v>88</v>
      </c>
      <c r="AP114" t="s">
        <v>86</v>
      </c>
      <c r="AQ114" s="3">
        <v>11197.6106</v>
      </c>
      <c r="AS114" t="s">
        <v>2323</v>
      </c>
      <c r="AT114" t="s">
        <v>88</v>
      </c>
      <c r="AU114" t="s">
        <v>111</v>
      </c>
      <c r="AV114" s="14">
        <v>12000</v>
      </c>
    </row>
    <row r="115" spans="1:48">
      <c r="A115" t="s">
        <v>1902</v>
      </c>
      <c r="B115" t="s">
        <v>15</v>
      </c>
      <c r="C115" t="s">
        <v>27</v>
      </c>
      <c r="D115" t="s">
        <v>20</v>
      </c>
      <c r="E115" s="14">
        <v>6241</v>
      </c>
      <c r="G115" t="s">
        <v>1902</v>
      </c>
      <c r="H115" t="s">
        <v>15</v>
      </c>
      <c r="I115" t="s">
        <v>27</v>
      </c>
      <c r="J115" t="s">
        <v>20</v>
      </c>
      <c r="K115" s="14">
        <v>16959.311300000001</v>
      </c>
      <c r="Z115" s="3"/>
      <c r="AC115"/>
      <c r="AE115" s="3"/>
      <c r="AH115" t="s">
        <v>2328</v>
      </c>
      <c r="AI115" t="s">
        <v>68</v>
      </c>
      <c r="AJ115" t="s">
        <v>66</v>
      </c>
      <c r="AK115" s="3" t="s">
        <v>27</v>
      </c>
      <c r="AL115" s="3">
        <v>3477.4</v>
      </c>
      <c r="AN115" t="s">
        <v>1846</v>
      </c>
      <c r="AO115" t="s">
        <v>88</v>
      </c>
      <c r="AP115" t="s">
        <v>90</v>
      </c>
      <c r="AQ115" s="3">
        <v>28650</v>
      </c>
      <c r="AS115" t="s">
        <v>2323</v>
      </c>
      <c r="AT115" t="s">
        <v>88</v>
      </c>
      <c r="AU115" t="s">
        <v>268</v>
      </c>
      <c r="AV115" s="14">
        <v>0</v>
      </c>
    </row>
    <row r="116" spans="1:48">
      <c r="A116" t="s">
        <v>1903</v>
      </c>
      <c r="B116" t="s">
        <v>15</v>
      </c>
      <c r="C116" t="s">
        <v>27</v>
      </c>
      <c r="D116" t="s">
        <v>20</v>
      </c>
      <c r="E116" s="14">
        <v>6091</v>
      </c>
      <c r="G116" t="s">
        <v>1903</v>
      </c>
      <c r="H116" t="s">
        <v>15</v>
      </c>
      <c r="I116" t="s">
        <v>27</v>
      </c>
      <c r="J116" t="s">
        <v>20</v>
      </c>
      <c r="K116" s="14">
        <v>16959.311300000001</v>
      </c>
      <c r="Z116" s="3"/>
      <c r="AC116"/>
      <c r="AE116" s="3"/>
      <c r="AH116" t="s">
        <v>2328</v>
      </c>
      <c r="AI116" t="s">
        <v>68</v>
      </c>
      <c r="AJ116" t="s">
        <v>72</v>
      </c>
      <c r="AK116" s="3" t="s">
        <v>27</v>
      </c>
      <c r="AL116" s="3">
        <v>3210.8420879999999</v>
      </c>
      <c r="AN116" t="s">
        <v>1847</v>
      </c>
      <c r="AO116" t="s">
        <v>88</v>
      </c>
      <c r="AP116" t="s">
        <v>86</v>
      </c>
      <c r="AQ116" s="3">
        <v>11197.6106</v>
      </c>
      <c r="AS116" t="s">
        <v>2323</v>
      </c>
      <c r="AT116" t="s">
        <v>88</v>
      </c>
      <c r="AU116" t="s">
        <v>269</v>
      </c>
      <c r="AV116" s="14">
        <v>0</v>
      </c>
    </row>
    <row r="117" spans="1:48">
      <c r="A117" t="s">
        <v>1904</v>
      </c>
      <c r="B117" t="s">
        <v>15</v>
      </c>
      <c r="C117" t="s">
        <v>27</v>
      </c>
      <c r="D117" t="s">
        <v>20</v>
      </c>
      <c r="E117" s="14">
        <v>6091</v>
      </c>
      <c r="G117" t="s">
        <v>1904</v>
      </c>
      <c r="H117" t="s">
        <v>15</v>
      </c>
      <c r="I117" t="s">
        <v>27</v>
      </c>
      <c r="J117" t="s">
        <v>20</v>
      </c>
      <c r="K117" s="14">
        <v>16959.311300000001</v>
      </c>
      <c r="Z117" s="3"/>
      <c r="AC117"/>
      <c r="AE117" s="3"/>
      <c r="AH117" t="s">
        <v>2328</v>
      </c>
      <c r="AI117" t="s">
        <v>68</v>
      </c>
      <c r="AJ117" t="s">
        <v>113</v>
      </c>
      <c r="AK117" s="3" t="s">
        <v>27</v>
      </c>
      <c r="AL117" s="3">
        <v>-72.0129922128</v>
      </c>
      <c r="AN117" t="s">
        <v>1847</v>
      </c>
      <c r="AO117" t="s">
        <v>88</v>
      </c>
      <c r="AP117" t="s">
        <v>90</v>
      </c>
      <c r="AQ117" s="3">
        <v>28650</v>
      </c>
      <c r="AS117" t="s">
        <v>2323</v>
      </c>
      <c r="AT117" t="s">
        <v>88</v>
      </c>
      <c r="AU117" t="s">
        <v>270</v>
      </c>
      <c r="AV117" s="14">
        <v>0</v>
      </c>
    </row>
    <row r="118" spans="1:48">
      <c r="A118" t="s">
        <v>1905</v>
      </c>
      <c r="B118" t="s">
        <v>15</v>
      </c>
      <c r="C118" t="s">
        <v>27</v>
      </c>
      <c r="D118" t="s">
        <v>20</v>
      </c>
      <c r="E118" s="14">
        <v>6091</v>
      </c>
      <c r="G118" t="s">
        <v>1905</v>
      </c>
      <c r="H118" t="s">
        <v>15</v>
      </c>
      <c r="I118" t="s">
        <v>27</v>
      </c>
      <c r="J118" t="s">
        <v>20</v>
      </c>
      <c r="K118" s="14">
        <v>16959.311300000001</v>
      </c>
      <c r="Z118" s="3"/>
      <c r="AC118"/>
      <c r="AE118" s="3"/>
      <c r="AH118" t="s">
        <v>2328</v>
      </c>
      <c r="AI118" t="s">
        <v>68</v>
      </c>
      <c r="AJ118" t="s">
        <v>108</v>
      </c>
      <c r="AK118" s="3" t="s">
        <v>27</v>
      </c>
      <c r="AL118" s="3">
        <v>-194.5449197872</v>
      </c>
      <c r="AN118" t="s">
        <v>1848</v>
      </c>
      <c r="AO118" t="s">
        <v>88</v>
      </c>
      <c r="AP118" t="s">
        <v>86</v>
      </c>
      <c r="AQ118" s="3">
        <v>11197.6106</v>
      </c>
      <c r="AS118" t="s">
        <v>2323</v>
      </c>
      <c r="AT118" t="s">
        <v>88</v>
      </c>
      <c r="AU118" t="s">
        <v>271</v>
      </c>
      <c r="AV118" s="14">
        <v>9950</v>
      </c>
    </row>
    <row r="119" spans="1:48">
      <c r="A119" t="s">
        <v>1906</v>
      </c>
      <c r="B119" t="s">
        <v>15</v>
      </c>
      <c r="C119" t="s">
        <v>27</v>
      </c>
      <c r="D119" t="s">
        <v>20</v>
      </c>
      <c r="E119" s="14">
        <v>6091</v>
      </c>
      <c r="G119" t="s">
        <v>1906</v>
      </c>
      <c r="H119" t="s">
        <v>15</v>
      </c>
      <c r="I119" t="s">
        <v>27</v>
      </c>
      <c r="J119" t="s">
        <v>20</v>
      </c>
      <c r="K119" s="14">
        <v>16959.311300000001</v>
      </c>
      <c r="Z119" s="3"/>
      <c r="AC119"/>
      <c r="AE119" s="3"/>
      <c r="AH119" t="s">
        <v>2328</v>
      </c>
      <c r="AI119" t="s">
        <v>68</v>
      </c>
      <c r="AJ119" t="s">
        <v>98</v>
      </c>
      <c r="AK119" s="3" t="s">
        <v>27</v>
      </c>
      <c r="AL119" s="3">
        <v>-194.5449197872</v>
      </c>
      <c r="AN119" t="s">
        <v>1848</v>
      </c>
      <c r="AO119" t="s">
        <v>88</v>
      </c>
      <c r="AP119" t="s">
        <v>90</v>
      </c>
      <c r="AQ119" s="3">
        <v>28650</v>
      </c>
      <c r="AS119" t="s">
        <v>2323</v>
      </c>
      <c r="AT119" t="s">
        <v>88</v>
      </c>
      <c r="AU119" t="s">
        <v>272</v>
      </c>
      <c r="AV119" s="14">
        <v>0</v>
      </c>
    </row>
    <row r="120" spans="1:48">
      <c r="A120" t="s">
        <v>1907</v>
      </c>
      <c r="B120" t="s">
        <v>15</v>
      </c>
      <c r="C120" t="s">
        <v>27</v>
      </c>
      <c r="D120" t="s">
        <v>20</v>
      </c>
      <c r="E120" s="14">
        <v>6091</v>
      </c>
      <c r="G120" t="s">
        <v>1907</v>
      </c>
      <c r="H120" t="s">
        <v>15</v>
      </c>
      <c r="I120" t="s">
        <v>27</v>
      </c>
      <c r="J120" t="s">
        <v>20</v>
      </c>
      <c r="K120" s="14">
        <v>16959.311300000001</v>
      </c>
      <c r="Z120" s="3"/>
      <c r="AC120"/>
      <c r="AE120" s="3"/>
      <c r="AH120" t="s">
        <v>2328</v>
      </c>
      <c r="AI120" t="s">
        <v>68</v>
      </c>
      <c r="AJ120" t="s">
        <v>66</v>
      </c>
      <c r="AK120" s="3" t="s">
        <v>114</v>
      </c>
      <c r="AL120" s="3">
        <v>10123.4</v>
      </c>
      <c r="AN120" t="s">
        <v>1849</v>
      </c>
      <c r="AO120" t="s">
        <v>88</v>
      </c>
      <c r="AP120" t="s">
        <v>86</v>
      </c>
      <c r="AQ120" s="3">
        <v>11197.6106</v>
      </c>
      <c r="AS120" t="s">
        <v>2323</v>
      </c>
      <c r="AT120" t="s">
        <v>88</v>
      </c>
      <c r="AU120" t="s">
        <v>273</v>
      </c>
      <c r="AV120" s="14">
        <v>0</v>
      </c>
    </row>
    <row r="121" spans="1:48">
      <c r="A121" t="s">
        <v>1908</v>
      </c>
      <c r="B121" t="s">
        <v>15</v>
      </c>
      <c r="C121" t="s">
        <v>27</v>
      </c>
      <c r="D121" t="s">
        <v>20</v>
      </c>
      <c r="E121" s="14">
        <v>6191</v>
      </c>
      <c r="G121" t="s">
        <v>1908</v>
      </c>
      <c r="H121" t="s">
        <v>15</v>
      </c>
      <c r="I121" t="s">
        <v>27</v>
      </c>
      <c r="J121" t="s">
        <v>20</v>
      </c>
      <c r="K121" s="14">
        <v>16959.311300000001</v>
      </c>
      <c r="Z121" s="3"/>
      <c r="AC121"/>
      <c r="AE121" s="3"/>
      <c r="AH121" t="s">
        <v>2328</v>
      </c>
      <c r="AI121" t="s">
        <v>68</v>
      </c>
      <c r="AJ121" t="s">
        <v>98</v>
      </c>
      <c r="AK121" s="3" t="s">
        <v>114</v>
      </c>
      <c r="AL121" s="3">
        <v>-632.00938339729998</v>
      </c>
      <c r="AN121" t="s">
        <v>1849</v>
      </c>
      <c r="AO121" t="s">
        <v>88</v>
      </c>
      <c r="AP121" t="s">
        <v>90</v>
      </c>
      <c r="AQ121" s="3">
        <v>28650</v>
      </c>
      <c r="AS121" t="s">
        <v>2323</v>
      </c>
      <c r="AT121" t="s">
        <v>196</v>
      </c>
      <c r="AU121" t="s">
        <v>197</v>
      </c>
      <c r="AV121" s="14">
        <v>7.6542987682994399</v>
      </c>
    </row>
    <row r="122" spans="1:48">
      <c r="A122" t="s">
        <v>1909</v>
      </c>
      <c r="B122" t="s">
        <v>15</v>
      </c>
      <c r="C122" t="s">
        <v>27</v>
      </c>
      <c r="D122" t="s">
        <v>20</v>
      </c>
      <c r="E122" s="14">
        <v>6191</v>
      </c>
      <c r="G122" t="s">
        <v>1909</v>
      </c>
      <c r="H122" t="s">
        <v>15</v>
      </c>
      <c r="I122" t="s">
        <v>27</v>
      </c>
      <c r="J122" t="s">
        <v>20</v>
      </c>
      <c r="K122" s="14">
        <v>16959.311300000001</v>
      </c>
      <c r="Z122" s="3"/>
      <c r="AC122"/>
      <c r="AE122" s="3"/>
      <c r="AH122" t="s">
        <v>2328</v>
      </c>
      <c r="AI122" t="s">
        <v>68</v>
      </c>
      <c r="AJ122" t="s">
        <v>66</v>
      </c>
      <c r="AK122" s="3" t="s">
        <v>115</v>
      </c>
      <c r="AL122" s="3">
        <v>6646</v>
      </c>
      <c r="AN122" t="s">
        <v>1850</v>
      </c>
      <c r="AO122" t="s">
        <v>88</v>
      </c>
      <c r="AP122" t="s">
        <v>86</v>
      </c>
      <c r="AQ122" s="3">
        <v>14197.6106</v>
      </c>
      <c r="AS122" t="s">
        <v>2323</v>
      </c>
      <c r="AT122" t="s">
        <v>196</v>
      </c>
      <c r="AU122" t="s">
        <v>109</v>
      </c>
      <c r="AV122" s="14">
        <v>6.9991426584247201</v>
      </c>
    </row>
    <row r="123" spans="1:48">
      <c r="A123" t="s">
        <v>1910</v>
      </c>
      <c r="B123" t="s">
        <v>15</v>
      </c>
      <c r="C123" t="s">
        <v>27</v>
      </c>
      <c r="D123" t="s">
        <v>20</v>
      </c>
      <c r="E123" s="14">
        <v>6191</v>
      </c>
      <c r="G123" t="s">
        <v>1910</v>
      </c>
      <c r="H123" t="s">
        <v>15</v>
      </c>
      <c r="I123" t="s">
        <v>27</v>
      </c>
      <c r="J123" t="s">
        <v>20</v>
      </c>
      <c r="K123" s="14">
        <v>16959.311300000001</v>
      </c>
      <c r="Z123" s="3"/>
      <c r="AC123"/>
      <c r="AE123" s="3"/>
      <c r="AH123" t="s">
        <v>2328</v>
      </c>
      <c r="AI123" t="s">
        <v>68</v>
      </c>
      <c r="AJ123" t="s">
        <v>98</v>
      </c>
      <c r="AK123" s="3" t="s">
        <v>115</v>
      </c>
      <c r="AL123" s="3">
        <v>-437.46446361009998</v>
      </c>
      <c r="AN123" t="s">
        <v>1850</v>
      </c>
      <c r="AO123" t="s">
        <v>88</v>
      </c>
      <c r="AP123" t="s">
        <v>90</v>
      </c>
      <c r="AQ123" s="3">
        <v>28700</v>
      </c>
      <c r="AS123" t="s">
        <v>2323</v>
      </c>
      <c r="AT123" t="s">
        <v>196</v>
      </c>
      <c r="AU123" t="s">
        <v>198</v>
      </c>
      <c r="AV123" s="14">
        <v>7.3815495422578596</v>
      </c>
    </row>
    <row r="124" spans="1:48">
      <c r="A124" t="s">
        <v>1911</v>
      </c>
      <c r="B124" t="s">
        <v>15</v>
      </c>
      <c r="C124" t="s">
        <v>27</v>
      </c>
      <c r="D124" t="s">
        <v>20</v>
      </c>
      <c r="E124" s="14">
        <v>6191</v>
      </c>
      <c r="G124" t="s">
        <v>1911</v>
      </c>
      <c r="H124" t="s">
        <v>15</v>
      </c>
      <c r="I124" t="s">
        <v>27</v>
      </c>
      <c r="J124" t="s">
        <v>20</v>
      </c>
      <c r="K124" s="14">
        <v>16959.311300000001</v>
      </c>
      <c r="Z124" s="3"/>
      <c r="AC124"/>
      <c r="AE124" s="3"/>
      <c r="AH124" t="s">
        <v>2327</v>
      </c>
      <c r="AI124" t="s">
        <v>65</v>
      </c>
      <c r="AJ124" t="s">
        <v>66</v>
      </c>
      <c r="AK124" s="3" t="s">
        <v>27</v>
      </c>
      <c r="AL124" s="3">
        <v>35430.300000000003</v>
      </c>
      <c r="AN124" t="s">
        <v>1851</v>
      </c>
      <c r="AO124" t="s">
        <v>88</v>
      </c>
      <c r="AP124" t="s">
        <v>86</v>
      </c>
      <c r="AQ124" s="3">
        <v>14197.6106</v>
      </c>
      <c r="AS124" t="s">
        <v>2321</v>
      </c>
      <c r="AT124" t="s">
        <v>196</v>
      </c>
      <c r="AU124" t="s">
        <v>197</v>
      </c>
      <c r="AV124" s="14">
        <v>7.6542987682994399</v>
      </c>
    </row>
    <row r="125" spans="1:48">
      <c r="A125" t="s">
        <v>1912</v>
      </c>
      <c r="B125" t="s">
        <v>15</v>
      </c>
      <c r="C125" t="s">
        <v>27</v>
      </c>
      <c r="D125" t="s">
        <v>20</v>
      </c>
      <c r="E125" s="14">
        <v>6191</v>
      </c>
      <c r="G125" t="s">
        <v>1912</v>
      </c>
      <c r="H125" t="s">
        <v>15</v>
      </c>
      <c r="I125" t="s">
        <v>27</v>
      </c>
      <c r="J125" t="s">
        <v>20</v>
      </c>
      <c r="K125" s="14">
        <v>16959.311300000001</v>
      </c>
      <c r="Z125" s="3"/>
      <c r="AC125"/>
      <c r="AE125" s="3"/>
      <c r="AH125" t="s">
        <v>2327</v>
      </c>
      <c r="AI125" t="s">
        <v>65</v>
      </c>
      <c r="AJ125" t="s">
        <v>72</v>
      </c>
      <c r="AK125" s="3" t="s">
        <v>27</v>
      </c>
      <c r="AL125" s="3">
        <v>35785.137576000001</v>
      </c>
      <c r="AN125" t="s">
        <v>1851</v>
      </c>
      <c r="AO125" t="s">
        <v>88</v>
      </c>
      <c r="AP125" t="s">
        <v>90</v>
      </c>
      <c r="AQ125" s="3">
        <v>28800</v>
      </c>
      <c r="AS125" t="s">
        <v>2321</v>
      </c>
      <c r="AT125" t="s">
        <v>196</v>
      </c>
      <c r="AU125" t="s">
        <v>109</v>
      </c>
      <c r="AV125" s="14">
        <v>7.0384457361138901</v>
      </c>
    </row>
    <row r="126" spans="1:48">
      <c r="A126" t="s">
        <v>1913</v>
      </c>
      <c r="B126" t="s">
        <v>15</v>
      </c>
      <c r="C126" t="s">
        <v>27</v>
      </c>
      <c r="D126" t="s">
        <v>20</v>
      </c>
      <c r="E126" s="14">
        <v>6191</v>
      </c>
      <c r="G126" t="s">
        <v>1913</v>
      </c>
      <c r="H126" t="s">
        <v>15</v>
      </c>
      <c r="I126" t="s">
        <v>27</v>
      </c>
      <c r="J126" t="s">
        <v>20</v>
      </c>
      <c r="K126" s="14">
        <v>16959.311300000001</v>
      </c>
      <c r="Z126" s="3"/>
      <c r="AC126"/>
      <c r="AE126" s="3"/>
      <c r="AH126" t="s">
        <v>2327</v>
      </c>
      <c r="AI126" t="s">
        <v>65</v>
      </c>
      <c r="AJ126" t="s">
        <v>113</v>
      </c>
      <c r="AK126" s="3" t="s">
        <v>27</v>
      </c>
      <c r="AL126" s="3">
        <v>1845.5801993452999</v>
      </c>
      <c r="AN126" t="s">
        <v>1852</v>
      </c>
      <c r="AO126" t="s">
        <v>88</v>
      </c>
      <c r="AP126" t="s">
        <v>86</v>
      </c>
      <c r="AQ126" s="3">
        <v>11197.6106</v>
      </c>
      <c r="AS126" t="s">
        <v>2321</v>
      </c>
      <c r="AT126" t="s">
        <v>196</v>
      </c>
      <c r="AU126" t="s">
        <v>198</v>
      </c>
      <c r="AV126" s="14">
        <v>7.4033699807489297</v>
      </c>
    </row>
    <row r="127" spans="1:48">
      <c r="A127" t="s">
        <v>1914</v>
      </c>
      <c r="B127" t="s">
        <v>15</v>
      </c>
      <c r="C127" t="s">
        <v>27</v>
      </c>
      <c r="D127" t="s">
        <v>20</v>
      </c>
      <c r="E127" s="14">
        <v>6141</v>
      </c>
      <c r="G127" t="s">
        <v>1914</v>
      </c>
      <c r="H127" t="s">
        <v>15</v>
      </c>
      <c r="I127" t="s">
        <v>27</v>
      </c>
      <c r="J127" t="s">
        <v>20</v>
      </c>
      <c r="K127" s="14">
        <v>16959.311300000001</v>
      </c>
      <c r="Z127" s="3"/>
      <c r="AC127"/>
      <c r="AE127" s="3"/>
      <c r="AH127" t="s">
        <v>2327</v>
      </c>
      <c r="AI127" t="s">
        <v>65</v>
      </c>
      <c r="AJ127" t="s">
        <v>108</v>
      </c>
      <c r="AK127" s="3" t="s">
        <v>27</v>
      </c>
      <c r="AL127" s="3">
        <v>-1490.7426233453</v>
      </c>
      <c r="AN127" t="s">
        <v>1852</v>
      </c>
      <c r="AO127" t="s">
        <v>88</v>
      </c>
      <c r="AP127" t="s">
        <v>90</v>
      </c>
      <c r="AQ127" s="3">
        <v>28300</v>
      </c>
      <c r="AS127" t="s">
        <v>2321</v>
      </c>
      <c r="AT127" t="s">
        <v>88</v>
      </c>
      <c r="AU127" t="s">
        <v>109</v>
      </c>
      <c r="AV127" s="14">
        <v>18999.099999999999</v>
      </c>
    </row>
    <row r="128" spans="1:48">
      <c r="A128" t="s">
        <v>1915</v>
      </c>
      <c r="B128" t="s">
        <v>15</v>
      </c>
      <c r="C128" t="s">
        <v>27</v>
      </c>
      <c r="D128" t="s">
        <v>20</v>
      </c>
      <c r="E128" s="14">
        <v>6141</v>
      </c>
      <c r="G128" t="s">
        <v>1915</v>
      </c>
      <c r="H128" t="s">
        <v>15</v>
      </c>
      <c r="I128" t="s">
        <v>27</v>
      </c>
      <c r="J128" t="s">
        <v>20</v>
      </c>
      <c r="K128" s="14">
        <v>16959.311300000001</v>
      </c>
      <c r="Z128" s="3"/>
      <c r="AC128"/>
      <c r="AE128" s="3"/>
      <c r="AH128" t="s">
        <v>2327</v>
      </c>
      <c r="AI128" t="s">
        <v>65</v>
      </c>
      <c r="AJ128" t="s">
        <v>98</v>
      </c>
      <c r="AK128" s="3" t="s">
        <v>27</v>
      </c>
      <c r="AL128" s="3">
        <v>-1490.7426233453</v>
      </c>
      <c r="AN128" t="s">
        <v>1853</v>
      </c>
      <c r="AO128" t="s">
        <v>88</v>
      </c>
      <c r="AP128" t="s">
        <v>86</v>
      </c>
      <c r="AQ128" s="3">
        <v>11197.6106</v>
      </c>
      <c r="AS128" t="s">
        <v>2321</v>
      </c>
      <c r="AT128" t="s">
        <v>88</v>
      </c>
      <c r="AU128" t="s">
        <v>110</v>
      </c>
      <c r="AV128" s="14">
        <v>397.61059999999998</v>
      </c>
    </row>
    <row r="129" spans="1:48">
      <c r="A129" t="s">
        <v>1916</v>
      </c>
      <c r="B129" t="s">
        <v>15</v>
      </c>
      <c r="C129" t="s">
        <v>27</v>
      </c>
      <c r="D129" t="s">
        <v>20</v>
      </c>
      <c r="E129" s="14">
        <v>6241</v>
      </c>
      <c r="G129" t="s">
        <v>1916</v>
      </c>
      <c r="H129" t="s">
        <v>15</v>
      </c>
      <c r="I129" t="s">
        <v>27</v>
      </c>
      <c r="J129" t="s">
        <v>20</v>
      </c>
      <c r="K129" s="14">
        <v>16959.311300000001</v>
      </c>
      <c r="Z129" s="3"/>
      <c r="AC129"/>
      <c r="AE129" s="3"/>
      <c r="AH129" t="s">
        <v>2327</v>
      </c>
      <c r="AI129" t="s">
        <v>67</v>
      </c>
      <c r="AJ129" t="s">
        <v>66</v>
      </c>
      <c r="AK129" s="3" t="s">
        <v>27</v>
      </c>
      <c r="AL129" s="3">
        <v>-22774.7</v>
      </c>
      <c r="AN129" t="s">
        <v>1853</v>
      </c>
      <c r="AO129" t="s">
        <v>88</v>
      </c>
      <c r="AP129" t="s">
        <v>90</v>
      </c>
      <c r="AQ129" s="3">
        <v>28800</v>
      </c>
      <c r="AS129" t="s">
        <v>2321</v>
      </c>
      <c r="AT129" t="s">
        <v>88</v>
      </c>
      <c r="AU129" t="s">
        <v>111</v>
      </c>
      <c r="AV129" s="14">
        <v>12000</v>
      </c>
    </row>
    <row r="130" spans="1:48">
      <c r="A130" t="s">
        <v>1917</v>
      </c>
      <c r="B130" t="s">
        <v>15</v>
      </c>
      <c r="C130" t="s">
        <v>27</v>
      </c>
      <c r="D130" t="s">
        <v>20</v>
      </c>
      <c r="E130" s="14">
        <v>6241</v>
      </c>
      <c r="G130" t="s">
        <v>1917</v>
      </c>
      <c r="H130" t="s">
        <v>15</v>
      </c>
      <c r="I130" t="s">
        <v>27</v>
      </c>
      <c r="J130" t="s">
        <v>20</v>
      </c>
      <c r="K130" s="14">
        <v>16959.311300000001</v>
      </c>
      <c r="Z130" s="3"/>
      <c r="AC130"/>
      <c r="AE130" s="3"/>
      <c r="AH130" t="s">
        <v>2327</v>
      </c>
      <c r="AI130" t="s">
        <v>67</v>
      </c>
      <c r="AJ130" t="s">
        <v>72</v>
      </c>
      <c r="AK130" s="3" t="s">
        <v>27</v>
      </c>
      <c r="AL130" s="3">
        <v>-24271.638513999998</v>
      </c>
      <c r="AN130" t="s">
        <v>1854</v>
      </c>
      <c r="AO130" t="s">
        <v>88</v>
      </c>
      <c r="AP130" t="s">
        <v>86</v>
      </c>
      <c r="AQ130" s="3">
        <v>11197.6106</v>
      </c>
      <c r="AS130" t="s">
        <v>2321</v>
      </c>
      <c r="AT130" t="s">
        <v>88</v>
      </c>
      <c r="AU130" t="s">
        <v>268</v>
      </c>
      <c r="AV130" s="14">
        <v>0</v>
      </c>
    </row>
    <row r="131" spans="1:48">
      <c r="A131" t="s">
        <v>1918</v>
      </c>
      <c r="B131" t="s">
        <v>15</v>
      </c>
      <c r="C131" t="s">
        <v>27</v>
      </c>
      <c r="D131" t="s">
        <v>20</v>
      </c>
      <c r="E131" s="14">
        <v>6441</v>
      </c>
      <c r="G131" t="s">
        <v>1918</v>
      </c>
      <c r="H131" t="s">
        <v>15</v>
      </c>
      <c r="I131" t="s">
        <v>27</v>
      </c>
      <c r="J131" t="s">
        <v>20</v>
      </c>
      <c r="K131" s="14">
        <v>16959.311300000001</v>
      </c>
      <c r="Z131" s="3"/>
      <c r="AC131"/>
      <c r="AE131" s="3"/>
      <c r="AH131" t="s">
        <v>2327</v>
      </c>
      <c r="AI131" t="s">
        <v>67</v>
      </c>
      <c r="AJ131" t="s">
        <v>113</v>
      </c>
      <c r="AK131" s="3" t="s">
        <v>27</v>
      </c>
      <c r="AL131" s="3">
        <v>-1656.7517884598001</v>
      </c>
      <c r="AN131" t="s">
        <v>1854</v>
      </c>
      <c r="AO131" t="s">
        <v>88</v>
      </c>
      <c r="AP131" t="s">
        <v>90</v>
      </c>
      <c r="AQ131" s="3">
        <v>29200</v>
      </c>
      <c r="AS131" t="s">
        <v>2321</v>
      </c>
      <c r="AT131" t="s">
        <v>88</v>
      </c>
      <c r="AU131" t="s">
        <v>269</v>
      </c>
      <c r="AV131" s="14">
        <v>0</v>
      </c>
    </row>
    <row r="132" spans="1:48">
      <c r="A132" t="s">
        <v>1919</v>
      </c>
      <c r="B132" t="s">
        <v>15</v>
      </c>
      <c r="C132" t="s">
        <v>27</v>
      </c>
      <c r="D132" t="s">
        <v>20</v>
      </c>
      <c r="E132" s="14">
        <v>6441</v>
      </c>
      <c r="G132" t="s">
        <v>1919</v>
      </c>
      <c r="H132" t="s">
        <v>15</v>
      </c>
      <c r="I132" t="s">
        <v>27</v>
      </c>
      <c r="J132" t="s">
        <v>20</v>
      </c>
      <c r="K132" s="14">
        <v>16959.311300000001</v>
      </c>
      <c r="Z132" s="3"/>
      <c r="AC132"/>
      <c r="AE132" s="3"/>
      <c r="AH132" t="s">
        <v>2327</v>
      </c>
      <c r="AI132" t="s">
        <v>67</v>
      </c>
      <c r="AJ132" t="s">
        <v>108</v>
      </c>
      <c r="AK132" s="3" t="s">
        <v>27</v>
      </c>
      <c r="AL132" s="3">
        <v>159.8132744598</v>
      </c>
      <c r="AN132" t="s">
        <v>1855</v>
      </c>
      <c r="AO132" t="s">
        <v>88</v>
      </c>
      <c r="AP132" t="s">
        <v>86</v>
      </c>
      <c r="AQ132" s="3">
        <v>11197.6106</v>
      </c>
      <c r="AS132" t="s">
        <v>2321</v>
      </c>
      <c r="AT132" t="s">
        <v>88</v>
      </c>
      <c r="AU132" t="s">
        <v>270</v>
      </c>
      <c r="AV132" s="14">
        <v>0</v>
      </c>
    </row>
    <row r="133" spans="1:48">
      <c r="A133" t="s">
        <v>1920</v>
      </c>
      <c r="B133" t="s">
        <v>15</v>
      </c>
      <c r="C133" t="s">
        <v>27</v>
      </c>
      <c r="D133" t="s">
        <v>20</v>
      </c>
      <c r="E133" s="14">
        <v>6441</v>
      </c>
      <c r="G133" t="s">
        <v>1920</v>
      </c>
      <c r="H133" t="s">
        <v>15</v>
      </c>
      <c r="I133" t="s">
        <v>27</v>
      </c>
      <c r="J133" t="s">
        <v>20</v>
      </c>
      <c r="K133" s="14">
        <v>16959.311300000001</v>
      </c>
      <c r="Z133" s="3"/>
      <c r="AC133"/>
      <c r="AE133" s="3"/>
      <c r="AH133" t="s">
        <v>2327</v>
      </c>
      <c r="AI133" t="s">
        <v>67</v>
      </c>
      <c r="AJ133" t="s">
        <v>98</v>
      </c>
      <c r="AK133" s="3" t="s">
        <v>27</v>
      </c>
      <c r="AL133" s="3">
        <v>159.8132744598</v>
      </c>
      <c r="AN133" t="s">
        <v>1855</v>
      </c>
      <c r="AO133" t="s">
        <v>88</v>
      </c>
      <c r="AP133" t="s">
        <v>90</v>
      </c>
      <c r="AQ133" s="3">
        <v>29200</v>
      </c>
      <c r="AS133" t="s">
        <v>2321</v>
      </c>
      <c r="AT133" t="s">
        <v>88</v>
      </c>
      <c r="AU133" t="s">
        <v>271</v>
      </c>
      <c r="AV133" s="14">
        <v>9800</v>
      </c>
    </row>
    <row r="134" spans="1:48">
      <c r="A134" t="s">
        <v>1921</v>
      </c>
      <c r="B134" t="s">
        <v>15</v>
      </c>
      <c r="C134" t="s">
        <v>27</v>
      </c>
      <c r="D134" t="s">
        <v>20</v>
      </c>
      <c r="E134" s="14">
        <v>6441</v>
      </c>
      <c r="G134" t="s">
        <v>1921</v>
      </c>
      <c r="H134" t="s">
        <v>15</v>
      </c>
      <c r="I134" t="s">
        <v>27</v>
      </c>
      <c r="J134" t="s">
        <v>20</v>
      </c>
      <c r="K134" s="14">
        <v>16959.311300000001</v>
      </c>
      <c r="Z134" s="3"/>
      <c r="AC134"/>
      <c r="AE134" s="3"/>
      <c r="AH134" t="s">
        <v>2327</v>
      </c>
      <c r="AI134" t="s">
        <v>67</v>
      </c>
      <c r="AJ134" t="s">
        <v>66</v>
      </c>
      <c r="AK134" s="3" t="s">
        <v>114</v>
      </c>
      <c r="AL134" s="3">
        <v>0</v>
      </c>
      <c r="AN134" t="s">
        <v>1856</v>
      </c>
      <c r="AO134" t="s">
        <v>88</v>
      </c>
      <c r="AP134" t="s">
        <v>86</v>
      </c>
      <c r="AQ134" s="3">
        <v>11197.6106</v>
      </c>
      <c r="AS134" t="s">
        <v>2321</v>
      </c>
      <c r="AT134" t="s">
        <v>88</v>
      </c>
      <c r="AU134" t="s">
        <v>272</v>
      </c>
      <c r="AV134" s="14">
        <v>0</v>
      </c>
    </row>
    <row r="135" spans="1:48">
      <c r="A135" t="s">
        <v>1922</v>
      </c>
      <c r="B135" t="s">
        <v>15</v>
      </c>
      <c r="C135" t="s">
        <v>27</v>
      </c>
      <c r="D135" t="s">
        <v>20</v>
      </c>
      <c r="E135" s="14">
        <v>6341</v>
      </c>
      <c r="G135" t="s">
        <v>1922</v>
      </c>
      <c r="H135" t="s">
        <v>15</v>
      </c>
      <c r="I135" t="s">
        <v>27</v>
      </c>
      <c r="J135" t="s">
        <v>20</v>
      </c>
      <c r="K135" s="14">
        <v>16959.311300000001</v>
      </c>
      <c r="Z135" s="3"/>
      <c r="AC135"/>
      <c r="AE135" s="3"/>
      <c r="AH135" t="s">
        <v>2327</v>
      </c>
      <c r="AI135" t="s">
        <v>67</v>
      </c>
      <c r="AJ135" t="s">
        <v>98</v>
      </c>
      <c r="AK135" s="3" t="s">
        <v>114</v>
      </c>
      <c r="AL135" s="3">
        <v>0</v>
      </c>
      <c r="AN135" t="s">
        <v>1856</v>
      </c>
      <c r="AO135" t="s">
        <v>88</v>
      </c>
      <c r="AP135" t="s">
        <v>90</v>
      </c>
      <c r="AQ135" s="3">
        <v>29200</v>
      </c>
      <c r="AS135" t="s">
        <v>2321</v>
      </c>
      <c r="AT135" t="s">
        <v>88</v>
      </c>
      <c r="AU135" t="s">
        <v>273</v>
      </c>
      <c r="AV135" s="14">
        <v>0</v>
      </c>
    </row>
    <row r="136" spans="1:48">
      <c r="A136" t="s">
        <v>1923</v>
      </c>
      <c r="B136" t="s">
        <v>15</v>
      </c>
      <c r="C136" t="s">
        <v>27</v>
      </c>
      <c r="D136" t="s">
        <v>20</v>
      </c>
      <c r="E136" s="14">
        <v>6341</v>
      </c>
      <c r="G136" t="s">
        <v>1923</v>
      </c>
      <c r="H136" t="s">
        <v>15</v>
      </c>
      <c r="I136" t="s">
        <v>27</v>
      </c>
      <c r="J136" t="s">
        <v>20</v>
      </c>
      <c r="K136" s="14">
        <v>16959.311300000001</v>
      </c>
      <c r="Z136" s="3"/>
      <c r="AC136"/>
      <c r="AE136" s="3"/>
      <c r="AH136" t="s">
        <v>2327</v>
      </c>
      <c r="AI136" t="s">
        <v>67</v>
      </c>
      <c r="AJ136" t="s">
        <v>66</v>
      </c>
      <c r="AK136" s="3" t="s">
        <v>115</v>
      </c>
      <c r="AL136" s="3">
        <v>22774.7</v>
      </c>
      <c r="AN136" t="s">
        <v>1857</v>
      </c>
      <c r="AO136" t="s">
        <v>88</v>
      </c>
      <c r="AP136" t="s">
        <v>86</v>
      </c>
      <c r="AQ136" s="3">
        <v>11197.6106</v>
      </c>
      <c r="AS136" t="s">
        <v>2320</v>
      </c>
      <c r="AT136" t="s">
        <v>88</v>
      </c>
      <c r="AU136" t="s">
        <v>109</v>
      </c>
      <c r="AV136" s="14">
        <v>18299.099999999999</v>
      </c>
    </row>
    <row r="137" spans="1:48">
      <c r="A137" t="s">
        <v>1924</v>
      </c>
      <c r="B137" t="s">
        <v>15</v>
      </c>
      <c r="C137" t="s">
        <v>27</v>
      </c>
      <c r="D137" t="s">
        <v>20</v>
      </c>
      <c r="E137" s="14">
        <v>6341</v>
      </c>
      <c r="G137" t="s">
        <v>1924</v>
      </c>
      <c r="H137" t="s">
        <v>15</v>
      </c>
      <c r="I137" t="s">
        <v>27</v>
      </c>
      <c r="J137" t="s">
        <v>20</v>
      </c>
      <c r="K137" s="14">
        <v>16959.311300000001</v>
      </c>
      <c r="Z137" s="3"/>
      <c r="AC137"/>
      <c r="AE137" s="3"/>
      <c r="AH137" t="s">
        <v>2327</v>
      </c>
      <c r="AI137" t="s">
        <v>67</v>
      </c>
      <c r="AJ137" t="s">
        <v>98</v>
      </c>
      <c r="AK137" s="3" t="s">
        <v>115</v>
      </c>
      <c r="AL137" s="3">
        <v>-159.8132744598</v>
      </c>
      <c r="AN137" t="s">
        <v>1857</v>
      </c>
      <c r="AO137" t="s">
        <v>88</v>
      </c>
      <c r="AP137" t="s">
        <v>90</v>
      </c>
      <c r="AQ137" s="3">
        <v>29200</v>
      </c>
      <c r="AS137" t="s">
        <v>2320</v>
      </c>
      <c r="AT137" t="s">
        <v>88</v>
      </c>
      <c r="AU137" t="s">
        <v>110</v>
      </c>
      <c r="AV137" s="14">
        <v>397.61059999999998</v>
      </c>
    </row>
    <row r="138" spans="1:48">
      <c r="A138" t="s">
        <v>1925</v>
      </c>
      <c r="B138" t="s">
        <v>15</v>
      </c>
      <c r="C138" t="s">
        <v>27</v>
      </c>
      <c r="D138" t="s">
        <v>20</v>
      </c>
      <c r="E138" s="14">
        <v>6341</v>
      </c>
      <c r="G138" t="s">
        <v>1925</v>
      </c>
      <c r="H138" t="s">
        <v>15</v>
      </c>
      <c r="I138" t="s">
        <v>27</v>
      </c>
      <c r="J138" t="s">
        <v>20</v>
      </c>
      <c r="K138" s="14">
        <v>16959.311300000001</v>
      </c>
      <c r="Z138" s="3"/>
      <c r="AC138"/>
      <c r="AE138" s="3"/>
      <c r="AH138" t="s">
        <v>2327</v>
      </c>
      <c r="AI138" t="s">
        <v>68</v>
      </c>
      <c r="AJ138" t="s">
        <v>66</v>
      </c>
      <c r="AK138" s="3" t="s">
        <v>27</v>
      </c>
      <c r="AL138" s="3">
        <v>4857.3999999999996</v>
      </c>
      <c r="AN138" t="s">
        <v>1858</v>
      </c>
      <c r="AO138" t="s">
        <v>88</v>
      </c>
      <c r="AP138" t="s">
        <v>86</v>
      </c>
      <c r="AQ138" s="3">
        <v>11197.6106</v>
      </c>
      <c r="AS138" t="s">
        <v>2320</v>
      </c>
      <c r="AT138" t="s">
        <v>88</v>
      </c>
      <c r="AU138" t="s">
        <v>111</v>
      </c>
      <c r="AV138" s="14">
        <v>12000</v>
      </c>
    </row>
    <row r="139" spans="1:48">
      <c r="A139" t="s">
        <v>1926</v>
      </c>
      <c r="B139" t="s">
        <v>15</v>
      </c>
      <c r="C139" t="s">
        <v>27</v>
      </c>
      <c r="D139" t="s">
        <v>20</v>
      </c>
      <c r="E139" s="14">
        <v>6441</v>
      </c>
      <c r="G139" t="s">
        <v>1926</v>
      </c>
      <c r="H139" t="s">
        <v>15</v>
      </c>
      <c r="I139" t="s">
        <v>27</v>
      </c>
      <c r="J139" t="s">
        <v>20</v>
      </c>
      <c r="K139" s="14">
        <v>16959.311300000001</v>
      </c>
      <c r="Z139" s="3"/>
      <c r="AC139"/>
      <c r="AE139" s="3"/>
      <c r="AH139" t="s">
        <v>2327</v>
      </c>
      <c r="AI139" t="s">
        <v>68</v>
      </c>
      <c r="AJ139" t="s">
        <v>72</v>
      </c>
      <c r="AK139" s="3" t="s">
        <v>27</v>
      </c>
      <c r="AL139" s="3">
        <v>4483.6991680000001</v>
      </c>
      <c r="AN139" t="s">
        <v>1858</v>
      </c>
      <c r="AO139" t="s">
        <v>88</v>
      </c>
      <c r="AP139" t="s">
        <v>90</v>
      </c>
      <c r="AQ139" s="3">
        <v>29200</v>
      </c>
      <c r="AS139" t="s">
        <v>2320</v>
      </c>
      <c r="AT139" t="s">
        <v>88</v>
      </c>
      <c r="AU139" t="s">
        <v>268</v>
      </c>
      <c r="AV139" s="14">
        <v>0</v>
      </c>
    </row>
    <row r="140" spans="1:48">
      <c r="A140" t="s">
        <v>1927</v>
      </c>
      <c r="B140" t="s">
        <v>15</v>
      </c>
      <c r="C140" t="s">
        <v>27</v>
      </c>
      <c r="D140" t="s">
        <v>20</v>
      </c>
      <c r="E140" s="14">
        <v>6441</v>
      </c>
      <c r="G140" t="s">
        <v>1927</v>
      </c>
      <c r="H140" t="s">
        <v>15</v>
      </c>
      <c r="I140" t="s">
        <v>27</v>
      </c>
      <c r="J140" t="s">
        <v>20</v>
      </c>
      <c r="K140" s="14">
        <v>16959.311300000001</v>
      </c>
      <c r="Z140" s="3"/>
      <c r="AC140"/>
      <c r="AE140" s="3"/>
      <c r="AH140" t="s">
        <v>2327</v>
      </c>
      <c r="AI140" t="s">
        <v>68</v>
      </c>
      <c r="AJ140" t="s">
        <v>113</v>
      </c>
      <c r="AK140" s="3" t="s">
        <v>27</v>
      </c>
      <c r="AL140" s="3">
        <v>-67.7820904302</v>
      </c>
      <c r="AN140" t="s">
        <v>1859</v>
      </c>
      <c r="AO140" t="s">
        <v>88</v>
      </c>
      <c r="AP140" t="s">
        <v>86</v>
      </c>
      <c r="AQ140" s="3">
        <v>11197.6106</v>
      </c>
      <c r="AS140" t="s">
        <v>2320</v>
      </c>
      <c r="AT140" t="s">
        <v>88</v>
      </c>
      <c r="AU140" t="s">
        <v>269</v>
      </c>
      <c r="AV140" s="14">
        <v>0</v>
      </c>
    </row>
    <row r="141" spans="1:48">
      <c r="A141" t="s">
        <v>1928</v>
      </c>
      <c r="B141" t="s">
        <v>15</v>
      </c>
      <c r="C141" t="s">
        <v>27</v>
      </c>
      <c r="D141" t="s">
        <v>20</v>
      </c>
      <c r="E141" s="14">
        <v>6691</v>
      </c>
      <c r="G141" t="s">
        <v>1928</v>
      </c>
      <c r="H141" t="s">
        <v>15</v>
      </c>
      <c r="I141" t="s">
        <v>27</v>
      </c>
      <c r="J141" t="s">
        <v>20</v>
      </c>
      <c r="K141" s="14">
        <v>16959.311300000001</v>
      </c>
      <c r="Z141" s="3"/>
      <c r="AC141"/>
      <c r="AE141" s="3"/>
      <c r="AH141" t="s">
        <v>2327</v>
      </c>
      <c r="AI141" t="s">
        <v>68</v>
      </c>
      <c r="AJ141" t="s">
        <v>108</v>
      </c>
      <c r="AK141" s="3" t="s">
        <v>27</v>
      </c>
      <c r="AL141" s="3">
        <v>-305.91874156979998</v>
      </c>
      <c r="AN141" t="s">
        <v>1859</v>
      </c>
      <c r="AO141" t="s">
        <v>88</v>
      </c>
      <c r="AP141" t="s">
        <v>90</v>
      </c>
      <c r="AQ141" s="3">
        <v>30200</v>
      </c>
      <c r="AS141" t="s">
        <v>2320</v>
      </c>
      <c r="AT141" t="s">
        <v>88</v>
      </c>
      <c r="AU141" t="s">
        <v>270</v>
      </c>
      <c r="AV141" s="14">
        <v>0</v>
      </c>
    </row>
    <row r="142" spans="1:48">
      <c r="A142" t="s">
        <v>1929</v>
      </c>
      <c r="B142" t="s">
        <v>15</v>
      </c>
      <c r="C142" t="s">
        <v>27</v>
      </c>
      <c r="D142" t="s">
        <v>20</v>
      </c>
      <c r="E142" s="14">
        <v>7041</v>
      </c>
      <c r="G142" t="s">
        <v>1929</v>
      </c>
      <c r="H142" t="s">
        <v>15</v>
      </c>
      <c r="I142" t="s">
        <v>27</v>
      </c>
      <c r="J142" t="s">
        <v>20</v>
      </c>
      <c r="K142" s="14">
        <v>16959.311300000001</v>
      </c>
      <c r="Z142" s="3"/>
      <c r="AC142"/>
      <c r="AE142" s="3"/>
      <c r="AH142" t="s">
        <v>2327</v>
      </c>
      <c r="AI142" t="s">
        <v>68</v>
      </c>
      <c r="AJ142" t="s">
        <v>98</v>
      </c>
      <c r="AK142" s="3" t="s">
        <v>27</v>
      </c>
      <c r="AL142" s="3">
        <v>-305.91874156979998</v>
      </c>
      <c r="AN142" t="s">
        <v>1860</v>
      </c>
      <c r="AO142" t="s">
        <v>88</v>
      </c>
      <c r="AP142" t="s">
        <v>86</v>
      </c>
      <c r="AQ142" s="3">
        <v>11197.6106</v>
      </c>
      <c r="AS142" t="s">
        <v>2320</v>
      </c>
      <c r="AT142" t="s">
        <v>88</v>
      </c>
      <c r="AU142" t="s">
        <v>271</v>
      </c>
      <c r="AV142" s="14">
        <v>10500</v>
      </c>
    </row>
    <row r="143" spans="1:48">
      <c r="A143" t="s">
        <v>1930</v>
      </c>
      <c r="B143" t="s">
        <v>15</v>
      </c>
      <c r="C143" t="s">
        <v>27</v>
      </c>
      <c r="D143" t="s">
        <v>20</v>
      </c>
      <c r="E143" s="14">
        <v>7041</v>
      </c>
      <c r="G143" t="s">
        <v>1930</v>
      </c>
      <c r="H143" t="s">
        <v>15</v>
      </c>
      <c r="I143" t="s">
        <v>27</v>
      </c>
      <c r="J143" t="s">
        <v>20</v>
      </c>
      <c r="K143" s="14">
        <v>16959.311300000001</v>
      </c>
      <c r="Z143" s="3"/>
      <c r="AC143"/>
      <c r="AE143" s="3"/>
      <c r="AH143" t="s">
        <v>2327</v>
      </c>
      <c r="AI143" t="s">
        <v>68</v>
      </c>
      <c r="AJ143" t="s">
        <v>66</v>
      </c>
      <c r="AK143" s="3" t="s">
        <v>114</v>
      </c>
      <c r="AL143" s="3">
        <v>9303.4</v>
      </c>
      <c r="AN143" t="s">
        <v>1860</v>
      </c>
      <c r="AO143" t="s">
        <v>88</v>
      </c>
      <c r="AP143" t="s">
        <v>90</v>
      </c>
      <c r="AQ143" s="3">
        <v>30700</v>
      </c>
      <c r="AS143" t="s">
        <v>2320</v>
      </c>
      <c r="AT143" t="s">
        <v>88</v>
      </c>
      <c r="AU143" t="s">
        <v>272</v>
      </c>
      <c r="AV143" s="14">
        <v>0</v>
      </c>
    </row>
    <row r="144" spans="1:48">
      <c r="A144" t="s">
        <v>1931</v>
      </c>
      <c r="B144" t="s">
        <v>15</v>
      </c>
      <c r="C144" t="s">
        <v>27</v>
      </c>
      <c r="D144" t="s">
        <v>20</v>
      </c>
      <c r="E144" s="14">
        <v>7052</v>
      </c>
      <c r="G144" t="s">
        <v>1931</v>
      </c>
      <c r="H144" t="s">
        <v>15</v>
      </c>
      <c r="I144" t="s">
        <v>27</v>
      </c>
      <c r="J144" t="s">
        <v>20</v>
      </c>
      <c r="K144" s="14">
        <v>16959.311300000001</v>
      </c>
      <c r="Z144" s="3"/>
      <c r="AC144"/>
      <c r="AE144" s="3"/>
      <c r="AH144" t="s">
        <v>2327</v>
      </c>
      <c r="AI144" t="s">
        <v>68</v>
      </c>
      <c r="AJ144" t="s">
        <v>98</v>
      </c>
      <c r="AK144" s="3" t="s">
        <v>114</v>
      </c>
      <c r="AL144" s="3">
        <v>-642.19261873970004</v>
      </c>
      <c r="AN144" t="s">
        <v>1861</v>
      </c>
      <c r="AO144" t="s">
        <v>88</v>
      </c>
      <c r="AP144" t="s">
        <v>86</v>
      </c>
      <c r="AQ144" s="3">
        <v>11197.6106</v>
      </c>
      <c r="AS144" t="s">
        <v>2320</v>
      </c>
      <c r="AT144" t="s">
        <v>88</v>
      </c>
      <c r="AU144" t="s">
        <v>273</v>
      </c>
      <c r="AV144" s="14">
        <v>0</v>
      </c>
    </row>
    <row r="145" spans="1:48">
      <c r="A145" t="s">
        <v>1932</v>
      </c>
      <c r="B145" t="s">
        <v>15</v>
      </c>
      <c r="C145" t="s">
        <v>27</v>
      </c>
      <c r="D145" t="s">
        <v>20</v>
      </c>
      <c r="E145" s="14">
        <v>7052</v>
      </c>
      <c r="G145" t="s">
        <v>1932</v>
      </c>
      <c r="H145" t="s">
        <v>15</v>
      </c>
      <c r="I145" t="s">
        <v>27</v>
      </c>
      <c r="J145" t="s">
        <v>20</v>
      </c>
      <c r="K145" s="14">
        <v>16959.311300000001</v>
      </c>
      <c r="Z145" s="3"/>
      <c r="AC145"/>
      <c r="AE145" s="3"/>
      <c r="AH145" t="s">
        <v>2327</v>
      </c>
      <c r="AI145" t="s">
        <v>68</v>
      </c>
      <c r="AJ145" t="s">
        <v>66</v>
      </c>
      <c r="AK145" s="3" t="s">
        <v>115</v>
      </c>
      <c r="AL145" s="3">
        <v>4446</v>
      </c>
      <c r="AN145" t="s">
        <v>1861</v>
      </c>
      <c r="AO145" t="s">
        <v>88</v>
      </c>
      <c r="AP145" t="s">
        <v>90</v>
      </c>
      <c r="AQ145" s="3">
        <v>32200</v>
      </c>
      <c r="AS145" t="s">
        <v>2320</v>
      </c>
      <c r="AT145" t="s">
        <v>196</v>
      </c>
      <c r="AU145" t="s">
        <v>197</v>
      </c>
      <c r="AV145" s="14">
        <v>7.655109828834</v>
      </c>
    </row>
    <row r="146" spans="1:48">
      <c r="A146" t="s">
        <v>1933</v>
      </c>
      <c r="B146" t="s">
        <v>15</v>
      </c>
      <c r="C146" t="s">
        <v>27</v>
      </c>
      <c r="D146" t="s">
        <v>20</v>
      </c>
      <c r="E146" s="14">
        <v>7202</v>
      </c>
      <c r="G146" t="s">
        <v>1933</v>
      </c>
      <c r="H146" t="s">
        <v>15</v>
      </c>
      <c r="I146" t="s">
        <v>27</v>
      </c>
      <c r="J146" t="s">
        <v>20</v>
      </c>
      <c r="K146" s="14">
        <v>16959.311300000001</v>
      </c>
      <c r="Z146" s="3"/>
      <c r="AC146"/>
      <c r="AE146" s="3"/>
      <c r="AH146" t="s">
        <v>2327</v>
      </c>
      <c r="AI146" t="s">
        <v>68</v>
      </c>
      <c r="AJ146" t="s">
        <v>98</v>
      </c>
      <c r="AK146" s="3" t="s">
        <v>115</v>
      </c>
      <c r="AL146" s="3">
        <v>-336.2738771699</v>
      </c>
      <c r="AN146" t="s">
        <v>1862</v>
      </c>
      <c r="AO146" t="s">
        <v>88</v>
      </c>
      <c r="AP146" t="s">
        <v>86</v>
      </c>
      <c r="AQ146" s="3">
        <v>12197.6106</v>
      </c>
      <c r="AS146" t="s">
        <v>2320</v>
      </c>
      <c r="AT146" t="s">
        <v>196</v>
      </c>
      <c r="AU146" t="s">
        <v>109</v>
      </c>
      <c r="AV146" s="14">
        <v>6.9169888225385403</v>
      </c>
    </row>
    <row r="147" spans="1:48">
      <c r="A147" t="s">
        <v>1934</v>
      </c>
      <c r="B147" t="s">
        <v>15</v>
      </c>
      <c r="C147" t="s">
        <v>27</v>
      </c>
      <c r="D147" t="s">
        <v>20</v>
      </c>
      <c r="E147" s="14">
        <v>7152</v>
      </c>
      <c r="G147" t="s">
        <v>1934</v>
      </c>
      <c r="H147" t="s">
        <v>15</v>
      </c>
      <c r="I147" t="s">
        <v>27</v>
      </c>
      <c r="J147" t="s">
        <v>20</v>
      </c>
      <c r="K147" s="14">
        <v>16959.311300000001</v>
      </c>
      <c r="Z147" s="3"/>
      <c r="AC147"/>
      <c r="AE147" s="3"/>
      <c r="AH147" t="s">
        <v>2327</v>
      </c>
      <c r="AI147" t="s">
        <v>800</v>
      </c>
      <c r="AJ147" t="s">
        <v>31</v>
      </c>
      <c r="AK147" s="3" t="s">
        <v>27</v>
      </c>
      <c r="AL147" s="3">
        <v>4.0802477015000003</v>
      </c>
      <c r="AN147" t="s">
        <v>1862</v>
      </c>
      <c r="AO147" t="s">
        <v>88</v>
      </c>
      <c r="AP147" t="s">
        <v>90</v>
      </c>
      <c r="AQ147" s="3">
        <v>32200</v>
      </c>
      <c r="AS147" t="s">
        <v>2320</v>
      </c>
      <c r="AT147" t="s">
        <v>196</v>
      </c>
      <c r="AU147" t="s">
        <v>198</v>
      </c>
      <c r="AV147" s="14">
        <v>7.3390577231624903</v>
      </c>
    </row>
    <row r="148" spans="1:48">
      <c r="A148" t="s">
        <v>1935</v>
      </c>
      <c r="B148" t="s">
        <v>15</v>
      </c>
      <c r="C148" t="s">
        <v>27</v>
      </c>
      <c r="D148" t="s">
        <v>20</v>
      </c>
      <c r="E148" s="14">
        <v>7302</v>
      </c>
      <c r="G148" t="s">
        <v>1935</v>
      </c>
      <c r="H148" t="s">
        <v>15</v>
      </c>
      <c r="I148" t="s">
        <v>27</v>
      </c>
      <c r="J148" t="s">
        <v>20</v>
      </c>
      <c r="K148" s="14">
        <v>16959.311300000001</v>
      </c>
      <c r="Z148" s="3"/>
      <c r="AC148"/>
      <c r="AE148" s="3"/>
      <c r="AH148" t="s">
        <v>2326</v>
      </c>
      <c r="AI148" t="s">
        <v>65</v>
      </c>
      <c r="AJ148" t="s">
        <v>113</v>
      </c>
      <c r="AK148" s="3" t="s">
        <v>27</v>
      </c>
      <c r="AL148" s="3">
        <v>1848.9757518270001</v>
      </c>
      <c r="AN148" t="s">
        <v>1863</v>
      </c>
      <c r="AO148" t="s">
        <v>88</v>
      </c>
      <c r="AP148" t="s">
        <v>86</v>
      </c>
      <c r="AQ148" s="3">
        <v>12197.6106</v>
      </c>
      <c r="AS148" t="s">
        <v>2319</v>
      </c>
      <c r="AT148" t="s">
        <v>88</v>
      </c>
      <c r="AU148" t="s">
        <v>109</v>
      </c>
      <c r="AV148" s="14">
        <v>18249.099999999999</v>
      </c>
    </row>
    <row r="149" spans="1:48">
      <c r="A149" t="s">
        <v>1936</v>
      </c>
      <c r="B149" t="s">
        <v>15</v>
      </c>
      <c r="C149" t="s">
        <v>27</v>
      </c>
      <c r="D149" t="s">
        <v>20</v>
      </c>
      <c r="E149" s="14">
        <v>7802</v>
      </c>
      <c r="G149" t="s">
        <v>1936</v>
      </c>
      <c r="H149" t="s">
        <v>15</v>
      </c>
      <c r="I149" t="s">
        <v>27</v>
      </c>
      <c r="J149" t="s">
        <v>20</v>
      </c>
      <c r="K149" s="14">
        <v>16959.311300000001</v>
      </c>
      <c r="Z149" s="3"/>
      <c r="AC149"/>
      <c r="AE149" s="3"/>
      <c r="AH149" t="s">
        <v>2326</v>
      </c>
      <c r="AI149" t="s">
        <v>65</v>
      </c>
      <c r="AJ149" t="s">
        <v>108</v>
      </c>
      <c r="AK149" s="3" t="s">
        <v>27</v>
      </c>
      <c r="AL149" s="3">
        <v>-1641.0164148270001</v>
      </c>
      <c r="AN149" t="s">
        <v>1863</v>
      </c>
      <c r="AO149" t="s">
        <v>88</v>
      </c>
      <c r="AP149" t="s">
        <v>90</v>
      </c>
      <c r="AQ149" s="3">
        <v>32200</v>
      </c>
      <c r="AS149" t="s">
        <v>2319</v>
      </c>
      <c r="AT149" t="s">
        <v>88</v>
      </c>
      <c r="AU149" t="s">
        <v>110</v>
      </c>
      <c r="AV149" s="14">
        <v>397.61059999999998</v>
      </c>
    </row>
    <row r="150" spans="1:48">
      <c r="A150" t="s">
        <v>1937</v>
      </c>
      <c r="B150" t="s">
        <v>15</v>
      </c>
      <c r="C150" t="s">
        <v>27</v>
      </c>
      <c r="D150" t="s">
        <v>20</v>
      </c>
      <c r="E150" s="14">
        <v>7602</v>
      </c>
      <c r="G150" t="s">
        <v>1937</v>
      </c>
      <c r="H150" t="s">
        <v>15</v>
      </c>
      <c r="I150" t="s">
        <v>27</v>
      </c>
      <c r="J150" t="s">
        <v>20</v>
      </c>
      <c r="K150" s="14">
        <v>16959.311300000001</v>
      </c>
      <c r="Z150" s="3"/>
      <c r="AC150"/>
      <c r="AE150" s="3"/>
      <c r="AH150" t="s">
        <v>2326</v>
      </c>
      <c r="AI150" t="s">
        <v>65</v>
      </c>
      <c r="AJ150" t="s">
        <v>98</v>
      </c>
      <c r="AK150" s="3" t="s">
        <v>27</v>
      </c>
      <c r="AL150" s="3">
        <v>-1641.0164148270001</v>
      </c>
      <c r="AN150" t="s">
        <v>1864</v>
      </c>
      <c r="AO150" t="s">
        <v>88</v>
      </c>
      <c r="AP150" t="s">
        <v>86</v>
      </c>
      <c r="AQ150" s="3">
        <v>12197.6106</v>
      </c>
      <c r="AS150" t="s">
        <v>2319</v>
      </c>
      <c r="AT150" t="s">
        <v>88</v>
      </c>
      <c r="AU150" t="s">
        <v>111</v>
      </c>
      <c r="AV150" s="14">
        <v>12000</v>
      </c>
    </row>
    <row r="151" spans="1:48">
      <c r="A151" t="s">
        <v>1938</v>
      </c>
      <c r="B151" t="s">
        <v>15</v>
      </c>
      <c r="C151" t="s">
        <v>27</v>
      </c>
      <c r="D151" t="s">
        <v>20</v>
      </c>
      <c r="E151" s="14">
        <v>7652</v>
      </c>
      <c r="G151" t="s">
        <v>1938</v>
      </c>
      <c r="H151" t="s">
        <v>15</v>
      </c>
      <c r="I151" t="s">
        <v>27</v>
      </c>
      <c r="J151" t="s">
        <v>20</v>
      </c>
      <c r="K151" s="14">
        <v>16959.311300000001</v>
      </c>
      <c r="Z151" s="3"/>
      <c r="AC151"/>
      <c r="AE151" s="3"/>
      <c r="AH151" t="s">
        <v>2326</v>
      </c>
      <c r="AI151" t="s">
        <v>67</v>
      </c>
      <c r="AJ151" t="s">
        <v>66</v>
      </c>
      <c r="AK151" s="3" t="s">
        <v>27</v>
      </c>
      <c r="AL151" s="3">
        <v>-23724.7</v>
      </c>
      <c r="AN151" t="s">
        <v>1864</v>
      </c>
      <c r="AO151" t="s">
        <v>88</v>
      </c>
      <c r="AP151" t="s">
        <v>90</v>
      </c>
      <c r="AQ151" s="3">
        <v>32200</v>
      </c>
      <c r="AS151" t="s">
        <v>2319</v>
      </c>
      <c r="AT151" t="s">
        <v>88</v>
      </c>
      <c r="AU151" t="s">
        <v>268</v>
      </c>
      <c r="AV151" s="14">
        <v>0</v>
      </c>
    </row>
    <row r="152" spans="1:48">
      <c r="A152" t="s">
        <v>1939</v>
      </c>
      <c r="B152" t="s">
        <v>15</v>
      </c>
      <c r="C152" t="s">
        <v>27</v>
      </c>
      <c r="D152" t="s">
        <v>20</v>
      </c>
      <c r="E152" s="14">
        <v>7652</v>
      </c>
      <c r="G152" t="s">
        <v>1939</v>
      </c>
      <c r="H152" t="s">
        <v>15</v>
      </c>
      <c r="I152" t="s">
        <v>27</v>
      </c>
      <c r="J152" t="s">
        <v>20</v>
      </c>
      <c r="K152" s="14">
        <v>16959.311300000001</v>
      </c>
      <c r="Z152" s="3"/>
      <c r="AC152"/>
      <c r="AE152" s="3"/>
      <c r="AH152" t="s">
        <v>2326</v>
      </c>
      <c r="AI152" t="s">
        <v>67</v>
      </c>
      <c r="AJ152" t="s">
        <v>72</v>
      </c>
      <c r="AK152" s="3" t="s">
        <v>27</v>
      </c>
      <c r="AL152" s="3">
        <v>-25162.899453000002</v>
      </c>
      <c r="AN152" t="s">
        <v>1865</v>
      </c>
      <c r="AO152" t="s">
        <v>88</v>
      </c>
      <c r="AP152" t="s">
        <v>86</v>
      </c>
      <c r="AQ152" s="3">
        <v>12197.6106</v>
      </c>
      <c r="AS152" t="s">
        <v>2319</v>
      </c>
      <c r="AT152" t="s">
        <v>88</v>
      </c>
      <c r="AU152" t="s">
        <v>269</v>
      </c>
      <c r="AV152" s="14">
        <v>0</v>
      </c>
    </row>
    <row r="153" spans="1:48">
      <c r="A153" t="s">
        <v>1940</v>
      </c>
      <c r="B153" t="s">
        <v>15</v>
      </c>
      <c r="C153" t="s">
        <v>27</v>
      </c>
      <c r="D153" t="s">
        <v>20</v>
      </c>
      <c r="E153" s="14">
        <v>7602</v>
      </c>
      <c r="G153" t="s">
        <v>1940</v>
      </c>
      <c r="H153" t="s">
        <v>15</v>
      </c>
      <c r="I153" t="s">
        <v>27</v>
      </c>
      <c r="J153" t="s">
        <v>20</v>
      </c>
      <c r="K153" s="14">
        <v>16959.311300000001</v>
      </c>
      <c r="Z153" s="3"/>
      <c r="AC153"/>
      <c r="AE153" s="3"/>
      <c r="AH153" t="s">
        <v>2326</v>
      </c>
      <c r="AI153" t="s">
        <v>67</v>
      </c>
      <c r="AJ153" t="s">
        <v>113</v>
      </c>
      <c r="AK153" s="3" t="s">
        <v>27</v>
      </c>
      <c r="AL153" s="3">
        <v>-1670.2624398124001</v>
      </c>
      <c r="AN153" t="s">
        <v>1865</v>
      </c>
      <c r="AO153" t="s">
        <v>88</v>
      </c>
      <c r="AP153" t="s">
        <v>90</v>
      </c>
      <c r="AQ153" s="3">
        <v>32200</v>
      </c>
      <c r="AS153" t="s">
        <v>2319</v>
      </c>
      <c r="AT153" t="s">
        <v>88</v>
      </c>
      <c r="AU153" t="s">
        <v>270</v>
      </c>
      <c r="AV153" s="14">
        <v>0</v>
      </c>
    </row>
    <row r="154" spans="1:48">
      <c r="A154" t="s">
        <v>1941</v>
      </c>
      <c r="B154" t="s">
        <v>15</v>
      </c>
      <c r="C154" t="s">
        <v>27</v>
      </c>
      <c r="D154" t="s">
        <v>20</v>
      </c>
      <c r="E154" s="14">
        <v>7602</v>
      </c>
      <c r="G154" t="s">
        <v>1941</v>
      </c>
      <c r="H154" t="s">
        <v>15</v>
      </c>
      <c r="I154" t="s">
        <v>27</v>
      </c>
      <c r="J154" t="s">
        <v>20</v>
      </c>
      <c r="K154" s="14">
        <v>16959.311300000001</v>
      </c>
      <c r="Z154" s="3"/>
      <c r="AC154"/>
      <c r="AE154" s="3"/>
      <c r="AH154" t="s">
        <v>2326</v>
      </c>
      <c r="AI154" t="s">
        <v>67</v>
      </c>
      <c r="AJ154" t="s">
        <v>108</v>
      </c>
      <c r="AK154" s="3" t="s">
        <v>27</v>
      </c>
      <c r="AL154" s="3">
        <v>232.0629868124</v>
      </c>
      <c r="AN154" t="s">
        <v>1866</v>
      </c>
      <c r="AO154" t="s">
        <v>88</v>
      </c>
      <c r="AP154" t="s">
        <v>86</v>
      </c>
      <c r="AQ154" s="3">
        <v>12197.6106</v>
      </c>
      <c r="AS154" t="s">
        <v>2319</v>
      </c>
      <c r="AT154" t="s">
        <v>88</v>
      </c>
      <c r="AU154" t="s">
        <v>271</v>
      </c>
      <c r="AV154" s="14">
        <v>9650</v>
      </c>
    </row>
    <row r="155" spans="1:48">
      <c r="A155" t="s">
        <v>1942</v>
      </c>
      <c r="B155" t="s">
        <v>15</v>
      </c>
      <c r="C155" t="s">
        <v>27</v>
      </c>
      <c r="D155" t="s">
        <v>20</v>
      </c>
      <c r="E155" s="14">
        <v>7602</v>
      </c>
      <c r="G155" t="s">
        <v>1942</v>
      </c>
      <c r="H155" t="s">
        <v>15</v>
      </c>
      <c r="I155" t="s">
        <v>27</v>
      </c>
      <c r="J155" t="s">
        <v>20</v>
      </c>
      <c r="K155" s="14">
        <v>16959.311300000001</v>
      </c>
      <c r="Z155" s="3"/>
      <c r="AC155"/>
      <c r="AE155" s="3"/>
      <c r="AH155" t="s">
        <v>2326</v>
      </c>
      <c r="AI155" t="s">
        <v>67</v>
      </c>
      <c r="AJ155" t="s">
        <v>98</v>
      </c>
      <c r="AK155" s="3" t="s">
        <v>27</v>
      </c>
      <c r="AL155" s="3">
        <v>232.0629868124</v>
      </c>
      <c r="AN155" t="s">
        <v>1866</v>
      </c>
      <c r="AO155" t="s">
        <v>88</v>
      </c>
      <c r="AP155" t="s">
        <v>90</v>
      </c>
      <c r="AQ155" s="3">
        <v>32200</v>
      </c>
      <c r="AS155" t="s">
        <v>2319</v>
      </c>
      <c r="AT155" t="s">
        <v>88</v>
      </c>
      <c r="AU155" t="s">
        <v>272</v>
      </c>
      <c r="AV155" s="14">
        <v>0</v>
      </c>
    </row>
    <row r="156" spans="1:48">
      <c r="A156" t="s">
        <v>1943</v>
      </c>
      <c r="B156" t="s">
        <v>15</v>
      </c>
      <c r="C156" t="s">
        <v>27</v>
      </c>
      <c r="D156" t="s">
        <v>20</v>
      </c>
      <c r="E156" s="14">
        <v>7602</v>
      </c>
      <c r="G156" t="s">
        <v>1943</v>
      </c>
      <c r="H156" t="s">
        <v>15</v>
      </c>
      <c r="I156" t="s">
        <v>27</v>
      </c>
      <c r="J156" t="s">
        <v>20</v>
      </c>
      <c r="K156" s="14">
        <v>16959.311300000001</v>
      </c>
      <c r="Z156" s="3"/>
      <c r="AC156"/>
      <c r="AE156" s="3"/>
      <c r="AH156" t="s">
        <v>2326</v>
      </c>
      <c r="AI156" t="s">
        <v>67</v>
      </c>
      <c r="AJ156" t="s">
        <v>66</v>
      </c>
      <c r="AK156" s="3" t="s">
        <v>114</v>
      </c>
      <c r="AL156" s="3">
        <v>0</v>
      </c>
      <c r="AN156" t="s">
        <v>1867</v>
      </c>
      <c r="AO156" t="s">
        <v>88</v>
      </c>
      <c r="AP156" t="s">
        <v>86</v>
      </c>
      <c r="AQ156" s="3">
        <v>12197.6106</v>
      </c>
      <c r="AS156" t="s">
        <v>2319</v>
      </c>
      <c r="AT156" t="s">
        <v>88</v>
      </c>
      <c r="AU156" t="s">
        <v>273</v>
      </c>
      <c r="AV156" s="14">
        <v>0</v>
      </c>
    </row>
    <row r="157" spans="1:48">
      <c r="A157" t="s">
        <v>1944</v>
      </c>
      <c r="B157" t="s">
        <v>15</v>
      </c>
      <c r="C157" t="s">
        <v>27</v>
      </c>
      <c r="D157" t="s">
        <v>20</v>
      </c>
      <c r="E157" s="14">
        <v>7724</v>
      </c>
      <c r="G157" t="s">
        <v>1944</v>
      </c>
      <c r="H157" t="s">
        <v>15</v>
      </c>
      <c r="I157" t="s">
        <v>27</v>
      </c>
      <c r="J157" t="s">
        <v>20</v>
      </c>
      <c r="K157" s="14">
        <v>16959.311300000001</v>
      </c>
      <c r="Z157" s="3"/>
      <c r="AC157"/>
      <c r="AE157" s="3"/>
      <c r="AH157" t="s">
        <v>2326</v>
      </c>
      <c r="AI157" t="s">
        <v>67</v>
      </c>
      <c r="AJ157" t="s">
        <v>98</v>
      </c>
      <c r="AK157" s="3" t="s">
        <v>114</v>
      </c>
      <c r="AL157" s="3">
        <v>0</v>
      </c>
      <c r="AN157" t="s">
        <v>1867</v>
      </c>
      <c r="AO157" t="s">
        <v>88</v>
      </c>
      <c r="AP157" t="s">
        <v>90</v>
      </c>
      <c r="AQ157" s="3">
        <v>32200</v>
      </c>
      <c r="AS157" t="s">
        <v>2319</v>
      </c>
      <c r="AT157" t="s">
        <v>196</v>
      </c>
      <c r="AU157" t="s">
        <v>197</v>
      </c>
      <c r="AV157" s="14">
        <v>7.6551118915374303</v>
      </c>
    </row>
    <row r="158" spans="1:48">
      <c r="A158" t="s">
        <v>1945</v>
      </c>
      <c r="B158" t="s">
        <v>15</v>
      </c>
      <c r="C158" t="s">
        <v>27</v>
      </c>
      <c r="D158" t="s">
        <v>20</v>
      </c>
      <c r="E158" s="14">
        <v>7724</v>
      </c>
      <c r="G158" t="s">
        <v>1945</v>
      </c>
      <c r="H158" t="s">
        <v>15</v>
      </c>
      <c r="I158" t="s">
        <v>27</v>
      </c>
      <c r="J158" t="s">
        <v>20</v>
      </c>
      <c r="K158" s="14">
        <v>16959.311300000001</v>
      </c>
      <c r="Z158" s="3"/>
      <c r="AC158"/>
      <c r="AE158" s="3"/>
      <c r="AH158" t="s">
        <v>2326</v>
      </c>
      <c r="AI158" t="s">
        <v>67</v>
      </c>
      <c r="AJ158" t="s">
        <v>66</v>
      </c>
      <c r="AK158" s="3" t="s">
        <v>115</v>
      </c>
      <c r="AL158" s="3">
        <v>23724.7</v>
      </c>
      <c r="AN158" t="s">
        <v>1868</v>
      </c>
      <c r="AO158" t="s">
        <v>88</v>
      </c>
      <c r="AP158" t="s">
        <v>86</v>
      </c>
      <c r="AQ158" s="3">
        <v>12197.6106</v>
      </c>
      <c r="AS158" t="s">
        <v>2319</v>
      </c>
      <c r="AT158" t="s">
        <v>196</v>
      </c>
      <c r="AU158" t="s">
        <v>109</v>
      </c>
      <c r="AV158" s="14">
        <v>7.04211024554579</v>
      </c>
    </row>
    <row r="159" spans="1:48">
      <c r="A159" t="s">
        <v>1946</v>
      </c>
      <c r="B159" t="s">
        <v>15</v>
      </c>
      <c r="C159" t="s">
        <v>27</v>
      </c>
      <c r="D159" t="s">
        <v>20</v>
      </c>
      <c r="E159" s="14">
        <v>7784</v>
      </c>
      <c r="G159" t="s">
        <v>1946</v>
      </c>
      <c r="H159" t="s">
        <v>15</v>
      </c>
      <c r="I159" t="s">
        <v>27</v>
      </c>
      <c r="J159" t="s">
        <v>20</v>
      </c>
      <c r="K159" s="14">
        <v>16959.311300000001</v>
      </c>
      <c r="Z159" s="3"/>
      <c r="AC159"/>
      <c r="AE159" s="3"/>
      <c r="AH159" t="s">
        <v>2326</v>
      </c>
      <c r="AI159" t="s">
        <v>67</v>
      </c>
      <c r="AJ159" t="s">
        <v>98</v>
      </c>
      <c r="AK159" s="3" t="s">
        <v>115</v>
      </c>
      <c r="AL159" s="3">
        <v>-232.0629868124</v>
      </c>
      <c r="AN159" t="s">
        <v>1868</v>
      </c>
      <c r="AO159" t="s">
        <v>88</v>
      </c>
      <c r="AP159" t="s">
        <v>90</v>
      </c>
      <c r="AQ159" s="3">
        <v>32200</v>
      </c>
      <c r="AS159" t="s">
        <v>2319</v>
      </c>
      <c r="AT159" t="s">
        <v>196</v>
      </c>
      <c r="AU159" t="s">
        <v>198</v>
      </c>
      <c r="AV159" s="14">
        <v>7.4128834197547997</v>
      </c>
    </row>
    <row r="160" spans="1:48">
      <c r="A160" t="s">
        <v>1947</v>
      </c>
      <c r="B160" t="s">
        <v>15</v>
      </c>
      <c r="C160" t="s">
        <v>27</v>
      </c>
      <c r="D160" t="s">
        <v>20</v>
      </c>
      <c r="E160" s="14">
        <v>7784</v>
      </c>
      <c r="G160" t="s">
        <v>1947</v>
      </c>
      <c r="H160" t="s">
        <v>15</v>
      </c>
      <c r="I160" t="s">
        <v>27</v>
      </c>
      <c r="J160" t="s">
        <v>20</v>
      </c>
      <c r="K160" s="14">
        <v>16959.311300000001</v>
      </c>
      <c r="Z160" s="3"/>
      <c r="AC160"/>
      <c r="AE160" s="3"/>
      <c r="AH160" t="s">
        <v>2326</v>
      </c>
      <c r="AI160" t="s">
        <v>68</v>
      </c>
      <c r="AJ160" t="s">
        <v>66</v>
      </c>
      <c r="AK160" s="3" t="s">
        <v>27</v>
      </c>
      <c r="AL160" s="3">
        <v>3927.4</v>
      </c>
      <c r="AN160" t="s">
        <v>1869</v>
      </c>
      <c r="AO160" t="s">
        <v>88</v>
      </c>
      <c r="AP160" t="s">
        <v>86</v>
      </c>
      <c r="AQ160" s="3">
        <v>15197.6106</v>
      </c>
      <c r="AS160" t="s">
        <v>2317</v>
      </c>
      <c r="AT160" t="s">
        <v>196</v>
      </c>
      <c r="AU160" t="s">
        <v>197</v>
      </c>
      <c r="AV160" s="14">
        <v>7.6544123779217497</v>
      </c>
    </row>
    <row r="161" spans="1:48">
      <c r="A161" t="s">
        <v>1948</v>
      </c>
      <c r="B161" t="s">
        <v>15</v>
      </c>
      <c r="C161" t="s">
        <v>27</v>
      </c>
      <c r="D161" t="s">
        <v>20</v>
      </c>
      <c r="E161" s="14">
        <v>7784</v>
      </c>
      <c r="G161" t="s">
        <v>1948</v>
      </c>
      <c r="H161" t="s">
        <v>15</v>
      </c>
      <c r="I161" t="s">
        <v>27</v>
      </c>
      <c r="J161" t="s">
        <v>20</v>
      </c>
      <c r="K161" s="14">
        <v>16959.311300000001</v>
      </c>
      <c r="Z161" s="3"/>
      <c r="AC161"/>
      <c r="AE161" s="3"/>
      <c r="AH161" t="s">
        <v>2326</v>
      </c>
      <c r="AI161" t="s">
        <v>68</v>
      </c>
      <c r="AJ161" t="s">
        <v>72</v>
      </c>
      <c r="AK161" s="3" t="s">
        <v>27</v>
      </c>
      <c r="AL161" s="3">
        <v>3642.3464859999999</v>
      </c>
      <c r="AN161" t="s">
        <v>1869</v>
      </c>
      <c r="AO161" t="s">
        <v>88</v>
      </c>
      <c r="AP161" t="s">
        <v>90</v>
      </c>
      <c r="AQ161" s="3">
        <v>21167</v>
      </c>
      <c r="AS161" t="s">
        <v>2317</v>
      </c>
      <c r="AT161" t="s">
        <v>196</v>
      </c>
      <c r="AU161" t="s">
        <v>109</v>
      </c>
      <c r="AV161" s="14">
        <v>7.1025724846729297</v>
      </c>
    </row>
    <row r="162" spans="1:48">
      <c r="A162" t="s">
        <v>1949</v>
      </c>
      <c r="B162" t="s">
        <v>15</v>
      </c>
      <c r="C162" t="s">
        <v>27</v>
      </c>
      <c r="D162" t="s">
        <v>20</v>
      </c>
      <c r="E162" s="14">
        <v>7788</v>
      </c>
      <c r="G162" t="s">
        <v>1949</v>
      </c>
      <c r="H162" t="s">
        <v>15</v>
      </c>
      <c r="I162" t="s">
        <v>27</v>
      </c>
      <c r="J162" t="s">
        <v>20</v>
      </c>
      <c r="K162" s="14">
        <v>16959.311300000001</v>
      </c>
      <c r="Z162" s="3"/>
      <c r="AC162"/>
      <c r="AE162" s="3"/>
      <c r="AH162" t="s">
        <v>2326</v>
      </c>
      <c r="AI162" t="s">
        <v>68</v>
      </c>
      <c r="AJ162" t="s">
        <v>113</v>
      </c>
      <c r="AK162" s="3" t="s">
        <v>27</v>
      </c>
      <c r="AL162" s="3">
        <v>-56.735819858799999</v>
      </c>
      <c r="AN162" t="s">
        <v>1870</v>
      </c>
      <c r="AO162" t="s">
        <v>88</v>
      </c>
      <c r="AP162" t="s">
        <v>86</v>
      </c>
      <c r="AQ162" s="3">
        <v>15197.6106</v>
      </c>
      <c r="AS162" t="s">
        <v>2317</v>
      </c>
      <c r="AT162" t="s">
        <v>196</v>
      </c>
      <c r="AU162" t="s">
        <v>198</v>
      </c>
      <c r="AV162" s="14">
        <v>7.4482835740015698</v>
      </c>
    </row>
    <row r="163" spans="1:48">
      <c r="A163" t="s">
        <v>1950</v>
      </c>
      <c r="B163" t="s">
        <v>15</v>
      </c>
      <c r="C163" t="s">
        <v>27</v>
      </c>
      <c r="D163" t="s">
        <v>20</v>
      </c>
      <c r="E163" s="14">
        <v>7788</v>
      </c>
      <c r="G163" t="s">
        <v>1950</v>
      </c>
      <c r="H163" t="s">
        <v>15</v>
      </c>
      <c r="I163" t="s">
        <v>27</v>
      </c>
      <c r="J163" t="s">
        <v>20</v>
      </c>
      <c r="K163" s="14">
        <v>16959.311300000001</v>
      </c>
      <c r="Z163" s="3"/>
      <c r="AC163"/>
      <c r="AE163" s="3"/>
      <c r="AH163" t="s">
        <v>2326</v>
      </c>
      <c r="AI163" t="s">
        <v>68</v>
      </c>
      <c r="AJ163" t="s">
        <v>108</v>
      </c>
      <c r="AK163" s="3" t="s">
        <v>27</v>
      </c>
      <c r="AL163" s="3">
        <v>-228.31769414120001</v>
      </c>
      <c r="AN163" t="s">
        <v>1870</v>
      </c>
      <c r="AO163" t="s">
        <v>88</v>
      </c>
      <c r="AP163" t="s">
        <v>90</v>
      </c>
      <c r="AQ163" s="3">
        <v>20326</v>
      </c>
      <c r="AS163" t="s">
        <v>2317</v>
      </c>
      <c r="AT163" t="s">
        <v>88</v>
      </c>
      <c r="AU163" t="s">
        <v>109</v>
      </c>
      <c r="AV163" s="14">
        <v>18249.099999999999</v>
      </c>
    </row>
    <row r="164" spans="1:48">
      <c r="A164" t="s">
        <v>1951</v>
      </c>
      <c r="B164" t="s">
        <v>15</v>
      </c>
      <c r="C164" t="s">
        <v>27</v>
      </c>
      <c r="D164" t="s">
        <v>20</v>
      </c>
      <c r="E164" s="14">
        <v>8062</v>
      </c>
      <c r="G164" t="s">
        <v>1951</v>
      </c>
      <c r="H164" t="s">
        <v>15</v>
      </c>
      <c r="I164" t="s">
        <v>27</v>
      </c>
      <c r="J164" t="s">
        <v>20</v>
      </c>
      <c r="K164" s="14">
        <v>16959.311300000001</v>
      </c>
      <c r="Z164" s="3"/>
      <c r="AC164"/>
      <c r="AE164" s="3"/>
      <c r="AH164" t="s">
        <v>2326</v>
      </c>
      <c r="AI164" t="s">
        <v>68</v>
      </c>
      <c r="AJ164" t="s">
        <v>98</v>
      </c>
      <c r="AK164" s="3" t="s">
        <v>27</v>
      </c>
      <c r="AL164" s="3">
        <v>-228.31769414120001</v>
      </c>
      <c r="AN164" t="s">
        <v>1871</v>
      </c>
      <c r="AO164" t="s">
        <v>88</v>
      </c>
      <c r="AP164" t="s">
        <v>86</v>
      </c>
      <c r="AQ164" s="3">
        <v>15197.6106</v>
      </c>
      <c r="AS164" t="s">
        <v>2317</v>
      </c>
      <c r="AT164" t="s">
        <v>88</v>
      </c>
      <c r="AU164" t="s">
        <v>110</v>
      </c>
      <c r="AV164" s="14">
        <v>397.61059999999998</v>
      </c>
    </row>
    <row r="165" spans="1:48">
      <c r="A165" t="s">
        <v>1952</v>
      </c>
      <c r="B165" t="s">
        <v>15</v>
      </c>
      <c r="C165" t="s">
        <v>27</v>
      </c>
      <c r="D165" t="s">
        <v>20</v>
      </c>
      <c r="E165" s="14">
        <v>8062</v>
      </c>
      <c r="G165" t="s">
        <v>1952</v>
      </c>
      <c r="H165" t="s">
        <v>15</v>
      </c>
      <c r="I165" t="s">
        <v>27</v>
      </c>
      <c r="J165" t="s">
        <v>20</v>
      </c>
      <c r="K165" s="14">
        <v>16959.311300000001</v>
      </c>
      <c r="Z165" s="3"/>
      <c r="AC165"/>
      <c r="AE165" s="3"/>
      <c r="AH165" t="s">
        <v>2326</v>
      </c>
      <c r="AI165" t="s">
        <v>68</v>
      </c>
      <c r="AJ165" t="s">
        <v>66</v>
      </c>
      <c r="AK165" s="3" t="s">
        <v>114</v>
      </c>
      <c r="AL165" s="3">
        <v>7853.4</v>
      </c>
      <c r="AN165" t="s">
        <v>1871</v>
      </c>
      <c r="AO165" t="s">
        <v>88</v>
      </c>
      <c r="AP165" t="s">
        <v>90</v>
      </c>
      <c r="AQ165" s="3">
        <v>18656</v>
      </c>
      <c r="AS165" t="s">
        <v>2317</v>
      </c>
      <c r="AT165" t="s">
        <v>88</v>
      </c>
      <c r="AU165" t="s">
        <v>111</v>
      </c>
      <c r="AV165" s="14">
        <v>12000</v>
      </c>
    </row>
    <row r="166" spans="1:48">
      <c r="A166" t="s">
        <v>1953</v>
      </c>
      <c r="B166" t="s">
        <v>15</v>
      </c>
      <c r="C166" t="s">
        <v>27</v>
      </c>
      <c r="D166" t="s">
        <v>20</v>
      </c>
      <c r="E166" s="14">
        <v>7702</v>
      </c>
      <c r="G166" t="s">
        <v>1953</v>
      </c>
      <c r="H166" t="s">
        <v>15</v>
      </c>
      <c r="I166" t="s">
        <v>27</v>
      </c>
      <c r="J166" t="s">
        <v>20</v>
      </c>
      <c r="K166" s="14">
        <v>16959.311300000001</v>
      </c>
      <c r="Z166" s="3"/>
      <c r="AC166"/>
      <c r="AE166" s="3"/>
      <c r="AH166" t="s">
        <v>2326</v>
      </c>
      <c r="AI166" t="s">
        <v>68</v>
      </c>
      <c r="AJ166" t="s">
        <v>98</v>
      </c>
      <c r="AK166" s="3" t="s">
        <v>114</v>
      </c>
      <c r="AL166" s="3">
        <v>-535.94445663010003</v>
      </c>
      <c r="AN166" t="s">
        <v>1872</v>
      </c>
      <c r="AO166" t="s">
        <v>88</v>
      </c>
      <c r="AP166" t="s">
        <v>86</v>
      </c>
      <c r="AQ166" s="3">
        <v>15197.6106</v>
      </c>
      <c r="AS166" t="s">
        <v>2317</v>
      </c>
      <c r="AT166" t="s">
        <v>88</v>
      </c>
      <c r="AU166" t="s">
        <v>268</v>
      </c>
      <c r="AV166" s="14">
        <v>0</v>
      </c>
    </row>
    <row r="167" spans="1:48">
      <c r="A167" t="s">
        <v>1954</v>
      </c>
      <c r="B167" t="s">
        <v>15</v>
      </c>
      <c r="C167" t="s">
        <v>27</v>
      </c>
      <c r="D167" t="s">
        <v>20</v>
      </c>
      <c r="E167" s="14">
        <v>7702</v>
      </c>
      <c r="G167" t="s">
        <v>1954</v>
      </c>
      <c r="H167" t="s">
        <v>15</v>
      </c>
      <c r="I167" t="s">
        <v>27</v>
      </c>
      <c r="J167" t="s">
        <v>20</v>
      </c>
      <c r="K167" s="14">
        <v>16959.311300000001</v>
      </c>
      <c r="Z167" s="3"/>
      <c r="AC167"/>
      <c r="AE167" s="3"/>
      <c r="AH167" t="s">
        <v>2326</v>
      </c>
      <c r="AI167" t="s">
        <v>68</v>
      </c>
      <c r="AJ167" t="s">
        <v>66</v>
      </c>
      <c r="AK167" s="3" t="s">
        <v>115</v>
      </c>
      <c r="AL167" s="3">
        <v>3926</v>
      </c>
      <c r="AN167" t="s">
        <v>1872</v>
      </c>
      <c r="AO167" t="s">
        <v>88</v>
      </c>
      <c r="AP167" t="s">
        <v>90</v>
      </c>
      <c r="AQ167" s="3">
        <v>20726</v>
      </c>
      <c r="AS167" t="s">
        <v>2317</v>
      </c>
      <c r="AT167" t="s">
        <v>88</v>
      </c>
      <c r="AU167" t="s">
        <v>269</v>
      </c>
      <c r="AV167" s="14">
        <v>0</v>
      </c>
    </row>
    <row r="168" spans="1:48">
      <c r="A168" t="s">
        <v>1955</v>
      </c>
      <c r="B168" t="s">
        <v>15</v>
      </c>
      <c r="C168" t="s">
        <v>27</v>
      </c>
      <c r="D168" t="s">
        <v>20</v>
      </c>
      <c r="E168" s="14">
        <v>7702</v>
      </c>
      <c r="G168" t="s">
        <v>1955</v>
      </c>
      <c r="H168" t="s">
        <v>15</v>
      </c>
      <c r="I168" t="s">
        <v>27</v>
      </c>
      <c r="J168" t="s">
        <v>20</v>
      </c>
      <c r="K168" s="14">
        <v>16959.311300000001</v>
      </c>
      <c r="Z168" s="3"/>
      <c r="AC168"/>
      <c r="AE168" s="3"/>
      <c r="AH168" t="s">
        <v>2326</v>
      </c>
      <c r="AI168" t="s">
        <v>68</v>
      </c>
      <c r="AJ168" t="s">
        <v>98</v>
      </c>
      <c r="AK168" s="3" t="s">
        <v>115</v>
      </c>
      <c r="AL168" s="3">
        <v>-307.6267624889</v>
      </c>
      <c r="AN168" t="s">
        <v>1873</v>
      </c>
      <c r="AO168" t="s">
        <v>88</v>
      </c>
      <c r="AP168" t="s">
        <v>86</v>
      </c>
      <c r="AQ168" s="3">
        <v>15197.6106</v>
      </c>
      <c r="AS168" t="s">
        <v>2317</v>
      </c>
      <c r="AT168" t="s">
        <v>88</v>
      </c>
      <c r="AU168" t="s">
        <v>270</v>
      </c>
      <c r="AV168" s="14">
        <v>0</v>
      </c>
    </row>
    <row r="169" spans="1:48">
      <c r="A169" t="s">
        <v>1956</v>
      </c>
      <c r="B169" t="s">
        <v>15</v>
      </c>
      <c r="C169" t="s">
        <v>27</v>
      </c>
      <c r="D169" t="s">
        <v>20</v>
      </c>
      <c r="E169" s="14">
        <v>7762</v>
      </c>
      <c r="G169" t="s">
        <v>1956</v>
      </c>
      <c r="H169" t="s">
        <v>15</v>
      </c>
      <c r="I169" t="s">
        <v>27</v>
      </c>
      <c r="J169" t="s">
        <v>20</v>
      </c>
      <c r="K169" s="14">
        <v>16959.311300000001</v>
      </c>
      <c r="Z169" s="3"/>
      <c r="AC169"/>
      <c r="AE169" s="3"/>
      <c r="AH169" t="s">
        <v>2326</v>
      </c>
      <c r="AI169" t="s">
        <v>65</v>
      </c>
      <c r="AJ169" t="s">
        <v>66</v>
      </c>
      <c r="AK169" s="3" t="s">
        <v>27</v>
      </c>
      <c r="AL169" s="3">
        <v>37310.300000000003</v>
      </c>
      <c r="AN169" t="s">
        <v>1873</v>
      </c>
      <c r="AO169" t="s">
        <v>88</v>
      </c>
      <c r="AP169" t="s">
        <v>90</v>
      </c>
      <c r="AQ169" s="3">
        <v>20650</v>
      </c>
      <c r="AS169" t="s">
        <v>2317</v>
      </c>
      <c r="AT169" t="s">
        <v>88</v>
      </c>
      <c r="AU169" t="s">
        <v>271</v>
      </c>
      <c r="AV169" s="14">
        <v>9650</v>
      </c>
    </row>
    <row r="170" spans="1:48">
      <c r="A170" t="s">
        <v>1957</v>
      </c>
      <c r="B170" t="s">
        <v>15</v>
      </c>
      <c r="C170" t="s">
        <v>27</v>
      </c>
      <c r="D170" t="s">
        <v>20</v>
      </c>
      <c r="E170" s="14">
        <v>7402</v>
      </c>
      <c r="G170" t="s">
        <v>1957</v>
      </c>
      <c r="H170" t="s">
        <v>15</v>
      </c>
      <c r="I170" t="s">
        <v>27</v>
      </c>
      <c r="J170" t="s">
        <v>20</v>
      </c>
      <c r="K170" s="14">
        <v>16959.311300000001</v>
      </c>
      <c r="Z170" s="3"/>
      <c r="AC170"/>
      <c r="AE170" s="3"/>
      <c r="AH170" t="s">
        <v>2326</v>
      </c>
      <c r="AI170" t="s">
        <v>65</v>
      </c>
      <c r="AJ170" t="s">
        <v>72</v>
      </c>
      <c r="AK170" s="3" t="s">
        <v>27</v>
      </c>
      <c r="AL170" s="3">
        <v>37518.259337000003</v>
      </c>
      <c r="AN170" t="s">
        <v>1874</v>
      </c>
      <c r="AO170" t="s">
        <v>88</v>
      </c>
      <c r="AP170" t="s">
        <v>86</v>
      </c>
      <c r="AQ170" s="3">
        <v>15197.6106</v>
      </c>
      <c r="AS170" t="s">
        <v>2317</v>
      </c>
      <c r="AT170" t="s">
        <v>88</v>
      </c>
      <c r="AU170" t="s">
        <v>272</v>
      </c>
      <c r="AV170" s="14">
        <v>0</v>
      </c>
    </row>
    <row r="171" spans="1:48">
      <c r="A171" t="s">
        <v>1958</v>
      </c>
      <c r="B171" t="s">
        <v>15</v>
      </c>
      <c r="C171" t="s">
        <v>27</v>
      </c>
      <c r="D171" t="s">
        <v>20</v>
      </c>
      <c r="E171" s="14">
        <v>7402</v>
      </c>
      <c r="G171" t="s">
        <v>1958</v>
      </c>
      <c r="H171" t="s">
        <v>15</v>
      </c>
      <c r="I171" t="s">
        <v>27</v>
      </c>
      <c r="J171" t="s">
        <v>20</v>
      </c>
      <c r="K171" s="14">
        <v>16959.311300000001</v>
      </c>
      <c r="Z171" s="3"/>
      <c r="AC171"/>
      <c r="AE171" s="3"/>
      <c r="AH171" t="s">
        <v>2326</v>
      </c>
      <c r="AI171" t="s">
        <v>800</v>
      </c>
      <c r="AJ171" t="s">
        <v>31</v>
      </c>
      <c r="AK171" s="3" t="s">
        <v>27</v>
      </c>
      <c r="AL171" s="3">
        <v>4.0275982418999998</v>
      </c>
      <c r="AN171" t="s">
        <v>1874</v>
      </c>
      <c r="AO171" t="s">
        <v>88</v>
      </c>
      <c r="AP171" t="s">
        <v>90</v>
      </c>
      <c r="AQ171" s="3">
        <v>20276.859</v>
      </c>
      <c r="AS171" t="s">
        <v>2317</v>
      </c>
      <c r="AT171" t="s">
        <v>88</v>
      </c>
      <c r="AU171" t="s">
        <v>273</v>
      </c>
      <c r="AV171" s="14">
        <v>0</v>
      </c>
    </row>
    <row r="172" spans="1:48">
      <c r="A172" t="s">
        <v>1959</v>
      </c>
      <c r="B172" t="s">
        <v>15</v>
      </c>
      <c r="C172" t="s">
        <v>27</v>
      </c>
      <c r="D172" t="s">
        <v>20</v>
      </c>
      <c r="E172" s="14">
        <v>7202</v>
      </c>
      <c r="G172" t="s">
        <v>1959</v>
      </c>
      <c r="H172" t="s">
        <v>15</v>
      </c>
      <c r="I172" t="s">
        <v>27</v>
      </c>
      <c r="J172" t="s">
        <v>20</v>
      </c>
      <c r="K172" s="14">
        <v>16959.311300000001</v>
      </c>
      <c r="Z172" s="3"/>
      <c r="AC172"/>
      <c r="AE172" s="3"/>
      <c r="AH172" t="s">
        <v>2325</v>
      </c>
      <c r="AI172" t="s">
        <v>800</v>
      </c>
      <c r="AJ172" t="s">
        <v>31</v>
      </c>
      <c r="AK172" s="3" t="s">
        <v>27</v>
      </c>
      <c r="AL172" s="3">
        <v>4.0276989508999996</v>
      </c>
      <c r="AN172" t="s">
        <v>1875</v>
      </c>
      <c r="AO172" t="s">
        <v>88</v>
      </c>
      <c r="AP172" t="s">
        <v>86</v>
      </c>
      <c r="AQ172" s="3">
        <v>15197.6106</v>
      </c>
      <c r="AS172" t="s">
        <v>2309</v>
      </c>
      <c r="AT172" t="s">
        <v>88</v>
      </c>
      <c r="AU172" t="s">
        <v>109</v>
      </c>
      <c r="AV172" s="14">
        <v>17349.099999999999</v>
      </c>
    </row>
    <row r="173" spans="1:48">
      <c r="A173" t="s">
        <v>1960</v>
      </c>
      <c r="B173" t="s">
        <v>15</v>
      </c>
      <c r="C173" t="s">
        <v>27</v>
      </c>
      <c r="D173" t="s">
        <v>20</v>
      </c>
      <c r="E173" s="14">
        <v>7252</v>
      </c>
      <c r="G173" t="s">
        <v>1960</v>
      </c>
      <c r="H173" t="s">
        <v>15</v>
      </c>
      <c r="I173" t="s">
        <v>27</v>
      </c>
      <c r="J173" t="s">
        <v>20</v>
      </c>
      <c r="K173" s="14">
        <v>16959.311300000001</v>
      </c>
      <c r="Z173" s="3"/>
      <c r="AC173"/>
      <c r="AE173" s="3"/>
      <c r="AH173" t="s">
        <v>2325</v>
      </c>
      <c r="AI173" t="s">
        <v>65</v>
      </c>
      <c r="AJ173" t="s">
        <v>66</v>
      </c>
      <c r="AK173" s="3" t="s">
        <v>27</v>
      </c>
      <c r="AL173" s="3">
        <v>37160.300000000003</v>
      </c>
      <c r="AN173" t="s">
        <v>1875</v>
      </c>
      <c r="AO173" t="s">
        <v>88</v>
      </c>
      <c r="AP173" t="s">
        <v>90</v>
      </c>
      <c r="AQ173" s="3">
        <v>17816.859</v>
      </c>
      <c r="AS173" t="s">
        <v>2309</v>
      </c>
      <c r="AT173" t="s">
        <v>88</v>
      </c>
      <c r="AU173" t="s">
        <v>110</v>
      </c>
      <c r="AV173" s="14">
        <v>397.61059999999998</v>
      </c>
    </row>
    <row r="174" spans="1:48">
      <c r="A174" t="s">
        <v>1961</v>
      </c>
      <c r="B174" t="s">
        <v>15</v>
      </c>
      <c r="C174" t="s">
        <v>27</v>
      </c>
      <c r="D174" t="s">
        <v>20</v>
      </c>
      <c r="E174" s="14">
        <v>7552</v>
      </c>
      <c r="G174" t="s">
        <v>1961</v>
      </c>
      <c r="H174" t="s">
        <v>15</v>
      </c>
      <c r="I174" t="s">
        <v>27</v>
      </c>
      <c r="J174" t="s">
        <v>20</v>
      </c>
      <c r="K174" s="14">
        <v>16959.311300000001</v>
      </c>
      <c r="Z174" s="3"/>
      <c r="AC174"/>
      <c r="AE174" s="3"/>
      <c r="AH174" t="s">
        <v>2325</v>
      </c>
      <c r="AI174" t="s">
        <v>65</v>
      </c>
      <c r="AJ174" t="s">
        <v>72</v>
      </c>
      <c r="AK174" s="3" t="s">
        <v>27</v>
      </c>
      <c r="AL174" s="3">
        <v>37382.082537000002</v>
      </c>
      <c r="AN174" t="s">
        <v>1876</v>
      </c>
      <c r="AO174" t="s">
        <v>88</v>
      </c>
      <c r="AP174" t="s">
        <v>90</v>
      </c>
      <c r="AQ174" s="3">
        <v>20266.7906</v>
      </c>
      <c r="AS174" t="s">
        <v>2309</v>
      </c>
      <c r="AT174" t="s">
        <v>88</v>
      </c>
      <c r="AU174" t="s">
        <v>111</v>
      </c>
      <c r="AV174" s="14">
        <v>12000</v>
      </c>
    </row>
    <row r="175" spans="1:48">
      <c r="A175" t="s">
        <v>1962</v>
      </c>
      <c r="B175" t="s">
        <v>15</v>
      </c>
      <c r="C175" t="s">
        <v>27</v>
      </c>
      <c r="D175" t="s">
        <v>20</v>
      </c>
      <c r="E175" s="14">
        <v>7602</v>
      </c>
      <c r="G175" t="s">
        <v>1962</v>
      </c>
      <c r="H175" t="s">
        <v>15</v>
      </c>
      <c r="I175" t="s">
        <v>27</v>
      </c>
      <c r="J175" t="s">
        <v>20</v>
      </c>
      <c r="K175" s="14">
        <v>16959.311300000001</v>
      </c>
      <c r="Z175" s="3"/>
      <c r="AC175"/>
      <c r="AE175" s="3"/>
      <c r="AH175" t="s">
        <v>2325</v>
      </c>
      <c r="AI175" t="s">
        <v>65</v>
      </c>
      <c r="AJ175" t="s">
        <v>113</v>
      </c>
      <c r="AK175" s="3" t="s">
        <v>27</v>
      </c>
      <c r="AL175" s="3">
        <v>1844.9730483344999</v>
      </c>
      <c r="AN175" t="s">
        <v>1876</v>
      </c>
      <c r="AO175" t="s">
        <v>88</v>
      </c>
      <c r="AP175" t="s">
        <v>86</v>
      </c>
      <c r="AQ175" s="3">
        <v>15197.6106</v>
      </c>
      <c r="AS175" t="s">
        <v>2309</v>
      </c>
      <c r="AT175" t="s">
        <v>88</v>
      </c>
      <c r="AU175" t="s">
        <v>268</v>
      </c>
      <c r="AV175" s="14">
        <v>0</v>
      </c>
    </row>
    <row r="176" spans="1:48">
      <c r="A176" t="s">
        <v>1963</v>
      </c>
      <c r="B176" t="s">
        <v>15</v>
      </c>
      <c r="C176" t="s">
        <v>27</v>
      </c>
      <c r="D176" t="s">
        <v>20</v>
      </c>
      <c r="E176" s="14">
        <v>7962</v>
      </c>
      <c r="G176" t="s">
        <v>1963</v>
      </c>
      <c r="H176" t="s">
        <v>15</v>
      </c>
      <c r="I176" t="s">
        <v>27</v>
      </c>
      <c r="J176" t="s">
        <v>20</v>
      </c>
      <c r="K176" s="14">
        <v>16959.311300000001</v>
      </c>
      <c r="Z176" s="3"/>
      <c r="AC176"/>
      <c r="AE176" s="3"/>
      <c r="AH176" t="s">
        <v>2325</v>
      </c>
      <c r="AI176" t="s">
        <v>65</v>
      </c>
      <c r="AJ176" t="s">
        <v>108</v>
      </c>
      <c r="AK176" s="3" t="s">
        <v>27</v>
      </c>
      <c r="AL176" s="3">
        <v>-1623.1905113344999</v>
      </c>
      <c r="AN176" t="s">
        <v>1877</v>
      </c>
      <c r="AO176" t="s">
        <v>88</v>
      </c>
      <c r="AP176" t="s">
        <v>86</v>
      </c>
      <c r="AQ176" s="3">
        <v>14197.6106</v>
      </c>
      <c r="AS176" t="s">
        <v>2309</v>
      </c>
      <c r="AT176" t="s">
        <v>88</v>
      </c>
      <c r="AU176" t="s">
        <v>269</v>
      </c>
      <c r="AV176" s="14">
        <v>0</v>
      </c>
    </row>
    <row r="177" spans="1:48">
      <c r="A177" t="s">
        <v>1964</v>
      </c>
      <c r="B177" t="s">
        <v>15</v>
      </c>
      <c r="C177" t="s">
        <v>27</v>
      </c>
      <c r="D177" t="s">
        <v>20</v>
      </c>
      <c r="E177" s="14">
        <v>7962</v>
      </c>
      <c r="G177" t="s">
        <v>1964</v>
      </c>
      <c r="H177" t="s">
        <v>15</v>
      </c>
      <c r="I177" t="s">
        <v>27</v>
      </c>
      <c r="J177" t="s">
        <v>20</v>
      </c>
      <c r="K177" s="14">
        <v>16959.311300000001</v>
      </c>
      <c r="Z177" s="3"/>
      <c r="AC177"/>
      <c r="AE177" s="3"/>
      <c r="AH177" t="s">
        <v>2325</v>
      </c>
      <c r="AI177" t="s">
        <v>65</v>
      </c>
      <c r="AJ177" t="s">
        <v>98</v>
      </c>
      <c r="AK177" s="3" t="s">
        <v>27</v>
      </c>
      <c r="AL177" s="3">
        <v>-1623.1905113344999</v>
      </c>
      <c r="AN177" t="s">
        <v>1877</v>
      </c>
      <c r="AO177" t="s">
        <v>88</v>
      </c>
      <c r="AP177" t="s">
        <v>90</v>
      </c>
      <c r="AQ177" s="3">
        <v>19916.7906</v>
      </c>
      <c r="AS177" t="s">
        <v>2309</v>
      </c>
      <c r="AT177" t="s">
        <v>88</v>
      </c>
      <c r="AU177" t="s">
        <v>270</v>
      </c>
      <c r="AV177" s="14">
        <v>0</v>
      </c>
    </row>
    <row r="178" spans="1:48">
      <c r="A178" t="s">
        <v>1965</v>
      </c>
      <c r="B178" t="s">
        <v>15</v>
      </c>
      <c r="C178" t="s">
        <v>27</v>
      </c>
      <c r="D178" t="s">
        <v>20</v>
      </c>
      <c r="E178" s="14">
        <v>7862</v>
      </c>
      <c r="G178" t="s">
        <v>1965</v>
      </c>
      <c r="H178" t="s">
        <v>15</v>
      </c>
      <c r="I178" t="s">
        <v>27</v>
      </c>
      <c r="J178" t="s">
        <v>20</v>
      </c>
      <c r="K178" s="14">
        <v>16959.311300000001</v>
      </c>
      <c r="Z178" s="3"/>
      <c r="AC178"/>
      <c r="AE178" s="3"/>
      <c r="AH178" t="s">
        <v>2325</v>
      </c>
      <c r="AI178" t="s">
        <v>67</v>
      </c>
      <c r="AJ178" t="s">
        <v>66</v>
      </c>
      <c r="AK178" s="3" t="s">
        <v>27</v>
      </c>
      <c r="AL178" s="3">
        <v>-21694.7</v>
      </c>
      <c r="AN178" t="s">
        <v>1878</v>
      </c>
      <c r="AO178" t="s">
        <v>88</v>
      </c>
      <c r="AP178" t="s">
        <v>86</v>
      </c>
      <c r="AQ178" s="3">
        <v>14197.6106</v>
      </c>
      <c r="AS178" t="s">
        <v>2309</v>
      </c>
      <c r="AT178" t="s">
        <v>88</v>
      </c>
      <c r="AU178" t="s">
        <v>271</v>
      </c>
      <c r="AV178" s="14">
        <v>10850</v>
      </c>
    </row>
    <row r="179" spans="1:48">
      <c r="A179" t="s">
        <v>1966</v>
      </c>
      <c r="B179" t="s">
        <v>15</v>
      </c>
      <c r="C179" t="s">
        <v>27</v>
      </c>
      <c r="D179" t="s">
        <v>20</v>
      </c>
      <c r="E179" s="14">
        <v>7762</v>
      </c>
      <c r="G179" t="s">
        <v>1966</v>
      </c>
      <c r="H179" t="s">
        <v>15</v>
      </c>
      <c r="I179" t="s">
        <v>27</v>
      </c>
      <c r="J179" t="s">
        <v>20</v>
      </c>
      <c r="K179" s="14">
        <v>16959.311300000001</v>
      </c>
      <c r="Z179" s="3"/>
      <c r="AC179"/>
      <c r="AE179" s="3"/>
      <c r="AH179" t="s">
        <v>2325</v>
      </c>
      <c r="AI179" t="s">
        <v>67</v>
      </c>
      <c r="AJ179" t="s">
        <v>72</v>
      </c>
      <c r="AK179" s="3" t="s">
        <v>27</v>
      </c>
      <c r="AL179" s="3">
        <v>-23295.783812999998</v>
      </c>
      <c r="AN179" t="s">
        <v>1878</v>
      </c>
      <c r="AO179" t="s">
        <v>88</v>
      </c>
      <c r="AP179" t="s">
        <v>90</v>
      </c>
      <c r="AQ179" s="3">
        <v>19195.883999999998</v>
      </c>
      <c r="AS179" t="s">
        <v>2309</v>
      </c>
      <c r="AT179" t="s">
        <v>88</v>
      </c>
      <c r="AU179" t="s">
        <v>272</v>
      </c>
      <c r="AV179" s="14">
        <v>0</v>
      </c>
    </row>
    <row r="180" spans="1:48">
      <c r="A180" t="s">
        <v>1967</v>
      </c>
      <c r="B180" t="s">
        <v>15</v>
      </c>
      <c r="C180" t="s">
        <v>27</v>
      </c>
      <c r="D180" t="s">
        <v>20</v>
      </c>
      <c r="E180" s="14">
        <v>7912</v>
      </c>
      <c r="G180" t="s">
        <v>1967</v>
      </c>
      <c r="H180" t="s">
        <v>15</v>
      </c>
      <c r="I180" t="s">
        <v>27</v>
      </c>
      <c r="J180" t="s">
        <v>20</v>
      </c>
      <c r="K180" s="14">
        <v>16959.311300000001</v>
      </c>
      <c r="Z180" s="3"/>
      <c r="AC180"/>
      <c r="AE180" s="3"/>
      <c r="AH180" t="s">
        <v>2325</v>
      </c>
      <c r="AI180" t="s">
        <v>67</v>
      </c>
      <c r="AJ180" t="s">
        <v>113</v>
      </c>
      <c r="AK180" s="3" t="s">
        <v>27</v>
      </c>
      <c r="AL180" s="3">
        <v>-1664.7438602699001</v>
      </c>
      <c r="AN180" t="s">
        <v>1879</v>
      </c>
      <c r="AO180" t="s">
        <v>88</v>
      </c>
      <c r="AP180" t="s">
        <v>86</v>
      </c>
      <c r="AQ180" s="3">
        <v>14197.6106</v>
      </c>
      <c r="AS180" t="s">
        <v>2309</v>
      </c>
      <c r="AT180" t="s">
        <v>88</v>
      </c>
      <c r="AU180" t="s">
        <v>273</v>
      </c>
      <c r="AV180" s="14">
        <v>0</v>
      </c>
    </row>
    <row r="181" spans="1:48">
      <c r="A181" t="s">
        <v>1968</v>
      </c>
      <c r="B181" t="s">
        <v>15</v>
      </c>
      <c r="C181" t="s">
        <v>27</v>
      </c>
      <c r="D181" t="s">
        <v>20</v>
      </c>
      <c r="E181" s="14">
        <v>8662</v>
      </c>
      <c r="G181" t="s">
        <v>1968</v>
      </c>
      <c r="H181" t="s">
        <v>15</v>
      </c>
      <c r="I181" t="s">
        <v>27</v>
      </c>
      <c r="J181" t="s">
        <v>20</v>
      </c>
      <c r="K181" s="14">
        <v>16959.311300000001</v>
      </c>
      <c r="Z181" s="3"/>
      <c r="AC181"/>
      <c r="AE181" s="3"/>
      <c r="AH181" t="s">
        <v>2325</v>
      </c>
      <c r="AI181" t="s">
        <v>67</v>
      </c>
      <c r="AJ181" t="s">
        <v>108</v>
      </c>
      <c r="AK181" s="3" t="s">
        <v>27</v>
      </c>
      <c r="AL181" s="3">
        <v>63.660047269899998</v>
      </c>
      <c r="AN181" t="s">
        <v>1879</v>
      </c>
      <c r="AO181" t="s">
        <v>88</v>
      </c>
      <c r="AP181" t="s">
        <v>90</v>
      </c>
      <c r="AQ181" s="3">
        <v>18650.883999999998</v>
      </c>
      <c r="AS181" t="s">
        <v>2309</v>
      </c>
      <c r="AT181" t="s">
        <v>196</v>
      </c>
      <c r="AU181" t="s">
        <v>197</v>
      </c>
      <c r="AV181" s="14">
        <v>7.6539366973660199</v>
      </c>
    </row>
    <row r="182" spans="1:48">
      <c r="A182" t="s">
        <v>1969</v>
      </c>
      <c r="B182" t="s">
        <v>15</v>
      </c>
      <c r="C182" t="s">
        <v>27</v>
      </c>
      <c r="D182" t="s">
        <v>20</v>
      </c>
      <c r="E182" s="14">
        <v>9112</v>
      </c>
      <c r="G182" t="s">
        <v>1969</v>
      </c>
      <c r="H182" t="s">
        <v>15</v>
      </c>
      <c r="I182" t="s">
        <v>27</v>
      </c>
      <c r="J182" t="s">
        <v>20</v>
      </c>
      <c r="K182" s="14">
        <v>16959.311300000001</v>
      </c>
      <c r="Z182" s="3"/>
      <c r="AC182"/>
      <c r="AE182" s="3"/>
      <c r="AH182" t="s">
        <v>2325</v>
      </c>
      <c r="AI182" t="s">
        <v>67</v>
      </c>
      <c r="AJ182" t="s">
        <v>98</v>
      </c>
      <c r="AK182" s="3" t="s">
        <v>27</v>
      </c>
      <c r="AL182" s="3">
        <v>63.660047269899998</v>
      </c>
      <c r="AN182" t="s">
        <v>1880</v>
      </c>
      <c r="AO182" t="s">
        <v>88</v>
      </c>
      <c r="AP182" t="s">
        <v>86</v>
      </c>
      <c r="AQ182" s="3">
        <v>14197.6106</v>
      </c>
      <c r="AS182" t="s">
        <v>2309</v>
      </c>
      <c r="AT182" t="s">
        <v>196</v>
      </c>
      <c r="AU182" t="s">
        <v>109</v>
      </c>
      <c r="AV182" s="14">
        <v>6.8323657005050604</v>
      </c>
    </row>
    <row r="183" spans="1:48">
      <c r="A183" t="s">
        <v>1970</v>
      </c>
      <c r="B183" t="s">
        <v>15</v>
      </c>
      <c r="C183" t="s">
        <v>27</v>
      </c>
      <c r="D183" t="s">
        <v>20</v>
      </c>
      <c r="E183" s="14">
        <v>9012</v>
      </c>
      <c r="G183" t="s">
        <v>1970</v>
      </c>
      <c r="H183" t="s">
        <v>15</v>
      </c>
      <c r="I183" t="s">
        <v>27</v>
      </c>
      <c r="J183" t="s">
        <v>20</v>
      </c>
      <c r="K183" s="14">
        <v>16959.311300000001</v>
      </c>
      <c r="Z183" s="3"/>
      <c r="AC183"/>
      <c r="AE183" s="3"/>
      <c r="AH183" t="s">
        <v>2325</v>
      </c>
      <c r="AI183" t="s">
        <v>67</v>
      </c>
      <c r="AJ183" t="s">
        <v>66</v>
      </c>
      <c r="AK183" s="3" t="s">
        <v>114</v>
      </c>
      <c r="AL183" s="3">
        <v>150</v>
      </c>
      <c r="AN183" t="s">
        <v>1880</v>
      </c>
      <c r="AO183" t="s">
        <v>88</v>
      </c>
      <c r="AP183" t="s">
        <v>90</v>
      </c>
      <c r="AQ183" s="3">
        <v>18180.205900000001</v>
      </c>
      <c r="AS183" t="s">
        <v>2309</v>
      </c>
      <c r="AT183" t="s">
        <v>196</v>
      </c>
      <c r="AU183" t="s">
        <v>198</v>
      </c>
      <c r="AV183" s="14">
        <v>7.3014446417151602</v>
      </c>
    </row>
    <row r="184" spans="1:48">
      <c r="A184" t="s">
        <v>1971</v>
      </c>
      <c r="B184" t="s">
        <v>15</v>
      </c>
      <c r="C184" t="s">
        <v>27</v>
      </c>
      <c r="D184" t="s">
        <v>20</v>
      </c>
      <c r="E184" s="14">
        <v>8762</v>
      </c>
      <c r="G184" t="s">
        <v>1971</v>
      </c>
      <c r="H184" t="s">
        <v>15</v>
      </c>
      <c r="I184" t="s">
        <v>27</v>
      </c>
      <c r="J184" t="s">
        <v>20</v>
      </c>
      <c r="K184" s="14">
        <v>16959.311300000001</v>
      </c>
      <c r="Z184" s="3"/>
      <c r="AC184"/>
      <c r="AE184" s="3"/>
      <c r="AH184" t="s">
        <v>2325</v>
      </c>
      <c r="AI184" t="s">
        <v>67</v>
      </c>
      <c r="AJ184" t="s">
        <v>98</v>
      </c>
      <c r="AK184" s="3" t="s">
        <v>114</v>
      </c>
      <c r="AL184" s="3">
        <v>-16.144910958899999</v>
      </c>
      <c r="AN184" t="s">
        <v>1881</v>
      </c>
      <c r="AO184" t="s">
        <v>88</v>
      </c>
      <c r="AP184" t="s">
        <v>86</v>
      </c>
      <c r="AQ184" s="3">
        <v>14197.6106</v>
      </c>
      <c r="AS184" t="s">
        <v>2308</v>
      </c>
      <c r="AT184" t="s">
        <v>88</v>
      </c>
      <c r="AU184" t="s">
        <v>109</v>
      </c>
      <c r="AV184" s="14">
        <v>17849.099999999999</v>
      </c>
    </row>
    <row r="185" spans="1:48">
      <c r="A185" t="s">
        <v>2054</v>
      </c>
      <c r="B185" t="s">
        <v>15</v>
      </c>
      <c r="C185" t="s">
        <v>27</v>
      </c>
      <c r="D185" t="s">
        <v>20</v>
      </c>
      <c r="E185" s="14">
        <v>8762</v>
      </c>
      <c r="G185" t="s">
        <v>2054</v>
      </c>
      <c r="H185" t="s">
        <v>15</v>
      </c>
      <c r="I185" t="s">
        <v>27</v>
      </c>
      <c r="J185" t="s">
        <v>20</v>
      </c>
      <c r="K185" s="14">
        <v>16959.311300000001</v>
      </c>
      <c r="Z185" s="3"/>
      <c r="AC185"/>
      <c r="AE185" s="3"/>
      <c r="AH185" t="s">
        <v>2325</v>
      </c>
      <c r="AI185" t="s">
        <v>67</v>
      </c>
      <c r="AJ185" t="s">
        <v>66</v>
      </c>
      <c r="AK185" s="3" t="s">
        <v>115</v>
      </c>
      <c r="AL185" s="3">
        <v>21844.7</v>
      </c>
      <c r="AN185" t="s">
        <v>1881</v>
      </c>
      <c r="AO185" t="s">
        <v>88</v>
      </c>
      <c r="AP185" t="s">
        <v>90</v>
      </c>
      <c r="AQ185" s="3">
        <v>20775.535100000001</v>
      </c>
      <c r="AS185" t="s">
        <v>2308</v>
      </c>
      <c r="AT185" t="s">
        <v>88</v>
      </c>
      <c r="AU185" t="s">
        <v>110</v>
      </c>
      <c r="AV185" s="14">
        <v>397.61059999999998</v>
      </c>
    </row>
    <row r="186" spans="1:48">
      <c r="A186" t="s">
        <v>2055</v>
      </c>
      <c r="B186" t="s">
        <v>15</v>
      </c>
      <c r="C186" t="s">
        <v>27</v>
      </c>
      <c r="D186" t="s">
        <v>20</v>
      </c>
      <c r="E186" s="14">
        <v>8762</v>
      </c>
      <c r="G186" t="s">
        <v>2055</v>
      </c>
      <c r="H186" t="s">
        <v>15</v>
      </c>
      <c r="I186" t="s">
        <v>27</v>
      </c>
      <c r="J186" t="s">
        <v>20</v>
      </c>
      <c r="K186" s="14">
        <v>16959.311300000001</v>
      </c>
      <c r="Z186" s="3"/>
      <c r="AC186"/>
      <c r="AE186" s="3"/>
      <c r="AH186" t="s">
        <v>2325</v>
      </c>
      <c r="AI186" t="s">
        <v>67</v>
      </c>
      <c r="AJ186" t="s">
        <v>98</v>
      </c>
      <c r="AK186" s="3" t="s">
        <v>115</v>
      </c>
      <c r="AL186" s="3">
        <v>-79.804958228800004</v>
      </c>
      <c r="AN186" t="s">
        <v>1882</v>
      </c>
      <c r="AO186" t="s">
        <v>88</v>
      </c>
      <c r="AP186" t="s">
        <v>86</v>
      </c>
      <c r="AQ186" s="3">
        <v>14197.6106</v>
      </c>
      <c r="AS186" t="s">
        <v>2308</v>
      </c>
      <c r="AT186" t="s">
        <v>88</v>
      </c>
      <c r="AU186" t="s">
        <v>111</v>
      </c>
      <c r="AV186" s="14">
        <v>12000</v>
      </c>
    </row>
    <row r="187" spans="1:48">
      <c r="A187" t="s">
        <v>2056</v>
      </c>
      <c r="B187" t="s">
        <v>15</v>
      </c>
      <c r="C187" t="s">
        <v>27</v>
      </c>
      <c r="D187" t="s">
        <v>20</v>
      </c>
      <c r="E187" s="14">
        <v>8762</v>
      </c>
      <c r="G187" t="s">
        <v>2056</v>
      </c>
      <c r="H187" t="s">
        <v>15</v>
      </c>
      <c r="I187" t="s">
        <v>27</v>
      </c>
      <c r="J187" t="s">
        <v>20</v>
      </c>
      <c r="K187" s="14">
        <v>16959.311300000001</v>
      </c>
      <c r="Z187" s="3"/>
      <c r="AC187"/>
      <c r="AE187" s="3"/>
      <c r="AH187" t="s">
        <v>2325</v>
      </c>
      <c r="AI187" t="s">
        <v>68</v>
      </c>
      <c r="AJ187" t="s">
        <v>66</v>
      </c>
      <c r="AK187" s="3" t="s">
        <v>27</v>
      </c>
      <c r="AL187" s="3">
        <v>2047.4</v>
      </c>
      <c r="AN187" t="s">
        <v>1882</v>
      </c>
      <c r="AO187" t="s">
        <v>88</v>
      </c>
      <c r="AP187" t="s">
        <v>90</v>
      </c>
      <c r="AQ187" s="3">
        <v>17860.735100000002</v>
      </c>
      <c r="AS187" t="s">
        <v>2308</v>
      </c>
      <c r="AT187" t="s">
        <v>88</v>
      </c>
      <c r="AU187" t="s">
        <v>268</v>
      </c>
      <c r="AV187" s="14">
        <v>0</v>
      </c>
    </row>
    <row r="188" spans="1:48">
      <c r="A188" t="s">
        <v>2057</v>
      </c>
      <c r="B188" t="s">
        <v>15</v>
      </c>
      <c r="C188" t="s">
        <v>27</v>
      </c>
      <c r="D188" t="s">
        <v>20</v>
      </c>
      <c r="E188" s="14">
        <v>8912</v>
      </c>
      <c r="G188" t="s">
        <v>2057</v>
      </c>
      <c r="H188" t="s">
        <v>15</v>
      </c>
      <c r="I188" t="s">
        <v>27</v>
      </c>
      <c r="J188" t="s">
        <v>20</v>
      </c>
      <c r="K188" s="14">
        <v>16959.311300000001</v>
      </c>
      <c r="Z188" s="3"/>
      <c r="AC188"/>
      <c r="AE188" s="3"/>
      <c r="AH188" t="s">
        <v>2325</v>
      </c>
      <c r="AI188" t="s">
        <v>68</v>
      </c>
      <c r="AJ188" t="s">
        <v>72</v>
      </c>
      <c r="AK188" s="3" t="s">
        <v>27</v>
      </c>
      <c r="AL188" s="3">
        <v>1911.609686</v>
      </c>
      <c r="AN188" t="s">
        <v>1883</v>
      </c>
      <c r="AO188" t="s">
        <v>88</v>
      </c>
      <c r="AP188" t="s">
        <v>86</v>
      </c>
      <c r="AQ188" s="3">
        <v>14197.6106</v>
      </c>
      <c r="AS188" t="s">
        <v>2308</v>
      </c>
      <c r="AT188" t="s">
        <v>88</v>
      </c>
      <c r="AU188" t="s">
        <v>269</v>
      </c>
      <c r="AV188" s="14">
        <v>0</v>
      </c>
    </row>
    <row r="189" spans="1:48">
      <c r="A189" t="s">
        <v>2058</v>
      </c>
      <c r="B189" t="s">
        <v>15</v>
      </c>
      <c r="C189" t="s">
        <v>27</v>
      </c>
      <c r="D189" t="s">
        <v>20</v>
      </c>
      <c r="E189" s="14">
        <v>8912</v>
      </c>
      <c r="G189" t="s">
        <v>2058</v>
      </c>
      <c r="H189" t="s">
        <v>15</v>
      </c>
      <c r="I189" t="s">
        <v>27</v>
      </c>
      <c r="J189" t="s">
        <v>20</v>
      </c>
      <c r="K189" s="14">
        <v>16959.311300000001</v>
      </c>
      <c r="Z189" s="3"/>
      <c r="AC189"/>
      <c r="AE189" s="3"/>
      <c r="AH189" t="s">
        <v>2325</v>
      </c>
      <c r="AI189" t="s">
        <v>68</v>
      </c>
      <c r="AJ189" t="s">
        <v>113</v>
      </c>
      <c r="AK189" s="3" t="s">
        <v>27</v>
      </c>
      <c r="AL189" s="3">
        <v>-58.101908081700003</v>
      </c>
      <c r="AN189" t="s">
        <v>1883</v>
      </c>
      <c r="AO189" t="s">
        <v>88</v>
      </c>
      <c r="AP189" t="s">
        <v>90</v>
      </c>
      <c r="AQ189" s="3">
        <v>19860.735100000002</v>
      </c>
      <c r="AS189" t="s">
        <v>2308</v>
      </c>
      <c r="AT189" t="s">
        <v>88</v>
      </c>
      <c r="AU189" t="s">
        <v>270</v>
      </c>
      <c r="AV189" s="14">
        <v>0</v>
      </c>
    </row>
    <row r="190" spans="1:48">
      <c r="A190" t="s">
        <v>2059</v>
      </c>
      <c r="B190" t="s">
        <v>15</v>
      </c>
      <c r="C190" t="s">
        <v>27</v>
      </c>
      <c r="D190" t="s">
        <v>20</v>
      </c>
      <c r="E190" s="14">
        <v>8862</v>
      </c>
      <c r="G190" t="s">
        <v>2059</v>
      </c>
      <c r="H190" t="s">
        <v>15</v>
      </c>
      <c r="I190" t="s">
        <v>27</v>
      </c>
      <c r="J190" t="s">
        <v>20</v>
      </c>
      <c r="K190" s="14">
        <v>16959.311300000001</v>
      </c>
      <c r="Z190" s="3"/>
      <c r="AC190"/>
      <c r="AE190" s="3"/>
      <c r="AH190" t="s">
        <v>2325</v>
      </c>
      <c r="AI190" t="s">
        <v>68</v>
      </c>
      <c r="AJ190" t="s">
        <v>108</v>
      </c>
      <c r="AK190" s="3" t="s">
        <v>27</v>
      </c>
      <c r="AL190" s="3">
        <v>-77.688405918300006</v>
      </c>
      <c r="AN190" t="s">
        <v>1884</v>
      </c>
      <c r="AO190" t="s">
        <v>88</v>
      </c>
      <c r="AP190" t="s">
        <v>86</v>
      </c>
      <c r="AQ190" s="3">
        <v>14197.6106</v>
      </c>
      <c r="AS190" t="s">
        <v>2308</v>
      </c>
      <c r="AT190" t="s">
        <v>88</v>
      </c>
      <c r="AU190" t="s">
        <v>271</v>
      </c>
      <c r="AV190" s="14">
        <v>9350</v>
      </c>
    </row>
    <row r="191" spans="1:48">
      <c r="A191" t="s">
        <v>2060</v>
      </c>
      <c r="B191" t="s">
        <v>15</v>
      </c>
      <c r="C191" t="s">
        <v>27</v>
      </c>
      <c r="D191" t="s">
        <v>20</v>
      </c>
      <c r="E191" s="14">
        <v>8862</v>
      </c>
      <c r="G191" t="s">
        <v>2060</v>
      </c>
      <c r="H191" t="s">
        <v>15</v>
      </c>
      <c r="I191" t="s">
        <v>27</v>
      </c>
      <c r="J191" t="s">
        <v>20</v>
      </c>
      <c r="K191" s="14">
        <v>16959.311300000001</v>
      </c>
      <c r="Z191" s="3"/>
      <c r="AC191"/>
      <c r="AE191" s="3"/>
      <c r="AH191" t="s">
        <v>2325</v>
      </c>
      <c r="AI191" t="s">
        <v>68</v>
      </c>
      <c r="AJ191" t="s">
        <v>98</v>
      </c>
      <c r="AK191" s="3" t="s">
        <v>27</v>
      </c>
      <c r="AL191" s="3">
        <v>-77.688405918300006</v>
      </c>
      <c r="AN191" t="s">
        <v>1884</v>
      </c>
      <c r="AO191" t="s">
        <v>88</v>
      </c>
      <c r="AP191" t="s">
        <v>90</v>
      </c>
      <c r="AQ191" s="3">
        <v>16460.735100000002</v>
      </c>
      <c r="AS191" t="s">
        <v>2308</v>
      </c>
      <c r="AT191" t="s">
        <v>88</v>
      </c>
      <c r="AU191" t="s">
        <v>272</v>
      </c>
      <c r="AV191" s="14">
        <v>0</v>
      </c>
    </row>
    <row r="192" spans="1:48">
      <c r="A192" t="s">
        <v>2061</v>
      </c>
      <c r="B192" t="s">
        <v>15</v>
      </c>
      <c r="C192" t="s">
        <v>27</v>
      </c>
      <c r="D192" t="s">
        <v>20</v>
      </c>
      <c r="E192" s="14">
        <v>8862</v>
      </c>
      <c r="G192" t="s">
        <v>2061</v>
      </c>
      <c r="H192" t="s">
        <v>15</v>
      </c>
      <c r="I192" t="s">
        <v>27</v>
      </c>
      <c r="J192" t="s">
        <v>20</v>
      </c>
      <c r="K192" s="14">
        <v>16959.311300000001</v>
      </c>
      <c r="Z192" s="3"/>
      <c r="AC192"/>
      <c r="AE192" s="3"/>
      <c r="AH192" t="s">
        <v>2325</v>
      </c>
      <c r="AI192" t="s">
        <v>68</v>
      </c>
      <c r="AJ192" t="s">
        <v>66</v>
      </c>
      <c r="AK192" s="3" t="s">
        <v>114</v>
      </c>
      <c r="AL192" s="3">
        <v>7753.4</v>
      </c>
      <c r="AN192" t="s">
        <v>1885</v>
      </c>
      <c r="AO192" t="s">
        <v>88</v>
      </c>
      <c r="AP192" t="s">
        <v>86</v>
      </c>
      <c r="AQ192" s="3">
        <v>14197.6106</v>
      </c>
      <c r="AS192" t="s">
        <v>2308</v>
      </c>
      <c r="AT192" t="s">
        <v>88</v>
      </c>
      <c r="AU192" t="s">
        <v>273</v>
      </c>
      <c r="AV192" s="14">
        <v>0</v>
      </c>
    </row>
    <row r="193" spans="1:48">
      <c r="A193" t="s">
        <v>2062</v>
      </c>
      <c r="B193" t="s">
        <v>15</v>
      </c>
      <c r="C193" t="s">
        <v>27</v>
      </c>
      <c r="D193" t="s">
        <v>20</v>
      </c>
      <c r="E193" s="14">
        <v>8862</v>
      </c>
      <c r="G193" t="s">
        <v>2062</v>
      </c>
      <c r="H193" t="s">
        <v>15</v>
      </c>
      <c r="I193" t="s">
        <v>27</v>
      </c>
      <c r="J193" t="s">
        <v>20</v>
      </c>
      <c r="K193" s="14">
        <v>16959.311300000001</v>
      </c>
      <c r="Z193" s="3"/>
      <c r="AC193"/>
      <c r="AE193" s="3"/>
      <c r="AH193" t="s">
        <v>2325</v>
      </c>
      <c r="AI193" t="s">
        <v>68</v>
      </c>
      <c r="AJ193" t="s">
        <v>98</v>
      </c>
      <c r="AK193" s="3" t="s">
        <v>114</v>
      </c>
      <c r="AL193" s="3">
        <v>-528.30113800000004</v>
      </c>
      <c r="AN193" t="s">
        <v>1885</v>
      </c>
      <c r="AO193" t="s">
        <v>88</v>
      </c>
      <c r="AP193" t="s">
        <v>90</v>
      </c>
      <c r="AQ193" s="3">
        <v>14460.7351</v>
      </c>
      <c r="AS193" t="s">
        <v>2308</v>
      </c>
      <c r="AT193" t="s">
        <v>196</v>
      </c>
      <c r="AU193" t="s">
        <v>197</v>
      </c>
      <c r="AV193" s="14">
        <v>7.6534376171327301</v>
      </c>
    </row>
    <row r="194" spans="1:48">
      <c r="A194" t="s">
        <v>2063</v>
      </c>
      <c r="B194" t="s">
        <v>15</v>
      </c>
      <c r="C194" t="s">
        <v>27</v>
      </c>
      <c r="D194" t="s">
        <v>20</v>
      </c>
      <c r="E194" s="14">
        <v>8862</v>
      </c>
      <c r="G194" t="s">
        <v>2063</v>
      </c>
      <c r="H194" t="s">
        <v>15</v>
      </c>
      <c r="I194" t="s">
        <v>27</v>
      </c>
      <c r="J194" t="s">
        <v>20</v>
      </c>
      <c r="K194" s="14">
        <v>16959.311300000001</v>
      </c>
      <c r="Z194" s="3"/>
      <c r="AC194"/>
      <c r="AE194" s="3"/>
      <c r="AH194" t="s">
        <v>2325</v>
      </c>
      <c r="AI194" t="s">
        <v>68</v>
      </c>
      <c r="AJ194" t="s">
        <v>66</v>
      </c>
      <c r="AK194" s="3" t="s">
        <v>115</v>
      </c>
      <c r="AL194" s="3">
        <v>5706</v>
      </c>
      <c r="AN194" t="s">
        <v>1886</v>
      </c>
      <c r="AO194" t="s">
        <v>88</v>
      </c>
      <c r="AP194" t="s">
        <v>86</v>
      </c>
      <c r="AQ194" s="3">
        <v>14197.6106</v>
      </c>
      <c r="AS194" t="s">
        <v>2308</v>
      </c>
      <c r="AT194" t="s">
        <v>196</v>
      </c>
      <c r="AU194" t="s">
        <v>109</v>
      </c>
      <c r="AV194" s="14">
        <v>6.8237326503880702</v>
      </c>
    </row>
    <row r="195" spans="1:48">
      <c r="A195" t="s">
        <v>2064</v>
      </c>
      <c r="B195" t="s">
        <v>15</v>
      </c>
      <c r="C195" t="s">
        <v>27</v>
      </c>
      <c r="D195" t="s">
        <v>20</v>
      </c>
      <c r="E195" s="14">
        <v>8862</v>
      </c>
      <c r="G195" t="s">
        <v>2064</v>
      </c>
      <c r="H195" t="s">
        <v>15</v>
      </c>
      <c r="I195" t="s">
        <v>27</v>
      </c>
      <c r="J195" t="s">
        <v>20</v>
      </c>
      <c r="K195" s="14">
        <v>16959.311300000001</v>
      </c>
      <c r="Z195" s="3"/>
      <c r="AC195"/>
      <c r="AE195" s="3"/>
      <c r="AH195" t="s">
        <v>2325</v>
      </c>
      <c r="AI195" t="s">
        <v>68</v>
      </c>
      <c r="AJ195" t="s">
        <v>98</v>
      </c>
      <c r="AK195" s="3" t="s">
        <v>115</v>
      </c>
      <c r="AL195" s="3">
        <v>-450.61273208170002</v>
      </c>
      <c r="AN195" t="s">
        <v>1886</v>
      </c>
      <c r="AO195" t="s">
        <v>88</v>
      </c>
      <c r="AP195" t="s">
        <v>90</v>
      </c>
      <c r="AQ195" s="3">
        <v>17060.735100000002</v>
      </c>
      <c r="AS195" t="s">
        <v>2308</v>
      </c>
      <c r="AT195" t="s">
        <v>196</v>
      </c>
      <c r="AU195" t="s">
        <v>198</v>
      </c>
      <c r="AV195" s="14">
        <v>7.29004641547888</v>
      </c>
    </row>
    <row r="196" spans="1:48">
      <c r="A196" t="s">
        <v>2065</v>
      </c>
      <c r="B196" t="s">
        <v>15</v>
      </c>
      <c r="C196" t="s">
        <v>27</v>
      </c>
      <c r="D196" t="s">
        <v>20</v>
      </c>
      <c r="E196" s="14">
        <v>9062</v>
      </c>
      <c r="G196" t="s">
        <v>2065</v>
      </c>
      <c r="H196" t="s">
        <v>15</v>
      </c>
      <c r="I196" t="s">
        <v>27</v>
      </c>
      <c r="J196" t="s">
        <v>20</v>
      </c>
      <c r="K196" s="14">
        <v>16759.311300000001</v>
      </c>
      <c r="Z196" s="3"/>
      <c r="AC196"/>
      <c r="AE196" s="3"/>
      <c r="AH196" t="s">
        <v>2324</v>
      </c>
      <c r="AI196" t="s">
        <v>800</v>
      </c>
      <c r="AJ196" t="s">
        <v>31</v>
      </c>
      <c r="AK196" s="3" t="s">
        <v>27</v>
      </c>
      <c r="AL196" s="3">
        <v>4.0311666297000004</v>
      </c>
      <c r="AN196" t="s">
        <v>1887</v>
      </c>
      <c r="AO196" t="s">
        <v>88</v>
      </c>
      <c r="AP196" t="s">
        <v>86</v>
      </c>
      <c r="AQ196" s="3">
        <v>14197.6106</v>
      </c>
      <c r="AS196" t="s">
        <v>2053</v>
      </c>
      <c r="AT196" t="s">
        <v>88</v>
      </c>
      <c r="AU196" t="s">
        <v>109</v>
      </c>
      <c r="AV196" s="14">
        <v>17325.099999999999</v>
      </c>
    </row>
    <row r="197" spans="1:48">
      <c r="A197" t="s">
        <v>2066</v>
      </c>
      <c r="B197" t="s">
        <v>15</v>
      </c>
      <c r="C197" t="s">
        <v>27</v>
      </c>
      <c r="D197" t="s">
        <v>20</v>
      </c>
      <c r="E197" s="14">
        <v>9062</v>
      </c>
      <c r="G197" t="s">
        <v>2066</v>
      </c>
      <c r="H197" t="s">
        <v>15</v>
      </c>
      <c r="I197" t="s">
        <v>27</v>
      </c>
      <c r="J197" t="s">
        <v>20</v>
      </c>
      <c r="K197" s="14">
        <v>16759.311300000001</v>
      </c>
      <c r="Z197" s="3"/>
      <c r="AC197"/>
      <c r="AE197" s="3"/>
      <c r="AH197" t="s">
        <v>2324</v>
      </c>
      <c r="AI197" t="s">
        <v>65</v>
      </c>
      <c r="AJ197" t="s">
        <v>66</v>
      </c>
      <c r="AK197" s="3" t="s">
        <v>27</v>
      </c>
      <c r="AL197" s="3">
        <v>37155.300000000003</v>
      </c>
      <c r="AN197" t="s">
        <v>1887</v>
      </c>
      <c r="AO197" t="s">
        <v>88</v>
      </c>
      <c r="AP197" t="s">
        <v>90</v>
      </c>
      <c r="AQ197" s="3">
        <v>19103.983700000001</v>
      </c>
      <c r="AS197" t="s">
        <v>2053</v>
      </c>
      <c r="AT197" t="s">
        <v>88</v>
      </c>
      <c r="AU197" t="s">
        <v>110</v>
      </c>
      <c r="AV197" s="14">
        <v>397.61059999999998</v>
      </c>
    </row>
    <row r="198" spans="1:48">
      <c r="A198" t="s">
        <v>2067</v>
      </c>
      <c r="B198" t="s">
        <v>15</v>
      </c>
      <c r="C198" t="s">
        <v>27</v>
      </c>
      <c r="D198" t="s">
        <v>20</v>
      </c>
      <c r="E198" s="14">
        <v>8702</v>
      </c>
      <c r="G198" t="s">
        <v>2067</v>
      </c>
      <c r="H198" t="s">
        <v>15</v>
      </c>
      <c r="I198" t="s">
        <v>27</v>
      </c>
      <c r="J198" t="s">
        <v>20</v>
      </c>
      <c r="K198" s="14">
        <v>17159.311300000001</v>
      </c>
      <c r="Z198" s="3"/>
      <c r="AC198"/>
      <c r="AE198" s="3"/>
      <c r="AH198" t="s">
        <v>2324</v>
      </c>
      <c r="AI198" t="s">
        <v>65</v>
      </c>
      <c r="AJ198" t="s">
        <v>72</v>
      </c>
      <c r="AK198" s="3" t="s">
        <v>27</v>
      </c>
      <c r="AL198" s="3">
        <v>37413.057676999997</v>
      </c>
      <c r="AN198" t="s">
        <v>1888</v>
      </c>
      <c r="AO198" t="s">
        <v>88</v>
      </c>
      <c r="AP198" t="s">
        <v>86</v>
      </c>
      <c r="AQ198" s="3">
        <v>13197.6106</v>
      </c>
      <c r="AS198" t="s">
        <v>2053</v>
      </c>
      <c r="AT198" t="s">
        <v>88</v>
      </c>
      <c r="AU198" t="s">
        <v>111</v>
      </c>
      <c r="AV198" s="14">
        <v>12000</v>
      </c>
    </row>
    <row r="199" spans="1:48">
      <c r="A199" t="s">
        <v>2068</v>
      </c>
      <c r="B199" t="s">
        <v>15</v>
      </c>
      <c r="C199" t="s">
        <v>27</v>
      </c>
      <c r="D199" t="s">
        <v>20</v>
      </c>
      <c r="E199" s="14">
        <v>8502</v>
      </c>
      <c r="G199" t="s">
        <v>2068</v>
      </c>
      <c r="H199" t="s">
        <v>15</v>
      </c>
      <c r="I199" t="s">
        <v>27</v>
      </c>
      <c r="J199" t="s">
        <v>20</v>
      </c>
      <c r="K199" s="14">
        <v>17159.311300000001</v>
      </c>
      <c r="Z199" s="3"/>
      <c r="AC199"/>
      <c r="AE199" s="3"/>
      <c r="AH199" t="s">
        <v>2324</v>
      </c>
      <c r="AI199" t="s">
        <v>65</v>
      </c>
      <c r="AJ199" t="s">
        <v>113</v>
      </c>
      <c r="AK199" s="3" t="s">
        <v>27</v>
      </c>
      <c r="AL199" s="3">
        <v>1791.5593008322001</v>
      </c>
      <c r="AN199" t="s">
        <v>1888</v>
      </c>
      <c r="AO199" t="s">
        <v>88</v>
      </c>
      <c r="AP199" t="s">
        <v>90</v>
      </c>
      <c r="AQ199" s="3">
        <v>16703.983700000001</v>
      </c>
      <c r="AS199" t="s">
        <v>2053</v>
      </c>
      <c r="AT199" t="s">
        <v>88</v>
      </c>
      <c r="AU199" t="s">
        <v>268</v>
      </c>
      <c r="AV199" s="14">
        <v>0</v>
      </c>
    </row>
    <row r="200" spans="1:48">
      <c r="A200" t="s">
        <v>2069</v>
      </c>
      <c r="B200" t="s">
        <v>15</v>
      </c>
      <c r="C200" t="s">
        <v>27</v>
      </c>
      <c r="D200" t="s">
        <v>20</v>
      </c>
      <c r="E200" s="14">
        <v>8502</v>
      </c>
      <c r="G200" t="s">
        <v>2069</v>
      </c>
      <c r="H200" t="s">
        <v>15</v>
      </c>
      <c r="I200" t="s">
        <v>27</v>
      </c>
      <c r="J200" t="s">
        <v>20</v>
      </c>
      <c r="K200" s="14">
        <v>17159.311300000001</v>
      </c>
      <c r="Z200" s="3"/>
      <c r="AC200"/>
      <c r="AE200" s="3"/>
      <c r="AH200" t="s">
        <v>2324</v>
      </c>
      <c r="AI200" t="s">
        <v>65</v>
      </c>
      <c r="AJ200" t="s">
        <v>108</v>
      </c>
      <c r="AK200" s="3" t="s">
        <v>27</v>
      </c>
      <c r="AL200" s="3">
        <v>-1533.8016238322</v>
      </c>
      <c r="AN200" t="s">
        <v>1889</v>
      </c>
      <c r="AO200" t="s">
        <v>88</v>
      </c>
      <c r="AP200" t="s">
        <v>86</v>
      </c>
      <c r="AQ200" s="3">
        <v>13197.6106</v>
      </c>
      <c r="AS200" t="s">
        <v>2053</v>
      </c>
      <c r="AT200" t="s">
        <v>88</v>
      </c>
      <c r="AU200" t="s">
        <v>269</v>
      </c>
      <c r="AV200" s="14">
        <v>0</v>
      </c>
    </row>
    <row r="201" spans="1:48">
      <c r="A201" t="s">
        <v>2070</v>
      </c>
      <c r="B201" t="s">
        <v>15</v>
      </c>
      <c r="C201" t="s">
        <v>27</v>
      </c>
      <c r="D201" t="s">
        <v>20</v>
      </c>
      <c r="E201" s="14">
        <v>8654</v>
      </c>
      <c r="G201" t="s">
        <v>2070</v>
      </c>
      <c r="H201" t="s">
        <v>15</v>
      </c>
      <c r="I201" t="s">
        <v>27</v>
      </c>
      <c r="J201" t="s">
        <v>20</v>
      </c>
      <c r="K201" s="14">
        <v>17159.311300000001</v>
      </c>
      <c r="Z201" s="3"/>
      <c r="AC201"/>
      <c r="AE201" s="3"/>
      <c r="AH201" t="s">
        <v>2324</v>
      </c>
      <c r="AI201" t="s">
        <v>65</v>
      </c>
      <c r="AJ201" t="s">
        <v>98</v>
      </c>
      <c r="AK201" s="3" t="s">
        <v>27</v>
      </c>
      <c r="AL201" s="3">
        <v>-1051.1028338322001</v>
      </c>
      <c r="AN201" t="s">
        <v>1889</v>
      </c>
      <c r="AO201" t="s">
        <v>88</v>
      </c>
      <c r="AP201" t="s">
        <v>90</v>
      </c>
      <c r="AQ201" s="3">
        <v>16613.983700000001</v>
      </c>
      <c r="AS201" t="s">
        <v>2053</v>
      </c>
      <c r="AT201" t="s">
        <v>88</v>
      </c>
      <c r="AU201" t="s">
        <v>270</v>
      </c>
      <c r="AV201" s="14">
        <v>0</v>
      </c>
    </row>
    <row r="202" spans="1:48">
      <c r="A202" t="s">
        <v>2071</v>
      </c>
      <c r="B202" t="s">
        <v>15</v>
      </c>
      <c r="C202" t="s">
        <v>27</v>
      </c>
      <c r="D202" t="s">
        <v>20</v>
      </c>
      <c r="E202" s="14">
        <v>8904</v>
      </c>
      <c r="G202" t="s">
        <v>2071</v>
      </c>
      <c r="H202" t="s">
        <v>15</v>
      </c>
      <c r="I202" t="s">
        <v>27</v>
      </c>
      <c r="J202" t="s">
        <v>20</v>
      </c>
      <c r="K202" s="14">
        <v>16959.311300000001</v>
      </c>
      <c r="Z202" s="3"/>
      <c r="AC202"/>
      <c r="AE202" s="3"/>
      <c r="AH202" t="s">
        <v>2324</v>
      </c>
      <c r="AI202" t="s">
        <v>67</v>
      </c>
      <c r="AJ202" t="s">
        <v>66</v>
      </c>
      <c r="AK202" s="3" t="s">
        <v>27</v>
      </c>
      <c r="AL202" s="3">
        <v>-21839.7</v>
      </c>
      <c r="AN202" t="s">
        <v>1890</v>
      </c>
      <c r="AO202" t="s">
        <v>88</v>
      </c>
      <c r="AP202" t="s">
        <v>86</v>
      </c>
      <c r="AQ202" s="3">
        <v>12697.6106</v>
      </c>
      <c r="AS202" t="s">
        <v>2053</v>
      </c>
      <c r="AT202" t="s">
        <v>88</v>
      </c>
      <c r="AU202" t="s">
        <v>271</v>
      </c>
      <c r="AV202" s="14">
        <v>9874</v>
      </c>
    </row>
    <row r="203" spans="1:48">
      <c r="A203" t="s">
        <v>2072</v>
      </c>
      <c r="B203" t="s">
        <v>15</v>
      </c>
      <c r="C203" t="s">
        <v>27</v>
      </c>
      <c r="D203" t="s">
        <v>20</v>
      </c>
      <c r="E203" s="14">
        <v>9264</v>
      </c>
      <c r="G203" t="s">
        <v>2072</v>
      </c>
      <c r="H203" t="s">
        <v>15</v>
      </c>
      <c r="I203" t="s">
        <v>27</v>
      </c>
      <c r="J203" t="s">
        <v>20</v>
      </c>
      <c r="K203" s="14">
        <v>16959.311300000001</v>
      </c>
      <c r="Z203" s="3"/>
      <c r="AC203"/>
      <c r="AE203" s="3"/>
      <c r="AH203" t="s">
        <v>2324</v>
      </c>
      <c r="AI203" t="s">
        <v>67</v>
      </c>
      <c r="AJ203" t="s">
        <v>72</v>
      </c>
      <c r="AK203" s="3" t="s">
        <v>27</v>
      </c>
      <c r="AL203" s="3">
        <v>-23464.123393000002</v>
      </c>
      <c r="AN203" t="s">
        <v>1890</v>
      </c>
      <c r="AO203" t="s">
        <v>88</v>
      </c>
      <c r="AP203" t="s">
        <v>90</v>
      </c>
      <c r="AQ203" s="3">
        <v>20326.5677</v>
      </c>
      <c r="AS203" t="s">
        <v>2053</v>
      </c>
      <c r="AT203" t="s">
        <v>88</v>
      </c>
      <c r="AU203" t="s">
        <v>272</v>
      </c>
      <c r="AV203" s="14">
        <v>0</v>
      </c>
    </row>
    <row r="204" spans="1:48">
      <c r="A204" t="s">
        <v>2073</v>
      </c>
      <c r="B204" t="s">
        <v>15</v>
      </c>
      <c r="C204" t="s">
        <v>27</v>
      </c>
      <c r="D204" t="s">
        <v>20</v>
      </c>
      <c r="E204" s="14">
        <v>9214</v>
      </c>
      <c r="G204" t="s">
        <v>2073</v>
      </c>
      <c r="H204" t="s">
        <v>15</v>
      </c>
      <c r="I204" t="s">
        <v>27</v>
      </c>
      <c r="J204" t="s">
        <v>20</v>
      </c>
      <c r="K204" s="14">
        <v>16959.311300000001</v>
      </c>
      <c r="Z204" s="3"/>
      <c r="AC204"/>
      <c r="AE204" s="3"/>
      <c r="AH204" t="s">
        <v>2324</v>
      </c>
      <c r="AI204" t="s">
        <v>67</v>
      </c>
      <c r="AJ204" t="s">
        <v>113</v>
      </c>
      <c r="AK204" s="3" t="s">
        <v>27</v>
      </c>
      <c r="AL204" s="3">
        <v>-1697.1370398079</v>
      </c>
      <c r="AN204" t="s">
        <v>1891</v>
      </c>
      <c r="AO204" t="s">
        <v>88</v>
      </c>
      <c r="AP204" t="s">
        <v>86</v>
      </c>
      <c r="AQ204" s="3">
        <v>12697.6106</v>
      </c>
      <c r="AS204" t="s">
        <v>2053</v>
      </c>
      <c r="AT204" t="s">
        <v>88</v>
      </c>
      <c r="AU204" t="s">
        <v>273</v>
      </c>
      <c r="AV204" s="14">
        <v>0</v>
      </c>
    </row>
    <row r="205" spans="1:48">
      <c r="A205" t="s">
        <v>2074</v>
      </c>
      <c r="B205" t="s">
        <v>15</v>
      </c>
      <c r="C205" t="s">
        <v>27</v>
      </c>
      <c r="D205" t="s">
        <v>20</v>
      </c>
      <c r="E205" s="14">
        <v>9262</v>
      </c>
      <c r="G205" t="s">
        <v>2074</v>
      </c>
      <c r="H205" t="s">
        <v>15</v>
      </c>
      <c r="I205" t="s">
        <v>27</v>
      </c>
      <c r="J205" t="s">
        <v>20</v>
      </c>
      <c r="K205" s="14">
        <v>16959.311300000001</v>
      </c>
      <c r="Z205" s="3"/>
      <c r="AC205"/>
      <c r="AE205" s="3"/>
      <c r="AH205" t="s">
        <v>2324</v>
      </c>
      <c r="AI205" t="s">
        <v>67</v>
      </c>
      <c r="AJ205" t="s">
        <v>108</v>
      </c>
      <c r="AK205" s="3" t="s">
        <v>27</v>
      </c>
      <c r="AL205" s="3">
        <v>72.713646807900005</v>
      </c>
      <c r="AN205" t="s">
        <v>1891</v>
      </c>
      <c r="AO205" t="s">
        <v>88</v>
      </c>
      <c r="AP205" t="s">
        <v>90</v>
      </c>
      <c r="AQ205" s="3">
        <v>18767.158100000001</v>
      </c>
      <c r="AS205" t="s">
        <v>2053</v>
      </c>
      <c r="AT205" t="s">
        <v>196</v>
      </c>
      <c r="AU205" t="s">
        <v>197</v>
      </c>
      <c r="AV205" s="14">
        <v>7.6531003212108901</v>
      </c>
    </row>
    <row r="206" spans="1:48">
      <c r="A206" t="s">
        <v>2075</v>
      </c>
      <c r="B206" t="s">
        <v>15</v>
      </c>
      <c r="C206" t="s">
        <v>27</v>
      </c>
      <c r="D206" t="s">
        <v>20</v>
      </c>
      <c r="E206" s="14">
        <v>9312</v>
      </c>
      <c r="G206" t="s">
        <v>2075</v>
      </c>
      <c r="H206" t="s">
        <v>15</v>
      </c>
      <c r="I206" t="s">
        <v>27</v>
      </c>
      <c r="J206" t="s">
        <v>20</v>
      </c>
      <c r="K206" s="14">
        <v>16959.311300000001</v>
      </c>
      <c r="Z206" s="3"/>
      <c r="AC206"/>
      <c r="AE206" s="3"/>
      <c r="AH206" t="s">
        <v>2324</v>
      </c>
      <c r="AI206" t="s">
        <v>67</v>
      </c>
      <c r="AJ206" t="s">
        <v>98</v>
      </c>
      <c r="AK206" s="3" t="s">
        <v>27</v>
      </c>
      <c r="AL206" s="3">
        <v>72.713646807900005</v>
      </c>
      <c r="AN206" t="s">
        <v>1892</v>
      </c>
      <c r="AO206" t="s">
        <v>88</v>
      </c>
      <c r="AP206" t="s">
        <v>86</v>
      </c>
      <c r="AQ206" s="3">
        <v>12697.6106</v>
      </c>
      <c r="AS206" t="s">
        <v>2053</v>
      </c>
      <c r="AT206" t="s">
        <v>196</v>
      </c>
      <c r="AU206" t="s">
        <v>109</v>
      </c>
      <c r="AV206" s="14">
        <v>7.2751352309664803</v>
      </c>
    </row>
    <row r="207" spans="1:48">
      <c r="A207" t="s">
        <v>2076</v>
      </c>
      <c r="B207" t="s">
        <v>15</v>
      </c>
      <c r="C207" t="s">
        <v>27</v>
      </c>
      <c r="D207" t="s">
        <v>20</v>
      </c>
      <c r="E207" s="14">
        <v>9362</v>
      </c>
      <c r="G207" t="s">
        <v>2076</v>
      </c>
      <c r="H207" t="s">
        <v>15</v>
      </c>
      <c r="I207" t="s">
        <v>27</v>
      </c>
      <c r="J207" t="s">
        <v>20</v>
      </c>
      <c r="K207" s="14">
        <v>16959.311300000001</v>
      </c>
      <c r="Z207" s="3"/>
      <c r="AC207"/>
      <c r="AE207" s="3"/>
      <c r="AH207" t="s">
        <v>2324</v>
      </c>
      <c r="AI207" t="s">
        <v>67</v>
      </c>
      <c r="AJ207" t="s">
        <v>66</v>
      </c>
      <c r="AK207" s="3" t="s">
        <v>114</v>
      </c>
      <c r="AL207" s="3">
        <v>155</v>
      </c>
      <c r="AN207" t="s">
        <v>1892</v>
      </c>
      <c r="AO207" t="s">
        <v>88</v>
      </c>
      <c r="AP207" t="s">
        <v>90</v>
      </c>
      <c r="AQ207" s="3">
        <v>19112.158100000001</v>
      </c>
      <c r="AS207" t="s">
        <v>2053</v>
      </c>
      <c r="AT207" t="s">
        <v>196</v>
      </c>
      <c r="AU207" t="s">
        <v>198</v>
      </c>
      <c r="AV207" s="14">
        <v>7.55631175382468</v>
      </c>
    </row>
    <row r="208" spans="1:48">
      <c r="A208" t="s">
        <v>2077</v>
      </c>
      <c r="B208" t="s">
        <v>15</v>
      </c>
      <c r="C208" t="s">
        <v>27</v>
      </c>
      <c r="D208" t="s">
        <v>20</v>
      </c>
      <c r="E208" s="14">
        <v>9012</v>
      </c>
      <c r="G208" t="s">
        <v>2077</v>
      </c>
      <c r="H208" t="s">
        <v>15</v>
      </c>
      <c r="I208" t="s">
        <v>27</v>
      </c>
      <c r="J208" t="s">
        <v>20</v>
      </c>
      <c r="K208" s="14">
        <v>16959.311300000001</v>
      </c>
      <c r="Z208" s="3"/>
      <c r="AC208"/>
      <c r="AE208" s="3"/>
      <c r="AH208" t="s">
        <v>2324</v>
      </c>
      <c r="AI208" t="s">
        <v>67</v>
      </c>
      <c r="AJ208" t="s">
        <v>98</v>
      </c>
      <c r="AK208" s="3" t="s">
        <v>114</v>
      </c>
      <c r="AL208" s="3">
        <v>-9.4475349314999999</v>
      </c>
      <c r="AN208" t="s">
        <v>1893</v>
      </c>
      <c r="AO208" t="s">
        <v>88</v>
      </c>
      <c r="AP208" t="s">
        <v>86</v>
      </c>
      <c r="AQ208" s="3">
        <v>12697.6106</v>
      </c>
      <c r="AS208" t="s">
        <v>2044</v>
      </c>
      <c r="AT208" t="s">
        <v>88</v>
      </c>
      <c r="AU208" t="s">
        <v>109</v>
      </c>
      <c r="AV208" s="14">
        <v>17261.099999999999</v>
      </c>
    </row>
    <row r="209" spans="1:48">
      <c r="A209" t="s">
        <v>2078</v>
      </c>
      <c r="B209" t="s">
        <v>15</v>
      </c>
      <c r="C209" t="s">
        <v>27</v>
      </c>
      <c r="D209" t="s">
        <v>20</v>
      </c>
      <c r="E209" s="14">
        <v>9360</v>
      </c>
      <c r="G209" t="s">
        <v>2078</v>
      </c>
      <c r="H209" t="s">
        <v>15</v>
      </c>
      <c r="I209" t="s">
        <v>27</v>
      </c>
      <c r="J209" t="s">
        <v>20</v>
      </c>
      <c r="K209" s="14">
        <v>16959.311300000001</v>
      </c>
      <c r="Z209" s="3"/>
      <c r="AC209"/>
      <c r="AE209" s="3"/>
      <c r="AH209" t="s">
        <v>2324</v>
      </c>
      <c r="AI209" t="s">
        <v>67</v>
      </c>
      <c r="AJ209" t="s">
        <v>66</v>
      </c>
      <c r="AK209" s="3" t="s">
        <v>115</v>
      </c>
      <c r="AL209" s="3">
        <v>21994.7</v>
      </c>
      <c r="AN209" t="s">
        <v>1893</v>
      </c>
      <c r="AO209" t="s">
        <v>88</v>
      </c>
      <c r="AP209" t="s">
        <v>90</v>
      </c>
      <c r="AQ209" s="3">
        <v>18014.158100000001</v>
      </c>
      <c r="AS209" t="s">
        <v>2044</v>
      </c>
      <c r="AT209" t="s">
        <v>88</v>
      </c>
      <c r="AU209" t="s">
        <v>110</v>
      </c>
      <c r="AV209" s="14">
        <v>397.61059999999998</v>
      </c>
    </row>
    <row r="210" spans="1:48">
      <c r="A210" t="s">
        <v>2079</v>
      </c>
      <c r="B210" t="s">
        <v>15</v>
      </c>
      <c r="C210" t="s">
        <v>27</v>
      </c>
      <c r="D210" t="s">
        <v>20</v>
      </c>
      <c r="E210" s="14">
        <v>9260</v>
      </c>
      <c r="G210" t="s">
        <v>2079</v>
      </c>
      <c r="H210" t="s">
        <v>15</v>
      </c>
      <c r="I210" t="s">
        <v>27</v>
      </c>
      <c r="J210" t="s">
        <v>20</v>
      </c>
      <c r="K210" s="14">
        <v>16959.311300000001</v>
      </c>
      <c r="Z210" s="3"/>
      <c r="AC210"/>
      <c r="AE210" s="3"/>
      <c r="AH210" t="s">
        <v>2324</v>
      </c>
      <c r="AI210" t="s">
        <v>67</v>
      </c>
      <c r="AJ210" t="s">
        <v>98</v>
      </c>
      <c r="AK210" s="3" t="s">
        <v>115</v>
      </c>
      <c r="AL210" s="3">
        <v>-82.161181739400007</v>
      </c>
      <c r="AN210" t="s">
        <v>1894</v>
      </c>
      <c r="AO210" t="s">
        <v>88</v>
      </c>
      <c r="AP210" t="s">
        <v>86</v>
      </c>
      <c r="AQ210" s="3">
        <v>12697.6106</v>
      </c>
      <c r="AS210" t="s">
        <v>2044</v>
      </c>
      <c r="AT210" t="s">
        <v>88</v>
      </c>
      <c r="AU210" t="s">
        <v>111</v>
      </c>
      <c r="AV210" s="14">
        <v>12000</v>
      </c>
    </row>
    <row r="211" spans="1:48">
      <c r="A211" t="s">
        <v>2080</v>
      </c>
      <c r="B211" t="s">
        <v>15</v>
      </c>
      <c r="C211" t="s">
        <v>27</v>
      </c>
      <c r="D211" t="s">
        <v>20</v>
      </c>
      <c r="E211" s="14">
        <v>9139</v>
      </c>
      <c r="G211" t="s">
        <v>2080</v>
      </c>
      <c r="H211" t="s">
        <v>15</v>
      </c>
      <c r="I211" t="s">
        <v>27</v>
      </c>
      <c r="J211" t="s">
        <v>20</v>
      </c>
      <c r="K211" s="14">
        <v>16959.311300000001</v>
      </c>
      <c r="Z211" s="3"/>
      <c r="AC211"/>
      <c r="AE211" s="3"/>
      <c r="AH211" t="s">
        <v>2324</v>
      </c>
      <c r="AI211" t="s">
        <v>68</v>
      </c>
      <c r="AJ211" t="s">
        <v>66</v>
      </c>
      <c r="AK211" s="3" t="s">
        <v>27</v>
      </c>
      <c r="AL211" s="3">
        <v>2197.4</v>
      </c>
      <c r="AN211" t="s">
        <v>1894</v>
      </c>
      <c r="AO211" t="s">
        <v>88</v>
      </c>
      <c r="AP211" t="s">
        <v>90</v>
      </c>
      <c r="AQ211" s="3">
        <v>17971.858100000001</v>
      </c>
      <c r="AS211" t="s">
        <v>2044</v>
      </c>
      <c r="AT211" t="s">
        <v>88</v>
      </c>
      <c r="AU211" t="s">
        <v>268</v>
      </c>
      <c r="AV211" s="14">
        <v>0</v>
      </c>
    </row>
    <row r="212" spans="1:48">
      <c r="A212" t="s">
        <v>2081</v>
      </c>
      <c r="B212" t="s">
        <v>15</v>
      </c>
      <c r="C212" t="s">
        <v>27</v>
      </c>
      <c r="D212" t="s">
        <v>20</v>
      </c>
      <c r="E212" s="14">
        <v>9391</v>
      </c>
      <c r="G212" t="s">
        <v>2081</v>
      </c>
      <c r="H212" t="s">
        <v>15</v>
      </c>
      <c r="I212" t="s">
        <v>27</v>
      </c>
      <c r="J212" t="s">
        <v>20</v>
      </c>
      <c r="K212" s="14">
        <v>16959.311300000001</v>
      </c>
      <c r="Z212" s="3"/>
      <c r="AC212"/>
      <c r="AE212" s="3"/>
      <c r="AH212" t="s">
        <v>2324</v>
      </c>
      <c r="AI212" t="s">
        <v>68</v>
      </c>
      <c r="AJ212" t="s">
        <v>72</v>
      </c>
      <c r="AK212" s="3" t="s">
        <v>27</v>
      </c>
      <c r="AL212" s="3">
        <v>2050.2166659999998</v>
      </c>
      <c r="AN212" t="s">
        <v>1895</v>
      </c>
      <c r="AO212" t="s">
        <v>88</v>
      </c>
      <c r="AP212" t="s">
        <v>86</v>
      </c>
      <c r="AQ212" s="3">
        <v>12697.6106</v>
      </c>
      <c r="AS212" t="s">
        <v>2044</v>
      </c>
      <c r="AT212" t="s">
        <v>88</v>
      </c>
      <c r="AU212" t="s">
        <v>269</v>
      </c>
      <c r="AV212" s="14">
        <v>0</v>
      </c>
    </row>
    <row r="213" spans="1:48">
      <c r="A213" t="s">
        <v>2082</v>
      </c>
      <c r="B213" t="s">
        <v>15</v>
      </c>
      <c r="C213" t="s">
        <v>27</v>
      </c>
      <c r="D213" t="s">
        <v>20</v>
      </c>
      <c r="E213" s="14">
        <v>9191</v>
      </c>
      <c r="G213" t="s">
        <v>2082</v>
      </c>
      <c r="H213" t="s">
        <v>15</v>
      </c>
      <c r="I213" t="s">
        <v>27</v>
      </c>
      <c r="J213" t="s">
        <v>20</v>
      </c>
      <c r="K213" s="14">
        <v>16959.311300000001</v>
      </c>
      <c r="Z213" s="3"/>
      <c r="AC213"/>
      <c r="AE213" s="3"/>
      <c r="AH213" t="s">
        <v>2324</v>
      </c>
      <c r="AI213" t="s">
        <v>68</v>
      </c>
      <c r="AJ213" t="s">
        <v>113</v>
      </c>
      <c r="AK213" s="3" t="s">
        <v>27</v>
      </c>
      <c r="AL213" s="3">
        <v>-49.863824129400001</v>
      </c>
      <c r="AN213" t="s">
        <v>1895</v>
      </c>
      <c r="AO213" t="s">
        <v>88</v>
      </c>
      <c r="AP213" t="s">
        <v>90</v>
      </c>
      <c r="AQ213" s="3">
        <v>17071.858100000001</v>
      </c>
      <c r="AS213" t="s">
        <v>2044</v>
      </c>
      <c r="AT213" t="s">
        <v>88</v>
      </c>
      <c r="AU213" t="s">
        <v>270</v>
      </c>
      <c r="AV213" s="14">
        <v>0</v>
      </c>
    </row>
    <row r="214" spans="1:48">
      <c r="A214" t="s">
        <v>2083</v>
      </c>
      <c r="B214" t="s">
        <v>15</v>
      </c>
      <c r="C214" t="s">
        <v>27</v>
      </c>
      <c r="D214" t="s">
        <v>20</v>
      </c>
      <c r="E214" s="14">
        <v>9391</v>
      </c>
      <c r="G214" t="s">
        <v>2083</v>
      </c>
      <c r="H214" t="s">
        <v>15</v>
      </c>
      <c r="I214" t="s">
        <v>27</v>
      </c>
      <c r="J214" t="s">
        <v>20</v>
      </c>
      <c r="K214" s="14">
        <v>16959.311300000001</v>
      </c>
      <c r="Z214" s="3"/>
      <c r="AC214"/>
      <c r="AE214" s="3"/>
      <c r="AH214" t="s">
        <v>2324</v>
      </c>
      <c r="AI214" t="s">
        <v>68</v>
      </c>
      <c r="AJ214" t="s">
        <v>108</v>
      </c>
      <c r="AK214" s="3" t="s">
        <v>27</v>
      </c>
      <c r="AL214" s="3">
        <v>-97.319509870600001</v>
      </c>
      <c r="AN214" t="s">
        <v>1896</v>
      </c>
      <c r="AO214" t="s">
        <v>88</v>
      </c>
      <c r="AP214" t="s">
        <v>86</v>
      </c>
      <c r="AQ214" s="3">
        <v>12697.6106</v>
      </c>
      <c r="AS214" t="s">
        <v>2044</v>
      </c>
      <c r="AT214" t="s">
        <v>88</v>
      </c>
      <c r="AU214" t="s">
        <v>271</v>
      </c>
      <c r="AV214" s="14">
        <v>9938</v>
      </c>
    </row>
    <row r="215" spans="1:48">
      <c r="A215" t="s">
        <v>2084</v>
      </c>
      <c r="B215" t="s">
        <v>15</v>
      </c>
      <c r="C215" t="s">
        <v>27</v>
      </c>
      <c r="D215" t="s">
        <v>20</v>
      </c>
      <c r="E215" s="14">
        <v>9260</v>
      </c>
      <c r="G215" t="s">
        <v>2084</v>
      </c>
      <c r="H215" t="s">
        <v>15</v>
      </c>
      <c r="I215" t="s">
        <v>27</v>
      </c>
      <c r="J215" t="s">
        <v>20</v>
      </c>
      <c r="K215" s="14">
        <v>16959.311300000001</v>
      </c>
      <c r="Z215" s="3"/>
      <c r="AC215"/>
      <c r="AE215" s="3"/>
      <c r="AH215" t="s">
        <v>2324</v>
      </c>
      <c r="AI215" t="s">
        <v>68</v>
      </c>
      <c r="AJ215" t="s">
        <v>98</v>
      </c>
      <c r="AK215" s="3" t="s">
        <v>27</v>
      </c>
      <c r="AL215" s="3">
        <v>-97.319509870600001</v>
      </c>
      <c r="AN215" t="s">
        <v>1896</v>
      </c>
      <c r="AO215" t="s">
        <v>88</v>
      </c>
      <c r="AP215" t="s">
        <v>90</v>
      </c>
      <c r="AQ215" s="3">
        <v>20071.858100000001</v>
      </c>
      <c r="AS215" t="s">
        <v>2044</v>
      </c>
      <c r="AT215" t="s">
        <v>88</v>
      </c>
      <c r="AU215" t="s">
        <v>272</v>
      </c>
      <c r="AV215" s="14">
        <v>0</v>
      </c>
    </row>
    <row r="216" spans="1:48">
      <c r="A216" t="s">
        <v>2085</v>
      </c>
      <c r="B216" t="s">
        <v>15</v>
      </c>
      <c r="C216" t="s">
        <v>27</v>
      </c>
      <c r="D216" t="s">
        <v>20</v>
      </c>
      <c r="E216" s="14">
        <v>9210</v>
      </c>
      <c r="G216" t="s">
        <v>2085</v>
      </c>
      <c r="H216" t="s">
        <v>15</v>
      </c>
      <c r="I216" t="s">
        <v>27</v>
      </c>
      <c r="J216" t="s">
        <v>20</v>
      </c>
      <c r="K216" s="14">
        <v>16959.311300000001</v>
      </c>
      <c r="Z216" s="3"/>
      <c r="AC216"/>
      <c r="AE216" s="3"/>
      <c r="AH216" t="s">
        <v>2324</v>
      </c>
      <c r="AI216" t="s">
        <v>68</v>
      </c>
      <c r="AJ216" t="s">
        <v>66</v>
      </c>
      <c r="AK216" s="3" t="s">
        <v>114</v>
      </c>
      <c r="AL216" s="3">
        <v>6557.4</v>
      </c>
      <c r="AN216" t="s">
        <v>1897</v>
      </c>
      <c r="AO216" t="s">
        <v>88</v>
      </c>
      <c r="AP216" t="s">
        <v>86</v>
      </c>
      <c r="AQ216" s="3">
        <v>12697.6106</v>
      </c>
      <c r="AS216" t="s">
        <v>2044</v>
      </c>
      <c r="AT216" t="s">
        <v>88</v>
      </c>
      <c r="AU216" t="s">
        <v>273</v>
      </c>
      <c r="AV216" s="14">
        <v>0</v>
      </c>
    </row>
    <row r="217" spans="1:48">
      <c r="A217" t="s">
        <v>2086</v>
      </c>
      <c r="B217" t="s">
        <v>15</v>
      </c>
      <c r="C217" t="s">
        <v>27</v>
      </c>
      <c r="D217" t="s">
        <v>20</v>
      </c>
      <c r="E217" s="14">
        <v>9201</v>
      </c>
      <c r="G217" t="s">
        <v>2086</v>
      </c>
      <c r="H217" t="s">
        <v>15</v>
      </c>
      <c r="I217" t="s">
        <v>27</v>
      </c>
      <c r="J217" t="s">
        <v>20</v>
      </c>
      <c r="K217" s="14">
        <v>16959.311300000001</v>
      </c>
      <c r="Z217" s="3"/>
      <c r="AC217"/>
      <c r="AE217" s="3"/>
      <c r="AH217" t="s">
        <v>2324</v>
      </c>
      <c r="AI217" t="s">
        <v>68</v>
      </c>
      <c r="AJ217" t="s">
        <v>98</v>
      </c>
      <c r="AK217" s="3" t="s">
        <v>114</v>
      </c>
      <c r="AL217" s="3">
        <v>-446.48136594520003</v>
      </c>
      <c r="AN217" t="s">
        <v>1897</v>
      </c>
      <c r="AO217" t="s">
        <v>88</v>
      </c>
      <c r="AP217" t="s">
        <v>90</v>
      </c>
      <c r="AQ217" s="3">
        <v>19921.858100000001</v>
      </c>
      <c r="AS217" t="s">
        <v>2044</v>
      </c>
      <c r="AT217" t="s">
        <v>196</v>
      </c>
      <c r="AU217" t="s">
        <v>197</v>
      </c>
      <c r="AV217" s="14">
        <v>7.6533726480160897</v>
      </c>
    </row>
    <row r="218" spans="1:48">
      <c r="A218" t="s">
        <v>2087</v>
      </c>
      <c r="B218" t="s">
        <v>15</v>
      </c>
      <c r="C218" t="s">
        <v>27</v>
      </c>
      <c r="D218" t="s">
        <v>20</v>
      </c>
      <c r="E218" s="14">
        <v>9410</v>
      </c>
      <c r="G218" t="s">
        <v>2087</v>
      </c>
      <c r="H218" t="s">
        <v>15</v>
      </c>
      <c r="I218" t="s">
        <v>27</v>
      </c>
      <c r="J218" t="s">
        <v>20</v>
      </c>
      <c r="K218" s="14">
        <v>16959.311300000001</v>
      </c>
      <c r="Z218" s="3"/>
      <c r="AC218"/>
      <c r="AE218" s="3"/>
      <c r="AH218" t="s">
        <v>2324</v>
      </c>
      <c r="AI218" t="s">
        <v>68</v>
      </c>
      <c r="AJ218" t="s">
        <v>66</v>
      </c>
      <c r="AK218" s="3" t="s">
        <v>115</v>
      </c>
      <c r="AL218" s="3">
        <v>4360</v>
      </c>
      <c r="AN218" t="s">
        <v>1898</v>
      </c>
      <c r="AO218" t="s">
        <v>88</v>
      </c>
      <c r="AP218" t="s">
        <v>86</v>
      </c>
      <c r="AQ218" s="3">
        <v>11397.6106</v>
      </c>
      <c r="AS218" t="s">
        <v>2044</v>
      </c>
      <c r="AT218" t="s">
        <v>196</v>
      </c>
      <c r="AU218" t="s">
        <v>109</v>
      </c>
      <c r="AV218" s="14">
        <v>7.2811870759449198</v>
      </c>
    </row>
    <row r="219" spans="1:48">
      <c r="A219" t="s">
        <v>2088</v>
      </c>
      <c r="B219" t="s">
        <v>15</v>
      </c>
      <c r="C219" t="s">
        <v>27</v>
      </c>
      <c r="D219" t="s">
        <v>20</v>
      </c>
      <c r="E219" s="14">
        <v>9322</v>
      </c>
      <c r="G219" t="s">
        <v>2088</v>
      </c>
      <c r="H219" t="s">
        <v>15</v>
      </c>
      <c r="I219" t="s">
        <v>27</v>
      </c>
      <c r="J219" t="s">
        <v>20</v>
      </c>
      <c r="K219" s="14">
        <v>16959.311300000001</v>
      </c>
      <c r="Z219" s="3"/>
      <c r="AC219"/>
      <c r="AE219" s="3"/>
      <c r="AH219" t="s">
        <v>2324</v>
      </c>
      <c r="AI219" t="s">
        <v>68</v>
      </c>
      <c r="AJ219" t="s">
        <v>98</v>
      </c>
      <c r="AK219" s="3" t="s">
        <v>115</v>
      </c>
      <c r="AL219" s="3">
        <v>-349.1618560746</v>
      </c>
      <c r="AN219" t="s">
        <v>1898</v>
      </c>
      <c r="AO219" t="s">
        <v>88</v>
      </c>
      <c r="AP219" t="s">
        <v>90</v>
      </c>
      <c r="AQ219" s="3">
        <v>19961.858100000001</v>
      </c>
      <c r="AS219" t="s">
        <v>2044</v>
      </c>
      <c r="AT219" t="s">
        <v>196</v>
      </c>
      <c r="AU219" t="s">
        <v>198</v>
      </c>
      <c r="AV219" s="14">
        <v>7.56028419238406</v>
      </c>
    </row>
    <row r="220" spans="1:48">
      <c r="A220" t="s">
        <v>2089</v>
      </c>
      <c r="B220" t="s">
        <v>15</v>
      </c>
      <c r="C220" t="s">
        <v>27</v>
      </c>
      <c r="D220" t="s">
        <v>20</v>
      </c>
      <c r="E220" s="14">
        <v>9622</v>
      </c>
      <c r="G220" t="s">
        <v>2089</v>
      </c>
      <c r="H220" t="s">
        <v>15</v>
      </c>
      <c r="I220" t="s">
        <v>27</v>
      </c>
      <c r="J220" t="s">
        <v>20</v>
      </c>
      <c r="K220" s="14">
        <v>16959.311300000001</v>
      </c>
      <c r="Z220" s="3"/>
      <c r="AC220"/>
      <c r="AE220" s="3"/>
      <c r="AH220" t="s">
        <v>2323</v>
      </c>
      <c r="AI220" t="s">
        <v>65</v>
      </c>
      <c r="AJ220" t="s">
        <v>66</v>
      </c>
      <c r="AK220" s="3" t="s">
        <v>27</v>
      </c>
      <c r="AL220" s="3">
        <v>37160.300000000003</v>
      </c>
      <c r="AN220" t="s">
        <v>1899</v>
      </c>
      <c r="AO220" t="s">
        <v>88</v>
      </c>
      <c r="AP220" t="s">
        <v>86</v>
      </c>
      <c r="AQ220" s="3">
        <v>11397.6106</v>
      </c>
      <c r="AS220" t="s">
        <v>2043</v>
      </c>
      <c r="AT220" t="s">
        <v>88</v>
      </c>
      <c r="AU220" t="s">
        <v>109</v>
      </c>
      <c r="AV220" s="14">
        <v>16861.099999999999</v>
      </c>
    </row>
    <row r="221" spans="1:48">
      <c r="A221" t="s">
        <v>2090</v>
      </c>
      <c r="B221" t="s">
        <v>15</v>
      </c>
      <c r="C221" t="s">
        <v>27</v>
      </c>
      <c r="D221" t="s">
        <v>20</v>
      </c>
      <c r="E221" s="14">
        <v>9212</v>
      </c>
      <c r="G221" t="s">
        <v>2090</v>
      </c>
      <c r="H221" t="s">
        <v>15</v>
      </c>
      <c r="I221" t="s">
        <v>27</v>
      </c>
      <c r="J221" t="s">
        <v>20</v>
      </c>
      <c r="K221" s="14">
        <v>16959.311300000001</v>
      </c>
      <c r="Z221" s="3"/>
      <c r="AC221"/>
      <c r="AE221" s="3"/>
      <c r="AH221" t="s">
        <v>2323</v>
      </c>
      <c r="AI221" t="s">
        <v>65</v>
      </c>
      <c r="AJ221" t="s">
        <v>72</v>
      </c>
      <c r="AK221" s="3" t="s">
        <v>27</v>
      </c>
      <c r="AL221" s="3">
        <v>37383.144763999997</v>
      </c>
      <c r="AN221" t="s">
        <v>1899</v>
      </c>
      <c r="AO221" t="s">
        <v>88</v>
      </c>
      <c r="AP221" t="s">
        <v>90</v>
      </c>
      <c r="AQ221" s="3">
        <v>22361.858100000001</v>
      </c>
      <c r="AS221" t="s">
        <v>2043</v>
      </c>
      <c r="AT221" t="s">
        <v>88</v>
      </c>
      <c r="AU221" t="s">
        <v>110</v>
      </c>
      <c r="AV221" s="14">
        <v>397.61059999999998</v>
      </c>
    </row>
    <row r="222" spans="1:48">
      <c r="A222" t="s">
        <v>2091</v>
      </c>
      <c r="B222" t="s">
        <v>15</v>
      </c>
      <c r="C222" t="s">
        <v>27</v>
      </c>
      <c r="D222" t="s">
        <v>20</v>
      </c>
      <c r="E222" s="14">
        <v>9412</v>
      </c>
      <c r="G222" t="s">
        <v>2091</v>
      </c>
      <c r="H222" t="s">
        <v>15</v>
      </c>
      <c r="I222" t="s">
        <v>27</v>
      </c>
      <c r="J222" t="s">
        <v>20</v>
      </c>
      <c r="K222" s="14">
        <v>16959.311300000001</v>
      </c>
      <c r="Z222" s="3"/>
      <c r="AC222"/>
      <c r="AE222" s="3"/>
      <c r="AH222" t="s">
        <v>2323</v>
      </c>
      <c r="AI222" t="s">
        <v>65</v>
      </c>
      <c r="AJ222" t="s">
        <v>113</v>
      </c>
      <c r="AK222" s="3" t="s">
        <v>27</v>
      </c>
      <c r="AL222" s="3">
        <v>1772.0093860789</v>
      </c>
      <c r="AN222" t="s">
        <v>1900</v>
      </c>
      <c r="AO222" t="s">
        <v>88</v>
      </c>
      <c r="AP222" t="s">
        <v>86</v>
      </c>
      <c r="AQ222" s="3">
        <v>11397.6106</v>
      </c>
      <c r="AS222" t="s">
        <v>2043</v>
      </c>
      <c r="AT222" t="s">
        <v>88</v>
      </c>
      <c r="AU222" t="s">
        <v>111</v>
      </c>
      <c r="AV222" s="14">
        <v>12000</v>
      </c>
    </row>
    <row r="223" spans="1:48">
      <c r="A223" t="s">
        <v>2092</v>
      </c>
      <c r="B223" t="s">
        <v>15</v>
      </c>
      <c r="C223" t="s">
        <v>27</v>
      </c>
      <c r="D223" t="s">
        <v>20</v>
      </c>
      <c r="E223" s="14">
        <v>9512</v>
      </c>
      <c r="G223" t="s">
        <v>2092</v>
      </c>
      <c r="H223" t="s">
        <v>15</v>
      </c>
      <c r="I223" t="s">
        <v>27</v>
      </c>
      <c r="J223" t="s">
        <v>20</v>
      </c>
      <c r="K223" s="14">
        <v>16959.311300000001</v>
      </c>
      <c r="Z223" s="3"/>
      <c r="AC223"/>
      <c r="AE223" s="3"/>
      <c r="AH223" t="s">
        <v>2323</v>
      </c>
      <c r="AI223" t="s">
        <v>65</v>
      </c>
      <c r="AJ223" t="s">
        <v>108</v>
      </c>
      <c r="AK223" s="3" t="s">
        <v>27</v>
      </c>
      <c r="AL223" s="3">
        <v>-1549.1646220789</v>
      </c>
      <c r="AN223" t="s">
        <v>1900</v>
      </c>
      <c r="AO223" t="s">
        <v>88</v>
      </c>
      <c r="AP223" t="s">
        <v>90</v>
      </c>
      <c r="AQ223" s="3">
        <v>21109.658100000001</v>
      </c>
      <c r="AS223" t="s">
        <v>2043</v>
      </c>
      <c r="AT223" t="s">
        <v>88</v>
      </c>
      <c r="AU223" t="s">
        <v>268</v>
      </c>
      <c r="AV223" s="14">
        <v>0</v>
      </c>
    </row>
    <row r="224" spans="1:48">
      <c r="A224" t="s">
        <v>2093</v>
      </c>
      <c r="B224" t="s">
        <v>15</v>
      </c>
      <c r="C224" t="s">
        <v>27</v>
      </c>
      <c r="D224" t="s">
        <v>20</v>
      </c>
      <c r="E224" s="14">
        <v>9462</v>
      </c>
      <c r="G224" t="s">
        <v>2093</v>
      </c>
      <c r="H224" t="s">
        <v>15</v>
      </c>
      <c r="I224" t="s">
        <v>27</v>
      </c>
      <c r="J224" t="s">
        <v>20</v>
      </c>
      <c r="K224" s="14">
        <v>16959.311300000001</v>
      </c>
      <c r="Z224" s="3"/>
      <c r="AC224"/>
      <c r="AE224" s="3"/>
      <c r="AH224" t="s">
        <v>2323</v>
      </c>
      <c r="AI224" t="s">
        <v>65</v>
      </c>
      <c r="AJ224" t="s">
        <v>98</v>
      </c>
      <c r="AK224" s="3" t="s">
        <v>27</v>
      </c>
      <c r="AL224" s="3">
        <v>-1113.3077220789</v>
      </c>
      <c r="AN224" t="s">
        <v>1901</v>
      </c>
      <c r="AO224" t="s">
        <v>88</v>
      </c>
      <c r="AP224" t="s">
        <v>86</v>
      </c>
      <c r="AQ224" s="3">
        <v>9397.6106</v>
      </c>
      <c r="AS224" t="s">
        <v>2043</v>
      </c>
      <c r="AT224" t="s">
        <v>88</v>
      </c>
      <c r="AU224" t="s">
        <v>269</v>
      </c>
      <c r="AV224" s="14">
        <v>0</v>
      </c>
    </row>
    <row r="225" spans="1:48">
      <c r="A225" t="s">
        <v>2094</v>
      </c>
      <c r="B225" t="s">
        <v>15</v>
      </c>
      <c r="C225" t="s">
        <v>27</v>
      </c>
      <c r="D225" t="s">
        <v>20</v>
      </c>
      <c r="E225" s="14">
        <v>9762</v>
      </c>
      <c r="G225" t="s">
        <v>2094</v>
      </c>
      <c r="H225" t="s">
        <v>15</v>
      </c>
      <c r="I225" t="s">
        <v>27</v>
      </c>
      <c r="J225" t="s">
        <v>20</v>
      </c>
      <c r="K225" s="14">
        <v>16959.311300000001</v>
      </c>
      <c r="Z225" s="3"/>
      <c r="AC225"/>
      <c r="AE225" s="3"/>
      <c r="AH225" t="s">
        <v>2323</v>
      </c>
      <c r="AI225" t="s">
        <v>67</v>
      </c>
      <c r="AJ225" t="s">
        <v>66</v>
      </c>
      <c r="AK225" s="3" t="s">
        <v>27</v>
      </c>
      <c r="AL225" s="3">
        <v>-21849.7</v>
      </c>
      <c r="AN225" t="s">
        <v>1901</v>
      </c>
      <c r="AO225" t="s">
        <v>88</v>
      </c>
      <c r="AP225" t="s">
        <v>90</v>
      </c>
      <c r="AQ225" s="3">
        <v>21139.658100000001</v>
      </c>
      <c r="AS225" t="s">
        <v>2043</v>
      </c>
      <c r="AT225" t="s">
        <v>88</v>
      </c>
      <c r="AU225" t="s">
        <v>270</v>
      </c>
      <c r="AV225" s="14">
        <v>0</v>
      </c>
    </row>
    <row r="226" spans="1:48">
      <c r="A226" t="s">
        <v>2095</v>
      </c>
      <c r="B226" t="s">
        <v>15</v>
      </c>
      <c r="C226" t="s">
        <v>27</v>
      </c>
      <c r="D226" t="s">
        <v>20</v>
      </c>
      <c r="E226" s="14">
        <v>9762</v>
      </c>
      <c r="G226" t="s">
        <v>2095</v>
      </c>
      <c r="H226" t="s">
        <v>15</v>
      </c>
      <c r="I226" t="s">
        <v>27</v>
      </c>
      <c r="J226" t="s">
        <v>20</v>
      </c>
      <c r="K226" s="14">
        <v>16959.311300000001</v>
      </c>
      <c r="Z226" s="3"/>
      <c r="AC226"/>
      <c r="AE226" s="3"/>
      <c r="AH226" t="s">
        <v>2323</v>
      </c>
      <c r="AI226" t="s">
        <v>67</v>
      </c>
      <c r="AJ226" t="s">
        <v>72</v>
      </c>
      <c r="AK226" s="3" t="s">
        <v>27</v>
      </c>
      <c r="AL226" s="3">
        <v>-23406.607056000001</v>
      </c>
      <c r="AN226" t="s">
        <v>1902</v>
      </c>
      <c r="AO226" t="s">
        <v>88</v>
      </c>
      <c r="AP226" t="s">
        <v>86</v>
      </c>
      <c r="AQ226" s="3">
        <v>9397.6106</v>
      </c>
      <c r="AS226" t="s">
        <v>2043</v>
      </c>
      <c r="AT226" t="s">
        <v>88</v>
      </c>
      <c r="AU226" t="s">
        <v>271</v>
      </c>
      <c r="AV226" s="14">
        <v>10338</v>
      </c>
    </row>
    <row r="227" spans="1:48">
      <c r="A227" t="s">
        <v>2096</v>
      </c>
      <c r="B227" t="s">
        <v>15</v>
      </c>
      <c r="C227" t="s">
        <v>27</v>
      </c>
      <c r="D227" t="s">
        <v>20</v>
      </c>
      <c r="E227" s="14">
        <v>9712</v>
      </c>
      <c r="G227" t="s">
        <v>2096</v>
      </c>
      <c r="H227" t="s">
        <v>15</v>
      </c>
      <c r="I227" t="s">
        <v>27</v>
      </c>
      <c r="J227" t="s">
        <v>20</v>
      </c>
      <c r="K227" s="14">
        <v>16959.311300000001</v>
      </c>
      <c r="Z227" s="3"/>
      <c r="AC227"/>
      <c r="AE227" s="3"/>
      <c r="AH227" t="s">
        <v>2323</v>
      </c>
      <c r="AI227" t="s">
        <v>67</v>
      </c>
      <c r="AJ227" t="s">
        <v>113</v>
      </c>
      <c r="AK227" s="3" t="s">
        <v>27</v>
      </c>
      <c r="AL227" s="3">
        <v>-1652.6807147003999</v>
      </c>
      <c r="AN227" t="s">
        <v>1902</v>
      </c>
      <c r="AO227" t="s">
        <v>88</v>
      </c>
      <c r="AP227" t="s">
        <v>90</v>
      </c>
      <c r="AQ227" s="3">
        <v>21729.658100000001</v>
      </c>
      <c r="AS227" t="s">
        <v>2043</v>
      </c>
      <c r="AT227" t="s">
        <v>88</v>
      </c>
      <c r="AU227" t="s">
        <v>272</v>
      </c>
      <c r="AV227" s="14">
        <v>0</v>
      </c>
    </row>
    <row r="228" spans="1:48">
      <c r="A228" t="s">
        <v>2097</v>
      </c>
      <c r="B228" t="s">
        <v>15</v>
      </c>
      <c r="C228" t="s">
        <v>27</v>
      </c>
      <c r="D228" t="s">
        <v>20</v>
      </c>
      <c r="E228" s="14">
        <v>9912</v>
      </c>
      <c r="G228" t="s">
        <v>2097</v>
      </c>
      <c r="H228" t="s">
        <v>15</v>
      </c>
      <c r="I228" t="s">
        <v>27</v>
      </c>
      <c r="J228" t="s">
        <v>20</v>
      </c>
      <c r="K228" s="14">
        <v>16959.311300000001</v>
      </c>
      <c r="Z228" s="3"/>
      <c r="AC228"/>
      <c r="AE228" s="3"/>
      <c r="AH228" t="s">
        <v>2323</v>
      </c>
      <c r="AI228" t="s">
        <v>67</v>
      </c>
      <c r="AJ228" t="s">
        <v>108</v>
      </c>
      <c r="AK228" s="3" t="s">
        <v>27</v>
      </c>
      <c r="AL228" s="3">
        <v>95.773658700400006</v>
      </c>
      <c r="AN228" t="s">
        <v>1903</v>
      </c>
      <c r="AO228" t="s">
        <v>88</v>
      </c>
      <c r="AP228" t="s">
        <v>86</v>
      </c>
      <c r="AQ228" s="3">
        <v>9897.6106</v>
      </c>
      <c r="AS228" t="s">
        <v>2043</v>
      </c>
      <c r="AT228" t="s">
        <v>88</v>
      </c>
      <c r="AU228" t="s">
        <v>273</v>
      </c>
      <c r="AV228" s="14">
        <v>0</v>
      </c>
    </row>
    <row r="229" spans="1:48">
      <c r="A229" t="s">
        <v>2098</v>
      </c>
      <c r="B229" t="s">
        <v>15</v>
      </c>
      <c r="C229" t="s">
        <v>27</v>
      </c>
      <c r="D229" t="s">
        <v>20</v>
      </c>
      <c r="E229" s="14">
        <v>10162</v>
      </c>
      <c r="G229" t="s">
        <v>2098</v>
      </c>
      <c r="H229" t="s">
        <v>15</v>
      </c>
      <c r="I229" t="s">
        <v>27</v>
      </c>
      <c r="J229" t="s">
        <v>20</v>
      </c>
      <c r="K229" s="14">
        <v>16959.311300000001</v>
      </c>
      <c r="Z229" s="3"/>
      <c r="AC229"/>
      <c r="AE229" s="3"/>
      <c r="AH229" t="s">
        <v>2323</v>
      </c>
      <c r="AI229" t="s">
        <v>67</v>
      </c>
      <c r="AJ229" t="s">
        <v>98</v>
      </c>
      <c r="AK229" s="3" t="s">
        <v>27</v>
      </c>
      <c r="AL229" s="3">
        <v>95.773658700400006</v>
      </c>
      <c r="AN229" t="s">
        <v>1903</v>
      </c>
      <c r="AO229" t="s">
        <v>88</v>
      </c>
      <c r="AP229" t="s">
        <v>90</v>
      </c>
      <c r="AQ229" s="3">
        <v>20029.658100000001</v>
      </c>
      <c r="AS229" t="s">
        <v>2043</v>
      </c>
      <c r="AT229" t="s">
        <v>196</v>
      </c>
      <c r="AU229" t="s">
        <v>197</v>
      </c>
      <c r="AV229" s="14">
        <v>7.6532626428803798</v>
      </c>
    </row>
    <row r="230" spans="1:48">
      <c r="A230" t="s">
        <v>2099</v>
      </c>
      <c r="B230" t="s">
        <v>15</v>
      </c>
      <c r="C230" t="s">
        <v>27</v>
      </c>
      <c r="D230" t="s">
        <v>20</v>
      </c>
      <c r="E230" s="14">
        <v>9162</v>
      </c>
      <c r="G230" t="s">
        <v>2099</v>
      </c>
      <c r="H230" t="s">
        <v>15</v>
      </c>
      <c r="I230" t="s">
        <v>27</v>
      </c>
      <c r="J230" t="s">
        <v>20</v>
      </c>
      <c r="K230" s="14">
        <v>16959.311300000001</v>
      </c>
      <c r="Z230" s="3"/>
      <c r="AC230"/>
      <c r="AE230" s="3"/>
      <c r="AH230" t="s">
        <v>2323</v>
      </c>
      <c r="AI230" t="s">
        <v>67</v>
      </c>
      <c r="AJ230" t="s">
        <v>66</v>
      </c>
      <c r="AK230" s="3" t="s">
        <v>114</v>
      </c>
      <c r="AL230" s="3">
        <v>150</v>
      </c>
      <c r="AN230" t="s">
        <v>1904</v>
      </c>
      <c r="AO230" t="s">
        <v>88</v>
      </c>
      <c r="AP230" t="s">
        <v>86</v>
      </c>
      <c r="AQ230" s="3">
        <v>9897.6106</v>
      </c>
      <c r="AS230" t="s">
        <v>2043</v>
      </c>
      <c r="AT230" t="s">
        <v>196</v>
      </c>
      <c r="AU230" t="s">
        <v>109</v>
      </c>
      <c r="AV230" s="14">
        <v>7.0065049305980498</v>
      </c>
    </row>
    <row r="231" spans="1:48">
      <c r="A231" t="s">
        <v>2100</v>
      </c>
      <c r="B231" t="s">
        <v>15</v>
      </c>
      <c r="C231" t="s">
        <v>27</v>
      </c>
      <c r="D231" t="s">
        <v>20</v>
      </c>
      <c r="E231" s="14">
        <v>9262</v>
      </c>
      <c r="G231" t="s">
        <v>2100</v>
      </c>
      <c r="H231" t="s">
        <v>15</v>
      </c>
      <c r="I231" t="s">
        <v>27</v>
      </c>
      <c r="J231" t="s">
        <v>20</v>
      </c>
      <c r="K231" s="14">
        <v>16959.311300000001</v>
      </c>
      <c r="Z231" s="3"/>
      <c r="AC231"/>
      <c r="AE231" s="3"/>
      <c r="AH231" t="s">
        <v>2323</v>
      </c>
      <c r="AI231" t="s">
        <v>67</v>
      </c>
      <c r="AJ231" t="s">
        <v>98</v>
      </c>
      <c r="AK231" s="3" t="s">
        <v>114</v>
      </c>
      <c r="AL231" s="3">
        <v>0.17003424659999999</v>
      </c>
      <c r="AN231" t="s">
        <v>1904</v>
      </c>
      <c r="AO231" t="s">
        <v>88</v>
      </c>
      <c r="AP231" t="s">
        <v>90</v>
      </c>
      <c r="AQ231" s="3">
        <v>22529.658100000001</v>
      </c>
      <c r="AS231" t="s">
        <v>2043</v>
      </c>
      <c r="AT231" t="s">
        <v>196</v>
      </c>
      <c r="AU231" t="s">
        <v>198</v>
      </c>
      <c r="AV231" s="14">
        <v>7.4070014903213499</v>
      </c>
    </row>
    <row r="232" spans="1:48">
      <c r="A232" t="s">
        <v>2101</v>
      </c>
      <c r="B232" t="s">
        <v>15</v>
      </c>
      <c r="C232" t="s">
        <v>27</v>
      </c>
      <c r="D232" t="s">
        <v>20</v>
      </c>
      <c r="E232" s="14">
        <v>9362</v>
      </c>
      <c r="G232" t="s">
        <v>2101</v>
      </c>
      <c r="H232" t="s">
        <v>15</v>
      </c>
      <c r="I232" t="s">
        <v>27</v>
      </c>
      <c r="J232" t="s">
        <v>20</v>
      </c>
      <c r="K232" s="14">
        <v>16959.311300000001</v>
      </c>
      <c r="Z232" s="3"/>
      <c r="AC232"/>
      <c r="AE232" s="3"/>
      <c r="AH232" t="s">
        <v>2323</v>
      </c>
      <c r="AI232" t="s">
        <v>67</v>
      </c>
      <c r="AJ232" t="s">
        <v>66</v>
      </c>
      <c r="AK232" s="3" t="s">
        <v>115</v>
      </c>
      <c r="AL232" s="3">
        <v>21999.7</v>
      </c>
      <c r="AN232" t="s">
        <v>1905</v>
      </c>
      <c r="AO232" t="s">
        <v>88</v>
      </c>
      <c r="AP232" t="s">
        <v>86</v>
      </c>
      <c r="AQ232" s="3">
        <v>9897.6106</v>
      </c>
      <c r="AS232" t="s">
        <v>2042</v>
      </c>
      <c r="AT232" t="s">
        <v>88</v>
      </c>
      <c r="AU232" t="s">
        <v>109</v>
      </c>
      <c r="AV232" s="14">
        <v>16743.099999999999</v>
      </c>
    </row>
    <row r="233" spans="1:48">
      <c r="A233" t="s">
        <v>2102</v>
      </c>
      <c r="B233" t="s">
        <v>15</v>
      </c>
      <c r="C233" t="s">
        <v>27</v>
      </c>
      <c r="D233" t="s">
        <v>20</v>
      </c>
      <c r="E233" s="14">
        <v>9362</v>
      </c>
      <c r="G233" t="s">
        <v>2102</v>
      </c>
      <c r="H233" t="s">
        <v>15</v>
      </c>
      <c r="I233" t="s">
        <v>27</v>
      </c>
      <c r="J233" t="s">
        <v>20</v>
      </c>
      <c r="K233" s="14">
        <v>16959.311300000001</v>
      </c>
      <c r="Z233" s="3"/>
      <c r="AC233"/>
      <c r="AE233" s="3"/>
      <c r="AH233" t="s">
        <v>2323</v>
      </c>
      <c r="AI233" t="s">
        <v>67</v>
      </c>
      <c r="AJ233" t="s">
        <v>98</v>
      </c>
      <c r="AK233" s="3" t="s">
        <v>115</v>
      </c>
      <c r="AL233" s="3">
        <v>-95.603624453799995</v>
      </c>
      <c r="AN233" t="s">
        <v>1905</v>
      </c>
      <c r="AO233" t="s">
        <v>88</v>
      </c>
      <c r="AP233" t="s">
        <v>90</v>
      </c>
      <c r="AQ233" s="3">
        <v>25819.658100000001</v>
      </c>
      <c r="AS233" t="s">
        <v>2042</v>
      </c>
      <c r="AT233" t="s">
        <v>88</v>
      </c>
      <c r="AU233" t="s">
        <v>110</v>
      </c>
      <c r="AV233" s="14">
        <v>397.61059999999998</v>
      </c>
    </row>
    <row r="234" spans="1:48">
      <c r="A234" t="s">
        <v>2103</v>
      </c>
      <c r="B234" t="s">
        <v>15</v>
      </c>
      <c r="C234" t="s">
        <v>27</v>
      </c>
      <c r="D234" t="s">
        <v>20</v>
      </c>
      <c r="E234" s="14">
        <v>9362</v>
      </c>
      <c r="G234" t="s">
        <v>2103</v>
      </c>
      <c r="H234" t="s">
        <v>15</v>
      </c>
      <c r="I234" t="s">
        <v>27</v>
      </c>
      <c r="J234" t="s">
        <v>20</v>
      </c>
      <c r="K234" s="14">
        <v>16959.311300000001</v>
      </c>
      <c r="Z234" s="3"/>
      <c r="AC234"/>
      <c r="AE234" s="3"/>
      <c r="AH234" t="s">
        <v>2323</v>
      </c>
      <c r="AI234" t="s">
        <v>68</v>
      </c>
      <c r="AJ234" t="s">
        <v>66</v>
      </c>
      <c r="AK234" s="3" t="s">
        <v>27</v>
      </c>
      <c r="AL234" s="3">
        <v>2202.4</v>
      </c>
      <c r="AN234" t="s">
        <v>1906</v>
      </c>
      <c r="AO234" t="s">
        <v>88</v>
      </c>
      <c r="AP234" t="s">
        <v>86</v>
      </c>
      <c r="AQ234" s="3">
        <v>9897.6106</v>
      </c>
      <c r="AS234" t="s">
        <v>2042</v>
      </c>
      <c r="AT234" t="s">
        <v>88</v>
      </c>
      <c r="AU234" t="s">
        <v>111</v>
      </c>
      <c r="AV234" s="14">
        <v>11000</v>
      </c>
    </row>
    <row r="235" spans="1:48">
      <c r="A235" t="s">
        <v>2104</v>
      </c>
      <c r="B235" t="s">
        <v>15</v>
      </c>
      <c r="C235" t="s">
        <v>27</v>
      </c>
      <c r="D235" t="s">
        <v>20</v>
      </c>
      <c r="E235" s="14">
        <v>9362</v>
      </c>
      <c r="G235" t="s">
        <v>2104</v>
      </c>
      <c r="H235" t="s">
        <v>15</v>
      </c>
      <c r="I235" t="s">
        <v>27</v>
      </c>
      <c r="J235" t="s">
        <v>20</v>
      </c>
      <c r="K235" s="14">
        <v>16959.311300000001</v>
      </c>
      <c r="Z235" s="3"/>
      <c r="AC235"/>
      <c r="AE235" s="3"/>
      <c r="AH235" t="s">
        <v>2323</v>
      </c>
      <c r="AI235" t="s">
        <v>68</v>
      </c>
      <c r="AJ235" t="s">
        <v>72</v>
      </c>
      <c r="AK235" s="3" t="s">
        <v>27</v>
      </c>
      <c r="AL235" s="3">
        <v>2021.3697119999999</v>
      </c>
      <c r="AN235" t="s">
        <v>1906</v>
      </c>
      <c r="AO235" t="s">
        <v>88</v>
      </c>
      <c r="AP235" t="s">
        <v>90</v>
      </c>
      <c r="AQ235" s="3">
        <v>23789.658100000001</v>
      </c>
      <c r="AS235" t="s">
        <v>2042</v>
      </c>
      <c r="AT235" t="s">
        <v>88</v>
      </c>
      <c r="AU235" t="s">
        <v>268</v>
      </c>
      <c r="AV235" s="14">
        <v>950</v>
      </c>
    </row>
    <row r="236" spans="1:48">
      <c r="A236" t="s">
        <v>2105</v>
      </c>
      <c r="B236" t="s">
        <v>15</v>
      </c>
      <c r="C236" t="s">
        <v>27</v>
      </c>
      <c r="D236" t="s">
        <v>20</v>
      </c>
      <c r="E236" s="14">
        <v>9362</v>
      </c>
      <c r="G236" t="s">
        <v>2105</v>
      </c>
      <c r="H236" t="s">
        <v>15</v>
      </c>
      <c r="I236" t="s">
        <v>27</v>
      </c>
      <c r="J236" t="s">
        <v>20</v>
      </c>
      <c r="K236" s="14">
        <v>16959.311300000001</v>
      </c>
      <c r="Z236" s="3"/>
      <c r="AC236"/>
      <c r="AE236" s="3"/>
      <c r="AH236" t="s">
        <v>2323</v>
      </c>
      <c r="AI236" t="s">
        <v>68</v>
      </c>
      <c r="AJ236" t="s">
        <v>113</v>
      </c>
      <c r="AK236" s="3" t="s">
        <v>27</v>
      </c>
      <c r="AL236" s="3">
        <v>-73.624492171100002</v>
      </c>
      <c r="AN236" t="s">
        <v>1907</v>
      </c>
      <c r="AO236" t="s">
        <v>88</v>
      </c>
      <c r="AP236" t="s">
        <v>86</v>
      </c>
      <c r="AQ236" s="3">
        <v>9897.6106</v>
      </c>
      <c r="AS236" t="s">
        <v>2042</v>
      </c>
      <c r="AT236" t="s">
        <v>88</v>
      </c>
      <c r="AU236" t="s">
        <v>269</v>
      </c>
      <c r="AV236" s="14">
        <v>0</v>
      </c>
    </row>
    <row r="237" spans="1:48">
      <c r="A237" t="s">
        <v>2106</v>
      </c>
      <c r="B237" t="s">
        <v>15</v>
      </c>
      <c r="C237" t="s">
        <v>27</v>
      </c>
      <c r="D237" t="s">
        <v>20</v>
      </c>
      <c r="E237" s="14">
        <v>9512</v>
      </c>
      <c r="G237" t="s">
        <v>2106</v>
      </c>
      <c r="H237" t="s">
        <v>15</v>
      </c>
      <c r="I237" t="s">
        <v>27</v>
      </c>
      <c r="J237" t="s">
        <v>20</v>
      </c>
      <c r="K237" s="14">
        <v>16959.311300000001</v>
      </c>
      <c r="Z237" s="3"/>
      <c r="AC237"/>
      <c r="AE237" s="3"/>
      <c r="AH237" t="s">
        <v>2323</v>
      </c>
      <c r="AI237" t="s">
        <v>68</v>
      </c>
      <c r="AJ237" t="s">
        <v>108</v>
      </c>
      <c r="AK237" s="3" t="s">
        <v>27</v>
      </c>
      <c r="AL237" s="3">
        <v>-107.4057958289</v>
      </c>
      <c r="AN237" t="s">
        <v>1907</v>
      </c>
      <c r="AO237" t="s">
        <v>88</v>
      </c>
      <c r="AP237" t="s">
        <v>90</v>
      </c>
      <c r="AQ237" s="3">
        <v>18557.329099999999</v>
      </c>
      <c r="AS237" t="s">
        <v>2042</v>
      </c>
      <c r="AT237" t="s">
        <v>88</v>
      </c>
      <c r="AU237" t="s">
        <v>270</v>
      </c>
      <c r="AV237" s="14">
        <v>0</v>
      </c>
    </row>
    <row r="238" spans="1:48">
      <c r="A238" t="s">
        <v>2107</v>
      </c>
      <c r="B238" t="s">
        <v>15</v>
      </c>
      <c r="C238" t="s">
        <v>27</v>
      </c>
      <c r="D238" t="s">
        <v>20</v>
      </c>
      <c r="E238" s="14">
        <v>9662</v>
      </c>
      <c r="G238" t="s">
        <v>2107</v>
      </c>
      <c r="H238" t="s">
        <v>15</v>
      </c>
      <c r="I238" t="s">
        <v>27</v>
      </c>
      <c r="J238" t="s">
        <v>20</v>
      </c>
      <c r="K238" s="14">
        <v>16959.311300000001</v>
      </c>
      <c r="Z238" s="3"/>
      <c r="AC238"/>
      <c r="AE238" s="3"/>
      <c r="AH238" t="s">
        <v>2323</v>
      </c>
      <c r="AI238" t="s">
        <v>68</v>
      </c>
      <c r="AJ238" t="s">
        <v>98</v>
      </c>
      <c r="AK238" s="3" t="s">
        <v>27</v>
      </c>
      <c r="AL238" s="3">
        <v>-107.4057958289</v>
      </c>
      <c r="AN238" t="s">
        <v>1908</v>
      </c>
      <c r="AO238" t="s">
        <v>88</v>
      </c>
      <c r="AP238" t="s">
        <v>86</v>
      </c>
      <c r="AQ238" s="3">
        <v>9897.6106</v>
      </c>
      <c r="AS238" t="s">
        <v>2042</v>
      </c>
      <c r="AT238" t="s">
        <v>88</v>
      </c>
      <c r="AU238" t="s">
        <v>271</v>
      </c>
      <c r="AV238" s="14">
        <v>9506</v>
      </c>
    </row>
    <row r="239" spans="1:48">
      <c r="A239" t="s">
        <v>2108</v>
      </c>
      <c r="B239" t="s">
        <v>15</v>
      </c>
      <c r="C239" t="s">
        <v>27</v>
      </c>
      <c r="D239" t="s">
        <v>20</v>
      </c>
      <c r="E239" s="14">
        <v>9862</v>
      </c>
      <c r="G239" t="s">
        <v>2108</v>
      </c>
      <c r="H239" t="s">
        <v>15</v>
      </c>
      <c r="I239" t="s">
        <v>27</v>
      </c>
      <c r="J239" t="s">
        <v>20</v>
      </c>
      <c r="K239" s="14">
        <v>16959.311300000001</v>
      </c>
      <c r="Z239" s="3"/>
      <c r="AC239"/>
      <c r="AE239" s="3"/>
      <c r="AH239" t="s">
        <v>2323</v>
      </c>
      <c r="AI239" t="s">
        <v>68</v>
      </c>
      <c r="AJ239" t="s">
        <v>66</v>
      </c>
      <c r="AK239" s="3" t="s">
        <v>114</v>
      </c>
      <c r="AL239" s="3">
        <v>5332.4</v>
      </c>
      <c r="AN239" t="s">
        <v>1908</v>
      </c>
      <c r="AO239" t="s">
        <v>88</v>
      </c>
      <c r="AP239" t="s">
        <v>90</v>
      </c>
      <c r="AQ239" s="3">
        <v>17407.329099999999</v>
      </c>
      <c r="AS239" t="s">
        <v>2042</v>
      </c>
      <c r="AT239" t="s">
        <v>88</v>
      </c>
      <c r="AU239" t="s">
        <v>272</v>
      </c>
      <c r="AV239" s="14">
        <v>0</v>
      </c>
    </row>
    <row r="240" spans="1:48">
      <c r="A240" t="s">
        <v>2109</v>
      </c>
      <c r="B240" t="s">
        <v>15</v>
      </c>
      <c r="C240" t="s">
        <v>27</v>
      </c>
      <c r="D240" t="s">
        <v>20</v>
      </c>
      <c r="E240" s="14">
        <v>9862</v>
      </c>
      <c r="G240" t="s">
        <v>2109</v>
      </c>
      <c r="H240" t="s">
        <v>15</v>
      </c>
      <c r="I240" t="s">
        <v>27</v>
      </c>
      <c r="J240" t="s">
        <v>20</v>
      </c>
      <c r="K240" s="14">
        <v>16959.311300000001</v>
      </c>
      <c r="Z240" s="3"/>
      <c r="AC240"/>
      <c r="AE240" s="3"/>
      <c r="AH240" t="s">
        <v>2323</v>
      </c>
      <c r="AI240" t="s">
        <v>68</v>
      </c>
      <c r="AJ240" t="s">
        <v>98</v>
      </c>
      <c r="AK240" s="3" t="s">
        <v>114</v>
      </c>
      <c r="AL240" s="3">
        <v>-355.42308158899999</v>
      </c>
      <c r="AN240" t="s">
        <v>1909</v>
      </c>
      <c r="AO240" t="s">
        <v>88</v>
      </c>
      <c r="AP240" t="s">
        <v>86</v>
      </c>
      <c r="AQ240" s="3">
        <v>9897.6106</v>
      </c>
      <c r="AS240" t="s">
        <v>2042</v>
      </c>
      <c r="AT240" t="s">
        <v>88</v>
      </c>
      <c r="AU240" t="s">
        <v>273</v>
      </c>
      <c r="AV240" s="14">
        <v>1000</v>
      </c>
    </row>
    <row r="241" spans="1:48">
      <c r="A241" t="s">
        <v>2110</v>
      </c>
      <c r="B241" t="s">
        <v>15</v>
      </c>
      <c r="C241" t="s">
        <v>27</v>
      </c>
      <c r="D241" t="s">
        <v>20</v>
      </c>
      <c r="E241" s="14">
        <v>10012</v>
      </c>
      <c r="G241" t="s">
        <v>2110</v>
      </c>
      <c r="H241" t="s">
        <v>15</v>
      </c>
      <c r="I241" t="s">
        <v>27</v>
      </c>
      <c r="J241" t="s">
        <v>20</v>
      </c>
      <c r="K241" s="14">
        <v>16959.311300000001</v>
      </c>
      <c r="Z241" s="3"/>
      <c r="AC241"/>
      <c r="AE241" s="3"/>
      <c r="AH241" t="s">
        <v>2323</v>
      </c>
      <c r="AI241" t="s">
        <v>68</v>
      </c>
      <c r="AJ241" t="s">
        <v>66</v>
      </c>
      <c r="AK241" s="3" t="s">
        <v>115</v>
      </c>
      <c r="AL241" s="3">
        <v>3130</v>
      </c>
      <c r="AN241" t="s">
        <v>1909</v>
      </c>
      <c r="AO241" t="s">
        <v>88</v>
      </c>
      <c r="AP241" t="s">
        <v>90</v>
      </c>
      <c r="AQ241" s="3">
        <v>18207.329099999999</v>
      </c>
      <c r="AS241" t="s">
        <v>2042</v>
      </c>
      <c r="AT241" t="s">
        <v>196</v>
      </c>
      <c r="AU241" t="s">
        <v>197</v>
      </c>
      <c r="AV241" s="14">
        <v>7.5297866228816197</v>
      </c>
    </row>
    <row r="242" spans="1:48">
      <c r="A242" t="s">
        <v>2111</v>
      </c>
      <c r="B242" t="s">
        <v>15</v>
      </c>
      <c r="C242" t="s">
        <v>27</v>
      </c>
      <c r="D242" t="s">
        <v>20</v>
      </c>
      <c r="E242" s="14">
        <v>9962</v>
      </c>
      <c r="G242" t="s">
        <v>2111</v>
      </c>
      <c r="H242" t="s">
        <v>15</v>
      </c>
      <c r="I242" t="s">
        <v>27</v>
      </c>
      <c r="J242" t="s">
        <v>20</v>
      </c>
      <c r="K242" s="14">
        <v>16959.311300000001</v>
      </c>
      <c r="Z242" s="3"/>
      <c r="AC242"/>
      <c r="AE242" s="3"/>
      <c r="AH242" t="s">
        <v>2323</v>
      </c>
      <c r="AI242" t="s">
        <v>68</v>
      </c>
      <c r="AJ242" t="s">
        <v>98</v>
      </c>
      <c r="AK242" s="3" t="s">
        <v>115</v>
      </c>
      <c r="AL242" s="3">
        <v>-248.01728576010001</v>
      </c>
      <c r="AN242" t="s">
        <v>1910</v>
      </c>
      <c r="AO242" t="s">
        <v>88</v>
      </c>
      <c r="AP242" t="s">
        <v>86</v>
      </c>
      <c r="AQ242" s="3">
        <v>9897.6106</v>
      </c>
      <c r="AS242" t="s">
        <v>2042</v>
      </c>
      <c r="AT242" t="s">
        <v>196</v>
      </c>
      <c r="AU242" t="s">
        <v>109</v>
      </c>
      <c r="AV242" s="14">
        <v>7.1099620133477597</v>
      </c>
    </row>
    <row r="243" spans="1:48">
      <c r="A243" t="s">
        <v>2112</v>
      </c>
      <c r="B243" t="s">
        <v>15</v>
      </c>
      <c r="C243" t="s">
        <v>27</v>
      </c>
      <c r="D243" t="s">
        <v>20</v>
      </c>
      <c r="E243" s="14">
        <v>10262</v>
      </c>
      <c r="G243" t="s">
        <v>2112</v>
      </c>
      <c r="H243" t="s">
        <v>15</v>
      </c>
      <c r="I243" t="s">
        <v>27</v>
      </c>
      <c r="J243" t="s">
        <v>20</v>
      </c>
      <c r="K243" s="14">
        <v>16959.311300000001</v>
      </c>
      <c r="Z243" s="3"/>
      <c r="AC243"/>
      <c r="AE243" s="3"/>
      <c r="AH243" t="s">
        <v>2323</v>
      </c>
      <c r="AI243" t="s">
        <v>800</v>
      </c>
      <c r="AJ243" t="s">
        <v>31</v>
      </c>
      <c r="AK243" s="3" t="s">
        <v>27</v>
      </c>
      <c r="AL243" s="3">
        <v>4.0147676105999999</v>
      </c>
      <c r="AN243" t="s">
        <v>1910</v>
      </c>
      <c r="AO243" t="s">
        <v>88</v>
      </c>
      <c r="AP243" t="s">
        <v>90</v>
      </c>
      <c r="AQ243" s="3">
        <v>17907.329099999999</v>
      </c>
      <c r="AS243" t="s">
        <v>2042</v>
      </c>
      <c r="AT243" t="s">
        <v>196</v>
      </c>
      <c r="AU243" t="s">
        <v>198</v>
      </c>
      <c r="AV243" s="14">
        <v>7.40841417552127</v>
      </c>
    </row>
    <row r="244" spans="1:48">
      <c r="A244" t="s">
        <v>2113</v>
      </c>
      <c r="B244" t="s">
        <v>15</v>
      </c>
      <c r="C244" t="s">
        <v>27</v>
      </c>
      <c r="D244" t="s">
        <v>20</v>
      </c>
      <c r="E244" s="14">
        <v>10512</v>
      </c>
      <c r="G244" t="s">
        <v>2113</v>
      </c>
      <c r="H244" t="s">
        <v>15</v>
      </c>
      <c r="I244" t="s">
        <v>27</v>
      </c>
      <c r="J244" t="s">
        <v>20</v>
      </c>
      <c r="K244" s="14">
        <v>16959.311300000001</v>
      </c>
      <c r="Z244" s="3"/>
      <c r="AC244"/>
      <c r="AE244" s="3"/>
      <c r="AH244" t="s">
        <v>2321</v>
      </c>
      <c r="AI244" t="s">
        <v>800</v>
      </c>
      <c r="AJ244" t="s">
        <v>31</v>
      </c>
      <c r="AK244" s="3" t="s">
        <v>27</v>
      </c>
      <c r="AL244" s="3">
        <v>4.0021905916999998</v>
      </c>
      <c r="AN244" t="s">
        <v>1911</v>
      </c>
      <c r="AO244" t="s">
        <v>88</v>
      </c>
      <c r="AP244" t="s">
        <v>86</v>
      </c>
      <c r="AQ244" s="3">
        <v>9897.6106</v>
      </c>
      <c r="AS244" t="s">
        <v>2041</v>
      </c>
      <c r="AT244" t="s">
        <v>88</v>
      </c>
      <c r="AU244" t="s">
        <v>109</v>
      </c>
      <c r="AV244" s="14">
        <v>16643.099999999999</v>
      </c>
    </row>
    <row r="245" spans="1:48">
      <c r="A245" t="s">
        <v>2114</v>
      </c>
      <c r="B245" t="s">
        <v>15</v>
      </c>
      <c r="C245" t="s">
        <v>27</v>
      </c>
      <c r="D245" t="s">
        <v>20</v>
      </c>
      <c r="E245" s="14">
        <v>10412</v>
      </c>
      <c r="G245" t="s">
        <v>2114</v>
      </c>
      <c r="H245" t="s">
        <v>15</v>
      </c>
      <c r="I245" t="s">
        <v>27</v>
      </c>
      <c r="J245" t="s">
        <v>20</v>
      </c>
      <c r="K245" s="14">
        <v>16959.311300000001</v>
      </c>
      <c r="Z245" s="3"/>
      <c r="AC245"/>
      <c r="AE245" s="3"/>
      <c r="AH245" t="s">
        <v>2321</v>
      </c>
      <c r="AI245" t="s">
        <v>65</v>
      </c>
      <c r="AJ245" t="s">
        <v>66</v>
      </c>
      <c r="AK245" s="3" t="s">
        <v>27</v>
      </c>
      <c r="AL245" s="3">
        <v>37399.300000000003</v>
      </c>
      <c r="AN245" t="s">
        <v>1911</v>
      </c>
      <c r="AO245" t="s">
        <v>88</v>
      </c>
      <c r="AP245" t="s">
        <v>90</v>
      </c>
      <c r="AQ245" s="3">
        <v>15471.829100000001</v>
      </c>
      <c r="AS245" t="s">
        <v>2041</v>
      </c>
      <c r="AT245" t="s">
        <v>88</v>
      </c>
      <c r="AU245" t="s">
        <v>110</v>
      </c>
      <c r="AV245" s="14">
        <v>397.61059999999998</v>
      </c>
    </row>
    <row r="246" spans="1:48">
      <c r="A246" t="s">
        <v>2115</v>
      </c>
      <c r="B246" t="s">
        <v>15</v>
      </c>
      <c r="C246" t="s">
        <v>27</v>
      </c>
      <c r="D246" t="s">
        <v>20</v>
      </c>
      <c r="E246" s="14">
        <v>10412</v>
      </c>
      <c r="G246" t="s">
        <v>2115</v>
      </c>
      <c r="H246" t="s">
        <v>15</v>
      </c>
      <c r="I246" t="s">
        <v>27</v>
      </c>
      <c r="J246" t="s">
        <v>20</v>
      </c>
      <c r="K246" s="14">
        <v>16959.311300000001</v>
      </c>
      <c r="Z246" s="3"/>
      <c r="AC246"/>
      <c r="AE246" s="3"/>
      <c r="AH246" t="s">
        <v>2321</v>
      </c>
      <c r="AI246" t="s">
        <v>65</v>
      </c>
      <c r="AJ246" t="s">
        <v>72</v>
      </c>
      <c r="AK246" s="3" t="s">
        <v>27</v>
      </c>
      <c r="AL246" s="3">
        <v>37618.026110999999</v>
      </c>
      <c r="AN246" t="s">
        <v>1912</v>
      </c>
      <c r="AO246" t="s">
        <v>88</v>
      </c>
      <c r="AP246" t="s">
        <v>86</v>
      </c>
      <c r="AQ246" s="3">
        <v>9897.6106</v>
      </c>
      <c r="AS246" t="s">
        <v>2041</v>
      </c>
      <c r="AT246" t="s">
        <v>88</v>
      </c>
      <c r="AU246" t="s">
        <v>111</v>
      </c>
      <c r="AV246" s="14">
        <v>10000</v>
      </c>
    </row>
    <row r="247" spans="1:48">
      <c r="A247" t="s">
        <v>2116</v>
      </c>
      <c r="B247" t="s">
        <v>15</v>
      </c>
      <c r="C247" t="s">
        <v>27</v>
      </c>
      <c r="D247" t="s">
        <v>20</v>
      </c>
      <c r="E247" s="14">
        <v>10362</v>
      </c>
      <c r="G247" t="s">
        <v>2116</v>
      </c>
      <c r="H247" t="s">
        <v>15</v>
      </c>
      <c r="I247" t="s">
        <v>27</v>
      </c>
      <c r="J247" t="s">
        <v>20</v>
      </c>
      <c r="K247" s="14">
        <v>16959.311300000001</v>
      </c>
      <c r="Z247" s="3"/>
      <c r="AC247"/>
      <c r="AE247" s="3"/>
      <c r="AH247" t="s">
        <v>2321</v>
      </c>
      <c r="AI247" t="s">
        <v>65</v>
      </c>
      <c r="AJ247" t="s">
        <v>113</v>
      </c>
      <c r="AK247" s="3" t="s">
        <v>27</v>
      </c>
      <c r="AL247" s="3">
        <v>1785.092611588</v>
      </c>
      <c r="AN247" t="s">
        <v>1912</v>
      </c>
      <c r="AO247" t="s">
        <v>88</v>
      </c>
      <c r="AP247" t="s">
        <v>90</v>
      </c>
      <c r="AQ247" s="3">
        <v>16149.829100000001</v>
      </c>
      <c r="AS247" t="s">
        <v>2041</v>
      </c>
      <c r="AT247" t="s">
        <v>88</v>
      </c>
      <c r="AU247" t="s">
        <v>268</v>
      </c>
      <c r="AV247" s="14">
        <v>0</v>
      </c>
    </row>
    <row r="248" spans="1:48">
      <c r="A248" t="s">
        <v>2117</v>
      </c>
      <c r="B248" t="s">
        <v>15</v>
      </c>
      <c r="C248" t="s">
        <v>27</v>
      </c>
      <c r="D248" t="s">
        <v>20</v>
      </c>
      <c r="E248" s="14">
        <v>10512</v>
      </c>
      <c r="G248" t="s">
        <v>2117</v>
      </c>
      <c r="H248" t="s">
        <v>15</v>
      </c>
      <c r="I248" t="s">
        <v>27</v>
      </c>
      <c r="J248" t="s">
        <v>20</v>
      </c>
      <c r="K248" s="14">
        <v>16959.311300000001</v>
      </c>
      <c r="Z248" s="3"/>
      <c r="AC248"/>
      <c r="AE248" s="3"/>
      <c r="AH248" t="s">
        <v>2321</v>
      </c>
      <c r="AI248" t="s">
        <v>65</v>
      </c>
      <c r="AJ248" t="s">
        <v>108</v>
      </c>
      <c r="AK248" s="3" t="s">
        <v>27</v>
      </c>
      <c r="AL248" s="3">
        <v>-1566.366500588</v>
      </c>
      <c r="AN248" t="s">
        <v>1913</v>
      </c>
      <c r="AO248" t="s">
        <v>88</v>
      </c>
      <c r="AP248" t="s">
        <v>86</v>
      </c>
      <c r="AQ248" s="3">
        <v>9897.6106</v>
      </c>
      <c r="AS248" t="s">
        <v>2041</v>
      </c>
      <c r="AT248" t="s">
        <v>88</v>
      </c>
      <c r="AU248" t="s">
        <v>269</v>
      </c>
      <c r="AV248" s="14">
        <v>0</v>
      </c>
    </row>
    <row r="249" spans="1:48">
      <c r="A249" t="s">
        <v>2118</v>
      </c>
      <c r="B249" t="s">
        <v>15</v>
      </c>
      <c r="C249" t="s">
        <v>27</v>
      </c>
      <c r="D249" t="s">
        <v>20</v>
      </c>
      <c r="E249" s="14">
        <v>10812</v>
      </c>
      <c r="G249" t="s">
        <v>2118</v>
      </c>
      <c r="H249" t="s">
        <v>15</v>
      </c>
      <c r="I249" t="s">
        <v>27</v>
      </c>
      <c r="J249" t="s">
        <v>20</v>
      </c>
      <c r="K249" s="14">
        <v>16959.311300000001</v>
      </c>
      <c r="Z249" s="3"/>
      <c r="AC249"/>
      <c r="AE249" s="3"/>
      <c r="AH249" t="s">
        <v>2321</v>
      </c>
      <c r="AI249" t="s">
        <v>65</v>
      </c>
      <c r="AJ249" t="s">
        <v>98</v>
      </c>
      <c r="AK249" s="3" t="s">
        <v>27</v>
      </c>
      <c r="AL249" s="3">
        <v>-1130.9117805880001</v>
      </c>
      <c r="AN249" t="s">
        <v>1913</v>
      </c>
      <c r="AO249" t="s">
        <v>88</v>
      </c>
      <c r="AP249" t="s">
        <v>90</v>
      </c>
      <c r="AQ249" s="3">
        <v>16492.129099999998</v>
      </c>
      <c r="AS249" t="s">
        <v>2041</v>
      </c>
      <c r="AT249" t="s">
        <v>88</v>
      </c>
      <c r="AU249" t="s">
        <v>270</v>
      </c>
      <c r="AV249" s="14">
        <v>0</v>
      </c>
    </row>
    <row r="250" spans="1:48">
      <c r="A250" t="s">
        <v>2119</v>
      </c>
      <c r="B250" t="s">
        <v>15</v>
      </c>
      <c r="C250" t="s">
        <v>27</v>
      </c>
      <c r="D250" t="s">
        <v>20</v>
      </c>
      <c r="E250" s="14">
        <v>10762</v>
      </c>
      <c r="G250" t="s">
        <v>2119</v>
      </c>
      <c r="H250" t="s">
        <v>15</v>
      </c>
      <c r="I250" t="s">
        <v>27</v>
      </c>
      <c r="J250" t="s">
        <v>20</v>
      </c>
      <c r="K250" s="14">
        <v>16959.311300000001</v>
      </c>
      <c r="Z250" s="3"/>
      <c r="AC250"/>
      <c r="AE250" s="3"/>
      <c r="AH250" t="s">
        <v>2321</v>
      </c>
      <c r="AI250" t="s">
        <v>67</v>
      </c>
      <c r="AJ250" t="s">
        <v>66</v>
      </c>
      <c r="AK250" s="3" t="s">
        <v>27</v>
      </c>
      <c r="AL250" s="3">
        <v>-21933.7</v>
      </c>
      <c r="AN250" t="s">
        <v>1914</v>
      </c>
      <c r="AO250" t="s">
        <v>88</v>
      </c>
      <c r="AP250" t="s">
        <v>86</v>
      </c>
      <c r="AQ250" s="3">
        <v>9897.6106</v>
      </c>
      <c r="AS250" t="s">
        <v>2041</v>
      </c>
      <c r="AT250" t="s">
        <v>88</v>
      </c>
      <c r="AU250" t="s">
        <v>271</v>
      </c>
      <c r="AV250" s="14">
        <v>10556</v>
      </c>
    </row>
    <row r="251" spans="1:48">
      <c r="A251" t="s">
        <v>2120</v>
      </c>
      <c r="B251" t="s">
        <v>15</v>
      </c>
      <c r="C251" t="s">
        <v>27</v>
      </c>
      <c r="D251" t="s">
        <v>20</v>
      </c>
      <c r="E251" s="14">
        <v>10562</v>
      </c>
      <c r="G251" t="s">
        <v>2120</v>
      </c>
      <c r="H251" t="s">
        <v>15</v>
      </c>
      <c r="I251" t="s">
        <v>27</v>
      </c>
      <c r="J251" t="s">
        <v>20</v>
      </c>
      <c r="K251" s="14">
        <v>16959.311300000001</v>
      </c>
      <c r="Z251" s="3"/>
      <c r="AC251"/>
      <c r="AE251" s="3"/>
      <c r="AH251" t="s">
        <v>2321</v>
      </c>
      <c r="AI251" t="s">
        <v>67</v>
      </c>
      <c r="AJ251" t="s">
        <v>72</v>
      </c>
      <c r="AK251" s="3" t="s">
        <v>27</v>
      </c>
      <c r="AL251" s="3">
        <v>-23500.903489</v>
      </c>
      <c r="AN251" t="s">
        <v>1914</v>
      </c>
      <c r="AO251" t="s">
        <v>88</v>
      </c>
      <c r="AP251" t="s">
        <v>90</v>
      </c>
      <c r="AQ251" s="3">
        <v>17222.129099999998</v>
      </c>
      <c r="AS251" t="s">
        <v>2041</v>
      </c>
      <c r="AT251" t="s">
        <v>88</v>
      </c>
      <c r="AU251" t="s">
        <v>272</v>
      </c>
      <c r="AV251" s="14">
        <v>0</v>
      </c>
    </row>
    <row r="252" spans="1:48">
      <c r="A252" t="s">
        <v>2121</v>
      </c>
      <c r="B252" t="s">
        <v>15</v>
      </c>
      <c r="C252" t="s">
        <v>27</v>
      </c>
      <c r="D252" t="s">
        <v>20</v>
      </c>
      <c r="E252" s="14">
        <v>10562</v>
      </c>
      <c r="G252" t="s">
        <v>2121</v>
      </c>
      <c r="H252" t="s">
        <v>15</v>
      </c>
      <c r="I252" t="s">
        <v>27</v>
      </c>
      <c r="J252" t="s">
        <v>20</v>
      </c>
      <c r="K252" s="14">
        <v>16959.311300000001</v>
      </c>
      <c r="Z252" s="3"/>
      <c r="AC252"/>
      <c r="AE252" s="3"/>
      <c r="AH252" t="s">
        <v>2321</v>
      </c>
      <c r="AI252" t="s">
        <v>67</v>
      </c>
      <c r="AJ252" t="s">
        <v>113</v>
      </c>
      <c r="AK252" s="3" t="s">
        <v>27</v>
      </c>
      <c r="AL252" s="3">
        <v>-1674.8531462512999</v>
      </c>
      <c r="AN252" t="s">
        <v>1915</v>
      </c>
      <c r="AO252" t="s">
        <v>88</v>
      </c>
      <c r="AP252" t="s">
        <v>86</v>
      </c>
      <c r="AQ252" s="3">
        <v>9897.6106</v>
      </c>
      <c r="AS252" t="s">
        <v>2041</v>
      </c>
      <c r="AT252" t="s">
        <v>88</v>
      </c>
      <c r="AU252" t="s">
        <v>273</v>
      </c>
      <c r="AV252" s="14">
        <v>1000</v>
      </c>
    </row>
    <row r="253" spans="1:48">
      <c r="A253" t="s">
        <v>2122</v>
      </c>
      <c r="B253" t="s">
        <v>15</v>
      </c>
      <c r="C253" t="s">
        <v>27</v>
      </c>
      <c r="D253" t="s">
        <v>20</v>
      </c>
      <c r="E253" s="14">
        <v>10762</v>
      </c>
      <c r="G253" t="s">
        <v>2122</v>
      </c>
      <c r="H253" t="s">
        <v>15</v>
      </c>
      <c r="I253" t="s">
        <v>27</v>
      </c>
      <c r="J253" t="s">
        <v>20</v>
      </c>
      <c r="K253" s="14">
        <v>16959.311300000001</v>
      </c>
      <c r="Z253" s="3"/>
      <c r="AC253"/>
      <c r="AE253" s="3"/>
      <c r="AH253" t="s">
        <v>2321</v>
      </c>
      <c r="AI253" t="s">
        <v>67</v>
      </c>
      <c r="AJ253" t="s">
        <v>108</v>
      </c>
      <c r="AK253" s="3" t="s">
        <v>27</v>
      </c>
      <c r="AL253" s="3">
        <v>107.6496572513</v>
      </c>
      <c r="AN253" t="s">
        <v>1915</v>
      </c>
      <c r="AO253" t="s">
        <v>88</v>
      </c>
      <c r="AP253" t="s">
        <v>90</v>
      </c>
      <c r="AQ253" s="3">
        <v>17052.3717</v>
      </c>
      <c r="AS253" t="s">
        <v>2041</v>
      </c>
      <c r="AT253" t="s">
        <v>196</v>
      </c>
      <c r="AU253" t="s">
        <v>197</v>
      </c>
      <c r="AV253" s="14">
        <v>7.3882991661730602</v>
      </c>
    </row>
    <row r="254" spans="1:48">
      <c r="A254" t="s">
        <v>2123</v>
      </c>
      <c r="B254" t="s">
        <v>15</v>
      </c>
      <c r="C254" t="s">
        <v>27</v>
      </c>
      <c r="D254" t="s">
        <v>20</v>
      </c>
      <c r="E254" s="14">
        <v>10762</v>
      </c>
      <c r="G254" t="s">
        <v>2123</v>
      </c>
      <c r="H254" t="s">
        <v>15</v>
      </c>
      <c r="I254" t="s">
        <v>27</v>
      </c>
      <c r="J254" t="s">
        <v>20</v>
      </c>
      <c r="K254" s="14">
        <v>16959.311300000001</v>
      </c>
      <c r="Z254" s="3"/>
      <c r="AC254"/>
      <c r="AE254" s="3"/>
      <c r="AH254" t="s">
        <v>2321</v>
      </c>
      <c r="AI254" t="s">
        <v>67</v>
      </c>
      <c r="AJ254" t="s">
        <v>98</v>
      </c>
      <c r="AK254" s="3" t="s">
        <v>27</v>
      </c>
      <c r="AL254" s="3">
        <v>107.6496572513</v>
      </c>
      <c r="AN254" t="s">
        <v>1916</v>
      </c>
      <c r="AO254" t="s">
        <v>88</v>
      </c>
      <c r="AP254" t="s">
        <v>86</v>
      </c>
      <c r="AQ254" s="3">
        <v>9897.6106</v>
      </c>
      <c r="AS254" t="s">
        <v>2041</v>
      </c>
      <c r="AT254" t="s">
        <v>196</v>
      </c>
      <c r="AU254" t="s">
        <v>109</v>
      </c>
      <c r="AV254" s="14">
        <v>7.1798466992865997</v>
      </c>
    </row>
    <row r="255" spans="1:48">
      <c r="A255" t="s">
        <v>2124</v>
      </c>
      <c r="B255" t="s">
        <v>15</v>
      </c>
      <c r="C255" t="s">
        <v>27</v>
      </c>
      <c r="D255" t="s">
        <v>20</v>
      </c>
      <c r="E255" s="14">
        <v>10262</v>
      </c>
      <c r="G255" t="s">
        <v>2124</v>
      </c>
      <c r="H255" t="s">
        <v>15</v>
      </c>
      <c r="I255" t="s">
        <v>27</v>
      </c>
      <c r="J255" t="s">
        <v>20</v>
      </c>
      <c r="K255" s="14">
        <v>16959.311300000001</v>
      </c>
      <c r="Z255" s="3"/>
      <c r="AC255"/>
      <c r="AE255" s="3"/>
      <c r="AH255" t="s">
        <v>2321</v>
      </c>
      <c r="AI255" t="s">
        <v>67</v>
      </c>
      <c r="AJ255" t="s">
        <v>66</v>
      </c>
      <c r="AK255" s="3" t="s">
        <v>114</v>
      </c>
      <c r="AL255" s="3">
        <v>561</v>
      </c>
      <c r="AN255" t="s">
        <v>1916</v>
      </c>
      <c r="AO255" t="s">
        <v>88</v>
      </c>
      <c r="AP255" t="s">
        <v>90</v>
      </c>
      <c r="AQ255" s="3">
        <v>16402.3717</v>
      </c>
      <c r="AS255" t="s">
        <v>2041</v>
      </c>
      <c r="AT255" t="s">
        <v>196</v>
      </c>
      <c r="AU255" t="s">
        <v>198</v>
      </c>
      <c r="AV255" s="14">
        <v>7.3888121275573102</v>
      </c>
    </row>
    <row r="256" spans="1:48">
      <c r="A256" t="s">
        <v>2125</v>
      </c>
      <c r="B256" t="s">
        <v>15</v>
      </c>
      <c r="C256" t="s">
        <v>27</v>
      </c>
      <c r="D256" t="s">
        <v>20</v>
      </c>
      <c r="E256" s="14">
        <v>10262</v>
      </c>
      <c r="G256" t="s">
        <v>2125</v>
      </c>
      <c r="H256" t="s">
        <v>15</v>
      </c>
      <c r="I256" t="s">
        <v>27</v>
      </c>
      <c r="J256" t="s">
        <v>20</v>
      </c>
      <c r="K256" s="14">
        <v>16959.311300000001</v>
      </c>
      <c r="Z256" s="3"/>
      <c r="AC256"/>
      <c r="AE256" s="3"/>
      <c r="AH256" t="s">
        <v>2321</v>
      </c>
      <c r="AI256" t="s">
        <v>67</v>
      </c>
      <c r="AJ256" t="s">
        <v>98</v>
      </c>
      <c r="AK256" s="3" t="s">
        <v>114</v>
      </c>
      <c r="AL256" s="3">
        <v>-37.669463287699998</v>
      </c>
      <c r="AN256" t="s">
        <v>1917</v>
      </c>
      <c r="AO256" t="s">
        <v>88</v>
      </c>
      <c r="AP256" t="s">
        <v>86</v>
      </c>
      <c r="AQ256" s="3">
        <v>9897.6106</v>
      </c>
      <c r="AS256" t="s">
        <v>2040</v>
      </c>
      <c r="AT256" t="s">
        <v>88</v>
      </c>
      <c r="AU256" t="s">
        <v>109</v>
      </c>
      <c r="AV256" s="14">
        <v>16993.099999999999</v>
      </c>
    </row>
    <row r="257" spans="1:48">
      <c r="A257" t="s">
        <v>2126</v>
      </c>
      <c r="B257" t="s">
        <v>15</v>
      </c>
      <c r="C257" t="s">
        <v>27</v>
      </c>
      <c r="D257" t="s">
        <v>20</v>
      </c>
      <c r="E257" s="14">
        <v>10062</v>
      </c>
      <c r="G257" t="s">
        <v>2126</v>
      </c>
      <c r="H257" t="s">
        <v>15</v>
      </c>
      <c r="I257" t="s">
        <v>27</v>
      </c>
      <c r="J257" t="s">
        <v>20</v>
      </c>
      <c r="K257" s="14">
        <v>16959.311300000001</v>
      </c>
      <c r="Z257" s="3"/>
      <c r="AC257"/>
      <c r="AE257" s="3"/>
      <c r="AH257" t="s">
        <v>2321</v>
      </c>
      <c r="AI257" t="s">
        <v>67</v>
      </c>
      <c r="AJ257" t="s">
        <v>66</v>
      </c>
      <c r="AK257" s="3" t="s">
        <v>115</v>
      </c>
      <c r="AL257" s="3">
        <v>22494.7</v>
      </c>
      <c r="AN257" t="s">
        <v>1917</v>
      </c>
      <c r="AO257" t="s">
        <v>88</v>
      </c>
      <c r="AP257" t="s">
        <v>90</v>
      </c>
      <c r="AQ257" s="3">
        <v>16352.3717</v>
      </c>
      <c r="AS257" t="s">
        <v>2040</v>
      </c>
      <c r="AT257" t="s">
        <v>88</v>
      </c>
      <c r="AU257" t="s">
        <v>110</v>
      </c>
      <c r="AV257" s="14">
        <v>397.61059999999998</v>
      </c>
    </row>
    <row r="258" spans="1:48">
      <c r="A258" t="s">
        <v>2127</v>
      </c>
      <c r="B258" t="s">
        <v>15</v>
      </c>
      <c r="C258" t="s">
        <v>27</v>
      </c>
      <c r="D258" t="s">
        <v>20</v>
      </c>
      <c r="E258" s="14">
        <v>10362</v>
      </c>
      <c r="G258" t="s">
        <v>2127</v>
      </c>
      <c r="H258" t="s">
        <v>15</v>
      </c>
      <c r="I258" t="s">
        <v>27</v>
      </c>
      <c r="J258" t="s">
        <v>20</v>
      </c>
      <c r="K258" s="14">
        <v>16959.311300000001</v>
      </c>
      <c r="Z258" s="3"/>
      <c r="AC258"/>
      <c r="AE258" s="3"/>
      <c r="AH258" t="s">
        <v>2321</v>
      </c>
      <c r="AI258" t="s">
        <v>67</v>
      </c>
      <c r="AJ258" t="s">
        <v>98</v>
      </c>
      <c r="AK258" s="3" t="s">
        <v>115</v>
      </c>
      <c r="AL258" s="3">
        <v>-145.31912053889999</v>
      </c>
      <c r="AN258" t="s">
        <v>1918</v>
      </c>
      <c r="AO258" t="s">
        <v>88</v>
      </c>
      <c r="AP258" t="s">
        <v>86</v>
      </c>
      <c r="AQ258" s="3">
        <v>9897.6106</v>
      </c>
      <c r="AS258" t="s">
        <v>2040</v>
      </c>
      <c r="AT258" t="s">
        <v>88</v>
      </c>
      <c r="AU258" t="s">
        <v>111</v>
      </c>
      <c r="AV258" s="14">
        <v>10000</v>
      </c>
    </row>
    <row r="259" spans="1:48">
      <c r="A259" t="s">
        <v>2128</v>
      </c>
      <c r="B259" t="s">
        <v>15</v>
      </c>
      <c r="C259" t="s">
        <v>27</v>
      </c>
      <c r="D259" t="s">
        <v>20</v>
      </c>
      <c r="E259" s="14">
        <v>10362</v>
      </c>
      <c r="G259" t="s">
        <v>2128</v>
      </c>
      <c r="H259" t="s">
        <v>15</v>
      </c>
      <c r="I259" t="s">
        <v>27</v>
      </c>
      <c r="J259" t="s">
        <v>20</v>
      </c>
      <c r="K259" s="14">
        <v>16959.311300000001</v>
      </c>
      <c r="Z259" s="3"/>
      <c r="AC259"/>
      <c r="AE259" s="3"/>
      <c r="AH259" t="s">
        <v>2321</v>
      </c>
      <c r="AI259" t="s">
        <v>68</v>
      </c>
      <c r="AJ259" t="s">
        <v>66</v>
      </c>
      <c r="AK259" s="3" t="s">
        <v>27</v>
      </c>
      <c r="AL259" s="3">
        <v>2197.4</v>
      </c>
      <c r="AN259" t="s">
        <v>1918</v>
      </c>
      <c r="AO259" t="s">
        <v>88</v>
      </c>
      <c r="AP259" t="s">
        <v>90</v>
      </c>
      <c r="AQ259" s="3">
        <v>16352.3717</v>
      </c>
      <c r="AS259" t="s">
        <v>2040</v>
      </c>
      <c r="AT259" t="s">
        <v>88</v>
      </c>
      <c r="AU259" t="s">
        <v>268</v>
      </c>
      <c r="AV259" s="14">
        <v>0</v>
      </c>
    </row>
    <row r="260" spans="1:48">
      <c r="A260" t="s">
        <v>2129</v>
      </c>
      <c r="B260" t="s">
        <v>15</v>
      </c>
      <c r="C260" t="s">
        <v>27</v>
      </c>
      <c r="D260" t="s">
        <v>20</v>
      </c>
      <c r="E260" s="14">
        <v>10362</v>
      </c>
      <c r="G260" t="s">
        <v>2129</v>
      </c>
      <c r="H260" t="s">
        <v>15</v>
      </c>
      <c r="I260" t="s">
        <v>27</v>
      </c>
      <c r="J260" t="s">
        <v>20</v>
      </c>
      <c r="K260" s="14">
        <v>16959.311300000001</v>
      </c>
      <c r="Z260" s="3"/>
      <c r="AC260"/>
      <c r="AE260" s="3"/>
      <c r="AH260" t="s">
        <v>2321</v>
      </c>
      <c r="AI260" t="s">
        <v>68</v>
      </c>
      <c r="AJ260" t="s">
        <v>72</v>
      </c>
      <c r="AK260" s="3" t="s">
        <v>27</v>
      </c>
      <c r="AL260" s="3">
        <v>2050.1686979999999</v>
      </c>
      <c r="AN260" t="s">
        <v>1919</v>
      </c>
      <c r="AO260" t="s">
        <v>88</v>
      </c>
      <c r="AP260" t="s">
        <v>86</v>
      </c>
      <c r="AQ260" s="3">
        <v>9897.6106</v>
      </c>
      <c r="AS260" t="s">
        <v>2040</v>
      </c>
      <c r="AT260" t="s">
        <v>88</v>
      </c>
      <c r="AU260" t="s">
        <v>269</v>
      </c>
      <c r="AV260" s="14">
        <v>0</v>
      </c>
    </row>
    <row r="261" spans="1:48">
      <c r="A261" t="s">
        <v>2130</v>
      </c>
      <c r="B261" t="s">
        <v>15</v>
      </c>
      <c r="C261" t="s">
        <v>27</v>
      </c>
      <c r="D261" t="s">
        <v>20</v>
      </c>
      <c r="E261" s="14">
        <v>10362</v>
      </c>
      <c r="G261" t="s">
        <v>2130</v>
      </c>
      <c r="H261" t="s">
        <v>15</v>
      </c>
      <c r="I261" t="s">
        <v>27</v>
      </c>
      <c r="J261" t="s">
        <v>20</v>
      </c>
      <c r="K261" s="14">
        <v>16959.311300000001</v>
      </c>
      <c r="Z261" s="3"/>
      <c r="AC261"/>
      <c r="AE261" s="3"/>
      <c r="AH261" t="s">
        <v>2321</v>
      </c>
      <c r="AI261" t="s">
        <v>68</v>
      </c>
      <c r="AJ261" t="s">
        <v>113</v>
      </c>
      <c r="AK261" s="3" t="s">
        <v>27</v>
      </c>
      <c r="AL261" s="3">
        <v>-45.015835776099998</v>
      </c>
      <c r="AN261" t="s">
        <v>1919</v>
      </c>
      <c r="AO261" t="s">
        <v>88</v>
      </c>
      <c r="AP261" t="s">
        <v>90</v>
      </c>
      <c r="AQ261" s="3">
        <v>17252.3717</v>
      </c>
      <c r="AS261" t="s">
        <v>2040</v>
      </c>
      <c r="AT261" t="s">
        <v>88</v>
      </c>
      <c r="AU261" t="s">
        <v>270</v>
      </c>
      <c r="AV261" s="14">
        <v>0</v>
      </c>
    </row>
    <row r="262" spans="1:48">
      <c r="A262" t="s">
        <v>2131</v>
      </c>
      <c r="B262" t="s">
        <v>15</v>
      </c>
      <c r="C262" t="s">
        <v>27</v>
      </c>
      <c r="D262" t="s">
        <v>20</v>
      </c>
      <c r="E262" s="14">
        <v>10362</v>
      </c>
      <c r="G262" t="s">
        <v>2131</v>
      </c>
      <c r="H262" t="s">
        <v>15</v>
      </c>
      <c r="I262" t="s">
        <v>27</v>
      </c>
      <c r="J262" t="s">
        <v>20</v>
      </c>
      <c r="K262" s="14">
        <v>16959.311300000001</v>
      </c>
      <c r="Z262" s="3"/>
      <c r="AC262"/>
      <c r="AE262" s="3"/>
      <c r="AH262" t="s">
        <v>2321</v>
      </c>
      <c r="AI262" t="s">
        <v>68</v>
      </c>
      <c r="AJ262" t="s">
        <v>108</v>
      </c>
      <c r="AK262" s="3" t="s">
        <v>27</v>
      </c>
      <c r="AL262" s="3">
        <v>-102.21546622389999</v>
      </c>
      <c r="AN262" t="s">
        <v>1920</v>
      </c>
      <c r="AO262" t="s">
        <v>88</v>
      </c>
      <c r="AP262" t="s">
        <v>86</v>
      </c>
      <c r="AQ262" s="3">
        <v>9897.6106</v>
      </c>
      <c r="AS262" t="s">
        <v>2040</v>
      </c>
      <c r="AT262" t="s">
        <v>88</v>
      </c>
      <c r="AU262" t="s">
        <v>271</v>
      </c>
      <c r="AV262" s="14">
        <v>10556</v>
      </c>
    </row>
    <row r="263" spans="1:48">
      <c r="A263" t="s">
        <v>2132</v>
      </c>
      <c r="B263" t="s">
        <v>15</v>
      </c>
      <c r="C263" t="s">
        <v>27</v>
      </c>
      <c r="D263" t="s">
        <v>20</v>
      </c>
      <c r="E263" s="14">
        <v>10362</v>
      </c>
      <c r="G263" t="s">
        <v>2132</v>
      </c>
      <c r="H263" t="s">
        <v>15</v>
      </c>
      <c r="I263" t="s">
        <v>27</v>
      </c>
      <c r="J263" t="s">
        <v>20</v>
      </c>
      <c r="K263" s="14">
        <v>16959.311300000001</v>
      </c>
      <c r="Z263" s="3"/>
      <c r="AC263"/>
      <c r="AE263" s="3"/>
      <c r="AH263" t="s">
        <v>2321</v>
      </c>
      <c r="AI263" t="s">
        <v>68</v>
      </c>
      <c r="AJ263" t="s">
        <v>98</v>
      </c>
      <c r="AK263" s="3" t="s">
        <v>27</v>
      </c>
      <c r="AL263" s="3">
        <v>-102.21546622389999</v>
      </c>
      <c r="AN263" t="s">
        <v>1920</v>
      </c>
      <c r="AO263" t="s">
        <v>88</v>
      </c>
      <c r="AP263" t="s">
        <v>90</v>
      </c>
      <c r="AQ263" s="3">
        <v>16184.700699999999</v>
      </c>
      <c r="AS263" t="s">
        <v>2040</v>
      </c>
      <c r="AT263" t="s">
        <v>88</v>
      </c>
      <c r="AU263" t="s">
        <v>272</v>
      </c>
      <c r="AV263" s="14">
        <v>0</v>
      </c>
    </row>
    <row r="264" spans="1:48">
      <c r="A264" t="s">
        <v>2133</v>
      </c>
      <c r="B264" t="s">
        <v>15</v>
      </c>
      <c r="C264" t="s">
        <v>27</v>
      </c>
      <c r="D264" t="s">
        <v>20</v>
      </c>
      <c r="E264" s="14">
        <v>10362</v>
      </c>
      <c r="G264" t="s">
        <v>2133</v>
      </c>
      <c r="H264" t="s">
        <v>15</v>
      </c>
      <c r="I264" t="s">
        <v>27</v>
      </c>
      <c r="J264" t="s">
        <v>20</v>
      </c>
      <c r="K264" s="14">
        <v>16959.311300000001</v>
      </c>
      <c r="Z264" s="3"/>
      <c r="AC264"/>
      <c r="AE264" s="3"/>
      <c r="AH264" t="s">
        <v>2321</v>
      </c>
      <c r="AI264" t="s">
        <v>68</v>
      </c>
      <c r="AJ264" t="s">
        <v>66</v>
      </c>
      <c r="AK264" s="3" t="s">
        <v>114</v>
      </c>
      <c r="AL264" s="3">
        <v>3152.4</v>
      </c>
      <c r="AN264" t="s">
        <v>1921</v>
      </c>
      <c r="AO264" t="s">
        <v>88</v>
      </c>
      <c r="AP264" t="s">
        <v>86</v>
      </c>
      <c r="AQ264" s="3">
        <v>9897.6106</v>
      </c>
      <c r="AS264" t="s">
        <v>2040</v>
      </c>
      <c r="AT264" t="s">
        <v>88</v>
      </c>
      <c r="AU264" t="s">
        <v>273</v>
      </c>
      <c r="AV264" s="14">
        <v>0</v>
      </c>
    </row>
    <row r="265" spans="1:48">
      <c r="A265" t="s">
        <v>2134</v>
      </c>
      <c r="B265" t="s">
        <v>15</v>
      </c>
      <c r="C265" t="s">
        <v>27</v>
      </c>
      <c r="D265" t="s">
        <v>20</v>
      </c>
      <c r="E265" s="14">
        <v>10112</v>
      </c>
      <c r="G265" t="s">
        <v>2134</v>
      </c>
      <c r="H265" t="s">
        <v>15</v>
      </c>
      <c r="I265" t="s">
        <v>27</v>
      </c>
      <c r="J265" t="s">
        <v>20</v>
      </c>
      <c r="K265" s="14">
        <v>16959.311300000001</v>
      </c>
      <c r="Z265" s="3"/>
      <c r="AC265"/>
      <c r="AE265" s="3"/>
      <c r="AH265" t="s">
        <v>2321</v>
      </c>
      <c r="AI265" t="s">
        <v>68</v>
      </c>
      <c r="AJ265" t="s">
        <v>98</v>
      </c>
      <c r="AK265" s="3" t="s">
        <v>114</v>
      </c>
      <c r="AL265" s="3">
        <v>-173.43044147949999</v>
      </c>
      <c r="AN265" t="s">
        <v>1921</v>
      </c>
      <c r="AO265" t="s">
        <v>88</v>
      </c>
      <c r="AP265" t="s">
        <v>90</v>
      </c>
      <c r="AQ265" s="3">
        <v>17284.700700000001</v>
      </c>
      <c r="AS265" t="s">
        <v>2040</v>
      </c>
      <c r="AT265" t="s">
        <v>196</v>
      </c>
      <c r="AU265" t="s">
        <v>197</v>
      </c>
      <c r="AV265" s="14">
        <v>7.3882991661730602</v>
      </c>
    </row>
    <row r="266" spans="1:48">
      <c r="A266" t="s">
        <v>2135</v>
      </c>
      <c r="B266" t="s">
        <v>15</v>
      </c>
      <c r="C266" t="s">
        <v>27</v>
      </c>
      <c r="D266" t="s">
        <v>20</v>
      </c>
      <c r="E266" s="14">
        <v>10012</v>
      </c>
      <c r="G266" t="s">
        <v>2135</v>
      </c>
      <c r="H266" t="s">
        <v>15</v>
      </c>
      <c r="I266" t="s">
        <v>27</v>
      </c>
      <c r="J266" t="s">
        <v>20</v>
      </c>
      <c r="K266" s="14">
        <v>16959.311300000001</v>
      </c>
      <c r="Z266" s="3"/>
      <c r="AC266"/>
      <c r="AE266" s="3"/>
      <c r="AH266" t="s">
        <v>2321</v>
      </c>
      <c r="AI266" t="s">
        <v>68</v>
      </c>
      <c r="AJ266" t="s">
        <v>66</v>
      </c>
      <c r="AK266" s="3" t="s">
        <v>115</v>
      </c>
      <c r="AL266" s="3">
        <v>955</v>
      </c>
      <c r="AN266" t="s">
        <v>1922</v>
      </c>
      <c r="AO266" t="s">
        <v>88</v>
      </c>
      <c r="AP266" t="s">
        <v>86</v>
      </c>
      <c r="AQ266" s="3">
        <v>9897.6106</v>
      </c>
      <c r="AS266" t="s">
        <v>2040</v>
      </c>
      <c r="AT266" t="s">
        <v>196</v>
      </c>
      <c r="AU266" t="s">
        <v>109</v>
      </c>
      <c r="AV266" s="14">
        <v>7.1541853525528101</v>
      </c>
    </row>
    <row r="267" spans="1:48">
      <c r="A267" t="s">
        <v>2136</v>
      </c>
      <c r="B267" t="s">
        <v>15</v>
      </c>
      <c r="C267" t="s">
        <v>27</v>
      </c>
      <c r="D267" t="s">
        <v>20</v>
      </c>
      <c r="E267" s="14">
        <v>10012</v>
      </c>
      <c r="G267" t="s">
        <v>2136</v>
      </c>
      <c r="H267" t="s">
        <v>15</v>
      </c>
      <c r="I267" t="s">
        <v>27</v>
      </c>
      <c r="J267" t="s">
        <v>20</v>
      </c>
      <c r="K267" s="14">
        <v>16959.311300000001</v>
      </c>
      <c r="Z267" s="3"/>
      <c r="AC267"/>
      <c r="AE267" s="3"/>
      <c r="AH267" t="s">
        <v>2321</v>
      </c>
      <c r="AI267" t="s">
        <v>68</v>
      </c>
      <c r="AJ267" t="s">
        <v>98</v>
      </c>
      <c r="AK267" s="3" t="s">
        <v>115</v>
      </c>
      <c r="AL267" s="3">
        <v>-71.214975255499994</v>
      </c>
      <c r="AN267" t="s">
        <v>1922</v>
      </c>
      <c r="AO267" t="s">
        <v>88</v>
      </c>
      <c r="AP267" t="s">
        <v>90</v>
      </c>
      <c r="AQ267" s="3">
        <v>18784.700700000001</v>
      </c>
      <c r="AS267" t="s">
        <v>2040</v>
      </c>
      <c r="AT267" t="s">
        <v>196</v>
      </c>
      <c r="AU267" t="s">
        <v>198</v>
      </c>
      <c r="AV267" s="14">
        <v>7.3711371235801098</v>
      </c>
    </row>
    <row r="268" spans="1:48">
      <c r="A268" t="s">
        <v>2137</v>
      </c>
      <c r="B268" t="s">
        <v>15</v>
      </c>
      <c r="C268" t="s">
        <v>27</v>
      </c>
      <c r="D268" t="s">
        <v>20</v>
      </c>
      <c r="E268" s="14">
        <v>10062</v>
      </c>
      <c r="G268" t="s">
        <v>2137</v>
      </c>
      <c r="H268" t="s">
        <v>15</v>
      </c>
      <c r="I268" t="s">
        <v>27</v>
      </c>
      <c r="J268" t="s">
        <v>20</v>
      </c>
      <c r="K268" s="14">
        <v>16959.311300000001</v>
      </c>
      <c r="Z268" s="3"/>
      <c r="AC268"/>
      <c r="AE268" s="3"/>
      <c r="AH268" t="s">
        <v>2320</v>
      </c>
      <c r="AI268" t="s">
        <v>800</v>
      </c>
      <c r="AJ268" t="s">
        <v>31</v>
      </c>
      <c r="AK268" s="3" t="s">
        <v>27</v>
      </c>
      <c r="AL268" s="3">
        <v>4.0150835013000004</v>
      </c>
      <c r="AN268" t="s">
        <v>1923</v>
      </c>
      <c r="AO268" t="s">
        <v>88</v>
      </c>
      <c r="AP268" t="s">
        <v>86</v>
      </c>
      <c r="AQ268" s="3">
        <v>9897.6106</v>
      </c>
      <c r="AS268" t="s">
        <v>2034</v>
      </c>
      <c r="AT268" t="s">
        <v>88</v>
      </c>
      <c r="AU268" t="s">
        <v>109</v>
      </c>
      <c r="AV268" s="14">
        <v>15501.1</v>
      </c>
    </row>
    <row r="269" spans="1:48">
      <c r="A269" t="s">
        <v>2138</v>
      </c>
      <c r="B269" t="s">
        <v>15</v>
      </c>
      <c r="C269" t="s">
        <v>27</v>
      </c>
      <c r="D269" t="s">
        <v>20</v>
      </c>
      <c r="E269" s="14">
        <v>10062</v>
      </c>
      <c r="G269" t="s">
        <v>2138</v>
      </c>
      <c r="H269" t="s">
        <v>15</v>
      </c>
      <c r="I269" t="s">
        <v>27</v>
      </c>
      <c r="J269" t="s">
        <v>20</v>
      </c>
      <c r="K269" s="14">
        <v>16959.311300000001</v>
      </c>
      <c r="Z269" s="3"/>
      <c r="AC269"/>
      <c r="AE269" s="3"/>
      <c r="AH269" t="s">
        <v>2320</v>
      </c>
      <c r="AI269" t="s">
        <v>65</v>
      </c>
      <c r="AJ269" t="s">
        <v>66</v>
      </c>
      <c r="AK269" s="3" t="s">
        <v>27</v>
      </c>
      <c r="AL269" s="3">
        <v>38599.300000000003</v>
      </c>
      <c r="AN269" t="s">
        <v>1923</v>
      </c>
      <c r="AO269" t="s">
        <v>88</v>
      </c>
      <c r="AP269" t="s">
        <v>90</v>
      </c>
      <c r="AQ269" s="3">
        <v>17284.700700000001</v>
      </c>
      <c r="AS269" t="s">
        <v>2034</v>
      </c>
      <c r="AT269" t="s">
        <v>88</v>
      </c>
      <c r="AU269" t="s">
        <v>110</v>
      </c>
      <c r="AV269" s="14">
        <v>397.61059999999998</v>
      </c>
    </row>
    <row r="270" spans="1:48">
      <c r="A270" t="s">
        <v>2139</v>
      </c>
      <c r="B270" t="s">
        <v>15</v>
      </c>
      <c r="C270" t="s">
        <v>27</v>
      </c>
      <c r="D270" t="s">
        <v>20</v>
      </c>
      <c r="E270" s="14">
        <v>10062</v>
      </c>
      <c r="G270" t="s">
        <v>2139</v>
      </c>
      <c r="H270" t="s">
        <v>15</v>
      </c>
      <c r="I270" t="s">
        <v>27</v>
      </c>
      <c r="J270" t="s">
        <v>20</v>
      </c>
      <c r="K270" s="14">
        <v>16959.311300000001</v>
      </c>
      <c r="Z270" s="3"/>
      <c r="AC270"/>
      <c r="AE270" s="3"/>
      <c r="AH270" t="s">
        <v>2320</v>
      </c>
      <c r="AI270" t="s">
        <v>65</v>
      </c>
      <c r="AJ270" t="s">
        <v>72</v>
      </c>
      <c r="AK270" s="3" t="s">
        <v>27</v>
      </c>
      <c r="AL270" s="3">
        <v>38787.352625</v>
      </c>
      <c r="AN270" t="s">
        <v>1924</v>
      </c>
      <c r="AO270" t="s">
        <v>88</v>
      </c>
      <c r="AP270" t="s">
        <v>86</v>
      </c>
      <c r="AQ270" s="3">
        <v>9897.6106</v>
      </c>
      <c r="AS270" t="s">
        <v>2034</v>
      </c>
      <c r="AT270" t="s">
        <v>88</v>
      </c>
      <c r="AU270" t="s">
        <v>111</v>
      </c>
      <c r="AV270" s="14">
        <v>10000</v>
      </c>
    </row>
    <row r="271" spans="1:48">
      <c r="A271" t="s">
        <v>2140</v>
      </c>
      <c r="B271" t="s">
        <v>15</v>
      </c>
      <c r="C271" t="s">
        <v>27</v>
      </c>
      <c r="D271" t="s">
        <v>20</v>
      </c>
      <c r="E271" s="14">
        <v>9662</v>
      </c>
      <c r="G271" t="s">
        <v>2140</v>
      </c>
      <c r="H271" t="s">
        <v>15</v>
      </c>
      <c r="I271" t="s">
        <v>27</v>
      </c>
      <c r="J271" t="s">
        <v>20</v>
      </c>
      <c r="K271" s="14">
        <v>16959.311300000001</v>
      </c>
      <c r="Z271" s="3"/>
      <c r="AC271"/>
      <c r="AE271" s="3"/>
      <c r="AH271" t="s">
        <v>2320</v>
      </c>
      <c r="AI271" t="s">
        <v>65</v>
      </c>
      <c r="AJ271" t="s">
        <v>113</v>
      </c>
      <c r="AK271" s="3" t="s">
        <v>27</v>
      </c>
      <c r="AL271" s="3">
        <v>1781.1672200956</v>
      </c>
      <c r="AN271" t="s">
        <v>1924</v>
      </c>
      <c r="AO271" t="s">
        <v>88</v>
      </c>
      <c r="AP271" t="s">
        <v>90</v>
      </c>
      <c r="AQ271" s="3">
        <v>16434.700700000001</v>
      </c>
      <c r="AS271" t="s">
        <v>2034</v>
      </c>
      <c r="AT271" t="s">
        <v>88</v>
      </c>
      <c r="AU271" t="s">
        <v>268</v>
      </c>
      <c r="AV271" s="14">
        <v>0</v>
      </c>
    </row>
    <row r="272" spans="1:48">
      <c r="A272" t="s">
        <v>2141</v>
      </c>
      <c r="B272" t="s">
        <v>15</v>
      </c>
      <c r="C272" t="s">
        <v>27</v>
      </c>
      <c r="D272" t="s">
        <v>20</v>
      </c>
      <c r="E272" s="14">
        <v>9662</v>
      </c>
      <c r="G272" t="s">
        <v>2141</v>
      </c>
      <c r="H272" t="s">
        <v>15</v>
      </c>
      <c r="I272" t="s">
        <v>27</v>
      </c>
      <c r="J272" t="s">
        <v>20</v>
      </c>
      <c r="K272" s="14">
        <v>16959.311300000001</v>
      </c>
      <c r="Z272" s="3"/>
      <c r="AC272"/>
      <c r="AE272" s="3"/>
      <c r="AH272" t="s">
        <v>2320</v>
      </c>
      <c r="AI272" t="s">
        <v>65</v>
      </c>
      <c r="AJ272" t="s">
        <v>108</v>
      </c>
      <c r="AK272" s="3" t="s">
        <v>27</v>
      </c>
      <c r="AL272" s="3">
        <v>-1593.1145950956</v>
      </c>
      <c r="AN272" t="s">
        <v>1925</v>
      </c>
      <c r="AO272" t="s">
        <v>88</v>
      </c>
      <c r="AP272" t="s">
        <v>86</v>
      </c>
      <c r="AQ272" s="3">
        <v>9897.6106</v>
      </c>
      <c r="AS272" t="s">
        <v>2034</v>
      </c>
      <c r="AT272" t="s">
        <v>88</v>
      </c>
      <c r="AU272" t="s">
        <v>269</v>
      </c>
      <c r="AV272" s="14">
        <v>0</v>
      </c>
    </row>
    <row r="273" spans="1:48">
      <c r="A273" t="s">
        <v>2142</v>
      </c>
      <c r="B273" t="s">
        <v>15</v>
      </c>
      <c r="C273" t="s">
        <v>27</v>
      </c>
      <c r="D273" t="s">
        <v>20</v>
      </c>
      <c r="E273" s="14">
        <v>9662</v>
      </c>
      <c r="G273" t="s">
        <v>2142</v>
      </c>
      <c r="H273" t="s">
        <v>15</v>
      </c>
      <c r="I273" t="s">
        <v>27</v>
      </c>
      <c r="J273" t="s">
        <v>20</v>
      </c>
      <c r="K273" s="14">
        <v>16959.311300000001</v>
      </c>
      <c r="Z273" s="3"/>
      <c r="AC273"/>
      <c r="AE273" s="3"/>
      <c r="AH273" t="s">
        <v>2320</v>
      </c>
      <c r="AI273" t="s">
        <v>65</v>
      </c>
      <c r="AJ273" t="s">
        <v>98</v>
      </c>
      <c r="AK273" s="3" t="s">
        <v>27</v>
      </c>
      <c r="AL273" s="3">
        <v>-1156.7839050955999</v>
      </c>
      <c r="AN273" t="s">
        <v>1925</v>
      </c>
      <c r="AO273" t="s">
        <v>88</v>
      </c>
      <c r="AP273" t="s">
        <v>90</v>
      </c>
      <c r="AQ273" s="3">
        <v>17184.700700000001</v>
      </c>
      <c r="AS273" t="s">
        <v>2034</v>
      </c>
      <c r="AT273" t="s">
        <v>88</v>
      </c>
      <c r="AU273" t="s">
        <v>270</v>
      </c>
      <c r="AV273" s="14">
        <v>0</v>
      </c>
    </row>
    <row r="274" spans="1:48">
      <c r="A274" t="s">
        <v>2143</v>
      </c>
      <c r="B274" t="s">
        <v>15</v>
      </c>
      <c r="C274" t="s">
        <v>27</v>
      </c>
      <c r="D274" t="s">
        <v>20</v>
      </c>
      <c r="E274" s="14">
        <v>9912</v>
      </c>
      <c r="G274" t="s">
        <v>2143</v>
      </c>
      <c r="H274" t="s">
        <v>15</v>
      </c>
      <c r="I274" t="s">
        <v>27</v>
      </c>
      <c r="J274" t="s">
        <v>20</v>
      </c>
      <c r="K274" s="14">
        <v>16959.311300000001</v>
      </c>
      <c r="Z274" s="3"/>
      <c r="AC274"/>
      <c r="AE274" s="3"/>
      <c r="AH274" t="s">
        <v>2320</v>
      </c>
      <c r="AI274" t="s">
        <v>67</v>
      </c>
      <c r="AJ274" t="s">
        <v>66</v>
      </c>
      <c r="AK274" s="3" t="s">
        <v>27</v>
      </c>
      <c r="AL274" s="3">
        <v>-23044.7</v>
      </c>
      <c r="AN274" t="s">
        <v>1926</v>
      </c>
      <c r="AO274" t="s">
        <v>88</v>
      </c>
      <c r="AP274" t="s">
        <v>86</v>
      </c>
      <c r="AQ274" s="3">
        <v>9897.6106</v>
      </c>
      <c r="AS274" t="s">
        <v>2034</v>
      </c>
      <c r="AT274" t="s">
        <v>88</v>
      </c>
      <c r="AU274" t="s">
        <v>271</v>
      </c>
      <c r="AV274" s="14">
        <v>11448</v>
      </c>
    </row>
    <row r="275" spans="1:48">
      <c r="A275" t="s">
        <v>2144</v>
      </c>
      <c r="B275" t="s">
        <v>15</v>
      </c>
      <c r="C275" t="s">
        <v>27</v>
      </c>
      <c r="D275" t="s">
        <v>20</v>
      </c>
      <c r="E275" s="14">
        <v>10212</v>
      </c>
      <c r="G275" t="s">
        <v>2144</v>
      </c>
      <c r="H275" t="s">
        <v>15</v>
      </c>
      <c r="I275" t="s">
        <v>27</v>
      </c>
      <c r="J275" t="s">
        <v>20</v>
      </c>
      <c r="K275" s="14">
        <v>16959.311300000001</v>
      </c>
      <c r="Z275" s="3"/>
      <c r="AC275"/>
      <c r="AE275" s="3"/>
      <c r="AH275" t="s">
        <v>2320</v>
      </c>
      <c r="AI275" t="s">
        <v>67</v>
      </c>
      <c r="AJ275" t="s">
        <v>72</v>
      </c>
      <c r="AK275" s="3" t="s">
        <v>27</v>
      </c>
      <c r="AL275" s="3">
        <v>-24607.798165</v>
      </c>
      <c r="AN275" t="s">
        <v>1926</v>
      </c>
      <c r="AO275" t="s">
        <v>88</v>
      </c>
      <c r="AP275" t="s">
        <v>90</v>
      </c>
      <c r="AQ275" s="3">
        <v>16784.4581</v>
      </c>
      <c r="AS275" t="s">
        <v>2034</v>
      </c>
      <c r="AT275" t="s">
        <v>88</v>
      </c>
      <c r="AU275" t="s">
        <v>272</v>
      </c>
      <c r="AV275" s="14">
        <v>0</v>
      </c>
    </row>
    <row r="276" spans="1:48">
      <c r="A276" t="s">
        <v>2145</v>
      </c>
      <c r="B276" t="s">
        <v>15</v>
      </c>
      <c r="C276" t="s">
        <v>27</v>
      </c>
      <c r="D276" t="s">
        <v>20</v>
      </c>
      <c r="E276" s="14">
        <v>10662</v>
      </c>
      <c r="G276" t="s">
        <v>2145</v>
      </c>
      <c r="H276" t="s">
        <v>15</v>
      </c>
      <c r="I276" t="s">
        <v>27</v>
      </c>
      <c r="J276" t="s">
        <v>20</v>
      </c>
      <c r="K276" s="14">
        <v>16959.311300000001</v>
      </c>
      <c r="Z276" s="3"/>
      <c r="AC276"/>
      <c r="AE276" s="3"/>
      <c r="AH276" t="s">
        <v>2320</v>
      </c>
      <c r="AI276" t="s">
        <v>67</v>
      </c>
      <c r="AJ276" t="s">
        <v>113</v>
      </c>
      <c r="AK276" s="3" t="s">
        <v>27</v>
      </c>
      <c r="AL276" s="3">
        <v>-1680.141675936</v>
      </c>
      <c r="AN276" t="s">
        <v>1927</v>
      </c>
      <c r="AO276" t="s">
        <v>88</v>
      </c>
      <c r="AP276" t="s">
        <v>86</v>
      </c>
      <c r="AQ276" s="3">
        <v>9897.6106</v>
      </c>
      <c r="AS276" t="s">
        <v>2034</v>
      </c>
      <c r="AT276" t="s">
        <v>88</v>
      </c>
      <c r="AU276" t="s">
        <v>273</v>
      </c>
      <c r="AV276" s="14">
        <v>0</v>
      </c>
    </row>
    <row r="277" spans="1:48">
      <c r="A277" t="s">
        <v>2146</v>
      </c>
      <c r="B277" t="s">
        <v>15</v>
      </c>
      <c r="C277" t="s">
        <v>27</v>
      </c>
      <c r="D277" t="s">
        <v>20</v>
      </c>
      <c r="E277" s="14">
        <v>10762</v>
      </c>
      <c r="G277" t="s">
        <v>2146</v>
      </c>
      <c r="H277" t="s">
        <v>15</v>
      </c>
      <c r="I277" t="s">
        <v>27</v>
      </c>
      <c r="J277" t="s">
        <v>20</v>
      </c>
      <c r="K277" s="14">
        <v>16959.311300000001</v>
      </c>
      <c r="Z277" s="3"/>
      <c r="AC277"/>
      <c r="AE277" s="3"/>
      <c r="AH277" t="s">
        <v>2320</v>
      </c>
      <c r="AI277" t="s">
        <v>67</v>
      </c>
      <c r="AJ277" t="s">
        <v>108</v>
      </c>
      <c r="AK277" s="3" t="s">
        <v>27</v>
      </c>
      <c r="AL277" s="3">
        <v>117.043510936</v>
      </c>
      <c r="AN277" t="s">
        <v>1927</v>
      </c>
      <c r="AO277" t="s">
        <v>88</v>
      </c>
      <c r="AP277" t="s">
        <v>90</v>
      </c>
      <c r="AQ277" s="3">
        <v>16284.4581</v>
      </c>
      <c r="AS277" t="s">
        <v>2034</v>
      </c>
      <c r="AT277" t="s">
        <v>196</v>
      </c>
      <c r="AU277" t="s">
        <v>197</v>
      </c>
      <c r="AV277" s="14">
        <v>7.39006116520933</v>
      </c>
    </row>
    <row r="278" spans="1:48">
      <c r="A278" t="s">
        <v>2147</v>
      </c>
      <c r="B278" t="s">
        <v>15</v>
      </c>
      <c r="C278" t="s">
        <v>27</v>
      </c>
      <c r="D278" t="s">
        <v>20</v>
      </c>
      <c r="E278" s="14">
        <v>10662</v>
      </c>
      <c r="G278" t="s">
        <v>2147</v>
      </c>
      <c r="H278" t="s">
        <v>15</v>
      </c>
      <c r="I278" t="s">
        <v>27</v>
      </c>
      <c r="J278" t="s">
        <v>20</v>
      </c>
      <c r="K278" s="14">
        <v>16959.311300000001</v>
      </c>
      <c r="Z278" s="3"/>
      <c r="AC278"/>
      <c r="AE278" s="3"/>
      <c r="AH278" t="s">
        <v>2320</v>
      </c>
      <c r="AI278" t="s">
        <v>67</v>
      </c>
      <c r="AJ278" t="s">
        <v>98</v>
      </c>
      <c r="AK278" s="3" t="s">
        <v>27</v>
      </c>
      <c r="AL278" s="3">
        <v>117.043510936</v>
      </c>
      <c r="AN278" t="s">
        <v>1928</v>
      </c>
      <c r="AO278" t="s">
        <v>88</v>
      </c>
      <c r="AP278" t="s">
        <v>86</v>
      </c>
      <c r="AQ278" s="3">
        <v>9897.6106</v>
      </c>
      <c r="AS278" t="s">
        <v>2034</v>
      </c>
      <c r="AT278" t="s">
        <v>196</v>
      </c>
      <c r="AU278" t="s">
        <v>109</v>
      </c>
      <c r="AV278" s="14">
        <v>7.1344364212808697</v>
      </c>
    </row>
    <row r="279" spans="1:48">
      <c r="A279" t="s">
        <v>2148</v>
      </c>
      <c r="B279" t="s">
        <v>15</v>
      </c>
      <c r="C279" t="s">
        <v>27</v>
      </c>
      <c r="D279" t="s">
        <v>20</v>
      </c>
      <c r="E279" s="14">
        <v>10662</v>
      </c>
      <c r="G279" t="s">
        <v>2148</v>
      </c>
      <c r="H279" t="s">
        <v>15</v>
      </c>
      <c r="I279" t="s">
        <v>27</v>
      </c>
      <c r="J279" t="s">
        <v>20</v>
      </c>
      <c r="K279" s="14">
        <v>16959.311300000001</v>
      </c>
      <c r="Z279" s="3"/>
      <c r="AC279"/>
      <c r="AE279" s="3"/>
      <c r="AH279" t="s">
        <v>2320</v>
      </c>
      <c r="AI279" t="s">
        <v>67</v>
      </c>
      <c r="AJ279" t="s">
        <v>66</v>
      </c>
      <c r="AK279" s="3" t="s">
        <v>114</v>
      </c>
      <c r="AL279" s="3">
        <v>0</v>
      </c>
      <c r="AN279" t="s">
        <v>1928</v>
      </c>
      <c r="AO279" t="s">
        <v>88</v>
      </c>
      <c r="AP279" t="s">
        <v>90</v>
      </c>
      <c r="AQ279" s="3">
        <v>17353.658100000001</v>
      </c>
      <c r="AS279" t="s">
        <v>2034</v>
      </c>
      <c r="AT279" t="s">
        <v>196</v>
      </c>
      <c r="AU279" t="s">
        <v>198</v>
      </c>
      <c r="AV279" s="14">
        <v>7.3695457214945401</v>
      </c>
    </row>
    <row r="280" spans="1:48">
      <c r="A280" t="s">
        <v>2149</v>
      </c>
      <c r="B280" t="s">
        <v>15</v>
      </c>
      <c r="C280" t="s">
        <v>27</v>
      </c>
      <c r="D280" t="s">
        <v>20</v>
      </c>
      <c r="E280" s="14">
        <v>10662</v>
      </c>
      <c r="G280" t="s">
        <v>2149</v>
      </c>
      <c r="H280" t="s">
        <v>15</v>
      </c>
      <c r="I280" t="s">
        <v>27</v>
      </c>
      <c r="J280" t="s">
        <v>20</v>
      </c>
      <c r="K280" s="14">
        <v>16959.311300000001</v>
      </c>
      <c r="Z280" s="3"/>
      <c r="AC280"/>
      <c r="AE280" s="3"/>
      <c r="AH280" t="s">
        <v>2320</v>
      </c>
      <c r="AI280" t="s">
        <v>67</v>
      </c>
      <c r="AJ280" t="s">
        <v>98</v>
      </c>
      <c r="AK280" s="3" t="s">
        <v>114</v>
      </c>
      <c r="AL280" s="3">
        <v>0</v>
      </c>
      <c r="AN280" t="s">
        <v>1929</v>
      </c>
      <c r="AO280" t="s">
        <v>88</v>
      </c>
      <c r="AP280" t="s">
        <v>86</v>
      </c>
      <c r="AQ280" s="3">
        <v>9897.6106</v>
      </c>
      <c r="AS280" t="s">
        <v>2033</v>
      </c>
      <c r="AT280" t="s">
        <v>88</v>
      </c>
      <c r="AU280" t="s">
        <v>109</v>
      </c>
      <c r="AV280" s="14">
        <v>16336.1</v>
      </c>
    </row>
    <row r="281" spans="1:48">
      <c r="A281" t="s">
        <v>2150</v>
      </c>
      <c r="B281" t="s">
        <v>15</v>
      </c>
      <c r="C281" t="s">
        <v>27</v>
      </c>
      <c r="D281" t="s">
        <v>20</v>
      </c>
      <c r="E281" s="14">
        <v>10662</v>
      </c>
      <c r="G281" t="s">
        <v>2150</v>
      </c>
      <c r="H281" t="s">
        <v>15</v>
      </c>
      <c r="I281" t="s">
        <v>27</v>
      </c>
      <c r="J281" t="s">
        <v>20</v>
      </c>
      <c r="K281" s="14">
        <v>16959.311300000001</v>
      </c>
      <c r="Z281" s="3"/>
      <c r="AC281"/>
      <c r="AE281" s="3"/>
      <c r="AH281" t="s">
        <v>2320</v>
      </c>
      <c r="AI281" t="s">
        <v>67</v>
      </c>
      <c r="AJ281" t="s">
        <v>66</v>
      </c>
      <c r="AK281" s="3" t="s">
        <v>115</v>
      </c>
      <c r="AL281" s="3">
        <v>23044.7</v>
      </c>
      <c r="AN281" t="s">
        <v>1929</v>
      </c>
      <c r="AO281" t="s">
        <v>88</v>
      </c>
      <c r="AP281" t="s">
        <v>90</v>
      </c>
      <c r="AQ281" s="3">
        <v>20003.658100000001</v>
      </c>
      <c r="AS281" t="s">
        <v>2033</v>
      </c>
      <c r="AT281" t="s">
        <v>88</v>
      </c>
      <c r="AU281" t="s">
        <v>110</v>
      </c>
      <c r="AV281" s="14">
        <v>397.61059999999998</v>
      </c>
    </row>
    <row r="282" spans="1:48">
      <c r="A282" t="s">
        <v>2151</v>
      </c>
      <c r="B282" t="s">
        <v>15</v>
      </c>
      <c r="C282" t="s">
        <v>27</v>
      </c>
      <c r="D282" t="s">
        <v>20</v>
      </c>
      <c r="E282" s="14">
        <v>10662</v>
      </c>
      <c r="G282" t="s">
        <v>2151</v>
      </c>
      <c r="H282" t="s">
        <v>15</v>
      </c>
      <c r="I282" t="s">
        <v>27</v>
      </c>
      <c r="J282" t="s">
        <v>20</v>
      </c>
      <c r="K282" s="14">
        <v>16959.311300000001</v>
      </c>
      <c r="Z282" s="3"/>
      <c r="AC282"/>
      <c r="AE282" s="3"/>
      <c r="AH282" t="s">
        <v>2320</v>
      </c>
      <c r="AI282" t="s">
        <v>67</v>
      </c>
      <c r="AJ282" t="s">
        <v>98</v>
      </c>
      <c r="AK282" s="3" t="s">
        <v>115</v>
      </c>
      <c r="AL282" s="3">
        <v>-117.043510936</v>
      </c>
      <c r="AN282" t="s">
        <v>1930</v>
      </c>
      <c r="AO282" t="s">
        <v>88</v>
      </c>
      <c r="AP282" t="s">
        <v>86</v>
      </c>
      <c r="AQ282" s="3">
        <v>9897.6106</v>
      </c>
      <c r="AS282" t="s">
        <v>2033</v>
      </c>
      <c r="AT282" t="s">
        <v>88</v>
      </c>
      <c r="AU282" t="s">
        <v>111</v>
      </c>
      <c r="AV282" s="14">
        <v>9800</v>
      </c>
    </row>
    <row r="283" spans="1:48">
      <c r="A283" t="s">
        <v>2152</v>
      </c>
      <c r="B283" t="s">
        <v>15</v>
      </c>
      <c r="C283" t="s">
        <v>27</v>
      </c>
      <c r="D283" t="s">
        <v>20</v>
      </c>
      <c r="E283" s="14">
        <v>10662</v>
      </c>
      <c r="G283" t="s">
        <v>2152</v>
      </c>
      <c r="H283" t="s">
        <v>15</v>
      </c>
      <c r="I283" t="s">
        <v>27</v>
      </c>
      <c r="J283" t="s">
        <v>20</v>
      </c>
      <c r="K283" s="14">
        <v>16959.311300000001</v>
      </c>
      <c r="Z283" s="3"/>
      <c r="AC283"/>
      <c r="AE283" s="3"/>
      <c r="AH283" t="s">
        <v>2320</v>
      </c>
      <c r="AI283" t="s">
        <v>68</v>
      </c>
      <c r="AJ283" t="s">
        <v>66</v>
      </c>
      <c r="AK283" s="3" t="s">
        <v>27</v>
      </c>
      <c r="AL283" s="3">
        <v>1958.4</v>
      </c>
      <c r="AN283" t="s">
        <v>1930</v>
      </c>
      <c r="AO283" t="s">
        <v>88</v>
      </c>
      <c r="AP283" t="s">
        <v>90</v>
      </c>
      <c r="AQ283" s="3">
        <v>23953.658100000001</v>
      </c>
      <c r="AS283" t="s">
        <v>2033</v>
      </c>
      <c r="AT283" t="s">
        <v>88</v>
      </c>
      <c r="AU283" t="s">
        <v>268</v>
      </c>
      <c r="AV283" s="14">
        <v>0</v>
      </c>
    </row>
    <row r="284" spans="1:48">
      <c r="A284" t="s">
        <v>2153</v>
      </c>
      <c r="B284" t="s">
        <v>15</v>
      </c>
      <c r="C284" t="s">
        <v>27</v>
      </c>
      <c r="D284" t="s">
        <v>20</v>
      </c>
      <c r="E284" s="14">
        <v>10562</v>
      </c>
      <c r="G284" t="s">
        <v>2153</v>
      </c>
      <c r="H284" t="s">
        <v>15</v>
      </c>
      <c r="I284" t="s">
        <v>27</v>
      </c>
      <c r="J284" t="s">
        <v>20</v>
      </c>
      <c r="K284" s="14">
        <v>16959.311300000001</v>
      </c>
      <c r="Z284" s="3"/>
      <c r="AC284"/>
      <c r="AE284" s="3"/>
      <c r="AH284" t="s">
        <v>2320</v>
      </c>
      <c r="AI284" t="s">
        <v>68</v>
      </c>
      <c r="AJ284" t="s">
        <v>72</v>
      </c>
      <c r="AK284" s="3" t="s">
        <v>27</v>
      </c>
      <c r="AL284" s="3">
        <v>1817.1448700000001</v>
      </c>
      <c r="AN284" t="s">
        <v>1931</v>
      </c>
      <c r="AO284" t="s">
        <v>88</v>
      </c>
      <c r="AP284" t="s">
        <v>86</v>
      </c>
      <c r="AQ284" s="3">
        <v>9897.6106</v>
      </c>
      <c r="AS284" t="s">
        <v>2033</v>
      </c>
      <c r="AT284" t="s">
        <v>88</v>
      </c>
      <c r="AU284" t="s">
        <v>269</v>
      </c>
      <c r="AV284" s="14">
        <v>0</v>
      </c>
    </row>
    <row r="285" spans="1:48">
      <c r="A285" t="s">
        <v>2154</v>
      </c>
      <c r="B285" t="s">
        <v>15</v>
      </c>
      <c r="C285" t="s">
        <v>27</v>
      </c>
      <c r="D285" t="s">
        <v>20</v>
      </c>
      <c r="E285" s="14">
        <v>10562</v>
      </c>
      <c r="G285" t="s">
        <v>2154</v>
      </c>
      <c r="H285" t="s">
        <v>15</v>
      </c>
      <c r="I285" t="s">
        <v>27</v>
      </c>
      <c r="J285" t="s">
        <v>20</v>
      </c>
      <c r="K285" s="14">
        <v>16959.311300000001</v>
      </c>
      <c r="Z285" s="3"/>
      <c r="AC285"/>
      <c r="AE285" s="3"/>
      <c r="AH285" t="s">
        <v>2320</v>
      </c>
      <c r="AI285" t="s">
        <v>68</v>
      </c>
      <c r="AJ285" t="s">
        <v>113</v>
      </c>
      <c r="AK285" s="3" t="s">
        <v>27</v>
      </c>
      <c r="AL285" s="3">
        <v>-54.250751041000001</v>
      </c>
      <c r="AN285" t="s">
        <v>1931</v>
      </c>
      <c r="AO285" t="s">
        <v>88</v>
      </c>
      <c r="AP285" t="s">
        <v>90</v>
      </c>
      <c r="AQ285" s="3">
        <v>25853.658100000001</v>
      </c>
      <c r="AS285" t="s">
        <v>2033</v>
      </c>
      <c r="AT285" t="s">
        <v>88</v>
      </c>
      <c r="AU285" t="s">
        <v>270</v>
      </c>
      <c r="AV285" s="14">
        <v>0</v>
      </c>
    </row>
    <row r="286" spans="1:48">
      <c r="A286" t="s">
        <v>2155</v>
      </c>
      <c r="B286" t="s">
        <v>15</v>
      </c>
      <c r="C286" t="s">
        <v>27</v>
      </c>
      <c r="D286" t="s">
        <v>20</v>
      </c>
      <c r="E286" s="14">
        <v>10562</v>
      </c>
      <c r="G286" t="s">
        <v>2155</v>
      </c>
      <c r="H286" t="s">
        <v>15</v>
      </c>
      <c r="I286" t="s">
        <v>27</v>
      </c>
      <c r="J286" t="s">
        <v>20</v>
      </c>
      <c r="K286" s="14">
        <v>16959.311300000001</v>
      </c>
      <c r="Z286" s="3"/>
      <c r="AC286"/>
      <c r="AE286" s="3"/>
      <c r="AH286" t="s">
        <v>2320</v>
      </c>
      <c r="AI286" t="s">
        <v>68</v>
      </c>
      <c r="AJ286" t="s">
        <v>108</v>
      </c>
      <c r="AK286" s="3" t="s">
        <v>27</v>
      </c>
      <c r="AL286" s="3">
        <v>-87.004378958999993</v>
      </c>
      <c r="AN286" t="s">
        <v>1932</v>
      </c>
      <c r="AO286" t="s">
        <v>88</v>
      </c>
      <c r="AP286" t="s">
        <v>86</v>
      </c>
      <c r="AQ286" s="3">
        <v>9897.6106</v>
      </c>
      <c r="AS286" t="s">
        <v>2033</v>
      </c>
      <c r="AT286" t="s">
        <v>88</v>
      </c>
      <c r="AU286" t="s">
        <v>271</v>
      </c>
      <c r="AV286" s="14">
        <v>10613</v>
      </c>
    </row>
    <row r="287" spans="1:48">
      <c r="A287" t="s">
        <v>2156</v>
      </c>
      <c r="B287" t="s">
        <v>15</v>
      </c>
      <c r="C287" t="s">
        <v>27</v>
      </c>
      <c r="D287" t="s">
        <v>20</v>
      </c>
      <c r="E287" s="14">
        <v>10662</v>
      </c>
      <c r="G287" t="s">
        <v>2156</v>
      </c>
      <c r="H287" t="s">
        <v>15</v>
      </c>
      <c r="I287" t="s">
        <v>27</v>
      </c>
      <c r="J287" t="s">
        <v>20</v>
      </c>
      <c r="K287" s="14">
        <v>16959.311300000001</v>
      </c>
      <c r="Z287" s="3"/>
      <c r="AC287"/>
      <c r="AE287" s="3"/>
      <c r="AH287" t="s">
        <v>2320</v>
      </c>
      <c r="AI287" t="s">
        <v>68</v>
      </c>
      <c r="AJ287" t="s">
        <v>98</v>
      </c>
      <c r="AK287" s="3" t="s">
        <v>27</v>
      </c>
      <c r="AL287" s="3">
        <v>-87.004378958999993</v>
      </c>
      <c r="AN287" t="s">
        <v>1932</v>
      </c>
      <c r="AO287" t="s">
        <v>88</v>
      </c>
      <c r="AP287" t="s">
        <v>90</v>
      </c>
      <c r="AQ287" s="3">
        <v>20853.658100000001</v>
      </c>
      <c r="AS287" t="s">
        <v>2033</v>
      </c>
      <c r="AT287" t="s">
        <v>88</v>
      </c>
      <c r="AU287" t="s">
        <v>272</v>
      </c>
      <c r="AV287" s="14">
        <v>0</v>
      </c>
    </row>
    <row r="288" spans="1:48">
      <c r="A288" t="s">
        <v>2157</v>
      </c>
      <c r="B288" t="s">
        <v>15</v>
      </c>
      <c r="C288" t="s">
        <v>27</v>
      </c>
      <c r="D288" t="s">
        <v>20</v>
      </c>
      <c r="E288" s="14">
        <v>10662</v>
      </c>
      <c r="G288" t="s">
        <v>2157</v>
      </c>
      <c r="H288" t="s">
        <v>15</v>
      </c>
      <c r="I288" t="s">
        <v>27</v>
      </c>
      <c r="J288" t="s">
        <v>20</v>
      </c>
      <c r="K288" s="14">
        <v>16959.311300000001</v>
      </c>
      <c r="Z288" s="3"/>
      <c r="AC288"/>
      <c r="AE288" s="3"/>
      <c r="AH288" t="s">
        <v>2320</v>
      </c>
      <c r="AI288" t="s">
        <v>68</v>
      </c>
      <c r="AJ288" t="s">
        <v>66</v>
      </c>
      <c r="AK288" s="3" t="s">
        <v>114</v>
      </c>
      <c r="AL288" s="3">
        <v>3508.4</v>
      </c>
      <c r="AN288" t="s">
        <v>1933</v>
      </c>
      <c r="AO288" t="s">
        <v>88</v>
      </c>
      <c r="AP288" t="s">
        <v>86</v>
      </c>
      <c r="AQ288" s="3">
        <v>9897.6106</v>
      </c>
      <c r="AS288" t="s">
        <v>2033</v>
      </c>
      <c r="AT288" t="s">
        <v>88</v>
      </c>
      <c r="AU288" t="s">
        <v>273</v>
      </c>
      <c r="AV288" s="14">
        <v>200</v>
      </c>
    </row>
    <row r="289" spans="1:48">
      <c r="A289" t="s">
        <v>2158</v>
      </c>
      <c r="B289" t="s">
        <v>15</v>
      </c>
      <c r="C289" t="s">
        <v>27</v>
      </c>
      <c r="D289" t="s">
        <v>20</v>
      </c>
      <c r="E289" s="14">
        <v>10662</v>
      </c>
      <c r="G289" t="s">
        <v>2158</v>
      </c>
      <c r="H289" t="s">
        <v>15</v>
      </c>
      <c r="I289" t="s">
        <v>27</v>
      </c>
      <c r="J289" t="s">
        <v>20</v>
      </c>
      <c r="K289" s="14">
        <v>16959.311300000001</v>
      </c>
      <c r="Z289" s="3"/>
      <c r="AC289"/>
      <c r="AE289" s="3"/>
      <c r="AH289" t="s">
        <v>2320</v>
      </c>
      <c r="AI289" t="s">
        <v>68</v>
      </c>
      <c r="AJ289" t="s">
        <v>98</v>
      </c>
      <c r="AK289" s="3" t="s">
        <v>114</v>
      </c>
      <c r="AL289" s="3">
        <v>-210.5749475616</v>
      </c>
      <c r="AN289" t="s">
        <v>1933</v>
      </c>
      <c r="AO289" t="s">
        <v>88</v>
      </c>
      <c r="AP289" t="s">
        <v>90</v>
      </c>
      <c r="AQ289" s="3">
        <v>20753.658100000001</v>
      </c>
      <c r="AS289" t="s">
        <v>2033</v>
      </c>
      <c r="AT289" t="s">
        <v>196</v>
      </c>
      <c r="AU289" t="s">
        <v>197</v>
      </c>
      <c r="AV289" s="14">
        <v>7.3533908550298897</v>
      </c>
    </row>
    <row r="290" spans="1:48">
      <c r="A290" t="s">
        <v>2159</v>
      </c>
      <c r="B290" t="s">
        <v>15</v>
      </c>
      <c r="C290" t="s">
        <v>27</v>
      </c>
      <c r="D290" t="s">
        <v>20</v>
      </c>
      <c r="E290" s="14">
        <v>10862</v>
      </c>
      <c r="G290" t="s">
        <v>2159</v>
      </c>
      <c r="H290" t="s">
        <v>15</v>
      </c>
      <c r="I290" t="s">
        <v>27</v>
      </c>
      <c r="J290" t="s">
        <v>20</v>
      </c>
      <c r="K290" s="14">
        <v>16759.311300000001</v>
      </c>
      <c r="Z290" s="3"/>
      <c r="AC290"/>
      <c r="AE290" s="3"/>
      <c r="AH290" t="s">
        <v>2320</v>
      </c>
      <c r="AI290" t="s">
        <v>68</v>
      </c>
      <c r="AJ290" t="s">
        <v>66</v>
      </c>
      <c r="AK290" s="3" t="s">
        <v>115</v>
      </c>
      <c r="AL290" s="3">
        <v>1550</v>
      </c>
      <c r="AN290" t="s">
        <v>1934</v>
      </c>
      <c r="AO290" t="s">
        <v>88</v>
      </c>
      <c r="AP290" t="s">
        <v>90</v>
      </c>
      <c r="AQ290" s="3">
        <v>23301.658100000001</v>
      </c>
      <c r="AS290" t="s">
        <v>2033</v>
      </c>
      <c r="AT290" t="s">
        <v>196</v>
      </c>
      <c r="AU290" t="s">
        <v>109</v>
      </c>
      <c r="AV290" s="14">
        <v>7.1415372333472797</v>
      </c>
    </row>
    <row r="291" spans="1:48">
      <c r="A291" t="s">
        <v>2160</v>
      </c>
      <c r="B291" t="s">
        <v>15</v>
      </c>
      <c r="C291" t="s">
        <v>27</v>
      </c>
      <c r="D291" t="s">
        <v>20</v>
      </c>
      <c r="E291" s="14">
        <v>10862</v>
      </c>
      <c r="G291" t="s">
        <v>2160</v>
      </c>
      <c r="H291" t="s">
        <v>15</v>
      </c>
      <c r="I291" t="s">
        <v>27</v>
      </c>
      <c r="J291" t="s">
        <v>20</v>
      </c>
      <c r="K291" s="14">
        <v>16759.311300000001</v>
      </c>
      <c r="Z291" s="3"/>
      <c r="AC291"/>
      <c r="AE291" s="3"/>
      <c r="AH291" t="s">
        <v>2320</v>
      </c>
      <c r="AI291" t="s">
        <v>68</v>
      </c>
      <c r="AJ291" t="s">
        <v>98</v>
      </c>
      <c r="AK291" s="3" t="s">
        <v>115</v>
      </c>
      <c r="AL291" s="3">
        <v>-123.57056860270001</v>
      </c>
      <c r="AN291" t="s">
        <v>1934</v>
      </c>
      <c r="AO291" t="s">
        <v>88</v>
      </c>
      <c r="AP291" t="s">
        <v>86</v>
      </c>
      <c r="AQ291" s="3">
        <v>9897.6106</v>
      </c>
      <c r="AS291" t="s">
        <v>2033</v>
      </c>
      <c r="AT291" t="s">
        <v>196</v>
      </c>
      <c r="AU291" t="s">
        <v>198</v>
      </c>
      <c r="AV291" s="14">
        <v>7.3532327691449204</v>
      </c>
    </row>
    <row r="292" spans="1:48">
      <c r="A292" t="s">
        <v>2161</v>
      </c>
      <c r="B292" t="s">
        <v>15</v>
      </c>
      <c r="C292" t="s">
        <v>27</v>
      </c>
      <c r="D292" t="s">
        <v>20</v>
      </c>
      <c r="E292" s="14">
        <v>10862</v>
      </c>
      <c r="G292" t="s">
        <v>2161</v>
      </c>
      <c r="H292" t="s">
        <v>15</v>
      </c>
      <c r="I292" t="s">
        <v>27</v>
      </c>
      <c r="J292" t="s">
        <v>20</v>
      </c>
      <c r="K292" s="14">
        <v>16759.311300000001</v>
      </c>
      <c r="Z292" s="3"/>
      <c r="AC292"/>
      <c r="AE292" s="3"/>
      <c r="AH292" t="s">
        <v>2319</v>
      </c>
      <c r="AI292" t="s">
        <v>800</v>
      </c>
      <c r="AJ292" t="s">
        <v>31</v>
      </c>
      <c r="AK292" s="3" t="s">
        <v>27</v>
      </c>
      <c r="AL292" s="3">
        <v>4.0161926436000002</v>
      </c>
      <c r="AN292" t="s">
        <v>1935</v>
      </c>
      <c r="AO292" t="s">
        <v>88</v>
      </c>
      <c r="AP292" t="s">
        <v>86</v>
      </c>
      <c r="AQ292" s="3">
        <v>9897.6106</v>
      </c>
      <c r="AS292" t="s">
        <v>2032</v>
      </c>
      <c r="AT292" t="s">
        <v>88</v>
      </c>
      <c r="AU292" t="s">
        <v>109</v>
      </c>
      <c r="AV292" s="14">
        <v>15336.1</v>
      </c>
    </row>
    <row r="293" spans="1:48">
      <c r="A293" t="s">
        <v>2162</v>
      </c>
      <c r="B293" t="s">
        <v>15</v>
      </c>
      <c r="C293" t="s">
        <v>27</v>
      </c>
      <c r="D293" t="s">
        <v>20</v>
      </c>
      <c r="E293" s="14">
        <v>10862</v>
      </c>
      <c r="G293" t="s">
        <v>2162</v>
      </c>
      <c r="H293" t="s">
        <v>15</v>
      </c>
      <c r="I293" t="s">
        <v>27</v>
      </c>
      <c r="J293" t="s">
        <v>20</v>
      </c>
      <c r="K293" s="14">
        <v>16759.311300000001</v>
      </c>
      <c r="Z293" s="3"/>
      <c r="AC293"/>
      <c r="AE293" s="3"/>
      <c r="AH293" t="s">
        <v>2319</v>
      </c>
      <c r="AI293" t="s">
        <v>65</v>
      </c>
      <c r="AJ293" t="s">
        <v>66</v>
      </c>
      <c r="AK293" s="3" t="s">
        <v>27</v>
      </c>
      <c r="AL293" s="3">
        <v>38679.300000000003</v>
      </c>
      <c r="AN293" t="s">
        <v>1935</v>
      </c>
      <c r="AO293" t="s">
        <v>88</v>
      </c>
      <c r="AP293" t="s">
        <v>90</v>
      </c>
      <c r="AQ293" s="3">
        <v>26872.336200000002</v>
      </c>
      <c r="AS293" t="s">
        <v>2032</v>
      </c>
      <c r="AT293" t="s">
        <v>88</v>
      </c>
      <c r="AU293" t="s">
        <v>110</v>
      </c>
      <c r="AV293" s="14">
        <v>397.61059999999998</v>
      </c>
    </row>
    <row r="294" spans="1:48">
      <c r="A294" t="s">
        <v>2163</v>
      </c>
      <c r="B294" t="s">
        <v>15</v>
      </c>
      <c r="C294" t="s">
        <v>27</v>
      </c>
      <c r="D294" t="s">
        <v>20</v>
      </c>
      <c r="E294" s="14">
        <v>10862</v>
      </c>
      <c r="G294" t="s">
        <v>2163</v>
      </c>
      <c r="H294" t="s">
        <v>15</v>
      </c>
      <c r="I294" t="s">
        <v>27</v>
      </c>
      <c r="J294" t="s">
        <v>20</v>
      </c>
      <c r="K294" s="14">
        <v>16759.311300000001</v>
      </c>
      <c r="Z294" s="3"/>
      <c r="AC294"/>
      <c r="AE294" s="3"/>
      <c r="AH294" t="s">
        <v>2319</v>
      </c>
      <c r="AI294" t="s">
        <v>65</v>
      </c>
      <c r="AJ294" t="s">
        <v>72</v>
      </c>
      <c r="AK294" s="3" t="s">
        <v>27</v>
      </c>
      <c r="AL294" s="3">
        <v>38869.317922000002</v>
      </c>
      <c r="AN294" t="s">
        <v>1936</v>
      </c>
      <c r="AO294" t="s">
        <v>88</v>
      </c>
      <c r="AP294" t="s">
        <v>86</v>
      </c>
      <c r="AQ294" s="3">
        <v>9897.6106</v>
      </c>
      <c r="AS294" t="s">
        <v>2032</v>
      </c>
      <c r="AT294" t="s">
        <v>88</v>
      </c>
      <c r="AU294" t="s">
        <v>111</v>
      </c>
      <c r="AV294" s="14">
        <v>9800</v>
      </c>
    </row>
    <row r="295" spans="1:48">
      <c r="A295" t="s">
        <v>2164</v>
      </c>
      <c r="B295" t="s">
        <v>15</v>
      </c>
      <c r="C295" t="s">
        <v>27</v>
      </c>
      <c r="D295" t="s">
        <v>20</v>
      </c>
      <c r="E295" s="14">
        <v>11220</v>
      </c>
      <c r="G295" t="s">
        <v>2164</v>
      </c>
      <c r="H295" t="s">
        <v>15</v>
      </c>
      <c r="I295" t="s">
        <v>27</v>
      </c>
      <c r="J295" t="s">
        <v>20</v>
      </c>
      <c r="K295" s="14">
        <v>16401.311300000001</v>
      </c>
      <c r="Z295" s="3"/>
      <c r="AC295"/>
      <c r="AE295" s="3"/>
      <c r="AH295" t="s">
        <v>2319</v>
      </c>
      <c r="AI295" t="s">
        <v>65</v>
      </c>
      <c r="AJ295" t="s">
        <v>113</v>
      </c>
      <c r="AK295" s="3" t="s">
        <v>27</v>
      </c>
      <c r="AL295" s="3">
        <v>1778.1881851636999</v>
      </c>
      <c r="AN295" t="s">
        <v>1936</v>
      </c>
      <c r="AO295" t="s">
        <v>88</v>
      </c>
      <c r="AP295" t="s">
        <v>90</v>
      </c>
      <c r="AQ295" s="3">
        <v>29072.336200000002</v>
      </c>
      <c r="AS295" t="s">
        <v>2032</v>
      </c>
      <c r="AT295" t="s">
        <v>88</v>
      </c>
      <c r="AU295" t="s">
        <v>268</v>
      </c>
      <c r="AV295" s="14">
        <v>0</v>
      </c>
    </row>
    <row r="296" spans="1:48">
      <c r="A296" t="s">
        <v>2165</v>
      </c>
      <c r="B296" t="s">
        <v>15</v>
      </c>
      <c r="C296" t="s">
        <v>27</v>
      </c>
      <c r="D296" t="s">
        <v>20</v>
      </c>
      <c r="E296" s="14">
        <v>11420</v>
      </c>
      <c r="G296" t="s">
        <v>2165</v>
      </c>
      <c r="H296" t="s">
        <v>15</v>
      </c>
      <c r="I296" t="s">
        <v>27</v>
      </c>
      <c r="J296" t="s">
        <v>20</v>
      </c>
      <c r="K296" s="14">
        <v>16201.311299999999</v>
      </c>
      <c r="Z296" s="3"/>
      <c r="AC296"/>
      <c r="AE296" s="3"/>
      <c r="AH296" t="s">
        <v>2319</v>
      </c>
      <c r="AI296" t="s">
        <v>65</v>
      </c>
      <c r="AJ296" t="s">
        <v>108</v>
      </c>
      <c r="AK296" s="3" t="s">
        <v>27</v>
      </c>
      <c r="AL296" s="3">
        <v>-1673</v>
      </c>
      <c r="AN296" t="s">
        <v>1937</v>
      </c>
      <c r="AO296" t="s">
        <v>88</v>
      </c>
      <c r="AP296" t="s">
        <v>86</v>
      </c>
      <c r="AQ296" s="3">
        <v>9897.6106</v>
      </c>
      <c r="AS296" t="s">
        <v>2032</v>
      </c>
      <c r="AT296" t="s">
        <v>88</v>
      </c>
      <c r="AU296" t="s">
        <v>269</v>
      </c>
      <c r="AV296" s="14">
        <v>0</v>
      </c>
    </row>
    <row r="297" spans="1:48">
      <c r="A297" t="s">
        <v>2166</v>
      </c>
      <c r="B297" t="s">
        <v>15</v>
      </c>
      <c r="C297" t="s">
        <v>27</v>
      </c>
      <c r="D297" t="s">
        <v>20</v>
      </c>
      <c r="E297" s="14">
        <v>11420</v>
      </c>
      <c r="G297" t="s">
        <v>2166</v>
      </c>
      <c r="H297" t="s">
        <v>15</v>
      </c>
      <c r="I297" t="s">
        <v>27</v>
      </c>
      <c r="J297" t="s">
        <v>20</v>
      </c>
      <c r="K297" s="14">
        <v>16201.311299999999</v>
      </c>
      <c r="Z297" s="3"/>
      <c r="AC297"/>
      <c r="AE297" s="3"/>
      <c r="AH297" t="s">
        <v>2319</v>
      </c>
      <c r="AI297" t="s">
        <v>65</v>
      </c>
      <c r="AJ297" t="s">
        <v>98</v>
      </c>
      <c r="AK297" s="3" t="s">
        <v>27</v>
      </c>
      <c r="AL297" s="3">
        <v>-1673</v>
      </c>
      <c r="AN297" t="s">
        <v>1937</v>
      </c>
      <c r="AO297" t="s">
        <v>88</v>
      </c>
      <c r="AP297" t="s">
        <v>90</v>
      </c>
      <c r="AQ297" s="3">
        <v>29272.336200000002</v>
      </c>
      <c r="AS297" t="s">
        <v>2032</v>
      </c>
      <c r="AT297" t="s">
        <v>88</v>
      </c>
      <c r="AU297" t="s">
        <v>270</v>
      </c>
      <c r="AV297" s="14">
        <v>0</v>
      </c>
    </row>
    <row r="298" spans="1:48">
      <c r="A298" t="s">
        <v>2167</v>
      </c>
      <c r="B298" t="s">
        <v>15</v>
      </c>
      <c r="C298" t="s">
        <v>27</v>
      </c>
      <c r="D298" t="s">
        <v>20</v>
      </c>
      <c r="E298" s="14">
        <v>11370</v>
      </c>
      <c r="G298" t="s">
        <v>2167</v>
      </c>
      <c r="H298" t="s">
        <v>15</v>
      </c>
      <c r="I298" t="s">
        <v>27</v>
      </c>
      <c r="J298" t="s">
        <v>20</v>
      </c>
      <c r="K298" s="14">
        <v>15651.311299999999</v>
      </c>
      <c r="Z298" s="3"/>
      <c r="AC298"/>
      <c r="AE298" s="3"/>
      <c r="AH298" t="s">
        <v>2319</v>
      </c>
      <c r="AI298" t="s">
        <v>67</v>
      </c>
      <c r="AJ298" t="s">
        <v>66</v>
      </c>
      <c r="AK298" s="3" t="s">
        <v>27</v>
      </c>
      <c r="AL298" s="3">
        <v>-21924.7</v>
      </c>
      <c r="AN298" t="s">
        <v>1938</v>
      </c>
      <c r="AO298" t="s">
        <v>88</v>
      </c>
      <c r="AP298" t="s">
        <v>86</v>
      </c>
      <c r="AQ298" s="3">
        <v>9897.6106</v>
      </c>
      <c r="AS298" t="s">
        <v>2032</v>
      </c>
      <c r="AT298" t="s">
        <v>88</v>
      </c>
      <c r="AU298" t="s">
        <v>271</v>
      </c>
      <c r="AV298" s="14">
        <v>13113</v>
      </c>
    </row>
    <row r="299" spans="1:48">
      <c r="A299" t="s">
        <v>2168</v>
      </c>
      <c r="B299" t="s">
        <v>15</v>
      </c>
      <c r="C299" t="s">
        <v>27</v>
      </c>
      <c r="D299" t="s">
        <v>20</v>
      </c>
      <c r="E299" s="14">
        <v>11370</v>
      </c>
      <c r="G299" t="s">
        <v>2168</v>
      </c>
      <c r="H299" t="s">
        <v>15</v>
      </c>
      <c r="I299" t="s">
        <v>27</v>
      </c>
      <c r="J299" t="s">
        <v>20</v>
      </c>
      <c r="K299" s="14">
        <v>15651.311299999999</v>
      </c>
      <c r="Z299" s="3"/>
      <c r="AC299"/>
      <c r="AE299" s="3"/>
      <c r="AH299" t="s">
        <v>2319</v>
      </c>
      <c r="AI299" t="s">
        <v>67</v>
      </c>
      <c r="AJ299" t="s">
        <v>72</v>
      </c>
      <c r="AK299" s="3" t="s">
        <v>27</v>
      </c>
      <c r="AL299" s="3">
        <v>-23512.759298000001</v>
      </c>
      <c r="AN299" t="s">
        <v>1938</v>
      </c>
      <c r="AO299" t="s">
        <v>88</v>
      </c>
      <c r="AP299" t="s">
        <v>90</v>
      </c>
      <c r="AQ299" s="3">
        <v>26122.336200000002</v>
      </c>
      <c r="AS299" t="s">
        <v>2032</v>
      </c>
      <c r="AT299" t="s">
        <v>88</v>
      </c>
      <c r="AU299" t="s">
        <v>272</v>
      </c>
      <c r="AV299" s="14">
        <v>0</v>
      </c>
    </row>
    <row r="300" spans="1:48">
      <c r="A300" t="s">
        <v>2169</v>
      </c>
      <c r="B300" t="s">
        <v>15</v>
      </c>
      <c r="C300" t="s">
        <v>27</v>
      </c>
      <c r="D300" t="s">
        <v>20</v>
      </c>
      <c r="E300" s="14">
        <v>11620</v>
      </c>
      <c r="G300" t="s">
        <v>2169</v>
      </c>
      <c r="H300" t="s">
        <v>15</v>
      </c>
      <c r="I300" t="s">
        <v>27</v>
      </c>
      <c r="J300" t="s">
        <v>20</v>
      </c>
      <c r="K300" s="14">
        <v>15551.311299999999</v>
      </c>
      <c r="Z300" s="3"/>
      <c r="AC300"/>
      <c r="AE300" s="3"/>
      <c r="AH300" t="s">
        <v>2319</v>
      </c>
      <c r="AI300" t="s">
        <v>67</v>
      </c>
      <c r="AJ300" t="s">
        <v>113</v>
      </c>
      <c r="AK300" s="3" t="s">
        <v>27</v>
      </c>
      <c r="AL300" s="3">
        <v>-1682.7293073761</v>
      </c>
      <c r="AN300" t="s">
        <v>1939</v>
      </c>
      <c r="AO300" t="s">
        <v>88</v>
      </c>
      <c r="AP300" t="s">
        <v>86</v>
      </c>
      <c r="AQ300" s="3">
        <v>9897.6106</v>
      </c>
      <c r="AS300" t="s">
        <v>2032</v>
      </c>
      <c r="AT300" t="s">
        <v>88</v>
      </c>
      <c r="AU300" t="s">
        <v>273</v>
      </c>
      <c r="AV300" s="14">
        <v>0</v>
      </c>
    </row>
    <row r="301" spans="1:48">
      <c r="A301" t="s">
        <v>2170</v>
      </c>
      <c r="B301" t="s">
        <v>15</v>
      </c>
      <c r="C301" t="s">
        <v>27</v>
      </c>
      <c r="D301" t="s">
        <v>20</v>
      </c>
      <c r="E301" s="14">
        <v>11620</v>
      </c>
      <c r="G301" t="s">
        <v>2170</v>
      </c>
      <c r="H301" t="s">
        <v>15</v>
      </c>
      <c r="I301" t="s">
        <v>27</v>
      </c>
      <c r="J301" t="s">
        <v>20</v>
      </c>
      <c r="K301" s="14">
        <v>15551.311299999999</v>
      </c>
      <c r="Z301" s="3"/>
      <c r="AC301"/>
      <c r="AE301" s="3"/>
      <c r="AH301" t="s">
        <v>2319</v>
      </c>
      <c r="AI301" t="s">
        <v>67</v>
      </c>
      <c r="AJ301" t="s">
        <v>108</v>
      </c>
      <c r="AK301" s="3" t="s">
        <v>27</v>
      </c>
      <c r="AL301" s="3">
        <v>94.670009376099998</v>
      </c>
      <c r="AN301" t="s">
        <v>1939</v>
      </c>
      <c r="AO301" t="s">
        <v>88</v>
      </c>
      <c r="AP301" t="s">
        <v>90</v>
      </c>
      <c r="AQ301" s="3">
        <v>26122.336200000002</v>
      </c>
      <c r="AS301" t="s">
        <v>2032</v>
      </c>
      <c r="AT301" t="s">
        <v>196</v>
      </c>
      <c r="AU301" t="s">
        <v>197</v>
      </c>
      <c r="AV301" s="14">
        <v>7.3533908550298897</v>
      </c>
    </row>
    <row r="302" spans="1:48">
      <c r="A302" t="s">
        <v>2171</v>
      </c>
      <c r="B302" t="s">
        <v>15</v>
      </c>
      <c r="C302" t="s">
        <v>27</v>
      </c>
      <c r="D302" t="s">
        <v>20</v>
      </c>
      <c r="E302" s="14">
        <v>11620</v>
      </c>
      <c r="G302" t="s">
        <v>2171</v>
      </c>
      <c r="H302" t="s">
        <v>15</v>
      </c>
      <c r="I302" t="s">
        <v>27</v>
      </c>
      <c r="J302" t="s">
        <v>20</v>
      </c>
      <c r="K302" s="14">
        <v>15551.311299999999</v>
      </c>
      <c r="Z302" s="3"/>
      <c r="AC302"/>
      <c r="AE302" s="3"/>
      <c r="AH302" t="s">
        <v>2319</v>
      </c>
      <c r="AI302" t="s">
        <v>67</v>
      </c>
      <c r="AJ302" t="s">
        <v>98</v>
      </c>
      <c r="AK302" s="3" t="s">
        <v>27</v>
      </c>
      <c r="AL302" s="3">
        <v>94.670009376099998</v>
      </c>
      <c r="AN302" t="s">
        <v>1940</v>
      </c>
      <c r="AO302" t="s">
        <v>88</v>
      </c>
      <c r="AP302" t="s">
        <v>86</v>
      </c>
      <c r="AQ302" s="3">
        <v>9897.6106</v>
      </c>
      <c r="AS302" t="s">
        <v>2032</v>
      </c>
      <c r="AT302" t="s">
        <v>196</v>
      </c>
      <c r="AU302" t="s">
        <v>109</v>
      </c>
      <c r="AV302" s="14">
        <v>7.0037330187459199</v>
      </c>
    </row>
    <row r="303" spans="1:48">
      <c r="A303" t="s">
        <v>2172</v>
      </c>
      <c r="B303" t="s">
        <v>15</v>
      </c>
      <c r="C303" t="s">
        <v>27</v>
      </c>
      <c r="D303" t="s">
        <v>20</v>
      </c>
      <c r="E303" s="14">
        <v>11620</v>
      </c>
      <c r="G303" t="s">
        <v>2172</v>
      </c>
      <c r="H303" t="s">
        <v>15</v>
      </c>
      <c r="I303" t="s">
        <v>27</v>
      </c>
      <c r="J303" t="s">
        <v>20</v>
      </c>
      <c r="K303" s="14">
        <v>15551.311299999999</v>
      </c>
      <c r="Z303" s="3"/>
      <c r="AC303"/>
      <c r="AE303" s="3"/>
      <c r="AH303" t="s">
        <v>2319</v>
      </c>
      <c r="AI303" t="s">
        <v>67</v>
      </c>
      <c r="AJ303" t="s">
        <v>66</v>
      </c>
      <c r="AK303" s="3" t="s">
        <v>114</v>
      </c>
      <c r="AL303" s="3">
        <v>0</v>
      </c>
      <c r="AN303" t="s">
        <v>1940</v>
      </c>
      <c r="AO303" t="s">
        <v>88</v>
      </c>
      <c r="AP303" t="s">
        <v>90</v>
      </c>
      <c r="AQ303" s="3">
        <v>26172.336200000002</v>
      </c>
      <c r="AS303" t="s">
        <v>2032</v>
      </c>
      <c r="AT303" t="s">
        <v>196</v>
      </c>
      <c r="AU303" t="s">
        <v>198</v>
      </c>
      <c r="AV303" s="14">
        <v>7.27881121802886</v>
      </c>
    </row>
    <row r="304" spans="1:48">
      <c r="A304" t="s">
        <v>2173</v>
      </c>
      <c r="B304" t="s">
        <v>15</v>
      </c>
      <c r="C304" t="s">
        <v>27</v>
      </c>
      <c r="D304" t="s">
        <v>20</v>
      </c>
      <c r="E304" s="14">
        <v>11620</v>
      </c>
      <c r="G304" t="s">
        <v>2173</v>
      </c>
      <c r="H304" t="s">
        <v>15</v>
      </c>
      <c r="I304" t="s">
        <v>27</v>
      </c>
      <c r="J304" t="s">
        <v>20</v>
      </c>
      <c r="K304" s="14">
        <v>15551.311299999999</v>
      </c>
      <c r="Z304" s="3"/>
      <c r="AC304"/>
      <c r="AE304" s="3"/>
      <c r="AH304" t="s">
        <v>2319</v>
      </c>
      <c r="AI304" t="s">
        <v>67</v>
      </c>
      <c r="AJ304" t="s">
        <v>98</v>
      </c>
      <c r="AK304" s="3" t="s">
        <v>114</v>
      </c>
      <c r="AL304" s="3">
        <v>0</v>
      </c>
      <c r="AN304" t="s">
        <v>1941</v>
      </c>
      <c r="AO304" t="s">
        <v>88</v>
      </c>
      <c r="AP304" t="s">
        <v>86</v>
      </c>
      <c r="AQ304" s="3">
        <v>9897.6106</v>
      </c>
      <c r="AS304" t="s">
        <v>2026</v>
      </c>
      <c r="AT304" t="s">
        <v>88</v>
      </c>
      <c r="AU304" t="s">
        <v>109</v>
      </c>
      <c r="AV304" s="14">
        <v>15946.1</v>
      </c>
    </row>
    <row r="305" spans="1:48">
      <c r="A305" t="s">
        <v>2174</v>
      </c>
      <c r="B305" t="s">
        <v>15</v>
      </c>
      <c r="C305" t="s">
        <v>27</v>
      </c>
      <c r="D305" t="s">
        <v>20</v>
      </c>
      <c r="E305" s="14">
        <v>11620</v>
      </c>
      <c r="G305" t="s">
        <v>2174</v>
      </c>
      <c r="H305" t="s">
        <v>15</v>
      </c>
      <c r="I305" t="s">
        <v>27</v>
      </c>
      <c r="J305" t="s">
        <v>20</v>
      </c>
      <c r="K305" s="14">
        <v>15551.311299999999</v>
      </c>
      <c r="Z305" s="3"/>
      <c r="AC305"/>
      <c r="AE305" s="3"/>
      <c r="AH305" t="s">
        <v>2319</v>
      </c>
      <c r="AI305" t="s">
        <v>67</v>
      </c>
      <c r="AJ305" t="s">
        <v>66</v>
      </c>
      <c r="AK305" s="3" t="s">
        <v>115</v>
      </c>
      <c r="AL305" s="3">
        <v>21924.7</v>
      </c>
      <c r="AN305" t="s">
        <v>1941</v>
      </c>
      <c r="AO305" t="s">
        <v>88</v>
      </c>
      <c r="AP305" t="s">
        <v>90</v>
      </c>
      <c r="AQ305" s="3">
        <v>24861.561799999999</v>
      </c>
      <c r="AS305" t="s">
        <v>2026</v>
      </c>
      <c r="AT305" t="s">
        <v>88</v>
      </c>
      <c r="AU305" t="s">
        <v>110</v>
      </c>
      <c r="AV305" s="14">
        <v>397.61059999999998</v>
      </c>
    </row>
    <row r="306" spans="1:48">
      <c r="A306" t="s">
        <v>2175</v>
      </c>
      <c r="B306" t="s">
        <v>15</v>
      </c>
      <c r="C306" t="s">
        <v>27</v>
      </c>
      <c r="D306" t="s">
        <v>20</v>
      </c>
      <c r="E306" s="14">
        <v>11620</v>
      </c>
      <c r="G306" t="s">
        <v>2175</v>
      </c>
      <c r="H306" t="s">
        <v>15</v>
      </c>
      <c r="I306" t="s">
        <v>27</v>
      </c>
      <c r="J306" t="s">
        <v>20</v>
      </c>
      <c r="K306" s="14">
        <v>15551.311299999999</v>
      </c>
      <c r="Z306" s="3"/>
      <c r="AC306"/>
      <c r="AE306" s="3"/>
      <c r="AH306" t="s">
        <v>2319</v>
      </c>
      <c r="AI306" t="s">
        <v>67</v>
      </c>
      <c r="AJ306" t="s">
        <v>98</v>
      </c>
      <c r="AK306" s="3" t="s">
        <v>115</v>
      </c>
      <c r="AL306" s="3">
        <v>-94.670009376099998</v>
      </c>
      <c r="AN306" t="s">
        <v>1942</v>
      </c>
      <c r="AO306" t="s">
        <v>88</v>
      </c>
      <c r="AP306" t="s">
        <v>86</v>
      </c>
      <c r="AQ306" s="3">
        <v>9897.6106</v>
      </c>
      <c r="AS306" t="s">
        <v>2026</v>
      </c>
      <c r="AT306" t="s">
        <v>88</v>
      </c>
      <c r="AU306" t="s">
        <v>111</v>
      </c>
      <c r="AV306" s="14">
        <v>9800</v>
      </c>
    </row>
    <row r="307" spans="1:48">
      <c r="A307" t="s">
        <v>2176</v>
      </c>
      <c r="B307" t="s">
        <v>15</v>
      </c>
      <c r="C307" t="s">
        <v>27</v>
      </c>
      <c r="D307" t="s">
        <v>20</v>
      </c>
      <c r="E307" s="14">
        <v>11620</v>
      </c>
      <c r="G307" t="s">
        <v>2176</v>
      </c>
      <c r="H307" t="s">
        <v>15</v>
      </c>
      <c r="I307" t="s">
        <v>27</v>
      </c>
      <c r="J307" t="s">
        <v>20</v>
      </c>
      <c r="K307" s="14">
        <v>15551.311299999999</v>
      </c>
      <c r="Z307" s="3"/>
      <c r="AC307"/>
      <c r="AE307" s="3"/>
      <c r="AH307" t="s">
        <v>2319</v>
      </c>
      <c r="AI307" t="s">
        <v>68</v>
      </c>
      <c r="AJ307" t="s">
        <v>66</v>
      </c>
      <c r="AK307" s="3" t="s">
        <v>27</v>
      </c>
      <c r="AL307" s="3">
        <v>758.4</v>
      </c>
      <c r="AN307" t="s">
        <v>1942</v>
      </c>
      <c r="AO307" t="s">
        <v>88</v>
      </c>
      <c r="AP307" t="s">
        <v>90</v>
      </c>
      <c r="AQ307" s="3">
        <v>26861.561799999999</v>
      </c>
      <c r="AS307" t="s">
        <v>2026</v>
      </c>
      <c r="AT307" t="s">
        <v>88</v>
      </c>
      <c r="AU307" t="s">
        <v>268</v>
      </c>
      <c r="AV307" s="14">
        <v>0</v>
      </c>
    </row>
    <row r="308" spans="1:48">
      <c r="A308" t="s">
        <v>2177</v>
      </c>
      <c r="B308" t="s">
        <v>15</v>
      </c>
      <c r="C308" t="s">
        <v>27</v>
      </c>
      <c r="D308" t="s">
        <v>20</v>
      </c>
      <c r="E308" s="14">
        <v>11620</v>
      </c>
      <c r="G308" t="s">
        <v>2177</v>
      </c>
      <c r="H308" t="s">
        <v>15</v>
      </c>
      <c r="I308" t="s">
        <v>27</v>
      </c>
      <c r="J308" t="s">
        <v>20</v>
      </c>
      <c r="K308" s="14">
        <v>15551.311299999999</v>
      </c>
      <c r="Z308" s="3"/>
      <c r="AC308"/>
      <c r="AE308" s="3"/>
      <c r="AH308" t="s">
        <v>2319</v>
      </c>
      <c r="AI308" t="s">
        <v>68</v>
      </c>
      <c r="AJ308" t="s">
        <v>72</v>
      </c>
      <c r="AK308" s="3" t="s">
        <v>27</v>
      </c>
      <c r="AL308" s="3">
        <v>644.37834599999996</v>
      </c>
      <c r="AN308" t="s">
        <v>1943</v>
      </c>
      <c r="AO308" t="s">
        <v>88</v>
      </c>
      <c r="AP308" t="s">
        <v>86</v>
      </c>
      <c r="AQ308" s="3">
        <v>9897.6106</v>
      </c>
      <c r="AS308" t="s">
        <v>2026</v>
      </c>
      <c r="AT308" t="s">
        <v>88</v>
      </c>
      <c r="AU308" t="s">
        <v>269</v>
      </c>
      <c r="AV308" s="14">
        <v>0</v>
      </c>
    </row>
    <row r="309" spans="1:48">
      <c r="A309" t="s">
        <v>2178</v>
      </c>
      <c r="B309" t="s">
        <v>15</v>
      </c>
      <c r="C309" t="s">
        <v>27</v>
      </c>
      <c r="D309" t="s">
        <v>20</v>
      </c>
      <c r="E309" s="14">
        <v>11620</v>
      </c>
      <c r="G309" t="s">
        <v>2178</v>
      </c>
      <c r="H309" t="s">
        <v>15</v>
      </c>
      <c r="I309" t="s">
        <v>27</v>
      </c>
      <c r="J309" t="s">
        <v>20</v>
      </c>
      <c r="K309" s="14">
        <v>15551.311299999999</v>
      </c>
      <c r="Z309" s="3"/>
      <c r="AC309"/>
      <c r="AE309" s="3"/>
      <c r="AH309" t="s">
        <v>2319</v>
      </c>
      <c r="AI309" t="s">
        <v>68</v>
      </c>
      <c r="AJ309" t="s">
        <v>113</v>
      </c>
      <c r="AK309" s="3" t="s">
        <v>27</v>
      </c>
      <c r="AL309" s="3">
        <v>-53.199887917799998</v>
      </c>
      <c r="AN309" t="s">
        <v>1943</v>
      </c>
      <c r="AO309" t="s">
        <v>88</v>
      </c>
      <c r="AP309" t="s">
        <v>90</v>
      </c>
      <c r="AQ309" s="3">
        <v>24461.561799999999</v>
      </c>
      <c r="AS309" t="s">
        <v>2026</v>
      </c>
      <c r="AT309" t="s">
        <v>88</v>
      </c>
      <c r="AU309" t="s">
        <v>270</v>
      </c>
      <c r="AV309" s="14">
        <v>0</v>
      </c>
    </row>
    <row r="310" spans="1:48">
      <c r="A310" t="s">
        <v>2179</v>
      </c>
      <c r="B310" t="s">
        <v>15</v>
      </c>
      <c r="C310" t="s">
        <v>27</v>
      </c>
      <c r="D310" t="s">
        <v>20</v>
      </c>
      <c r="E310" s="14">
        <v>11620</v>
      </c>
      <c r="G310" t="s">
        <v>2179</v>
      </c>
      <c r="H310" t="s">
        <v>15</v>
      </c>
      <c r="I310" t="s">
        <v>27</v>
      </c>
      <c r="J310" t="s">
        <v>20</v>
      </c>
      <c r="K310" s="14">
        <v>15551.311299999999</v>
      </c>
      <c r="Z310" s="3"/>
      <c r="AC310"/>
      <c r="AE310" s="3"/>
      <c r="AH310" t="s">
        <v>2319</v>
      </c>
      <c r="AI310" t="s">
        <v>68</v>
      </c>
      <c r="AJ310" t="s">
        <v>108</v>
      </c>
      <c r="AK310" s="3" t="s">
        <v>27</v>
      </c>
      <c r="AL310" s="3">
        <v>-60.8217660822</v>
      </c>
      <c r="AN310" t="s">
        <v>1944</v>
      </c>
      <c r="AO310" t="s">
        <v>88</v>
      </c>
      <c r="AP310" t="s">
        <v>86</v>
      </c>
      <c r="AQ310" s="3">
        <v>9897.6106</v>
      </c>
      <c r="AS310" t="s">
        <v>2026</v>
      </c>
      <c r="AT310" t="s">
        <v>88</v>
      </c>
      <c r="AU310" t="s">
        <v>271</v>
      </c>
      <c r="AV310" s="14">
        <v>13503</v>
      </c>
    </row>
    <row r="311" spans="1:48">
      <c r="A311" t="s">
        <v>2180</v>
      </c>
      <c r="B311" t="s">
        <v>15</v>
      </c>
      <c r="C311" t="s">
        <v>27</v>
      </c>
      <c r="D311" t="s">
        <v>20</v>
      </c>
      <c r="E311" s="14">
        <v>11720</v>
      </c>
      <c r="G311" t="s">
        <v>2180</v>
      </c>
      <c r="H311" t="s">
        <v>15</v>
      </c>
      <c r="I311" t="s">
        <v>27</v>
      </c>
      <c r="J311" t="s">
        <v>20</v>
      </c>
      <c r="K311" s="14">
        <v>15551.311299999999</v>
      </c>
      <c r="Z311" s="3"/>
      <c r="AC311"/>
      <c r="AE311" s="3"/>
      <c r="AH311" t="s">
        <v>2319</v>
      </c>
      <c r="AI311" t="s">
        <v>68</v>
      </c>
      <c r="AJ311" t="s">
        <v>98</v>
      </c>
      <c r="AK311" s="3" t="s">
        <v>27</v>
      </c>
      <c r="AL311" s="3">
        <v>-60.8217660822</v>
      </c>
      <c r="AN311" t="s">
        <v>1944</v>
      </c>
      <c r="AO311" t="s">
        <v>88</v>
      </c>
      <c r="AP311" t="s">
        <v>90</v>
      </c>
      <c r="AQ311" s="3">
        <v>24667.584800000001</v>
      </c>
      <c r="AS311" t="s">
        <v>2026</v>
      </c>
      <c r="AT311" t="s">
        <v>88</v>
      </c>
      <c r="AU311" t="s">
        <v>272</v>
      </c>
      <c r="AV311" s="14">
        <v>0</v>
      </c>
    </row>
    <row r="312" spans="1:48">
      <c r="A312" t="s">
        <v>2181</v>
      </c>
      <c r="B312" t="s">
        <v>15</v>
      </c>
      <c r="C312" t="s">
        <v>27</v>
      </c>
      <c r="D312" t="s">
        <v>20</v>
      </c>
      <c r="E312" s="14">
        <v>11720</v>
      </c>
      <c r="G312" t="s">
        <v>2181</v>
      </c>
      <c r="H312" t="s">
        <v>15</v>
      </c>
      <c r="I312" t="s">
        <v>27</v>
      </c>
      <c r="J312" t="s">
        <v>20</v>
      </c>
      <c r="K312" s="14">
        <v>15551.311299999999</v>
      </c>
      <c r="Z312" s="3"/>
      <c r="AC312"/>
      <c r="AE312" s="3"/>
      <c r="AH312" t="s">
        <v>2319</v>
      </c>
      <c r="AI312" t="s">
        <v>68</v>
      </c>
      <c r="AJ312" t="s">
        <v>66</v>
      </c>
      <c r="AK312" s="3" t="s">
        <v>114</v>
      </c>
      <c r="AL312" s="3">
        <v>3408.4</v>
      </c>
      <c r="AN312" t="s">
        <v>1945</v>
      </c>
      <c r="AO312" t="s">
        <v>88</v>
      </c>
      <c r="AP312" t="s">
        <v>86</v>
      </c>
      <c r="AQ312" s="3">
        <v>9897.6106</v>
      </c>
      <c r="AS312" t="s">
        <v>2026</v>
      </c>
      <c r="AT312" t="s">
        <v>88</v>
      </c>
      <c r="AU312" t="s">
        <v>273</v>
      </c>
      <c r="AV312" s="14">
        <v>0</v>
      </c>
    </row>
    <row r="313" spans="1:48">
      <c r="A313" t="s">
        <v>2182</v>
      </c>
      <c r="B313" t="s">
        <v>15</v>
      </c>
      <c r="C313" t="s">
        <v>27</v>
      </c>
      <c r="D313" t="s">
        <v>20</v>
      </c>
      <c r="E313" s="14">
        <v>11670</v>
      </c>
      <c r="G313" t="s">
        <v>2182</v>
      </c>
      <c r="H313" t="s">
        <v>15</v>
      </c>
      <c r="I313" t="s">
        <v>27</v>
      </c>
      <c r="J313" t="s">
        <v>20</v>
      </c>
      <c r="K313" s="14">
        <v>15551.311299999999</v>
      </c>
      <c r="Z313" s="3"/>
      <c r="AC313"/>
      <c r="AE313" s="3"/>
      <c r="AH313" t="s">
        <v>2319</v>
      </c>
      <c r="AI313" t="s">
        <v>68</v>
      </c>
      <c r="AJ313" t="s">
        <v>98</v>
      </c>
      <c r="AK313" s="3" t="s">
        <v>114</v>
      </c>
      <c r="AL313" s="3">
        <v>-201.6217660822</v>
      </c>
      <c r="AN313" t="s">
        <v>1945</v>
      </c>
      <c r="AO313" t="s">
        <v>88</v>
      </c>
      <c r="AP313" t="s">
        <v>90</v>
      </c>
      <c r="AQ313" s="3">
        <v>26817.584800000001</v>
      </c>
      <c r="AS313" t="s">
        <v>2026</v>
      </c>
      <c r="AT313" t="s">
        <v>196</v>
      </c>
      <c r="AU313" t="s">
        <v>197</v>
      </c>
      <c r="AV313" s="14">
        <v>7.3526672624191196</v>
      </c>
    </row>
    <row r="314" spans="1:48">
      <c r="A314" t="s">
        <v>2183</v>
      </c>
      <c r="B314" t="s">
        <v>15</v>
      </c>
      <c r="C314" t="s">
        <v>27</v>
      </c>
      <c r="D314" t="s">
        <v>20</v>
      </c>
      <c r="E314" s="14">
        <v>11670</v>
      </c>
      <c r="G314" t="s">
        <v>2183</v>
      </c>
      <c r="H314" t="s">
        <v>15</v>
      </c>
      <c r="I314" t="s">
        <v>27</v>
      </c>
      <c r="J314" t="s">
        <v>20</v>
      </c>
      <c r="K314" s="14">
        <v>15551.311299999999</v>
      </c>
      <c r="Z314" s="3"/>
      <c r="AC314"/>
      <c r="AE314" s="3"/>
      <c r="AH314" t="s">
        <v>2319</v>
      </c>
      <c r="AI314" t="s">
        <v>68</v>
      </c>
      <c r="AJ314" t="s">
        <v>66</v>
      </c>
      <c r="AK314" s="3" t="s">
        <v>115</v>
      </c>
      <c r="AL314" s="3">
        <v>2650</v>
      </c>
      <c r="AN314" t="s">
        <v>1946</v>
      </c>
      <c r="AO314" t="s">
        <v>88</v>
      </c>
      <c r="AP314" t="s">
        <v>86</v>
      </c>
      <c r="AQ314" s="3">
        <v>9897.6106</v>
      </c>
      <c r="AS314" t="s">
        <v>2026</v>
      </c>
      <c r="AT314" t="s">
        <v>196</v>
      </c>
      <c r="AU314" t="s">
        <v>109</v>
      </c>
      <c r="AV314" s="14">
        <v>6.9889668640190097</v>
      </c>
    </row>
    <row r="315" spans="1:48">
      <c r="A315" t="s">
        <v>2184</v>
      </c>
      <c r="B315" t="s">
        <v>15</v>
      </c>
      <c r="C315" t="s">
        <v>27</v>
      </c>
      <c r="D315" t="s">
        <v>20</v>
      </c>
      <c r="E315" s="14">
        <v>11670</v>
      </c>
      <c r="G315" t="s">
        <v>2184</v>
      </c>
      <c r="H315" t="s">
        <v>15</v>
      </c>
      <c r="I315" t="s">
        <v>27</v>
      </c>
      <c r="J315" t="s">
        <v>20</v>
      </c>
      <c r="K315" s="14">
        <v>15551.311299999999</v>
      </c>
      <c r="Z315" s="3"/>
      <c r="AC315"/>
      <c r="AE315" s="3"/>
      <c r="AH315" t="s">
        <v>2319</v>
      </c>
      <c r="AI315" t="s">
        <v>68</v>
      </c>
      <c r="AJ315" t="s">
        <v>98</v>
      </c>
      <c r="AK315" s="3" t="s">
        <v>115</v>
      </c>
      <c r="AL315" s="3">
        <v>-136.22596643290001</v>
      </c>
      <c r="AN315" t="s">
        <v>1946</v>
      </c>
      <c r="AO315" t="s">
        <v>88</v>
      </c>
      <c r="AP315" t="s">
        <v>90</v>
      </c>
      <c r="AQ315" s="3">
        <v>25108.0481</v>
      </c>
      <c r="AS315" t="s">
        <v>2026</v>
      </c>
      <c r="AT315" t="s">
        <v>196</v>
      </c>
      <c r="AU315" t="s">
        <v>198</v>
      </c>
      <c r="AV315" s="14">
        <v>7.26487463377922</v>
      </c>
    </row>
    <row r="316" spans="1:48">
      <c r="A316" t="s">
        <v>2185</v>
      </c>
      <c r="B316" t="s">
        <v>15</v>
      </c>
      <c r="C316" t="s">
        <v>27</v>
      </c>
      <c r="D316" t="s">
        <v>20</v>
      </c>
      <c r="E316" s="14">
        <v>11720</v>
      </c>
      <c r="G316" t="s">
        <v>2185</v>
      </c>
      <c r="H316" t="s">
        <v>15</v>
      </c>
      <c r="I316" t="s">
        <v>27</v>
      </c>
      <c r="J316" t="s">
        <v>20</v>
      </c>
      <c r="K316" s="14">
        <v>15551.311299999999</v>
      </c>
      <c r="Z316" s="3"/>
      <c r="AC316"/>
      <c r="AE316" s="3"/>
      <c r="AH316" t="s">
        <v>2317</v>
      </c>
      <c r="AI316" t="s">
        <v>65</v>
      </c>
      <c r="AJ316" t="s">
        <v>66</v>
      </c>
      <c r="AK316" s="3" t="s">
        <v>27</v>
      </c>
      <c r="AL316" s="3">
        <v>37149.300000000003</v>
      </c>
      <c r="AN316" t="s">
        <v>1947</v>
      </c>
      <c r="AO316" t="s">
        <v>88</v>
      </c>
      <c r="AP316" t="s">
        <v>86</v>
      </c>
      <c r="AQ316" s="3">
        <v>9897.6106</v>
      </c>
      <c r="AS316" t="s">
        <v>2025</v>
      </c>
      <c r="AT316" t="s">
        <v>88</v>
      </c>
      <c r="AU316" t="s">
        <v>109</v>
      </c>
      <c r="AV316" s="14">
        <v>14418</v>
      </c>
    </row>
    <row r="317" spans="1:48">
      <c r="A317" t="s">
        <v>2186</v>
      </c>
      <c r="B317" t="s">
        <v>15</v>
      </c>
      <c r="C317" t="s">
        <v>27</v>
      </c>
      <c r="D317" t="s">
        <v>20</v>
      </c>
      <c r="E317" s="14">
        <v>11720</v>
      </c>
      <c r="G317" t="s">
        <v>2186</v>
      </c>
      <c r="H317" t="s">
        <v>15</v>
      </c>
      <c r="I317" t="s">
        <v>27</v>
      </c>
      <c r="J317" t="s">
        <v>20</v>
      </c>
      <c r="K317" s="14">
        <v>15551.311299999999</v>
      </c>
      <c r="Z317" s="3"/>
      <c r="AC317"/>
      <c r="AE317" s="3"/>
      <c r="AH317" t="s">
        <v>2317</v>
      </c>
      <c r="AI317" t="s">
        <v>65</v>
      </c>
      <c r="AJ317" t="s">
        <v>72</v>
      </c>
      <c r="AK317" s="3" t="s">
        <v>27</v>
      </c>
      <c r="AL317" s="3">
        <v>37403.209212000002</v>
      </c>
      <c r="AN317" t="s">
        <v>1947</v>
      </c>
      <c r="AO317" t="s">
        <v>88</v>
      </c>
      <c r="AP317" t="s">
        <v>90</v>
      </c>
      <c r="AQ317" s="3">
        <v>24008.571499999998</v>
      </c>
      <c r="AS317" t="s">
        <v>2025</v>
      </c>
      <c r="AT317" t="s">
        <v>88</v>
      </c>
      <c r="AU317" t="s">
        <v>110</v>
      </c>
      <c r="AV317" s="14">
        <v>397.61059999999998</v>
      </c>
    </row>
    <row r="318" spans="1:48">
      <c r="A318" t="s">
        <v>2187</v>
      </c>
      <c r="B318" t="s">
        <v>15</v>
      </c>
      <c r="C318" t="s">
        <v>27</v>
      </c>
      <c r="D318" t="s">
        <v>20</v>
      </c>
      <c r="E318" s="14">
        <v>11920</v>
      </c>
      <c r="G318" t="s">
        <v>2187</v>
      </c>
      <c r="H318" t="s">
        <v>15</v>
      </c>
      <c r="I318" t="s">
        <v>27</v>
      </c>
      <c r="J318" t="s">
        <v>20</v>
      </c>
      <c r="K318" s="14">
        <v>15551.311299999999</v>
      </c>
      <c r="Z318" s="3"/>
      <c r="AC318"/>
      <c r="AE318" s="3"/>
      <c r="AH318" t="s">
        <v>2317</v>
      </c>
      <c r="AI318" t="s">
        <v>65</v>
      </c>
      <c r="AJ318" t="s">
        <v>113</v>
      </c>
      <c r="AK318" s="3" t="s">
        <v>27</v>
      </c>
      <c r="AL318" s="3">
        <v>1875.8086654919</v>
      </c>
      <c r="AN318" t="s">
        <v>1948</v>
      </c>
      <c r="AO318" t="s">
        <v>88</v>
      </c>
      <c r="AP318" t="s">
        <v>86</v>
      </c>
      <c r="AQ318" s="3">
        <v>9897.6106</v>
      </c>
      <c r="AS318" t="s">
        <v>2025</v>
      </c>
      <c r="AT318" t="s">
        <v>88</v>
      </c>
      <c r="AU318" t="s">
        <v>111</v>
      </c>
      <c r="AV318" s="14">
        <v>9800</v>
      </c>
    </row>
    <row r="319" spans="1:48">
      <c r="A319" t="s">
        <v>2188</v>
      </c>
      <c r="B319" t="s">
        <v>15</v>
      </c>
      <c r="C319" t="s">
        <v>27</v>
      </c>
      <c r="D319" t="s">
        <v>20</v>
      </c>
      <c r="E319" s="14">
        <v>11970</v>
      </c>
      <c r="G319" t="s">
        <v>2188</v>
      </c>
      <c r="H319" t="s">
        <v>15</v>
      </c>
      <c r="I319" t="s">
        <v>27</v>
      </c>
      <c r="J319" t="s">
        <v>20</v>
      </c>
      <c r="K319" s="14">
        <v>15551.311299999999</v>
      </c>
      <c r="Z319" s="3"/>
      <c r="AC319"/>
      <c r="AE319" s="3"/>
      <c r="AH319" t="s">
        <v>2317</v>
      </c>
      <c r="AI319" t="s">
        <v>65</v>
      </c>
      <c r="AJ319" t="s">
        <v>108</v>
      </c>
      <c r="AK319" s="3" t="s">
        <v>27</v>
      </c>
      <c r="AL319" s="3">
        <v>-1621.8994534919</v>
      </c>
      <c r="AN319" t="s">
        <v>1948</v>
      </c>
      <c r="AO319" t="s">
        <v>88</v>
      </c>
      <c r="AP319" t="s">
        <v>90</v>
      </c>
      <c r="AQ319" s="3">
        <v>24496.071499999998</v>
      </c>
      <c r="AS319" t="s">
        <v>2025</v>
      </c>
      <c r="AT319" t="s">
        <v>88</v>
      </c>
      <c r="AU319" t="s">
        <v>268</v>
      </c>
      <c r="AV319" s="14">
        <v>0</v>
      </c>
    </row>
    <row r="320" spans="1:48">
      <c r="A320" t="s">
        <v>2189</v>
      </c>
      <c r="B320" t="s">
        <v>15</v>
      </c>
      <c r="C320" t="s">
        <v>27</v>
      </c>
      <c r="D320" t="s">
        <v>20</v>
      </c>
      <c r="E320" s="14">
        <v>11970</v>
      </c>
      <c r="G320" t="s">
        <v>2189</v>
      </c>
      <c r="H320" t="s">
        <v>15</v>
      </c>
      <c r="I320" t="s">
        <v>27</v>
      </c>
      <c r="J320" t="s">
        <v>20</v>
      </c>
      <c r="K320" s="14">
        <v>15551.311299999999</v>
      </c>
      <c r="Z320" s="3"/>
      <c r="AC320"/>
      <c r="AE320" s="3"/>
      <c r="AH320" t="s">
        <v>2317</v>
      </c>
      <c r="AI320" t="s">
        <v>65</v>
      </c>
      <c r="AJ320" t="s">
        <v>98</v>
      </c>
      <c r="AK320" s="3" t="s">
        <v>27</v>
      </c>
      <c r="AL320" s="3">
        <v>-1621.8994534919</v>
      </c>
      <c r="AN320" t="s">
        <v>1949</v>
      </c>
      <c r="AO320" t="s">
        <v>88</v>
      </c>
      <c r="AP320" t="s">
        <v>86</v>
      </c>
      <c r="AQ320" s="3">
        <v>9897.6106</v>
      </c>
      <c r="AS320" t="s">
        <v>2025</v>
      </c>
      <c r="AT320" t="s">
        <v>88</v>
      </c>
      <c r="AU320" t="s">
        <v>269</v>
      </c>
      <c r="AV320" s="14">
        <v>0</v>
      </c>
    </row>
    <row r="321" spans="1:48">
      <c r="A321" t="s">
        <v>2190</v>
      </c>
      <c r="B321" t="s">
        <v>15</v>
      </c>
      <c r="C321" t="s">
        <v>27</v>
      </c>
      <c r="D321" t="s">
        <v>20</v>
      </c>
      <c r="E321" s="14">
        <v>11870</v>
      </c>
      <c r="G321" t="s">
        <v>2190</v>
      </c>
      <c r="H321" t="s">
        <v>15</v>
      </c>
      <c r="I321" t="s">
        <v>27</v>
      </c>
      <c r="J321" t="s">
        <v>20</v>
      </c>
      <c r="K321" s="14">
        <v>15601.311299999999</v>
      </c>
      <c r="Z321" s="3"/>
      <c r="AC321"/>
      <c r="AE321" s="3"/>
      <c r="AH321" t="s">
        <v>2317</v>
      </c>
      <c r="AI321" t="s">
        <v>67</v>
      </c>
      <c r="AJ321" t="s">
        <v>66</v>
      </c>
      <c r="AK321" s="3" t="s">
        <v>27</v>
      </c>
      <c r="AL321" s="3">
        <v>-20314.7</v>
      </c>
      <c r="AN321" t="s">
        <v>1949</v>
      </c>
      <c r="AO321" t="s">
        <v>88</v>
      </c>
      <c r="AP321" t="s">
        <v>90</v>
      </c>
      <c r="AQ321" s="3">
        <v>25061.071499999998</v>
      </c>
      <c r="AS321" t="s">
        <v>2025</v>
      </c>
      <c r="AT321" t="s">
        <v>88</v>
      </c>
      <c r="AU321" t="s">
        <v>270</v>
      </c>
      <c r="AV321" s="14">
        <v>0</v>
      </c>
    </row>
    <row r="322" spans="1:48">
      <c r="A322" t="s">
        <v>2191</v>
      </c>
      <c r="B322" t="s">
        <v>15</v>
      </c>
      <c r="C322" t="s">
        <v>27</v>
      </c>
      <c r="D322" t="s">
        <v>20</v>
      </c>
      <c r="E322" s="14">
        <v>11870</v>
      </c>
      <c r="G322" t="s">
        <v>2191</v>
      </c>
      <c r="H322" t="s">
        <v>15</v>
      </c>
      <c r="I322" t="s">
        <v>27</v>
      </c>
      <c r="J322" t="s">
        <v>20</v>
      </c>
      <c r="K322" s="14">
        <v>15601.311299999999</v>
      </c>
      <c r="Z322" s="3"/>
      <c r="AC322"/>
      <c r="AE322" s="3"/>
      <c r="AH322" t="s">
        <v>2317</v>
      </c>
      <c r="AI322" t="s">
        <v>67</v>
      </c>
      <c r="AJ322" t="s">
        <v>72</v>
      </c>
      <c r="AK322" s="3" t="s">
        <v>27</v>
      </c>
      <c r="AL322" s="3">
        <v>-21969.111568</v>
      </c>
      <c r="AN322" t="s">
        <v>1950</v>
      </c>
      <c r="AO322" t="s">
        <v>88</v>
      </c>
      <c r="AP322" t="s">
        <v>90</v>
      </c>
      <c r="AQ322" s="3">
        <v>26061.071499999998</v>
      </c>
      <c r="AS322" t="s">
        <v>2025</v>
      </c>
      <c r="AT322" t="s">
        <v>88</v>
      </c>
      <c r="AU322" t="s">
        <v>271</v>
      </c>
      <c r="AV322" s="14">
        <v>15031.1</v>
      </c>
    </row>
    <row r="323" spans="1:48">
      <c r="A323" t="s">
        <v>2192</v>
      </c>
      <c r="B323" t="s">
        <v>15</v>
      </c>
      <c r="C323" t="s">
        <v>27</v>
      </c>
      <c r="D323" t="s">
        <v>20</v>
      </c>
      <c r="E323" s="14">
        <v>11870</v>
      </c>
      <c r="G323" t="s">
        <v>2192</v>
      </c>
      <c r="H323" t="s">
        <v>15</v>
      </c>
      <c r="I323" t="s">
        <v>27</v>
      </c>
      <c r="J323" t="s">
        <v>20</v>
      </c>
      <c r="K323" s="14">
        <v>15601.311299999999</v>
      </c>
      <c r="Z323" s="3"/>
      <c r="AC323"/>
      <c r="AE323" s="3"/>
      <c r="AH323" t="s">
        <v>2317</v>
      </c>
      <c r="AI323" t="s">
        <v>67</v>
      </c>
      <c r="AJ323" t="s">
        <v>113</v>
      </c>
      <c r="AK323" s="3" t="s">
        <v>27</v>
      </c>
      <c r="AL323" s="3">
        <v>-1722.3884451916999</v>
      </c>
      <c r="AN323" t="s">
        <v>1950</v>
      </c>
      <c r="AO323" t="s">
        <v>88</v>
      </c>
      <c r="AP323" t="s">
        <v>86</v>
      </c>
      <c r="AQ323" s="3">
        <v>9897.6106</v>
      </c>
      <c r="AS323" t="s">
        <v>2025</v>
      </c>
      <c r="AT323" t="s">
        <v>88</v>
      </c>
      <c r="AU323" t="s">
        <v>272</v>
      </c>
      <c r="AV323" s="14">
        <v>0</v>
      </c>
    </row>
    <row r="324" spans="1:48">
      <c r="A324" t="s">
        <v>2193</v>
      </c>
      <c r="B324" t="s">
        <v>15</v>
      </c>
      <c r="C324" t="s">
        <v>27</v>
      </c>
      <c r="D324" t="s">
        <v>20</v>
      </c>
      <c r="E324" s="14">
        <v>11920</v>
      </c>
      <c r="G324" t="s">
        <v>2193</v>
      </c>
      <c r="H324" t="s">
        <v>15</v>
      </c>
      <c r="I324" t="s">
        <v>27</v>
      </c>
      <c r="J324" t="s">
        <v>20</v>
      </c>
      <c r="K324" s="14">
        <v>15801.311299999999</v>
      </c>
      <c r="Z324" s="3"/>
      <c r="AC324"/>
      <c r="AE324" s="3"/>
      <c r="AH324" t="s">
        <v>2317</v>
      </c>
      <c r="AI324" t="s">
        <v>67</v>
      </c>
      <c r="AJ324" t="s">
        <v>108</v>
      </c>
      <c r="AK324" s="3" t="s">
        <v>27</v>
      </c>
      <c r="AL324" s="3">
        <v>67.976877191699998</v>
      </c>
      <c r="AN324" t="s">
        <v>1951</v>
      </c>
      <c r="AO324" t="s">
        <v>88</v>
      </c>
      <c r="AP324" t="s">
        <v>86</v>
      </c>
      <c r="AQ324" s="3">
        <v>9897.6106</v>
      </c>
      <c r="AS324" t="s">
        <v>2025</v>
      </c>
      <c r="AT324" t="s">
        <v>88</v>
      </c>
      <c r="AU324" t="s">
        <v>273</v>
      </c>
      <c r="AV324" s="14">
        <v>0</v>
      </c>
    </row>
    <row r="325" spans="1:48">
      <c r="A325" t="s">
        <v>2194</v>
      </c>
      <c r="B325" t="s">
        <v>15</v>
      </c>
      <c r="C325" t="s">
        <v>27</v>
      </c>
      <c r="D325" t="s">
        <v>20</v>
      </c>
      <c r="E325" s="14">
        <v>11920</v>
      </c>
      <c r="G325" t="s">
        <v>2194</v>
      </c>
      <c r="H325" t="s">
        <v>15</v>
      </c>
      <c r="I325" t="s">
        <v>27</v>
      </c>
      <c r="J325" t="s">
        <v>20</v>
      </c>
      <c r="K325" s="14">
        <v>15801.311299999999</v>
      </c>
      <c r="Z325" s="3"/>
      <c r="AC325"/>
      <c r="AE325" s="3"/>
      <c r="AH325" t="s">
        <v>2317</v>
      </c>
      <c r="AI325" t="s">
        <v>67</v>
      </c>
      <c r="AJ325" t="s">
        <v>98</v>
      </c>
      <c r="AK325" s="3" t="s">
        <v>27</v>
      </c>
      <c r="AL325" s="3">
        <v>67.976877191699998</v>
      </c>
      <c r="AN325" t="s">
        <v>1951</v>
      </c>
      <c r="AO325" t="s">
        <v>88</v>
      </c>
      <c r="AP325" t="s">
        <v>90</v>
      </c>
      <c r="AQ325" s="3">
        <v>24561.071499999998</v>
      </c>
      <c r="AS325" t="s">
        <v>2025</v>
      </c>
      <c r="AT325" t="s">
        <v>196</v>
      </c>
      <c r="AU325" t="s">
        <v>197</v>
      </c>
      <c r="AV325" s="14">
        <v>7.6714126234312401</v>
      </c>
    </row>
    <row r="326" spans="1:48">
      <c r="A326" t="s">
        <v>2195</v>
      </c>
      <c r="B326" t="s">
        <v>15</v>
      </c>
      <c r="C326" t="s">
        <v>27</v>
      </c>
      <c r="D326" t="s">
        <v>20</v>
      </c>
      <c r="E326" s="14">
        <v>11820</v>
      </c>
      <c r="G326" t="s">
        <v>2195</v>
      </c>
      <c r="H326" t="s">
        <v>15</v>
      </c>
      <c r="I326" t="s">
        <v>27</v>
      </c>
      <c r="J326" t="s">
        <v>20</v>
      </c>
      <c r="K326" s="14">
        <v>15951.311299999999</v>
      </c>
      <c r="Z326" s="3"/>
      <c r="AC326"/>
      <c r="AE326" s="3"/>
      <c r="AH326" t="s">
        <v>2317</v>
      </c>
      <c r="AI326" t="s">
        <v>67</v>
      </c>
      <c r="AJ326" t="s">
        <v>66</v>
      </c>
      <c r="AK326" s="3" t="s">
        <v>114</v>
      </c>
      <c r="AL326" s="3">
        <v>1530</v>
      </c>
      <c r="AN326" t="s">
        <v>1952</v>
      </c>
      <c r="AO326" t="s">
        <v>88</v>
      </c>
      <c r="AP326" t="s">
        <v>86</v>
      </c>
      <c r="AQ326" s="3">
        <v>9897.6106</v>
      </c>
      <c r="AS326" t="s">
        <v>2025</v>
      </c>
      <c r="AT326" t="s">
        <v>196</v>
      </c>
      <c r="AU326" t="s">
        <v>109</v>
      </c>
      <c r="AV326" s="14">
        <v>6.6918987677196098</v>
      </c>
    </row>
    <row r="327" spans="1:48">
      <c r="A327" t="s">
        <v>2196</v>
      </c>
      <c r="B327" t="s">
        <v>15</v>
      </c>
      <c r="C327" t="s">
        <v>27</v>
      </c>
      <c r="D327" t="s">
        <v>20</v>
      </c>
      <c r="E327" s="14">
        <v>11820</v>
      </c>
      <c r="G327" t="s">
        <v>2196</v>
      </c>
      <c r="H327" t="s">
        <v>15</v>
      </c>
      <c r="I327" t="s">
        <v>27</v>
      </c>
      <c r="J327" t="s">
        <v>20</v>
      </c>
      <c r="K327" s="14">
        <v>15951.311299999999</v>
      </c>
      <c r="Z327" s="3"/>
      <c r="AC327"/>
      <c r="AE327" s="3"/>
      <c r="AH327" t="s">
        <v>2317</v>
      </c>
      <c r="AI327" t="s">
        <v>67</v>
      </c>
      <c r="AJ327" t="s">
        <v>98</v>
      </c>
      <c r="AK327" s="3" t="s">
        <v>114</v>
      </c>
      <c r="AL327" s="3">
        <v>-39.423601369899998</v>
      </c>
      <c r="AN327" t="s">
        <v>1952</v>
      </c>
      <c r="AO327" t="s">
        <v>88</v>
      </c>
      <c r="AP327" t="s">
        <v>90</v>
      </c>
      <c r="AQ327" s="3">
        <v>25161.071499999998</v>
      </c>
      <c r="AS327" t="s">
        <v>2025</v>
      </c>
      <c r="AT327" t="s">
        <v>196</v>
      </c>
      <c r="AU327" t="s">
        <v>198</v>
      </c>
      <c r="AV327" s="14">
        <v>7.1073571886122604</v>
      </c>
    </row>
    <row r="328" spans="1:48">
      <c r="A328" t="s">
        <v>2197</v>
      </c>
      <c r="B328" t="s">
        <v>15</v>
      </c>
      <c r="C328" t="s">
        <v>27</v>
      </c>
      <c r="D328" t="s">
        <v>20</v>
      </c>
      <c r="E328" s="14">
        <v>11820</v>
      </c>
      <c r="G328" t="s">
        <v>2197</v>
      </c>
      <c r="H328" t="s">
        <v>15</v>
      </c>
      <c r="I328" t="s">
        <v>27</v>
      </c>
      <c r="J328" t="s">
        <v>20</v>
      </c>
      <c r="K328" s="14">
        <v>15951.311299999999</v>
      </c>
      <c r="Z328" s="3"/>
      <c r="AC328"/>
      <c r="AE328" s="3"/>
      <c r="AH328" t="s">
        <v>2317</v>
      </c>
      <c r="AI328" t="s">
        <v>67</v>
      </c>
      <c r="AJ328" t="s">
        <v>66</v>
      </c>
      <c r="AK328" s="3" t="s">
        <v>115</v>
      </c>
      <c r="AL328" s="3">
        <v>21844.7</v>
      </c>
      <c r="AN328" t="s">
        <v>1953</v>
      </c>
      <c r="AO328" t="s">
        <v>88</v>
      </c>
      <c r="AP328" t="s">
        <v>86</v>
      </c>
      <c r="AQ328" s="3">
        <v>9897.6106</v>
      </c>
      <c r="AS328" t="s">
        <v>2024</v>
      </c>
      <c r="AT328" t="s">
        <v>88</v>
      </c>
      <c r="AU328" t="s">
        <v>109</v>
      </c>
      <c r="AV328" s="14">
        <v>14178</v>
      </c>
    </row>
    <row r="329" spans="1:48">
      <c r="A329" t="s">
        <v>2198</v>
      </c>
      <c r="B329" t="s">
        <v>15</v>
      </c>
      <c r="C329" t="s">
        <v>27</v>
      </c>
      <c r="D329" t="s">
        <v>20</v>
      </c>
      <c r="E329" s="14">
        <v>11820</v>
      </c>
      <c r="G329" t="s">
        <v>2198</v>
      </c>
      <c r="H329" t="s">
        <v>15</v>
      </c>
      <c r="I329" t="s">
        <v>27</v>
      </c>
      <c r="J329" t="s">
        <v>20</v>
      </c>
      <c r="K329" s="14">
        <v>15951.311299999999</v>
      </c>
      <c r="Z329" s="3"/>
      <c r="AC329"/>
      <c r="AE329" s="3"/>
      <c r="AH329" t="s">
        <v>2317</v>
      </c>
      <c r="AI329" t="s">
        <v>67</v>
      </c>
      <c r="AJ329" t="s">
        <v>98</v>
      </c>
      <c r="AK329" s="3" t="s">
        <v>115</v>
      </c>
      <c r="AL329" s="3">
        <v>-107.40047856149999</v>
      </c>
      <c r="AN329" t="s">
        <v>1953</v>
      </c>
      <c r="AO329" t="s">
        <v>88</v>
      </c>
      <c r="AP329" t="s">
        <v>90</v>
      </c>
      <c r="AQ329" s="3">
        <v>25461.071499999998</v>
      </c>
      <c r="AS329" t="s">
        <v>2024</v>
      </c>
      <c r="AT329" t="s">
        <v>88</v>
      </c>
      <c r="AU329" t="s">
        <v>110</v>
      </c>
      <c r="AV329" s="14">
        <v>397.61059999999998</v>
      </c>
    </row>
    <row r="330" spans="1:48">
      <c r="A330" t="s">
        <v>2199</v>
      </c>
      <c r="B330" t="s">
        <v>15</v>
      </c>
      <c r="C330" t="s">
        <v>27</v>
      </c>
      <c r="D330" t="s">
        <v>20</v>
      </c>
      <c r="E330" s="14">
        <v>11870</v>
      </c>
      <c r="G330" t="s">
        <v>2199</v>
      </c>
      <c r="H330" t="s">
        <v>15</v>
      </c>
      <c r="I330" t="s">
        <v>27</v>
      </c>
      <c r="J330" t="s">
        <v>20</v>
      </c>
      <c r="K330" s="14">
        <v>15951.311299999999</v>
      </c>
      <c r="Z330" s="3"/>
      <c r="AC330"/>
      <c r="AE330" s="3"/>
      <c r="AH330" t="s">
        <v>2317</v>
      </c>
      <c r="AI330" t="s">
        <v>68</v>
      </c>
      <c r="AJ330" t="s">
        <v>66</v>
      </c>
      <c r="AK330" s="3" t="s">
        <v>27</v>
      </c>
      <c r="AL330" s="3">
        <v>1678.4</v>
      </c>
      <c r="AN330" t="s">
        <v>1954</v>
      </c>
      <c r="AO330" t="s">
        <v>88</v>
      </c>
      <c r="AP330" t="s">
        <v>86</v>
      </c>
      <c r="AQ330" s="3">
        <v>9897.6106</v>
      </c>
      <c r="AS330" t="s">
        <v>2024</v>
      </c>
      <c r="AT330" t="s">
        <v>88</v>
      </c>
      <c r="AU330" t="s">
        <v>111</v>
      </c>
      <c r="AV330" s="14">
        <v>9800</v>
      </c>
    </row>
    <row r="331" spans="1:48">
      <c r="A331" t="s">
        <v>2200</v>
      </c>
      <c r="B331" t="s">
        <v>15</v>
      </c>
      <c r="C331" t="s">
        <v>27</v>
      </c>
      <c r="D331" t="s">
        <v>20</v>
      </c>
      <c r="E331" s="14">
        <v>11870</v>
      </c>
      <c r="G331" t="s">
        <v>2200</v>
      </c>
      <c r="H331" t="s">
        <v>15</v>
      </c>
      <c r="I331" t="s">
        <v>27</v>
      </c>
      <c r="J331" t="s">
        <v>20</v>
      </c>
      <c r="K331" s="14">
        <v>15951.311299999999</v>
      </c>
      <c r="Z331" s="3"/>
      <c r="AC331"/>
      <c r="AE331" s="3"/>
      <c r="AH331" t="s">
        <v>2317</v>
      </c>
      <c r="AI331" t="s">
        <v>68</v>
      </c>
      <c r="AJ331" t="s">
        <v>72</v>
      </c>
      <c r="AK331" s="3" t="s">
        <v>27</v>
      </c>
      <c r="AL331" s="3">
        <v>1558.7560759999999</v>
      </c>
      <c r="AN331" t="s">
        <v>1954</v>
      </c>
      <c r="AO331" t="s">
        <v>88</v>
      </c>
      <c r="AP331" t="s">
        <v>90</v>
      </c>
      <c r="AQ331" s="3">
        <v>26599.4067</v>
      </c>
      <c r="AS331" t="s">
        <v>2024</v>
      </c>
      <c r="AT331" t="s">
        <v>88</v>
      </c>
      <c r="AU331" t="s">
        <v>268</v>
      </c>
      <c r="AV331" s="14">
        <v>0</v>
      </c>
    </row>
    <row r="332" spans="1:48">
      <c r="A332" t="s">
        <v>2201</v>
      </c>
      <c r="B332" t="s">
        <v>15</v>
      </c>
      <c r="C332" t="s">
        <v>27</v>
      </c>
      <c r="D332" t="s">
        <v>20</v>
      </c>
      <c r="E332" s="14">
        <v>12020</v>
      </c>
      <c r="G332" t="s">
        <v>2201</v>
      </c>
      <c r="H332" t="s">
        <v>15</v>
      </c>
      <c r="I332" t="s">
        <v>27</v>
      </c>
      <c r="J332" t="s">
        <v>20</v>
      </c>
      <c r="K332" s="14">
        <v>16001.311299999999</v>
      </c>
      <c r="Z332" s="3"/>
      <c r="AC332"/>
      <c r="AE332" s="3"/>
      <c r="AH332" t="s">
        <v>2317</v>
      </c>
      <c r="AI332" t="s">
        <v>68</v>
      </c>
      <c r="AJ332" t="s">
        <v>113</v>
      </c>
      <c r="AK332" s="3" t="s">
        <v>27</v>
      </c>
      <c r="AL332" s="3">
        <v>-38.623179998700003</v>
      </c>
      <c r="AN332" t="s">
        <v>1955</v>
      </c>
      <c r="AO332" t="s">
        <v>88</v>
      </c>
      <c r="AP332" t="s">
        <v>86</v>
      </c>
      <c r="AQ332" s="3">
        <v>9897.6106</v>
      </c>
      <c r="AS332" t="s">
        <v>2024</v>
      </c>
      <c r="AT332" t="s">
        <v>88</v>
      </c>
      <c r="AU332" t="s">
        <v>269</v>
      </c>
      <c r="AV332" s="14">
        <v>0</v>
      </c>
    </row>
    <row r="333" spans="1:48">
      <c r="A333" t="s">
        <v>2202</v>
      </c>
      <c r="B333" t="s">
        <v>15</v>
      </c>
      <c r="C333" t="s">
        <v>27</v>
      </c>
      <c r="D333" t="s">
        <v>20</v>
      </c>
      <c r="E333" s="14">
        <v>12020</v>
      </c>
      <c r="G333" t="s">
        <v>2202</v>
      </c>
      <c r="H333" t="s">
        <v>15</v>
      </c>
      <c r="I333" t="s">
        <v>27</v>
      </c>
      <c r="J333" t="s">
        <v>20</v>
      </c>
      <c r="K333" s="14">
        <v>16001.311299999999</v>
      </c>
      <c r="Z333" s="3"/>
      <c r="AC333"/>
      <c r="AE333" s="3"/>
      <c r="AH333" t="s">
        <v>2317</v>
      </c>
      <c r="AI333" t="s">
        <v>68</v>
      </c>
      <c r="AJ333" t="s">
        <v>108</v>
      </c>
      <c r="AK333" s="3" t="s">
        <v>27</v>
      </c>
      <c r="AL333" s="3">
        <v>-81.020744001300002</v>
      </c>
      <c r="AN333" t="s">
        <v>1955</v>
      </c>
      <c r="AO333" t="s">
        <v>88</v>
      </c>
      <c r="AP333" t="s">
        <v>90</v>
      </c>
      <c r="AQ333" s="3">
        <v>27899.4067</v>
      </c>
      <c r="AS333" t="s">
        <v>2024</v>
      </c>
      <c r="AT333" t="s">
        <v>88</v>
      </c>
      <c r="AU333" t="s">
        <v>270</v>
      </c>
      <c r="AV333" s="14">
        <v>0</v>
      </c>
    </row>
    <row r="334" spans="1:48">
      <c r="A334" t="s">
        <v>2203</v>
      </c>
      <c r="B334" t="s">
        <v>15</v>
      </c>
      <c r="C334" t="s">
        <v>27</v>
      </c>
      <c r="D334" t="s">
        <v>20</v>
      </c>
      <c r="E334" s="14">
        <v>12020</v>
      </c>
      <c r="G334" t="s">
        <v>2203</v>
      </c>
      <c r="H334" t="s">
        <v>15</v>
      </c>
      <c r="I334" t="s">
        <v>27</v>
      </c>
      <c r="J334" t="s">
        <v>20</v>
      </c>
      <c r="K334" s="14">
        <v>16001.311299999999</v>
      </c>
      <c r="Z334" s="3"/>
      <c r="AC334"/>
      <c r="AE334" s="3"/>
      <c r="AH334" t="s">
        <v>2317</v>
      </c>
      <c r="AI334" t="s">
        <v>68</v>
      </c>
      <c r="AJ334" t="s">
        <v>98</v>
      </c>
      <c r="AK334" s="3" t="s">
        <v>27</v>
      </c>
      <c r="AL334" s="3">
        <v>-81.020744001300002</v>
      </c>
      <c r="AN334" t="s">
        <v>1956</v>
      </c>
      <c r="AO334" t="s">
        <v>88</v>
      </c>
      <c r="AP334" t="s">
        <v>86</v>
      </c>
      <c r="AQ334" s="3">
        <v>9897.6106</v>
      </c>
      <c r="AS334" t="s">
        <v>2024</v>
      </c>
      <c r="AT334" t="s">
        <v>88</v>
      </c>
      <c r="AU334" t="s">
        <v>271</v>
      </c>
      <c r="AV334" s="14">
        <v>14772</v>
      </c>
    </row>
    <row r="335" spans="1:48">
      <c r="A335" t="s">
        <v>2204</v>
      </c>
      <c r="B335" t="s">
        <v>15</v>
      </c>
      <c r="C335" t="s">
        <v>27</v>
      </c>
      <c r="D335" t="s">
        <v>20</v>
      </c>
      <c r="E335" s="14">
        <v>12020</v>
      </c>
      <c r="G335" t="s">
        <v>2204</v>
      </c>
      <c r="H335" t="s">
        <v>15</v>
      </c>
      <c r="I335" t="s">
        <v>27</v>
      </c>
      <c r="J335" t="s">
        <v>20</v>
      </c>
      <c r="K335" s="14">
        <v>16001.311299999999</v>
      </c>
      <c r="Z335" s="3"/>
      <c r="AC335"/>
      <c r="AE335" s="3"/>
      <c r="AH335" t="s">
        <v>2317</v>
      </c>
      <c r="AI335" t="s">
        <v>68</v>
      </c>
      <c r="AJ335" t="s">
        <v>66</v>
      </c>
      <c r="AK335" s="3" t="s">
        <v>114</v>
      </c>
      <c r="AL335" s="3">
        <v>2908.4</v>
      </c>
      <c r="AN335" t="s">
        <v>1956</v>
      </c>
      <c r="AO335" t="s">
        <v>88</v>
      </c>
      <c r="AP335" t="s">
        <v>90</v>
      </c>
      <c r="AQ335" s="3">
        <v>27319.4067</v>
      </c>
      <c r="AS335" t="s">
        <v>2024</v>
      </c>
      <c r="AT335" t="s">
        <v>88</v>
      </c>
      <c r="AU335" t="s">
        <v>272</v>
      </c>
      <c r="AV335" s="14">
        <v>0</v>
      </c>
    </row>
    <row r="336" spans="1:48">
      <c r="A336" t="s">
        <v>2205</v>
      </c>
      <c r="B336" t="s">
        <v>15</v>
      </c>
      <c r="C336" t="s">
        <v>27</v>
      </c>
      <c r="D336" t="s">
        <v>20</v>
      </c>
      <c r="E336" s="14">
        <v>12020</v>
      </c>
      <c r="G336" t="s">
        <v>2205</v>
      </c>
      <c r="H336" t="s">
        <v>15</v>
      </c>
      <c r="I336" t="s">
        <v>27</v>
      </c>
      <c r="J336" t="s">
        <v>20</v>
      </c>
      <c r="K336" s="14">
        <v>16001.311299999999</v>
      </c>
      <c r="Z336" s="3"/>
      <c r="AC336"/>
      <c r="AE336" s="3"/>
      <c r="AH336" t="s">
        <v>2317</v>
      </c>
      <c r="AI336" t="s">
        <v>68</v>
      </c>
      <c r="AJ336" t="s">
        <v>98</v>
      </c>
      <c r="AK336" s="3" t="s">
        <v>114</v>
      </c>
      <c r="AL336" s="3">
        <v>-155.26457580819999</v>
      </c>
      <c r="AN336" t="s">
        <v>1957</v>
      </c>
      <c r="AO336" t="s">
        <v>88</v>
      </c>
      <c r="AP336" t="s">
        <v>86</v>
      </c>
      <c r="AQ336" s="3">
        <v>9897.6106</v>
      </c>
      <c r="AS336" t="s">
        <v>2024</v>
      </c>
      <c r="AT336" t="s">
        <v>88</v>
      </c>
      <c r="AU336" t="s">
        <v>273</v>
      </c>
      <c r="AV336" s="14">
        <v>0</v>
      </c>
    </row>
    <row r="337" spans="1:48">
      <c r="A337" t="s">
        <v>2206</v>
      </c>
      <c r="B337" t="s">
        <v>15</v>
      </c>
      <c r="C337" t="s">
        <v>27</v>
      </c>
      <c r="D337" t="s">
        <v>20</v>
      </c>
      <c r="E337" s="14">
        <v>12020</v>
      </c>
      <c r="G337" t="s">
        <v>2206</v>
      </c>
      <c r="H337" t="s">
        <v>15</v>
      </c>
      <c r="I337" t="s">
        <v>27</v>
      </c>
      <c r="J337" t="s">
        <v>20</v>
      </c>
      <c r="K337" s="14">
        <v>16001.311299999999</v>
      </c>
      <c r="Z337" s="3"/>
      <c r="AC337"/>
      <c r="AE337" s="3"/>
      <c r="AH337" t="s">
        <v>2317</v>
      </c>
      <c r="AI337" t="s">
        <v>68</v>
      </c>
      <c r="AJ337" t="s">
        <v>66</v>
      </c>
      <c r="AK337" s="3" t="s">
        <v>115</v>
      </c>
      <c r="AL337" s="3">
        <v>1230</v>
      </c>
      <c r="AN337" t="s">
        <v>1957</v>
      </c>
      <c r="AO337" t="s">
        <v>88</v>
      </c>
      <c r="AP337" t="s">
        <v>90</v>
      </c>
      <c r="AQ337" s="3">
        <v>27819.4067</v>
      </c>
      <c r="AS337" t="s">
        <v>2024</v>
      </c>
      <c r="AT337" t="s">
        <v>196</v>
      </c>
      <c r="AU337" t="s">
        <v>197</v>
      </c>
      <c r="AV337" s="14">
        <v>7.6714126234312401</v>
      </c>
    </row>
    <row r="338" spans="1:48">
      <c r="A338" t="s">
        <v>2207</v>
      </c>
      <c r="B338" t="s">
        <v>15</v>
      </c>
      <c r="C338" t="s">
        <v>27</v>
      </c>
      <c r="D338" t="s">
        <v>20</v>
      </c>
      <c r="E338" s="14">
        <v>12020</v>
      </c>
      <c r="G338" t="s">
        <v>2207</v>
      </c>
      <c r="H338" t="s">
        <v>15</v>
      </c>
      <c r="I338" t="s">
        <v>27</v>
      </c>
      <c r="J338" t="s">
        <v>20</v>
      </c>
      <c r="K338" s="14">
        <v>16001.311299999999</v>
      </c>
      <c r="Z338" s="3"/>
      <c r="AC338"/>
      <c r="AE338" s="3"/>
      <c r="AH338" t="s">
        <v>2317</v>
      </c>
      <c r="AI338" t="s">
        <v>68</v>
      </c>
      <c r="AJ338" t="s">
        <v>98</v>
      </c>
      <c r="AK338" s="3" t="s">
        <v>115</v>
      </c>
      <c r="AL338" s="3">
        <v>-74.243831806900005</v>
      </c>
      <c r="AN338" t="s">
        <v>1958</v>
      </c>
      <c r="AO338" t="s">
        <v>88</v>
      </c>
      <c r="AP338" t="s">
        <v>86</v>
      </c>
      <c r="AQ338" s="3">
        <v>9897.6106</v>
      </c>
      <c r="AS338" t="s">
        <v>2024</v>
      </c>
      <c r="AT338" t="s">
        <v>196</v>
      </c>
      <c r="AU338" t="s">
        <v>109</v>
      </c>
      <c r="AV338" s="14">
        <v>6.5497608609571198</v>
      </c>
    </row>
    <row r="339" spans="1:48">
      <c r="A339" t="s">
        <v>2208</v>
      </c>
      <c r="B339" t="s">
        <v>15</v>
      </c>
      <c r="C339" t="s">
        <v>27</v>
      </c>
      <c r="D339" t="s">
        <v>20</v>
      </c>
      <c r="E339" s="14">
        <v>12120</v>
      </c>
      <c r="G339" t="s">
        <v>2208</v>
      </c>
      <c r="H339" t="s">
        <v>15</v>
      </c>
      <c r="I339" t="s">
        <v>27</v>
      </c>
      <c r="J339" t="s">
        <v>20</v>
      </c>
      <c r="K339" s="14">
        <v>16001.311299999999</v>
      </c>
      <c r="Z339" s="3"/>
      <c r="AC339"/>
      <c r="AE339" s="3"/>
      <c r="AH339" t="s">
        <v>2317</v>
      </c>
      <c r="AI339" t="s">
        <v>800</v>
      </c>
      <c r="AJ339" t="s">
        <v>31</v>
      </c>
      <c r="AK339" s="3" t="s">
        <v>27</v>
      </c>
      <c r="AL339" s="3">
        <v>4.0110774805</v>
      </c>
      <c r="AN339" t="s">
        <v>1958</v>
      </c>
      <c r="AO339" t="s">
        <v>88</v>
      </c>
      <c r="AP339" t="s">
        <v>90</v>
      </c>
      <c r="AQ339" s="3">
        <v>27819.4067</v>
      </c>
      <c r="AS339" t="s">
        <v>2024</v>
      </c>
      <c r="AT339" t="s">
        <v>196</v>
      </c>
      <c r="AU339" t="s">
        <v>198</v>
      </c>
      <c r="AV339" s="14">
        <v>7.0292047618961098</v>
      </c>
    </row>
    <row r="340" spans="1:48">
      <c r="A340" t="s">
        <v>2209</v>
      </c>
      <c r="B340" t="s">
        <v>15</v>
      </c>
      <c r="C340" t="s">
        <v>27</v>
      </c>
      <c r="D340" t="s">
        <v>20</v>
      </c>
      <c r="E340" s="14">
        <v>12120</v>
      </c>
      <c r="G340" t="s">
        <v>2209</v>
      </c>
      <c r="H340" t="s">
        <v>15</v>
      </c>
      <c r="I340" t="s">
        <v>27</v>
      </c>
      <c r="J340" t="s">
        <v>20</v>
      </c>
      <c r="K340" s="14">
        <v>16001.311299999999</v>
      </c>
      <c r="Z340" s="3"/>
      <c r="AC340"/>
      <c r="AE340" s="3"/>
      <c r="AH340" t="s">
        <v>2309</v>
      </c>
      <c r="AI340" t="s">
        <v>65</v>
      </c>
      <c r="AJ340" t="s">
        <v>66</v>
      </c>
      <c r="AK340" s="3" t="s">
        <v>27</v>
      </c>
      <c r="AL340" s="3">
        <v>37790.300000000003</v>
      </c>
      <c r="AN340" t="s">
        <v>1959</v>
      </c>
      <c r="AO340" t="s">
        <v>88</v>
      </c>
      <c r="AP340" t="s">
        <v>86</v>
      </c>
      <c r="AQ340" s="3">
        <v>9897.6106</v>
      </c>
      <c r="AS340" t="s">
        <v>2023</v>
      </c>
      <c r="AT340" t="s">
        <v>88</v>
      </c>
      <c r="AU340" t="s">
        <v>109</v>
      </c>
      <c r="AV340" s="14">
        <v>13128</v>
      </c>
    </row>
    <row r="341" spans="1:48">
      <c r="A341" t="s">
        <v>2210</v>
      </c>
      <c r="B341" t="s">
        <v>15</v>
      </c>
      <c r="C341" t="s">
        <v>27</v>
      </c>
      <c r="D341" t="s">
        <v>20</v>
      </c>
      <c r="E341" s="14">
        <v>12320</v>
      </c>
      <c r="G341" t="s">
        <v>2210</v>
      </c>
      <c r="H341" t="s">
        <v>15</v>
      </c>
      <c r="I341" t="s">
        <v>27</v>
      </c>
      <c r="J341" t="s">
        <v>20</v>
      </c>
      <c r="K341" s="14">
        <v>16001.311299999999</v>
      </c>
      <c r="Z341" s="3"/>
      <c r="AC341"/>
      <c r="AE341" s="3"/>
      <c r="AH341" t="s">
        <v>2309</v>
      </c>
      <c r="AI341" t="s">
        <v>65</v>
      </c>
      <c r="AJ341" t="s">
        <v>72</v>
      </c>
      <c r="AK341" s="3" t="s">
        <v>27</v>
      </c>
      <c r="AL341" s="3">
        <v>38005.561178999997</v>
      </c>
      <c r="AN341" t="s">
        <v>1959</v>
      </c>
      <c r="AO341" t="s">
        <v>88</v>
      </c>
      <c r="AP341" t="s">
        <v>90</v>
      </c>
      <c r="AQ341" s="3">
        <v>28119.4067</v>
      </c>
      <c r="AS341" t="s">
        <v>2023</v>
      </c>
      <c r="AT341" t="s">
        <v>88</v>
      </c>
      <c r="AU341" t="s">
        <v>110</v>
      </c>
      <c r="AV341" s="14">
        <v>397.61059999999998</v>
      </c>
    </row>
    <row r="342" spans="1:48">
      <c r="A342" t="s">
        <v>2211</v>
      </c>
      <c r="B342" t="s">
        <v>15</v>
      </c>
      <c r="C342" t="s">
        <v>27</v>
      </c>
      <c r="D342" t="s">
        <v>20</v>
      </c>
      <c r="E342" s="14">
        <v>12320</v>
      </c>
      <c r="G342" t="s">
        <v>2211</v>
      </c>
      <c r="H342" t="s">
        <v>15</v>
      </c>
      <c r="I342" t="s">
        <v>27</v>
      </c>
      <c r="J342" t="s">
        <v>20</v>
      </c>
      <c r="K342" s="14">
        <v>16001.311299999999</v>
      </c>
      <c r="Z342" s="3"/>
      <c r="AC342"/>
      <c r="AE342" s="3"/>
      <c r="AH342" t="s">
        <v>2309</v>
      </c>
      <c r="AI342" t="s">
        <v>65</v>
      </c>
      <c r="AJ342" t="s">
        <v>113</v>
      </c>
      <c r="AK342" s="3" t="s">
        <v>27</v>
      </c>
      <c r="AL342" s="3">
        <v>1854.4264996418999</v>
      </c>
      <c r="AN342" t="s">
        <v>1960</v>
      </c>
      <c r="AO342" t="s">
        <v>88</v>
      </c>
      <c r="AP342" t="s">
        <v>86</v>
      </c>
      <c r="AQ342" s="3">
        <v>9897.6106</v>
      </c>
      <c r="AS342" t="s">
        <v>2023</v>
      </c>
      <c r="AT342" t="s">
        <v>88</v>
      </c>
      <c r="AU342" t="s">
        <v>111</v>
      </c>
      <c r="AV342" s="14">
        <v>9800</v>
      </c>
    </row>
    <row r="343" spans="1:48">
      <c r="A343" t="s">
        <v>2212</v>
      </c>
      <c r="B343" t="s">
        <v>15</v>
      </c>
      <c r="C343" t="s">
        <v>27</v>
      </c>
      <c r="D343" t="s">
        <v>20</v>
      </c>
      <c r="E343" s="14">
        <v>12520</v>
      </c>
      <c r="G343" t="s">
        <v>2212</v>
      </c>
      <c r="H343" t="s">
        <v>15</v>
      </c>
      <c r="I343" t="s">
        <v>27</v>
      </c>
      <c r="J343" t="s">
        <v>20</v>
      </c>
      <c r="K343" s="14">
        <v>16001.311299999999</v>
      </c>
      <c r="Z343" s="3"/>
      <c r="AC343"/>
      <c r="AE343" s="3"/>
      <c r="AH343" t="s">
        <v>2309</v>
      </c>
      <c r="AI343" t="s">
        <v>65</v>
      </c>
      <c r="AJ343" t="s">
        <v>108</v>
      </c>
      <c r="AK343" s="3" t="s">
        <v>27</v>
      </c>
      <c r="AL343" s="3">
        <v>-1639.1653206419001</v>
      </c>
      <c r="AN343" t="s">
        <v>1960</v>
      </c>
      <c r="AO343" t="s">
        <v>88</v>
      </c>
      <c r="AP343" t="s">
        <v>90</v>
      </c>
      <c r="AQ343" s="3">
        <v>29569.4067</v>
      </c>
      <c r="AS343" t="s">
        <v>2023</v>
      </c>
      <c r="AT343" t="s">
        <v>88</v>
      </c>
      <c r="AU343" t="s">
        <v>268</v>
      </c>
      <c r="AV343" s="14">
        <v>0</v>
      </c>
    </row>
    <row r="344" spans="1:48">
      <c r="A344" t="s">
        <v>2213</v>
      </c>
      <c r="B344" t="s">
        <v>15</v>
      </c>
      <c r="C344" t="s">
        <v>27</v>
      </c>
      <c r="D344" t="s">
        <v>20</v>
      </c>
      <c r="E344" s="14">
        <v>12570</v>
      </c>
      <c r="G344" t="s">
        <v>2213</v>
      </c>
      <c r="H344" t="s">
        <v>15</v>
      </c>
      <c r="I344" t="s">
        <v>27</v>
      </c>
      <c r="J344" t="s">
        <v>20</v>
      </c>
      <c r="K344" s="14">
        <v>16001.311299999999</v>
      </c>
      <c r="Z344" s="3"/>
      <c r="AC344"/>
      <c r="AE344" s="3"/>
      <c r="AH344" t="s">
        <v>2309</v>
      </c>
      <c r="AI344" t="s">
        <v>65</v>
      </c>
      <c r="AJ344" t="s">
        <v>98</v>
      </c>
      <c r="AK344" s="3" t="s">
        <v>27</v>
      </c>
      <c r="AL344" s="3">
        <v>-1639.1653206419001</v>
      </c>
      <c r="AN344" t="s">
        <v>1961</v>
      </c>
      <c r="AO344" t="s">
        <v>88</v>
      </c>
      <c r="AP344" t="s">
        <v>86</v>
      </c>
      <c r="AQ344" s="3">
        <v>9897.6106</v>
      </c>
      <c r="AS344" t="s">
        <v>2023</v>
      </c>
      <c r="AT344" t="s">
        <v>88</v>
      </c>
      <c r="AU344" t="s">
        <v>269</v>
      </c>
      <c r="AV344" s="14">
        <v>0</v>
      </c>
    </row>
    <row r="345" spans="1:48">
      <c r="A345" t="s">
        <v>2214</v>
      </c>
      <c r="B345" t="s">
        <v>15</v>
      </c>
      <c r="C345" t="s">
        <v>27</v>
      </c>
      <c r="D345" t="s">
        <v>20</v>
      </c>
      <c r="E345" s="14">
        <v>12770</v>
      </c>
      <c r="G345" t="s">
        <v>2214</v>
      </c>
      <c r="H345" t="s">
        <v>15</v>
      </c>
      <c r="I345" t="s">
        <v>27</v>
      </c>
      <c r="J345" t="s">
        <v>20</v>
      </c>
      <c r="K345" s="14">
        <v>16001.311299999999</v>
      </c>
      <c r="Z345" s="3"/>
      <c r="AC345"/>
      <c r="AE345" s="3"/>
      <c r="AH345" t="s">
        <v>2309</v>
      </c>
      <c r="AI345" t="s">
        <v>67</v>
      </c>
      <c r="AJ345" t="s">
        <v>66</v>
      </c>
      <c r="AK345" s="3" t="s">
        <v>27</v>
      </c>
      <c r="AL345" s="3">
        <v>-22485.7</v>
      </c>
      <c r="AN345" t="s">
        <v>1961</v>
      </c>
      <c r="AO345" t="s">
        <v>88</v>
      </c>
      <c r="AP345" t="s">
        <v>90</v>
      </c>
      <c r="AQ345" s="3">
        <v>28869.4067</v>
      </c>
      <c r="AS345" t="s">
        <v>2023</v>
      </c>
      <c r="AT345" t="s">
        <v>88</v>
      </c>
      <c r="AU345" t="s">
        <v>270</v>
      </c>
      <c r="AV345" s="14">
        <v>0</v>
      </c>
    </row>
    <row r="346" spans="1:48">
      <c r="A346" t="s">
        <v>2215</v>
      </c>
      <c r="B346" t="s">
        <v>15</v>
      </c>
      <c r="C346" t="s">
        <v>27</v>
      </c>
      <c r="D346" t="s">
        <v>20</v>
      </c>
      <c r="E346" s="14">
        <v>12970</v>
      </c>
      <c r="G346" t="s">
        <v>2215</v>
      </c>
      <c r="H346" t="s">
        <v>15</v>
      </c>
      <c r="I346" t="s">
        <v>27</v>
      </c>
      <c r="J346" t="s">
        <v>20</v>
      </c>
      <c r="K346" s="14">
        <v>16001.311299999999</v>
      </c>
      <c r="Z346" s="3"/>
      <c r="AC346"/>
      <c r="AE346" s="3"/>
      <c r="AH346" t="s">
        <v>2309</v>
      </c>
      <c r="AI346" t="s">
        <v>67</v>
      </c>
      <c r="AJ346" t="s">
        <v>72</v>
      </c>
      <c r="AK346" s="3" t="s">
        <v>27</v>
      </c>
      <c r="AL346" s="3">
        <v>-24046.011501000001</v>
      </c>
      <c r="AN346" t="s">
        <v>1962</v>
      </c>
      <c r="AO346" t="s">
        <v>88</v>
      </c>
      <c r="AP346" t="s">
        <v>86</v>
      </c>
      <c r="AQ346" s="3">
        <v>9897.6106</v>
      </c>
      <c r="AS346" t="s">
        <v>2023</v>
      </c>
      <c r="AT346" t="s">
        <v>88</v>
      </c>
      <c r="AU346" t="s">
        <v>271</v>
      </c>
      <c r="AV346" s="14">
        <v>14922</v>
      </c>
    </row>
    <row r="347" spans="1:48">
      <c r="A347" t="s">
        <v>2216</v>
      </c>
      <c r="B347" t="s">
        <v>15</v>
      </c>
      <c r="C347" t="s">
        <v>27</v>
      </c>
      <c r="D347" t="s">
        <v>20</v>
      </c>
      <c r="E347" s="14">
        <v>12970</v>
      </c>
      <c r="G347" t="s">
        <v>2216</v>
      </c>
      <c r="H347" t="s">
        <v>15</v>
      </c>
      <c r="I347" t="s">
        <v>27</v>
      </c>
      <c r="J347" t="s">
        <v>20</v>
      </c>
      <c r="K347" s="14">
        <v>16001.311299999999</v>
      </c>
      <c r="Z347" s="3"/>
      <c r="AC347"/>
      <c r="AE347" s="3"/>
      <c r="AH347" t="s">
        <v>2309</v>
      </c>
      <c r="AI347" t="s">
        <v>67</v>
      </c>
      <c r="AJ347" t="s">
        <v>113</v>
      </c>
      <c r="AK347" s="3" t="s">
        <v>27</v>
      </c>
      <c r="AL347" s="3">
        <v>-1668.3451159079</v>
      </c>
      <c r="AN347" t="s">
        <v>1962</v>
      </c>
      <c r="AO347" t="s">
        <v>88</v>
      </c>
      <c r="AP347" t="s">
        <v>90</v>
      </c>
      <c r="AQ347" s="3">
        <v>28069.4067</v>
      </c>
      <c r="AS347" t="s">
        <v>2023</v>
      </c>
      <c r="AT347" t="s">
        <v>88</v>
      </c>
      <c r="AU347" t="s">
        <v>272</v>
      </c>
      <c r="AV347" s="14">
        <v>0</v>
      </c>
    </row>
    <row r="348" spans="1:48">
      <c r="A348" t="s">
        <v>2217</v>
      </c>
      <c r="B348" t="s">
        <v>15</v>
      </c>
      <c r="C348" t="s">
        <v>27</v>
      </c>
      <c r="D348" t="s">
        <v>20</v>
      </c>
      <c r="E348" s="14">
        <v>12970</v>
      </c>
      <c r="G348" t="s">
        <v>2217</v>
      </c>
      <c r="H348" t="s">
        <v>15</v>
      </c>
      <c r="I348" t="s">
        <v>27</v>
      </c>
      <c r="J348" t="s">
        <v>20</v>
      </c>
      <c r="K348" s="14">
        <v>16001.311299999999</v>
      </c>
      <c r="Z348" s="3"/>
      <c r="AC348"/>
      <c r="AE348" s="3"/>
      <c r="AH348" t="s">
        <v>2309</v>
      </c>
      <c r="AI348" t="s">
        <v>67</v>
      </c>
      <c r="AJ348" t="s">
        <v>108</v>
      </c>
      <c r="AK348" s="3" t="s">
        <v>27</v>
      </c>
      <c r="AL348" s="3">
        <v>108.0336149079</v>
      </c>
      <c r="AN348" t="s">
        <v>1963</v>
      </c>
      <c r="AO348" t="s">
        <v>88</v>
      </c>
      <c r="AP348" t="s">
        <v>86</v>
      </c>
      <c r="AQ348" s="3">
        <v>9897.6106</v>
      </c>
      <c r="AS348" t="s">
        <v>2023</v>
      </c>
      <c r="AT348" t="s">
        <v>88</v>
      </c>
      <c r="AU348" t="s">
        <v>273</v>
      </c>
      <c r="AV348" s="14">
        <v>0</v>
      </c>
    </row>
    <row r="349" spans="1:48">
      <c r="A349" t="s">
        <v>2218</v>
      </c>
      <c r="B349" t="s">
        <v>15</v>
      </c>
      <c r="C349" t="s">
        <v>27</v>
      </c>
      <c r="D349" t="s">
        <v>20</v>
      </c>
      <c r="E349" s="14">
        <v>12970</v>
      </c>
      <c r="G349" t="s">
        <v>2218</v>
      </c>
      <c r="H349" t="s">
        <v>15</v>
      </c>
      <c r="I349" t="s">
        <v>27</v>
      </c>
      <c r="J349" t="s">
        <v>20</v>
      </c>
      <c r="K349" s="14">
        <v>16001.311299999999</v>
      </c>
      <c r="Z349" s="3"/>
      <c r="AC349"/>
      <c r="AE349" s="3"/>
      <c r="AH349" t="s">
        <v>2309</v>
      </c>
      <c r="AI349" t="s">
        <v>67</v>
      </c>
      <c r="AJ349" t="s">
        <v>98</v>
      </c>
      <c r="AK349" s="3" t="s">
        <v>27</v>
      </c>
      <c r="AL349" s="3">
        <v>108.0336149079</v>
      </c>
      <c r="AN349" t="s">
        <v>1963</v>
      </c>
      <c r="AO349" t="s">
        <v>88</v>
      </c>
      <c r="AP349" t="s">
        <v>90</v>
      </c>
      <c r="AQ349" s="3">
        <v>28069.4067</v>
      </c>
      <c r="AS349" t="s">
        <v>2023</v>
      </c>
      <c r="AT349" t="s">
        <v>196</v>
      </c>
      <c r="AU349" t="s">
        <v>197</v>
      </c>
      <c r="AV349" s="14">
        <v>7.6714126234312401</v>
      </c>
    </row>
    <row r="350" spans="1:48">
      <c r="A350" t="s">
        <v>2219</v>
      </c>
      <c r="B350" t="s">
        <v>15</v>
      </c>
      <c r="C350" t="s">
        <v>27</v>
      </c>
      <c r="D350" t="s">
        <v>20</v>
      </c>
      <c r="E350" s="14">
        <v>12970</v>
      </c>
      <c r="G350" t="s">
        <v>2219</v>
      </c>
      <c r="H350" t="s">
        <v>15</v>
      </c>
      <c r="I350" t="s">
        <v>27</v>
      </c>
      <c r="J350" t="s">
        <v>20</v>
      </c>
      <c r="K350" s="14">
        <v>16001.311299999999</v>
      </c>
      <c r="Z350" s="3"/>
      <c r="AC350"/>
      <c r="AE350" s="3"/>
      <c r="AH350" t="s">
        <v>2309</v>
      </c>
      <c r="AI350" t="s">
        <v>67</v>
      </c>
      <c r="AJ350" t="s">
        <v>66</v>
      </c>
      <c r="AK350" s="3" t="s">
        <v>114</v>
      </c>
      <c r="AL350" s="3">
        <v>370</v>
      </c>
      <c r="AN350" t="s">
        <v>1964</v>
      </c>
      <c r="AO350" t="s">
        <v>88</v>
      </c>
      <c r="AP350" t="s">
        <v>86</v>
      </c>
      <c r="AQ350" s="3">
        <v>9897.6106</v>
      </c>
      <c r="AS350" t="s">
        <v>2023</v>
      </c>
      <c r="AT350" t="s">
        <v>196</v>
      </c>
      <c r="AU350" t="s">
        <v>109</v>
      </c>
      <c r="AV350" s="14">
        <v>6.4199727658166896</v>
      </c>
    </row>
    <row r="351" spans="1:48">
      <c r="A351" t="s">
        <v>2220</v>
      </c>
      <c r="B351" t="s">
        <v>15</v>
      </c>
      <c r="C351" t="s">
        <v>27</v>
      </c>
      <c r="D351" t="s">
        <v>20</v>
      </c>
      <c r="E351" s="14">
        <v>12970</v>
      </c>
      <c r="G351" t="s">
        <v>2220</v>
      </c>
      <c r="H351" t="s">
        <v>15</v>
      </c>
      <c r="I351" t="s">
        <v>27</v>
      </c>
      <c r="J351" t="s">
        <v>20</v>
      </c>
      <c r="K351" s="14">
        <v>16001.311299999999</v>
      </c>
      <c r="Z351" s="3"/>
      <c r="AC351"/>
      <c r="AE351" s="3"/>
      <c r="AH351" t="s">
        <v>2309</v>
      </c>
      <c r="AI351" t="s">
        <v>67</v>
      </c>
      <c r="AJ351" t="s">
        <v>98</v>
      </c>
      <c r="AK351" s="3" t="s">
        <v>114</v>
      </c>
      <c r="AL351" s="3">
        <v>-29.673964383600001</v>
      </c>
      <c r="AN351" t="s">
        <v>1964</v>
      </c>
      <c r="AO351" t="s">
        <v>88</v>
      </c>
      <c r="AP351" t="s">
        <v>90</v>
      </c>
      <c r="AQ351" s="3">
        <v>27369.4067</v>
      </c>
      <c r="AS351" t="s">
        <v>2023</v>
      </c>
      <c r="AT351" t="s">
        <v>196</v>
      </c>
      <c r="AU351" t="s">
        <v>198</v>
      </c>
      <c r="AV351" s="14">
        <v>6.9737255842121799</v>
      </c>
    </row>
    <row r="352" spans="1:48">
      <c r="A352" t="s">
        <v>2221</v>
      </c>
      <c r="B352" t="s">
        <v>15</v>
      </c>
      <c r="C352" t="s">
        <v>27</v>
      </c>
      <c r="D352" t="s">
        <v>20</v>
      </c>
      <c r="E352" s="14">
        <v>12970</v>
      </c>
      <c r="G352" t="s">
        <v>2221</v>
      </c>
      <c r="H352" t="s">
        <v>15</v>
      </c>
      <c r="I352" t="s">
        <v>27</v>
      </c>
      <c r="J352" t="s">
        <v>20</v>
      </c>
      <c r="K352" s="14">
        <v>16001.311299999999</v>
      </c>
      <c r="Z352" s="3"/>
      <c r="AC352"/>
      <c r="AE352" s="3"/>
      <c r="AH352" t="s">
        <v>2309</v>
      </c>
      <c r="AI352" t="s">
        <v>67</v>
      </c>
      <c r="AJ352" t="s">
        <v>66</v>
      </c>
      <c r="AK352" s="3" t="s">
        <v>115</v>
      </c>
      <c r="AL352" s="3">
        <v>22855.7</v>
      </c>
      <c r="AN352" t="s">
        <v>1965</v>
      </c>
      <c r="AO352" t="s">
        <v>88</v>
      </c>
      <c r="AP352" t="s">
        <v>86</v>
      </c>
      <c r="AQ352" s="3">
        <v>9897.6106</v>
      </c>
      <c r="AS352" t="s">
        <v>2022</v>
      </c>
      <c r="AT352" t="s">
        <v>88</v>
      </c>
      <c r="AU352" t="s">
        <v>109</v>
      </c>
      <c r="AV352" s="14">
        <v>13652</v>
      </c>
    </row>
    <row r="353" spans="1:48">
      <c r="A353" t="s">
        <v>2222</v>
      </c>
      <c r="B353" t="s">
        <v>15</v>
      </c>
      <c r="C353" t="s">
        <v>27</v>
      </c>
      <c r="D353" t="s">
        <v>20</v>
      </c>
      <c r="E353" s="14">
        <v>12970</v>
      </c>
      <c r="G353" t="s">
        <v>2222</v>
      </c>
      <c r="H353" t="s">
        <v>15</v>
      </c>
      <c r="I353" t="s">
        <v>27</v>
      </c>
      <c r="J353" t="s">
        <v>20</v>
      </c>
      <c r="K353" s="14">
        <v>16001.311299999999</v>
      </c>
      <c r="Z353" s="3"/>
      <c r="AC353"/>
      <c r="AE353" s="3"/>
      <c r="AH353" t="s">
        <v>2309</v>
      </c>
      <c r="AI353" t="s">
        <v>67</v>
      </c>
      <c r="AJ353" t="s">
        <v>98</v>
      </c>
      <c r="AK353" s="3" t="s">
        <v>115</v>
      </c>
      <c r="AL353" s="3">
        <v>-137.7075792915</v>
      </c>
      <c r="AN353" t="s">
        <v>1965</v>
      </c>
      <c r="AO353" t="s">
        <v>88</v>
      </c>
      <c r="AP353" t="s">
        <v>90</v>
      </c>
      <c r="AQ353" s="3">
        <v>25469.4067</v>
      </c>
      <c r="AS353" t="s">
        <v>2022</v>
      </c>
      <c r="AT353" t="s">
        <v>88</v>
      </c>
      <c r="AU353" t="s">
        <v>110</v>
      </c>
      <c r="AV353" s="14">
        <v>397.61059999999998</v>
      </c>
    </row>
    <row r="354" spans="1:48">
      <c r="A354" t="s">
        <v>2223</v>
      </c>
      <c r="B354" t="s">
        <v>15</v>
      </c>
      <c r="C354" t="s">
        <v>27</v>
      </c>
      <c r="D354" t="s">
        <v>20</v>
      </c>
      <c r="E354" s="14">
        <v>12970</v>
      </c>
      <c r="G354" t="s">
        <v>2223</v>
      </c>
      <c r="H354" t="s">
        <v>15</v>
      </c>
      <c r="I354" t="s">
        <v>27</v>
      </c>
      <c r="J354" t="s">
        <v>20</v>
      </c>
      <c r="K354" s="14">
        <v>16001.311299999999</v>
      </c>
      <c r="Z354" s="3"/>
      <c r="AC354"/>
      <c r="AE354" s="3"/>
      <c r="AH354" t="s">
        <v>2309</v>
      </c>
      <c r="AI354" t="s">
        <v>68</v>
      </c>
      <c r="AJ354" t="s">
        <v>66</v>
      </c>
      <c r="AK354" s="3" t="s">
        <v>27</v>
      </c>
      <c r="AL354" s="3">
        <v>2208.4</v>
      </c>
      <c r="AN354" t="s">
        <v>1966</v>
      </c>
      <c r="AO354" t="s">
        <v>88</v>
      </c>
      <c r="AP354" t="s">
        <v>86</v>
      </c>
      <c r="AQ354" s="3">
        <v>9897.6106</v>
      </c>
      <c r="AS354" t="s">
        <v>2022</v>
      </c>
      <c r="AT354" t="s">
        <v>88</v>
      </c>
      <c r="AU354" t="s">
        <v>111</v>
      </c>
      <c r="AV354" s="14">
        <v>9800</v>
      </c>
    </row>
    <row r="355" spans="1:48">
      <c r="A355" t="s">
        <v>2224</v>
      </c>
      <c r="B355" t="s">
        <v>15</v>
      </c>
      <c r="C355" t="s">
        <v>27</v>
      </c>
      <c r="D355" t="s">
        <v>20</v>
      </c>
      <c r="E355" s="14">
        <v>12970</v>
      </c>
      <c r="G355" t="s">
        <v>2224</v>
      </c>
      <c r="H355" t="s">
        <v>15</v>
      </c>
      <c r="I355" t="s">
        <v>27</v>
      </c>
      <c r="J355" t="s">
        <v>20</v>
      </c>
      <c r="K355" s="14">
        <v>16001.311299999999</v>
      </c>
      <c r="Z355" s="3"/>
      <c r="AC355"/>
      <c r="AE355" s="3"/>
      <c r="AH355" t="s">
        <v>2309</v>
      </c>
      <c r="AI355" t="s">
        <v>68</v>
      </c>
      <c r="AJ355" t="s">
        <v>72</v>
      </c>
      <c r="AK355" s="3" t="s">
        <v>27</v>
      </c>
      <c r="AL355" s="3">
        <v>2041.9520319999999</v>
      </c>
      <c r="AN355" t="s">
        <v>1966</v>
      </c>
      <c r="AO355" t="s">
        <v>88</v>
      </c>
      <c r="AP355" t="s">
        <v>90</v>
      </c>
      <c r="AQ355" s="3">
        <v>25010.313300000002</v>
      </c>
      <c r="AS355" t="s">
        <v>2022</v>
      </c>
      <c r="AT355" t="s">
        <v>88</v>
      </c>
      <c r="AU355" t="s">
        <v>268</v>
      </c>
      <c r="AV355" s="14">
        <v>0</v>
      </c>
    </row>
    <row r="356" spans="1:48">
      <c r="A356" t="s">
        <v>2225</v>
      </c>
      <c r="B356" t="s">
        <v>15</v>
      </c>
      <c r="C356" t="s">
        <v>27</v>
      </c>
      <c r="D356" t="s">
        <v>20</v>
      </c>
      <c r="E356" s="14">
        <v>12970</v>
      </c>
      <c r="G356" t="s">
        <v>2225</v>
      </c>
      <c r="H356" t="s">
        <v>15</v>
      </c>
      <c r="I356" t="s">
        <v>27</v>
      </c>
      <c r="J356" t="s">
        <v>20</v>
      </c>
      <c r="K356" s="14">
        <v>16001.311299999999</v>
      </c>
      <c r="Z356" s="3"/>
      <c r="AC356"/>
      <c r="AE356" s="3"/>
      <c r="AH356" t="s">
        <v>2309</v>
      </c>
      <c r="AI356" t="s">
        <v>68</v>
      </c>
      <c r="AJ356" t="s">
        <v>113</v>
      </c>
      <c r="AK356" s="3" t="s">
        <v>27</v>
      </c>
      <c r="AL356" s="3">
        <v>-60.795601383600001</v>
      </c>
      <c r="AN356" t="s">
        <v>1967</v>
      </c>
      <c r="AO356" t="s">
        <v>88</v>
      </c>
      <c r="AP356" t="s">
        <v>90</v>
      </c>
      <c r="AQ356" s="3">
        <v>25090.313300000002</v>
      </c>
      <c r="AS356" t="s">
        <v>2022</v>
      </c>
      <c r="AT356" t="s">
        <v>88</v>
      </c>
      <c r="AU356" t="s">
        <v>269</v>
      </c>
      <c r="AV356" s="14">
        <v>0</v>
      </c>
    </row>
    <row r="357" spans="1:48">
      <c r="A357" t="s">
        <v>2226</v>
      </c>
      <c r="B357" t="s">
        <v>15</v>
      </c>
      <c r="C357" t="s">
        <v>27</v>
      </c>
      <c r="D357" t="s">
        <v>20</v>
      </c>
      <c r="E357" s="14">
        <v>13020</v>
      </c>
      <c r="G357" t="s">
        <v>2226</v>
      </c>
      <c r="H357" t="s">
        <v>15</v>
      </c>
      <c r="I357" t="s">
        <v>27</v>
      </c>
      <c r="J357" t="s">
        <v>20</v>
      </c>
      <c r="K357" s="14">
        <v>16001.311299999999</v>
      </c>
      <c r="Z357" s="3"/>
      <c r="AC357"/>
      <c r="AE357" s="3"/>
      <c r="AH357" t="s">
        <v>2309</v>
      </c>
      <c r="AI357" t="s">
        <v>68</v>
      </c>
      <c r="AJ357" t="s">
        <v>108</v>
      </c>
      <c r="AK357" s="3" t="s">
        <v>27</v>
      </c>
      <c r="AL357" s="3">
        <v>-105.6523666164</v>
      </c>
      <c r="AN357" t="s">
        <v>1967</v>
      </c>
      <c r="AO357" t="s">
        <v>88</v>
      </c>
      <c r="AP357" t="s">
        <v>86</v>
      </c>
      <c r="AQ357" s="3">
        <v>9397.6106</v>
      </c>
      <c r="AS357" t="s">
        <v>2022</v>
      </c>
      <c r="AT357" t="s">
        <v>88</v>
      </c>
      <c r="AU357" t="s">
        <v>270</v>
      </c>
      <c r="AV357" s="14">
        <v>0</v>
      </c>
    </row>
    <row r="358" spans="1:48">
      <c r="A358" t="s">
        <v>2227</v>
      </c>
      <c r="B358" t="s">
        <v>15</v>
      </c>
      <c r="C358" t="s">
        <v>27</v>
      </c>
      <c r="D358" t="s">
        <v>20</v>
      </c>
      <c r="E358" s="14">
        <v>13020</v>
      </c>
      <c r="G358" t="s">
        <v>2227</v>
      </c>
      <c r="H358" t="s">
        <v>15</v>
      </c>
      <c r="I358" t="s">
        <v>27</v>
      </c>
      <c r="J358" t="s">
        <v>20</v>
      </c>
      <c r="K358" s="14">
        <v>16001.311299999999</v>
      </c>
      <c r="Z358" s="3"/>
      <c r="AC358"/>
      <c r="AE358" s="3"/>
      <c r="AH358" t="s">
        <v>2309</v>
      </c>
      <c r="AI358" t="s">
        <v>68</v>
      </c>
      <c r="AJ358" t="s">
        <v>98</v>
      </c>
      <c r="AK358" s="3" t="s">
        <v>27</v>
      </c>
      <c r="AL358" s="3">
        <v>-105.6523666164</v>
      </c>
      <c r="AN358" t="s">
        <v>1968</v>
      </c>
      <c r="AO358" t="s">
        <v>88</v>
      </c>
      <c r="AP358" t="s">
        <v>86</v>
      </c>
      <c r="AQ358" s="3">
        <v>9397.6106</v>
      </c>
      <c r="AS358" t="s">
        <v>2022</v>
      </c>
      <c r="AT358" t="s">
        <v>88</v>
      </c>
      <c r="AU358" t="s">
        <v>271</v>
      </c>
      <c r="AV358" s="14">
        <v>12998</v>
      </c>
    </row>
    <row r="359" spans="1:48">
      <c r="A359" t="s">
        <v>2228</v>
      </c>
      <c r="B359" t="s">
        <v>15</v>
      </c>
      <c r="C359" t="s">
        <v>27</v>
      </c>
      <c r="D359" t="s">
        <v>20</v>
      </c>
      <c r="E359" s="14">
        <v>13320</v>
      </c>
      <c r="G359" t="s">
        <v>2228</v>
      </c>
      <c r="H359" t="s">
        <v>15</v>
      </c>
      <c r="I359" t="s">
        <v>27</v>
      </c>
      <c r="J359" t="s">
        <v>20</v>
      </c>
      <c r="K359" s="14">
        <v>16001.311299999999</v>
      </c>
      <c r="Z359" s="3"/>
      <c r="AC359"/>
      <c r="AE359" s="3"/>
      <c r="AH359" t="s">
        <v>2309</v>
      </c>
      <c r="AI359" t="s">
        <v>68</v>
      </c>
      <c r="AJ359" t="s">
        <v>66</v>
      </c>
      <c r="AK359" s="3" t="s">
        <v>114</v>
      </c>
      <c r="AL359" s="3">
        <v>2788.4</v>
      </c>
      <c r="AN359" t="s">
        <v>1968</v>
      </c>
      <c r="AO359" t="s">
        <v>88</v>
      </c>
      <c r="AP359" t="s">
        <v>90</v>
      </c>
      <c r="AQ359" s="3">
        <v>24290.313300000002</v>
      </c>
      <c r="AS359" t="s">
        <v>2022</v>
      </c>
      <c r="AT359" t="s">
        <v>88</v>
      </c>
      <c r="AU359" t="s">
        <v>272</v>
      </c>
      <c r="AV359" s="14">
        <v>0</v>
      </c>
    </row>
    <row r="360" spans="1:48">
      <c r="A360" t="s">
        <v>2229</v>
      </c>
      <c r="B360" t="s">
        <v>15</v>
      </c>
      <c r="C360" t="s">
        <v>27</v>
      </c>
      <c r="D360" t="s">
        <v>20</v>
      </c>
      <c r="E360" s="14">
        <v>13420</v>
      </c>
      <c r="G360" t="s">
        <v>2229</v>
      </c>
      <c r="H360" t="s">
        <v>15</v>
      </c>
      <c r="I360" t="s">
        <v>27</v>
      </c>
      <c r="J360" t="s">
        <v>20</v>
      </c>
      <c r="K360" s="14">
        <v>16001.311299999999</v>
      </c>
      <c r="Z360" s="3"/>
      <c r="AC360"/>
      <c r="AE360" s="3"/>
      <c r="AH360" t="s">
        <v>2309</v>
      </c>
      <c r="AI360" t="s">
        <v>68</v>
      </c>
      <c r="AJ360" t="s">
        <v>98</v>
      </c>
      <c r="AK360" s="3" t="s">
        <v>114</v>
      </c>
      <c r="AL360" s="3">
        <v>-145.1602759726</v>
      </c>
      <c r="AN360" t="s">
        <v>1969</v>
      </c>
      <c r="AO360" t="s">
        <v>88</v>
      </c>
      <c r="AP360" t="s">
        <v>86</v>
      </c>
      <c r="AQ360" s="3">
        <v>9397.6106</v>
      </c>
      <c r="AS360" t="s">
        <v>2022</v>
      </c>
      <c r="AT360" t="s">
        <v>88</v>
      </c>
      <c r="AU360" t="s">
        <v>273</v>
      </c>
      <c r="AV360" s="14">
        <v>0</v>
      </c>
    </row>
    <row r="361" spans="1:48">
      <c r="A361" t="s">
        <v>2230</v>
      </c>
      <c r="B361" t="s">
        <v>15</v>
      </c>
      <c r="C361" t="s">
        <v>27</v>
      </c>
      <c r="D361" t="s">
        <v>20</v>
      </c>
      <c r="E361" s="14">
        <v>13420</v>
      </c>
      <c r="G361" t="s">
        <v>2230</v>
      </c>
      <c r="H361" t="s">
        <v>15</v>
      </c>
      <c r="I361" t="s">
        <v>27</v>
      </c>
      <c r="J361" t="s">
        <v>20</v>
      </c>
      <c r="K361" s="14">
        <v>16001.311299999999</v>
      </c>
      <c r="Z361" s="3"/>
      <c r="AC361"/>
      <c r="AE361" s="3"/>
      <c r="AH361" t="s">
        <v>2309</v>
      </c>
      <c r="AI361" t="s">
        <v>68</v>
      </c>
      <c r="AJ361" t="s">
        <v>66</v>
      </c>
      <c r="AK361" s="3" t="s">
        <v>115</v>
      </c>
      <c r="AL361" s="3">
        <v>580</v>
      </c>
      <c r="AN361" t="s">
        <v>1969</v>
      </c>
      <c r="AO361" t="s">
        <v>88</v>
      </c>
      <c r="AP361" t="s">
        <v>90</v>
      </c>
      <c r="AQ361" s="3">
        <v>23790.313300000002</v>
      </c>
      <c r="AS361" t="s">
        <v>2022</v>
      </c>
      <c r="AT361" t="s">
        <v>196</v>
      </c>
      <c r="AU361" t="s">
        <v>197</v>
      </c>
      <c r="AV361" s="14">
        <v>7.6714126234312401</v>
      </c>
    </row>
    <row r="362" spans="1:48">
      <c r="A362" t="s">
        <v>2231</v>
      </c>
      <c r="B362" t="s">
        <v>15</v>
      </c>
      <c r="C362" t="s">
        <v>27</v>
      </c>
      <c r="D362" t="s">
        <v>20</v>
      </c>
      <c r="E362" s="14">
        <v>13370</v>
      </c>
      <c r="G362" t="s">
        <v>2231</v>
      </c>
      <c r="H362" t="s">
        <v>15</v>
      </c>
      <c r="I362" t="s">
        <v>27</v>
      </c>
      <c r="J362" t="s">
        <v>20</v>
      </c>
      <c r="K362" s="14">
        <v>16001.311299999999</v>
      </c>
      <c r="Z362" s="3"/>
      <c r="AC362"/>
      <c r="AE362" s="3"/>
      <c r="AH362" t="s">
        <v>2309</v>
      </c>
      <c r="AI362" t="s">
        <v>68</v>
      </c>
      <c r="AJ362" t="s">
        <v>98</v>
      </c>
      <c r="AK362" s="3" t="s">
        <v>115</v>
      </c>
      <c r="AL362" s="3">
        <v>-39.507909356200003</v>
      </c>
      <c r="AN362" t="s">
        <v>1970</v>
      </c>
      <c r="AO362" t="s">
        <v>88</v>
      </c>
      <c r="AP362" t="s">
        <v>86</v>
      </c>
      <c r="AQ362" s="3">
        <v>9397.6106</v>
      </c>
      <c r="AS362" t="s">
        <v>2022</v>
      </c>
      <c r="AT362" t="s">
        <v>196</v>
      </c>
      <c r="AU362" t="s">
        <v>109</v>
      </c>
      <c r="AV362" s="14">
        <v>6.2297134196595101</v>
      </c>
    </row>
    <row r="363" spans="1:48">
      <c r="A363" t="s">
        <v>2232</v>
      </c>
      <c r="B363" t="s">
        <v>15</v>
      </c>
      <c r="C363" t="s">
        <v>27</v>
      </c>
      <c r="D363" t="s">
        <v>20</v>
      </c>
      <c r="E363" s="14">
        <v>13370</v>
      </c>
      <c r="G363" t="s">
        <v>2232</v>
      </c>
      <c r="H363" t="s">
        <v>15</v>
      </c>
      <c r="I363" t="s">
        <v>27</v>
      </c>
      <c r="J363" t="s">
        <v>20</v>
      </c>
      <c r="K363" s="14">
        <v>16001.311299999999</v>
      </c>
      <c r="Z363" s="3"/>
      <c r="AC363"/>
      <c r="AE363" s="3"/>
      <c r="AH363" t="s">
        <v>2309</v>
      </c>
      <c r="AI363" t="s">
        <v>800</v>
      </c>
      <c r="AJ363" t="s">
        <v>31</v>
      </c>
      <c r="AK363" s="3" t="s">
        <v>27</v>
      </c>
      <c r="AL363" s="3">
        <v>4.0269956096000001</v>
      </c>
      <c r="AN363" t="s">
        <v>1970</v>
      </c>
      <c r="AO363" t="s">
        <v>88</v>
      </c>
      <c r="AP363" t="s">
        <v>90</v>
      </c>
      <c r="AQ363" s="3">
        <v>25290.313300000002</v>
      </c>
      <c r="AS363" t="s">
        <v>2022</v>
      </c>
      <c r="AT363" t="s">
        <v>196</v>
      </c>
      <c r="AU363" t="s">
        <v>198</v>
      </c>
      <c r="AV363" s="14">
        <v>6.8566402341244501</v>
      </c>
    </row>
    <row r="364" spans="1:48">
      <c r="A364" t="s">
        <v>2233</v>
      </c>
      <c r="B364" t="s">
        <v>15</v>
      </c>
      <c r="C364" t="s">
        <v>27</v>
      </c>
      <c r="D364" t="s">
        <v>20</v>
      </c>
      <c r="E364" s="14">
        <v>13370</v>
      </c>
      <c r="G364" t="s">
        <v>2233</v>
      </c>
      <c r="H364" t="s">
        <v>15</v>
      </c>
      <c r="I364" t="s">
        <v>27</v>
      </c>
      <c r="J364" t="s">
        <v>20</v>
      </c>
      <c r="K364" s="14">
        <v>16001.311299999999</v>
      </c>
      <c r="Z364" s="3"/>
      <c r="AC364"/>
      <c r="AE364" s="3"/>
      <c r="AH364" t="s">
        <v>2308</v>
      </c>
      <c r="AI364" t="s">
        <v>65</v>
      </c>
      <c r="AJ364" t="s">
        <v>66</v>
      </c>
      <c r="AK364" s="3" t="s">
        <v>27</v>
      </c>
      <c r="AL364" s="3">
        <v>37997.699999999997</v>
      </c>
      <c r="AN364" t="s">
        <v>1971</v>
      </c>
      <c r="AO364" t="s">
        <v>88</v>
      </c>
      <c r="AP364" t="s">
        <v>86</v>
      </c>
      <c r="AQ364" s="3">
        <v>9000</v>
      </c>
      <c r="AS364" t="s">
        <v>2018</v>
      </c>
      <c r="AT364" t="s">
        <v>196</v>
      </c>
      <c r="AU364" t="s">
        <v>197</v>
      </c>
      <c r="AV364" s="14">
        <v>7.6714126234312401</v>
      </c>
    </row>
    <row r="365" spans="1:48">
      <c r="A365" t="s">
        <v>2234</v>
      </c>
      <c r="B365" t="s">
        <v>15</v>
      </c>
      <c r="C365" t="s">
        <v>27</v>
      </c>
      <c r="D365" t="s">
        <v>20</v>
      </c>
      <c r="E365" s="14">
        <v>12820</v>
      </c>
      <c r="G365" t="s">
        <v>2234</v>
      </c>
      <c r="H365" t="s">
        <v>15</v>
      </c>
      <c r="I365" t="s">
        <v>27</v>
      </c>
      <c r="J365" t="s">
        <v>20</v>
      </c>
      <c r="K365" s="14">
        <v>16001.311299999999</v>
      </c>
      <c r="Z365" s="3"/>
      <c r="AC365"/>
      <c r="AE365" s="3"/>
      <c r="AH365" t="s">
        <v>2308</v>
      </c>
      <c r="AI365" t="s">
        <v>65</v>
      </c>
      <c r="AJ365" t="s">
        <v>72</v>
      </c>
      <c r="AK365" s="3" t="s">
        <v>27</v>
      </c>
      <c r="AL365" s="3">
        <v>38162.663490999999</v>
      </c>
      <c r="AN365" t="s">
        <v>1971</v>
      </c>
      <c r="AO365" t="s">
        <v>88</v>
      </c>
      <c r="AP365" t="s">
        <v>90</v>
      </c>
      <c r="AQ365" s="3">
        <v>26185.313300000002</v>
      </c>
      <c r="AS365" t="s">
        <v>2018</v>
      </c>
      <c r="AT365" t="s">
        <v>196</v>
      </c>
      <c r="AU365" t="s">
        <v>109</v>
      </c>
      <c r="AV365" s="14">
        <v>6.0017619885070701</v>
      </c>
    </row>
    <row r="366" spans="1:48">
      <c r="A366" t="s">
        <v>2235</v>
      </c>
      <c r="B366" t="s">
        <v>15</v>
      </c>
      <c r="C366" t="s">
        <v>27</v>
      </c>
      <c r="D366" t="s">
        <v>20</v>
      </c>
      <c r="E366" s="14">
        <v>12970</v>
      </c>
      <c r="G366" t="s">
        <v>2235</v>
      </c>
      <c r="H366" t="s">
        <v>15</v>
      </c>
      <c r="I366" t="s">
        <v>27</v>
      </c>
      <c r="J366" t="s">
        <v>20</v>
      </c>
      <c r="K366" s="14">
        <v>16001.311299999999</v>
      </c>
      <c r="Z366" s="3"/>
      <c r="AC366"/>
      <c r="AE366" s="3"/>
      <c r="AH366" t="s">
        <v>2308</v>
      </c>
      <c r="AI366" t="s">
        <v>65</v>
      </c>
      <c r="AJ366" t="s">
        <v>113</v>
      </c>
      <c r="AK366" s="3" t="s">
        <v>27</v>
      </c>
      <c r="AL366" s="3">
        <v>1841.7923936569</v>
      </c>
      <c r="AN366" t="s">
        <v>2054</v>
      </c>
      <c r="AO366" t="s">
        <v>88</v>
      </c>
      <c r="AP366" t="s">
        <v>86</v>
      </c>
      <c r="AQ366" s="3">
        <v>9000</v>
      </c>
      <c r="AS366" t="s">
        <v>2018</v>
      </c>
      <c r="AT366" t="s">
        <v>196</v>
      </c>
      <c r="AU366" t="s">
        <v>198</v>
      </c>
      <c r="AV366" s="14">
        <v>6.7218822281342998</v>
      </c>
    </row>
    <row r="367" spans="1:48">
      <c r="A367" t="s">
        <v>2236</v>
      </c>
      <c r="B367" t="s">
        <v>15</v>
      </c>
      <c r="C367" t="s">
        <v>27</v>
      </c>
      <c r="D367" t="s">
        <v>20</v>
      </c>
      <c r="E367" s="14">
        <v>12970</v>
      </c>
      <c r="G367" t="s">
        <v>2236</v>
      </c>
      <c r="H367" t="s">
        <v>15</v>
      </c>
      <c r="I367" t="s">
        <v>27</v>
      </c>
      <c r="J367" t="s">
        <v>20</v>
      </c>
      <c r="K367" s="14">
        <v>16001.311299999999</v>
      </c>
      <c r="Z367" s="3"/>
      <c r="AC367"/>
      <c r="AE367" s="3"/>
      <c r="AH367" t="s">
        <v>2308</v>
      </c>
      <c r="AI367" t="s">
        <v>65</v>
      </c>
      <c r="AJ367" t="s">
        <v>108</v>
      </c>
      <c r="AK367" s="3" t="s">
        <v>27</v>
      </c>
      <c r="AL367" s="3">
        <v>-1676.8289026569</v>
      </c>
      <c r="AN367" t="s">
        <v>2054</v>
      </c>
      <c r="AO367" t="s">
        <v>88</v>
      </c>
      <c r="AP367" t="s">
        <v>90</v>
      </c>
      <c r="AQ367" s="3">
        <v>26485.313300000002</v>
      </c>
      <c r="AS367" t="s">
        <v>2018</v>
      </c>
      <c r="AT367" t="s">
        <v>88</v>
      </c>
      <c r="AU367" t="s">
        <v>109</v>
      </c>
      <c r="AV367" s="14">
        <v>13902</v>
      </c>
    </row>
    <row r="368" spans="1:48">
      <c r="A368" t="s">
        <v>2237</v>
      </c>
      <c r="B368" t="s">
        <v>15</v>
      </c>
      <c r="C368" t="s">
        <v>27</v>
      </c>
      <c r="D368" t="s">
        <v>20</v>
      </c>
      <c r="E368" s="14">
        <v>13020</v>
      </c>
      <c r="G368" t="s">
        <v>2237</v>
      </c>
      <c r="H368" t="s">
        <v>15</v>
      </c>
      <c r="I368" t="s">
        <v>27</v>
      </c>
      <c r="J368" t="s">
        <v>20</v>
      </c>
      <c r="K368" s="14">
        <v>16001.311299999999</v>
      </c>
      <c r="Z368" s="3"/>
      <c r="AC368"/>
      <c r="AE368" s="3"/>
      <c r="AH368" t="s">
        <v>2308</v>
      </c>
      <c r="AI368" t="s">
        <v>65</v>
      </c>
      <c r="AJ368" t="s">
        <v>98</v>
      </c>
      <c r="AK368" s="3" t="s">
        <v>27</v>
      </c>
      <c r="AL368" s="3">
        <v>-1676.8289026569</v>
      </c>
      <c r="AN368" t="s">
        <v>2055</v>
      </c>
      <c r="AO368" t="s">
        <v>88</v>
      </c>
      <c r="AP368" t="s">
        <v>86</v>
      </c>
      <c r="AQ368" s="3">
        <v>9500</v>
      </c>
      <c r="AS368" t="s">
        <v>2018</v>
      </c>
      <c r="AT368" t="s">
        <v>88</v>
      </c>
      <c r="AU368" t="s">
        <v>110</v>
      </c>
      <c r="AV368" s="14">
        <v>397.61059999999998</v>
      </c>
    </row>
    <row r="369" spans="1:48">
      <c r="A369" t="s">
        <v>2238</v>
      </c>
      <c r="B369" t="s">
        <v>15</v>
      </c>
      <c r="C369" t="s">
        <v>27</v>
      </c>
      <c r="D369" t="s">
        <v>20</v>
      </c>
      <c r="E369" s="14">
        <v>12720</v>
      </c>
      <c r="G369" t="s">
        <v>2238</v>
      </c>
      <c r="H369" t="s">
        <v>15</v>
      </c>
      <c r="I369" t="s">
        <v>27</v>
      </c>
      <c r="J369" t="s">
        <v>20</v>
      </c>
      <c r="K369" s="14">
        <v>16001.311299999999</v>
      </c>
      <c r="Z369" s="3"/>
      <c r="AC369"/>
      <c r="AE369" s="3"/>
      <c r="AH369" t="s">
        <v>2308</v>
      </c>
      <c r="AI369" t="s">
        <v>67</v>
      </c>
      <c r="AJ369" t="s">
        <v>66</v>
      </c>
      <c r="AK369" s="3" t="s">
        <v>27</v>
      </c>
      <c r="AL369" s="3">
        <v>-22052.1</v>
      </c>
      <c r="AN369" t="s">
        <v>2055</v>
      </c>
      <c r="AO369" t="s">
        <v>88</v>
      </c>
      <c r="AP369" t="s">
        <v>90</v>
      </c>
      <c r="AQ369" s="3">
        <v>27032.300999999999</v>
      </c>
      <c r="AS369" t="s">
        <v>2018</v>
      </c>
      <c r="AT369" t="s">
        <v>88</v>
      </c>
      <c r="AU369" t="s">
        <v>111</v>
      </c>
      <c r="AV369" s="14">
        <v>9800</v>
      </c>
    </row>
    <row r="370" spans="1:48">
      <c r="A370" t="s">
        <v>2239</v>
      </c>
      <c r="B370" t="s">
        <v>15</v>
      </c>
      <c r="C370" t="s">
        <v>27</v>
      </c>
      <c r="D370" t="s">
        <v>20</v>
      </c>
      <c r="E370" s="14">
        <v>12670</v>
      </c>
      <c r="G370" t="s">
        <v>2239</v>
      </c>
      <c r="H370" t="s">
        <v>15</v>
      </c>
      <c r="I370" t="s">
        <v>27</v>
      </c>
      <c r="J370" t="s">
        <v>20</v>
      </c>
      <c r="K370" s="14">
        <v>16001.311299999999</v>
      </c>
      <c r="Z370" s="3"/>
      <c r="AC370"/>
      <c r="AE370" s="3"/>
      <c r="AH370" t="s">
        <v>2308</v>
      </c>
      <c r="AI370" t="s">
        <v>67</v>
      </c>
      <c r="AJ370" t="s">
        <v>72</v>
      </c>
      <c r="AK370" s="3" t="s">
        <v>27</v>
      </c>
      <c r="AL370" s="3">
        <v>-23597.430402999998</v>
      </c>
      <c r="AN370" t="s">
        <v>2056</v>
      </c>
      <c r="AO370" t="s">
        <v>88</v>
      </c>
      <c r="AP370" t="s">
        <v>86</v>
      </c>
      <c r="AQ370" s="3">
        <v>9500</v>
      </c>
      <c r="AS370" t="s">
        <v>2018</v>
      </c>
      <c r="AT370" t="s">
        <v>88</v>
      </c>
      <c r="AU370" t="s">
        <v>268</v>
      </c>
      <c r="AV370" s="14">
        <v>0</v>
      </c>
    </row>
    <row r="371" spans="1:48">
      <c r="A371" t="s">
        <v>2240</v>
      </c>
      <c r="B371" t="s">
        <v>15</v>
      </c>
      <c r="C371" t="s">
        <v>27</v>
      </c>
      <c r="D371" t="s">
        <v>20</v>
      </c>
      <c r="E371" s="14">
        <v>12670</v>
      </c>
      <c r="G371" t="s">
        <v>2240</v>
      </c>
      <c r="H371" t="s">
        <v>15</v>
      </c>
      <c r="I371" t="s">
        <v>27</v>
      </c>
      <c r="J371" t="s">
        <v>20</v>
      </c>
      <c r="K371" s="14">
        <v>16001.311299999999</v>
      </c>
      <c r="Z371" s="3"/>
      <c r="AC371"/>
      <c r="AE371" s="3"/>
      <c r="AH371" t="s">
        <v>2308</v>
      </c>
      <c r="AI371" t="s">
        <v>67</v>
      </c>
      <c r="AJ371" t="s">
        <v>113</v>
      </c>
      <c r="AK371" s="3" t="s">
        <v>27</v>
      </c>
      <c r="AL371" s="3">
        <v>-1677.659106131</v>
      </c>
      <c r="AN371" t="s">
        <v>2056</v>
      </c>
      <c r="AO371" t="s">
        <v>88</v>
      </c>
      <c r="AP371" t="s">
        <v>90</v>
      </c>
      <c r="AQ371" s="3">
        <v>26965.7228</v>
      </c>
      <c r="AS371" t="s">
        <v>2018</v>
      </c>
      <c r="AT371" t="s">
        <v>88</v>
      </c>
      <c r="AU371" t="s">
        <v>269</v>
      </c>
      <c r="AV371" s="14">
        <v>0</v>
      </c>
    </row>
    <row r="372" spans="1:48">
      <c r="A372" t="s">
        <v>2241</v>
      </c>
      <c r="B372" t="s">
        <v>15</v>
      </c>
      <c r="C372" t="s">
        <v>27</v>
      </c>
      <c r="D372" t="s">
        <v>20</v>
      </c>
      <c r="E372" s="14">
        <v>12820</v>
      </c>
      <c r="G372" t="s">
        <v>2241</v>
      </c>
      <c r="H372" t="s">
        <v>15</v>
      </c>
      <c r="I372" t="s">
        <v>27</v>
      </c>
      <c r="J372" t="s">
        <v>20</v>
      </c>
      <c r="K372" s="14">
        <v>16001.311299999999</v>
      </c>
      <c r="Z372" s="3"/>
      <c r="AC372"/>
      <c r="AE372" s="3"/>
      <c r="AH372" t="s">
        <v>2308</v>
      </c>
      <c r="AI372" t="s">
        <v>67</v>
      </c>
      <c r="AJ372" t="s">
        <v>108</v>
      </c>
      <c r="AK372" s="3" t="s">
        <v>27</v>
      </c>
      <c r="AL372" s="3">
        <v>132.328703131</v>
      </c>
      <c r="AN372" t="s">
        <v>2057</v>
      </c>
      <c r="AO372" t="s">
        <v>88</v>
      </c>
      <c r="AP372" t="s">
        <v>86</v>
      </c>
      <c r="AQ372" s="3">
        <v>9500</v>
      </c>
      <c r="AS372" t="s">
        <v>2018</v>
      </c>
      <c r="AT372" t="s">
        <v>88</v>
      </c>
      <c r="AU372" t="s">
        <v>270</v>
      </c>
      <c r="AV372" s="14">
        <v>0</v>
      </c>
    </row>
    <row r="373" spans="1:48">
      <c r="A373" t="s">
        <v>2242</v>
      </c>
      <c r="B373" t="s">
        <v>15</v>
      </c>
      <c r="C373" t="s">
        <v>27</v>
      </c>
      <c r="D373" t="s">
        <v>20</v>
      </c>
      <c r="E373" s="14">
        <v>12820</v>
      </c>
      <c r="G373" t="s">
        <v>2242</v>
      </c>
      <c r="H373" t="s">
        <v>15</v>
      </c>
      <c r="I373" t="s">
        <v>27</v>
      </c>
      <c r="J373" t="s">
        <v>20</v>
      </c>
      <c r="K373" s="14">
        <v>16001.311299999999</v>
      </c>
      <c r="Z373" s="3"/>
      <c r="AC373"/>
      <c r="AE373" s="3"/>
      <c r="AH373" t="s">
        <v>2308</v>
      </c>
      <c r="AI373" t="s">
        <v>67</v>
      </c>
      <c r="AJ373" t="s">
        <v>98</v>
      </c>
      <c r="AK373" s="3" t="s">
        <v>27</v>
      </c>
      <c r="AL373" s="3">
        <v>132.328703131</v>
      </c>
      <c r="AN373" t="s">
        <v>2057</v>
      </c>
      <c r="AO373" t="s">
        <v>88</v>
      </c>
      <c r="AP373" t="s">
        <v>90</v>
      </c>
      <c r="AQ373" s="3">
        <v>21565.7228</v>
      </c>
      <c r="AS373" t="s">
        <v>2018</v>
      </c>
      <c r="AT373" t="s">
        <v>88</v>
      </c>
      <c r="AU373" t="s">
        <v>271</v>
      </c>
      <c r="AV373" s="14">
        <v>12748</v>
      </c>
    </row>
    <row r="374" spans="1:48">
      <c r="A374" t="s">
        <v>2243</v>
      </c>
      <c r="B374" t="s">
        <v>15</v>
      </c>
      <c r="C374" t="s">
        <v>27</v>
      </c>
      <c r="D374" t="s">
        <v>20</v>
      </c>
      <c r="E374" s="14">
        <v>13120</v>
      </c>
      <c r="G374" t="s">
        <v>2243</v>
      </c>
      <c r="H374" t="s">
        <v>15</v>
      </c>
      <c r="I374" t="s">
        <v>27</v>
      </c>
      <c r="J374" t="s">
        <v>20</v>
      </c>
      <c r="K374" s="14">
        <v>16001.311299999999</v>
      </c>
      <c r="Z374" s="3"/>
      <c r="AC374"/>
      <c r="AE374" s="3"/>
      <c r="AH374" t="s">
        <v>2308</v>
      </c>
      <c r="AI374" t="s">
        <v>67</v>
      </c>
      <c r="AJ374" t="s">
        <v>66</v>
      </c>
      <c r="AK374" s="3" t="s">
        <v>114</v>
      </c>
      <c r="AL374" s="3">
        <v>786</v>
      </c>
      <c r="AN374" t="s">
        <v>2058</v>
      </c>
      <c r="AO374" t="s">
        <v>88</v>
      </c>
      <c r="AP374" t="s">
        <v>86</v>
      </c>
      <c r="AQ374" s="3">
        <v>9500</v>
      </c>
      <c r="AS374" t="s">
        <v>2018</v>
      </c>
      <c r="AT374" t="s">
        <v>88</v>
      </c>
      <c r="AU374" t="s">
        <v>272</v>
      </c>
      <c r="AV374" s="14">
        <v>0</v>
      </c>
    </row>
    <row r="375" spans="1:48">
      <c r="A375" t="s">
        <v>2244</v>
      </c>
      <c r="B375" t="s">
        <v>15</v>
      </c>
      <c r="C375" t="s">
        <v>27</v>
      </c>
      <c r="D375" t="s">
        <v>20</v>
      </c>
      <c r="E375" s="14">
        <v>13120</v>
      </c>
      <c r="G375" t="s">
        <v>2244</v>
      </c>
      <c r="H375" t="s">
        <v>15</v>
      </c>
      <c r="I375" t="s">
        <v>27</v>
      </c>
      <c r="J375" t="s">
        <v>20</v>
      </c>
      <c r="K375" s="14">
        <v>16001.311299999999</v>
      </c>
      <c r="Z375" s="3"/>
      <c r="AC375"/>
      <c r="AE375" s="3"/>
      <c r="AH375" t="s">
        <v>2308</v>
      </c>
      <c r="AI375" t="s">
        <v>67</v>
      </c>
      <c r="AJ375" t="s">
        <v>98</v>
      </c>
      <c r="AK375" s="3" t="s">
        <v>114</v>
      </c>
      <c r="AL375" s="3">
        <v>-15.5882268493</v>
      </c>
      <c r="AN375" t="s">
        <v>2058</v>
      </c>
      <c r="AO375" t="s">
        <v>88</v>
      </c>
      <c r="AP375" t="s">
        <v>90</v>
      </c>
      <c r="AQ375" s="3">
        <v>23610.7228</v>
      </c>
      <c r="AS375" t="s">
        <v>2018</v>
      </c>
      <c r="AT375" t="s">
        <v>88</v>
      </c>
      <c r="AU375" t="s">
        <v>273</v>
      </c>
      <c r="AV375" s="14">
        <v>0</v>
      </c>
    </row>
    <row r="376" spans="1:48">
      <c r="A376" t="s">
        <v>2245</v>
      </c>
      <c r="B376" t="s">
        <v>15</v>
      </c>
      <c r="C376" t="s">
        <v>27</v>
      </c>
      <c r="D376" t="s">
        <v>20</v>
      </c>
      <c r="E376" s="14">
        <v>13170</v>
      </c>
      <c r="G376" t="s">
        <v>2245</v>
      </c>
      <c r="H376" t="s">
        <v>15</v>
      </c>
      <c r="I376" t="s">
        <v>27</v>
      </c>
      <c r="J376" t="s">
        <v>20</v>
      </c>
      <c r="K376" s="14">
        <v>16001.311299999999</v>
      </c>
      <c r="Z376" s="3"/>
      <c r="AC376"/>
      <c r="AE376" s="3"/>
      <c r="AH376" t="s">
        <v>2308</v>
      </c>
      <c r="AI376" t="s">
        <v>67</v>
      </c>
      <c r="AJ376" t="s">
        <v>66</v>
      </c>
      <c r="AK376" s="3" t="s">
        <v>115</v>
      </c>
      <c r="AL376" s="3">
        <v>22838.1</v>
      </c>
      <c r="AN376" t="s">
        <v>2059</v>
      </c>
      <c r="AO376" t="s">
        <v>88</v>
      </c>
      <c r="AP376" t="s">
        <v>86</v>
      </c>
      <c r="AQ376" s="3">
        <v>9897.6106</v>
      </c>
      <c r="AS376" t="s">
        <v>2016</v>
      </c>
      <c r="AT376" t="s">
        <v>88</v>
      </c>
      <c r="AU376" t="s">
        <v>109</v>
      </c>
      <c r="AV376" s="14">
        <v>11902</v>
      </c>
    </row>
    <row r="377" spans="1:48">
      <c r="A377" t="s">
        <v>2246</v>
      </c>
      <c r="B377" t="s">
        <v>15</v>
      </c>
      <c r="C377" t="s">
        <v>27</v>
      </c>
      <c r="D377" t="s">
        <v>20</v>
      </c>
      <c r="E377" s="14">
        <v>13170</v>
      </c>
      <c r="G377" t="s">
        <v>2246</v>
      </c>
      <c r="H377" t="s">
        <v>15</v>
      </c>
      <c r="I377" t="s">
        <v>27</v>
      </c>
      <c r="J377" t="s">
        <v>20</v>
      </c>
      <c r="K377" s="14">
        <v>16001.311299999999</v>
      </c>
      <c r="Z377" s="3"/>
      <c r="AC377"/>
      <c r="AE377" s="3"/>
      <c r="AH377" t="s">
        <v>2308</v>
      </c>
      <c r="AI377" t="s">
        <v>67</v>
      </c>
      <c r="AJ377" t="s">
        <v>98</v>
      </c>
      <c r="AK377" s="3" t="s">
        <v>115</v>
      </c>
      <c r="AL377" s="3">
        <v>-147.91692998030001</v>
      </c>
      <c r="AN377" t="s">
        <v>2059</v>
      </c>
      <c r="AO377" t="s">
        <v>88</v>
      </c>
      <c r="AP377" t="s">
        <v>90</v>
      </c>
      <c r="AQ377" s="3">
        <v>25510.7228</v>
      </c>
      <c r="AS377" t="s">
        <v>2016</v>
      </c>
      <c r="AT377" t="s">
        <v>88</v>
      </c>
      <c r="AU377" t="s">
        <v>110</v>
      </c>
      <c r="AV377" s="14">
        <v>397.61059999999998</v>
      </c>
    </row>
    <row r="378" spans="1:48">
      <c r="A378" t="s">
        <v>2247</v>
      </c>
      <c r="B378" t="s">
        <v>15</v>
      </c>
      <c r="C378" t="s">
        <v>27</v>
      </c>
      <c r="D378" t="s">
        <v>20</v>
      </c>
      <c r="E378" s="14">
        <v>13170</v>
      </c>
      <c r="G378" t="s">
        <v>2247</v>
      </c>
      <c r="H378" t="s">
        <v>15</v>
      </c>
      <c r="I378" t="s">
        <v>27</v>
      </c>
      <c r="J378" t="s">
        <v>20</v>
      </c>
      <c r="K378" s="14">
        <v>16001.311299999999</v>
      </c>
      <c r="Z378" s="3"/>
      <c r="AC378"/>
      <c r="AE378" s="3"/>
      <c r="AH378" t="s">
        <v>2308</v>
      </c>
      <c r="AI378" t="s">
        <v>68</v>
      </c>
      <c r="AJ378" t="s">
        <v>66</v>
      </c>
      <c r="AK378" s="3" t="s">
        <v>27</v>
      </c>
      <c r="AL378" s="3">
        <v>1567.4</v>
      </c>
      <c r="AN378" t="s">
        <v>2060</v>
      </c>
      <c r="AO378" t="s">
        <v>88</v>
      </c>
      <c r="AP378" t="s">
        <v>86</v>
      </c>
      <c r="AQ378" s="3">
        <v>10397.6106</v>
      </c>
      <c r="AS378" t="s">
        <v>2016</v>
      </c>
      <c r="AT378" t="s">
        <v>88</v>
      </c>
      <c r="AU378" t="s">
        <v>111</v>
      </c>
      <c r="AV378" s="14">
        <v>11800</v>
      </c>
    </row>
    <row r="379" spans="1:48">
      <c r="A379" t="s">
        <v>2248</v>
      </c>
      <c r="B379" t="s">
        <v>15</v>
      </c>
      <c r="C379" t="s">
        <v>27</v>
      </c>
      <c r="D379" t="s">
        <v>20</v>
      </c>
      <c r="E379" s="14">
        <v>13320</v>
      </c>
      <c r="G379" t="s">
        <v>2248</v>
      </c>
      <c r="H379" t="s">
        <v>15</v>
      </c>
      <c r="I379" t="s">
        <v>27</v>
      </c>
      <c r="J379" t="s">
        <v>20</v>
      </c>
      <c r="K379" s="14">
        <v>16001.311299999999</v>
      </c>
      <c r="Z379" s="3"/>
      <c r="AC379"/>
      <c r="AE379" s="3"/>
      <c r="AH379" t="s">
        <v>2308</v>
      </c>
      <c r="AI379" t="s">
        <v>68</v>
      </c>
      <c r="AJ379" t="s">
        <v>72</v>
      </c>
      <c r="AK379" s="3" t="s">
        <v>27</v>
      </c>
      <c r="AL379" s="3">
        <v>1435.7099619999999</v>
      </c>
      <c r="AN379" t="s">
        <v>2060</v>
      </c>
      <c r="AO379" t="s">
        <v>88</v>
      </c>
      <c r="AP379" t="s">
        <v>90</v>
      </c>
      <c r="AQ379" s="3">
        <v>23960.7228</v>
      </c>
      <c r="AS379" t="s">
        <v>2016</v>
      </c>
      <c r="AT379" t="s">
        <v>88</v>
      </c>
      <c r="AU379" t="s">
        <v>268</v>
      </c>
      <c r="AV379" s="14">
        <v>0</v>
      </c>
    </row>
    <row r="380" spans="1:48">
      <c r="A380" t="s">
        <v>2249</v>
      </c>
      <c r="B380" t="s">
        <v>15</v>
      </c>
      <c r="C380" t="s">
        <v>27</v>
      </c>
      <c r="D380" t="s">
        <v>20</v>
      </c>
      <c r="E380" s="14">
        <v>13670</v>
      </c>
      <c r="G380" t="s">
        <v>2249</v>
      </c>
      <c r="H380" t="s">
        <v>15</v>
      </c>
      <c r="I380" t="s">
        <v>27</v>
      </c>
      <c r="J380" t="s">
        <v>20</v>
      </c>
      <c r="K380" s="14">
        <v>16001.311299999999</v>
      </c>
      <c r="Z380" s="3"/>
      <c r="AC380"/>
      <c r="AE380" s="3"/>
      <c r="AH380" t="s">
        <v>2308</v>
      </c>
      <c r="AI380" t="s">
        <v>68</v>
      </c>
      <c r="AJ380" t="s">
        <v>113</v>
      </c>
      <c r="AK380" s="3" t="s">
        <v>27</v>
      </c>
      <c r="AL380" s="3">
        <v>-38.6950871453</v>
      </c>
      <c r="AN380" t="s">
        <v>2061</v>
      </c>
      <c r="AO380" t="s">
        <v>88</v>
      </c>
      <c r="AP380" t="s">
        <v>86</v>
      </c>
      <c r="AQ380" s="3">
        <v>10000</v>
      </c>
      <c r="AS380" t="s">
        <v>2016</v>
      </c>
      <c r="AT380" t="s">
        <v>88</v>
      </c>
      <c r="AU380" t="s">
        <v>269</v>
      </c>
      <c r="AV380" s="14">
        <v>0</v>
      </c>
    </row>
    <row r="381" spans="1:48">
      <c r="A381" t="s">
        <v>2250</v>
      </c>
      <c r="B381" t="s">
        <v>15</v>
      </c>
      <c r="C381" t="s">
        <v>27</v>
      </c>
      <c r="D381" t="s">
        <v>20</v>
      </c>
      <c r="E381" s="14">
        <v>13820</v>
      </c>
      <c r="G381" t="s">
        <v>2250</v>
      </c>
      <c r="H381" t="s">
        <v>15</v>
      </c>
      <c r="I381" t="s">
        <v>27</v>
      </c>
      <c r="J381" t="s">
        <v>20</v>
      </c>
      <c r="K381" s="14">
        <v>16001.311299999999</v>
      </c>
      <c r="Z381" s="3"/>
      <c r="AC381"/>
      <c r="AE381" s="3"/>
      <c r="AH381" t="s">
        <v>2308</v>
      </c>
      <c r="AI381" t="s">
        <v>68</v>
      </c>
      <c r="AJ381" t="s">
        <v>108</v>
      </c>
      <c r="AK381" s="3" t="s">
        <v>27</v>
      </c>
      <c r="AL381" s="3">
        <v>-92.994950854699994</v>
      </c>
      <c r="AN381" t="s">
        <v>2061</v>
      </c>
      <c r="AO381" t="s">
        <v>88</v>
      </c>
      <c r="AP381" t="s">
        <v>90</v>
      </c>
      <c r="AQ381" s="3">
        <v>25510.7228</v>
      </c>
      <c r="AS381" t="s">
        <v>2016</v>
      </c>
      <c r="AT381" t="s">
        <v>88</v>
      </c>
      <c r="AU381" t="s">
        <v>270</v>
      </c>
      <c r="AV381" s="14">
        <v>0</v>
      </c>
    </row>
    <row r="382" spans="1:48">
      <c r="A382" t="s">
        <v>2251</v>
      </c>
      <c r="B382" t="s">
        <v>15</v>
      </c>
      <c r="C382" t="s">
        <v>27</v>
      </c>
      <c r="D382" t="s">
        <v>20</v>
      </c>
      <c r="E382" s="14">
        <v>13770</v>
      </c>
      <c r="G382" t="s">
        <v>2251</v>
      </c>
      <c r="H382" t="s">
        <v>15</v>
      </c>
      <c r="I382" t="s">
        <v>27</v>
      </c>
      <c r="J382" t="s">
        <v>20</v>
      </c>
      <c r="K382" s="14">
        <v>16001.311299999999</v>
      </c>
      <c r="Z382" s="3"/>
      <c r="AC382"/>
      <c r="AE382" s="3"/>
      <c r="AH382" t="s">
        <v>2308</v>
      </c>
      <c r="AI382" t="s">
        <v>68</v>
      </c>
      <c r="AJ382" t="s">
        <v>98</v>
      </c>
      <c r="AK382" s="3" t="s">
        <v>27</v>
      </c>
      <c r="AL382" s="3">
        <v>-92.994950854699994</v>
      </c>
      <c r="AN382" t="s">
        <v>2062</v>
      </c>
      <c r="AO382" t="s">
        <v>88</v>
      </c>
      <c r="AP382" t="s">
        <v>86</v>
      </c>
      <c r="AQ382" s="3">
        <v>10000</v>
      </c>
      <c r="AS382" t="s">
        <v>2016</v>
      </c>
      <c r="AT382" t="s">
        <v>88</v>
      </c>
      <c r="AU382" t="s">
        <v>271</v>
      </c>
      <c r="AV382" s="14">
        <v>13548</v>
      </c>
    </row>
    <row r="383" spans="1:48">
      <c r="A383" t="s">
        <v>2252</v>
      </c>
      <c r="B383" t="s">
        <v>15</v>
      </c>
      <c r="C383" t="s">
        <v>27</v>
      </c>
      <c r="D383" t="s">
        <v>20</v>
      </c>
      <c r="E383" s="14">
        <v>13770</v>
      </c>
      <c r="G383" t="s">
        <v>2252</v>
      </c>
      <c r="H383" t="s">
        <v>15</v>
      </c>
      <c r="I383" t="s">
        <v>27</v>
      </c>
      <c r="J383" t="s">
        <v>20</v>
      </c>
      <c r="K383" s="14">
        <v>16001.311299999999</v>
      </c>
      <c r="Z383" s="3"/>
      <c r="AC383"/>
      <c r="AE383" s="3"/>
      <c r="AH383" t="s">
        <v>2308</v>
      </c>
      <c r="AI383" t="s">
        <v>68</v>
      </c>
      <c r="AJ383" t="s">
        <v>66</v>
      </c>
      <c r="AK383" s="3" t="s">
        <v>114</v>
      </c>
      <c r="AL383" s="3">
        <v>3008.4</v>
      </c>
      <c r="AN383" t="s">
        <v>2062</v>
      </c>
      <c r="AO383" t="s">
        <v>88</v>
      </c>
      <c r="AP383" t="s">
        <v>90</v>
      </c>
      <c r="AQ383" s="3">
        <v>24660.7228</v>
      </c>
      <c r="AS383" t="s">
        <v>2016</v>
      </c>
      <c r="AT383" t="s">
        <v>88</v>
      </c>
      <c r="AU383" t="s">
        <v>272</v>
      </c>
      <c r="AV383" s="14">
        <v>0</v>
      </c>
    </row>
    <row r="384" spans="1:48">
      <c r="A384" t="s">
        <v>2253</v>
      </c>
      <c r="B384" t="s">
        <v>15</v>
      </c>
      <c r="C384" t="s">
        <v>27</v>
      </c>
      <c r="D384" t="s">
        <v>20</v>
      </c>
      <c r="E384" s="14">
        <v>13170</v>
      </c>
      <c r="G384" t="s">
        <v>2253</v>
      </c>
      <c r="H384" t="s">
        <v>15</v>
      </c>
      <c r="I384" t="s">
        <v>27</v>
      </c>
      <c r="J384" t="s">
        <v>20</v>
      </c>
      <c r="K384" s="14">
        <v>16001.311299999999</v>
      </c>
      <c r="Z384" s="3"/>
      <c r="AC384"/>
      <c r="AE384" s="3"/>
      <c r="AH384" t="s">
        <v>2308</v>
      </c>
      <c r="AI384" t="s">
        <v>68</v>
      </c>
      <c r="AJ384" t="s">
        <v>98</v>
      </c>
      <c r="AK384" s="3" t="s">
        <v>114</v>
      </c>
      <c r="AL384" s="3">
        <v>-160.2241472055</v>
      </c>
      <c r="AN384" t="s">
        <v>2063</v>
      </c>
      <c r="AO384" t="s">
        <v>88</v>
      </c>
      <c r="AP384" t="s">
        <v>86</v>
      </c>
      <c r="AQ384" s="3">
        <v>10000</v>
      </c>
      <c r="AS384" t="s">
        <v>2016</v>
      </c>
      <c r="AT384" t="s">
        <v>88</v>
      </c>
      <c r="AU384" t="s">
        <v>273</v>
      </c>
      <c r="AV384" s="14">
        <v>0</v>
      </c>
    </row>
    <row r="385" spans="1:48">
      <c r="A385" t="s">
        <v>2254</v>
      </c>
      <c r="B385" t="s">
        <v>15</v>
      </c>
      <c r="C385" t="s">
        <v>27</v>
      </c>
      <c r="D385" t="s">
        <v>20</v>
      </c>
      <c r="E385" s="14">
        <v>13520</v>
      </c>
      <c r="G385" t="s">
        <v>2254</v>
      </c>
      <c r="H385" t="s">
        <v>15</v>
      </c>
      <c r="I385" t="s">
        <v>27</v>
      </c>
      <c r="J385" t="s">
        <v>20</v>
      </c>
      <c r="K385" s="14">
        <v>16001.311299999999</v>
      </c>
      <c r="Z385" s="3"/>
      <c r="AC385"/>
      <c r="AE385" s="3"/>
      <c r="AH385" t="s">
        <v>2308</v>
      </c>
      <c r="AI385" t="s">
        <v>68</v>
      </c>
      <c r="AJ385" t="s">
        <v>66</v>
      </c>
      <c r="AK385" s="3" t="s">
        <v>115</v>
      </c>
      <c r="AL385" s="3">
        <v>1441</v>
      </c>
      <c r="AN385" t="s">
        <v>2063</v>
      </c>
      <c r="AO385" t="s">
        <v>88</v>
      </c>
      <c r="AP385" t="s">
        <v>90</v>
      </c>
      <c r="AQ385" s="3">
        <v>26660.7228</v>
      </c>
      <c r="AS385" t="s">
        <v>2016</v>
      </c>
      <c r="AT385" t="s">
        <v>196</v>
      </c>
      <c r="AU385" t="s">
        <v>197</v>
      </c>
      <c r="AV385" s="14">
        <v>7.3870661356377898</v>
      </c>
    </row>
    <row r="386" spans="1:48">
      <c r="A386" t="s">
        <v>2255</v>
      </c>
      <c r="B386" t="s">
        <v>15</v>
      </c>
      <c r="C386" t="s">
        <v>27</v>
      </c>
      <c r="D386" t="s">
        <v>20</v>
      </c>
      <c r="E386" s="14">
        <v>13470</v>
      </c>
      <c r="G386" t="s">
        <v>2255</v>
      </c>
      <c r="H386" t="s">
        <v>15</v>
      </c>
      <c r="I386" t="s">
        <v>27</v>
      </c>
      <c r="J386" t="s">
        <v>20</v>
      </c>
      <c r="K386" s="14">
        <v>16001.311299999999</v>
      </c>
      <c r="Z386" s="3"/>
      <c r="AC386"/>
      <c r="AE386" s="3"/>
      <c r="AH386" t="s">
        <v>2308</v>
      </c>
      <c r="AI386" t="s">
        <v>68</v>
      </c>
      <c r="AJ386" t="s">
        <v>98</v>
      </c>
      <c r="AK386" s="3" t="s">
        <v>115</v>
      </c>
      <c r="AL386" s="3">
        <v>-67.229196350699993</v>
      </c>
      <c r="AN386" t="s">
        <v>2064</v>
      </c>
      <c r="AO386" t="s">
        <v>88</v>
      </c>
      <c r="AP386" t="s">
        <v>86</v>
      </c>
      <c r="AQ386" s="3">
        <v>10000</v>
      </c>
      <c r="AS386" t="s">
        <v>2016</v>
      </c>
      <c r="AT386" t="s">
        <v>196</v>
      </c>
      <c r="AU386" t="s">
        <v>109</v>
      </c>
      <c r="AV386" s="14">
        <v>6.1229725375925197</v>
      </c>
    </row>
    <row r="387" spans="1:48">
      <c r="A387" t="s">
        <v>2256</v>
      </c>
      <c r="B387" t="s">
        <v>15</v>
      </c>
      <c r="C387" t="s">
        <v>27</v>
      </c>
      <c r="D387" t="s">
        <v>20</v>
      </c>
      <c r="E387" s="14">
        <v>13570</v>
      </c>
      <c r="G387" t="s">
        <v>2256</v>
      </c>
      <c r="H387" t="s">
        <v>15</v>
      </c>
      <c r="I387" t="s">
        <v>27</v>
      </c>
      <c r="J387" t="s">
        <v>20</v>
      </c>
      <c r="K387" s="14">
        <v>16001.311299999999</v>
      </c>
      <c r="Z387" s="3"/>
      <c r="AC387"/>
      <c r="AE387" s="3"/>
      <c r="AH387" t="s">
        <v>2308</v>
      </c>
      <c r="AI387" t="s">
        <v>800</v>
      </c>
      <c r="AJ387" t="s">
        <v>31</v>
      </c>
      <c r="AK387" s="3" t="s">
        <v>27</v>
      </c>
      <c r="AL387" s="3">
        <v>4.0150803755000002</v>
      </c>
      <c r="AN387" t="s">
        <v>2064</v>
      </c>
      <c r="AO387" t="s">
        <v>88</v>
      </c>
      <c r="AP387" t="s">
        <v>90</v>
      </c>
      <c r="AQ387" s="3">
        <v>27626.394400000001</v>
      </c>
      <c r="AS387" t="s">
        <v>2016</v>
      </c>
      <c r="AT387" t="s">
        <v>196</v>
      </c>
      <c r="AU387" t="s">
        <v>198</v>
      </c>
      <c r="AV387" s="14">
        <v>6.75079759445926</v>
      </c>
    </row>
    <row r="388" spans="1:48">
      <c r="A388" t="s">
        <v>2257</v>
      </c>
      <c r="B388" t="s">
        <v>15</v>
      </c>
      <c r="C388" t="s">
        <v>27</v>
      </c>
      <c r="D388" t="s">
        <v>20</v>
      </c>
      <c r="E388" s="14">
        <v>13670</v>
      </c>
      <c r="G388" t="s">
        <v>2257</v>
      </c>
      <c r="H388" t="s">
        <v>15</v>
      </c>
      <c r="I388" t="s">
        <v>27</v>
      </c>
      <c r="J388" t="s">
        <v>20</v>
      </c>
      <c r="K388" s="14">
        <v>16001.311299999999</v>
      </c>
      <c r="Z388" s="3"/>
      <c r="AC388"/>
      <c r="AE388" s="3"/>
      <c r="AH388" t="s">
        <v>2053</v>
      </c>
      <c r="AI388" t="s">
        <v>65</v>
      </c>
      <c r="AJ388" t="s">
        <v>66</v>
      </c>
      <c r="AK388" s="3" t="s">
        <v>27</v>
      </c>
      <c r="AL388" s="3">
        <v>37677.699999999997</v>
      </c>
      <c r="AN388" t="s">
        <v>2065</v>
      </c>
      <c r="AO388" t="s">
        <v>88</v>
      </c>
      <c r="AP388" t="s">
        <v>86</v>
      </c>
      <c r="AQ388" s="3">
        <v>10000</v>
      </c>
      <c r="AS388" t="s">
        <v>1829</v>
      </c>
      <c r="AT388" t="s">
        <v>88</v>
      </c>
      <c r="AU388" t="s">
        <v>109</v>
      </c>
      <c r="AV388" s="14">
        <v>11202</v>
      </c>
    </row>
    <row r="389" spans="1:48">
      <c r="A389" t="s">
        <v>2258</v>
      </c>
      <c r="B389" t="s">
        <v>15</v>
      </c>
      <c r="C389" t="s">
        <v>27</v>
      </c>
      <c r="D389" t="s">
        <v>20</v>
      </c>
      <c r="E389" s="14">
        <v>13120</v>
      </c>
      <c r="G389" t="s">
        <v>2258</v>
      </c>
      <c r="H389" t="s">
        <v>15</v>
      </c>
      <c r="I389" t="s">
        <v>27</v>
      </c>
      <c r="J389" t="s">
        <v>20</v>
      </c>
      <c r="K389" s="14">
        <v>16001.311299999999</v>
      </c>
      <c r="Z389" s="3"/>
      <c r="AC389"/>
      <c r="AE389" s="3"/>
      <c r="AH389" t="s">
        <v>2053</v>
      </c>
      <c r="AI389" t="s">
        <v>65</v>
      </c>
      <c r="AJ389" t="s">
        <v>72</v>
      </c>
      <c r="AK389" s="3" t="s">
        <v>27</v>
      </c>
      <c r="AL389" s="3">
        <v>37895.038820000002</v>
      </c>
      <c r="AN389" t="s">
        <v>2065</v>
      </c>
      <c r="AO389" t="s">
        <v>88</v>
      </c>
      <c r="AP389" t="s">
        <v>90</v>
      </c>
      <c r="AQ389" s="3">
        <v>27726.394400000001</v>
      </c>
      <c r="AS389" t="s">
        <v>1829</v>
      </c>
      <c r="AT389" t="s">
        <v>88</v>
      </c>
      <c r="AU389" t="s">
        <v>110</v>
      </c>
      <c r="AV389" s="14">
        <v>397.61059999999998</v>
      </c>
    </row>
    <row r="390" spans="1:48">
      <c r="A390" t="s">
        <v>2259</v>
      </c>
      <c r="B390" t="s">
        <v>15</v>
      </c>
      <c r="C390" t="s">
        <v>27</v>
      </c>
      <c r="D390" t="s">
        <v>20</v>
      </c>
      <c r="E390" s="14">
        <v>13120</v>
      </c>
      <c r="G390" t="s">
        <v>2259</v>
      </c>
      <c r="H390" t="s">
        <v>15</v>
      </c>
      <c r="I390" t="s">
        <v>27</v>
      </c>
      <c r="J390" t="s">
        <v>20</v>
      </c>
      <c r="K390" s="14">
        <v>16001.311299999999</v>
      </c>
      <c r="Z390" s="3"/>
      <c r="AC390"/>
      <c r="AE390" s="3"/>
      <c r="AH390" t="s">
        <v>2053</v>
      </c>
      <c r="AI390" t="s">
        <v>65</v>
      </c>
      <c r="AJ390" t="s">
        <v>113</v>
      </c>
      <c r="AK390" s="3" t="s">
        <v>27</v>
      </c>
      <c r="AL390" s="3">
        <v>1901.1531392661</v>
      </c>
      <c r="AN390" t="s">
        <v>2066</v>
      </c>
      <c r="AO390" t="s">
        <v>88</v>
      </c>
      <c r="AP390" t="s">
        <v>86</v>
      </c>
      <c r="AQ390" s="3">
        <v>9600</v>
      </c>
      <c r="AS390" t="s">
        <v>1829</v>
      </c>
      <c r="AT390" t="s">
        <v>88</v>
      </c>
      <c r="AU390" t="s">
        <v>111</v>
      </c>
      <c r="AV390" s="14">
        <v>11800</v>
      </c>
    </row>
    <row r="391" spans="1:48">
      <c r="A391" t="s">
        <v>2260</v>
      </c>
      <c r="B391" t="s">
        <v>15</v>
      </c>
      <c r="C391" t="s">
        <v>27</v>
      </c>
      <c r="D391" t="s">
        <v>20</v>
      </c>
      <c r="E391" s="14">
        <v>13270</v>
      </c>
      <c r="G391" t="s">
        <v>2260</v>
      </c>
      <c r="H391" t="s">
        <v>15</v>
      </c>
      <c r="I391" t="s">
        <v>27</v>
      </c>
      <c r="J391" t="s">
        <v>20</v>
      </c>
      <c r="K391" s="14">
        <v>16001.311299999999</v>
      </c>
      <c r="Z391" s="3"/>
      <c r="AC391"/>
      <c r="AE391" s="3"/>
      <c r="AH391" t="s">
        <v>2053</v>
      </c>
      <c r="AI391" t="s">
        <v>65</v>
      </c>
      <c r="AJ391" t="s">
        <v>108</v>
      </c>
      <c r="AK391" s="3" t="s">
        <v>27</v>
      </c>
      <c r="AL391" s="3">
        <v>-1683.8143192661</v>
      </c>
      <c r="AN391" t="s">
        <v>2066</v>
      </c>
      <c r="AO391" t="s">
        <v>88</v>
      </c>
      <c r="AP391" t="s">
        <v>90</v>
      </c>
      <c r="AQ391" s="3">
        <v>29026.394400000001</v>
      </c>
      <c r="AS391" t="s">
        <v>1829</v>
      </c>
      <c r="AT391" t="s">
        <v>88</v>
      </c>
      <c r="AU391" t="s">
        <v>268</v>
      </c>
      <c r="AV391" s="14">
        <v>0</v>
      </c>
    </row>
    <row r="392" spans="1:48">
      <c r="A392" t="s">
        <v>2261</v>
      </c>
      <c r="B392" t="s">
        <v>15</v>
      </c>
      <c r="C392" t="s">
        <v>27</v>
      </c>
      <c r="D392" t="s">
        <v>20</v>
      </c>
      <c r="E392" s="14">
        <v>13397</v>
      </c>
      <c r="G392" t="s">
        <v>2261</v>
      </c>
      <c r="H392" t="s">
        <v>15</v>
      </c>
      <c r="I392" t="s">
        <v>27</v>
      </c>
      <c r="J392" t="s">
        <v>20</v>
      </c>
      <c r="K392" s="14">
        <v>16001.311299999999</v>
      </c>
      <c r="Z392" s="3"/>
      <c r="AC392"/>
      <c r="AE392" s="3"/>
      <c r="AH392" t="s">
        <v>2053</v>
      </c>
      <c r="AI392" t="s">
        <v>65</v>
      </c>
      <c r="AJ392" t="s">
        <v>98</v>
      </c>
      <c r="AK392" s="3" t="s">
        <v>27</v>
      </c>
      <c r="AL392" s="3">
        <v>-1683.8143192661</v>
      </c>
      <c r="AN392" t="s">
        <v>2067</v>
      </c>
      <c r="AO392" t="s">
        <v>88</v>
      </c>
      <c r="AP392" t="s">
        <v>90</v>
      </c>
      <c r="AQ392" s="3">
        <v>29176.394400000001</v>
      </c>
      <c r="AS392" t="s">
        <v>1829</v>
      </c>
      <c r="AT392" t="s">
        <v>88</v>
      </c>
      <c r="AU392" t="s">
        <v>269</v>
      </c>
      <c r="AV392" s="14">
        <v>0</v>
      </c>
    </row>
    <row r="393" spans="1:48">
      <c r="A393" t="s">
        <v>2262</v>
      </c>
      <c r="B393" t="s">
        <v>15</v>
      </c>
      <c r="C393" t="s">
        <v>27</v>
      </c>
      <c r="D393" t="s">
        <v>20</v>
      </c>
      <c r="E393" s="14">
        <v>13370</v>
      </c>
      <c r="G393" t="s">
        <v>2262</v>
      </c>
      <c r="H393" t="s">
        <v>15</v>
      </c>
      <c r="I393" t="s">
        <v>27</v>
      </c>
      <c r="J393" t="s">
        <v>20</v>
      </c>
      <c r="K393" s="14">
        <v>16001.311299999999</v>
      </c>
      <c r="Z393" s="3"/>
      <c r="AC393"/>
      <c r="AE393" s="3"/>
      <c r="AH393" t="s">
        <v>2053</v>
      </c>
      <c r="AI393" t="s">
        <v>67</v>
      </c>
      <c r="AJ393" t="s">
        <v>66</v>
      </c>
      <c r="AK393" s="3" t="s">
        <v>27</v>
      </c>
      <c r="AL393" s="3">
        <v>-21524.7</v>
      </c>
      <c r="AN393" t="s">
        <v>2067</v>
      </c>
      <c r="AO393" t="s">
        <v>88</v>
      </c>
      <c r="AP393" t="s">
        <v>86</v>
      </c>
      <c r="AQ393" s="3">
        <v>9600</v>
      </c>
      <c r="AS393" t="s">
        <v>1829</v>
      </c>
      <c r="AT393" t="s">
        <v>88</v>
      </c>
      <c r="AU393" t="s">
        <v>270</v>
      </c>
      <c r="AV393" s="14">
        <v>0</v>
      </c>
    </row>
    <row r="394" spans="1:48">
      <c r="A394" t="s">
        <v>2263</v>
      </c>
      <c r="B394" t="s">
        <v>15</v>
      </c>
      <c r="C394" t="s">
        <v>27</v>
      </c>
      <c r="D394" t="s">
        <v>20</v>
      </c>
      <c r="E394" s="14">
        <v>13670</v>
      </c>
      <c r="G394" t="s">
        <v>2263</v>
      </c>
      <c r="H394" t="s">
        <v>15</v>
      </c>
      <c r="I394" t="s">
        <v>27</v>
      </c>
      <c r="J394" t="s">
        <v>20</v>
      </c>
      <c r="K394" s="14">
        <v>16001.311299999999</v>
      </c>
      <c r="Z394" s="3"/>
      <c r="AC394"/>
      <c r="AE394" s="3"/>
      <c r="AH394" t="s">
        <v>2053</v>
      </c>
      <c r="AI394" t="s">
        <v>67</v>
      </c>
      <c r="AJ394" t="s">
        <v>72</v>
      </c>
      <c r="AK394" s="3" t="s">
        <v>27</v>
      </c>
      <c r="AL394" s="3">
        <v>-23172.928950000001</v>
      </c>
      <c r="AN394" t="s">
        <v>2068</v>
      </c>
      <c r="AO394" t="s">
        <v>88</v>
      </c>
      <c r="AP394" t="s">
        <v>86</v>
      </c>
      <c r="AQ394" s="3">
        <v>9600</v>
      </c>
      <c r="AS394" t="s">
        <v>1829</v>
      </c>
      <c r="AT394" t="s">
        <v>88</v>
      </c>
      <c r="AU394" t="s">
        <v>271</v>
      </c>
      <c r="AV394" s="14">
        <v>14248</v>
      </c>
    </row>
    <row r="395" spans="1:48">
      <c r="A395" t="s">
        <v>2264</v>
      </c>
      <c r="B395" t="s">
        <v>15</v>
      </c>
      <c r="C395" t="s">
        <v>27</v>
      </c>
      <c r="D395" t="s">
        <v>20</v>
      </c>
      <c r="E395" s="14">
        <v>14070</v>
      </c>
      <c r="G395" t="s">
        <v>2264</v>
      </c>
      <c r="H395" t="s">
        <v>15</v>
      </c>
      <c r="I395" t="s">
        <v>27</v>
      </c>
      <c r="J395" t="s">
        <v>20</v>
      </c>
      <c r="K395" s="14">
        <v>16001.311299999999</v>
      </c>
      <c r="Z395" s="3"/>
      <c r="AC395"/>
      <c r="AE395" s="3"/>
      <c r="AH395" t="s">
        <v>2053</v>
      </c>
      <c r="AI395" t="s">
        <v>67</v>
      </c>
      <c r="AJ395" t="s">
        <v>113</v>
      </c>
      <c r="AK395" s="3" t="s">
        <v>27</v>
      </c>
      <c r="AL395" s="3">
        <v>-1749.9613138156999</v>
      </c>
      <c r="AN395" t="s">
        <v>2068</v>
      </c>
      <c r="AO395" t="s">
        <v>88</v>
      </c>
      <c r="AP395" t="s">
        <v>90</v>
      </c>
      <c r="AQ395" s="3">
        <v>29476.394400000001</v>
      </c>
      <c r="AS395" t="s">
        <v>1829</v>
      </c>
      <c r="AT395" t="s">
        <v>88</v>
      </c>
      <c r="AU395" t="s">
        <v>272</v>
      </c>
      <c r="AV395" s="14">
        <v>0</v>
      </c>
    </row>
    <row r="396" spans="1:48">
      <c r="A396" t="s">
        <v>2265</v>
      </c>
      <c r="B396" t="s">
        <v>15</v>
      </c>
      <c r="C396" t="s">
        <v>27</v>
      </c>
      <c r="D396" t="s">
        <v>20</v>
      </c>
      <c r="E396" s="14">
        <v>14720</v>
      </c>
      <c r="G396" t="s">
        <v>2265</v>
      </c>
      <c r="H396" t="s">
        <v>15</v>
      </c>
      <c r="I396" t="s">
        <v>27</v>
      </c>
      <c r="J396" t="s">
        <v>20</v>
      </c>
      <c r="K396" s="14">
        <v>15801.311299999999</v>
      </c>
      <c r="Z396" s="3"/>
      <c r="AC396"/>
      <c r="AE396" s="3"/>
      <c r="AH396" t="s">
        <v>2053</v>
      </c>
      <c r="AI396" t="s">
        <v>67</v>
      </c>
      <c r="AJ396" t="s">
        <v>108</v>
      </c>
      <c r="AK396" s="3" t="s">
        <v>27</v>
      </c>
      <c r="AL396" s="3">
        <v>101.7323638157</v>
      </c>
      <c r="AN396" t="s">
        <v>2069</v>
      </c>
      <c r="AO396" t="s">
        <v>88</v>
      </c>
      <c r="AP396" t="s">
        <v>86</v>
      </c>
      <c r="AQ396" s="3">
        <v>10000</v>
      </c>
      <c r="AS396" t="s">
        <v>1829</v>
      </c>
      <c r="AT396" t="s">
        <v>88</v>
      </c>
      <c r="AU396" t="s">
        <v>273</v>
      </c>
      <c r="AV396" s="14">
        <v>0</v>
      </c>
    </row>
    <row r="397" spans="1:48">
      <c r="A397" t="s">
        <v>2266</v>
      </c>
      <c r="B397" t="s">
        <v>15</v>
      </c>
      <c r="C397" t="s">
        <v>27</v>
      </c>
      <c r="D397" t="s">
        <v>20</v>
      </c>
      <c r="E397" s="14">
        <v>14770</v>
      </c>
      <c r="G397" t="s">
        <v>2266</v>
      </c>
      <c r="H397" t="s">
        <v>15</v>
      </c>
      <c r="I397" t="s">
        <v>27</v>
      </c>
      <c r="J397" t="s">
        <v>20</v>
      </c>
      <c r="K397" s="14">
        <v>15801.311299999999</v>
      </c>
      <c r="Z397" s="3"/>
      <c r="AC397"/>
      <c r="AE397" s="3"/>
      <c r="AH397" t="s">
        <v>2053</v>
      </c>
      <c r="AI397" t="s">
        <v>67</v>
      </c>
      <c r="AJ397" t="s">
        <v>98</v>
      </c>
      <c r="AK397" s="3" t="s">
        <v>27</v>
      </c>
      <c r="AL397" s="3">
        <v>101.7323638157</v>
      </c>
      <c r="AN397" t="s">
        <v>2069</v>
      </c>
      <c r="AO397" t="s">
        <v>88</v>
      </c>
      <c r="AP397" t="s">
        <v>90</v>
      </c>
      <c r="AQ397" s="3">
        <v>29471.394400000001</v>
      </c>
      <c r="AS397" t="s">
        <v>1829</v>
      </c>
      <c r="AT397" t="s">
        <v>196</v>
      </c>
      <c r="AU397" t="s">
        <v>197</v>
      </c>
      <c r="AV397" s="14">
        <v>7.3870661356377898</v>
      </c>
    </row>
    <row r="398" spans="1:48">
      <c r="A398" t="s">
        <v>2267</v>
      </c>
      <c r="B398" t="s">
        <v>15</v>
      </c>
      <c r="C398" t="s">
        <v>27</v>
      </c>
      <c r="D398" t="s">
        <v>20</v>
      </c>
      <c r="E398" s="14">
        <v>14870</v>
      </c>
      <c r="G398" t="s">
        <v>2267</v>
      </c>
      <c r="H398" t="s">
        <v>15</v>
      </c>
      <c r="I398" t="s">
        <v>27</v>
      </c>
      <c r="J398" t="s">
        <v>20</v>
      </c>
      <c r="K398" s="14">
        <v>15801.311299999999</v>
      </c>
      <c r="Z398" s="3"/>
      <c r="AC398"/>
      <c r="AE398" s="3"/>
      <c r="AH398" t="s">
        <v>2053</v>
      </c>
      <c r="AI398" t="s">
        <v>67</v>
      </c>
      <c r="AJ398" t="s">
        <v>66</v>
      </c>
      <c r="AK398" s="3" t="s">
        <v>114</v>
      </c>
      <c r="AL398" s="3">
        <v>650</v>
      </c>
      <c r="AN398" t="s">
        <v>2070</v>
      </c>
      <c r="AO398" t="s">
        <v>88</v>
      </c>
      <c r="AP398" t="s">
        <v>86</v>
      </c>
      <c r="AQ398" s="3">
        <v>10000</v>
      </c>
      <c r="AS398" t="s">
        <v>1829</v>
      </c>
      <c r="AT398" t="s">
        <v>196</v>
      </c>
      <c r="AU398" t="s">
        <v>109</v>
      </c>
      <c r="AV398" s="14">
        <v>6.2225834837437102</v>
      </c>
    </row>
    <row r="399" spans="1:48">
      <c r="A399" t="s">
        <v>2268</v>
      </c>
      <c r="B399" t="s">
        <v>15</v>
      </c>
      <c r="C399" t="s">
        <v>27</v>
      </c>
      <c r="D399" t="s">
        <v>20</v>
      </c>
      <c r="E399" s="14">
        <v>14870</v>
      </c>
      <c r="G399" t="s">
        <v>2268</v>
      </c>
      <c r="H399" t="s">
        <v>15</v>
      </c>
      <c r="I399" t="s">
        <v>27</v>
      </c>
      <c r="J399" t="s">
        <v>20</v>
      </c>
      <c r="K399" s="14">
        <v>15801.311299999999</v>
      </c>
      <c r="Z399" s="3"/>
      <c r="AC399"/>
      <c r="AE399" s="3"/>
      <c r="AH399" t="s">
        <v>2053</v>
      </c>
      <c r="AI399" t="s">
        <v>67</v>
      </c>
      <c r="AJ399" t="s">
        <v>98</v>
      </c>
      <c r="AK399" s="3" t="s">
        <v>114</v>
      </c>
      <c r="AL399" s="3">
        <v>-9.7395205478999998</v>
      </c>
      <c r="AN399" t="s">
        <v>2070</v>
      </c>
      <c r="AO399" t="s">
        <v>88</v>
      </c>
      <c r="AP399" t="s">
        <v>90</v>
      </c>
      <c r="AQ399" s="3">
        <v>28321.394400000001</v>
      </c>
      <c r="AS399" t="s">
        <v>1829</v>
      </c>
      <c r="AT399" t="s">
        <v>196</v>
      </c>
      <c r="AU399" t="s">
        <v>198</v>
      </c>
      <c r="AV399" s="14">
        <v>6.8144759378193998</v>
      </c>
    </row>
    <row r="400" spans="1:48">
      <c r="A400" t="s">
        <v>2269</v>
      </c>
      <c r="B400" t="s">
        <v>15</v>
      </c>
      <c r="C400" t="s">
        <v>27</v>
      </c>
      <c r="D400" t="s">
        <v>20</v>
      </c>
      <c r="E400" s="14">
        <v>14820</v>
      </c>
      <c r="G400" t="s">
        <v>2269</v>
      </c>
      <c r="H400" t="s">
        <v>15</v>
      </c>
      <c r="I400" t="s">
        <v>27</v>
      </c>
      <c r="J400" t="s">
        <v>20</v>
      </c>
      <c r="K400" s="14">
        <v>15801.311299999999</v>
      </c>
      <c r="Z400" s="3"/>
      <c r="AC400"/>
      <c r="AE400" s="3"/>
      <c r="AH400" t="s">
        <v>2053</v>
      </c>
      <c r="AI400" t="s">
        <v>67</v>
      </c>
      <c r="AJ400" t="s">
        <v>66</v>
      </c>
      <c r="AK400" s="3" t="s">
        <v>115</v>
      </c>
      <c r="AL400" s="3">
        <v>22174.7</v>
      </c>
      <c r="AN400" t="s">
        <v>2071</v>
      </c>
      <c r="AO400" t="s">
        <v>88</v>
      </c>
      <c r="AP400" t="s">
        <v>90</v>
      </c>
      <c r="AQ400" s="3">
        <v>28895.045399999999</v>
      </c>
      <c r="AS400" t="s">
        <v>1826</v>
      </c>
      <c r="AT400" t="s">
        <v>88</v>
      </c>
      <c r="AU400" t="s">
        <v>109</v>
      </c>
      <c r="AV400" s="14">
        <v>11201</v>
      </c>
    </row>
    <row r="401" spans="1:48">
      <c r="A401" t="s">
        <v>2270</v>
      </c>
      <c r="B401" t="s">
        <v>15</v>
      </c>
      <c r="C401" t="s">
        <v>27</v>
      </c>
      <c r="D401" t="s">
        <v>20</v>
      </c>
      <c r="E401" s="14">
        <v>14820</v>
      </c>
      <c r="G401" t="s">
        <v>2270</v>
      </c>
      <c r="H401" t="s">
        <v>15</v>
      </c>
      <c r="I401" t="s">
        <v>27</v>
      </c>
      <c r="J401" t="s">
        <v>20</v>
      </c>
      <c r="K401" s="14">
        <v>15401.311299999999</v>
      </c>
      <c r="Z401" s="3"/>
      <c r="AC401"/>
      <c r="AE401" s="3"/>
      <c r="AH401" t="s">
        <v>2053</v>
      </c>
      <c r="AI401" t="s">
        <v>67</v>
      </c>
      <c r="AJ401" t="s">
        <v>98</v>
      </c>
      <c r="AK401" s="3" t="s">
        <v>115</v>
      </c>
      <c r="AL401" s="3">
        <v>-111.4718843637</v>
      </c>
      <c r="AN401" t="s">
        <v>2071</v>
      </c>
      <c r="AO401" t="s">
        <v>88</v>
      </c>
      <c r="AP401" t="s">
        <v>86</v>
      </c>
      <c r="AQ401" s="3">
        <v>10000</v>
      </c>
      <c r="AS401" t="s">
        <v>1826</v>
      </c>
      <c r="AT401" t="s">
        <v>88</v>
      </c>
      <c r="AU401" t="s">
        <v>110</v>
      </c>
      <c r="AV401" s="14">
        <v>397.61059999999998</v>
      </c>
    </row>
    <row r="402" spans="1:48">
      <c r="A402" t="s">
        <v>2271</v>
      </c>
      <c r="B402" t="s">
        <v>15</v>
      </c>
      <c r="C402" t="s">
        <v>27</v>
      </c>
      <c r="D402" t="s">
        <v>20</v>
      </c>
      <c r="E402" s="14">
        <v>15320</v>
      </c>
      <c r="G402" t="s">
        <v>2271</v>
      </c>
      <c r="H402" t="s">
        <v>15</v>
      </c>
      <c r="I402" t="s">
        <v>27</v>
      </c>
      <c r="J402" t="s">
        <v>20</v>
      </c>
      <c r="K402" s="14">
        <v>15101.311299999999</v>
      </c>
      <c r="Z402" s="3"/>
      <c r="AC402"/>
      <c r="AE402" s="3"/>
      <c r="AH402" t="s">
        <v>2053</v>
      </c>
      <c r="AI402" t="s">
        <v>68</v>
      </c>
      <c r="AJ402" t="s">
        <v>66</v>
      </c>
      <c r="AK402" s="3" t="s">
        <v>27</v>
      </c>
      <c r="AL402" s="3">
        <v>1360</v>
      </c>
      <c r="AN402" t="s">
        <v>2072</v>
      </c>
      <c r="AO402" t="s">
        <v>88</v>
      </c>
      <c r="AP402" t="s">
        <v>86</v>
      </c>
      <c r="AQ402" s="3">
        <v>10000</v>
      </c>
      <c r="AS402" t="s">
        <v>1826</v>
      </c>
      <c r="AT402" t="s">
        <v>88</v>
      </c>
      <c r="AU402" t="s">
        <v>111</v>
      </c>
      <c r="AV402" s="14">
        <v>11800</v>
      </c>
    </row>
    <row r="403" spans="1:48">
      <c r="A403" t="s">
        <v>2272</v>
      </c>
      <c r="B403" t="s">
        <v>15</v>
      </c>
      <c r="C403" t="s">
        <v>27</v>
      </c>
      <c r="D403" t="s">
        <v>20</v>
      </c>
      <c r="E403" s="14">
        <v>15570</v>
      </c>
      <c r="G403" t="s">
        <v>2272</v>
      </c>
      <c r="H403" t="s">
        <v>15</v>
      </c>
      <c r="I403" t="s">
        <v>27</v>
      </c>
      <c r="J403" t="s">
        <v>20</v>
      </c>
      <c r="K403" s="14">
        <v>14751.311299999999</v>
      </c>
      <c r="Z403" s="3"/>
      <c r="AC403"/>
      <c r="AE403" s="3"/>
      <c r="AH403" t="s">
        <v>2053</v>
      </c>
      <c r="AI403" t="s">
        <v>68</v>
      </c>
      <c r="AJ403" t="s">
        <v>72</v>
      </c>
      <c r="AK403" s="3" t="s">
        <v>27</v>
      </c>
      <c r="AL403" s="3">
        <v>1277.4095</v>
      </c>
      <c r="AN403" t="s">
        <v>2072</v>
      </c>
      <c r="AO403" t="s">
        <v>88</v>
      </c>
      <c r="AP403" t="s">
        <v>90</v>
      </c>
      <c r="AQ403" s="3">
        <v>28019.101200000001</v>
      </c>
      <c r="AS403" t="s">
        <v>1826</v>
      </c>
      <c r="AT403" t="s">
        <v>88</v>
      </c>
      <c r="AU403" t="s">
        <v>268</v>
      </c>
      <c r="AV403" s="14">
        <v>0</v>
      </c>
    </row>
    <row r="404" spans="1:48">
      <c r="A404" t="s">
        <v>2273</v>
      </c>
      <c r="B404" t="s">
        <v>15</v>
      </c>
      <c r="C404" t="s">
        <v>27</v>
      </c>
      <c r="D404" t="s">
        <v>20</v>
      </c>
      <c r="E404" s="14">
        <v>15070</v>
      </c>
      <c r="G404" t="s">
        <v>2273</v>
      </c>
      <c r="H404" t="s">
        <v>15</v>
      </c>
      <c r="I404" t="s">
        <v>27</v>
      </c>
      <c r="J404" t="s">
        <v>20</v>
      </c>
      <c r="K404" s="14">
        <v>14751.311299999999</v>
      </c>
      <c r="Z404" s="3"/>
      <c r="AC404"/>
      <c r="AE404" s="3"/>
      <c r="AH404" t="s">
        <v>2053</v>
      </c>
      <c r="AI404" t="s">
        <v>68</v>
      </c>
      <c r="AJ404" t="s">
        <v>113</v>
      </c>
      <c r="AK404" s="3" t="s">
        <v>27</v>
      </c>
      <c r="AL404" s="3">
        <v>-25.311604649100001</v>
      </c>
      <c r="AN404" t="s">
        <v>2073</v>
      </c>
      <c r="AO404" t="s">
        <v>88</v>
      </c>
      <c r="AP404" t="s">
        <v>86</v>
      </c>
      <c r="AQ404" s="3">
        <v>10000</v>
      </c>
      <c r="AS404" t="s">
        <v>1826</v>
      </c>
      <c r="AT404" t="s">
        <v>88</v>
      </c>
      <c r="AU404" t="s">
        <v>269</v>
      </c>
      <c r="AV404" s="14">
        <v>0</v>
      </c>
    </row>
    <row r="405" spans="1:48">
      <c r="A405" t="s">
        <v>2274</v>
      </c>
      <c r="B405" t="s">
        <v>15</v>
      </c>
      <c r="C405" t="s">
        <v>27</v>
      </c>
      <c r="D405" t="s">
        <v>20</v>
      </c>
      <c r="E405" s="14">
        <v>15145</v>
      </c>
      <c r="G405" t="s">
        <v>2274</v>
      </c>
      <c r="H405" t="s">
        <v>15</v>
      </c>
      <c r="I405" t="s">
        <v>27</v>
      </c>
      <c r="J405" t="s">
        <v>20</v>
      </c>
      <c r="K405" s="14">
        <v>14001.311299999999</v>
      </c>
      <c r="Z405" s="3"/>
      <c r="AC405"/>
      <c r="AE405" s="3"/>
      <c r="AH405" t="s">
        <v>2053</v>
      </c>
      <c r="AI405" t="s">
        <v>68</v>
      </c>
      <c r="AJ405" t="s">
        <v>108</v>
      </c>
      <c r="AK405" s="3" t="s">
        <v>27</v>
      </c>
      <c r="AL405" s="3">
        <v>-57.278895350900001</v>
      </c>
      <c r="AN405" t="s">
        <v>2073</v>
      </c>
      <c r="AO405" t="s">
        <v>88</v>
      </c>
      <c r="AP405" t="s">
        <v>90</v>
      </c>
      <c r="AQ405" s="3">
        <v>27269.101200000001</v>
      </c>
      <c r="AS405" t="s">
        <v>1826</v>
      </c>
      <c r="AT405" t="s">
        <v>88</v>
      </c>
      <c r="AU405" t="s">
        <v>270</v>
      </c>
      <c r="AV405" s="14">
        <v>0</v>
      </c>
    </row>
    <row r="406" spans="1:48">
      <c r="A406" t="s">
        <v>2275</v>
      </c>
      <c r="B406" t="s">
        <v>15</v>
      </c>
      <c r="C406" t="s">
        <v>27</v>
      </c>
      <c r="D406" t="s">
        <v>20</v>
      </c>
      <c r="E406" s="14">
        <v>15395</v>
      </c>
      <c r="G406" t="s">
        <v>2275</v>
      </c>
      <c r="H406" t="s">
        <v>15</v>
      </c>
      <c r="I406" t="s">
        <v>27</v>
      </c>
      <c r="J406" t="s">
        <v>20</v>
      </c>
      <c r="K406" s="14">
        <v>14001.311299999999</v>
      </c>
      <c r="Z406" s="3"/>
      <c r="AC406"/>
      <c r="AE406" s="3"/>
      <c r="AH406" t="s">
        <v>2053</v>
      </c>
      <c r="AI406" t="s">
        <v>68</v>
      </c>
      <c r="AJ406" t="s">
        <v>98</v>
      </c>
      <c r="AK406" s="3" t="s">
        <v>27</v>
      </c>
      <c r="AL406" s="3">
        <v>-57.278895350900001</v>
      </c>
      <c r="AN406" t="s">
        <v>2074</v>
      </c>
      <c r="AO406" t="s">
        <v>88</v>
      </c>
      <c r="AP406" t="s">
        <v>86</v>
      </c>
      <c r="AQ406" s="3">
        <v>10397.6106</v>
      </c>
      <c r="AS406" t="s">
        <v>1826</v>
      </c>
      <c r="AT406" t="s">
        <v>88</v>
      </c>
      <c r="AU406" t="s">
        <v>271</v>
      </c>
      <c r="AV406" s="14">
        <v>14249</v>
      </c>
    </row>
    <row r="407" spans="1:48">
      <c r="A407" t="s">
        <v>2276</v>
      </c>
      <c r="B407" t="s">
        <v>15</v>
      </c>
      <c r="C407" t="s">
        <v>27</v>
      </c>
      <c r="D407" t="s">
        <v>20</v>
      </c>
      <c r="E407" s="14">
        <v>15140</v>
      </c>
      <c r="G407" t="s">
        <v>2276</v>
      </c>
      <c r="H407" t="s">
        <v>15</v>
      </c>
      <c r="I407" t="s">
        <v>27</v>
      </c>
      <c r="J407" t="s">
        <v>20</v>
      </c>
      <c r="K407" s="14">
        <v>13001.311299999999</v>
      </c>
      <c r="Z407" s="3"/>
      <c r="AC407"/>
      <c r="AE407" s="3"/>
      <c r="AH407" t="s">
        <v>2053</v>
      </c>
      <c r="AI407" t="s">
        <v>68</v>
      </c>
      <c r="AJ407" t="s">
        <v>66</v>
      </c>
      <c r="AK407" s="3" t="s">
        <v>114</v>
      </c>
      <c r="AL407" s="3">
        <v>3414.4</v>
      </c>
      <c r="AN407" t="s">
        <v>2074</v>
      </c>
      <c r="AO407" t="s">
        <v>88</v>
      </c>
      <c r="AP407" t="s">
        <v>90</v>
      </c>
      <c r="AQ407" s="3">
        <v>26021.4774</v>
      </c>
      <c r="AS407" t="s">
        <v>1826</v>
      </c>
      <c r="AT407" t="s">
        <v>88</v>
      </c>
      <c r="AU407" t="s">
        <v>272</v>
      </c>
      <c r="AV407" s="14">
        <v>0</v>
      </c>
    </row>
    <row r="408" spans="1:48">
      <c r="A408" t="s">
        <v>2277</v>
      </c>
      <c r="B408" t="s">
        <v>15</v>
      </c>
      <c r="C408" t="s">
        <v>27</v>
      </c>
      <c r="D408" t="s">
        <v>20</v>
      </c>
      <c r="E408" s="14">
        <v>15620</v>
      </c>
      <c r="G408" t="s">
        <v>2277</v>
      </c>
      <c r="H408" t="s">
        <v>15</v>
      </c>
      <c r="I408" t="s">
        <v>27</v>
      </c>
      <c r="J408" t="s">
        <v>20</v>
      </c>
      <c r="K408" s="14">
        <v>13001.311299999999</v>
      </c>
      <c r="Z408" s="3"/>
      <c r="AC408"/>
      <c r="AE408" s="3"/>
      <c r="AH408" t="s">
        <v>2053</v>
      </c>
      <c r="AI408" t="s">
        <v>68</v>
      </c>
      <c r="AJ408" t="s">
        <v>98</v>
      </c>
      <c r="AK408" s="3" t="s">
        <v>114</v>
      </c>
      <c r="AL408" s="3">
        <v>-156.62913482190001</v>
      </c>
      <c r="AN408" t="s">
        <v>2075</v>
      </c>
      <c r="AO408" t="s">
        <v>88</v>
      </c>
      <c r="AP408" t="s">
        <v>86</v>
      </c>
      <c r="AQ408" s="3">
        <v>10397.6106</v>
      </c>
      <c r="AS408" t="s">
        <v>1826</v>
      </c>
      <c r="AT408" t="s">
        <v>88</v>
      </c>
      <c r="AU408" t="s">
        <v>273</v>
      </c>
      <c r="AV408" s="14">
        <v>0</v>
      </c>
    </row>
    <row r="409" spans="1:48">
      <c r="A409" t="s">
        <v>2278</v>
      </c>
      <c r="B409" t="s">
        <v>15</v>
      </c>
      <c r="C409" t="s">
        <v>27</v>
      </c>
      <c r="D409" t="s">
        <v>20</v>
      </c>
      <c r="E409" s="14">
        <v>16520</v>
      </c>
      <c r="G409" t="s">
        <v>2278</v>
      </c>
      <c r="H409" t="s">
        <v>15</v>
      </c>
      <c r="I409" t="s">
        <v>27</v>
      </c>
      <c r="J409" t="s">
        <v>20</v>
      </c>
      <c r="K409" s="14">
        <v>13001.311299999999</v>
      </c>
      <c r="Z409" s="3"/>
      <c r="AC409"/>
      <c r="AE409" s="3"/>
      <c r="AH409" t="s">
        <v>2053</v>
      </c>
      <c r="AI409" t="s">
        <v>68</v>
      </c>
      <c r="AJ409" t="s">
        <v>66</v>
      </c>
      <c r="AK409" s="3" t="s">
        <v>115</v>
      </c>
      <c r="AL409" s="3">
        <v>2054.4</v>
      </c>
      <c r="AN409" t="s">
        <v>2075</v>
      </c>
      <c r="AO409" t="s">
        <v>88</v>
      </c>
      <c r="AP409" t="s">
        <v>90</v>
      </c>
      <c r="AQ409" s="3">
        <v>25421.4774</v>
      </c>
      <c r="AS409" t="s">
        <v>1826</v>
      </c>
      <c r="AT409" t="s">
        <v>196</v>
      </c>
      <c r="AU409" t="s">
        <v>197</v>
      </c>
      <c r="AV409" s="14">
        <v>7.3870661356377898</v>
      </c>
    </row>
    <row r="410" spans="1:48">
      <c r="A410" t="s">
        <v>2279</v>
      </c>
      <c r="B410" t="s">
        <v>15</v>
      </c>
      <c r="C410" t="s">
        <v>27</v>
      </c>
      <c r="D410" t="s">
        <v>20</v>
      </c>
      <c r="E410" s="14">
        <v>16070</v>
      </c>
      <c r="G410" t="s">
        <v>2279</v>
      </c>
      <c r="H410" t="s">
        <v>15</v>
      </c>
      <c r="I410" t="s">
        <v>27</v>
      </c>
      <c r="J410" t="s">
        <v>20</v>
      </c>
      <c r="K410" s="14">
        <v>13001.311299999999</v>
      </c>
      <c r="Z410" s="3"/>
      <c r="AC410"/>
      <c r="AE410" s="3"/>
      <c r="AH410" t="s">
        <v>2053</v>
      </c>
      <c r="AI410" t="s">
        <v>68</v>
      </c>
      <c r="AJ410" t="s">
        <v>98</v>
      </c>
      <c r="AK410" s="3" t="s">
        <v>115</v>
      </c>
      <c r="AL410" s="3">
        <v>-99.350239470999995</v>
      </c>
      <c r="AN410" t="s">
        <v>2076</v>
      </c>
      <c r="AO410" t="s">
        <v>88</v>
      </c>
      <c r="AP410" t="s">
        <v>86</v>
      </c>
      <c r="AQ410" s="3">
        <v>10397.6106</v>
      </c>
      <c r="AS410" t="s">
        <v>1826</v>
      </c>
      <c r="AT410" t="s">
        <v>196</v>
      </c>
      <c r="AU410" t="s">
        <v>109</v>
      </c>
      <c r="AV410" s="14">
        <v>6.2259601392422299</v>
      </c>
    </row>
    <row r="411" spans="1:48">
      <c r="A411" t="s">
        <v>2280</v>
      </c>
      <c r="B411" t="s">
        <v>15</v>
      </c>
      <c r="C411" t="s">
        <v>27</v>
      </c>
      <c r="D411" t="s">
        <v>20</v>
      </c>
      <c r="E411" s="14">
        <v>16320</v>
      </c>
      <c r="G411" t="s">
        <v>2280</v>
      </c>
      <c r="H411" t="s">
        <v>15</v>
      </c>
      <c r="I411" t="s">
        <v>27</v>
      </c>
      <c r="J411" t="s">
        <v>20</v>
      </c>
      <c r="K411" s="14">
        <v>13001.311299999999</v>
      </c>
      <c r="Z411" s="3"/>
      <c r="AC411"/>
      <c r="AE411" s="3"/>
      <c r="AH411" t="s">
        <v>2053</v>
      </c>
      <c r="AI411" t="s">
        <v>800</v>
      </c>
      <c r="AJ411" t="s">
        <v>31</v>
      </c>
      <c r="AK411" s="3" t="s">
        <v>27</v>
      </c>
      <c r="AL411" s="3">
        <v>4.0028774533</v>
      </c>
      <c r="AN411" t="s">
        <v>2076</v>
      </c>
      <c r="AO411" t="s">
        <v>88</v>
      </c>
      <c r="AP411" t="s">
        <v>90</v>
      </c>
      <c r="AQ411" s="3">
        <v>25821.4774</v>
      </c>
      <c r="AS411" t="s">
        <v>1826</v>
      </c>
      <c r="AT411" t="s">
        <v>196</v>
      </c>
      <c r="AU411" t="s">
        <v>198</v>
      </c>
      <c r="AV411" s="14">
        <v>6.8161560193994397</v>
      </c>
    </row>
    <row r="412" spans="1:48">
      <c r="A412" t="s">
        <v>2281</v>
      </c>
      <c r="B412" t="s">
        <v>15</v>
      </c>
      <c r="C412" t="s">
        <v>27</v>
      </c>
      <c r="D412" t="s">
        <v>20</v>
      </c>
      <c r="E412" s="14">
        <v>16120</v>
      </c>
      <c r="G412" t="s">
        <v>2281</v>
      </c>
      <c r="H412" t="s">
        <v>15</v>
      </c>
      <c r="I412" t="s">
        <v>27</v>
      </c>
      <c r="J412" t="s">
        <v>20</v>
      </c>
      <c r="K412" s="14">
        <v>13001.311299999999</v>
      </c>
      <c r="Z412" s="3"/>
      <c r="AC412"/>
      <c r="AE412" s="3"/>
      <c r="AH412" t="s">
        <v>2044</v>
      </c>
      <c r="AI412" t="s">
        <v>65</v>
      </c>
      <c r="AJ412" t="s">
        <v>66</v>
      </c>
      <c r="AK412" s="3" t="s">
        <v>27</v>
      </c>
      <c r="AL412" s="3">
        <v>38691.699999999997</v>
      </c>
      <c r="AN412" t="s">
        <v>2077</v>
      </c>
      <c r="AO412" t="s">
        <v>88</v>
      </c>
      <c r="AP412" t="s">
        <v>86</v>
      </c>
      <c r="AQ412" s="3">
        <v>11397.6106</v>
      </c>
      <c r="AS412" t="s">
        <v>1825</v>
      </c>
      <c r="AT412" t="s">
        <v>88</v>
      </c>
      <c r="AU412" t="s">
        <v>109</v>
      </c>
      <c r="AV412" s="14">
        <v>13676</v>
      </c>
    </row>
    <row r="413" spans="1:48">
      <c r="A413" t="s">
        <v>2282</v>
      </c>
      <c r="B413" t="s">
        <v>15</v>
      </c>
      <c r="C413" t="s">
        <v>27</v>
      </c>
      <c r="D413" t="s">
        <v>20</v>
      </c>
      <c r="E413" s="14">
        <v>15820</v>
      </c>
      <c r="G413" t="s">
        <v>2282</v>
      </c>
      <c r="H413" t="s">
        <v>15</v>
      </c>
      <c r="I413" t="s">
        <v>27</v>
      </c>
      <c r="J413" t="s">
        <v>20</v>
      </c>
      <c r="K413" s="14">
        <v>13001.311299999999</v>
      </c>
      <c r="Z413" s="3"/>
      <c r="AC413"/>
      <c r="AE413" s="3"/>
      <c r="AH413" t="s">
        <v>2044</v>
      </c>
      <c r="AI413" t="s">
        <v>65</v>
      </c>
      <c r="AJ413" t="s">
        <v>72</v>
      </c>
      <c r="AK413" s="3" t="s">
        <v>27</v>
      </c>
      <c r="AL413" s="3">
        <v>39382.820910000002</v>
      </c>
      <c r="AN413" t="s">
        <v>2077</v>
      </c>
      <c r="AO413" t="s">
        <v>88</v>
      </c>
      <c r="AP413" t="s">
        <v>90</v>
      </c>
      <c r="AQ413" s="3">
        <v>22681.4774</v>
      </c>
      <c r="AS413" t="s">
        <v>1825</v>
      </c>
      <c r="AT413" t="s">
        <v>88</v>
      </c>
      <c r="AU413" t="s">
        <v>110</v>
      </c>
      <c r="AV413" s="14">
        <v>397.61059999999998</v>
      </c>
    </row>
    <row r="414" spans="1:48">
      <c r="A414" t="s">
        <v>2283</v>
      </c>
      <c r="B414" t="s">
        <v>15</v>
      </c>
      <c r="C414" t="s">
        <v>27</v>
      </c>
      <c r="D414" t="s">
        <v>20</v>
      </c>
      <c r="E414" s="14">
        <v>15870</v>
      </c>
      <c r="G414" t="s">
        <v>2283</v>
      </c>
      <c r="H414" t="s">
        <v>15</v>
      </c>
      <c r="I414" t="s">
        <v>27</v>
      </c>
      <c r="J414" t="s">
        <v>20</v>
      </c>
      <c r="K414" s="14">
        <v>13001.311299999999</v>
      </c>
      <c r="Z414" s="3"/>
      <c r="AC414"/>
      <c r="AE414" s="3"/>
      <c r="AH414" t="s">
        <v>2044</v>
      </c>
      <c r="AI414" t="s">
        <v>65</v>
      </c>
      <c r="AJ414" t="s">
        <v>113</v>
      </c>
      <c r="AK414" s="3" t="s">
        <v>27</v>
      </c>
      <c r="AL414" s="3">
        <v>2389.5852620085998</v>
      </c>
      <c r="AN414" t="s">
        <v>2078</v>
      </c>
      <c r="AO414" t="s">
        <v>88</v>
      </c>
      <c r="AP414" t="s">
        <v>86</v>
      </c>
      <c r="AQ414" s="3">
        <v>11397.6106</v>
      </c>
      <c r="AS414" t="s">
        <v>1825</v>
      </c>
      <c r="AT414" t="s">
        <v>88</v>
      </c>
      <c r="AU414" t="s">
        <v>111</v>
      </c>
      <c r="AV414" s="14">
        <v>11800</v>
      </c>
    </row>
    <row r="415" spans="1:48">
      <c r="A415" t="s">
        <v>2284</v>
      </c>
      <c r="B415" t="s">
        <v>15</v>
      </c>
      <c r="C415" t="s">
        <v>27</v>
      </c>
      <c r="D415" t="s">
        <v>20</v>
      </c>
      <c r="E415" s="14">
        <v>15620</v>
      </c>
      <c r="G415" t="s">
        <v>2284</v>
      </c>
      <c r="H415" t="s">
        <v>15</v>
      </c>
      <c r="I415" t="s">
        <v>27</v>
      </c>
      <c r="J415" t="s">
        <v>20</v>
      </c>
      <c r="K415" s="14">
        <v>13001.311299999999</v>
      </c>
      <c r="Z415" s="3"/>
      <c r="AC415"/>
      <c r="AE415" s="3"/>
      <c r="AH415" t="s">
        <v>2044</v>
      </c>
      <c r="AI415" t="s">
        <v>65</v>
      </c>
      <c r="AJ415" t="s">
        <v>108</v>
      </c>
      <c r="AK415" s="3" t="s">
        <v>27</v>
      </c>
      <c r="AL415" s="3">
        <v>-1698.4643520085999</v>
      </c>
      <c r="AN415" t="s">
        <v>2078</v>
      </c>
      <c r="AO415" t="s">
        <v>88</v>
      </c>
      <c r="AP415" t="s">
        <v>90</v>
      </c>
      <c r="AQ415" s="3">
        <v>26681.4774</v>
      </c>
      <c r="AS415" t="s">
        <v>1825</v>
      </c>
      <c r="AT415" t="s">
        <v>88</v>
      </c>
      <c r="AU415" t="s">
        <v>268</v>
      </c>
      <c r="AV415" s="14">
        <v>0</v>
      </c>
    </row>
    <row r="416" spans="1:48">
      <c r="A416" t="s">
        <v>2285</v>
      </c>
      <c r="B416" t="s">
        <v>15</v>
      </c>
      <c r="C416" t="s">
        <v>27</v>
      </c>
      <c r="D416" t="s">
        <v>20</v>
      </c>
      <c r="E416" s="14">
        <v>15720</v>
      </c>
      <c r="G416" t="s">
        <v>2285</v>
      </c>
      <c r="H416" t="s">
        <v>15</v>
      </c>
      <c r="I416" t="s">
        <v>27</v>
      </c>
      <c r="J416" t="s">
        <v>20</v>
      </c>
      <c r="K416" s="14">
        <v>13001.311299999999</v>
      </c>
      <c r="Z416" s="3"/>
      <c r="AC416"/>
      <c r="AE416" s="3"/>
      <c r="AH416" t="s">
        <v>2044</v>
      </c>
      <c r="AI416" t="s">
        <v>65</v>
      </c>
      <c r="AJ416" t="s">
        <v>98</v>
      </c>
      <c r="AK416" s="3" t="s">
        <v>27</v>
      </c>
      <c r="AL416" s="3">
        <v>-1698.4643520085999</v>
      </c>
      <c r="AN416" t="s">
        <v>2079</v>
      </c>
      <c r="AO416" t="s">
        <v>88</v>
      </c>
      <c r="AP416" t="s">
        <v>86</v>
      </c>
      <c r="AQ416" s="3">
        <v>11397.6106</v>
      </c>
      <c r="AS416" t="s">
        <v>1825</v>
      </c>
      <c r="AT416" t="s">
        <v>88</v>
      </c>
      <c r="AU416" t="s">
        <v>269</v>
      </c>
      <c r="AV416" s="14">
        <v>0</v>
      </c>
    </row>
    <row r="417" spans="1:48">
      <c r="A417" t="s">
        <v>2286</v>
      </c>
      <c r="B417" t="s">
        <v>15</v>
      </c>
      <c r="C417" t="s">
        <v>27</v>
      </c>
      <c r="D417" t="s">
        <v>20</v>
      </c>
      <c r="E417" s="14">
        <v>15720</v>
      </c>
      <c r="G417" t="s">
        <v>2286</v>
      </c>
      <c r="H417" t="s">
        <v>15</v>
      </c>
      <c r="I417" t="s">
        <v>27</v>
      </c>
      <c r="J417" t="s">
        <v>20</v>
      </c>
      <c r="K417" s="14">
        <v>13001.311299999999</v>
      </c>
      <c r="Z417" s="3"/>
      <c r="AC417"/>
      <c r="AE417" s="3"/>
      <c r="AH417" t="s">
        <v>2044</v>
      </c>
      <c r="AI417" t="s">
        <v>67</v>
      </c>
      <c r="AJ417" t="s">
        <v>66</v>
      </c>
      <c r="AK417" s="3" t="s">
        <v>27</v>
      </c>
      <c r="AL417" s="3">
        <v>-22858.7</v>
      </c>
      <c r="AN417" t="s">
        <v>2079</v>
      </c>
      <c r="AO417" t="s">
        <v>88</v>
      </c>
      <c r="AP417" t="s">
        <v>90</v>
      </c>
      <c r="AQ417" s="3">
        <v>24931.4774</v>
      </c>
      <c r="AS417" t="s">
        <v>1825</v>
      </c>
      <c r="AT417" t="s">
        <v>88</v>
      </c>
      <c r="AU417" t="s">
        <v>270</v>
      </c>
      <c r="AV417" s="14">
        <v>0</v>
      </c>
    </row>
    <row r="418" spans="1:48">
      <c r="A418" t="s">
        <v>2287</v>
      </c>
      <c r="B418" t="s">
        <v>15</v>
      </c>
      <c r="C418" t="s">
        <v>27</v>
      </c>
      <c r="D418" t="s">
        <v>20</v>
      </c>
      <c r="E418" s="14">
        <v>15520</v>
      </c>
      <c r="G418" t="s">
        <v>2287</v>
      </c>
      <c r="H418" t="s">
        <v>15</v>
      </c>
      <c r="I418" t="s">
        <v>27</v>
      </c>
      <c r="J418" t="s">
        <v>20</v>
      </c>
      <c r="K418" s="14">
        <v>13001.311299999999</v>
      </c>
      <c r="Z418" s="3"/>
      <c r="AC418"/>
      <c r="AE418" s="3"/>
      <c r="AH418" t="s">
        <v>2044</v>
      </c>
      <c r="AI418" t="s">
        <v>67</v>
      </c>
      <c r="AJ418" t="s">
        <v>72</v>
      </c>
      <c r="AK418" s="3" t="s">
        <v>27</v>
      </c>
      <c r="AL418" s="3">
        <v>-24925.311030000001</v>
      </c>
      <c r="AN418" t="s">
        <v>2080</v>
      </c>
      <c r="AO418" t="s">
        <v>88</v>
      </c>
      <c r="AP418" t="s">
        <v>86</v>
      </c>
      <c r="AQ418" s="3">
        <v>11397.6106</v>
      </c>
      <c r="AS418" t="s">
        <v>1825</v>
      </c>
      <c r="AT418" t="s">
        <v>88</v>
      </c>
      <c r="AU418" t="s">
        <v>271</v>
      </c>
      <c r="AV418" s="14">
        <v>11774</v>
      </c>
    </row>
    <row r="419" spans="1:48">
      <c r="A419" t="s">
        <v>2288</v>
      </c>
      <c r="B419" t="s">
        <v>15</v>
      </c>
      <c r="C419" t="s">
        <v>27</v>
      </c>
      <c r="D419" t="s">
        <v>20</v>
      </c>
      <c r="E419" s="14">
        <v>15520</v>
      </c>
      <c r="G419" t="s">
        <v>2288</v>
      </c>
      <c r="H419" t="s">
        <v>15</v>
      </c>
      <c r="I419" t="s">
        <v>27</v>
      </c>
      <c r="J419" t="s">
        <v>20</v>
      </c>
      <c r="K419" s="14">
        <v>13001.311299999999</v>
      </c>
      <c r="Z419" s="3"/>
      <c r="AC419"/>
      <c r="AE419" s="3"/>
      <c r="AH419" t="s">
        <v>2044</v>
      </c>
      <c r="AI419" t="s">
        <v>67</v>
      </c>
      <c r="AJ419" t="s">
        <v>113</v>
      </c>
      <c r="AK419" s="3" t="s">
        <v>27</v>
      </c>
      <c r="AL419" s="3">
        <v>-2180.9161457001001</v>
      </c>
      <c r="AN419" t="s">
        <v>2080</v>
      </c>
      <c r="AO419" t="s">
        <v>88</v>
      </c>
      <c r="AP419" t="s">
        <v>90</v>
      </c>
      <c r="AQ419" s="3">
        <v>24381.4774</v>
      </c>
      <c r="AS419" t="s">
        <v>1825</v>
      </c>
      <c r="AT419" t="s">
        <v>88</v>
      </c>
      <c r="AU419" t="s">
        <v>272</v>
      </c>
      <c r="AV419" s="14">
        <v>0</v>
      </c>
    </row>
    <row r="420" spans="1:48">
      <c r="A420" t="s">
        <v>2289</v>
      </c>
      <c r="B420" t="s">
        <v>15</v>
      </c>
      <c r="C420" t="s">
        <v>27</v>
      </c>
      <c r="D420" t="s">
        <v>20</v>
      </c>
      <c r="E420" s="14">
        <v>15120</v>
      </c>
      <c r="G420" t="s">
        <v>2289</v>
      </c>
      <c r="H420" t="s">
        <v>15</v>
      </c>
      <c r="I420" t="s">
        <v>27</v>
      </c>
      <c r="J420" t="s">
        <v>20</v>
      </c>
      <c r="K420" s="14">
        <v>13001.311299999999</v>
      </c>
      <c r="Z420" s="3"/>
      <c r="AC420"/>
      <c r="AE420" s="3"/>
      <c r="AH420" t="s">
        <v>2044</v>
      </c>
      <c r="AI420" t="s">
        <v>67</v>
      </c>
      <c r="AJ420" t="s">
        <v>108</v>
      </c>
      <c r="AK420" s="3" t="s">
        <v>27</v>
      </c>
      <c r="AL420" s="3">
        <v>114.3051157001</v>
      </c>
      <c r="AN420" t="s">
        <v>2081</v>
      </c>
      <c r="AO420" t="s">
        <v>88</v>
      </c>
      <c r="AP420" t="s">
        <v>86</v>
      </c>
      <c r="AQ420" s="3">
        <v>11397.6106</v>
      </c>
      <c r="AS420" t="s">
        <v>1825</v>
      </c>
      <c r="AT420" t="s">
        <v>88</v>
      </c>
      <c r="AU420" t="s">
        <v>273</v>
      </c>
      <c r="AV420" s="14">
        <v>0</v>
      </c>
    </row>
    <row r="421" spans="1:48">
      <c r="A421" t="s">
        <v>2290</v>
      </c>
      <c r="B421" t="s">
        <v>15</v>
      </c>
      <c r="C421" t="s">
        <v>27</v>
      </c>
      <c r="D421" t="s">
        <v>20</v>
      </c>
      <c r="E421" s="14">
        <v>15120</v>
      </c>
      <c r="G421" t="s">
        <v>2290</v>
      </c>
      <c r="H421" t="s">
        <v>15</v>
      </c>
      <c r="I421" t="s">
        <v>27</v>
      </c>
      <c r="J421" t="s">
        <v>20</v>
      </c>
      <c r="K421" s="14">
        <v>13001.311299999999</v>
      </c>
      <c r="Z421" s="3"/>
      <c r="AC421"/>
      <c r="AE421" s="3"/>
      <c r="AH421" t="s">
        <v>2044</v>
      </c>
      <c r="AI421" t="s">
        <v>67</v>
      </c>
      <c r="AJ421" t="s">
        <v>98</v>
      </c>
      <c r="AK421" s="3" t="s">
        <v>27</v>
      </c>
      <c r="AL421" s="3">
        <v>114.3051157001</v>
      </c>
      <c r="AN421" t="s">
        <v>2081</v>
      </c>
      <c r="AO421" t="s">
        <v>88</v>
      </c>
      <c r="AP421" t="s">
        <v>90</v>
      </c>
      <c r="AQ421" s="3">
        <v>24881.4774</v>
      </c>
      <c r="AS421" t="s">
        <v>1825</v>
      </c>
      <c r="AT421" t="s">
        <v>196</v>
      </c>
      <c r="AU421" t="s">
        <v>197</v>
      </c>
      <c r="AV421" s="14">
        <v>7.3870661356377898</v>
      </c>
    </row>
    <row r="422" spans="1:48">
      <c r="A422" t="s">
        <v>2291</v>
      </c>
      <c r="B422" t="s">
        <v>15</v>
      </c>
      <c r="C422" t="s">
        <v>27</v>
      </c>
      <c r="D422" t="s">
        <v>20</v>
      </c>
      <c r="E422" s="14">
        <v>14940</v>
      </c>
      <c r="G422" t="s">
        <v>2291</v>
      </c>
      <c r="H422" t="s">
        <v>15</v>
      </c>
      <c r="I422" t="s">
        <v>27</v>
      </c>
      <c r="J422" t="s">
        <v>20</v>
      </c>
      <c r="K422" s="14">
        <v>13001.311299999999</v>
      </c>
      <c r="Z422" s="3"/>
      <c r="AC422"/>
      <c r="AE422" s="3"/>
      <c r="AH422" t="s">
        <v>2044</v>
      </c>
      <c r="AI422" t="s">
        <v>67</v>
      </c>
      <c r="AJ422" t="s">
        <v>66</v>
      </c>
      <c r="AK422" s="3" t="s">
        <v>114</v>
      </c>
      <c r="AL422" s="3">
        <v>136</v>
      </c>
      <c r="AN422" t="s">
        <v>2082</v>
      </c>
      <c r="AO422" t="s">
        <v>88</v>
      </c>
      <c r="AP422" t="s">
        <v>90</v>
      </c>
      <c r="AQ422" s="3">
        <v>22181.4774</v>
      </c>
      <c r="AS422" t="s">
        <v>1825</v>
      </c>
      <c r="AT422" t="s">
        <v>196</v>
      </c>
      <c r="AU422" t="s">
        <v>109</v>
      </c>
      <c r="AV422" s="14">
        <v>6.1250473774452701</v>
      </c>
    </row>
    <row r="423" spans="1:48">
      <c r="A423" t="s">
        <v>2292</v>
      </c>
      <c r="B423" t="s">
        <v>15</v>
      </c>
      <c r="C423" t="s">
        <v>27</v>
      </c>
      <c r="D423" t="s">
        <v>20</v>
      </c>
      <c r="E423" s="14">
        <v>15120</v>
      </c>
      <c r="G423" t="s">
        <v>2292</v>
      </c>
      <c r="H423" t="s">
        <v>15</v>
      </c>
      <c r="I423" t="s">
        <v>27</v>
      </c>
      <c r="J423" t="s">
        <v>20</v>
      </c>
      <c r="K423" s="14">
        <v>13001.311299999999</v>
      </c>
      <c r="Z423" s="3"/>
      <c r="AC423"/>
      <c r="AE423" s="3"/>
      <c r="AH423" t="s">
        <v>2044</v>
      </c>
      <c r="AI423" t="s">
        <v>67</v>
      </c>
      <c r="AJ423" t="s">
        <v>98</v>
      </c>
      <c r="AK423" s="3" t="s">
        <v>114</v>
      </c>
      <c r="AL423" s="3">
        <v>-5.8259243836000003</v>
      </c>
      <c r="AN423" t="s">
        <v>2082</v>
      </c>
      <c r="AO423" t="s">
        <v>88</v>
      </c>
      <c r="AP423" t="s">
        <v>86</v>
      </c>
      <c r="AQ423" s="3">
        <v>11397.6106</v>
      </c>
      <c r="AS423" t="s">
        <v>1825</v>
      </c>
      <c r="AT423" t="s">
        <v>196</v>
      </c>
      <c r="AU423" t="s">
        <v>198</v>
      </c>
      <c r="AV423" s="14">
        <v>6.7174950316128799</v>
      </c>
    </row>
    <row r="424" spans="1:48">
      <c r="A424" t="s">
        <v>2293</v>
      </c>
      <c r="B424" t="s">
        <v>15</v>
      </c>
      <c r="C424" t="s">
        <v>27</v>
      </c>
      <c r="D424" t="s">
        <v>20</v>
      </c>
      <c r="E424" s="14">
        <v>15270</v>
      </c>
      <c r="G424" t="s">
        <v>2293</v>
      </c>
      <c r="H424" t="s">
        <v>15</v>
      </c>
      <c r="I424" t="s">
        <v>27</v>
      </c>
      <c r="J424" t="s">
        <v>20</v>
      </c>
      <c r="K424" s="14">
        <v>13001.311299999999</v>
      </c>
      <c r="Z424" s="3"/>
      <c r="AC424"/>
      <c r="AE424" s="3"/>
      <c r="AH424" t="s">
        <v>2044</v>
      </c>
      <c r="AI424" t="s">
        <v>67</v>
      </c>
      <c r="AJ424" t="s">
        <v>66</v>
      </c>
      <c r="AK424" s="3" t="s">
        <v>115</v>
      </c>
      <c r="AL424" s="3">
        <v>22994.7</v>
      </c>
      <c r="AN424" t="s">
        <v>2083</v>
      </c>
      <c r="AO424" t="s">
        <v>88</v>
      </c>
      <c r="AP424" t="s">
        <v>90</v>
      </c>
      <c r="AQ424" s="3">
        <v>23474.678199999998</v>
      </c>
      <c r="AS424" t="s">
        <v>809</v>
      </c>
      <c r="AT424" t="s">
        <v>88</v>
      </c>
      <c r="AU424" t="s">
        <v>109</v>
      </c>
      <c r="AV424" s="14">
        <v>14876</v>
      </c>
    </row>
    <row r="425" spans="1:48">
      <c r="A425" t="s">
        <v>2294</v>
      </c>
      <c r="B425" t="s">
        <v>15</v>
      </c>
      <c r="C425" t="s">
        <v>27</v>
      </c>
      <c r="D425" t="s">
        <v>20</v>
      </c>
      <c r="E425" s="14">
        <v>15320</v>
      </c>
      <c r="G425" t="s">
        <v>2294</v>
      </c>
      <c r="H425" t="s">
        <v>15</v>
      </c>
      <c r="I425" t="s">
        <v>27</v>
      </c>
      <c r="J425" t="s">
        <v>20</v>
      </c>
      <c r="K425" s="14">
        <v>13001.311299999999</v>
      </c>
      <c r="Z425" s="3"/>
      <c r="AC425"/>
      <c r="AE425" s="3"/>
      <c r="AH425" t="s">
        <v>2044</v>
      </c>
      <c r="AI425" t="s">
        <v>67</v>
      </c>
      <c r="AJ425" t="s">
        <v>98</v>
      </c>
      <c r="AK425" s="3" t="s">
        <v>115</v>
      </c>
      <c r="AL425" s="3">
        <v>-120.1310400836</v>
      </c>
      <c r="AN425" t="s">
        <v>2083</v>
      </c>
      <c r="AO425" t="s">
        <v>88</v>
      </c>
      <c r="AP425" t="s">
        <v>86</v>
      </c>
      <c r="AQ425" s="3">
        <v>11397.6106</v>
      </c>
      <c r="AS425" t="s">
        <v>809</v>
      </c>
      <c r="AT425" t="s">
        <v>88</v>
      </c>
      <c r="AU425" t="s">
        <v>110</v>
      </c>
      <c r="AV425" s="14">
        <v>397.61059999999998</v>
      </c>
    </row>
    <row r="426" spans="1:48">
      <c r="A426" t="s">
        <v>2295</v>
      </c>
      <c r="B426" t="s">
        <v>15</v>
      </c>
      <c r="C426" t="s">
        <v>27</v>
      </c>
      <c r="D426" t="s">
        <v>20</v>
      </c>
      <c r="E426" s="14">
        <v>15770</v>
      </c>
      <c r="G426" t="s">
        <v>2295</v>
      </c>
      <c r="H426" t="s">
        <v>15</v>
      </c>
      <c r="I426" t="s">
        <v>27</v>
      </c>
      <c r="J426" t="s">
        <v>20</v>
      </c>
      <c r="K426" s="14">
        <v>13001.311299999999</v>
      </c>
      <c r="Z426" s="3"/>
      <c r="AC426"/>
      <c r="AE426" s="3"/>
      <c r="AH426" t="s">
        <v>2044</v>
      </c>
      <c r="AI426" t="s">
        <v>68</v>
      </c>
      <c r="AJ426" t="s">
        <v>66</v>
      </c>
      <c r="AK426" s="3" t="s">
        <v>27</v>
      </c>
      <c r="AL426" s="3">
        <v>1680</v>
      </c>
      <c r="AN426" t="s">
        <v>2084</v>
      </c>
      <c r="AO426" t="s">
        <v>88</v>
      </c>
      <c r="AP426" t="s">
        <v>86</v>
      </c>
      <c r="AQ426" s="3">
        <v>11397.6106</v>
      </c>
      <c r="AS426" t="s">
        <v>809</v>
      </c>
      <c r="AT426" t="s">
        <v>88</v>
      </c>
      <c r="AU426" t="s">
        <v>111</v>
      </c>
      <c r="AV426" s="14">
        <v>11800</v>
      </c>
    </row>
    <row r="427" spans="1:48">
      <c r="A427" t="s">
        <v>2296</v>
      </c>
      <c r="B427" t="s">
        <v>15</v>
      </c>
      <c r="C427" t="s">
        <v>27</v>
      </c>
      <c r="D427" t="s">
        <v>20</v>
      </c>
      <c r="E427" s="14">
        <v>16220</v>
      </c>
      <c r="G427" t="s">
        <v>2296</v>
      </c>
      <c r="H427" t="s">
        <v>15</v>
      </c>
      <c r="I427" t="s">
        <v>27</v>
      </c>
      <c r="J427" t="s">
        <v>20</v>
      </c>
      <c r="K427" s="14">
        <v>12551.311299999999</v>
      </c>
      <c r="Z427" s="3"/>
      <c r="AC427"/>
      <c r="AE427" s="3"/>
      <c r="AH427" t="s">
        <v>2044</v>
      </c>
      <c r="AI427" t="s">
        <v>68</v>
      </c>
      <c r="AJ427" t="s">
        <v>72</v>
      </c>
      <c r="AK427" s="3" t="s">
        <v>27</v>
      </c>
      <c r="AL427" s="3">
        <v>1545.1559999999999</v>
      </c>
      <c r="AN427" t="s">
        <v>2084</v>
      </c>
      <c r="AO427" t="s">
        <v>88</v>
      </c>
      <c r="AP427" t="s">
        <v>90</v>
      </c>
      <c r="AQ427" s="3">
        <v>22286.782899999998</v>
      </c>
      <c r="AS427" t="s">
        <v>809</v>
      </c>
      <c r="AT427" t="s">
        <v>88</v>
      </c>
      <c r="AU427" t="s">
        <v>268</v>
      </c>
      <c r="AV427" s="14">
        <v>0</v>
      </c>
    </row>
    <row r="428" spans="1:48">
      <c r="A428" t="s">
        <v>2297</v>
      </c>
      <c r="B428" t="s">
        <v>15</v>
      </c>
      <c r="C428" t="s">
        <v>27</v>
      </c>
      <c r="D428" t="s">
        <v>20</v>
      </c>
      <c r="E428" s="14">
        <v>16320</v>
      </c>
      <c r="G428" t="s">
        <v>2297</v>
      </c>
      <c r="H428" t="s">
        <v>15</v>
      </c>
      <c r="I428" t="s">
        <v>27</v>
      </c>
      <c r="J428" t="s">
        <v>20</v>
      </c>
      <c r="K428" s="14">
        <v>12451.311299999999</v>
      </c>
      <c r="Z428" s="3"/>
      <c r="AC428"/>
      <c r="AE428" s="3"/>
      <c r="AH428" t="s">
        <v>2044</v>
      </c>
      <c r="AI428" t="s">
        <v>68</v>
      </c>
      <c r="AJ428" t="s">
        <v>113</v>
      </c>
      <c r="AK428" s="3" t="s">
        <v>27</v>
      </c>
      <c r="AL428" s="3">
        <v>-82.527434748999994</v>
      </c>
      <c r="AN428" t="s">
        <v>2085</v>
      </c>
      <c r="AO428" t="s">
        <v>88</v>
      </c>
      <c r="AP428" t="s">
        <v>86</v>
      </c>
      <c r="AQ428" s="3">
        <v>11397.6106</v>
      </c>
      <c r="AS428" t="s">
        <v>809</v>
      </c>
      <c r="AT428" t="s">
        <v>88</v>
      </c>
      <c r="AU428" t="s">
        <v>269</v>
      </c>
      <c r="AV428" s="14">
        <v>0</v>
      </c>
    </row>
    <row r="429" spans="1:48">
      <c r="A429" t="s">
        <v>2298</v>
      </c>
      <c r="B429" t="s">
        <v>15</v>
      </c>
      <c r="C429" t="s">
        <v>27</v>
      </c>
      <c r="D429" t="s">
        <v>20</v>
      </c>
      <c r="E429" s="14">
        <v>16470</v>
      </c>
      <c r="G429" t="s">
        <v>2298</v>
      </c>
      <c r="H429" t="s">
        <v>15</v>
      </c>
      <c r="I429" t="s">
        <v>27</v>
      </c>
      <c r="J429" t="s">
        <v>20</v>
      </c>
      <c r="K429" s="14">
        <v>12301.311299999999</v>
      </c>
      <c r="Z429" s="3"/>
      <c r="AC429"/>
      <c r="AE429" s="3"/>
      <c r="AH429" t="s">
        <v>2044</v>
      </c>
      <c r="AI429" t="s">
        <v>68</v>
      </c>
      <c r="AJ429" t="s">
        <v>108</v>
      </c>
      <c r="AK429" s="3" t="s">
        <v>27</v>
      </c>
      <c r="AL429" s="3">
        <v>-52.316565251</v>
      </c>
      <c r="AN429" t="s">
        <v>2085</v>
      </c>
      <c r="AO429" t="s">
        <v>88</v>
      </c>
      <c r="AP429" t="s">
        <v>90</v>
      </c>
      <c r="AQ429" s="3">
        <v>21586.782899999998</v>
      </c>
      <c r="AS429" t="s">
        <v>809</v>
      </c>
      <c r="AT429" t="s">
        <v>88</v>
      </c>
      <c r="AU429" t="s">
        <v>270</v>
      </c>
      <c r="AV429" s="14">
        <v>0</v>
      </c>
    </row>
    <row r="430" spans="1:48">
      <c r="A430" t="s">
        <v>2299</v>
      </c>
      <c r="B430" t="s">
        <v>15</v>
      </c>
      <c r="C430" t="s">
        <v>27</v>
      </c>
      <c r="D430" t="s">
        <v>20</v>
      </c>
      <c r="E430" s="14">
        <v>16470</v>
      </c>
      <c r="G430" t="s">
        <v>2299</v>
      </c>
      <c r="H430" t="s">
        <v>15</v>
      </c>
      <c r="I430" t="s">
        <v>27</v>
      </c>
      <c r="J430" t="s">
        <v>20</v>
      </c>
      <c r="K430" s="14">
        <v>12301.311299999999</v>
      </c>
      <c r="Z430" s="3"/>
      <c r="AC430"/>
      <c r="AE430" s="3"/>
      <c r="AH430" t="s">
        <v>2044</v>
      </c>
      <c r="AI430" t="s">
        <v>68</v>
      </c>
      <c r="AJ430" t="s">
        <v>98</v>
      </c>
      <c r="AK430" s="3" t="s">
        <v>27</v>
      </c>
      <c r="AL430" s="3">
        <v>-52.316565251</v>
      </c>
      <c r="AN430" t="s">
        <v>2086</v>
      </c>
      <c r="AO430" t="s">
        <v>88</v>
      </c>
      <c r="AP430" t="s">
        <v>86</v>
      </c>
      <c r="AQ430" s="3">
        <v>11397.6106</v>
      </c>
      <c r="AS430" t="s">
        <v>809</v>
      </c>
      <c r="AT430" t="s">
        <v>88</v>
      </c>
      <c r="AU430" t="s">
        <v>271</v>
      </c>
      <c r="AV430" s="14">
        <v>10374</v>
      </c>
    </row>
    <row r="431" spans="1:48">
      <c r="A431" t="s">
        <v>2300</v>
      </c>
      <c r="B431" t="s">
        <v>15</v>
      </c>
      <c r="C431" t="s">
        <v>27</v>
      </c>
      <c r="D431" t="s">
        <v>20</v>
      </c>
      <c r="E431" s="14">
        <v>16720</v>
      </c>
      <c r="G431" t="s">
        <v>2300</v>
      </c>
      <c r="H431" t="s">
        <v>15</v>
      </c>
      <c r="I431" t="s">
        <v>27</v>
      </c>
      <c r="J431" t="s">
        <v>20</v>
      </c>
      <c r="K431" s="14">
        <v>11801.311299999999</v>
      </c>
      <c r="Z431" s="3"/>
      <c r="AC431"/>
      <c r="AE431" s="3"/>
      <c r="AH431" t="s">
        <v>2044</v>
      </c>
      <c r="AI431" t="s">
        <v>68</v>
      </c>
      <c r="AJ431" t="s">
        <v>66</v>
      </c>
      <c r="AK431" s="3" t="s">
        <v>114</v>
      </c>
      <c r="AL431" s="3">
        <v>3853.4</v>
      </c>
      <c r="AN431" t="s">
        <v>2086</v>
      </c>
      <c r="AO431" t="s">
        <v>88</v>
      </c>
      <c r="AP431" t="s">
        <v>90</v>
      </c>
      <c r="AQ431" s="3">
        <v>23886.782899999998</v>
      </c>
      <c r="AS431" t="s">
        <v>809</v>
      </c>
      <c r="AT431" t="s">
        <v>88</v>
      </c>
      <c r="AU431" t="s">
        <v>272</v>
      </c>
      <c r="AV431" s="14">
        <v>0</v>
      </c>
    </row>
    <row r="432" spans="1:48">
      <c r="A432" t="s">
        <v>2301</v>
      </c>
      <c r="B432" t="s">
        <v>15</v>
      </c>
      <c r="C432" t="s">
        <v>27</v>
      </c>
      <c r="D432" t="s">
        <v>20</v>
      </c>
      <c r="E432" s="14">
        <v>16720</v>
      </c>
      <c r="G432" t="s">
        <v>2301</v>
      </c>
      <c r="H432" t="s">
        <v>15</v>
      </c>
      <c r="I432" t="s">
        <v>27</v>
      </c>
      <c r="J432" t="s">
        <v>20</v>
      </c>
      <c r="K432" s="14">
        <v>11801.311299999999</v>
      </c>
      <c r="Z432" s="3"/>
      <c r="AC432"/>
      <c r="AE432" s="3"/>
      <c r="AH432" t="s">
        <v>2044</v>
      </c>
      <c r="AI432" t="s">
        <v>68</v>
      </c>
      <c r="AJ432" t="s">
        <v>98</v>
      </c>
      <c r="AK432" s="3" t="s">
        <v>114</v>
      </c>
      <c r="AL432" s="3">
        <v>-148.49697687669999</v>
      </c>
      <c r="AN432" t="s">
        <v>2087</v>
      </c>
      <c r="AO432" t="s">
        <v>88</v>
      </c>
      <c r="AP432" t="s">
        <v>86</v>
      </c>
      <c r="AQ432" s="3">
        <v>11397.6106</v>
      </c>
      <c r="AS432" t="s">
        <v>809</v>
      </c>
      <c r="AT432" t="s">
        <v>88</v>
      </c>
      <c r="AU432" t="s">
        <v>273</v>
      </c>
      <c r="AV432" s="14">
        <v>0</v>
      </c>
    </row>
    <row r="433" spans="1:48">
      <c r="A433" t="s">
        <v>2302</v>
      </c>
      <c r="B433" t="s">
        <v>15</v>
      </c>
      <c r="C433" t="s">
        <v>27</v>
      </c>
      <c r="D433" t="s">
        <v>20</v>
      </c>
      <c r="E433" s="14">
        <v>17220</v>
      </c>
      <c r="G433" t="s">
        <v>2302</v>
      </c>
      <c r="H433" t="s">
        <v>15</v>
      </c>
      <c r="I433" t="s">
        <v>27</v>
      </c>
      <c r="J433" t="s">
        <v>20</v>
      </c>
      <c r="K433" s="14">
        <v>11551.311299999999</v>
      </c>
      <c r="Z433" s="3"/>
      <c r="AC433"/>
      <c r="AE433" s="3"/>
      <c r="AH433" t="s">
        <v>2044</v>
      </c>
      <c r="AI433" t="s">
        <v>68</v>
      </c>
      <c r="AJ433" t="s">
        <v>66</v>
      </c>
      <c r="AK433" s="3" t="s">
        <v>115</v>
      </c>
      <c r="AL433" s="3">
        <v>2173.4</v>
      </c>
      <c r="AN433" t="s">
        <v>2087</v>
      </c>
      <c r="AO433" t="s">
        <v>88</v>
      </c>
      <c r="AP433" t="s">
        <v>90</v>
      </c>
      <c r="AQ433" s="3">
        <v>24586.782899999998</v>
      </c>
      <c r="AS433" t="s">
        <v>809</v>
      </c>
      <c r="AT433" t="s">
        <v>196</v>
      </c>
      <c r="AU433" t="s">
        <v>197</v>
      </c>
      <c r="AV433" s="14">
        <v>7.3870661356377898</v>
      </c>
    </row>
    <row r="434" spans="1:48">
      <c r="Z434" s="3"/>
      <c r="AC434"/>
      <c r="AE434" s="3"/>
      <c r="AH434" t="s">
        <v>2044</v>
      </c>
      <c r="AI434" t="s">
        <v>68</v>
      </c>
      <c r="AJ434" t="s">
        <v>98</v>
      </c>
      <c r="AK434" s="3" t="s">
        <v>115</v>
      </c>
      <c r="AL434" s="3">
        <v>-96.180411625700003</v>
      </c>
      <c r="AN434" t="s">
        <v>2088</v>
      </c>
      <c r="AO434" t="s">
        <v>88</v>
      </c>
      <c r="AP434" t="s">
        <v>86</v>
      </c>
      <c r="AQ434" s="3">
        <v>11397.6106</v>
      </c>
      <c r="AS434" t="s">
        <v>809</v>
      </c>
      <c r="AT434" t="s">
        <v>196</v>
      </c>
      <c r="AU434" t="s">
        <v>109</v>
      </c>
      <c r="AV434" s="14">
        <v>6.1241660456573799</v>
      </c>
    </row>
    <row r="435" spans="1:48">
      <c r="Z435" s="3"/>
      <c r="AC435"/>
      <c r="AE435" s="3"/>
      <c r="AH435" t="s">
        <v>2044</v>
      </c>
      <c r="AI435" t="s">
        <v>800</v>
      </c>
      <c r="AJ435" t="s">
        <v>31</v>
      </c>
      <c r="AK435" s="3" t="s">
        <v>27</v>
      </c>
      <c r="AL435" s="3">
        <v>4.0191262311999996</v>
      </c>
      <c r="AN435" t="s">
        <v>2088</v>
      </c>
      <c r="AO435" t="s">
        <v>88</v>
      </c>
      <c r="AP435" t="s">
        <v>90</v>
      </c>
      <c r="AQ435" s="3">
        <v>25486.782899999998</v>
      </c>
      <c r="AS435" t="s">
        <v>809</v>
      </c>
      <c r="AT435" t="s">
        <v>196</v>
      </c>
      <c r="AU435" t="s">
        <v>198</v>
      </c>
      <c r="AV435" s="14">
        <v>6.6958371722125696</v>
      </c>
    </row>
    <row r="436" spans="1:48">
      <c r="Z436" s="3"/>
      <c r="AC436"/>
      <c r="AE436" s="3"/>
      <c r="AH436" t="s">
        <v>2043</v>
      </c>
      <c r="AI436" t="s">
        <v>65</v>
      </c>
      <c r="AJ436" t="s">
        <v>66</v>
      </c>
      <c r="AK436" s="3" t="s">
        <v>27</v>
      </c>
      <c r="AL436" s="3">
        <v>39207.699999999997</v>
      </c>
      <c r="AN436" t="s">
        <v>2089</v>
      </c>
      <c r="AO436" t="s">
        <v>88</v>
      </c>
      <c r="AP436" t="s">
        <v>86</v>
      </c>
      <c r="AQ436" s="3">
        <v>11397.6106</v>
      </c>
      <c r="AS436" t="s">
        <v>808</v>
      </c>
      <c r="AT436" t="s">
        <v>88</v>
      </c>
      <c r="AU436" t="s">
        <v>109</v>
      </c>
      <c r="AV436" s="14">
        <v>15315</v>
      </c>
    </row>
    <row r="437" spans="1:48">
      <c r="Z437" s="3"/>
      <c r="AC437"/>
      <c r="AE437" s="3"/>
      <c r="AH437" t="s">
        <v>2043</v>
      </c>
      <c r="AI437" t="s">
        <v>65</v>
      </c>
      <c r="AJ437" t="s">
        <v>72</v>
      </c>
      <c r="AK437" s="3" t="s">
        <v>27</v>
      </c>
      <c r="AL437" s="3">
        <v>39870.633902000001</v>
      </c>
      <c r="AN437" t="s">
        <v>2089</v>
      </c>
      <c r="AO437" t="s">
        <v>88</v>
      </c>
      <c r="AP437" t="s">
        <v>90</v>
      </c>
      <c r="AQ437" s="3">
        <v>18336.782899999998</v>
      </c>
      <c r="AS437" t="s">
        <v>808</v>
      </c>
      <c r="AT437" t="s">
        <v>88</v>
      </c>
      <c r="AU437" t="s">
        <v>110</v>
      </c>
      <c r="AV437" s="14">
        <v>397.61059999999998</v>
      </c>
    </row>
    <row r="438" spans="1:48">
      <c r="Z438" s="3"/>
      <c r="AC438"/>
      <c r="AE438" s="3"/>
      <c r="AH438" t="s">
        <v>2043</v>
      </c>
      <c r="AI438" t="s">
        <v>65</v>
      </c>
      <c r="AJ438" t="s">
        <v>113</v>
      </c>
      <c r="AK438" s="3" t="s">
        <v>27</v>
      </c>
      <c r="AL438" s="3">
        <v>2395.6394233165001</v>
      </c>
      <c r="AN438" t="s">
        <v>2090</v>
      </c>
      <c r="AO438" t="s">
        <v>88</v>
      </c>
      <c r="AP438" t="s">
        <v>86</v>
      </c>
      <c r="AQ438" s="3">
        <v>11397.6106</v>
      </c>
      <c r="AS438" t="s">
        <v>808</v>
      </c>
      <c r="AT438" t="s">
        <v>88</v>
      </c>
      <c r="AU438" t="s">
        <v>111</v>
      </c>
      <c r="AV438" s="14">
        <v>11800</v>
      </c>
    </row>
    <row r="439" spans="1:48">
      <c r="Z439" s="3"/>
      <c r="AC439"/>
      <c r="AE439" s="3"/>
      <c r="AH439" t="s">
        <v>2043</v>
      </c>
      <c r="AI439" t="s">
        <v>65</v>
      </c>
      <c r="AJ439" t="s">
        <v>108</v>
      </c>
      <c r="AK439" s="3" t="s">
        <v>27</v>
      </c>
      <c r="AL439" s="3">
        <v>-1732.7055213164999</v>
      </c>
      <c r="AN439" t="s">
        <v>2090</v>
      </c>
      <c r="AO439" t="s">
        <v>88</v>
      </c>
      <c r="AP439" t="s">
        <v>90</v>
      </c>
      <c r="AQ439" s="3">
        <v>19336.782899999998</v>
      </c>
      <c r="AS439" t="s">
        <v>808</v>
      </c>
      <c r="AT439" t="s">
        <v>88</v>
      </c>
      <c r="AU439" t="s">
        <v>268</v>
      </c>
      <c r="AV439" s="14">
        <v>0</v>
      </c>
    </row>
    <row r="440" spans="1:48">
      <c r="Z440" s="3"/>
      <c r="AC440"/>
      <c r="AE440" s="3"/>
      <c r="AH440" t="s">
        <v>2043</v>
      </c>
      <c r="AI440" t="s">
        <v>65</v>
      </c>
      <c r="AJ440" t="s">
        <v>98</v>
      </c>
      <c r="AK440" s="3" t="s">
        <v>27</v>
      </c>
      <c r="AL440" s="3">
        <v>-1732.7055213164999</v>
      </c>
      <c r="AN440" t="s">
        <v>2091</v>
      </c>
      <c r="AO440" t="s">
        <v>88</v>
      </c>
      <c r="AP440" t="s">
        <v>86</v>
      </c>
      <c r="AQ440" s="3">
        <v>11397.6106</v>
      </c>
      <c r="AS440" t="s">
        <v>808</v>
      </c>
      <c r="AT440" t="s">
        <v>88</v>
      </c>
      <c r="AU440" t="s">
        <v>269</v>
      </c>
      <c r="AV440" s="14">
        <v>0</v>
      </c>
    </row>
    <row r="441" spans="1:48">
      <c r="Z441" s="3"/>
      <c r="AC441"/>
      <c r="AE441" s="3"/>
      <c r="AH441" t="s">
        <v>2043</v>
      </c>
      <c r="AI441" t="s">
        <v>67</v>
      </c>
      <c r="AJ441" t="s">
        <v>66</v>
      </c>
      <c r="AK441" s="3" t="s">
        <v>27</v>
      </c>
      <c r="AL441" s="3">
        <v>-23510.7</v>
      </c>
      <c r="AN441" t="s">
        <v>2091</v>
      </c>
      <c r="AO441" t="s">
        <v>88</v>
      </c>
      <c r="AP441" t="s">
        <v>90</v>
      </c>
      <c r="AQ441" s="3">
        <v>21536.782899999998</v>
      </c>
      <c r="AS441" t="s">
        <v>808</v>
      </c>
      <c r="AT441" t="s">
        <v>88</v>
      </c>
      <c r="AU441" t="s">
        <v>270</v>
      </c>
      <c r="AV441" s="14">
        <v>0</v>
      </c>
    </row>
    <row r="442" spans="1:48">
      <c r="Z442" s="3"/>
      <c r="AC442"/>
      <c r="AE442" s="3"/>
      <c r="AH442" t="s">
        <v>2043</v>
      </c>
      <c r="AI442" t="s">
        <v>67</v>
      </c>
      <c r="AJ442" t="s">
        <v>72</v>
      </c>
      <c r="AK442" s="3" t="s">
        <v>27</v>
      </c>
      <c r="AL442" s="3">
        <v>-25559.057642</v>
      </c>
      <c r="AN442" t="s">
        <v>2092</v>
      </c>
      <c r="AO442" t="s">
        <v>88</v>
      </c>
      <c r="AP442" t="s">
        <v>86</v>
      </c>
      <c r="AQ442" s="3">
        <v>11397.6106</v>
      </c>
      <c r="AS442" t="s">
        <v>808</v>
      </c>
      <c r="AT442" t="s">
        <v>88</v>
      </c>
      <c r="AU442" t="s">
        <v>271</v>
      </c>
      <c r="AV442" s="14">
        <v>10935</v>
      </c>
    </row>
    <row r="443" spans="1:48">
      <c r="Z443" s="3"/>
      <c r="AC443"/>
      <c r="AE443" s="3"/>
      <c r="AH443" t="s">
        <v>2043</v>
      </c>
      <c r="AI443" t="s">
        <v>67</v>
      </c>
      <c r="AJ443" t="s">
        <v>113</v>
      </c>
      <c r="AK443" s="3" t="s">
        <v>27</v>
      </c>
      <c r="AL443" s="3">
        <v>-2199.4166780801002</v>
      </c>
      <c r="AN443" t="s">
        <v>2092</v>
      </c>
      <c r="AO443" t="s">
        <v>88</v>
      </c>
      <c r="AP443" t="s">
        <v>90</v>
      </c>
      <c r="AQ443" s="3">
        <v>20741.453699999998</v>
      </c>
      <c r="AS443" t="s">
        <v>808</v>
      </c>
      <c r="AT443" t="s">
        <v>88</v>
      </c>
      <c r="AU443" t="s">
        <v>272</v>
      </c>
      <c r="AV443" s="14">
        <v>0</v>
      </c>
    </row>
    <row r="444" spans="1:48">
      <c r="Z444" s="3"/>
      <c r="AC444"/>
      <c r="AE444" s="3"/>
      <c r="AH444" t="s">
        <v>2043</v>
      </c>
      <c r="AI444" t="s">
        <v>67</v>
      </c>
      <c r="AJ444" t="s">
        <v>108</v>
      </c>
      <c r="AK444" s="3" t="s">
        <v>27</v>
      </c>
      <c r="AL444" s="3">
        <v>151.05903608009999</v>
      </c>
      <c r="AN444" t="s">
        <v>2093</v>
      </c>
      <c r="AO444" t="s">
        <v>88</v>
      </c>
      <c r="AP444" t="s">
        <v>86</v>
      </c>
      <c r="AQ444" s="3">
        <v>11397.6106</v>
      </c>
      <c r="AS444" t="s">
        <v>808</v>
      </c>
      <c r="AT444" t="s">
        <v>88</v>
      </c>
      <c r="AU444" t="s">
        <v>273</v>
      </c>
      <c r="AV444" s="14">
        <v>0</v>
      </c>
    </row>
    <row r="445" spans="1:48">
      <c r="Z445" s="3"/>
      <c r="AC445"/>
      <c r="AE445" s="3"/>
      <c r="AH445" t="s">
        <v>2043</v>
      </c>
      <c r="AI445" t="s">
        <v>67</v>
      </c>
      <c r="AJ445" t="s">
        <v>98</v>
      </c>
      <c r="AK445" s="3" t="s">
        <v>27</v>
      </c>
      <c r="AL445" s="3">
        <v>151.05903608009999</v>
      </c>
      <c r="AN445" t="s">
        <v>2093</v>
      </c>
      <c r="AO445" t="s">
        <v>88</v>
      </c>
      <c r="AP445" t="s">
        <v>90</v>
      </c>
      <c r="AQ445" s="3">
        <v>21341.453699999998</v>
      </c>
      <c r="AS445" t="s">
        <v>808</v>
      </c>
      <c r="AT445" t="s">
        <v>196</v>
      </c>
      <c r="AU445" t="s">
        <v>197</v>
      </c>
      <c r="AV445" s="14">
        <v>7.3870661356377898</v>
      </c>
    </row>
    <row r="446" spans="1:48">
      <c r="Z446" s="3"/>
      <c r="AC446"/>
      <c r="AE446" s="3"/>
      <c r="AH446" t="s">
        <v>2043</v>
      </c>
      <c r="AI446" t="s">
        <v>67</v>
      </c>
      <c r="AJ446" t="s">
        <v>66</v>
      </c>
      <c r="AK446" s="3" t="s">
        <v>114</v>
      </c>
      <c r="AL446" s="3">
        <v>0</v>
      </c>
      <c r="AN446" t="s">
        <v>2094</v>
      </c>
      <c r="AO446" t="s">
        <v>88</v>
      </c>
      <c r="AP446" t="s">
        <v>86</v>
      </c>
      <c r="AQ446" s="3">
        <v>11397.6106</v>
      </c>
      <c r="AS446" t="s">
        <v>808</v>
      </c>
      <c r="AT446" t="s">
        <v>196</v>
      </c>
      <c r="AU446" t="s">
        <v>109</v>
      </c>
      <c r="AV446" s="14">
        <v>5.7842758731862904</v>
      </c>
    </row>
    <row r="447" spans="1:48">
      <c r="Z447" s="3"/>
      <c r="AC447"/>
      <c r="AE447" s="3"/>
      <c r="AH447" t="s">
        <v>2043</v>
      </c>
      <c r="AI447" t="s">
        <v>67</v>
      </c>
      <c r="AJ447" t="s">
        <v>98</v>
      </c>
      <c r="AK447" s="3" t="s">
        <v>114</v>
      </c>
      <c r="AL447" s="3">
        <v>0</v>
      </c>
      <c r="AN447" t="s">
        <v>2094</v>
      </c>
      <c r="AO447" t="s">
        <v>88</v>
      </c>
      <c r="AP447" t="s">
        <v>90</v>
      </c>
      <c r="AQ447" s="3">
        <v>21741.453699999998</v>
      </c>
      <c r="AS447" t="s">
        <v>808</v>
      </c>
      <c r="AT447" t="s">
        <v>196</v>
      </c>
      <c r="AU447" t="s">
        <v>198</v>
      </c>
      <c r="AV447" s="14">
        <v>6.5004391388842704</v>
      </c>
    </row>
    <row r="448" spans="1:48">
      <c r="Z448" s="3"/>
      <c r="AC448"/>
      <c r="AE448" s="3"/>
      <c r="AH448" t="s">
        <v>2043</v>
      </c>
      <c r="AI448" t="s">
        <v>67</v>
      </c>
      <c r="AJ448" t="s">
        <v>66</v>
      </c>
      <c r="AK448" s="3" t="s">
        <v>115</v>
      </c>
      <c r="AL448" s="3">
        <v>23510.7</v>
      </c>
      <c r="AN448" t="s">
        <v>2095</v>
      </c>
      <c r="AO448" t="s">
        <v>88</v>
      </c>
      <c r="AP448" t="s">
        <v>86</v>
      </c>
      <c r="AQ448" s="3">
        <v>11397.6106</v>
      </c>
      <c r="AS448" t="s">
        <v>807</v>
      </c>
      <c r="AT448" t="s">
        <v>88</v>
      </c>
      <c r="AU448" t="s">
        <v>109</v>
      </c>
      <c r="AV448" s="14">
        <v>17115</v>
      </c>
    </row>
    <row r="449" spans="26:48">
      <c r="Z449" s="3"/>
      <c r="AC449"/>
      <c r="AE449" s="3"/>
      <c r="AH449" t="s">
        <v>2043</v>
      </c>
      <c r="AI449" t="s">
        <v>67</v>
      </c>
      <c r="AJ449" t="s">
        <v>98</v>
      </c>
      <c r="AK449" s="3" t="s">
        <v>115</v>
      </c>
      <c r="AL449" s="3">
        <v>-151.05903608009999</v>
      </c>
      <c r="AN449" t="s">
        <v>2095</v>
      </c>
      <c r="AO449" t="s">
        <v>88</v>
      </c>
      <c r="AP449" t="s">
        <v>90</v>
      </c>
      <c r="AQ449" s="3">
        <v>20941.453699999998</v>
      </c>
      <c r="AS449" t="s">
        <v>807</v>
      </c>
      <c r="AT449" t="s">
        <v>88</v>
      </c>
      <c r="AU449" t="s">
        <v>110</v>
      </c>
      <c r="AV449" s="14">
        <v>397.61059999999998</v>
      </c>
    </row>
    <row r="450" spans="26:48">
      <c r="Z450" s="3"/>
      <c r="AC450"/>
      <c r="AE450" s="3"/>
      <c r="AH450" t="s">
        <v>2043</v>
      </c>
      <c r="AI450" t="s">
        <v>68</v>
      </c>
      <c r="AJ450" t="s">
        <v>66</v>
      </c>
      <c r="AK450" s="3" t="s">
        <v>27</v>
      </c>
      <c r="AL450" s="3">
        <v>1816</v>
      </c>
      <c r="AN450" t="s">
        <v>2096</v>
      </c>
      <c r="AO450" t="s">
        <v>88</v>
      </c>
      <c r="AP450" t="s">
        <v>86</v>
      </c>
      <c r="AQ450" s="3">
        <v>10922.6106</v>
      </c>
      <c r="AS450" t="s">
        <v>807</v>
      </c>
      <c r="AT450" t="s">
        <v>88</v>
      </c>
      <c r="AU450" t="s">
        <v>111</v>
      </c>
      <c r="AV450" s="14">
        <v>11800</v>
      </c>
    </row>
    <row r="451" spans="26:48">
      <c r="Z451" s="3"/>
      <c r="AC451"/>
      <c r="AE451" s="3"/>
      <c r="AH451" t="s">
        <v>2043</v>
      </c>
      <c r="AI451" t="s">
        <v>68</v>
      </c>
      <c r="AJ451" t="s">
        <v>72</v>
      </c>
      <c r="AK451" s="3" t="s">
        <v>27</v>
      </c>
      <c r="AL451" s="3">
        <v>1688.4174800000001</v>
      </c>
      <c r="AN451" t="s">
        <v>2096</v>
      </c>
      <c r="AO451" t="s">
        <v>88</v>
      </c>
      <c r="AP451" t="s">
        <v>90</v>
      </c>
      <c r="AQ451" s="3">
        <v>18941.453699999998</v>
      </c>
      <c r="AS451" t="s">
        <v>807</v>
      </c>
      <c r="AT451" t="s">
        <v>88</v>
      </c>
      <c r="AU451" t="s">
        <v>268</v>
      </c>
      <c r="AV451" s="14">
        <v>0</v>
      </c>
    </row>
    <row r="452" spans="26:48">
      <c r="Z452" s="3"/>
      <c r="AC452"/>
      <c r="AE452" s="3"/>
      <c r="AH452" t="s">
        <v>2043</v>
      </c>
      <c r="AI452" t="s">
        <v>68</v>
      </c>
      <c r="AJ452" t="s">
        <v>113</v>
      </c>
      <c r="AK452" s="3" t="s">
        <v>27</v>
      </c>
      <c r="AL452" s="3">
        <v>-69.117493740200004</v>
      </c>
      <c r="AN452" t="s">
        <v>2097</v>
      </c>
      <c r="AO452" t="s">
        <v>88</v>
      </c>
      <c r="AP452" t="s">
        <v>86</v>
      </c>
      <c r="AQ452" s="3">
        <v>9022.6106</v>
      </c>
      <c r="AS452" t="s">
        <v>807</v>
      </c>
      <c r="AT452" t="s">
        <v>88</v>
      </c>
      <c r="AU452" t="s">
        <v>269</v>
      </c>
      <c r="AV452" s="14">
        <v>0</v>
      </c>
    </row>
    <row r="453" spans="26:48">
      <c r="Z453" s="3"/>
      <c r="AC453"/>
      <c r="AE453" s="3"/>
      <c r="AH453" t="s">
        <v>2043</v>
      </c>
      <c r="AI453" t="s">
        <v>68</v>
      </c>
      <c r="AJ453" t="s">
        <v>108</v>
      </c>
      <c r="AK453" s="3" t="s">
        <v>27</v>
      </c>
      <c r="AL453" s="3">
        <v>-58.465026259799998</v>
      </c>
      <c r="AN453" t="s">
        <v>2097</v>
      </c>
      <c r="AO453" t="s">
        <v>88</v>
      </c>
      <c r="AP453" t="s">
        <v>90</v>
      </c>
      <c r="AQ453" s="3">
        <v>18241.453699999998</v>
      </c>
      <c r="AS453" t="s">
        <v>807</v>
      </c>
      <c r="AT453" t="s">
        <v>88</v>
      </c>
      <c r="AU453" t="s">
        <v>270</v>
      </c>
      <c r="AV453" s="14">
        <v>0</v>
      </c>
    </row>
    <row r="454" spans="26:48">
      <c r="Z454" s="3"/>
      <c r="AC454"/>
      <c r="AE454" s="3"/>
      <c r="AH454" t="s">
        <v>2043</v>
      </c>
      <c r="AI454" t="s">
        <v>68</v>
      </c>
      <c r="AJ454" t="s">
        <v>98</v>
      </c>
      <c r="AK454" s="3" t="s">
        <v>27</v>
      </c>
      <c r="AL454" s="3">
        <v>-58.465026259799998</v>
      </c>
      <c r="AN454" t="s">
        <v>2098</v>
      </c>
      <c r="AO454" t="s">
        <v>88</v>
      </c>
      <c r="AP454" t="s">
        <v>86</v>
      </c>
      <c r="AQ454" s="3">
        <v>9022.6106</v>
      </c>
      <c r="AS454" t="s">
        <v>807</v>
      </c>
      <c r="AT454" t="s">
        <v>88</v>
      </c>
      <c r="AU454" t="s">
        <v>271</v>
      </c>
      <c r="AV454" s="14">
        <v>9635</v>
      </c>
    </row>
    <row r="455" spans="26:48">
      <c r="Z455" s="3"/>
      <c r="AC455"/>
      <c r="AE455" s="3"/>
      <c r="AH455" t="s">
        <v>2043</v>
      </c>
      <c r="AI455" t="s">
        <v>68</v>
      </c>
      <c r="AJ455" t="s">
        <v>66</v>
      </c>
      <c r="AK455" s="3" t="s">
        <v>114</v>
      </c>
      <c r="AL455" s="3">
        <v>3789.4</v>
      </c>
      <c r="AN455" t="s">
        <v>2098</v>
      </c>
      <c r="AO455" t="s">
        <v>88</v>
      </c>
      <c r="AP455" t="s">
        <v>90</v>
      </c>
      <c r="AQ455" s="3">
        <v>17991.453699999998</v>
      </c>
      <c r="AS455" t="s">
        <v>807</v>
      </c>
      <c r="AT455" t="s">
        <v>88</v>
      </c>
      <c r="AU455" t="s">
        <v>272</v>
      </c>
      <c r="AV455" s="14">
        <v>0</v>
      </c>
    </row>
    <row r="456" spans="26:48">
      <c r="Z456" s="3"/>
      <c r="AC456"/>
      <c r="AE456" s="3"/>
      <c r="AH456" t="s">
        <v>2043</v>
      </c>
      <c r="AI456" t="s">
        <v>68</v>
      </c>
      <c r="AJ456" t="s">
        <v>98</v>
      </c>
      <c r="AK456" s="3" t="s">
        <v>114</v>
      </c>
      <c r="AL456" s="3">
        <v>-134.6044232877</v>
      </c>
      <c r="AN456" t="s">
        <v>2099</v>
      </c>
      <c r="AO456" t="s">
        <v>88</v>
      </c>
      <c r="AP456" t="s">
        <v>86</v>
      </c>
      <c r="AQ456" s="3">
        <v>9022.6106</v>
      </c>
      <c r="AS456" t="s">
        <v>807</v>
      </c>
      <c r="AT456" t="s">
        <v>88</v>
      </c>
      <c r="AU456" t="s">
        <v>273</v>
      </c>
      <c r="AV456" s="14">
        <v>0</v>
      </c>
    </row>
    <row r="457" spans="26:48">
      <c r="Z457" s="3"/>
      <c r="AC457"/>
      <c r="AE457" s="3"/>
      <c r="AH457" t="s">
        <v>2043</v>
      </c>
      <c r="AI457" t="s">
        <v>68</v>
      </c>
      <c r="AJ457" t="s">
        <v>66</v>
      </c>
      <c r="AK457" s="3" t="s">
        <v>115</v>
      </c>
      <c r="AL457" s="3">
        <v>1973.4</v>
      </c>
      <c r="AN457" t="s">
        <v>2099</v>
      </c>
      <c r="AO457" t="s">
        <v>88</v>
      </c>
      <c r="AP457" t="s">
        <v>90</v>
      </c>
      <c r="AQ457" s="3">
        <v>17691.453699999998</v>
      </c>
      <c r="AS457" t="s">
        <v>807</v>
      </c>
      <c r="AT457" t="s">
        <v>196</v>
      </c>
      <c r="AU457" t="s">
        <v>197</v>
      </c>
      <c r="AV457" s="14">
        <v>7.3870661356377898</v>
      </c>
    </row>
    <row r="458" spans="26:48">
      <c r="Z458" s="3"/>
      <c r="AC458"/>
      <c r="AE458" s="3"/>
      <c r="AH458" t="s">
        <v>2043</v>
      </c>
      <c r="AI458" t="s">
        <v>68</v>
      </c>
      <c r="AJ458" t="s">
        <v>98</v>
      </c>
      <c r="AK458" s="3" t="s">
        <v>115</v>
      </c>
      <c r="AL458" s="3">
        <v>-76.139397027800001</v>
      </c>
      <c r="AN458" t="s">
        <v>2100</v>
      </c>
      <c r="AO458" t="s">
        <v>88</v>
      </c>
      <c r="AP458" t="s">
        <v>86</v>
      </c>
      <c r="AQ458" s="3">
        <v>9022.6106</v>
      </c>
      <c r="AS458" t="s">
        <v>807</v>
      </c>
      <c r="AT458" t="s">
        <v>196</v>
      </c>
      <c r="AU458" t="s">
        <v>109</v>
      </c>
      <c r="AV458" s="14">
        <v>5.52593295435363</v>
      </c>
    </row>
    <row r="459" spans="26:48">
      <c r="Z459" s="3"/>
      <c r="AC459"/>
      <c r="AE459" s="3"/>
      <c r="AH459" t="s">
        <v>2043</v>
      </c>
      <c r="AI459" t="s">
        <v>800</v>
      </c>
      <c r="AJ459" t="s">
        <v>31</v>
      </c>
      <c r="AK459" s="3" t="s">
        <v>27</v>
      </c>
      <c r="AL459" s="3">
        <v>4.0128409006999997</v>
      </c>
      <c r="AN459" t="s">
        <v>2100</v>
      </c>
      <c r="AO459" t="s">
        <v>88</v>
      </c>
      <c r="AP459" t="s">
        <v>90</v>
      </c>
      <c r="AQ459" s="3">
        <v>19091.453699999998</v>
      </c>
      <c r="AS459" t="s">
        <v>807</v>
      </c>
      <c r="AT459" t="s">
        <v>196</v>
      </c>
      <c r="AU459" t="s">
        <v>198</v>
      </c>
      <c r="AV459" s="14">
        <v>6.3157323264188401</v>
      </c>
    </row>
    <row r="460" spans="26:48">
      <c r="Z460" s="3"/>
      <c r="AC460"/>
      <c r="AE460" s="3"/>
      <c r="AH460" t="s">
        <v>2042</v>
      </c>
      <c r="AI460" t="s">
        <v>65</v>
      </c>
      <c r="AJ460" t="s">
        <v>66</v>
      </c>
      <c r="AK460" s="3" t="s">
        <v>27</v>
      </c>
      <c r="AL460" s="3">
        <v>38126.699999999997</v>
      </c>
      <c r="AN460" t="s">
        <v>2101</v>
      </c>
      <c r="AO460" t="s">
        <v>88</v>
      </c>
      <c r="AP460" t="s">
        <v>86</v>
      </c>
      <c r="AQ460" s="3">
        <v>9022.6106</v>
      </c>
      <c r="AS460" t="s">
        <v>806</v>
      </c>
      <c r="AT460" t="s">
        <v>88</v>
      </c>
      <c r="AU460" t="s">
        <v>109</v>
      </c>
      <c r="AV460" s="14">
        <v>15715</v>
      </c>
    </row>
    <row r="461" spans="26:48">
      <c r="Z461" s="3"/>
      <c r="AC461"/>
      <c r="AE461" s="3"/>
      <c r="AH461" t="s">
        <v>2042</v>
      </c>
      <c r="AI461" t="s">
        <v>65</v>
      </c>
      <c r="AJ461" t="s">
        <v>72</v>
      </c>
      <c r="AK461" s="3" t="s">
        <v>27</v>
      </c>
      <c r="AL461" s="3">
        <v>38899.196555000002</v>
      </c>
      <c r="AN461" t="s">
        <v>2101</v>
      </c>
      <c r="AO461" t="s">
        <v>88</v>
      </c>
      <c r="AP461" t="s">
        <v>90</v>
      </c>
      <c r="AQ461" s="3">
        <v>21386.782899999998</v>
      </c>
      <c r="AS461" t="s">
        <v>806</v>
      </c>
      <c r="AT461" t="s">
        <v>88</v>
      </c>
      <c r="AU461" t="s">
        <v>110</v>
      </c>
      <c r="AV461" s="14">
        <v>397.61059999999998</v>
      </c>
    </row>
    <row r="462" spans="26:48">
      <c r="Z462" s="3"/>
      <c r="AC462"/>
      <c r="AE462" s="3"/>
      <c r="AH462" t="s">
        <v>2042</v>
      </c>
      <c r="AI462" t="s">
        <v>65</v>
      </c>
      <c r="AJ462" t="s">
        <v>113</v>
      </c>
      <c r="AK462" s="3" t="s">
        <v>27</v>
      </c>
      <c r="AL462" s="3">
        <v>2440.8194152717001</v>
      </c>
      <c r="AN462" t="s">
        <v>2102</v>
      </c>
      <c r="AO462" t="s">
        <v>88</v>
      </c>
      <c r="AP462" t="s">
        <v>86</v>
      </c>
      <c r="AQ462" s="3">
        <v>9022.6106</v>
      </c>
      <c r="AS462" t="s">
        <v>806</v>
      </c>
      <c r="AT462" t="s">
        <v>88</v>
      </c>
      <c r="AU462" t="s">
        <v>111</v>
      </c>
      <c r="AV462" s="14">
        <v>11800</v>
      </c>
    </row>
    <row r="463" spans="26:48">
      <c r="Z463" s="3"/>
      <c r="AC463"/>
      <c r="AE463" s="3"/>
      <c r="AH463" t="s">
        <v>2042</v>
      </c>
      <c r="AI463" t="s">
        <v>65</v>
      </c>
      <c r="AJ463" t="s">
        <v>108</v>
      </c>
      <c r="AK463" s="3" t="s">
        <v>27</v>
      </c>
      <c r="AL463" s="3">
        <v>-1668.3228602716999</v>
      </c>
      <c r="AN463" t="s">
        <v>2102</v>
      </c>
      <c r="AO463" t="s">
        <v>88</v>
      </c>
      <c r="AP463" t="s">
        <v>90</v>
      </c>
      <c r="AQ463" s="3">
        <v>22186.782899999998</v>
      </c>
      <c r="AS463" t="s">
        <v>806</v>
      </c>
      <c r="AT463" t="s">
        <v>88</v>
      </c>
      <c r="AU463" t="s">
        <v>268</v>
      </c>
      <c r="AV463" s="14">
        <v>0</v>
      </c>
    </row>
    <row r="464" spans="26:48">
      <c r="Z464" s="3"/>
      <c r="AC464"/>
      <c r="AE464" s="3"/>
      <c r="AH464" t="s">
        <v>2042</v>
      </c>
      <c r="AI464" t="s">
        <v>65</v>
      </c>
      <c r="AJ464" t="s">
        <v>98</v>
      </c>
      <c r="AK464" s="3" t="s">
        <v>27</v>
      </c>
      <c r="AL464" s="3">
        <v>-1668.3228602716999</v>
      </c>
      <c r="AN464" t="s">
        <v>2103</v>
      </c>
      <c r="AO464" t="s">
        <v>88</v>
      </c>
      <c r="AP464" t="s">
        <v>86</v>
      </c>
      <c r="AQ464" s="3">
        <v>9022.6106</v>
      </c>
      <c r="AS464" t="s">
        <v>806</v>
      </c>
      <c r="AT464" t="s">
        <v>88</v>
      </c>
      <c r="AU464" t="s">
        <v>269</v>
      </c>
      <c r="AV464" s="14">
        <v>0</v>
      </c>
    </row>
    <row r="465" spans="26:48">
      <c r="Z465" s="3"/>
      <c r="AC465"/>
      <c r="AE465" s="3"/>
      <c r="AH465" t="s">
        <v>2042</v>
      </c>
      <c r="AI465" t="s">
        <v>67</v>
      </c>
      <c r="AJ465" t="s">
        <v>66</v>
      </c>
      <c r="AK465" s="3" t="s">
        <v>27</v>
      </c>
      <c r="AL465" s="3">
        <v>-21913.7</v>
      </c>
      <c r="AN465" t="s">
        <v>2103</v>
      </c>
      <c r="AO465" t="s">
        <v>88</v>
      </c>
      <c r="AP465" t="s">
        <v>90</v>
      </c>
      <c r="AQ465" s="3">
        <v>29676.782899999998</v>
      </c>
      <c r="AS465" t="s">
        <v>806</v>
      </c>
      <c r="AT465" t="s">
        <v>88</v>
      </c>
      <c r="AU465" t="s">
        <v>270</v>
      </c>
      <c r="AV465" s="14">
        <v>0</v>
      </c>
    </row>
    <row r="466" spans="26:48">
      <c r="Z466" s="3"/>
      <c r="AC466"/>
      <c r="AE466" s="3"/>
      <c r="AH466" t="s">
        <v>2042</v>
      </c>
      <c r="AI466" t="s">
        <v>67</v>
      </c>
      <c r="AJ466" t="s">
        <v>72</v>
      </c>
      <c r="AK466" s="3" t="s">
        <v>27</v>
      </c>
      <c r="AL466" s="3">
        <v>-24098.178325000001</v>
      </c>
      <c r="AN466" t="s">
        <v>2104</v>
      </c>
      <c r="AO466" t="s">
        <v>88</v>
      </c>
      <c r="AP466" t="s">
        <v>86</v>
      </c>
      <c r="AQ466" s="3">
        <v>9022.6106</v>
      </c>
      <c r="AS466" t="s">
        <v>806</v>
      </c>
      <c r="AT466" t="s">
        <v>88</v>
      </c>
      <c r="AU466" t="s">
        <v>271</v>
      </c>
      <c r="AV466" s="14">
        <v>11035</v>
      </c>
    </row>
    <row r="467" spans="26:48">
      <c r="Z467" s="3"/>
      <c r="AC467"/>
      <c r="AE467" s="3"/>
      <c r="AH467" t="s">
        <v>2042</v>
      </c>
      <c r="AI467" t="s">
        <v>67</v>
      </c>
      <c r="AJ467" t="s">
        <v>113</v>
      </c>
      <c r="AK467" s="3" t="s">
        <v>27</v>
      </c>
      <c r="AL467" s="3">
        <v>-2242.8356137764999</v>
      </c>
      <c r="AN467" t="s">
        <v>2104</v>
      </c>
      <c r="AO467" t="s">
        <v>88</v>
      </c>
      <c r="AP467" t="s">
        <v>90</v>
      </c>
      <c r="AQ467" s="3">
        <v>26326.782899999998</v>
      </c>
      <c r="AS467" t="s">
        <v>806</v>
      </c>
      <c r="AT467" t="s">
        <v>88</v>
      </c>
      <c r="AU467" t="s">
        <v>272</v>
      </c>
      <c r="AV467" s="14">
        <v>0</v>
      </c>
    </row>
    <row r="468" spans="26:48">
      <c r="Z468" s="3"/>
      <c r="AC468"/>
      <c r="AE468" s="3"/>
      <c r="AH468" t="s">
        <v>2042</v>
      </c>
      <c r="AI468" t="s">
        <v>67</v>
      </c>
      <c r="AJ468" t="s">
        <v>108</v>
      </c>
      <c r="AK468" s="3" t="s">
        <v>27</v>
      </c>
      <c r="AL468" s="3">
        <v>58.357288776499999</v>
      </c>
      <c r="AN468" t="s">
        <v>2105</v>
      </c>
      <c r="AO468" t="s">
        <v>88</v>
      </c>
      <c r="AP468" t="s">
        <v>86</v>
      </c>
      <c r="AQ468" s="3">
        <v>9022.6106</v>
      </c>
      <c r="AS468" t="s">
        <v>806</v>
      </c>
      <c r="AT468" t="s">
        <v>88</v>
      </c>
      <c r="AU468" t="s">
        <v>273</v>
      </c>
      <c r="AV468" s="14">
        <v>0</v>
      </c>
    </row>
    <row r="469" spans="26:48">
      <c r="Z469" s="3"/>
      <c r="AC469"/>
      <c r="AE469" s="3"/>
      <c r="AH469" t="s">
        <v>2042</v>
      </c>
      <c r="AI469" t="s">
        <v>67</v>
      </c>
      <c r="AJ469" t="s">
        <v>98</v>
      </c>
      <c r="AK469" s="3" t="s">
        <v>27</v>
      </c>
      <c r="AL469" s="3">
        <v>58.357288776499999</v>
      </c>
      <c r="AN469" t="s">
        <v>2105</v>
      </c>
      <c r="AO469" t="s">
        <v>88</v>
      </c>
      <c r="AP469" t="s">
        <v>90</v>
      </c>
      <c r="AQ469" s="3">
        <v>30426.782899999998</v>
      </c>
      <c r="AS469" t="s">
        <v>806</v>
      </c>
      <c r="AT469" t="s">
        <v>196</v>
      </c>
      <c r="AU469" t="s">
        <v>197</v>
      </c>
      <c r="AV469" s="14">
        <v>7.3870661356377898</v>
      </c>
    </row>
    <row r="470" spans="26:48">
      <c r="Z470" s="3"/>
      <c r="AC470"/>
      <c r="AE470" s="3"/>
      <c r="AH470" t="s">
        <v>2042</v>
      </c>
      <c r="AI470" t="s">
        <v>67</v>
      </c>
      <c r="AJ470" t="s">
        <v>66</v>
      </c>
      <c r="AK470" s="3" t="s">
        <v>114</v>
      </c>
      <c r="AL470" s="3">
        <v>1081</v>
      </c>
      <c r="AN470" t="s">
        <v>2106</v>
      </c>
      <c r="AO470" t="s">
        <v>88</v>
      </c>
      <c r="AP470" t="s">
        <v>86</v>
      </c>
      <c r="AQ470" s="3">
        <v>9022.6106</v>
      </c>
      <c r="AS470" t="s">
        <v>806</v>
      </c>
      <c r="AT470" t="s">
        <v>196</v>
      </c>
      <c r="AU470" t="s">
        <v>109</v>
      </c>
      <c r="AV470" s="14">
        <v>5.7458788578714604</v>
      </c>
    </row>
    <row r="471" spans="26:48">
      <c r="Z471" s="3"/>
      <c r="AC471"/>
      <c r="AE471" s="3"/>
      <c r="AH471" t="s">
        <v>2042</v>
      </c>
      <c r="AI471" t="s">
        <v>67</v>
      </c>
      <c r="AJ471" t="s">
        <v>98</v>
      </c>
      <c r="AK471" s="3" t="s">
        <v>114</v>
      </c>
      <c r="AL471" s="3">
        <v>-62.760406986299998</v>
      </c>
      <c r="AN471" t="s">
        <v>2106</v>
      </c>
      <c r="AO471" t="s">
        <v>88</v>
      </c>
      <c r="AP471" t="s">
        <v>90</v>
      </c>
      <c r="AQ471" s="3">
        <v>28026.782899999998</v>
      </c>
      <c r="AS471" t="s">
        <v>806</v>
      </c>
      <c r="AT471" t="s">
        <v>196</v>
      </c>
      <c r="AU471" t="s">
        <v>198</v>
      </c>
      <c r="AV471" s="14">
        <v>6.4706749350736503</v>
      </c>
    </row>
    <row r="472" spans="26:48">
      <c r="Z472" s="3"/>
      <c r="AC472"/>
      <c r="AE472" s="3"/>
      <c r="AH472" t="s">
        <v>2042</v>
      </c>
      <c r="AI472" t="s">
        <v>67</v>
      </c>
      <c r="AJ472" t="s">
        <v>66</v>
      </c>
      <c r="AK472" s="3" t="s">
        <v>115</v>
      </c>
      <c r="AL472" s="3">
        <v>22994.7</v>
      </c>
      <c r="AN472" t="s">
        <v>2107</v>
      </c>
      <c r="AO472" t="s">
        <v>88</v>
      </c>
      <c r="AP472" t="s">
        <v>86</v>
      </c>
      <c r="AQ472" s="3">
        <v>9022.6106</v>
      </c>
      <c r="AS472" t="s">
        <v>1830</v>
      </c>
      <c r="AT472" t="s">
        <v>88</v>
      </c>
      <c r="AU472" t="s">
        <v>109</v>
      </c>
      <c r="AV472" s="14">
        <v>15045</v>
      </c>
    </row>
    <row r="473" spans="26:48">
      <c r="Z473" s="3"/>
      <c r="AC473"/>
      <c r="AE473" s="3"/>
      <c r="AH473" t="s">
        <v>2042</v>
      </c>
      <c r="AI473" t="s">
        <v>67</v>
      </c>
      <c r="AJ473" t="s">
        <v>98</v>
      </c>
      <c r="AK473" s="3" t="s">
        <v>115</v>
      </c>
      <c r="AL473" s="3">
        <v>-121.1176957628</v>
      </c>
      <c r="AN473" t="s">
        <v>2107</v>
      </c>
      <c r="AO473" t="s">
        <v>88</v>
      </c>
      <c r="AP473" t="s">
        <v>90</v>
      </c>
      <c r="AQ473" s="3">
        <v>27841.782899999998</v>
      </c>
      <c r="AS473" t="s">
        <v>1830</v>
      </c>
      <c r="AT473" t="s">
        <v>88</v>
      </c>
      <c r="AU473" t="s">
        <v>110</v>
      </c>
      <c r="AV473" s="14">
        <v>397.61059999999998</v>
      </c>
    </row>
    <row r="474" spans="26:48">
      <c r="Z474" s="3"/>
      <c r="AC474"/>
      <c r="AE474" s="3"/>
      <c r="AH474" t="s">
        <v>2042</v>
      </c>
      <c r="AI474" t="s">
        <v>68</v>
      </c>
      <c r="AJ474" t="s">
        <v>66</v>
      </c>
      <c r="AK474" s="3" t="s">
        <v>27</v>
      </c>
      <c r="AL474" s="3">
        <v>1300</v>
      </c>
      <c r="AN474" t="s">
        <v>2108</v>
      </c>
      <c r="AO474" t="s">
        <v>88</v>
      </c>
      <c r="AP474" t="s">
        <v>86</v>
      </c>
      <c r="AQ474" s="3">
        <v>9022.6106</v>
      </c>
      <c r="AS474" t="s">
        <v>1830</v>
      </c>
      <c r="AT474" t="s">
        <v>88</v>
      </c>
      <c r="AU474" t="s">
        <v>111</v>
      </c>
      <c r="AV474" s="14">
        <v>10800</v>
      </c>
    </row>
    <row r="475" spans="26:48">
      <c r="Z475" s="3"/>
      <c r="AC475"/>
      <c r="AE475" s="3"/>
      <c r="AH475" t="s">
        <v>2042</v>
      </c>
      <c r="AI475" t="s">
        <v>68</v>
      </c>
      <c r="AJ475" t="s">
        <v>72</v>
      </c>
      <c r="AK475" s="3" t="s">
        <v>27</v>
      </c>
      <c r="AL475" s="3">
        <v>1200.355</v>
      </c>
      <c r="AN475" t="s">
        <v>2108</v>
      </c>
      <c r="AO475" t="s">
        <v>88</v>
      </c>
      <c r="AP475" t="s">
        <v>90</v>
      </c>
      <c r="AQ475" s="3">
        <v>27371.782899999998</v>
      </c>
      <c r="AS475" t="s">
        <v>1830</v>
      </c>
      <c r="AT475" t="s">
        <v>88</v>
      </c>
      <c r="AU475" t="s">
        <v>268</v>
      </c>
      <c r="AV475" s="14">
        <v>0</v>
      </c>
    </row>
    <row r="476" spans="26:48">
      <c r="Z476" s="3"/>
      <c r="AC476"/>
      <c r="AE476" s="3"/>
      <c r="AH476" t="s">
        <v>2042</v>
      </c>
      <c r="AI476" t="s">
        <v>68</v>
      </c>
      <c r="AJ476" t="s">
        <v>113</v>
      </c>
      <c r="AK476" s="3" t="s">
        <v>27</v>
      </c>
      <c r="AL476" s="3">
        <v>-70.717955009600004</v>
      </c>
      <c r="AN476" t="s">
        <v>2109</v>
      </c>
      <c r="AO476" t="s">
        <v>88</v>
      </c>
      <c r="AP476" t="s">
        <v>86</v>
      </c>
      <c r="AQ476" s="3">
        <v>9022.6106</v>
      </c>
      <c r="AS476" t="s">
        <v>1830</v>
      </c>
      <c r="AT476" t="s">
        <v>88</v>
      </c>
      <c r="AU476" t="s">
        <v>269</v>
      </c>
      <c r="AV476" s="14">
        <v>0</v>
      </c>
    </row>
    <row r="477" spans="26:48">
      <c r="Z477" s="3"/>
      <c r="AC477"/>
      <c r="AE477" s="3"/>
      <c r="AH477" t="s">
        <v>2042</v>
      </c>
      <c r="AI477" t="s">
        <v>68</v>
      </c>
      <c r="AJ477" t="s">
        <v>108</v>
      </c>
      <c r="AK477" s="3" t="s">
        <v>27</v>
      </c>
      <c r="AL477" s="3">
        <v>-28.927044990399999</v>
      </c>
      <c r="AN477" t="s">
        <v>2109</v>
      </c>
      <c r="AO477" t="s">
        <v>88</v>
      </c>
      <c r="AP477" t="s">
        <v>90</v>
      </c>
      <c r="AQ477" s="3">
        <v>24091.782899999998</v>
      </c>
      <c r="AS477" t="s">
        <v>1830</v>
      </c>
      <c r="AT477" t="s">
        <v>88</v>
      </c>
      <c r="AU477" t="s">
        <v>270</v>
      </c>
      <c r="AV477" s="14">
        <v>0</v>
      </c>
    </row>
    <row r="478" spans="26:48">
      <c r="Z478" s="3"/>
      <c r="AC478"/>
      <c r="AE478" s="3"/>
      <c r="AH478" t="s">
        <v>2042</v>
      </c>
      <c r="AI478" t="s">
        <v>68</v>
      </c>
      <c r="AJ478" t="s">
        <v>98</v>
      </c>
      <c r="AK478" s="3" t="s">
        <v>27</v>
      </c>
      <c r="AL478" s="3">
        <v>-28.927044990399999</v>
      </c>
      <c r="AN478" t="s">
        <v>2110</v>
      </c>
      <c r="AO478" t="s">
        <v>88</v>
      </c>
      <c r="AP478" t="s">
        <v>86</v>
      </c>
      <c r="AQ478" s="3">
        <v>9022.6106</v>
      </c>
      <c r="AS478" t="s">
        <v>1830</v>
      </c>
      <c r="AT478" t="s">
        <v>88</v>
      </c>
      <c r="AU478" t="s">
        <v>271</v>
      </c>
      <c r="AV478" s="14">
        <v>11705</v>
      </c>
    </row>
    <row r="479" spans="26:48">
      <c r="Z479" s="3"/>
      <c r="AC479"/>
      <c r="AE479" s="3"/>
      <c r="AH479" t="s">
        <v>2042</v>
      </c>
      <c r="AI479" t="s">
        <v>68</v>
      </c>
      <c r="AJ479" t="s">
        <v>66</v>
      </c>
      <c r="AK479" s="3" t="s">
        <v>114</v>
      </c>
      <c r="AL479" s="3">
        <v>3789.4</v>
      </c>
      <c r="AN479" t="s">
        <v>2110</v>
      </c>
      <c r="AO479" t="s">
        <v>88</v>
      </c>
      <c r="AP479" t="s">
        <v>90</v>
      </c>
      <c r="AQ479" s="3">
        <v>23791.782899999998</v>
      </c>
      <c r="AS479" t="s">
        <v>1830</v>
      </c>
      <c r="AT479" t="s">
        <v>88</v>
      </c>
      <c r="AU479" t="s">
        <v>272</v>
      </c>
      <c r="AV479" s="14">
        <v>0</v>
      </c>
    </row>
    <row r="480" spans="26:48">
      <c r="Z480" s="3"/>
      <c r="AC480"/>
      <c r="AE480" s="3"/>
      <c r="AH480" t="s">
        <v>2042</v>
      </c>
      <c r="AI480" t="s">
        <v>68</v>
      </c>
      <c r="AJ480" t="s">
        <v>98</v>
      </c>
      <c r="AK480" s="3" t="s">
        <v>114</v>
      </c>
      <c r="AL480" s="3">
        <v>-134.5452572877</v>
      </c>
      <c r="AN480" t="s">
        <v>2111</v>
      </c>
      <c r="AO480" t="s">
        <v>88</v>
      </c>
      <c r="AP480" t="s">
        <v>86</v>
      </c>
      <c r="AQ480" s="3">
        <v>9022.6106</v>
      </c>
      <c r="AS480" t="s">
        <v>1830</v>
      </c>
      <c r="AT480" t="s">
        <v>88</v>
      </c>
      <c r="AU480" t="s">
        <v>273</v>
      </c>
      <c r="AV480" s="14">
        <v>1000</v>
      </c>
    </row>
    <row r="481" spans="26:48">
      <c r="Z481" s="3"/>
      <c r="AC481"/>
      <c r="AE481" s="3"/>
      <c r="AH481" t="s">
        <v>2042</v>
      </c>
      <c r="AI481" t="s">
        <v>68</v>
      </c>
      <c r="AJ481" t="s">
        <v>66</v>
      </c>
      <c r="AK481" s="3" t="s">
        <v>115</v>
      </c>
      <c r="AL481" s="3">
        <v>2489.4</v>
      </c>
      <c r="AN481" t="s">
        <v>2111</v>
      </c>
      <c r="AO481" t="s">
        <v>88</v>
      </c>
      <c r="AP481" t="s">
        <v>90</v>
      </c>
      <c r="AQ481" s="3">
        <v>22391.782899999998</v>
      </c>
      <c r="AS481" t="s">
        <v>1830</v>
      </c>
      <c r="AT481" t="s">
        <v>196</v>
      </c>
      <c r="AU481" t="s">
        <v>197</v>
      </c>
      <c r="AV481" s="14">
        <v>7.2437978208016203</v>
      </c>
    </row>
    <row r="482" spans="26:48">
      <c r="Z482" s="3"/>
      <c r="AC482"/>
      <c r="AE482" s="3"/>
      <c r="AH482" t="s">
        <v>2042</v>
      </c>
      <c r="AI482" t="s">
        <v>68</v>
      </c>
      <c r="AJ482" t="s">
        <v>98</v>
      </c>
      <c r="AK482" s="3" t="s">
        <v>115</v>
      </c>
      <c r="AL482" s="3">
        <v>-105.6182122972</v>
      </c>
      <c r="AN482" t="s">
        <v>2112</v>
      </c>
      <c r="AO482" t="s">
        <v>88</v>
      </c>
      <c r="AP482" t="s">
        <v>86</v>
      </c>
      <c r="AQ482" s="3">
        <v>9022.6106</v>
      </c>
      <c r="AS482" t="s">
        <v>1830</v>
      </c>
      <c r="AT482" t="s">
        <v>196</v>
      </c>
      <c r="AU482" t="s">
        <v>109</v>
      </c>
      <c r="AV482" s="14">
        <v>5.6081146316527404</v>
      </c>
    </row>
    <row r="483" spans="26:48">
      <c r="Z483" s="3"/>
      <c r="AC483"/>
      <c r="AE483" s="3"/>
      <c r="AH483" t="s">
        <v>2042</v>
      </c>
      <c r="AI483" t="s">
        <v>800</v>
      </c>
      <c r="AJ483" t="s">
        <v>31</v>
      </c>
      <c r="AK483" s="3" t="s">
        <v>27</v>
      </c>
      <c r="AL483" s="3">
        <v>4.0293842106</v>
      </c>
      <c r="AN483" t="s">
        <v>2112</v>
      </c>
      <c r="AO483" t="s">
        <v>88</v>
      </c>
      <c r="AP483" t="s">
        <v>90</v>
      </c>
      <c r="AQ483" s="3">
        <v>21441.782899999998</v>
      </c>
      <c r="AS483" t="s">
        <v>1830</v>
      </c>
      <c r="AT483" t="s">
        <v>196</v>
      </c>
      <c r="AU483" t="s">
        <v>198</v>
      </c>
      <c r="AV483" s="14">
        <v>6.31736757633095</v>
      </c>
    </row>
    <row r="484" spans="26:48">
      <c r="Z484" s="3"/>
      <c r="AC484"/>
      <c r="AE484" s="3"/>
      <c r="AH484" t="s">
        <v>2041</v>
      </c>
      <c r="AI484" t="s">
        <v>800</v>
      </c>
      <c r="AJ484" t="s">
        <v>31</v>
      </c>
      <c r="AK484" s="3" t="s">
        <v>27</v>
      </c>
      <c r="AL484" s="3">
        <v>4.0447888326000001</v>
      </c>
      <c r="AN484" t="s">
        <v>2113</v>
      </c>
      <c r="AO484" t="s">
        <v>88</v>
      </c>
      <c r="AP484" t="s">
        <v>86</v>
      </c>
      <c r="AQ484" s="3">
        <v>9022.6106</v>
      </c>
      <c r="AS484" t="s">
        <v>1831</v>
      </c>
      <c r="AT484" t="s">
        <v>88</v>
      </c>
      <c r="AU484" t="s">
        <v>109</v>
      </c>
      <c r="AV484" s="14">
        <v>16515</v>
      </c>
    </row>
    <row r="485" spans="26:48">
      <c r="Z485" s="3"/>
      <c r="AC485"/>
      <c r="AE485" s="3"/>
      <c r="AH485" t="s">
        <v>2041</v>
      </c>
      <c r="AI485" t="s">
        <v>65</v>
      </c>
      <c r="AJ485" t="s">
        <v>66</v>
      </c>
      <c r="AK485" s="3" t="s">
        <v>27</v>
      </c>
      <c r="AL485" s="3">
        <v>37735.699999999997</v>
      </c>
      <c r="AN485" t="s">
        <v>2113</v>
      </c>
      <c r="AO485" t="s">
        <v>88</v>
      </c>
      <c r="AP485" t="s">
        <v>90</v>
      </c>
      <c r="AQ485" s="3">
        <v>21612.6895</v>
      </c>
      <c r="AS485" t="s">
        <v>1831</v>
      </c>
      <c r="AT485" t="s">
        <v>88</v>
      </c>
      <c r="AU485" t="s">
        <v>110</v>
      </c>
      <c r="AV485" s="14">
        <v>397.61059999999998</v>
      </c>
    </row>
    <row r="486" spans="26:48">
      <c r="Z486" s="3"/>
      <c r="AC486"/>
      <c r="AE486" s="3"/>
      <c r="AH486" t="s">
        <v>2041</v>
      </c>
      <c r="AI486" t="s">
        <v>65</v>
      </c>
      <c r="AJ486" t="s">
        <v>72</v>
      </c>
      <c r="AK486" s="3" t="s">
        <v>27</v>
      </c>
      <c r="AL486" s="3">
        <v>38488.096652</v>
      </c>
      <c r="AN486" t="s">
        <v>2114</v>
      </c>
      <c r="AO486" t="s">
        <v>88</v>
      </c>
      <c r="AP486" t="s">
        <v>86</v>
      </c>
      <c r="AQ486" s="3">
        <v>9022.6106</v>
      </c>
      <c r="AS486" t="s">
        <v>1831</v>
      </c>
      <c r="AT486" t="s">
        <v>88</v>
      </c>
      <c r="AU486" t="s">
        <v>111</v>
      </c>
      <c r="AV486" s="14">
        <v>10800</v>
      </c>
    </row>
    <row r="487" spans="26:48">
      <c r="Z487" s="3"/>
      <c r="AC487"/>
      <c r="AE487" s="3"/>
      <c r="AH487" t="s">
        <v>2041</v>
      </c>
      <c r="AI487" t="s">
        <v>65</v>
      </c>
      <c r="AJ487" t="s">
        <v>113</v>
      </c>
      <c r="AK487" s="3" t="s">
        <v>27</v>
      </c>
      <c r="AL487" s="3">
        <v>2380.4409897235</v>
      </c>
      <c r="AN487" t="s">
        <v>2114</v>
      </c>
      <c r="AO487" t="s">
        <v>88</v>
      </c>
      <c r="AP487" t="s">
        <v>90</v>
      </c>
      <c r="AQ487" s="3">
        <v>21012.6895</v>
      </c>
      <c r="AS487" t="s">
        <v>1831</v>
      </c>
      <c r="AT487" t="s">
        <v>88</v>
      </c>
      <c r="AU487" t="s">
        <v>268</v>
      </c>
      <c r="AV487" s="14">
        <v>0</v>
      </c>
    </row>
    <row r="488" spans="26:48">
      <c r="Z488" s="3"/>
      <c r="AC488"/>
      <c r="AE488" s="3"/>
      <c r="AH488" t="s">
        <v>2041</v>
      </c>
      <c r="AI488" t="s">
        <v>65</v>
      </c>
      <c r="AJ488" t="s">
        <v>108</v>
      </c>
      <c r="AK488" s="3" t="s">
        <v>27</v>
      </c>
      <c r="AL488" s="3">
        <v>-1628.0443377234999</v>
      </c>
      <c r="AN488" t="s">
        <v>2115</v>
      </c>
      <c r="AO488" t="s">
        <v>88</v>
      </c>
      <c r="AP488" t="s">
        <v>86</v>
      </c>
      <c r="AQ488" s="3">
        <v>9022.6106</v>
      </c>
      <c r="AS488" t="s">
        <v>1831</v>
      </c>
      <c r="AT488" t="s">
        <v>88</v>
      </c>
      <c r="AU488" t="s">
        <v>269</v>
      </c>
      <c r="AV488" s="14">
        <v>0</v>
      </c>
    </row>
    <row r="489" spans="26:48">
      <c r="Z489" s="3"/>
      <c r="AC489"/>
      <c r="AE489" s="3"/>
      <c r="AH489" t="s">
        <v>2041</v>
      </c>
      <c r="AI489" t="s">
        <v>65</v>
      </c>
      <c r="AJ489" t="s">
        <v>98</v>
      </c>
      <c r="AK489" s="3" t="s">
        <v>27</v>
      </c>
      <c r="AL489" s="3">
        <v>-1628.0443377234999</v>
      </c>
      <c r="AN489" t="s">
        <v>2115</v>
      </c>
      <c r="AO489" t="s">
        <v>88</v>
      </c>
      <c r="AP489" t="s">
        <v>90</v>
      </c>
      <c r="AQ489" s="3">
        <v>22412.6895</v>
      </c>
      <c r="AS489" t="s">
        <v>1831</v>
      </c>
      <c r="AT489" t="s">
        <v>88</v>
      </c>
      <c r="AU489" t="s">
        <v>270</v>
      </c>
      <c r="AV489" s="14">
        <v>0</v>
      </c>
    </row>
    <row r="490" spans="26:48">
      <c r="Z490" s="3"/>
      <c r="AC490"/>
      <c r="AE490" s="3"/>
      <c r="AH490" t="s">
        <v>2041</v>
      </c>
      <c r="AI490" t="s">
        <v>67</v>
      </c>
      <c r="AJ490" t="s">
        <v>66</v>
      </c>
      <c r="AK490" s="3" t="s">
        <v>27</v>
      </c>
      <c r="AL490" s="3">
        <v>-22603.7</v>
      </c>
      <c r="AN490" t="s">
        <v>2116</v>
      </c>
      <c r="AO490" t="s">
        <v>88</v>
      </c>
      <c r="AP490" t="s">
        <v>86</v>
      </c>
      <c r="AQ490" s="3">
        <v>8772.6106</v>
      </c>
      <c r="AS490" t="s">
        <v>1831</v>
      </c>
      <c r="AT490" t="s">
        <v>88</v>
      </c>
      <c r="AU490" t="s">
        <v>271</v>
      </c>
      <c r="AV490" s="14">
        <v>10635</v>
      </c>
    </row>
    <row r="491" spans="26:48">
      <c r="Z491" s="3"/>
      <c r="AC491"/>
      <c r="AE491" s="3"/>
      <c r="AH491" t="s">
        <v>2041</v>
      </c>
      <c r="AI491" t="s">
        <v>67</v>
      </c>
      <c r="AJ491" t="s">
        <v>72</v>
      </c>
      <c r="AK491" s="3" t="s">
        <v>27</v>
      </c>
      <c r="AL491" s="3">
        <v>-24660.090182</v>
      </c>
      <c r="AN491" t="s">
        <v>2116</v>
      </c>
      <c r="AO491" t="s">
        <v>88</v>
      </c>
      <c r="AP491" t="s">
        <v>90</v>
      </c>
      <c r="AQ491" s="3">
        <v>21812.6895</v>
      </c>
      <c r="AS491" t="s">
        <v>1831</v>
      </c>
      <c r="AT491" t="s">
        <v>88</v>
      </c>
      <c r="AU491" t="s">
        <v>272</v>
      </c>
      <c r="AV491" s="14">
        <v>0</v>
      </c>
    </row>
    <row r="492" spans="26:48">
      <c r="Z492" s="3"/>
      <c r="AC492"/>
      <c r="AE492" s="3"/>
      <c r="AH492" t="s">
        <v>2041</v>
      </c>
      <c r="AI492" t="s">
        <v>67</v>
      </c>
      <c r="AJ492" t="s">
        <v>113</v>
      </c>
      <c r="AK492" s="3" t="s">
        <v>27</v>
      </c>
      <c r="AL492" s="3">
        <v>-2137.8498465291</v>
      </c>
      <c r="AN492" t="s">
        <v>2117</v>
      </c>
      <c r="AO492" t="s">
        <v>88</v>
      </c>
      <c r="AP492" t="s">
        <v>86</v>
      </c>
      <c r="AQ492" s="3">
        <v>8772.6106</v>
      </c>
      <c r="AS492" t="s">
        <v>1831</v>
      </c>
      <c r="AT492" t="s">
        <v>88</v>
      </c>
      <c r="AU492" t="s">
        <v>273</v>
      </c>
      <c r="AV492" s="14">
        <v>0</v>
      </c>
    </row>
    <row r="493" spans="26:48">
      <c r="Z493" s="3"/>
      <c r="AC493"/>
      <c r="AE493" s="3"/>
      <c r="AH493" t="s">
        <v>2041</v>
      </c>
      <c r="AI493" t="s">
        <v>67</v>
      </c>
      <c r="AJ493" t="s">
        <v>108</v>
      </c>
      <c r="AK493" s="3" t="s">
        <v>27</v>
      </c>
      <c r="AL493" s="3">
        <v>81.459664529099996</v>
      </c>
      <c r="AN493" t="s">
        <v>2117</v>
      </c>
      <c r="AO493" t="s">
        <v>88</v>
      </c>
      <c r="AP493" t="s">
        <v>90</v>
      </c>
      <c r="AQ493" s="3">
        <v>22812.6895</v>
      </c>
      <c r="AS493" t="s">
        <v>1831</v>
      </c>
      <c r="AT493" t="s">
        <v>196</v>
      </c>
      <c r="AU493" t="s">
        <v>197</v>
      </c>
      <c r="AV493" s="14">
        <v>7.2437978208016203</v>
      </c>
    </row>
    <row r="494" spans="26:48">
      <c r="Z494" s="3"/>
      <c r="AC494"/>
      <c r="AE494" s="3"/>
      <c r="AH494" t="s">
        <v>2041</v>
      </c>
      <c r="AI494" t="s">
        <v>67</v>
      </c>
      <c r="AJ494" t="s">
        <v>98</v>
      </c>
      <c r="AK494" s="3" t="s">
        <v>27</v>
      </c>
      <c r="AL494" s="3">
        <v>81.459664529099996</v>
      </c>
      <c r="AN494" t="s">
        <v>2118</v>
      </c>
      <c r="AO494" t="s">
        <v>88</v>
      </c>
      <c r="AP494" t="s">
        <v>86</v>
      </c>
      <c r="AQ494" s="3">
        <v>8772.6106</v>
      </c>
      <c r="AS494" t="s">
        <v>1831</v>
      </c>
      <c r="AT494" t="s">
        <v>196</v>
      </c>
      <c r="AU494" t="s">
        <v>109</v>
      </c>
      <c r="AV494" s="14">
        <v>5.6652805862603</v>
      </c>
    </row>
    <row r="495" spans="26:48">
      <c r="Z495" s="3"/>
      <c r="AC495"/>
      <c r="AE495" s="3"/>
      <c r="AH495" t="s">
        <v>2041</v>
      </c>
      <c r="AI495" t="s">
        <v>67</v>
      </c>
      <c r="AJ495" t="s">
        <v>66</v>
      </c>
      <c r="AK495" s="3" t="s">
        <v>114</v>
      </c>
      <c r="AL495" s="3">
        <v>731</v>
      </c>
      <c r="AN495" t="s">
        <v>2118</v>
      </c>
      <c r="AO495" t="s">
        <v>88</v>
      </c>
      <c r="AP495" t="s">
        <v>90</v>
      </c>
      <c r="AQ495" s="3">
        <v>23212.6895</v>
      </c>
      <c r="AS495" t="s">
        <v>1831</v>
      </c>
      <c r="AT495" t="s">
        <v>196</v>
      </c>
      <c r="AU495" t="s">
        <v>198</v>
      </c>
      <c r="AV495" s="14">
        <v>6.3203365036069501</v>
      </c>
    </row>
    <row r="496" spans="26:48">
      <c r="Z496" s="3"/>
      <c r="AC496"/>
      <c r="AE496" s="3"/>
      <c r="AH496" t="s">
        <v>2041</v>
      </c>
      <c r="AI496" t="s">
        <v>67</v>
      </c>
      <c r="AJ496" t="s">
        <v>98</v>
      </c>
      <c r="AK496" s="3" t="s">
        <v>114</v>
      </c>
      <c r="AL496" s="3">
        <v>-54.334162739699998</v>
      </c>
      <c r="AN496" t="s">
        <v>2119</v>
      </c>
      <c r="AO496" t="s">
        <v>88</v>
      </c>
      <c r="AP496" t="s">
        <v>86</v>
      </c>
      <c r="AQ496" s="3">
        <v>8772.6106</v>
      </c>
      <c r="AS496" t="s">
        <v>1832</v>
      </c>
      <c r="AT496" t="s">
        <v>88</v>
      </c>
      <c r="AU496" t="s">
        <v>109</v>
      </c>
      <c r="AV496" s="14">
        <v>17945</v>
      </c>
    </row>
    <row r="497" spans="26:48">
      <c r="Z497" s="3"/>
      <c r="AC497"/>
      <c r="AE497" s="3"/>
      <c r="AH497" t="s">
        <v>2041</v>
      </c>
      <c r="AI497" t="s">
        <v>67</v>
      </c>
      <c r="AJ497" t="s">
        <v>66</v>
      </c>
      <c r="AK497" s="3" t="s">
        <v>115</v>
      </c>
      <c r="AL497" s="3">
        <v>23334.7</v>
      </c>
      <c r="AN497" t="s">
        <v>2119</v>
      </c>
      <c r="AO497" t="s">
        <v>88</v>
      </c>
      <c r="AP497" t="s">
        <v>90</v>
      </c>
      <c r="AQ497" s="3">
        <v>23097.6895</v>
      </c>
      <c r="AS497" t="s">
        <v>1832</v>
      </c>
      <c r="AT497" t="s">
        <v>88</v>
      </c>
      <c r="AU497" t="s">
        <v>110</v>
      </c>
      <c r="AV497" s="14">
        <v>397.61059999999998</v>
      </c>
    </row>
    <row r="498" spans="26:48">
      <c r="Z498" s="3"/>
      <c r="AC498"/>
      <c r="AE498" s="3"/>
      <c r="AH498" t="s">
        <v>2041</v>
      </c>
      <c r="AI498" t="s">
        <v>67</v>
      </c>
      <c r="AJ498" t="s">
        <v>98</v>
      </c>
      <c r="AK498" s="3" t="s">
        <v>115</v>
      </c>
      <c r="AL498" s="3">
        <v>-135.79382726879999</v>
      </c>
      <c r="AN498" t="s">
        <v>2120</v>
      </c>
      <c r="AO498" t="s">
        <v>88</v>
      </c>
      <c r="AP498" t="s">
        <v>86</v>
      </c>
      <c r="AQ498" s="3">
        <v>8772.6106</v>
      </c>
      <c r="AS498" t="s">
        <v>1832</v>
      </c>
      <c r="AT498" t="s">
        <v>88</v>
      </c>
      <c r="AU498" t="s">
        <v>111</v>
      </c>
      <c r="AV498" s="14">
        <v>10800</v>
      </c>
    </row>
    <row r="499" spans="26:48">
      <c r="Z499" s="3"/>
      <c r="AC499"/>
      <c r="AE499" s="3"/>
      <c r="AH499" t="s">
        <v>2041</v>
      </c>
      <c r="AI499" t="s">
        <v>68</v>
      </c>
      <c r="AJ499" t="s">
        <v>66</v>
      </c>
      <c r="AK499" s="3" t="s">
        <v>27</v>
      </c>
      <c r="AL499" s="3">
        <v>2381</v>
      </c>
      <c r="AN499" t="s">
        <v>2120</v>
      </c>
      <c r="AO499" t="s">
        <v>88</v>
      </c>
      <c r="AP499" t="s">
        <v>90</v>
      </c>
      <c r="AQ499" s="3">
        <v>21747.6895</v>
      </c>
      <c r="AS499" t="s">
        <v>1832</v>
      </c>
      <c r="AT499" t="s">
        <v>88</v>
      </c>
      <c r="AU499" t="s">
        <v>268</v>
      </c>
      <c r="AV499" s="14">
        <v>0</v>
      </c>
    </row>
    <row r="500" spans="26:48">
      <c r="Z500" s="3"/>
      <c r="AC500"/>
      <c r="AE500" s="3"/>
      <c r="AH500" t="s">
        <v>2041</v>
      </c>
      <c r="AI500" t="s">
        <v>68</v>
      </c>
      <c r="AJ500" t="s">
        <v>72</v>
      </c>
      <c r="AK500" s="3" t="s">
        <v>27</v>
      </c>
      <c r="AL500" s="3">
        <v>2174.1959900000002</v>
      </c>
      <c r="AN500" t="s">
        <v>2121</v>
      </c>
      <c r="AO500" t="s">
        <v>88</v>
      </c>
      <c r="AP500" t="s">
        <v>86</v>
      </c>
      <c r="AQ500" s="3">
        <v>8772.6106</v>
      </c>
      <c r="AS500" t="s">
        <v>1832</v>
      </c>
      <c r="AT500" t="s">
        <v>88</v>
      </c>
      <c r="AU500" t="s">
        <v>269</v>
      </c>
      <c r="AV500" s="14">
        <v>0</v>
      </c>
    </row>
    <row r="501" spans="26:48">
      <c r="Z501" s="3"/>
      <c r="AC501"/>
      <c r="AE501" s="3"/>
      <c r="AH501" t="s">
        <v>2041</v>
      </c>
      <c r="AI501" t="s">
        <v>68</v>
      </c>
      <c r="AJ501" t="s">
        <v>113</v>
      </c>
      <c r="AK501" s="3" t="s">
        <v>27</v>
      </c>
      <c r="AL501" s="3">
        <v>-115.1545497672</v>
      </c>
      <c r="AN501" t="s">
        <v>2121</v>
      </c>
      <c r="AO501" t="s">
        <v>88</v>
      </c>
      <c r="AP501" t="s">
        <v>90</v>
      </c>
      <c r="AQ501" s="3">
        <v>19898.212899999999</v>
      </c>
      <c r="AS501" t="s">
        <v>1832</v>
      </c>
      <c r="AT501" t="s">
        <v>88</v>
      </c>
      <c r="AU501" t="s">
        <v>270</v>
      </c>
      <c r="AV501" s="14">
        <v>0</v>
      </c>
    </row>
    <row r="502" spans="26:48">
      <c r="Z502" s="3"/>
      <c r="AC502"/>
      <c r="AE502" s="3"/>
      <c r="AH502" t="s">
        <v>2041</v>
      </c>
      <c r="AI502" t="s">
        <v>68</v>
      </c>
      <c r="AJ502" t="s">
        <v>108</v>
      </c>
      <c r="AK502" s="3" t="s">
        <v>27</v>
      </c>
      <c r="AL502" s="3">
        <v>-91.649460232799996</v>
      </c>
      <c r="AN502" t="s">
        <v>2122</v>
      </c>
      <c r="AO502" t="s">
        <v>88</v>
      </c>
      <c r="AP502" t="s">
        <v>86</v>
      </c>
      <c r="AQ502" s="3">
        <v>9022.6106</v>
      </c>
      <c r="AS502" t="s">
        <v>1832</v>
      </c>
      <c r="AT502" t="s">
        <v>88</v>
      </c>
      <c r="AU502" t="s">
        <v>271</v>
      </c>
      <c r="AV502" s="14">
        <v>10705</v>
      </c>
    </row>
    <row r="503" spans="26:48">
      <c r="Z503" s="3"/>
      <c r="AC503"/>
      <c r="AE503" s="3"/>
      <c r="AH503" t="s">
        <v>2041</v>
      </c>
      <c r="AI503" t="s">
        <v>68</v>
      </c>
      <c r="AJ503" t="s">
        <v>98</v>
      </c>
      <c r="AK503" s="3" t="s">
        <v>27</v>
      </c>
      <c r="AL503" s="3">
        <v>-91.649460232799996</v>
      </c>
      <c r="AN503" t="s">
        <v>2122</v>
      </c>
      <c r="AO503" t="s">
        <v>88</v>
      </c>
      <c r="AP503" t="s">
        <v>90</v>
      </c>
      <c r="AQ503" s="3">
        <v>21098.212899999999</v>
      </c>
      <c r="AS503" t="s">
        <v>1832</v>
      </c>
      <c r="AT503" t="s">
        <v>88</v>
      </c>
      <c r="AU503" t="s">
        <v>272</v>
      </c>
      <c r="AV503" s="14">
        <v>0</v>
      </c>
    </row>
    <row r="504" spans="26:48">
      <c r="Z504" s="3"/>
      <c r="AC504"/>
      <c r="AE504" s="3"/>
      <c r="AH504" t="s">
        <v>2041</v>
      </c>
      <c r="AI504" t="s">
        <v>68</v>
      </c>
      <c r="AJ504" t="s">
        <v>66</v>
      </c>
      <c r="AK504" s="3" t="s">
        <v>114</v>
      </c>
      <c r="AL504" s="3">
        <v>4870.3999999999996</v>
      </c>
      <c r="AN504" t="s">
        <v>2123</v>
      </c>
      <c r="AO504" t="s">
        <v>88</v>
      </c>
      <c r="AP504" t="s">
        <v>86</v>
      </c>
      <c r="AQ504" s="3">
        <v>9022.6106</v>
      </c>
      <c r="AS504" t="s">
        <v>1832</v>
      </c>
      <c r="AT504" t="s">
        <v>88</v>
      </c>
      <c r="AU504" t="s">
        <v>273</v>
      </c>
      <c r="AV504" s="14">
        <v>0</v>
      </c>
    </row>
    <row r="505" spans="26:48">
      <c r="Z505" s="3"/>
      <c r="AC505"/>
      <c r="AE505" s="3"/>
      <c r="AH505" t="s">
        <v>2041</v>
      </c>
      <c r="AI505" t="s">
        <v>68</v>
      </c>
      <c r="AJ505" t="s">
        <v>98</v>
      </c>
      <c r="AK505" s="3" t="s">
        <v>114</v>
      </c>
      <c r="AL505" s="3">
        <v>-197.212310274</v>
      </c>
      <c r="AN505" t="s">
        <v>2123</v>
      </c>
      <c r="AO505" t="s">
        <v>88</v>
      </c>
      <c r="AP505" t="s">
        <v>90</v>
      </c>
      <c r="AQ505" s="3">
        <v>20098.212899999999</v>
      </c>
      <c r="AS505" t="s">
        <v>1832</v>
      </c>
      <c r="AT505" t="s">
        <v>196</v>
      </c>
      <c r="AU505" t="s">
        <v>197</v>
      </c>
      <c r="AV505" s="14">
        <v>7.2437978208016203</v>
      </c>
    </row>
    <row r="506" spans="26:48">
      <c r="Z506" s="3"/>
      <c r="AC506"/>
      <c r="AE506" s="3"/>
      <c r="AH506" t="s">
        <v>2041</v>
      </c>
      <c r="AI506" t="s">
        <v>68</v>
      </c>
      <c r="AJ506" t="s">
        <v>66</v>
      </c>
      <c r="AK506" s="3" t="s">
        <v>115</v>
      </c>
      <c r="AL506" s="3">
        <v>2489.4</v>
      </c>
      <c r="AN506" t="s">
        <v>2124</v>
      </c>
      <c r="AO506" t="s">
        <v>88</v>
      </c>
      <c r="AP506" t="s">
        <v>86</v>
      </c>
      <c r="AQ506" s="3">
        <v>9022.6106</v>
      </c>
      <c r="AS506" t="s">
        <v>1832</v>
      </c>
      <c r="AT506" t="s">
        <v>196</v>
      </c>
      <c r="AU506" t="s">
        <v>109</v>
      </c>
      <c r="AV506" s="14">
        <v>5.7081142352063399</v>
      </c>
    </row>
    <row r="507" spans="26:48">
      <c r="Z507" s="3"/>
      <c r="AC507"/>
      <c r="AE507" s="3"/>
      <c r="AH507" t="s">
        <v>2041</v>
      </c>
      <c r="AI507" t="s">
        <v>68</v>
      </c>
      <c r="AJ507" t="s">
        <v>98</v>
      </c>
      <c r="AK507" s="3" t="s">
        <v>115</v>
      </c>
      <c r="AL507" s="3">
        <v>-105.56285004119999</v>
      </c>
      <c r="AN507" t="s">
        <v>2124</v>
      </c>
      <c r="AO507" t="s">
        <v>88</v>
      </c>
      <c r="AP507" t="s">
        <v>90</v>
      </c>
      <c r="AQ507" s="3">
        <v>17948.212899999999</v>
      </c>
      <c r="AS507" t="s">
        <v>1832</v>
      </c>
      <c r="AT507" t="s">
        <v>196</v>
      </c>
      <c r="AU507" t="s">
        <v>198</v>
      </c>
      <c r="AV507" s="14">
        <v>6.3198269348673897</v>
      </c>
    </row>
    <row r="508" spans="26:48">
      <c r="Z508" s="3"/>
      <c r="AC508"/>
      <c r="AE508" s="3"/>
      <c r="AH508" t="s">
        <v>2040</v>
      </c>
      <c r="AI508" t="s">
        <v>800</v>
      </c>
      <c r="AJ508" t="s">
        <v>31</v>
      </c>
      <c r="AK508" s="3" t="s">
        <v>27</v>
      </c>
      <c r="AL508" s="3">
        <v>4.0256531291000002</v>
      </c>
      <c r="AN508" t="s">
        <v>2125</v>
      </c>
      <c r="AO508" t="s">
        <v>88</v>
      </c>
      <c r="AP508" t="s">
        <v>86</v>
      </c>
      <c r="AQ508" s="3">
        <v>9022.6106</v>
      </c>
      <c r="AS508" t="s">
        <v>1833</v>
      </c>
      <c r="AT508" t="s">
        <v>88</v>
      </c>
      <c r="AU508" t="s">
        <v>109</v>
      </c>
      <c r="AV508" s="14">
        <v>19345</v>
      </c>
    </row>
    <row r="509" spans="26:48">
      <c r="Z509" s="3"/>
      <c r="AC509"/>
      <c r="AE509" s="3"/>
      <c r="AH509" t="s">
        <v>2040</v>
      </c>
      <c r="AI509" t="s">
        <v>65</v>
      </c>
      <c r="AJ509" t="s">
        <v>66</v>
      </c>
      <c r="AK509" s="3" t="s">
        <v>27</v>
      </c>
      <c r="AL509" s="3">
        <v>38306.699999999997</v>
      </c>
      <c r="AN509" t="s">
        <v>2125</v>
      </c>
      <c r="AO509" t="s">
        <v>88</v>
      </c>
      <c r="AP509" t="s">
        <v>90</v>
      </c>
      <c r="AQ509" s="3">
        <v>17748.212899999999</v>
      </c>
      <c r="AS509" t="s">
        <v>1833</v>
      </c>
      <c r="AT509" t="s">
        <v>88</v>
      </c>
      <c r="AU509" t="s">
        <v>110</v>
      </c>
      <c r="AV509" s="14">
        <v>397.61059999999998</v>
      </c>
    </row>
    <row r="510" spans="26:48">
      <c r="Z510" s="3"/>
      <c r="AC510"/>
      <c r="AE510" s="3"/>
      <c r="AH510" t="s">
        <v>2040</v>
      </c>
      <c r="AI510" t="s">
        <v>65</v>
      </c>
      <c r="AJ510" t="s">
        <v>72</v>
      </c>
      <c r="AK510" s="3" t="s">
        <v>27</v>
      </c>
      <c r="AL510" s="3">
        <v>39064.470957999998</v>
      </c>
      <c r="AN510" t="s">
        <v>2126</v>
      </c>
      <c r="AO510" t="s">
        <v>88</v>
      </c>
      <c r="AP510" t="s">
        <v>86</v>
      </c>
      <c r="AQ510" s="3">
        <v>9522.6106</v>
      </c>
      <c r="AS510" t="s">
        <v>1833</v>
      </c>
      <c r="AT510" t="s">
        <v>88</v>
      </c>
      <c r="AU510" t="s">
        <v>111</v>
      </c>
      <c r="AV510" s="14">
        <v>10800</v>
      </c>
    </row>
    <row r="511" spans="26:48">
      <c r="Z511" s="3"/>
      <c r="AC511"/>
      <c r="AE511" s="3"/>
      <c r="AH511" t="s">
        <v>2040</v>
      </c>
      <c r="AI511" t="s">
        <v>65</v>
      </c>
      <c r="AJ511" t="s">
        <v>113</v>
      </c>
      <c r="AK511" s="3" t="s">
        <v>27</v>
      </c>
      <c r="AL511" s="3">
        <v>2437.2742396515</v>
      </c>
      <c r="AN511" t="s">
        <v>2126</v>
      </c>
      <c r="AO511" t="s">
        <v>88</v>
      </c>
      <c r="AP511" t="s">
        <v>90</v>
      </c>
      <c r="AQ511" s="3">
        <v>17748.212899999999</v>
      </c>
      <c r="AS511" t="s">
        <v>1833</v>
      </c>
      <c r="AT511" t="s">
        <v>88</v>
      </c>
      <c r="AU511" t="s">
        <v>268</v>
      </c>
      <c r="AV511" s="14">
        <v>0</v>
      </c>
    </row>
    <row r="512" spans="26:48">
      <c r="Z512" s="3"/>
      <c r="AC512"/>
      <c r="AE512" s="3"/>
      <c r="AH512" t="s">
        <v>2040</v>
      </c>
      <c r="AI512" t="s">
        <v>65</v>
      </c>
      <c r="AJ512" t="s">
        <v>108</v>
      </c>
      <c r="AK512" s="3" t="s">
        <v>27</v>
      </c>
      <c r="AL512" s="3">
        <v>-1679.5032816514999</v>
      </c>
      <c r="AN512" t="s">
        <v>2127</v>
      </c>
      <c r="AO512" t="s">
        <v>88</v>
      </c>
      <c r="AP512" t="s">
        <v>86</v>
      </c>
      <c r="AQ512" s="3">
        <v>9522.6106</v>
      </c>
      <c r="AS512" t="s">
        <v>1833</v>
      </c>
      <c r="AT512" t="s">
        <v>88</v>
      </c>
      <c r="AU512" t="s">
        <v>269</v>
      </c>
      <c r="AV512" s="14">
        <v>0</v>
      </c>
    </row>
    <row r="513" spans="26:48">
      <c r="Z513" s="3"/>
      <c r="AC513"/>
      <c r="AE513" s="3"/>
      <c r="AH513" t="s">
        <v>2040</v>
      </c>
      <c r="AI513" t="s">
        <v>65</v>
      </c>
      <c r="AJ513" t="s">
        <v>98</v>
      </c>
      <c r="AK513" s="3" t="s">
        <v>27</v>
      </c>
      <c r="AL513" s="3">
        <v>-1679.5032816514999</v>
      </c>
      <c r="AN513" t="s">
        <v>2127</v>
      </c>
      <c r="AO513" t="s">
        <v>88</v>
      </c>
      <c r="AP513" t="s">
        <v>90</v>
      </c>
      <c r="AQ513" s="3">
        <v>18068.212899999999</v>
      </c>
      <c r="AS513" t="s">
        <v>1833</v>
      </c>
      <c r="AT513" t="s">
        <v>88</v>
      </c>
      <c r="AU513" t="s">
        <v>270</v>
      </c>
      <c r="AV513" s="14">
        <v>0</v>
      </c>
    </row>
    <row r="514" spans="26:48">
      <c r="Z514" s="3"/>
      <c r="AC514"/>
      <c r="AE514" s="3"/>
      <c r="AH514" t="s">
        <v>2040</v>
      </c>
      <c r="AI514" t="s">
        <v>67</v>
      </c>
      <c r="AJ514" t="s">
        <v>66</v>
      </c>
      <c r="AK514" s="3" t="s">
        <v>27</v>
      </c>
      <c r="AL514" s="3">
        <v>-23565.7</v>
      </c>
      <c r="AN514" t="s">
        <v>2128</v>
      </c>
      <c r="AO514" t="s">
        <v>88</v>
      </c>
      <c r="AP514" t="s">
        <v>86</v>
      </c>
      <c r="AQ514" s="3">
        <v>9522.6106</v>
      </c>
      <c r="AS514" t="s">
        <v>1833</v>
      </c>
      <c r="AT514" t="s">
        <v>88</v>
      </c>
      <c r="AU514" t="s">
        <v>271</v>
      </c>
      <c r="AV514" s="14">
        <v>9305</v>
      </c>
    </row>
    <row r="515" spans="26:48">
      <c r="Z515" s="3"/>
      <c r="AC515"/>
      <c r="AE515" s="3"/>
      <c r="AH515" t="s">
        <v>2040</v>
      </c>
      <c r="AI515" t="s">
        <v>67</v>
      </c>
      <c r="AJ515" t="s">
        <v>72</v>
      </c>
      <c r="AK515" s="3" t="s">
        <v>27</v>
      </c>
      <c r="AL515" s="3">
        <v>-25652.079967999998</v>
      </c>
      <c r="AN515" t="s">
        <v>2128</v>
      </c>
      <c r="AO515" t="s">
        <v>88</v>
      </c>
      <c r="AP515" t="s">
        <v>90</v>
      </c>
      <c r="AQ515" s="3">
        <v>19368.212899999999</v>
      </c>
      <c r="AS515" t="s">
        <v>1833</v>
      </c>
      <c r="AT515" t="s">
        <v>88</v>
      </c>
      <c r="AU515" t="s">
        <v>272</v>
      </c>
      <c r="AV515" s="14">
        <v>0</v>
      </c>
    </row>
    <row r="516" spans="26:48">
      <c r="Z516" s="3"/>
      <c r="AC516"/>
      <c r="AE516" s="3"/>
      <c r="AH516" t="s">
        <v>2040</v>
      </c>
      <c r="AI516" t="s">
        <v>67</v>
      </c>
      <c r="AJ516" t="s">
        <v>113</v>
      </c>
      <c r="AK516" s="3" t="s">
        <v>27</v>
      </c>
      <c r="AL516" s="3">
        <v>-2255.6753587093999</v>
      </c>
      <c r="AN516" t="s">
        <v>2129</v>
      </c>
      <c r="AO516" t="s">
        <v>88</v>
      </c>
      <c r="AP516" t="s">
        <v>86</v>
      </c>
      <c r="AQ516" s="3">
        <v>9522.6106</v>
      </c>
      <c r="AS516" t="s">
        <v>1833</v>
      </c>
      <c r="AT516" t="s">
        <v>88</v>
      </c>
      <c r="AU516" t="s">
        <v>273</v>
      </c>
      <c r="AV516" s="14">
        <v>0</v>
      </c>
    </row>
    <row r="517" spans="26:48">
      <c r="Z517" s="3"/>
      <c r="AC517"/>
      <c r="AE517" s="3"/>
      <c r="AH517" t="s">
        <v>2040</v>
      </c>
      <c r="AI517" t="s">
        <v>67</v>
      </c>
      <c r="AJ517" t="s">
        <v>108</v>
      </c>
      <c r="AK517" s="3" t="s">
        <v>27</v>
      </c>
      <c r="AL517" s="3">
        <v>169.29539070940001</v>
      </c>
      <c r="AN517" t="s">
        <v>2129</v>
      </c>
      <c r="AO517" t="s">
        <v>88</v>
      </c>
      <c r="AP517" t="s">
        <v>90</v>
      </c>
      <c r="AQ517" s="3">
        <v>23045.8367</v>
      </c>
      <c r="AS517" t="s">
        <v>1833</v>
      </c>
      <c r="AT517" t="s">
        <v>196</v>
      </c>
      <c r="AU517" t="s">
        <v>197</v>
      </c>
      <c r="AV517" s="14">
        <v>7.2437978208016203</v>
      </c>
    </row>
    <row r="518" spans="26:48">
      <c r="Z518" s="3"/>
      <c r="AC518"/>
      <c r="AE518" s="3"/>
      <c r="AH518" t="s">
        <v>2040</v>
      </c>
      <c r="AI518" t="s">
        <v>67</v>
      </c>
      <c r="AJ518" t="s">
        <v>98</v>
      </c>
      <c r="AK518" s="3" t="s">
        <v>27</v>
      </c>
      <c r="AL518" s="3">
        <v>169.29539070940001</v>
      </c>
      <c r="AN518" t="s">
        <v>2130</v>
      </c>
      <c r="AO518" t="s">
        <v>88</v>
      </c>
      <c r="AP518" t="s">
        <v>86</v>
      </c>
      <c r="AQ518" s="3">
        <v>9522.6106</v>
      </c>
      <c r="AS518" t="s">
        <v>1833</v>
      </c>
      <c r="AT518" t="s">
        <v>196</v>
      </c>
      <c r="AU518" t="s">
        <v>109</v>
      </c>
      <c r="AV518" s="14">
        <v>5.7238949596848299</v>
      </c>
    </row>
    <row r="519" spans="26:48">
      <c r="Z519" s="3"/>
      <c r="AC519"/>
      <c r="AE519" s="3"/>
      <c r="AH519" t="s">
        <v>2040</v>
      </c>
      <c r="AI519" t="s">
        <v>67</v>
      </c>
      <c r="AJ519" t="s">
        <v>66</v>
      </c>
      <c r="AK519" s="3" t="s">
        <v>114</v>
      </c>
      <c r="AL519" s="3">
        <v>160</v>
      </c>
      <c r="AN519" t="s">
        <v>2130</v>
      </c>
      <c r="AO519" t="s">
        <v>88</v>
      </c>
      <c r="AP519" t="s">
        <v>90</v>
      </c>
      <c r="AQ519" s="3">
        <v>23545.8367</v>
      </c>
      <c r="AS519" t="s">
        <v>1833</v>
      </c>
      <c r="AT519" t="s">
        <v>196</v>
      </c>
      <c r="AU519" t="s">
        <v>198</v>
      </c>
      <c r="AV519" s="14">
        <v>6.3064399969388196</v>
      </c>
    </row>
    <row r="520" spans="26:48">
      <c r="Z520" s="3"/>
      <c r="AC520"/>
      <c r="AE520" s="3"/>
      <c r="AH520" t="s">
        <v>2040</v>
      </c>
      <c r="AI520" t="s">
        <v>67</v>
      </c>
      <c r="AJ520" t="s">
        <v>98</v>
      </c>
      <c r="AK520" s="3" t="s">
        <v>114</v>
      </c>
      <c r="AL520" s="3">
        <v>-6.7997808218999998</v>
      </c>
      <c r="AN520" t="s">
        <v>2131</v>
      </c>
      <c r="AO520" t="s">
        <v>88</v>
      </c>
      <c r="AP520" t="s">
        <v>86</v>
      </c>
      <c r="AQ520" s="3">
        <v>9522.6106</v>
      </c>
      <c r="AS520" t="s">
        <v>1834</v>
      </c>
      <c r="AT520" t="s">
        <v>88</v>
      </c>
      <c r="AU520" t="s">
        <v>109</v>
      </c>
      <c r="AV520" s="14">
        <v>19415</v>
      </c>
    </row>
    <row r="521" spans="26:48">
      <c r="Z521" s="3"/>
      <c r="AC521"/>
      <c r="AE521" s="3"/>
      <c r="AH521" t="s">
        <v>2040</v>
      </c>
      <c r="AI521" t="s">
        <v>67</v>
      </c>
      <c r="AJ521" t="s">
        <v>66</v>
      </c>
      <c r="AK521" s="3" t="s">
        <v>115</v>
      </c>
      <c r="AL521" s="3">
        <v>23725.7</v>
      </c>
      <c r="AN521" t="s">
        <v>2131</v>
      </c>
      <c r="AO521" t="s">
        <v>88</v>
      </c>
      <c r="AP521" t="s">
        <v>90</v>
      </c>
      <c r="AQ521" s="3">
        <v>22745.8367</v>
      </c>
      <c r="AS521" t="s">
        <v>1834</v>
      </c>
      <c r="AT521" t="s">
        <v>88</v>
      </c>
      <c r="AU521" t="s">
        <v>110</v>
      </c>
      <c r="AV521" s="14">
        <v>397.61059999999998</v>
      </c>
    </row>
    <row r="522" spans="26:48">
      <c r="Z522" s="3"/>
      <c r="AC522"/>
      <c r="AE522" s="3"/>
      <c r="AH522" t="s">
        <v>2040</v>
      </c>
      <c r="AI522" t="s">
        <v>67</v>
      </c>
      <c r="AJ522" t="s">
        <v>98</v>
      </c>
      <c r="AK522" s="3" t="s">
        <v>115</v>
      </c>
      <c r="AL522" s="3">
        <v>-176.09517153140001</v>
      </c>
      <c r="AN522" t="s">
        <v>2132</v>
      </c>
      <c r="AO522" t="s">
        <v>88</v>
      </c>
      <c r="AP522" t="s">
        <v>86</v>
      </c>
      <c r="AQ522" s="3">
        <v>9522.6106</v>
      </c>
      <c r="AS522" t="s">
        <v>1834</v>
      </c>
      <c r="AT522" t="s">
        <v>88</v>
      </c>
      <c r="AU522" t="s">
        <v>111</v>
      </c>
      <c r="AV522" s="14">
        <v>10800</v>
      </c>
    </row>
    <row r="523" spans="26:48">
      <c r="Z523" s="3"/>
      <c r="AC523"/>
      <c r="AE523" s="3"/>
      <c r="AH523" t="s">
        <v>2040</v>
      </c>
      <c r="AI523" t="s">
        <v>68</v>
      </c>
      <c r="AJ523" t="s">
        <v>66</v>
      </c>
      <c r="AK523" s="3" t="s">
        <v>27</v>
      </c>
      <c r="AL523" s="3">
        <v>2772</v>
      </c>
      <c r="AN523" t="s">
        <v>2132</v>
      </c>
      <c r="AO523" t="s">
        <v>88</v>
      </c>
      <c r="AP523" t="s">
        <v>90</v>
      </c>
      <c r="AQ523" s="3">
        <v>22745.8367</v>
      </c>
      <c r="AS523" t="s">
        <v>1834</v>
      </c>
      <c r="AT523" t="s">
        <v>88</v>
      </c>
      <c r="AU523" t="s">
        <v>268</v>
      </c>
      <c r="AV523" s="14">
        <v>0</v>
      </c>
    </row>
    <row r="524" spans="26:48">
      <c r="Z524" s="3"/>
      <c r="AC524"/>
      <c r="AE524" s="3"/>
      <c r="AH524" t="s">
        <v>2040</v>
      </c>
      <c r="AI524" t="s">
        <v>68</v>
      </c>
      <c r="AJ524" t="s">
        <v>72</v>
      </c>
      <c r="AK524" s="3" t="s">
        <v>27</v>
      </c>
      <c r="AL524" s="3">
        <v>2587.47912</v>
      </c>
      <c r="AN524" t="s">
        <v>2133</v>
      </c>
      <c r="AO524" t="s">
        <v>88</v>
      </c>
      <c r="AP524" t="s">
        <v>86</v>
      </c>
      <c r="AQ524" s="3">
        <v>11422.6106</v>
      </c>
      <c r="AS524" t="s">
        <v>1834</v>
      </c>
      <c r="AT524" t="s">
        <v>88</v>
      </c>
      <c r="AU524" t="s">
        <v>269</v>
      </c>
      <c r="AV524" s="14">
        <v>0</v>
      </c>
    </row>
    <row r="525" spans="26:48">
      <c r="Z525" s="3"/>
      <c r="AC525"/>
      <c r="AE525" s="3"/>
      <c r="AH525" t="s">
        <v>2040</v>
      </c>
      <c r="AI525" t="s">
        <v>68</v>
      </c>
      <c r="AJ525" t="s">
        <v>113</v>
      </c>
      <c r="AK525" s="3" t="s">
        <v>27</v>
      </c>
      <c r="AL525" s="3">
        <v>-54.002724522299999</v>
      </c>
      <c r="AN525" t="s">
        <v>2133</v>
      </c>
      <c r="AO525" t="s">
        <v>88</v>
      </c>
      <c r="AP525" t="s">
        <v>90</v>
      </c>
      <c r="AQ525" s="3">
        <v>22745.8367</v>
      </c>
      <c r="AS525" t="s">
        <v>1834</v>
      </c>
      <c r="AT525" t="s">
        <v>88</v>
      </c>
      <c r="AU525" t="s">
        <v>270</v>
      </c>
      <c r="AV525" s="14">
        <v>0</v>
      </c>
    </row>
    <row r="526" spans="26:48">
      <c r="Z526" s="3"/>
      <c r="AC526"/>
      <c r="AE526" s="3"/>
      <c r="AH526" t="s">
        <v>2040</v>
      </c>
      <c r="AI526" t="s">
        <v>68</v>
      </c>
      <c r="AJ526" t="s">
        <v>108</v>
      </c>
      <c r="AK526" s="3" t="s">
        <v>27</v>
      </c>
      <c r="AL526" s="3">
        <v>-130.51815547769999</v>
      </c>
      <c r="AN526" t="s">
        <v>2134</v>
      </c>
      <c r="AO526" t="s">
        <v>88</v>
      </c>
      <c r="AP526" t="s">
        <v>86</v>
      </c>
      <c r="AQ526" s="3">
        <v>11897.6106</v>
      </c>
      <c r="AS526" t="s">
        <v>1834</v>
      </c>
      <c r="AT526" t="s">
        <v>88</v>
      </c>
      <c r="AU526" t="s">
        <v>271</v>
      </c>
      <c r="AV526" s="14">
        <v>9235</v>
      </c>
    </row>
    <row r="527" spans="26:48">
      <c r="Z527" s="3"/>
      <c r="AC527"/>
      <c r="AE527" s="3"/>
      <c r="AH527" t="s">
        <v>2040</v>
      </c>
      <c r="AI527" t="s">
        <v>68</v>
      </c>
      <c r="AJ527" t="s">
        <v>98</v>
      </c>
      <c r="AK527" s="3" t="s">
        <v>27</v>
      </c>
      <c r="AL527" s="3">
        <v>-130.51815547769999</v>
      </c>
      <c r="AN527" t="s">
        <v>2134</v>
      </c>
      <c r="AO527" t="s">
        <v>88</v>
      </c>
      <c r="AP527" t="s">
        <v>90</v>
      </c>
      <c r="AQ527" s="3">
        <v>22245.8367</v>
      </c>
      <c r="AS527" t="s">
        <v>1834</v>
      </c>
      <c r="AT527" t="s">
        <v>88</v>
      </c>
      <c r="AU527" t="s">
        <v>272</v>
      </c>
      <c r="AV527" s="14">
        <v>0</v>
      </c>
    </row>
    <row r="528" spans="26:48">
      <c r="Z528" s="3"/>
      <c r="AC528"/>
      <c r="AE528" s="3"/>
      <c r="AH528" t="s">
        <v>2040</v>
      </c>
      <c r="AI528" t="s">
        <v>68</v>
      </c>
      <c r="AJ528" t="s">
        <v>66</v>
      </c>
      <c r="AK528" s="3" t="s">
        <v>114</v>
      </c>
      <c r="AL528" s="3">
        <v>5601.4</v>
      </c>
      <c r="AN528" t="s">
        <v>2135</v>
      </c>
      <c r="AO528" t="s">
        <v>88</v>
      </c>
      <c r="AP528" t="s">
        <v>86</v>
      </c>
      <c r="AQ528" s="3">
        <v>11897.6106</v>
      </c>
      <c r="AS528" t="s">
        <v>1834</v>
      </c>
      <c r="AT528" t="s">
        <v>88</v>
      </c>
      <c r="AU528" t="s">
        <v>273</v>
      </c>
      <c r="AV528" s="14">
        <v>0</v>
      </c>
    </row>
    <row r="529" spans="26:48">
      <c r="Z529" s="3"/>
      <c r="AC529"/>
      <c r="AE529" s="3"/>
      <c r="AH529" t="s">
        <v>2040</v>
      </c>
      <c r="AI529" t="s">
        <v>68</v>
      </c>
      <c r="AJ529" t="s">
        <v>98</v>
      </c>
      <c r="AK529" s="3" t="s">
        <v>114</v>
      </c>
      <c r="AL529" s="3">
        <v>-251.89823101370001</v>
      </c>
      <c r="AN529" t="s">
        <v>2135</v>
      </c>
      <c r="AO529" t="s">
        <v>88</v>
      </c>
      <c r="AP529" t="s">
        <v>90</v>
      </c>
      <c r="AQ529" s="3">
        <v>20785.8367</v>
      </c>
      <c r="AS529" t="s">
        <v>1834</v>
      </c>
      <c r="AT529" t="s">
        <v>196</v>
      </c>
      <c r="AU529" t="s">
        <v>197</v>
      </c>
      <c r="AV529" s="14">
        <v>7.2437978208016203</v>
      </c>
    </row>
    <row r="530" spans="26:48">
      <c r="Z530" s="3"/>
      <c r="AC530"/>
      <c r="AE530" s="3"/>
      <c r="AH530" t="s">
        <v>2040</v>
      </c>
      <c r="AI530" t="s">
        <v>68</v>
      </c>
      <c r="AJ530" t="s">
        <v>66</v>
      </c>
      <c r="AK530" s="3" t="s">
        <v>115</v>
      </c>
      <c r="AL530" s="3">
        <v>2829.4</v>
      </c>
      <c r="AN530" t="s">
        <v>2136</v>
      </c>
      <c r="AO530" t="s">
        <v>88</v>
      </c>
      <c r="AP530" t="s">
        <v>86</v>
      </c>
      <c r="AQ530" s="3">
        <v>11897.6106</v>
      </c>
      <c r="AS530" t="s">
        <v>1834</v>
      </c>
      <c r="AT530" t="s">
        <v>196</v>
      </c>
      <c r="AU530" t="s">
        <v>109</v>
      </c>
      <c r="AV530" s="14">
        <v>5.7306569750818204</v>
      </c>
    </row>
    <row r="531" spans="26:48">
      <c r="Z531" s="3"/>
      <c r="AC531"/>
      <c r="AE531" s="3"/>
      <c r="AH531" t="s">
        <v>2040</v>
      </c>
      <c r="AI531" t="s">
        <v>68</v>
      </c>
      <c r="AJ531" t="s">
        <v>98</v>
      </c>
      <c r="AK531" s="3" t="s">
        <v>115</v>
      </c>
      <c r="AL531" s="3">
        <v>-121.38007553600001</v>
      </c>
      <c r="AN531" t="s">
        <v>2136</v>
      </c>
      <c r="AO531" t="s">
        <v>88</v>
      </c>
      <c r="AP531" t="s">
        <v>90</v>
      </c>
      <c r="AQ531" s="3">
        <v>21285.8367</v>
      </c>
      <c r="AS531" t="s">
        <v>1834</v>
      </c>
      <c r="AT531" t="s">
        <v>196</v>
      </c>
      <c r="AU531" t="s">
        <v>198</v>
      </c>
      <c r="AV531" s="14">
        <v>6.3095164021921404</v>
      </c>
    </row>
    <row r="532" spans="26:48">
      <c r="Z532" s="3"/>
      <c r="AC532"/>
      <c r="AE532" s="3"/>
      <c r="AH532" t="s">
        <v>2034</v>
      </c>
      <c r="AI532" t="s">
        <v>65</v>
      </c>
      <c r="AJ532" t="s">
        <v>66</v>
      </c>
      <c r="AK532" s="3" t="s">
        <v>27</v>
      </c>
      <c r="AL532" s="3">
        <v>37703.699999999997</v>
      </c>
      <c r="AN532" t="s">
        <v>2137</v>
      </c>
      <c r="AO532" t="s">
        <v>88</v>
      </c>
      <c r="AP532" t="s">
        <v>86</v>
      </c>
      <c r="AQ532" s="3">
        <v>11897.6106</v>
      </c>
      <c r="AS532" t="s">
        <v>1835</v>
      </c>
      <c r="AT532" t="s">
        <v>88</v>
      </c>
      <c r="AU532" t="s">
        <v>109</v>
      </c>
      <c r="AV532" s="14">
        <v>19115</v>
      </c>
    </row>
    <row r="533" spans="26:48">
      <c r="Z533" s="3"/>
      <c r="AC533"/>
      <c r="AE533" s="3"/>
      <c r="AH533" t="s">
        <v>2034</v>
      </c>
      <c r="AI533" t="s">
        <v>65</v>
      </c>
      <c r="AJ533" t="s">
        <v>72</v>
      </c>
      <c r="AK533" s="3" t="s">
        <v>27</v>
      </c>
      <c r="AL533" s="3">
        <v>38457.649568000001</v>
      </c>
      <c r="AN533" t="s">
        <v>2137</v>
      </c>
      <c r="AO533" t="s">
        <v>88</v>
      </c>
      <c r="AP533" t="s">
        <v>90</v>
      </c>
      <c r="AQ533" s="3">
        <v>18985.8367</v>
      </c>
      <c r="AS533" t="s">
        <v>1835</v>
      </c>
      <c r="AT533" t="s">
        <v>88</v>
      </c>
      <c r="AU533" t="s">
        <v>110</v>
      </c>
      <c r="AV533" s="14">
        <v>397.61059999999998</v>
      </c>
    </row>
    <row r="534" spans="26:48">
      <c r="Z534" s="3"/>
      <c r="AC534"/>
      <c r="AE534" s="3"/>
      <c r="AH534" t="s">
        <v>2034</v>
      </c>
      <c r="AI534" t="s">
        <v>65</v>
      </c>
      <c r="AJ534" t="s">
        <v>113</v>
      </c>
      <c r="AK534" s="3" t="s">
        <v>27</v>
      </c>
      <c r="AL534" s="3">
        <v>2392.7895721327</v>
      </c>
      <c r="AN534" t="s">
        <v>2138</v>
      </c>
      <c r="AO534" t="s">
        <v>88</v>
      </c>
      <c r="AP534" t="s">
        <v>86</v>
      </c>
      <c r="AQ534" s="3">
        <v>11897.6106</v>
      </c>
      <c r="AS534" t="s">
        <v>1835</v>
      </c>
      <c r="AT534" t="s">
        <v>88</v>
      </c>
      <c r="AU534" t="s">
        <v>111</v>
      </c>
      <c r="AV534" s="14">
        <v>10800</v>
      </c>
    </row>
    <row r="535" spans="26:48">
      <c r="Z535" s="3"/>
      <c r="AC535"/>
      <c r="AE535" s="3"/>
      <c r="AH535" t="s">
        <v>2034</v>
      </c>
      <c r="AI535" t="s">
        <v>65</v>
      </c>
      <c r="AJ535" t="s">
        <v>108</v>
      </c>
      <c r="AK535" s="3" t="s">
        <v>27</v>
      </c>
      <c r="AL535" s="3">
        <v>-1638.8400041327</v>
      </c>
      <c r="AN535" t="s">
        <v>2138</v>
      </c>
      <c r="AO535" t="s">
        <v>88</v>
      </c>
      <c r="AP535" t="s">
        <v>90</v>
      </c>
      <c r="AQ535" s="3">
        <v>20985.8367</v>
      </c>
      <c r="AS535" t="s">
        <v>1835</v>
      </c>
      <c r="AT535" t="s">
        <v>88</v>
      </c>
      <c r="AU535" t="s">
        <v>268</v>
      </c>
      <c r="AV535" s="14">
        <v>0</v>
      </c>
    </row>
    <row r="536" spans="26:48">
      <c r="Z536" s="3"/>
      <c r="AC536"/>
      <c r="AE536" s="3"/>
      <c r="AH536" t="s">
        <v>2034</v>
      </c>
      <c r="AI536" t="s">
        <v>65</v>
      </c>
      <c r="AJ536" t="s">
        <v>98</v>
      </c>
      <c r="AK536" s="3" t="s">
        <v>27</v>
      </c>
      <c r="AL536" s="3">
        <v>-1638.8400041327</v>
      </c>
      <c r="AN536" t="s">
        <v>2139</v>
      </c>
      <c r="AO536" t="s">
        <v>88</v>
      </c>
      <c r="AP536" t="s">
        <v>86</v>
      </c>
      <c r="AQ536" s="3">
        <v>11897.6106</v>
      </c>
      <c r="AS536" t="s">
        <v>1835</v>
      </c>
      <c r="AT536" t="s">
        <v>88</v>
      </c>
      <c r="AU536" t="s">
        <v>269</v>
      </c>
      <c r="AV536" s="14">
        <v>0</v>
      </c>
    </row>
    <row r="537" spans="26:48">
      <c r="Z537" s="3"/>
      <c r="AC537"/>
      <c r="AE537" s="3"/>
      <c r="AH537" t="s">
        <v>2034</v>
      </c>
      <c r="AI537" t="s">
        <v>67</v>
      </c>
      <c r="AJ537" t="s">
        <v>66</v>
      </c>
      <c r="AK537" s="3" t="s">
        <v>27</v>
      </c>
      <c r="AL537" s="3">
        <v>-22286.7</v>
      </c>
      <c r="AN537" t="s">
        <v>2139</v>
      </c>
      <c r="AO537" t="s">
        <v>88</v>
      </c>
      <c r="AP537" t="s">
        <v>90</v>
      </c>
      <c r="AQ537" s="3">
        <v>19285.8367</v>
      </c>
      <c r="AS537" t="s">
        <v>1835</v>
      </c>
      <c r="AT537" t="s">
        <v>88</v>
      </c>
      <c r="AU537" t="s">
        <v>270</v>
      </c>
      <c r="AV537" s="14">
        <v>0</v>
      </c>
    </row>
    <row r="538" spans="26:48">
      <c r="Z538" s="3"/>
      <c r="AC538"/>
      <c r="AE538" s="3"/>
      <c r="AH538" t="s">
        <v>2034</v>
      </c>
      <c r="AI538" t="s">
        <v>67</v>
      </c>
      <c r="AJ538" t="s">
        <v>72</v>
      </c>
      <c r="AK538" s="3" t="s">
        <v>27</v>
      </c>
      <c r="AL538" s="3">
        <v>-24368.640608000002</v>
      </c>
      <c r="AN538" t="s">
        <v>2140</v>
      </c>
      <c r="AO538" t="s">
        <v>88</v>
      </c>
      <c r="AP538" t="s">
        <v>86</v>
      </c>
      <c r="AQ538" s="3">
        <v>11897.6106</v>
      </c>
      <c r="AS538" t="s">
        <v>1835</v>
      </c>
      <c r="AT538" t="s">
        <v>88</v>
      </c>
      <c r="AU538" t="s">
        <v>271</v>
      </c>
      <c r="AV538" s="14">
        <v>9535</v>
      </c>
    </row>
    <row r="539" spans="26:48">
      <c r="Z539" s="3"/>
      <c r="AC539"/>
      <c r="AE539" s="3"/>
      <c r="AH539" t="s">
        <v>2034</v>
      </c>
      <c r="AI539" t="s">
        <v>67</v>
      </c>
      <c r="AJ539" t="s">
        <v>113</v>
      </c>
      <c r="AK539" s="3" t="s">
        <v>27</v>
      </c>
      <c r="AL539" s="3">
        <v>-2152.4393676032</v>
      </c>
      <c r="AN539" t="s">
        <v>2140</v>
      </c>
      <c r="AO539" t="s">
        <v>88</v>
      </c>
      <c r="AP539" t="s">
        <v>90</v>
      </c>
      <c r="AQ539" s="3">
        <v>19285.8367</v>
      </c>
      <c r="AS539" t="s">
        <v>1835</v>
      </c>
      <c r="AT539" t="s">
        <v>88</v>
      </c>
      <c r="AU539" t="s">
        <v>272</v>
      </c>
      <c r="AV539" s="14">
        <v>0</v>
      </c>
    </row>
    <row r="540" spans="26:48">
      <c r="Z540" s="3"/>
      <c r="AC540"/>
      <c r="AE540" s="3"/>
      <c r="AH540" t="s">
        <v>2034</v>
      </c>
      <c r="AI540" t="s">
        <v>67</v>
      </c>
      <c r="AJ540" t="s">
        <v>108</v>
      </c>
      <c r="AK540" s="3" t="s">
        <v>27</v>
      </c>
      <c r="AL540" s="3">
        <v>70.4987596032</v>
      </c>
      <c r="AN540" t="s">
        <v>2141</v>
      </c>
      <c r="AO540" t="s">
        <v>88</v>
      </c>
      <c r="AP540" t="s">
        <v>86</v>
      </c>
      <c r="AQ540" s="3">
        <v>11897.6106</v>
      </c>
      <c r="AS540" t="s">
        <v>1835</v>
      </c>
      <c r="AT540" t="s">
        <v>88</v>
      </c>
      <c r="AU540" t="s">
        <v>273</v>
      </c>
      <c r="AV540" s="14">
        <v>0</v>
      </c>
    </row>
    <row r="541" spans="26:48">
      <c r="Z541" s="3"/>
      <c r="AC541"/>
      <c r="AE541" s="3"/>
      <c r="AH541" t="s">
        <v>2034</v>
      </c>
      <c r="AI541" t="s">
        <v>67</v>
      </c>
      <c r="AJ541" t="s">
        <v>98</v>
      </c>
      <c r="AK541" s="3" t="s">
        <v>27</v>
      </c>
      <c r="AL541" s="3">
        <v>70.4987596032</v>
      </c>
      <c r="AN541" t="s">
        <v>2141</v>
      </c>
      <c r="AO541" t="s">
        <v>88</v>
      </c>
      <c r="AP541" t="s">
        <v>90</v>
      </c>
      <c r="AQ541" s="3">
        <v>21735.8367</v>
      </c>
      <c r="AS541" t="s">
        <v>1835</v>
      </c>
      <c r="AT541" t="s">
        <v>196</v>
      </c>
      <c r="AU541" t="s">
        <v>197</v>
      </c>
      <c r="AV541" s="14">
        <v>7.2437978208016203</v>
      </c>
    </row>
    <row r="542" spans="26:48">
      <c r="Z542" s="3"/>
      <c r="AC542"/>
      <c r="AE542" s="3"/>
      <c r="AH542" t="s">
        <v>2034</v>
      </c>
      <c r="AI542" t="s">
        <v>67</v>
      </c>
      <c r="AJ542" t="s">
        <v>66</v>
      </c>
      <c r="AK542" s="3" t="s">
        <v>114</v>
      </c>
      <c r="AL542" s="3">
        <v>814</v>
      </c>
      <c r="AN542" t="s">
        <v>2142</v>
      </c>
      <c r="AO542" t="s">
        <v>88</v>
      </c>
      <c r="AP542" t="s">
        <v>86</v>
      </c>
      <c r="AQ542" s="3">
        <v>11897.6106</v>
      </c>
      <c r="AS542" t="s">
        <v>1835</v>
      </c>
      <c r="AT542" t="s">
        <v>196</v>
      </c>
      <c r="AU542" t="s">
        <v>109</v>
      </c>
      <c r="AV542" s="14">
        <v>5.7410009190360398</v>
      </c>
    </row>
    <row r="543" spans="26:48">
      <c r="Z543" s="3"/>
      <c r="AC543"/>
      <c r="AE543" s="3"/>
      <c r="AH543" t="s">
        <v>2034</v>
      </c>
      <c r="AI543" t="s">
        <v>67</v>
      </c>
      <c r="AJ543" t="s">
        <v>98</v>
      </c>
      <c r="AK543" s="3" t="s">
        <v>114</v>
      </c>
      <c r="AL543" s="3">
        <v>-53.485272054799999</v>
      </c>
      <c r="AN543" t="s">
        <v>2142</v>
      </c>
      <c r="AO543" t="s">
        <v>88</v>
      </c>
      <c r="AP543" t="s">
        <v>90</v>
      </c>
      <c r="AQ543" s="3">
        <v>19635.8367</v>
      </c>
      <c r="AS543" t="s">
        <v>1835</v>
      </c>
      <c r="AT543" t="s">
        <v>196</v>
      </c>
      <c r="AU543" t="s">
        <v>198</v>
      </c>
      <c r="AV543" s="14">
        <v>6.3205883178757798</v>
      </c>
    </row>
    <row r="544" spans="26:48">
      <c r="Z544" s="3"/>
      <c r="AC544"/>
      <c r="AE544" s="3"/>
      <c r="AH544" t="s">
        <v>2034</v>
      </c>
      <c r="AI544" t="s">
        <v>67</v>
      </c>
      <c r="AJ544" t="s">
        <v>66</v>
      </c>
      <c r="AK544" s="3" t="s">
        <v>115</v>
      </c>
      <c r="AL544" s="3">
        <v>23100.7</v>
      </c>
      <c r="AN544" t="s">
        <v>2143</v>
      </c>
      <c r="AO544" t="s">
        <v>88</v>
      </c>
      <c r="AP544" t="s">
        <v>86</v>
      </c>
      <c r="AQ544" s="3">
        <v>11897.6106</v>
      </c>
      <c r="AS544" t="s">
        <v>1836</v>
      </c>
      <c r="AT544" t="s">
        <v>88</v>
      </c>
      <c r="AU544" t="s">
        <v>109</v>
      </c>
      <c r="AV544" s="14">
        <v>18115</v>
      </c>
    </row>
    <row r="545" spans="26:48">
      <c r="Z545" s="3"/>
      <c r="AC545"/>
      <c r="AE545" s="3"/>
      <c r="AH545" t="s">
        <v>2034</v>
      </c>
      <c r="AI545" t="s">
        <v>67</v>
      </c>
      <c r="AJ545" t="s">
        <v>98</v>
      </c>
      <c r="AK545" s="3" t="s">
        <v>115</v>
      </c>
      <c r="AL545" s="3">
        <v>-123.98403165800001</v>
      </c>
      <c r="AN545" t="s">
        <v>2143</v>
      </c>
      <c r="AO545" t="s">
        <v>88</v>
      </c>
      <c r="AP545" t="s">
        <v>90</v>
      </c>
      <c r="AQ545" s="3">
        <v>19585.8367</v>
      </c>
      <c r="AS545" t="s">
        <v>1836</v>
      </c>
      <c r="AT545" t="s">
        <v>88</v>
      </c>
      <c r="AU545" t="s">
        <v>110</v>
      </c>
      <c r="AV545" s="14">
        <v>397.61059999999998</v>
      </c>
    </row>
    <row r="546" spans="26:48">
      <c r="Z546" s="3"/>
      <c r="AC546"/>
      <c r="AE546" s="3"/>
      <c r="AH546" t="s">
        <v>2034</v>
      </c>
      <c r="AI546" t="s">
        <v>68</v>
      </c>
      <c r="AJ546" t="s">
        <v>66</v>
      </c>
      <c r="AK546" s="3" t="s">
        <v>27</v>
      </c>
      <c r="AL546" s="3">
        <v>2096</v>
      </c>
      <c r="AN546" t="s">
        <v>2144</v>
      </c>
      <c r="AO546" t="s">
        <v>88</v>
      </c>
      <c r="AP546" t="s">
        <v>86</v>
      </c>
      <c r="AQ546" s="3">
        <v>11897.6106</v>
      </c>
      <c r="AS546" t="s">
        <v>1836</v>
      </c>
      <c r="AT546" t="s">
        <v>88</v>
      </c>
      <c r="AU546" t="s">
        <v>111</v>
      </c>
      <c r="AV546" s="14">
        <v>10800</v>
      </c>
    </row>
    <row r="547" spans="26:48">
      <c r="Z547" s="3"/>
      <c r="AC547"/>
      <c r="AE547" s="3"/>
      <c r="AH547" t="s">
        <v>2034</v>
      </c>
      <c r="AI547" t="s">
        <v>68</v>
      </c>
      <c r="AJ547" t="s">
        <v>72</v>
      </c>
      <c r="AK547" s="3" t="s">
        <v>27</v>
      </c>
      <c r="AL547" s="3">
        <v>1914.21416</v>
      </c>
      <c r="AN547" t="s">
        <v>2144</v>
      </c>
      <c r="AO547" t="s">
        <v>88</v>
      </c>
      <c r="AP547" t="s">
        <v>90</v>
      </c>
      <c r="AQ547" s="3">
        <v>22185.8367</v>
      </c>
      <c r="AS547" t="s">
        <v>1836</v>
      </c>
      <c r="AT547" t="s">
        <v>88</v>
      </c>
      <c r="AU547" t="s">
        <v>268</v>
      </c>
      <c r="AV547" s="14">
        <v>0</v>
      </c>
    </row>
    <row r="548" spans="26:48">
      <c r="Z548" s="3"/>
      <c r="AC548"/>
      <c r="AE548" s="3"/>
      <c r="AH548" t="s">
        <v>2034</v>
      </c>
      <c r="AI548" t="s">
        <v>68</v>
      </c>
      <c r="AJ548" t="s">
        <v>113</v>
      </c>
      <c r="AK548" s="3" t="s">
        <v>27</v>
      </c>
      <c r="AL548" s="3">
        <v>-112.57282760299999</v>
      </c>
      <c r="AN548" t="s">
        <v>2145</v>
      </c>
      <c r="AO548" t="s">
        <v>88</v>
      </c>
      <c r="AP548" t="s">
        <v>86</v>
      </c>
      <c r="AQ548" s="3">
        <v>11897.6106</v>
      </c>
      <c r="AS548" t="s">
        <v>1836</v>
      </c>
      <c r="AT548" t="s">
        <v>88</v>
      </c>
      <c r="AU548" t="s">
        <v>269</v>
      </c>
      <c r="AV548" s="14">
        <v>0</v>
      </c>
    </row>
    <row r="549" spans="26:48">
      <c r="Z549" s="3"/>
      <c r="AC549"/>
      <c r="AE549" s="3"/>
      <c r="AH549" t="s">
        <v>2034</v>
      </c>
      <c r="AI549" t="s">
        <v>68</v>
      </c>
      <c r="AJ549" t="s">
        <v>108</v>
      </c>
      <c r="AK549" s="3" t="s">
        <v>27</v>
      </c>
      <c r="AL549" s="3">
        <v>-69.213012397</v>
      </c>
      <c r="AN549" t="s">
        <v>2145</v>
      </c>
      <c r="AO549" t="s">
        <v>88</v>
      </c>
      <c r="AP549" t="s">
        <v>90</v>
      </c>
      <c r="AQ549" s="3">
        <v>21635.8367</v>
      </c>
      <c r="AS549" t="s">
        <v>1836</v>
      </c>
      <c r="AT549" t="s">
        <v>88</v>
      </c>
      <c r="AU549" t="s">
        <v>270</v>
      </c>
      <c r="AV549" s="14">
        <v>0</v>
      </c>
    </row>
    <row r="550" spans="26:48">
      <c r="Z550" s="3"/>
      <c r="AC550"/>
      <c r="AE550" s="3"/>
      <c r="AH550" t="s">
        <v>2034</v>
      </c>
      <c r="AI550" t="s">
        <v>68</v>
      </c>
      <c r="AJ550" t="s">
        <v>98</v>
      </c>
      <c r="AK550" s="3" t="s">
        <v>27</v>
      </c>
      <c r="AL550" s="3">
        <v>-69.213012397</v>
      </c>
      <c r="AN550" t="s">
        <v>2146</v>
      </c>
      <c r="AO550" t="s">
        <v>88</v>
      </c>
      <c r="AP550" t="s">
        <v>86</v>
      </c>
      <c r="AQ550" s="3">
        <v>11897.6106</v>
      </c>
      <c r="AS550" t="s">
        <v>1836</v>
      </c>
      <c r="AT550" t="s">
        <v>88</v>
      </c>
      <c r="AU550" t="s">
        <v>271</v>
      </c>
      <c r="AV550" s="14">
        <v>10535</v>
      </c>
    </row>
    <row r="551" spans="26:48">
      <c r="Z551" s="3"/>
      <c r="AC551"/>
      <c r="AE551" s="3"/>
      <c r="AH551" t="s">
        <v>2034</v>
      </c>
      <c r="AI551" t="s">
        <v>68</v>
      </c>
      <c r="AJ551" t="s">
        <v>66</v>
      </c>
      <c r="AK551" s="3" t="s">
        <v>114</v>
      </c>
      <c r="AL551" s="3">
        <v>5391.4</v>
      </c>
      <c r="AN551" t="s">
        <v>2146</v>
      </c>
      <c r="AO551" t="s">
        <v>88</v>
      </c>
      <c r="AP551" t="s">
        <v>90</v>
      </c>
      <c r="AQ551" s="3">
        <v>24724.930100000001</v>
      </c>
      <c r="AS551" t="s">
        <v>1836</v>
      </c>
      <c r="AT551" t="s">
        <v>88</v>
      </c>
      <c r="AU551" t="s">
        <v>272</v>
      </c>
      <c r="AV551" s="14">
        <v>0</v>
      </c>
    </row>
    <row r="552" spans="26:48">
      <c r="Z552" s="3"/>
      <c r="AC552"/>
      <c r="AE552" s="3"/>
      <c r="AH552" t="s">
        <v>2034</v>
      </c>
      <c r="AI552" t="s">
        <v>68</v>
      </c>
      <c r="AJ552" t="s">
        <v>98</v>
      </c>
      <c r="AK552" s="3" t="s">
        <v>114</v>
      </c>
      <c r="AL552" s="3">
        <v>-228.4525674521</v>
      </c>
      <c r="AN552" t="s">
        <v>2147</v>
      </c>
      <c r="AO552" t="s">
        <v>88</v>
      </c>
      <c r="AP552" t="s">
        <v>86</v>
      </c>
      <c r="AQ552" s="3">
        <v>11397.6106</v>
      </c>
      <c r="AS552" t="s">
        <v>1836</v>
      </c>
      <c r="AT552" t="s">
        <v>88</v>
      </c>
      <c r="AU552" t="s">
        <v>273</v>
      </c>
      <c r="AV552" s="14">
        <v>0</v>
      </c>
    </row>
    <row r="553" spans="26:48">
      <c r="Z553" s="3"/>
      <c r="AC553"/>
      <c r="AE553" s="3"/>
      <c r="AH553" t="s">
        <v>2034</v>
      </c>
      <c r="AI553" t="s">
        <v>68</v>
      </c>
      <c r="AJ553" t="s">
        <v>66</v>
      </c>
      <c r="AK553" s="3" t="s">
        <v>115</v>
      </c>
      <c r="AL553" s="3">
        <v>3295.4</v>
      </c>
      <c r="AN553" t="s">
        <v>2147</v>
      </c>
      <c r="AO553" t="s">
        <v>88</v>
      </c>
      <c r="AP553" t="s">
        <v>90</v>
      </c>
      <c r="AQ553" s="3">
        <v>23184.930100000001</v>
      </c>
      <c r="AS553" t="s">
        <v>1836</v>
      </c>
      <c r="AT553" t="s">
        <v>196</v>
      </c>
      <c r="AU553" t="s">
        <v>197</v>
      </c>
      <c r="AV553" s="14">
        <v>7.2437978208016203</v>
      </c>
    </row>
    <row r="554" spans="26:48">
      <c r="Z554" s="3"/>
      <c r="AC554"/>
      <c r="AE554" s="3"/>
      <c r="AH554" t="s">
        <v>2034</v>
      </c>
      <c r="AI554" t="s">
        <v>68</v>
      </c>
      <c r="AJ554" t="s">
        <v>98</v>
      </c>
      <c r="AK554" s="3" t="s">
        <v>115</v>
      </c>
      <c r="AL554" s="3">
        <v>-159.2395550551</v>
      </c>
      <c r="AN554" t="s">
        <v>2148</v>
      </c>
      <c r="AO554" t="s">
        <v>88</v>
      </c>
      <c r="AP554" t="s">
        <v>86</v>
      </c>
      <c r="AQ554" s="3">
        <v>11397.6106</v>
      </c>
      <c r="AS554" t="s">
        <v>1836</v>
      </c>
      <c r="AT554" t="s">
        <v>196</v>
      </c>
      <c r="AU554" t="s">
        <v>109</v>
      </c>
      <c r="AV554" s="14">
        <v>5.6793990647235697</v>
      </c>
    </row>
    <row r="555" spans="26:48">
      <c r="Z555" s="3"/>
      <c r="AC555"/>
      <c r="AE555" s="3"/>
      <c r="AH555" t="s">
        <v>2034</v>
      </c>
      <c r="AI555" t="s">
        <v>800</v>
      </c>
      <c r="AJ555" t="s">
        <v>31</v>
      </c>
      <c r="AK555" s="3" t="s">
        <v>27</v>
      </c>
      <c r="AL555" s="3">
        <v>4.0383901298999998</v>
      </c>
      <c r="AN555" t="s">
        <v>2148</v>
      </c>
      <c r="AO555" t="s">
        <v>88</v>
      </c>
      <c r="AP555" t="s">
        <v>90</v>
      </c>
      <c r="AQ555" s="3">
        <v>22184.930100000001</v>
      </c>
      <c r="AS555" t="s">
        <v>1836</v>
      </c>
      <c r="AT555" t="s">
        <v>196</v>
      </c>
      <c r="AU555" t="s">
        <v>198</v>
      </c>
      <c r="AV555" s="14">
        <v>6.2995918959582902</v>
      </c>
    </row>
    <row r="556" spans="26:48">
      <c r="Z556" s="3"/>
      <c r="AC556"/>
      <c r="AE556" s="3"/>
      <c r="AH556" t="s">
        <v>2033</v>
      </c>
      <c r="AI556" t="s">
        <v>65</v>
      </c>
      <c r="AJ556" t="s">
        <v>66</v>
      </c>
      <c r="AK556" s="3" t="s">
        <v>27</v>
      </c>
      <c r="AL556" s="3">
        <v>38067.699999999997</v>
      </c>
      <c r="AN556" t="s">
        <v>2149</v>
      </c>
      <c r="AO556" t="s">
        <v>88</v>
      </c>
      <c r="AP556" t="s">
        <v>86</v>
      </c>
      <c r="AQ556" s="3">
        <v>11397.6106</v>
      </c>
      <c r="AS556" t="s">
        <v>1837</v>
      </c>
      <c r="AT556" t="s">
        <v>88</v>
      </c>
      <c r="AU556" t="s">
        <v>109</v>
      </c>
      <c r="AV556" s="14">
        <v>17055</v>
      </c>
    </row>
    <row r="557" spans="26:48">
      <c r="Z557" s="3"/>
      <c r="AC557"/>
      <c r="AE557" s="3"/>
      <c r="AH557" t="s">
        <v>2033</v>
      </c>
      <c r="AI557" t="s">
        <v>65</v>
      </c>
      <c r="AJ557" t="s">
        <v>72</v>
      </c>
      <c r="AK557" s="3" t="s">
        <v>27</v>
      </c>
      <c r="AL557" s="3">
        <v>38830.268657000001</v>
      </c>
      <c r="AN557" t="s">
        <v>2149</v>
      </c>
      <c r="AO557" t="s">
        <v>88</v>
      </c>
      <c r="AP557" t="s">
        <v>90</v>
      </c>
      <c r="AQ557" s="3">
        <v>21984.930100000001</v>
      </c>
      <c r="AS557" t="s">
        <v>1837</v>
      </c>
      <c r="AT557" t="s">
        <v>88</v>
      </c>
      <c r="AU557" t="s">
        <v>110</v>
      </c>
      <c r="AV557" s="14">
        <v>397.61059999999998</v>
      </c>
    </row>
    <row r="558" spans="26:48">
      <c r="Z558" s="3"/>
      <c r="AC558"/>
      <c r="AE558" s="3"/>
      <c r="AH558" t="s">
        <v>2033</v>
      </c>
      <c r="AI558" t="s">
        <v>65</v>
      </c>
      <c r="AJ558" t="s">
        <v>113</v>
      </c>
      <c r="AK558" s="3" t="s">
        <v>27</v>
      </c>
      <c r="AL558" s="3">
        <v>2429.3563683992002</v>
      </c>
      <c r="AN558" t="s">
        <v>2150</v>
      </c>
      <c r="AO558" t="s">
        <v>88</v>
      </c>
      <c r="AP558" t="s">
        <v>86</v>
      </c>
      <c r="AQ558" s="3">
        <v>11397.6106</v>
      </c>
      <c r="AS558" t="s">
        <v>1837</v>
      </c>
      <c r="AT558" t="s">
        <v>88</v>
      </c>
      <c r="AU558" t="s">
        <v>111</v>
      </c>
      <c r="AV558" s="14">
        <v>10800</v>
      </c>
    </row>
    <row r="559" spans="26:48">
      <c r="Z559" s="3"/>
      <c r="AC559"/>
      <c r="AE559" s="3"/>
      <c r="AH559" t="s">
        <v>2033</v>
      </c>
      <c r="AI559" t="s">
        <v>65</v>
      </c>
      <c r="AJ559" t="s">
        <v>108</v>
      </c>
      <c r="AK559" s="3" t="s">
        <v>27</v>
      </c>
      <c r="AL559" s="3">
        <v>-1666.7877113991999</v>
      </c>
      <c r="AN559" t="s">
        <v>2150</v>
      </c>
      <c r="AO559" t="s">
        <v>88</v>
      </c>
      <c r="AP559" t="s">
        <v>90</v>
      </c>
      <c r="AQ559" s="3">
        <v>20084.930100000001</v>
      </c>
      <c r="AS559" t="s">
        <v>1837</v>
      </c>
      <c r="AT559" t="s">
        <v>88</v>
      </c>
      <c r="AU559" t="s">
        <v>268</v>
      </c>
      <c r="AV559" s="14">
        <v>0</v>
      </c>
    </row>
    <row r="560" spans="26:48">
      <c r="Z560" s="3"/>
      <c r="AC560"/>
      <c r="AE560" s="3"/>
      <c r="AH560" t="s">
        <v>2033</v>
      </c>
      <c r="AI560" t="s">
        <v>65</v>
      </c>
      <c r="AJ560" t="s">
        <v>98</v>
      </c>
      <c r="AK560" s="3" t="s">
        <v>27</v>
      </c>
      <c r="AL560" s="3">
        <v>-1666.7877113991999</v>
      </c>
      <c r="AN560" t="s">
        <v>2151</v>
      </c>
      <c r="AO560" t="s">
        <v>88</v>
      </c>
      <c r="AP560" t="s">
        <v>86</v>
      </c>
      <c r="AQ560" s="3">
        <v>10897.6106</v>
      </c>
      <c r="AS560" t="s">
        <v>1837</v>
      </c>
      <c r="AT560" t="s">
        <v>88</v>
      </c>
      <c r="AU560" t="s">
        <v>269</v>
      </c>
      <c r="AV560" s="14">
        <v>0</v>
      </c>
    </row>
    <row r="561" spans="26:48">
      <c r="Z561" s="3"/>
      <c r="AC561"/>
      <c r="AE561" s="3"/>
      <c r="AH561" t="s">
        <v>2033</v>
      </c>
      <c r="AI561" t="s">
        <v>67</v>
      </c>
      <c r="AJ561" t="s">
        <v>66</v>
      </c>
      <c r="AK561" s="3" t="s">
        <v>27</v>
      </c>
      <c r="AL561" s="3">
        <v>-23358.7</v>
      </c>
      <c r="AN561" t="s">
        <v>2151</v>
      </c>
      <c r="AO561" t="s">
        <v>88</v>
      </c>
      <c r="AP561" t="s">
        <v>90</v>
      </c>
      <c r="AQ561" s="3">
        <v>19584.930100000001</v>
      </c>
      <c r="AS561" t="s">
        <v>1837</v>
      </c>
      <c r="AT561" t="s">
        <v>88</v>
      </c>
      <c r="AU561" t="s">
        <v>270</v>
      </c>
      <c r="AV561" s="14">
        <v>0</v>
      </c>
    </row>
    <row r="562" spans="26:48">
      <c r="Z562" s="3"/>
      <c r="AC562"/>
      <c r="AE562" s="3"/>
      <c r="AH562" t="s">
        <v>2033</v>
      </c>
      <c r="AI562" t="s">
        <v>67</v>
      </c>
      <c r="AJ562" t="s">
        <v>72</v>
      </c>
      <c r="AK562" s="3" t="s">
        <v>27</v>
      </c>
      <c r="AL562" s="3">
        <v>-25445.331956999999</v>
      </c>
      <c r="AN562" t="s">
        <v>2152</v>
      </c>
      <c r="AO562" t="s">
        <v>88</v>
      </c>
      <c r="AP562" t="s">
        <v>86</v>
      </c>
      <c r="AQ562" s="3">
        <v>10897.6106</v>
      </c>
      <c r="AS562" t="s">
        <v>1837</v>
      </c>
      <c r="AT562" t="s">
        <v>88</v>
      </c>
      <c r="AU562" t="s">
        <v>271</v>
      </c>
      <c r="AV562" s="14">
        <v>11595</v>
      </c>
    </row>
    <row r="563" spans="26:48">
      <c r="Z563" s="3"/>
      <c r="AC563"/>
      <c r="AE563" s="3"/>
      <c r="AH563" t="s">
        <v>2033</v>
      </c>
      <c r="AI563" t="s">
        <v>67</v>
      </c>
      <c r="AJ563" t="s">
        <v>113</v>
      </c>
      <c r="AK563" s="3" t="s">
        <v>27</v>
      </c>
      <c r="AL563" s="3">
        <v>-2231.2957017483</v>
      </c>
      <c r="AN563" t="s">
        <v>2152</v>
      </c>
      <c r="AO563" t="s">
        <v>88</v>
      </c>
      <c r="AP563" t="s">
        <v>90</v>
      </c>
      <c r="AQ563" s="3">
        <v>20384.930100000001</v>
      </c>
      <c r="AS563" t="s">
        <v>1837</v>
      </c>
      <c r="AT563" t="s">
        <v>88</v>
      </c>
      <c r="AU563" t="s">
        <v>272</v>
      </c>
      <c r="AV563" s="14">
        <v>0</v>
      </c>
    </row>
    <row r="564" spans="26:48">
      <c r="Z564" s="3"/>
      <c r="AC564"/>
      <c r="AE564" s="3"/>
      <c r="AH564" t="s">
        <v>2033</v>
      </c>
      <c r="AI564" t="s">
        <v>67</v>
      </c>
      <c r="AJ564" t="s">
        <v>108</v>
      </c>
      <c r="AK564" s="3" t="s">
        <v>27</v>
      </c>
      <c r="AL564" s="3">
        <v>144.66374474829999</v>
      </c>
      <c r="AN564" t="s">
        <v>2153</v>
      </c>
      <c r="AO564" t="s">
        <v>88</v>
      </c>
      <c r="AP564" t="s">
        <v>86</v>
      </c>
      <c r="AQ564" s="3">
        <v>11097.6106</v>
      </c>
      <c r="AS564" t="s">
        <v>1837</v>
      </c>
      <c r="AT564" t="s">
        <v>88</v>
      </c>
      <c r="AU564" t="s">
        <v>273</v>
      </c>
      <c r="AV564" s="14">
        <v>0</v>
      </c>
    </row>
    <row r="565" spans="26:48">
      <c r="Z565" s="3"/>
      <c r="AC565"/>
      <c r="AE565" s="3"/>
      <c r="AH565" t="s">
        <v>2033</v>
      </c>
      <c r="AI565" t="s">
        <v>67</v>
      </c>
      <c r="AJ565" t="s">
        <v>98</v>
      </c>
      <c r="AK565" s="3" t="s">
        <v>27</v>
      </c>
      <c r="AL565" s="3">
        <v>144.66374474829999</v>
      </c>
      <c r="AN565" t="s">
        <v>2153</v>
      </c>
      <c r="AO565" t="s">
        <v>88</v>
      </c>
      <c r="AP565" t="s">
        <v>90</v>
      </c>
      <c r="AQ565" s="3">
        <v>17134.930100000001</v>
      </c>
      <c r="AS565" t="s">
        <v>1837</v>
      </c>
      <c r="AT565" t="s">
        <v>196</v>
      </c>
      <c r="AU565" t="s">
        <v>197</v>
      </c>
      <c r="AV565" s="14">
        <v>7.2437978208016203</v>
      </c>
    </row>
    <row r="566" spans="26:48">
      <c r="Z566" s="3"/>
      <c r="AC566"/>
      <c r="AE566" s="3"/>
      <c r="AH566" t="s">
        <v>2033</v>
      </c>
      <c r="AI566" t="s">
        <v>67</v>
      </c>
      <c r="AJ566" t="s">
        <v>66</v>
      </c>
      <c r="AK566" s="3" t="s">
        <v>114</v>
      </c>
      <c r="AL566" s="3">
        <v>0</v>
      </c>
      <c r="AN566" t="s">
        <v>2154</v>
      </c>
      <c r="AO566" t="s">
        <v>88</v>
      </c>
      <c r="AP566" t="s">
        <v>90</v>
      </c>
      <c r="AQ566" s="3">
        <v>17234.4067</v>
      </c>
      <c r="AS566" t="s">
        <v>1837</v>
      </c>
      <c r="AT566" t="s">
        <v>196</v>
      </c>
      <c r="AU566" t="s">
        <v>109</v>
      </c>
      <c r="AV566" s="14">
        <v>5.7393680828995404</v>
      </c>
    </row>
    <row r="567" spans="26:48">
      <c r="Z567" s="3"/>
      <c r="AC567"/>
      <c r="AE567" s="3"/>
      <c r="AH567" t="s">
        <v>2033</v>
      </c>
      <c r="AI567" t="s">
        <v>67</v>
      </c>
      <c r="AJ567" t="s">
        <v>98</v>
      </c>
      <c r="AK567" s="3" t="s">
        <v>114</v>
      </c>
      <c r="AL567" s="3">
        <v>0</v>
      </c>
      <c r="AN567" t="s">
        <v>2154</v>
      </c>
      <c r="AO567" t="s">
        <v>88</v>
      </c>
      <c r="AP567" t="s">
        <v>86</v>
      </c>
      <c r="AQ567" s="3">
        <v>11097.6106</v>
      </c>
      <c r="AS567" t="s">
        <v>1837</v>
      </c>
      <c r="AT567" t="s">
        <v>196</v>
      </c>
      <c r="AU567" t="s">
        <v>198</v>
      </c>
      <c r="AV567" s="14">
        <v>6.3539782438350096</v>
      </c>
    </row>
    <row r="568" spans="26:48">
      <c r="Z568" s="3"/>
      <c r="AC568"/>
      <c r="AE568" s="3"/>
      <c r="AH568" t="s">
        <v>2033</v>
      </c>
      <c r="AI568" t="s">
        <v>67</v>
      </c>
      <c r="AJ568" t="s">
        <v>66</v>
      </c>
      <c r="AK568" s="3" t="s">
        <v>115</v>
      </c>
      <c r="AL568" s="3">
        <v>23358.7</v>
      </c>
      <c r="AN568" t="s">
        <v>2155</v>
      </c>
      <c r="AO568" t="s">
        <v>88</v>
      </c>
      <c r="AP568" t="s">
        <v>86</v>
      </c>
      <c r="AQ568" s="3">
        <v>12097.6106</v>
      </c>
      <c r="AS568" t="s">
        <v>1838</v>
      </c>
      <c r="AT568" t="s">
        <v>88</v>
      </c>
      <c r="AU568" t="s">
        <v>109</v>
      </c>
      <c r="AV568" s="14">
        <v>16545</v>
      </c>
    </row>
    <row r="569" spans="26:48">
      <c r="Z569" s="3"/>
      <c r="AC569"/>
      <c r="AE569" s="3"/>
      <c r="AH569" t="s">
        <v>2033</v>
      </c>
      <c r="AI569" t="s">
        <v>67</v>
      </c>
      <c r="AJ569" t="s">
        <v>98</v>
      </c>
      <c r="AK569" s="3" t="s">
        <v>115</v>
      </c>
      <c r="AL569" s="3">
        <v>-144.66374474829999</v>
      </c>
      <c r="AN569" t="s">
        <v>2155</v>
      </c>
      <c r="AO569" t="s">
        <v>88</v>
      </c>
      <c r="AP569" t="s">
        <v>90</v>
      </c>
      <c r="AQ569" s="3">
        <v>17634.4067</v>
      </c>
      <c r="AS569" t="s">
        <v>1838</v>
      </c>
      <c r="AT569" t="s">
        <v>88</v>
      </c>
      <c r="AU569" t="s">
        <v>110</v>
      </c>
      <c r="AV569" s="14">
        <v>397.61059999999998</v>
      </c>
    </row>
    <row r="570" spans="26:48">
      <c r="Z570" s="3"/>
      <c r="AC570"/>
      <c r="AE570" s="3"/>
      <c r="AH570" t="s">
        <v>2033</v>
      </c>
      <c r="AI570" t="s">
        <v>68</v>
      </c>
      <c r="AJ570" t="s">
        <v>66</v>
      </c>
      <c r="AK570" s="3" t="s">
        <v>27</v>
      </c>
      <c r="AL570" s="3">
        <v>2804</v>
      </c>
      <c r="AN570" t="s">
        <v>2156</v>
      </c>
      <c r="AO570" t="s">
        <v>88</v>
      </c>
      <c r="AP570" t="s">
        <v>86</v>
      </c>
      <c r="AQ570" s="3">
        <v>12097.6106</v>
      </c>
      <c r="AS570" t="s">
        <v>1838</v>
      </c>
      <c r="AT570" t="s">
        <v>88</v>
      </c>
      <c r="AU570" t="s">
        <v>111</v>
      </c>
      <c r="AV570" s="14">
        <v>10800</v>
      </c>
    </row>
    <row r="571" spans="26:48">
      <c r="Z571" s="3"/>
      <c r="AC571"/>
      <c r="AE571" s="3"/>
      <c r="AH571" t="s">
        <v>2033</v>
      </c>
      <c r="AI571" t="s">
        <v>68</v>
      </c>
      <c r="AJ571" t="s">
        <v>72</v>
      </c>
      <c r="AK571" s="3" t="s">
        <v>27</v>
      </c>
      <c r="AL571" s="3">
        <v>2620.4754800000001</v>
      </c>
      <c r="AN571" t="s">
        <v>2156</v>
      </c>
      <c r="AO571" t="s">
        <v>88</v>
      </c>
      <c r="AP571" t="s">
        <v>90</v>
      </c>
      <c r="AQ571" s="3">
        <v>18334.4067</v>
      </c>
      <c r="AS571" t="s">
        <v>1838</v>
      </c>
      <c r="AT571" t="s">
        <v>88</v>
      </c>
      <c r="AU571" t="s">
        <v>268</v>
      </c>
      <c r="AV571" s="14">
        <v>0</v>
      </c>
    </row>
    <row r="572" spans="26:48">
      <c r="Z572" s="3"/>
      <c r="AC572"/>
      <c r="AE572" s="3"/>
      <c r="AH572" t="s">
        <v>2033</v>
      </c>
      <c r="AI572" t="s">
        <v>68</v>
      </c>
      <c r="AJ572" t="s">
        <v>113</v>
      </c>
      <c r="AK572" s="3" t="s">
        <v>27</v>
      </c>
      <c r="AL572" s="3">
        <v>-69.753757511200007</v>
      </c>
      <c r="AN572" t="s">
        <v>2157</v>
      </c>
      <c r="AO572" t="s">
        <v>88</v>
      </c>
      <c r="AP572" t="s">
        <v>86</v>
      </c>
      <c r="AQ572" s="3">
        <v>12097.6106</v>
      </c>
      <c r="AS572" t="s">
        <v>1838</v>
      </c>
      <c r="AT572" t="s">
        <v>88</v>
      </c>
      <c r="AU572" t="s">
        <v>269</v>
      </c>
      <c r="AV572" s="14">
        <v>0</v>
      </c>
    </row>
    <row r="573" spans="26:48">
      <c r="Z573" s="3"/>
      <c r="AC573"/>
      <c r="AE573" s="3"/>
      <c r="AH573" t="s">
        <v>2033</v>
      </c>
      <c r="AI573" t="s">
        <v>68</v>
      </c>
      <c r="AJ573" t="s">
        <v>108</v>
      </c>
      <c r="AK573" s="3" t="s">
        <v>27</v>
      </c>
      <c r="AL573" s="3">
        <v>-113.7707624888</v>
      </c>
      <c r="AN573" t="s">
        <v>2157</v>
      </c>
      <c r="AO573" t="s">
        <v>88</v>
      </c>
      <c r="AP573" t="s">
        <v>90</v>
      </c>
      <c r="AQ573" s="3">
        <v>18334.4067</v>
      </c>
      <c r="AS573" t="s">
        <v>1838</v>
      </c>
      <c r="AT573" t="s">
        <v>88</v>
      </c>
      <c r="AU573" t="s">
        <v>270</v>
      </c>
      <c r="AV573" s="14">
        <v>0</v>
      </c>
    </row>
    <row r="574" spans="26:48">
      <c r="Z574" s="3"/>
      <c r="AC574"/>
      <c r="AE574" s="3"/>
      <c r="AH574" t="s">
        <v>2033</v>
      </c>
      <c r="AI574" t="s">
        <v>68</v>
      </c>
      <c r="AJ574" t="s">
        <v>98</v>
      </c>
      <c r="AK574" s="3" t="s">
        <v>27</v>
      </c>
      <c r="AL574" s="3">
        <v>-113.7707624888</v>
      </c>
      <c r="AN574" t="s">
        <v>2158</v>
      </c>
      <c r="AO574" t="s">
        <v>88</v>
      </c>
      <c r="AP574" t="s">
        <v>90</v>
      </c>
      <c r="AQ574" s="3">
        <v>18334.4067</v>
      </c>
      <c r="AS574" t="s">
        <v>1838</v>
      </c>
      <c r="AT574" t="s">
        <v>88</v>
      </c>
      <c r="AU574" t="s">
        <v>271</v>
      </c>
      <c r="AV574" s="14">
        <v>12105</v>
      </c>
    </row>
    <row r="575" spans="26:48">
      <c r="Z575" s="3"/>
      <c r="AC575"/>
      <c r="AE575" s="3"/>
      <c r="AH575" t="s">
        <v>2033</v>
      </c>
      <c r="AI575" t="s">
        <v>68</v>
      </c>
      <c r="AJ575" t="s">
        <v>66</v>
      </c>
      <c r="AK575" s="3" t="s">
        <v>114</v>
      </c>
      <c r="AL575" s="3">
        <v>5955.4</v>
      </c>
      <c r="AN575" t="s">
        <v>2158</v>
      </c>
      <c r="AO575" t="s">
        <v>88</v>
      </c>
      <c r="AP575" t="s">
        <v>86</v>
      </c>
      <c r="AQ575" s="3">
        <v>10097.6106</v>
      </c>
      <c r="AS575" t="s">
        <v>1838</v>
      </c>
      <c r="AT575" t="s">
        <v>88</v>
      </c>
      <c r="AU575" t="s">
        <v>272</v>
      </c>
      <c r="AV575" s="14">
        <v>0</v>
      </c>
    </row>
    <row r="576" spans="26:48">
      <c r="Z576" s="3"/>
      <c r="AC576"/>
      <c r="AE576" s="3"/>
      <c r="AH576" t="s">
        <v>2033</v>
      </c>
      <c r="AI576" t="s">
        <v>68</v>
      </c>
      <c r="AJ576" t="s">
        <v>98</v>
      </c>
      <c r="AK576" s="3" t="s">
        <v>114</v>
      </c>
      <c r="AL576" s="3">
        <v>-267.15859465749998</v>
      </c>
      <c r="AN576" t="s">
        <v>2159</v>
      </c>
      <c r="AO576" t="s">
        <v>88</v>
      </c>
      <c r="AP576" t="s">
        <v>86</v>
      </c>
      <c r="AQ576" s="3">
        <v>10097.6106</v>
      </c>
      <c r="AS576" t="s">
        <v>1838</v>
      </c>
      <c r="AT576" t="s">
        <v>88</v>
      </c>
      <c r="AU576" t="s">
        <v>273</v>
      </c>
      <c r="AV576" s="14">
        <v>0</v>
      </c>
    </row>
    <row r="577" spans="26:48">
      <c r="Z577" s="3"/>
      <c r="AC577"/>
      <c r="AE577" s="3"/>
      <c r="AH577" t="s">
        <v>2033</v>
      </c>
      <c r="AI577" t="s">
        <v>68</v>
      </c>
      <c r="AJ577" t="s">
        <v>66</v>
      </c>
      <c r="AK577" s="3" t="s">
        <v>115</v>
      </c>
      <c r="AL577" s="3">
        <v>3151.4</v>
      </c>
      <c r="AN577" t="s">
        <v>2159</v>
      </c>
      <c r="AO577" t="s">
        <v>88</v>
      </c>
      <c r="AP577" t="s">
        <v>90</v>
      </c>
      <c r="AQ577" s="3">
        <v>17494.4067</v>
      </c>
      <c r="AS577" t="s">
        <v>1838</v>
      </c>
      <c r="AT577" t="s">
        <v>196</v>
      </c>
      <c r="AU577" t="s">
        <v>197</v>
      </c>
      <c r="AV577" s="14">
        <v>7.2437978208016203</v>
      </c>
    </row>
    <row r="578" spans="26:48">
      <c r="Z578" s="3"/>
      <c r="AC578"/>
      <c r="AE578" s="3"/>
      <c r="AH578" t="s">
        <v>2033</v>
      </c>
      <c r="AI578" t="s">
        <v>68</v>
      </c>
      <c r="AJ578" t="s">
        <v>98</v>
      </c>
      <c r="AK578" s="3" t="s">
        <v>115</v>
      </c>
      <c r="AL578" s="3">
        <v>-153.3878321688</v>
      </c>
      <c r="AN578" t="s">
        <v>2160</v>
      </c>
      <c r="AO578" t="s">
        <v>88</v>
      </c>
      <c r="AP578" t="s">
        <v>86</v>
      </c>
      <c r="AQ578" s="3">
        <v>10097.6106</v>
      </c>
      <c r="AS578" t="s">
        <v>1838</v>
      </c>
      <c r="AT578" t="s">
        <v>196</v>
      </c>
      <c r="AU578" t="s">
        <v>109</v>
      </c>
      <c r="AV578" s="14">
        <v>5.7313115846345699</v>
      </c>
    </row>
    <row r="579" spans="26:48">
      <c r="Z579" s="3"/>
      <c r="AC579"/>
      <c r="AE579" s="3"/>
      <c r="AH579" t="s">
        <v>2033</v>
      </c>
      <c r="AI579" t="s">
        <v>800</v>
      </c>
      <c r="AJ579" t="s">
        <v>31</v>
      </c>
      <c r="AK579" s="3" t="s">
        <v>27</v>
      </c>
      <c r="AL579" s="3">
        <v>4.0083854924000004</v>
      </c>
      <c r="AN579" t="s">
        <v>2160</v>
      </c>
      <c r="AO579" t="s">
        <v>88</v>
      </c>
      <c r="AP579" t="s">
        <v>90</v>
      </c>
      <c r="AQ579" s="3">
        <v>20194.4067</v>
      </c>
      <c r="AS579" t="s">
        <v>1838</v>
      </c>
      <c r="AT579" t="s">
        <v>196</v>
      </c>
      <c r="AU579" t="s">
        <v>198</v>
      </c>
      <c r="AV579" s="14">
        <v>6.35841595088168</v>
      </c>
    </row>
    <row r="580" spans="26:48">
      <c r="Z580" s="3"/>
      <c r="AC580"/>
      <c r="AE580" s="3"/>
      <c r="AH580" t="s">
        <v>2032</v>
      </c>
      <c r="AI580" t="s">
        <v>65</v>
      </c>
      <c r="AJ580" t="s">
        <v>66</v>
      </c>
      <c r="AK580" s="3" t="s">
        <v>27</v>
      </c>
      <c r="AL580" s="3">
        <v>38163.699999999997</v>
      </c>
      <c r="AN580" t="s">
        <v>2161</v>
      </c>
      <c r="AO580" t="s">
        <v>88</v>
      </c>
      <c r="AP580" t="s">
        <v>86</v>
      </c>
      <c r="AQ580" s="3">
        <v>10097.6106</v>
      </c>
      <c r="AS580" t="s">
        <v>1839</v>
      </c>
      <c r="AT580" t="s">
        <v>88</v>
      </c>
      <c r="AU580" t="s">
        <v>109</v>
      </c>
      <c r="AV580" s="14">
        <v>15594</v>
      </c>
    </row>
    <row r="581" spans="26:48">
      <c r="Z581" s="3"/>
      <c r="AC581"/>
      <c r="AE581" s="3"/>
      <c r="AH581" t="s">
        <v>2032</v>
      </c>
      <c r="AI581" t="s">
        <v>65</v>
      </c>
      <c r="AJ581" t="s">
        <v>72</v>
      </c>
      <c r="AK581" s="3" t="s">
        <v>27</v>
      </c>
      <c r="AL581" s="3">
        <v>38915.032674000002</v>
      </c>
      <c r="AN581" t="s">
        <v>2161</v>
      </c>
      <c r="AO581" t="s">
        <v>88</v>
      </c>
      <c r="AP581" t="s">
        <v>90</v>
      </c>
      <c r="AQ581" s="3">
        <v>19294.4067</v>
      </c>
      <c r="AS581" t="s">
        <v>1839</v>
      </c>
      <c r="AT581" t="s">
        <v>88</v>
      </c>
      <c r="AU581" t="s">
        <v>110</v>
      </c>
      <c r="AV581" s="14">
        <v>397.61059999999998</v>
      </c>
    </row>
    <row r="582" spans="26:48">
      <c r="Z582" s="3"/>
      <c r="AC582"/>
      <c r="AE582" s="3"/>
      <c r="AH582" t="s">
        <v>2032</v>
      </c>
      <c r="AI582" t="s">
        <v>65</v>
      </c>
      <c r="AJ582" t="s">
        <v>113</v>
      </c>
      <c r="AK582" s="3" t="s">
        <v>27</v>
      </c>
      <c r="AL582" s="3">
        <v>2427.6794237047998</v>
      </c>
      <c r="AN582" t="s">
        <v>2162</v>
      </c>
      <c r="AO582" t="s">
        <v>88</v>
      </c>
      <c r="AP582" t="s">
        <v>86</v>
      </c>
      <c r="AQ582" s="3">
        <v>9902.6106</v>
      </c>
      <c r="AS582" t="s">
        <v>1839</v>
      </c>
      <c r="AT582" t="s">
        <v>88</v>
      </c>
      <c r="AU582" t="s">
        <v>111</v>
      </c>
      <c r="AV582" s="14">
        <v>10800</v>
      </c>
    </row>
    <row r="583" spans="26:48">
      <c r="Z583" s="3"/>
      <c r="AC583"/>
      <c r="AE583" s="3"/>
      <c r="AH583" t="s">
        <v>2032</v>
      </c>
      <c r="AI583" t="s">
        <v>65</v>
      </c>
      <c r="AJ583" t="s">
        <v>108</v>
      </c>
      <c r="AK583" s="3" t="s">
        <v>27</v>
      </c>
      <c r="AL583" s="3">
        <v>-1676.3467497048</v>
      </c>
      <c r="AN583" t="s">
        <v>2162</v>
      </c>
      <c r="AO583" t="s">
        <v>88</v>
      </c>
      <c r="AP583" t="s">
        <v>90</v>
      </c>
      <c r="AQ583" s="3">
        <v>17994.4067</v>
      </c>
      <c r="AS583" t="s">
        <v>1839</v>
      </c>
      <c r="AT583" t="s">
        <v>88</v>
      </c>
      <c r="AU583" t="s">
        <v>268</v>
      </c>
      <c r="AV583" s="14">
        <v>0</v>
      </c>
    </row>
    <row r="584" spans="26:48">
      <c r="Z584" s="3"/>
      <c r="AC584"/>
      <c r="AE584" s="3"/>
      <c r="AH584" t="s">
        <v>2032</v>
      </c>
      <c r="AI584" t="s">
        <v>65</v>
      </c>
      <c r="AJ584" t="s">
        <v>98</v>
      </c>
      <c r="AK584" s="3" t="s">
        <v>27</v>
      </c>
      <c r="AL584" s="3">
        <v>-1676.3467497048</v>
      </c>
      <c r="AN584" t="s">
        <v>2163</v>
      </c>
      <c r="AO584" t="s">
        <v>88</v>
      </c>
      <c r="AP584" t="s">
        <v>86</v>
      </c>
      <c r="AQ584" s="3">
        <v>10397.6106</v>
      </c>
      <c r="AS584" t="s">
        <v>1839</v>
      </c>
      <c r="AT584" t="s">
        <v>88</v>
      </c>
      <c r="AU584" t="s">
        <v>269</v>
      </c>
      <c r="AV584" s="14">
        <v>0</v>
      </c>
    </row>
    <row r="585" spans="26:48">
      <c r="Z585" s="3"/>
      <c r="AC585"/>
      <c r="AE585" s="3"/>
      <c r="AH585" t="s">
        <v>2032</v>
      </c>
      <c r="AI585" t="s">
        <v>67</v>
      </c>
      <c r="AJ585" t="s">
        <v>66</v>
      </c>
      <c r="AK585" s="3" t="s">
        <v>27</v>
      </c>
      <c r="AL585" s="3">
        <v>-23090.7</v>
      </c>
      <c r="AN585" t="s">
        <v>2163</v>
      </c>
      <c r="AO585" t="s">
        <v>88</v>
      </c>
      <c r="AP585" t="s">
        <v>90</v>
      </c>
      <c r="AQ585" s="3">
        <v>18494.4067</v>
      </c>
      <c r="AS585" t="s">
        <v>1839</v>
      </c>
      <c r="AT585" t="s">
        <v>88</v>
      </c>
      <c r="AU585" t="s">
        <v>270</v>
      </c>
      <c r="AV585" s="14">
        <v>0</v>
      </c>
    </row>
    <row r="586" spans="26:48">
      <c r="Z586" s="3"/>
      <c r="AC586"/>
      <c r="AE586" s="3"/>
      <c r="AH586" t="s">
        <v>2032</v>
      </c>
      <c r="AI586" t="s">
        <v>67</v>
      </c>
      <c r="AJ586" t="s">
        <v>72</v>
      </c>
      <c r="AK586" s="3" t="s">
        <v>27</v>
      </c>
      <c r="AL586" s="3">
        <v>-25162.878904000001</v>
      </c>
      <c r="AN586" t="s">
        <v>2164</v>
      </c>
      <c r="AO586" t="s">
        <v>88</v>
      </c>
      <c r="AP586" t="s">
        <v>86</v>
      </c>
      <c r="AQ586" s="3">
        <v>10397.6106</v>
      </c>
      <c r="AS586" t="s">
        <v>1839</v>
      </c>
      <c r="AT586" t="s">
        <v>88</v>
      </c>
      <c r="AU586" t="s">
        <v>271</v>
      </c>
      <c r="AV586" s="14">
        <v>13056</v>
      </c>
    </row>
    <row r="587" spans="26:48">
      <c r="Z587" s="3"/>
      <c r="AC587"/>
      <c r="AE587" s="3"/>
      <c r="AH587" t="s">
        <v>2032</v>
      </c>
      <c r="AI587" t="s">
        <v>67</v>
      </c>
      <c r="AJ587" t="s">
        <v>113</v>
      </c>
      <c r="AK587" s="3" t="s">
        <v>27</v>
      </c>
      <c r="AL587" s="3">
        <v>-2190.6298755661001</v>
      </c>
      <c r="AN587" t="s">
        <v>2164</v>
      </c>
      <c r="AO587" t="s">
        <v>88</v>
      </c>
      <c r="AP587" t="s">
        <v>90</v>
      </c>
      <c r="AQ587" s="3">
        <v>19634.4067</v>
      </c>
      <c r="AS587" t="s">
        <v>1839</v>
      </c>
      <c r="AT587" t="s">
        <v>88</v>
      </c>
      <c r="AU587" t="s">
        <v>272</v>
      </c>
      <c r="AV587" s="14">
        <v>0</v>
      </c>
    </row>
    <row r="588" spans="26:48">
      <c r="Z588" s="3"/>
      <c r="AC588"/>
      <c r="AE588" s="3"/>
      <c r="AH588" t="s">
        <v>2032</v>
      </c>
      <c r="AI588" t="s">
        <v>67</v>
      </c>
      <c r="AJ588" t="s">
        <v>108</v>
      </c>
      <c r="AK588" s="3" t="s">
        <v>27</v>
      </c>
      <c r="AL588" s="3">
        <v>118.45097156609999</v>
      </c>
      <c r="AN588" t="s">
        <v>2165</v>
      </c>
      <c r="AO588" t="s">
        <v>88</v>
      </c>
      <c r="AP588" t="s">
        <v>86</v>
      </c>
      <c r="AQ588" s="3">
        <v>10397.6106</v>
      </c>
      <c r="AS588" t="s">
        <v>1839</v>
      </c>
      <c r="AT588" t="s">
        <v>88</v>
      </c>
      <c r="AU588" t="s">
        <v>273</v>
      </c>
      <c r="AV588" s="14">
        <v>0</v>
      </c>
    </row>
    <row r="589" spans="26:48">
      <c r="Z589" s="3"/>
      <c r="AC589"/>
      <c r="AE589" s="3"/>
      <c r="AH589" t="s">
        <v>2032</v>
      </c>
      <c r="AI589" t="s">
        <v>67</v>
      </c>
      <c r="AJ589" t="s">
        <v>98</v>
      </c>
      <c r="AK589" s="3" t="s">
        <v>27</v>
      </c>
      <c r="AL589" s="3">
        <v>118.45097156609999</v>
      </c>
      <c r="AN589" t="s">
        <v>2165</v>
      </c>
      <c r="AO589" t="s">
        <v>88</v>
      </c>
      <c r="AP589" t="s">
        <v>90</v>
      </c>
      <c r="AQ589" s="3">
        <v>19634.4067</v>
      </c>
      <c r="AS589" t="s">
        <v>1839</v>
      </c>
      <c r="AT589" t="s">
        <v>196</v>
      </c>
      <c r="AU589" t="s">
        <v>197</v>
      </c>
      <c r="AV589" s="14">
        <v>7.2437978208016203</v>
      </c>
    </row>
    <row r="590" spans="26:48">
      <c r="Z590" s="3"/>
      <c r="AC590"/>
      <c r="AE590" s="3"/>
      <c r="AH590" t="s">
        <v>2032</v>
      </c>
      <c r="AI590" t="s">
        <v>67</v>
      </c>
      <c r="AJ590" t="s">
        <v>66</v>
      </c>
      <c r="AK590" s="3" t="s">
        <v>114</v>
      </c>
      <c r="AL590" s="3">
        <v>434</v>
      </c>
      <c r="AN590" t="s">
        <v>2166</v>
      </c>
      <c r="AO590" t="s">
        <v>88</v>
      </c>
      <c r="AP590" t="s">
        <v>86</v>
      </c>
      <c r="AQ590" s="3">
        <v>10397.6106</v>
      </c>
      <c r="AS590" t="s">
        <v>1839</v>
      </c>
      <c r="AT590" t="s">
        <v>196</v>
      </c>
      <c r="AU590" t="s">
        <v>109</v>
      </c>
      <c r="AV590" s="14">
        <v>5.64699271551273</v>
      </c>
    </row>
    <row r="591" spans="26:48">
      <c r="Z591" s="3"/>
      <c r="AC591"/>
      <c r="AE591" s="3"/>
      <c r="AH591" t="s">
        <v>2032</v>
      </c>
      <c r="AI591" t="s">
        <v>67</v>
      </c>
      <c r="AJ591" t="s">
        <v>98</v>
      </c>
      <c r="AK591" s="3" t="s">
        <v>114</v>
      </c>
      <c r="AL591" s="3">
        <v>-28.6835736986</v>
      </c>
      <c r="AN591" t="s">
        <v>2166</v>
      </c>
      <c r="AO591" t="s">
        <v>88</v>
      </c>
      <c r="AP591" t="s">
        <v>90</v>
      </c>
      <c r="AQ591" s="3">
        <v>19634.4067</v>
      </c>
      <c r="AS591" t="s">
        <v>1839</v>
      </c>
      <c r="AT591" t="s">
        <v>196</v>
      </c>
      <c r="AU591" t="s">
        <v>198</v>
      </c>
      <c r="AV591" s="14">
        <v>6.3279695946843102</v>
      </c>
    </row>
    <row r="592" spans="26:48">
      <c r="Z592" s="3"/>
      <c r="AC592"/>
      <c r="AE592" s="3"/>
      <c r="AH592" t="s">
        <v>2032</v>
      </c>
      <c r="AI592" t="s">
        <v>67</v>
      </c>
      <c r="AJ592" t="s">
        <v>66</v>
      </c>
      <c r="AK592" s="3" t="s">
        <v>115</v>
      </c>
      <c r="AL592" s="3">
        <v>23524.7</v>
      </c>
      <c r="AN592" t="s">
        <v>2167</v>
      </c>
      <c r="AO592" t="s">
        <v>88</v>
      </c>
      <c r="AP592" t="s">
        <v>86</v>
      </c>
      <c r="AQ592" s="3">
        <v>10397.6106</v>
      </c>
      <c r="AS592" t="s">
        <v>1840</v>
      </c>
      <c r="AT592" t="s">
        <v>88</v>
      </c>
      <c r="AU592" t="s">
        <v>109</v>
      </c>
      <c r="AV592" s="14">
        <v>14024</v>
      </c>
    </row>
    <row r="593" spans="26:48">
      <c r="Z593" s="3"/>
      <c r="AC593"/>
      <c r="AE593" s="3"/>
      <c r="AH593" t="s">
        <v>2032</v>
      </c>
      <c r="AI593" t="s">
        <v>67</v>
      </c>
      <c r="AJ593" t="s">
        <v>98</v>
      </c>
      <c r="AK593" s="3" t="s">
        <v>115</v>
      </c>
      <c r="AL593" s="3">
        <v>-147.13454526469999</v>
      </c>
      <c r="AN593" t="s">
        <v>2167</v>
      </c>
      <c r="AO593" t="s">
        <v>88</v>
      </c>
      <c r="AP593" t="s">
        <v>90</v>
      </c>
      <c r="AQ593" s="3">
        <v>19634.4067</v>
      </c>
      <c r="AS593" t="s">
        <v>1840</v>
      </c>
      <c r="AT593" t="s">
        <v>88</v>
      </c>
      <c r="AU593" t="s">
        <v>110</v>
      </c>
      <c r="AV593" s="14">
        <v>397.61059999999998</v>
      </c>
    </row>
    <row r="594" spans="26:48">
      <c r="Z594" s="3"/>
      <c r="AC594"/>
      <c r="AE594" s="3"/>
      <c r="AH594" t="s">
        <v>2032</v>
      </c>
      <c r="AI594" t="s">
        <v>68</v>
      </c>
      <c r="AJ594" t="s">
        <v>66</v>
      </c>
      <c r="AK594" s="3" t="s">
        <v>27</v>
      </c>
      <c r="AL594" s="3">
        <v>2440</v>
      </c>
      <c r="AN594" t="s">
        <v>2168</v>
      </c>
      <c r="AO594" t="s">
        <v>88</v>
      </c>
      <c r="AP594" t="s">
        <v>86</v>
      </c>
      <c r="AQ594" s="3">
        <v>10897.6106</v>
      </c>
      <c r="AS594" t="s">
        <v>1840</v>
      </c>
      <c r="AT594" t="s">
        <v>88</v>
      </c>
      <c r="AU594" t="s">
        <v>111</v>
      </c>
      <c r="AV594" s="14">
        <v>10800</v>
      </c>
    </row>
    <row r="595" spans="26:48">
      <c r="Z595" s="3"/>
      <c r="AC595"/>
      <c r="AE595" s="3"/>
      <c r="AH595" t="s">
        <v>2032</v>
      </c>
      <c r="AI595" t="s">
        <v>68</v>
      </c>
      <c r="AJ595" t="s">
        <v>72</v>
      </c>
      <c r="AK595" s="3" t="s">
        <v>27</v>
      </c>
      <c r="AL595" s="3">
        <v>2251.8633</v>
      </c>
      <c r="AN595" t="s">
        <v>2168</v>
      </c>
      <c r="AO595" t="s">
        <v>88</v>
      </c>
      <c r="AP595" t="s">
        <v>90</v>
      </c>
      <c r="AQ595" s="3">
        <v>18984.4067</v>
      </c>
      <c r="AS595" t="s">
        <v>1840</v>
      </c>
      <c r="AT595" t="s">
        <v>88</v>
      </c>
      <c r="AU595" t="s">
        <v>268</v>
      </c>
      <c r="AV595" s="14">
        <v>0</v>
      </c>
    </row>
    <row r="596" spans="26:48">
      <c r="Z596" s="3"/>
      <c r="AC596"/>
      <c r="AE596" s="3"/>
      <c r="AH596" t="s">
        <v>2032</v>
      </c>
      <c r="AI596" t="s">
        <v>68</v>
      </c>
      <c r="AJ596" t="s">
        <v>113</v>
      </c>
      <c r="AK596" s="3" t="s">
        <v>27</v>
      </c>
      <c r="AL596" s="3">
        <v>-108.47938874640001</v>
      </c>
      <c r="AN596" t="s">
        <v>2169</v>
      </c>
      <c r="AO596" t="s">
        <v>88</v>
      </c>
      <c r="AP596" t="s">
        <v>86</v>
      </c>
      <c r="AQ596" s="3">
        <v>10897.6106</v>
      </c>
      <c r="AS596" t="s">
        <v>1840</v>
      </c>
      <c r="AT596" t="s">
        <v>88</v>
      </c>
      <c r="AU596" t="s">
        <v>269</v>
      </c>
      <c r="AV596" s="14">
        <v>0</v>
      </c>
    </row>
    <row r="597" spans="26:48">
      <c r="Z597" s="3"/>
      <c r="AC597"/>
      <c r="AE597" s="3"/>
      <c r="AH597" t="s">
        <v>2032</v>
      </c>
      <c r="AI597" t="s">
        <v>68</v>
      </c>
      <c r="AJ597" t="s">
        <v>108</v>
      </c>
      <c r="AK597" s="3" t="s">
        <v>27</v>
      </c>
      <c r="AL597" s="3">
        <v>-79.6573112536</v>
      </c>
      <c r="AN597" t="s">
        <v>2169</v>
      </c>
      <c r="AO597" t="s">
        <v>88</v>
      </c>
      <c r="AP597" t="s">
        <v>90</v>
      </c>
      <c r="AQ597" s="3">
        <v>17484.4067</v>
      </c>
      <c r="AS597" t="s">
        <v>1840</v>
      </c>
      <c r="AT597" t="s">
        <v>88</v>
      </c>
      <c r="AU597" t="s">
        <v>270</v>
      </c>
      <c r="AV597" s="14">
        <v>0</v>
      </c>
    </row>
    <row r="598" spans="26:48">
      <c r="Z598" s="3"/>
      <c r="AC598"/>
      <c r="AE598" s="3"/>
      <c r="AH598" t="s">
        <v>2032</v>
      </c>
      <c r="AI598" t="s">
        <v>68</v>
      </c>
      <c r="AJ598" t="s">
        <v>98</v>
      </c>
      <c r="AK598" s="3" t="s">
        <v>27</v>
      </c>
      <c r="AL598" s="3">
        <v>-79.6573112536</v>
      </c>
      <c r="AN598" t="s">
        <v>2170</v>
      </c>
      <c r="AO598" t="s">
        <v>88</v>
      </c>
      <c r="AP598" t="s">
        <v>86</v>
      </c>
      <c r="AQ598" s="3">
        <v>10897.6106</v>
      </c>
      <c r="AS598" t="s">
        <v>1840</v>
      </c>
      <c r="AT598" t="s">
        <v>88</v>
      </c>
      <c r="AU598" t="s">
        <v>271</v>
      </c>
      <c r="AV598" s="14">
        <v>14626</v>
      </c>
    </row>
    <row r="599" spans="26:48">
      <c r="Z599" s="3"/>
      <c r="AC599"/>
      <c r="AE599" s="3"/>
      <c r="AH599" t="s">
        <v>2032</v>
      </c>
      <c r="AI599" t="s">
        <v>68</v>
      </c>
      <c r="AJ599" t="s">
        <v>66</v>
      </c>
      <c r="AK599" s="3" t="s">
        <v>114</v>
      </c>
      <c r="AL599" s="3">
        <v>4332</v>
      </c>
      <c r="AN599" t="s">
        <v>2170</v>
      </c>
      <c r="AO599" t="s">
        <v>88</v>
      </c>
      <c r="AP599" t="s">
        <v>90</v>
      </c>
      <c r="AQ599" s="3">
        <v>17484.4067</v>
      </c>
      <c r="AS599" t="s">
        <v>1840</v>
      </c>
      <c r="AT599" t="s">
        <v>88</v>
      </c>
      <c r="AU599" t="s">
        <v>272</v>
      </c>
      <c r="AV599" s="14">
        <v>0</v>
      </c>
    </row>
    <row r="600" spans="26:48">
      <c r="Z600" s="3"/>
      <c r="AC600"/>
      <c r="AE600" s="3"/>
      <c r="AH600" t="s">
        <v>2032</v>
      </c>
      <c r="AI600" t="s">
        <v>68</v>
      </c>
      <c r="AJ600" t="s">
        <v>98</v>
      </c>
      <c r="AK600" s="3" t="s">
        <v>114</v>
      </c>
      <c r="AL600" s="3">
        <v>-198.9228023288</v>
      </c>
      <c r="AN600" t="s">
        <v>2171</v>
      </c>
      <c r="AO600" t="s">
        <v>88</v>
      </c>
      <c r="AP600" t="s">
        <v>86</v>
      </c>
      <c r="AQ600" s="3">
        <v>10897.6106</v>
      </c>
      <c r="AS600" t="s">
        <v>1840</v>
      </c>
      <c r="AT600" t="s">
        <v>88</v>
      </c>
      <c r="AU600" t="s">
        <v>273</v>
      </c>
      <c r="AV600" s="14">
        <v>0</v>
      </c>
    </row>
    <row r="601" spans="26:48">
      <c r="Z601" s="3"/>
      <c r="AC601"/>
      <c r="AE601" s="3"/>
      <c r="AH601" t="s">
        <v>2032</v>
      </c>
      <c r="AI601" t="s">
        <v>68</v>
      </c>
      <c r="AJ601" t="s">
        <v>66</v>
      </c>
      <c r="AK601" s="3" t="s">
        <v>115</v>
      </c>
      <c r="AL601" s="3">
        <v>1892</v>
      </c>
      <c r="AN601" t="s">
        <v>2171</v>
      </c>
      <c r="AO601" t="s">
        <v>88</v>
      </c>
      <c r="AP601" t="s">
        <v>90</v>
      </c>
      <c r="AQ601" s="3">
        <v>17484.4067</v>
      </c>
      <c r="AS601" t="s">
        <v>1840</v>
      </c>
      <c r="AT601" t="s">
        <v>196</v>
      </c>
      <c r="AU601" t="s">
        <v>197</v>
      </c>
      <c r="AV601" s="14">
        <v>7.2437978208016203</v>
      </c>
    </row>
    <row r="602" spans="26:48">
      <c r="Z602" s="3"/>
      <c r="AC602"/>
      <c r="AE602" s="3"/>
      <c r="AH602" t="s">
        <v>2032</v>
      </c>
      <c r="AI602" t="s">
        <v>68</v>
      </c>
      <c r="AJ602" t="s">
        <v>98</v>
      </c>
      <c r="AK602" s="3" t="s">
        <v>115</v>
      </c>
      <c r="AL602" s="3">
        <v>-119.2654910752</v>
      </c>
      <c r="AN602" t="s">
        <v>2172</v>
      </c>
      <c r="AO602" t="s">
        <v>88</v>
      </c>
      <c r="AP602" t="s">
        <v>86</v>
      </c>
      <c r="AQ602" s="3">
        <v>10897.6106</v>
      </c>
      <c r="AS602" t="s">
        <v>1840</v>
      </c>
      <c r="AT602" t="s">
        <v>196</v>
      </c>
      <c r="AU602" t="s">
        <v>109</v>
      </c>
      <c r="AV602" s="14">
        <v>5.4590597580461102</v>
      </c>
    </row>
    <row r="603" spans="26:48">
      <c r="Z603" s="3"/>
      <c r="AC603"/>
      <c r="AE603" s="3"/>
      <c r="AH603" t="s">
        <v>2032</v>
      </c>
      <c r="AI603" t="s">
        <v>800</v>
      </c>
      <c r="AJ603" t="s">
        <v>31</v>
      </c>
      <c r="AK603" s="3" t="s">
        <v>27</v>
      </c>
      <c r="AL603" s="3">
        <v>3.9889483694000001</v>
      </c>
      <c r="AN603" t="s">
        <v>2172</v>
      </c>
      <c r="AO603" t="s">
        <v>88</v>
      </c>
      <c r="AP603" t="s">
        <v>90</v>
      </c>
      <c r="AQ603" s="3">
        <v>15584.4067</v>
      </c>
      <c r="AS603" t="s">
        <v>1840</v>
      </c>
      <c r="AT603" t="s">
        <v>196</v>
      </c>
      <c r="AU603" t="s">
        <v>198</v>
      </c>
      <c r="AV603" s="14">
        <v>6.2578532479958602</v>
      </c>
    </row>
    <row r="604" spans="26:48">
      <c r="Z604" s="3"/>
      <c r="AC604"/>
      <c r="AE604" s="3"/>
      <c r="AH604" t="s">
        <v>2026</v>
      </c>
      <c r="AI604" t="s">
        <v>800</v>
      </c>
      <c r="AJ604" t="s">
        <v>31</v>
      </c>
      <c r="AK604" s="3" t="s">
        <v>27</v>
      </c>
      <c r="AL604" s="3">
        <v>3.9362918028</v>
      </c>
      <c r="AN604" t="s">
        <v>2173</v>
      </c>
      <c r="AO604" t="s">
        <v>88</v>
      </c>
      <c r="AP604" t="s">
        <v>86</v>
      </c>
      <c r="AQ604" s="3">
        <v>10897.6106</v>
      </c>
      <c r="AS604" t="s">
        <v>1841</v>
      </c>
      <c r="AT604" t="s">
        <v>88</v>
      </c>
      <c r="AU604" t="s">
        <v>109</v>
      </c>
      <c r="AV604" s="14">
        <v>13714</v>
      </c>
    </row>
    <row r="605" spans="26:48">
      <c r="Z605" s="3"/>
      <c r="AC605"/>
      <c r="AE605" s="3"/>
      <c r="AH605" t="s">
        <v>2026</v>
      </c>
      <c r="AI605" t="s">
        <v>65</v>
      </c>
      <c r="AJ605" t="s">
        <v>66</v>
      </c>
      <c r="AK605" s="3" t="s">
        <v>27</v>
      </c>
      <c r="AL605" s="3">
        <v>38613.699999999997</v>
      </c>
      <c r="AN605" t="s">
        <v>2173</v>
      </c>
      <c r="AO605" t="s">
        <v>88</v>
      </c>
      <c r="AP605" t="s">
        <v>90</v>
      </c>
      <c r="AQ605" s="3">
        <v>16184.4067</v>
      </c>
      <c r="AS605" t="s">
        <v>1841</v>
      </c>
      <c r="AT605" t="s">
        <v>88</v>
      </c>
      <c r="AU605" t="s">
        <v>110</v>
      </c>
      <c r="AV605" s="14">
        <v>397.61059999999998</v>
      </c>
    </row>
    <row r="606" spans="26:48">
      <c r="Z606" s="3"/>
      <c r="AC606"/>
      <c r="AE606" s="3"/>
      <c r="AH606" t="s">
        <v>2026</v>
      </c>
      <c r="AI606" t="s">
        <v>65</v>
      </c>
      <c r="AJ606" t="s">
        <v>72</v>
      </c>
      <c r="AK606" s="3" t="s">
        <v>27</v>
      </c>
      <c r="AL606" s="3">
        <v>39348.489806999998</v>
      </c>
      <c r="AN606" t="s">
        <v>2174</v>
      </c>
      <c r="AO606" t="s">
        <v>88</v>
      </c>
      <c r="AP606" t="s">
        <v>86</v>
      </c>
      <c r="AQ606" s="3">
        <v>10897.6106</v>
      </c>
      <c r="AS606" t="s">
        <v>1841</v>
      </c>
      <c r="AT606" t="s">
        <v>88</v>
      </c>
      <c r="AU606" t="s">
        <v>111</v>
      </c>
      <c r="AV606" s="14">
        <v>10800</v>
      </c>
    </row>
    <row r="607" spans="26:48">
      <c r="Z607" s="3"/>
      <c r="AC607"/>
      <c r="AE607" s="3"/>
      <c r="AH607" t="s">
        <v>2026</v>
      </c>
      <c r="AI607" t="s">
        <v>65</v>
      </c>
      <c r="AJ607" t="s">
        <v>113</v>
      </c>
      <c r="AK607" s="3" t="s">
        <v>27</v>
      </c>
      <c r="AL607" s="3">
        <v>2432.1628967698998</v>
      </c>
      <c r="AN607" t="s">
        <v>2174</v>
      </c>
      <c r="AO607" t="s">
        <v>88</v>
      </c>
      <c r="AP607" t="s">
        <v>90</v>
      </c>
      <c r="AQ607" s="3">
        <v>16734.4067</v>
      </c>
      <c r="AS607" t="s">
        <v>1841</v>
      </c>
      <c r="AT607" t="s">
        <v>88</v>
      </c>
      <c r="AU607" t="s">
        <v>268</v>
      </c>
      <c r="AV607" s="14">
        <v>0</v>
      </c>
    </row>
    <row r="608" spans="26:48">
      <c r="Z608" s="3"/>
      <c r="AC608"/>
      <c r="AE608" s="3"/>
      <c r="AH608" t="s">
        <v>2026</v>
      </c>
      <c r="AI608" t="s">
        <v>65</v>
      </c>
      <c r="AJ608" t="s">
        <v>108</v>
      </c>
      <c r="AK608" s="3" t="s">
        <v>27</v>
      </c>
      <c r="AL608" s="3">
        <v>-1697.3730897698999</v>
      </c>
      <c r="AN608" t="s">
        <v>2175</v>
      </c>
      <c r="AO608" t="s">
        <v>88</v>
      </c>
      <c r="AP608" t="s">
        <v>90</v>
      </c>
      <c r="AQ608" s="3">
        <v>17434.4067</v>
      </c>
      <c r="AS608" t="s">
        <v>1841</v>
      </c>
      <c r="AT608" t="s">
        <v>88</v>
      </c>
      <c r="AU608" t="s">
        <v>269</v>
      </c>
      <c r="AV608" s="14">
        <v>0</v>
      </c>
    </row>
    <row r="609" spans="26:48">
      <c r="Z609" s="3"/>
      <c r="AC609"/>
      <c r="AE609" s="3"/>
      <c r="AH609" t="s">
        <v>2026</v>
      </c>
      <c r="AI609" t="s">
        <v>65</v>
      </c>
      <c r="AJ609" t="s">
        <v>98</v>
      </c>
      <c r="AK609" s="3" t="s">
        <v>27</v>
      </c>
      <c r="AL609" s="3">
        <v>-1697.3730897698999</v>
      </c>
      <c r="AN609" t="s">
        <v>2175</v>
      </c>
      <c r="AO609" t="s">
        <v>88</v>
      </c>
      <c r="AP609" t="s">
        <v>86</v>
      </c>
      <c r="AQ609" s="3">
        <v>9897.6106</v>
      </c>
      <c r="AS609" t="s">
        <v>1841</v>
      </c>
      <c r="AT609" t="s">
        <v>88</v>
      </c>
      <c r="AU609" t="s">
        <v>270</v>
      </c>
      <c r="AV609" s="14">
        <v>0</v>
      </c>
    </row>
    <row r="610" spans="26:48">
      <c r="Z610" s="3"/>
      <c r="AC610"/>
      <c r="AE610" s="3"/>
      <c r="AH610" t="s">
        <v>2026</v>
      </c>
      <c r="AI610" t="s">
        <v>67</v>
      </c>
      <c r="AJ610" t="s">
        <v>66</v>
      </c>
      <c r="AK610" s="3" t="s">
        <v>27</v>
      </c>
      <c r="AL610" s="3">
        <v>-23444.7</v>
      </c>
      <c r="AN610" t="s">
        <v>2176</v>
      </c>
      <c r="AO610" t="s">
        <v>88</v>
      </c>
      <c r="AP610" t="s">
        <v>86</v>
      </c>
      <c r="AQ610" s="3">
        <v>9897.6106</v>
      </c>
      <c r="AS610" t="s">
        <v>1841</v>
      </c>
      <c r="AT610" t="s">
        <v>88</v>
      </c>
      <c r="AU610" t="s">
        <v>271</v>
      </c>
      <c r="AV610" s="14">
        <v>14936</v>
      </c>
    </row>
    <row r="611" spans="26:48">
      <c r="Z611" s="3"/>
      <c r="AC611"/>
      <c r="AE611" s="3"/>
      <c r="AH611" t="s">
        <v>2026</v>
      </c>
      <c r="AI611" t="s">
        <v>67</v>
      </c>
      <c r="AJ611" t="s">
        <v>72</v>
      </c>
      <c r="AK611" s="3" t="s">
        <v>27</v>
      </c>
      <c r="AL611" s="3">
        <v>-25511.408866999998</v>
      </c>
      <c r="AN611" t="s">
        <v>2176</v>
      </c>
      <c r="AO611" t="s">
        <v>88</v>
      </c>
      <c r="AP611" t="s">
        <v>90</v>
      </c>
      <c r="AQ611" s="3">
        <v>20934.4067</v>
      </c>
      <c r="AS611" t="s">
        <v>1841</v>
      </c>
      <c r="AT611" t="s">
        <v>88</v>
      </c>
      <c r="AU611" t="s">
        <v>272</v>
      </c>
      <c r="AV611" s="14">
        <v>0</v>
      </c>
    </row>
    <row r="612" spans="26:48">
      <c r="Z612" s="3"/>
      <c r="AC612"/>
      <c r="AE612" s="3"/>
      <c r="AH612" t="s">
        <v>2026</v>
      </c>
      <c r="AI612" t="s">
        <v>67</v>
      </c>
      <c r="AJ612" t="s">
        <v>113</v>
      </c>
      <c r="AK612" s="3" t="s">
        <v>27</v>
      </c>
      <c r="AL612" s="3">
        <v>-2197.3697531363</v>
      </c>
      <c r="AN612" t="s">
        <v>2177</v>
      </c>
      <c r="AO612" t="s">
        <v>88</v>
      </c>
      <c r="AP612" t="s">
        <v>86</v>
      </c>
      <c r="AQ612" s="3">
        <v>9897.6106</v>
      </c>
      <c r="AS612" t="s">
        <v>1841</v>
      </c>
      <c r="AT612" t="s">
        <v>88</v>
      </c>
      <c r="AU612" t="s">
        <v>273</v>
      </c>
      <c r="AV612" s="14">
        <v>0</v>
      </c>
    </row>
    <row r="613" spans="26:48">
      <c r="Z613" s="3"/>
      <c r="AC613"/>
      <c r="AE613" s="3"/>
      <c r="AH613" t="s">
        <v>2026</v>
      </c>
      <c r="AI613" t="s">
        <v>67</v>
      </c>
      <c r="AJ613" t="s">
        <v>108</v>
      </c>
      <c r="AK613" s="3" t="s">
        <v>27</v>
      </c>
      <c r="AL613" s="3">
        <v>130.66088613630001</v>
      </c>
      <c r="AN613" t="s">
        <v>2177</v>
      </c>
      <c r="AO613" t="s">
        <v>88</v>
      </c>
      <c r="AP613" t="s">
        <v>90</v>
      </c>
      <c r="AQ613" s="3">
        <v>21934.4067</v>
      </c>
      <c r="AS613" t="s">
        <v>1841</v>
      </c>
      <c r="AT613" t="s">
        <v>196</v>
      </c>
      <c r="AU613" t="s">
        <v>197</v>
      </c>
      <c r="AV613" s="14">
        <v>7.2437978208016203</v>
      </c>
    </row>
    <row r="614" spans="26:48">
      <c r="Z614" s="3"/>
      <c r="AC614"/>
      <c r="AE614" s="3"/>
      <c r="AH614" t="s">
        <v>2026</v>
      </c>
      <c r="AI614" t="s">
        <v>67</v>
      </c>
      <c r="AJ614" t="s">
        <v>98</v>
      </c>
      <c r="AK614" s="3" t="s">
        <v>27</v>
      </c>
      <c r="AL614" s="3">
        <v>130.66088613630001</v>
      </c>
      <c r="AN614" t="s">
        <v>2178</v>
      </c>
      <c r="AO614" t="s">
        <v>88</v>
      </c>
      <c r="AP614" t="s">
        <v>86</v>
      </c>
      <c r="AQ614" s="3">
        <v>7897.6106</v>
      </c>
      <c r="AS614" t="s">
        <v>1841</v>
      </c>
      <c r="AT614" t="s">
        <v>196</v>
      </c>
      <c r="AU614" t="s">
        <v>109</v>
      </c>
      <c r="AV614" s="14">
        <v>5.3080065934704299</v>
      </c>
    </row>
    <row r="615" spans="26:48">
      <c r="Z615" s="3"/>
      <c r="AC615"/>
      <c r="AE615" s="3"/>
      <c r="AH615" t="s">
        <v>2026</v>
      </c>
      <c r="AI615" t="s">
        <v>67</v>
      </c>
      <c r="AJ615" t="s">
        <v>66</v>
      </c>
      <c r="AK615" s="3" t="s">
        <v>114</v>
      </c>
      <c r="AL615" s="3">
        <v>0</v>
      </c>
      <c r="AN615" t="s">
        <v>2178</v>
      </c>
      <c r="AO615" t="s">
        <v>88</v>
      </c>
      <c r="AP615" t="s">
        <v>90</v>
      </c>
      <c r="AQ615" s="3">
        <v>21934.4067</v>
      </c>
      <c r="AS615" t="s">
        <v>1841</v>
      </c>
      <c r="AT615" t="s">
        <v>196</v>
      </c>
      <c r="AU615" t="s">
        <v>198</v>
      </c>
      <c r="AV615" s="14">
        <v>6.1829572732851199</v>
      </c>
    </row>
    <row r="616" spans="26:48">
      <c r="Z616" s="3"/>
      <c r="AC616"/>
      <c r="AE616" s="3"/>
      <c r="AH616" t="s">
        <v>2026</v>
      </c>
      <c r="AI616" t="s">
        <v>67</v>
      </c>
      <c r="AJ616" t="s">
        <v>98</v>
      </c>
      <c r="AK616" s="3" t="s">
        <v>114</v>
      </c>
      <c r="AL616" s="3">
        <v>0</v>
      </c>
      <c r="AN616" t="s">
        <v>2179</v>
      </c>
      <c r="AO616" t="s">
        <v>88</v>
      </c>
      <c r="AP616" t="s">
        <v>86</v>
      </c>
      <c r="AQ616" s="3">
        <v>7897.6106</v>
      </c>
      <c r="AS616" t="s">
        <v>1842</v>
      </c>
      <c r="AT616" t="s">
        <v>88</v>
      </c>
      <c r="AU616" t="s">
        <v>109</v>
      </c>
      <c r="AV616" s="14">
        <v>15654</v>
      </c>
    </row>
    <row r="617" spans="26:48">
      <c r="Z617" s="3"/>
      <c r="AC617"/>
      <c r="AE617" s="3"/>
      <c r="AH617" t="s">
        <v>2026</v>
      </c>
      <c r="AI617" t="s">
        <v>67</v>
      </c>
      <c r="AJ617" t="s">
        <v>66</v>
      </c>
      <c r="AK617" s="3" t="s">
        <v>115</v>
      </c>
      <c r="AL617" s="3">
        <v>23444.7</v>
      </c>
      <c r="AN617" t="s">
        <v>2179</v>
      </c>
      <c r="AO617" t="s">
        <v>88</v>
      </c>
      <c r="AP617" t="s">
        <v>90</v>
      </c>
      <c r="AQ617" s="3">
        <v>22334.4067</v>
      </c>
      <c r="AS617" t="s">
        <v>1842</v>
      </c>
      <c r="AT617" t="s">
        <v>88</v>
      </c>
      <c r="AU617" t="s">
        <v>110</v>
      </c>
      <c r="AV617" s="14">
        <v>397.61059999999998</v>
      </c>
    </row>
    <row r="618" spans="26:48">
      <c r="Z618" s="3"/>
      <c r="AC618"/>
      <c r="AE618" s="3"/>
      <c r="AH618" t="s">
        <v>2026</v>
      </c>
      <c r="AI618" t="s">
        <v>67</v>
      </c>
      <c r="AJ618" t="s">
        <v>98</v>
      </c>
      <c r="AK618" s="3" t="s">
        <v>115</v>
      </c>
      <c r="AL618" s="3">
        <v>-130.66088613630001</v>
      </c>
      <c r="AN618" t="s">
        <v>2180</v>
      </c>
      <c r="AO618" t="s">
        <v>88</v>
      </c>
      <c r="AP618" t="s">
        <v>86</v>
      </c>
      <c r="AQ618" s="3">
        <v>7897.6106</v>
      </c>
      <c r="AS618" t="s">
        <v>1842</v>
      </c>
      <c r="AT618" t="s">
        <v>88</v>
      </c>
      <c r="AU618" t="s">
        <v>111</v>
      </c>
      <c r="AV618" s="14">
        <v>10800</v>
      </c>
    </row>
    <row r="619" spans="26:48">
      <c r="Z619" s="3"/>
      <c r="AC619"/>
      <c r="AE619" s="3"/>
      <c r="AH619" t="s">
        <v>2026</v>
      </c>
      <c r="AI619" t="s">
        <v>68</v>
      </c>
      <c r="AJ619" t="s">
        <v>66</v>
      </c>
      <c r="AK619" s="3" t="s">
        <v>27</v>
      </c>
      <c r="AL619" s="3">
        <v>2344</v>
      </c>
      <c r="AN619" t="s">
        <v>2180</v>
      </c>
      <c r="AO619" t="s">
        <v>88</v>
      </c>
      <c r="AP619" t="s">
        <v>90</v>
      </c>
      <c r="AQ619" s="3">
        <v>22334.4067</v>
      </c>
      <c r="AS619" t="s">
        <v>1842</v>
      </c>
      <c r="AT619" t="s">
        <v>88</v>
      </c>
      <c r="AU619" t="s">
        <v>268</v>
      </c>
      <c r="AV619" s="14">
        <v>0</v>
      </c>
    </row>
    <row r="620" spans="26:48">
      <c r="Z620" s="3"/>
      <c r="AC620"/>
      <c r="AE620" s="3"/>
      <c r="AH620" t="s">
        <v>2026</v>
      </c>
      <c r="AI620" t="s">
        <v>68</v>
      </c>
      <c r="AJ620" t="s">
        <v>72</v>
      </c>
      <c r="AK620" s="3" t="s">
        <v>27</v>
      </c>
      <c r="AL620" s="3">
        <v>2165.0619200000001</v>
      </c>
      <c r="AN620" t="s">
        <v>2181</v>
      </c>
      <c r="AO620" t="s">
        <v>88</v>
      </c>
      <c r="AP620" t="s">
        <v>86</v>
      </c>
      <c r="AQ620" s="3">
        <v>7897.6106</v>
      </c>
      <c r="AS620" t="s">
        <v>1842</v>
      </c>
      <c r="AT620" t="s">
        <v>88</v>
      </c>
      <c r="AU620" t="s">
        <v>269</v>
      </c>
      <c r="AV620" s="14">
        <v>0</v>
      </c>
    </row>
    <row r="621" spans="26:48">
      <c r="Z621" s="3"/>
      <c r="AC621"/>
      <c r="AE621" s="3"/>
      <c r="AH621" t="s">
        <v>2026</v>
      </c>
      <c r="AI621" t="s">
        <v>68</v>
      </c>
      <c r="AJ621" t="s">
        <v>113</v>
      </c>
      <c r="AK621" s="3" t="s">
        <v>27</v>
      </c>
      <c r="AL621" s="3">
        <v>-106.00308891669999</v>
      </c>
      <c r="AN621" t="s">
        <v>2181</v>
      </c>
      <c r="AO621" t="s">
        <v>88</v>
      </c>
      <c r="AP621" t="s">
        <v>90</v>
      </c>
      <c r="AQ621" s="3">
        <v>22534.4067</v>
      </c>
      <c r="AS621" t="s">
        <v>1842</v>
      </c>
      <c r="AT621" t="s">
        <v>88</v>
      </c>
      <c r="AU621" t="s">
        <v>270</v>
      </c>
      <c r="AV621" s="14">
        <v>0</v>
      </c>
    </row>
    <row r="622" spans="26:48">
      <c r="Z622" s="3"/>
      <c r="AC622"/>
      <c r="AE622" s="3"/>
      <c r="AH622" t="s">
        <v>2026</v>
      </c>
      <c r="AI622" t="s">
        <v>68</v>
      </c>
      <c r="AJ622" t="s">
        <v>108</v>
      </c>
      <c r="AK622" s="3" t="s">
        <v>27</v>
      </c>
      <c r="AL622" s="3">
        <v>-72.934991083300005</v>
      </c>
      <c r="AN622" t="s">
        <v>2182</v>
      </c>
      <c r="AO622" t="s">
        <v>88</v>
      </c>
      <c r="AP622" t="s">
        <v>86</v>
      </c>
      <c r="AQ622" s="3">
        <v>7897.6106</v>
      </c>
      <c r="AS622" t="s">
        <v>1842</v>
      </c>
      <c r="AT622" t="s">
        <v>88</v>
      </c>
      <c r="AU622" t="s">
        <v>271</v>
      </c>
      <c r="AV622" s="14">
        <v>12996</v>
      </c>
    </row>
    <row r="623" spans="26:48">
      <c r="Z623" s="3"/>
      <c r="AC623"/>
      <c r="AE623" s="3"/>
      <c r="AH623" t="s">
        <v>2026</v>
      </c>
      <c r="AI623" t="s">
        <v>68</v>
      </c>
      <c r="AJ623" t="s">
        <v>98</v>
      </c>
      <c r="AK623" s="3" t="s">
        <v>27</v>
      </c>
      <c r="AL623" s="3">
        <v>-72.934991083300005</v>
      </c>
      <c r="AN623" t="s">
        <v>2182</v>
      </c>
      <c r="AO623" t="s">
        <v>88</v>
      </c>
      <c r="AP623" t="s">
        <v>90</v>
      </c>
      <c r="AQ623" s="3">
        <v>22034.4067</v>
      </c>
      <c r="AS623" t="s">
        <v>1842</v>
      </c>
      <c r="AT623" t="s">
        <v>88</v>
      </c>
      <c r="AU623" t="s">
        <v>272</v>
      </c>
      <c r="AV623" s="14">
        <v>0</v>
      </c>
    </row>
    <row r="624" spans="26:48">
      <c r="Z624" s="3"/>
      <c r="AC624"/>
      <c r="AE624" s="3"/>
      <c r="AH624" t="s">
        <v>2026</v>
      </c>
      <c r="AI624" t="s">
        <v>68</v>
      </c>
      <c r="AJ624" t="s">
        <v>66</v>
      </c>
      <c r="AK624" s="3" t="s">
        <v>114</v>
      </c>
      <c r="AL624" s="3">
        <v>4616</v>
      </c>
      <c r="AN624" t="s">
        <v>2183</v>
      </c>
      <c r="AO624" t="s">
        <v>88</v>
      </c>
      <c r="AP624" t="s">
        <v>86</v>
      </c>
      <c r="AQ624" s="3">
        <v>7897.6106</v>
      </c>
      <c r="AS624" t="s">
        <v>1842</v>
      </c>
      <c r="AT624" t="s">
        <v>88</v>
      </c>
      <c r="AU624" t="s">
        <v>273</v>
      </c>
      <c r="AV624" s="14">
        <v>0</v>
      </c>
    </row>
    <row r="625" spans="26:48">
      <c r="Z625" s="3"/>
      <c r="AC625"/>
      <c r="AE625" s="3"/>
      <c r="AH625" t="s">
        <v>2026</v>
      </c>
      <c r="AI625" t="s">
        <v>68</v>
      </c>
      <c r="AJ625" t="s">
        <v>98</v>
      </c>
      <c r="AK625" s="3" t="s">
        <v>114</v>
      </c>
      <c r="AL625" s="3">
        <v>-214.91316164380001</v>
      </c>
      <c r="AN625" t="s">
        <v>2183</v>
      </c>
      <c r="AO625" t="s">
        <v>88</v>
      </c>
      <c r="AP625" t="s">
        <v>90</v>
      </c>
      <c r="AQ625" s="3">
        <v>24534.4067</v>
      </c>
      <c r="AS625" t="s">
        <v>1842</v>
      </c>
      <c r="AT625" t="s">
        <v>196</v>
      </c>
      <c r="AU625" t="s">
        <v>197</v>
      </c>
      <c r="AV625" s="14">
        <v>7.2437978208016203</v>
      </c>
    </row>
    <row r="626" spans="26:48">
      <c r="Z626" s="3"/>
      <c r="AC626"/>
      <c r="AE626" s="3"/>
      <c r="AH626" t="s">
        <v>2026</v>
      </c>
      <c r="AI626" t="s">
        <v>68</v>
      </c>
      <c r="AJ626" t="s">
        <v>66</v>
      </c>
      <c r="AK626" s="3" t="s">
        <v>115</v>
      </c>
      <c r="AL626" s="3">
        <v>2272</v>
      </c>
      <c r="AN626" t="s">
        <v>2184</v>
      </c>
      <c r="AO626" t="s">
        <v>88</v>
      </c>
      <c r="AP626" t="s">
        <v>86</v>
      </c>
      <c r="AQ626" s="3">
        <v>7897.6106</v>
      </c>
      <c r="AS626" t="s">
        <v>1842</v>
      </c>
      <c r="AT626" t="s">
        <v>196</v>
      </c>
      <c r="AU626" t="s">
        <v>109</v>
      </c>
      <c r="AV626" s="14">
        <v>5.3604822543594004</v>
      </c>
    </row>
    <row r="627" spans="26:48">
      <c r="Z627" s="3"/>
      <c r="AC627"/>
      <c r="AE627" s="3"/>
      <c r="AH627" t="s">
        <v>2026</v>
      </c>
      <c r="AI627" t="s">
        <v>68</v>
      </c>
      <c r="AJ627" t="s">
        <v>98</v>
      </c>
      <c r="AK627" s="3" t="s">
        <v>115</v>
      </c>
      <c r="AL627" s="3">
        <v>-141.97817056060001</v>
      </c>
      <c r="AN627" t="s">
        <v>2184</v>
      </c>
      <c r="AO627" t="s">
        <v>88</v>
      </c>
      <c r="AP627" t="s">
        <v>90</v>
      </c>
      <c r="AQ627" s="3">
        <v>24184.4067</v>
      </c>
      <c r="AS627" t="s">
        <v>1842</v>
      </c>
      <c r="AT627" t="s">
        <v>196</v>
      </c>
      <c r="AU627" t="s">
        <v>198</v>
      </c>
      <c r="AV627" s="14">
        <v>6.1622000895174098</v>
      </c>
    </row>
    <row r="628" spans="26:48">
      <c r="Z628" s="3"/>
      <c r="AC628"/>
      <c r="AE628" s="3"/>
      <c r="AH628" t="s">
        <v>2025</v>
      </c>
      <c r="AI628" t="s">
        <v>800</v>
      </c>
      <c r="AJ628" t="s">
        <v>31</v>
      </c>
      <c r="AK628" s="3" t="s">
        <v>27</v>
      </c>
      <c r="AL628" s="3">
        <v>3.9405587886000002</v>
      </c>
      <c r="AN628" t="s">
        <v>2185</v>
      </c>
      <c r="AO628" t="s">
        <v>88</v>
      </c>
      <c r="AP628" t="s">
        <v>86</v>
      </c>
      <c r="AQ628" s="3">
        <v>7897.6106</v>
      </c>
      <c r="AS628" t="s">
        <v>1843</v>
      </c>
      <c r="AT628" t="s">
        <v>88</v>
      </c>
      <c r="AU628" t="s">
        <v>109</v>
      </c>
      <c r="AV628" s="14">
        <v>16619</v>
      </c>
    </row>
    <row r="629" spans="26:48">
      <c r="Z629" s="3"/>
      <c r="AC629"/>
      <c r="AE629" s="3"/>
      <c r="AH629" t="s">
        <v>2025</v>
      </c>
      <c r="AI629" t="s">
        <v>65</v>
      </c>
      <c r="AJ629" t="s">
        <v>66</v>
      </c>
      <c r="AK629" s="3" t="s">
        <v>27</v>
      </c>
      <c r="AL629" s="3">
        <v>38413.699999999997</v>
      </c>
      <c r="AN629" t="s">
        <v>2185</v>
      </c>
      <c r="AO629" t="s">
        <v>88</v>
      </c>
      <c r="AP629" t="s">
        <v>90</v>
      </c>
      <c r="AQ629" s="3">
        <v>25084.4067</v>
      </c>
      <c r="AS629" t="s">
        <v>1843</v>
      </c>
      <c r="AT629" t="s">
        <v>88</v>
      </c>
      <c r="AU629" t="s">
        <v>110</v>
      </c>
      <c r="AV629" s="14">
        <v>397.61059999999998</v>
      </c>
    </row>
    <row r="630" spans="26:48">
      <c r="Z630" s="3"/>
      <c r="AC630"/>
      <c r="AE630" s="3"/>
      <c r="AH630" t="s">
        <v>2025</v>
      </c>
      <c r="AI630" t="s">
        <v>65</v>
      </c>
      <c r="AJ630" t="s">
        <v>72</v>
      </c>
      <c r="AK630" s="3" t="s">
        <v>27</v>
      </c>
      <c r="AL630" s="3">
        <v>39160.8315</v>
      </c>
      <c r="AN630" t="s">
        <v>2186</v>
      </c>
      <c r="AO630" t="s">
        <v>88</v>
      </c>
      <c r="AP630" t="s">
        <v>86</v>
      </c>
      <c r="AQ630" s="3">
        <v>7897.6106</v>
      </c>
      <c r="AS630" t="s">
        <v>1843</v>
      </c>
      <c r="AT630" t="s">
        <v>88</v>
      </c>
      <c r="AU630" t="s">
        <v>111</v>
      </c>
      <c r="AV630" s="14">
        <v>10800</v>
      </c>
    </row>
    <row r="631" spans="26:48">
      <c r="Z631" s="3"/>
      <c r="AC631"/>
      <c r="AE631" s="3"/>
      <c r="AH631" t="s">
        <v>2025</v>
      </c>
      <c r="AI631" t="s">
        <v>65</v>
      </c>
      <c r="AJ631" t="s">
        <v>113</v>
      </c>
      <c r="AK631" s="3" t="s">
        <v>27</v>
      </c>
      <c r="AL631" s="3">
        <v>2436.2518649712001</v>
      </c>
      <c r="AN631" t="s">
        <v>2186</v>
      </c>
      <c r="AO631" t="s">
        <v>88</v>
      </c>
      <c r="AP631" t="s">
        <v>90</v>
      </c>
      <c r="AQ631" s="3">
        <v>24294.4067</v>
      </c>
      <c r="AS631" t="s">
        <v>1843</v>
      </c>
      <c r="AT631" t="s">
        <v>88</v>
      </c>
      <c r="AU631" t="s">
        <v>268</v>
      </c>
      <c r="AV631" s="14">
        <v>0</v>
      </c>
    </row>
    <row r="632" spans="26:48">
      <c r="Z632" s="3"/>
      <c r="AC632"/>
      <c r="AE632" s="3"/>
      <c r="AH632" t="s">
        <v>2025</v>
      </c>
      <c r="AI632" t="s">
        <v>65</v>
      </c>
      <c r="AJ632" t="s">
        <v>108</v>
      </c>
      <c r="AK632" s="3" t="s">
        <v>27</v>
      </c>
      <c r="AL632" s="3">
        <v>-1689.1203649711999</v>
      </c>
      <c r="AN632" t="s">
        <v>2187</v>
      </c>
      <c r="AO632" t="s">
        <v>88</v>
      </c>
      <c r="AP632" t="s">
        <v>86</v>
      </c>
      <c r="AQ632" s="3">
        <v>7897.6106</v>
      </c>
      <c r="AS632" t="s">
        <v>1843</v>
      </c>
      <c r="AT632" t="s">
        <v>88</v>
      </c>
      <c r="AU632" t="s">
        <v>269</v>
      </c>
      <c r="AV632" s="14">
        <v>0</v>
      </c>
    </row>
    <row r="633" spans="26:48">
      <c r="Z633" s="3"/>
      <c r="AC633"/>
      <c r="AE633" s="3"/>
      <c r="AH633" t="s">
        <v>2025</v>
      </c>
      <c r="AI633" t="s">
        <v>65</v>
      </c>
      <c r="AJ633" t="s">
        <v>98</v>
      </c>
      <c r="AK633" s="3" t="s">
        <v>27</v>
      </c>
      <c r="AL633" s="3">
        <v>-1689.1203649711999</v>
      </c>
      <c r="AN633" t="s">
        <v>2187</v>
      </c>
      <c r="AO633" t="s">
        <v>88</v>
      </c>
      <c r="AP633" t="s">
        <v>90</v>
      </c>
      <c r="AQ633" s="3">
        <v>22994.4067</v>
      </c>
      <c r="AS633" t="s">
        <v>1843</v>
      </c>
      <c r="AT633" t="s">
        <v>88</v>
      </c>
      <c r="AU633" t="s">
        <v>270</v>
      </c>
      <c r="AV633" s="14">
        <v>0</v>
      </c>
    </row>
    <row r="634" spans="26:48">
      <c r="Z634" s="3"/>
      <c r="AC634"/>
      <c r="AE634" s="3"/>
      <c r="AH634" t="s">
        <v>2025</v>
      </c>
      <c r="AI634" t="s">
        <v>67</v>
      </c>
      <c r="AJ634" t="s">
        <v>66</v>
      </c>
      <c r="AK634" s="3" t="s">
        <v>27</v>
      </c>
      <c r="AL634" s="3">
        <v>-22894.7</v>
      </c>
      <c r="AN634" t="s">
        <v>2188</v>
      </c>
      <c r="AO634" t="s">
        <v>88</v>
      </c>
      <c r="AP634" t="s">
        <v>86</v>
      </c>
      <c r="AQ634" s="3">
        <v>7897.6106</v>
      </c>
      <c r="AS634" t="s">
        <v>1843</v>
      </c>
      <c r="AT634" t="s">
        <v>88</v>
      </c>
      <c r="AU634" t="s">
        <v>271</v>
      </c>
      <c r="AV634" s="14">
        <v>12031</v>
      </c>
    </row>
    <row r="635" spans="26:48">
      <c r="Z635" s="3"/>
      <c r="AC635"/>
      <c r="AE635" s="3"/>
      <c r="AH635" t="s">
        <v>2025</v>
      </c>
      <c r="AI635" t="s">
        <v>67</v>
      </c>
      <c r="AJ635" t="s">
        <v>72</v>
      </c>
      <c r="AK635" s="3" t="s">
        <v>27</v>
      </c>
      <c r="AL635" s="3">
        <v>-24978.901320000001</v>
      </c>
      <c r="AN635" t="s">
        <v>2188</v>
      </c>
      <c r="AO635" t="s">
        <v>88</v>
      </c>
      <c r="AP635" t="s">
        <v>90</v>
      </c>
      <c r="AQ635" s="3">
        <v>19374.4067</v>
      </c>
      <c r="AS635" t="s">
        <v>1843</v>
      </c>
      <c r="AT635" t="s">
        <v>88</v>
      </c>
      <c r="AU635" t="s">
        <v>272</v>
      </c>
      <c r="AV635" s="14">
        <v>0</v>
      </c>
    </row>
    <row r="636" spans="26:48">
      <c r="Z636" s="3"/>
      <c r="AC636"/>
      <c r="AE636" s="3"/>
      <c r="AH636" t="s">
        <v>2025</v>
      </c>
      <c r="AI636" t="s">
        <v>67</v>
      </c>
      <c r="AJ636" t="s">
        <v>113</v>
      </c>
      <c r="AK636" s="3" t="s">
        <v>27</v>
      </c>
      <c r="AL636" s="3">
        <v>-2185.8493831668002</v>
      </c>
      <c r="AN636" t="s">
        <v>2189</v>
      </c>
      <c r="AO636" t="s">
        <v>88</v>
      </c>
      <c r="AP636" t="s">
        <v>86</v>
      </c>
      <c r="AQ636" s="3">
        <v>7897.6106</v>
      </c>
      <c r="AS636" t="s">
        <v>1843</v>
      </c>
      <c r="AT636" t="s">
        <v>88</v>
      </c>
      <c r="AU636" t="s">
        <v>273</v>
      </c>
      <c r="AV636" s="14">
        <v>0</v>
      </c>
    </row>
    <row r="637" spans="26:48">
      <c r="Z637" s="3"/>
      <c r="AC637"/>
      <c r="AE637" s="3"/>
      <c r="AH637" t="s">
        <v>2025</v>
      </c>
      <c r="AI637" t="s">
        <v>67</v>
      </c>
      <c r="AJ637" t="s">
        <v>108</v>
      </c>
      <c r="AK637" s="3" t="s">
        <v>27</v>
      </c>
      <c r="AL637" s="3">
        <v>101.6480631668</v>
      </c>
      <c r="AN637" t="s">
        <v>2189</v>
      </c>
      <c r="AO637" t="s">
        <v>88</v>
      </c>
      <c r="AP637" t="s">
        <v>90</v>
      </c>
      <c r="AQ637" s="3">
        <v>16384.4067</v>
      </c>
      <c r="AS637" t="s">
        <v>1843</v>
      </c>
      <c r="AT637" t="s">
        <v>196</v>
      </c>
      <c r="AU637" t="s">
        <v>197</v>
      </c>
      <c r="AV637" s="14">
        <v>7.2437978208016203</v>
      </c>
    </row>
    <row r="638" spans="26:48">
      <c r="Z638" s="3"/>
      <c r="AC638"/>
      <c r="AE638" s="3"/>
      <c r="AH638" t="s">
        <v>2025</v>
      </c>
      <c r="AI638" t="s">
        <v>67</v>
      </c>
      <c r="AJ638" t="s">
        <v>98</v>
      </c>
      <c r="AK638" s="3" t="s">
        <v>27</v>
      </c>
      <c r="AL638" s="3">
        <v>104.98872070100001</v>
      </c>
      <c r="AN638" t="s">
        <v>2190</v>
      </c>
      <c r="AO638" t="s">
        <v>88</v>
      </c>
      <c r="AP638" t="s">
        <v>90</v>
      </c>
      <c r="AQ638" s="3">
        <v>11384.4067</v>
      </c>
      <c r="AS638" t="s">
        <v>1843</v>
      </c>
      <c r="AT638" t="s">
        <v>196</v>
      </c>
      <c r="AU638" t="s">
        <v>109</v>
      </c>
      <c r="AV638" s="14">
        <v>5.6880906610666502</v>
      </c>
    </row>
    <row r="639" spans="26:48">
      <c r="Z639" s="3"/>
      <c r="AC639"/>
      <c r="AE639" s="3"/>
      <c r="AH639" t="s">
        <v>2025</v>
      </c>
      <c r="AI639" t="s">
        <v>67</v>
      </c>
      <c r="AJ639" t="s">
        <v>66</v>
      </c>
      <c r="AK639" s="3" t="s">
        <v>114</v>
      </c>
      <c r="AL639" s="3">
        <v>200</v>
      </c>
      <c r="AN639" t="s">
        <v>2190</v>
      </c>
      <c r="AO639" t="s">
        <v>88</v>
      </c>
      <c r="AP639" t="s">
        <v>86</v>
      </c>
      <c r="AQ639" s="3">
        <v>7897.6106</v>
      </c>
      <c r="AS639" t="s">
        <v>1843</v>
      </c>
      <c r="AT639" t="s">
        <v>196</v>
      </c>
      <c r="AU639" t="s">
        <v>198</v>
      </c>
      <c r="AV639" s="14">
        <v>6.3317242855816902</v>
      </c>
    </row>
    <row r="640" spans="26:48">
      <c r="Z640" s="3"/>
      <c r="AC640"/>
      <c r="AE640" s="3"/>
      <c r="AH640" t="s">
        <v>2025</v>
      </c>
      <c r="AI640" t="s">
        <v>67</v>
      </c>
      <c r="AJ640" t="s">
        <v>98</v>
      </c>
      <c r="AK640" s="3" t="s">
        <v>114</v>
      </c>
      <c r="AL640" s="3">
        <v>-5.6213424657999997</v>
      </c>
      <c r="AN640" t="s">
        <v>2191</v>
      </c>
      <c r="AO640" t="s">
        <v>88</v>
      </c>
      <c r="AP640" t="s">
        <v>86</v>
      </c>
      <c r="AQ640" s="3">
        <v>7897.6106</v>
      </c>
      <c r="AS640" t="s">
        <v>1844</v>
      </c>
      <c r="AT640" t="s">
        <v>88</v>
      </c>
      <c r="AU640" t="s">
        <v>109</v>
      </c>
      <c r="AV640" s="14">
        <v>17469</v>
      </c>
    </row>
    <row r="641" spans="26:48">
      <c r="Z641" s="3"/>
      <c r="AC641"/>
      <c r="AE641" s="3"/>
      <c r="AH641" t="s">
        <v>2025</v>
      </c>
      <c r="AI641" t="s">
        <v>67</v>
      </c>
      <c r="AJ641" t="s">
        <v>66</v>
      </c>
      <c r="AK641" s="3" t="s">
        <v>115</v>
      </c>
      <c r="AL641" s="3">
        <v>23094.7</v>
      </c>
      <c r="AN641" t="s">
        <v>2191</v>
      </c>
      <c r="AO641" t="s">
        <v>88</v>
      </c>
      <c r="AP641" t="s">
        <v>90</v>
      </c>
      <c r="AQ641" s="3">
        <v>10884.4067</v>
      </c>
      <c r="AS641" t="s">
        <v>1844</v>
      </c>
      <c r="AT641" t="s">
        <v>88</v>
      </c>
      <c r="AU641" t="s">
        <v>110</v>
      </c>
      <c r="AV641" s="14">
        <v>397.61059999999998</v>
      </c>
    </row>
    <row r="642" spans="26:48">
      <c r="Z642" s="3"/>
      <c r="AC642"/>
      <c r="AE642" s="3"/>
      <c r="AH642" t="s">
        <v>2025</v>
      </c>
      <c r="AI642" t="s">
        <v>67</v>
      </c>
      <c r="AJ642" t="s">
        <v>98</v>
      </c>
      <c r="AK642" s="3" t="s">
        <v>115</v>
      </c>
      <c r="AL642" s="3">
        <v>-110.6100631668</v>
      </c>
      <c r="AN642" t="s">
        <v>2192</v>
      </c>
      <c r="AO642" t="s">
        <v>88</v>
      </c>
      <c r="AP642" t="s">
        <v>86</v>
      </c>
      <c r="AQ642" s="3">
        <v>8397.6106</v>
      </c>
      <c r="AS642" t="s">
        <v>1844</v>
      </c>
      <c r="AT642" t="s">
        <v>88</v>
      </c>
      <c r="AU642" t="s">
        <v>111</v>
      </c>
      <c r="AV642" s="14">
        <v>10800</v>
      </c>
    </row>
    <row r="643" spans="26:48">
      <c r="Z643" s="3"/>
      <c r="AC643"/>
      <c r="AE643" s="3"/>
      <c r="AH643" t="s">
        <v>2025</v>
      </c>
      <c r="AI643" t="s">
        <v>68</v>
      </c>
      <c r="AJ643" t="s">
        <v>66</v>
      </c>
      <c r="AK643" s="3" t="s">
        <v>27</v>
      </c>
      <c r="AL643" s="3">
        <v>1994</v>
      </c>
      <c r="AN643" t="s">
        <v>2192</v>
      </c>
      <c r="AO643" t="s">
        <v>88</v>
      </c>
      <c r="AP643" t="s">
        <v>90</v>
      </c>
      <c r="AQ643" s="3">
        <v>10884.4067</v>
      </c>
      <c r="AS643" t="s">
        <v>1844</v>
      </c>
      <c r="AT643" t="s">
        <v>88</v>
      </c>
      <c r="AU643" t="s">
        <v>268</v>
      </c>
      <c r="AV643" s="14">
        <v>0</v>
      </c>
    </row>
    <row r="644" spans="26:48">
      <c r="Z644" s="3"/>
      <c r="AC644"/>
      <c r="AE644" s="3"/>
      <c r="AH644" t="s">
        <v>2025</v>
      </c>
      <c r="AI644" t="s">
        <v>68</v>
      </c>
      <c r="AJ644" t="s">
        <v>72</v>
      </c>
      <c r="AK644" s="3" t="s">
        <v>27</v>
      </c>
      <c r="AL644" s="3">
        <v>1821.9373800000001</v>
      </c>
      <c r="AN644" t="s">
        <v>2193</v>
      </c>
      <c r="AO644" t="s">
        <v>88</v>
      </c>
      <c r="AP644" t="s">
        <v>86</v>
      </c>
      <c r="AQ644" s="3">
        <v>8397.6106</v>
      </c>
      <c r="AS644" t="s">
        <v>1844</v>
      </c>
      <c r="AT644" t="s">
        <v>88</v>
      </c>
      <c r="AU644" t="s">
        <v>269</v>
      </c>
      <c r="AV644" s="14">
        <v>0</v>
      </c>
    </row>
    <row r="645" spans="26:48">
      <c r="Z645" s="3"/>
      <c r="AC645"/>
      <c r="AE645" s="3"/>
      <c r="AH645" t="s">
        <v>2025</v>
      </c>
      <c r="AI645" t="s">
        <v>68</v>
      </c>
      <c r="AJ645" t="s">
        <v>113</v>
      </c>
      <c r="AK645" s="3" t="s">
        <v>27</v>
      </c>
      <c r="AL645" s="3">
        <v>-118.28345346819999</v>
      </c>
      <c r="AN645" t="s">
        <v>2193</v>
      </c>
      <c r="AO645" t="s">
        <v>88</v>
      </c>
      <c r="AP645" t="s">
        <v>90</v>
      </c>
      <c r="AQ645" s="3">
        <v>11984.4067</v>
      </c>
      <c r="AS645" t="s">
        <v>1844</v>
      </c>
      <c r="AT645" t="s">
        <v>88</v>
      </c>
      <c r="AU645" t="s">
        <v>270</v>
      </c>
      <c r="AV645" s="14">
        <v>0</v>
      </c>
    </row>
    <row r="646" spans="26:48">
      <c r="Z646" s="3"/>
      <c r="AC646"/>
      <c r="AE646" s="3"/>
      <c r="AH646" t="s">
        <v>2025</v>
      </c>
      <c r="AI646" t="s">
        <v>68</v>
      </c>
      <c r="AJ646" t="s">
        <v>108</v>
      </c>
      <c r="AK646" s="3" t="s">
        <v>27</v>
      </c>
      <c r="AL646" s="3">
        <v>-53.779166531800001</v>
      </c>
      <c r="AN646" t="s">
        <v>2194</v>
      </c>
      <c r="AO646" t="s">
        <v>88</v>
      </c>
      <c r="AP646" t="s">
        <v>86</v>
      </c>
      <c r="AQ646" s="3">
        <v>8397.6106</v>
      </c>
      <c r="AS646" t="s">
        <v>1844</v>
      </c>
      <c r="AT646" t="s">
        <v>88</v>
      </c>
      <c r="AU646" t="s">
        <v>271</v>
      </c>
      <c r="AV646" s="14">
        <v>11181</v>
      </c>
    </row>
    <row r="647" spans="26:48">
      <c r="Z647" s="3"/>
      <c r="AC647"/>
      <c r="AE647" s="3"/>
      <c r="AH647" t="s">
        <v>2025</v>
      </c>
      <c r="AI647" t="s">
        <v>68</v>
      </c>
      <c r="AJ647" t="s">
        <v>98</v>
      </c>
      <c r="AK647" s="3" t="s">
        <v>27</v>
      </c>
      <c r="AL647" s="3">
        <v>-53.779166531800001</v>
      </c>
      <c r="AN647" t="s">
        <v>2194</v>
      </c>
      <c r="AO647" t="s">
        <v>88</v>
      </c>
      <c r="AP647" t="s">
        <v>90</v>
      </c>
      <c r="AQ647" s="3">
        <v>11984.4067</v>
      </c>
      <c r="AS647" t="s">
        <v>1844</v>
      </c>
      <c r="AT647" t="s">
        <v>88</v>
      </c>
      <c r="AU647" t="s">
        <v>272</v>
      </c>
      <c r="AV647" s="14">
        <v>0</v>
      </c>
    </row>
    <row r="648" spans="26:48">
      <c r="Z648" s="3"/>
      <c r="AC648"/>
      <c r="AE648" s="3"/>
      <c r="AH648" t="s">
        <v>2025</v>
      </c>
      <c r="AI648" t="s">
        <v>68</v>
      </c>
      <c r="AJ648" t="s">
        <v>66</v>
      </c>
      <c r="AK648" s="3" t="s">
        <v>114</v>
      </c>
      <c r="AL648" s="3">
        <v>3906</v>
      </c>
      <c r="AN648" t="s">
        <v>2195</v>
      </c>
      <c r="AO648" t="s">
        <v>88</v>
      </c>
      <c r="AP648" t="s">
        <v>86</v>
      </c>
      <c r="AQ648" s="3">
        <v>7397.6106</v>
      </c>
      <c r="AS648" t="s">
        <v>1844</v>
      </c>
      <c r="AT648" t="s">
        <v>88</v>
      </c>
      <c r="AU648" t="s">
        <v>273</v>
      </c>
      <c r="AV648" s="14">
        <v>0</v>
      </c>
    </row>
    <row r="649" spans="26:48">
      <c r="Z649" s="3"/>
      <c r="AC649"/>
      <c r="AE649" s="3"/>
      <c r="AH649" t="s">
        <v>2025</v>
      </c>
      <c r="AI649" t="s">
        <v>68</v>
      </c>
      <c r="AJ649" t="s">
        <v>98</v>
      </c>
      <c r="AK649" s="3" t="s">
        <v>114</v>
      </c>
      <c r="AL649" s="3">
        <v>-176.21286000250001</v>
      </c>
      <c r="AN649" t="s">
        <v>2195</v>
      </c>
      <c r="AO649" t="s">
        <v>88</v>
      </c>
      <c r="AP649" t="s">
        <v>90</v>
      </c>
      <c r="AQ649" s="3">
        <v>13328.6716</v>
      </c>
      <c r="AS649" t="s">
        <v>1844</v>
      </c>
      <c r="AT649" t="s">
        <v>196</v>
      </c>
      <c r="AU649" t="s">
        <v>197</v>
      </c>
      <c r="AV649" s="14">
        <v>7.2437978208016203</v>
      </c>
    </row>
    <row r="650" spans="26:48">
      <c r="Z650" s="3"/>
      <c r="AC650"/>
      <c r="AE650" s="3"/>
      <c r="AH650" t="s">
        <v>2025</v>
      </c>
      <c r="AI650" t="s">
        <v>68</v>
      </c>
      <c r="AJ650" t="s">
        <v>66</v>
      </c>
      <c r="AK650" s="3" t="s">
        <v>115</v>
      </c>
      <c r="AL650" s="3">
        <v>1912</v>
      </c>
      <c r="AN650" t="s">
        <v>2196</v>
      </c>
      <c r="AO650" t="s">
        <v>88</v>
      </c>
      <c r="AP650" t="s">
        <v>86</v>
      </c>
      <c r="AQ650" s="3">
        <v>7397.6106</v>
      </c>
      <c r="AS650" t="s">
        <v>1844</v>
      </c>
      <c r="AT650" t="s">
        <v>196</v>
      </c>
      <c r="AU650" t="s">
        <v>109</v>
      </c>
      <c r="AV650" s="14">
        <v>5.4886270713911003</v>
      </c>
    </row>
    <row r="651" spans="26:48">
      <c r="Z651" s="3"/>
      <c r="AC651"/>
      <c r="AE651" s="3"/>
      <c r="AH651" t="s">
        <v>2025</v>
      </c>
      <c r="AI651" t="s">
        <v>68</v>
      </c>
      <c r="AJ651" t="s">
        <v>98</v>
      </c>
      <c r="AK651" s="3" t="s">
        <v>115</v>
      </c>
      <c r="AL651" s="3">
        <v>-122.43369347070001</v>
      </c>
      <c r="AN651" t="s">
        <v>2196</v>
      </c>
      <c r="AO651" t="s">
        <v>88</v>
      </c>
      <c r="AP651" t="s">
        <v>90</v>
      </c>
      <c r="AQ651" s="3">
        <v>12970</v>
      </c>
      <c r="AS651" t="s">
        <v>1844</v>
      </c>
      <c r="AT651" t="s">
        <v>196</v>
      </c>
      <c r="AU651" t="s">
        <v>198</v>
      </c>
      <c r="AV651" s="14">
        <v>6.1972319216020804</v>
      </c>
    </row>
    <row r="652" spans="26:48">
      <c r="Z652" s="3"/>
      <c r="AC652"/>
      <c r="AE652" s="3"/>
      <c r="AH652" t="s">
        <v>2024</v>
      </c>
      <c r="AI652" t="s">
        <v>800</v>
      </c>
      <c r="AJ652" t="s">
        <v>31</v>
      </c>
      <c r="AK652" s="3" t="s">
        <v>27</v>
      </c>
      <c r="AL652" s="3">
        <v>3.9087754010000002</v>
      </c>
      <c r="AN652" t="s">
        <v>2197</v>
      </c>
      <c r="AO652" t="s">
        <v>88</v>
      </c>
      <c r="AP652" t="s">
        <v>86</v>
      </c>
      <c r="AQ652" s="3">
        <v>7397.6106</v>
      </c>
      <c r="AS652" t="s">
        <v>1845</v>
      </c>
      <c r="AT652" t="s">
        <v>88</v>
      </c>
      <c r="AU652" t="s">
        <v>109</v>
      </c>
      <c r="AV652" s="14">
        <v>18769</v>
      </c>
    </row>
    <row r="653" spans="26:48">
      <c r="Z653" s="3"/>
      <c r="AC653"/>
      <c r="AE653" s="3"/>
      <c r="AH653" t="s">
        <v>2024</v>
      </c>
      <c r="AI653" t="s">
        <v>65</v>
      </c>
      <c r="AJ653" t="s">
        <v>66</v>
      </c>
      <c r="AK653" s="3" t="s">
        <v>27</v>
      </c>
      <c r="AL653" s="3">
        <v>38947.699999999997</v>
      </c>
      <c r="AN653" t="s">
        <v>2197</v>
      </c>
      <c r="AO653" t="s">
        <v>88</v>
      </c>
      <c r="AP653" t="s">
        <v>90</v>
      </c>
      <c r="AQ653" s="3">
        <v>13970</v>
      </c>
      <c r="AS653" t="s">
        <v>1845</v>
      </c>
      <c r="AT653" t="s">
        <v>88</v>
      </c>
      <c r="AU653" t="s">
        <v>110</v>
      </c>
      <c r="AV653" s="14">
        <v>397.61059999999998</v>
      </c>
    </row>
    <row r="654" spans="26:48">
      <c r="Z654" s="3"/>
      <c r="AC654"/>
      <c r="AE654" s="3"/>
      <c r="AH654" t="s">
        <v>2024</v>
      </c>
      <c r="AI654" t="s">
        <v>65</v>
      </c>
      <c r="AJ654" t="s">
        <v>72</v>
      </c>
      <c r="AK654" s="3" t="s">
        <v>27</v>
      </c>
      <c r="AL654" s="3">
        <v>39643.033083000002</v>
      </c>
      <c r="AN654" t="s">
        <v>2198</v>
      </c>
      <c r="AO654" t="s">
        <v>88</v>
      </c>
      <c r="AP654" t="s">
        <v>86</v>
      </c>
      <c r="AQ654" s="3">
        <v>7397.6106</v>
      </c>
      <c r="AS654" t="s">
        <v>1845</v>
      </c>
      <c r="AT654" t="s">
        <v>88</v>
      </c>
      <c r="AU654" t="s">
        <v>111</v>
      </c>
      <c r="AV654" s="14">
        <v>10800</v>
      </c>
    </row>
    <row r="655" spans="26:48">
      <c r="Z655" s="3"/>
      <c r="AC655"/>
      <c r="AE655" s="3"/>
      <c r="AH655" t="s">
        <v>2024</v>
      </c>
      <c r="AI655" t="s">
        <v>65</v>
      </c>
      <c r="AJ655" t="s">
        <v>113</v>
      </c>
      <c r="AK655" s="3" t="s">
        <v>27</v>
      </c>
      <c r="AL655" s="3">
        <v>2389.2512537269999</v>
      </c>
      <c r="AN655" t="s">
        <v>2198</v>
      </c>
      <c r="AO655" t="s">
        <v>88</v>
      </c>
      <c r="AP655" t="s">
        <v>90</v>
      </c>
      <c r="AQ655" s="3">
        <v>12770</v>
      </c>
      <c r="AS655" t="s">
        <v>1845</v>
      </c>
      <c r="AT655" t="s">
        <v>88</v>
      </c>
      <c r="AU655" t="s">
        <v>268</v>
      </c>
      <c r="AV655" s="14">
        <v>0</v>
      </c>
    </row>
    <row r="656" spans="26:48">
      <c r="Z656" s="3"/>
      <c r="AC656"/>
      <c r="AE656" s="3"/>
      <c r="AH656" t="s">
        <v>2024</v>
      </c>
      <c r="AI656" t="s">
        <v>65</v>
      </c>
      <c r="AJ656" t="s">
        <v>108</v>
      </c>
      <c r="AK656" s="3" t="s">
        <v>27</v>
      </c>
      <c r="AL656" s="3">
        <v>-1693.918170727</v>
      </c>
      <c r="AN656" t="s">
        <v>2199</v>
      </c>
      <c r="AO656" t="s">
        <v>88</v>
      </c>
      <c r="AP656" t="s">
        <v>86</v>
      </c>
      <c r="AQ656" s="3">
        <v>7397.6106</v>
      </c>
      <c r="AS656" t="s">
        <v>1845</v>
      </c>
      <c r="AT656" t="s">
        <v>88</v>
      </c>
      <c r="AU656" t="s">
        <v>269</v>
      </c>
      <c r="AV656" s="14">
        <v>0</v>
      </c>
    </row>
    <row r="657" spans="26:48">
      <c r="Z657" s="3"/>
      <c r="AC657"/>
      <c r="AE657" s="3"/>
      <c r="AH657" t="s">
        <v>2024</v>
      </c>
      <c r="AI657" t="s">
        <v>65</v>
      </c>
      <c r="AJ657" t="s">
        <v>98</v>
      </c>
      <c r="AK657" s="3" t="s">
        <v>27</v>
      </c>
      <c r="AL657" s="3">
        <v>-1604.2995107270001</v>
      </c>
      <c r="AN657" t="s">
        <v>2199</v>
      </c>
      <c r="AO657" t="s">
        <v>88</v>
      </c>
      <c r="AP657" t="s">
        <v>90</v>
      </c>
      <c r="AQ657" s="3">
        <v>12770</v>
      </c>
      <c r="AS657" t="s">
        <v>1845</v>
      </c>
      <c r="AT657" t="s">
        <v>88</v>
      </c>
      <c r="AU657" t="s">
        <v>270</v>
      </c>
      <c r="AV657" s="14">
        <v>0</v>
      </c>
    </row>
    <row r="658" spans="26:48">
      <c r="Z658" s="3"/>
      <c r="AC658"/>
      <c r="AE658" s="3"/>
      <c r="AH658" t="s">
        <v>2024</v>
      </c>
      <c r="AI658" t="s">
        <v>67</v>
      </c>
      <c r="AJ658" t="s">
        <v>66</v>
      </c>
      <c r="AK658" s="3" t="s">
        <v>27</v>
      </c>
      <c r="AL658" s="3">
        <v>-23528.7</v>
      </c>
      <c r="AN658" t="s">
        <v>2200</v>
      </c>
      <c r="AO658" t="s">
        <v>88</v>
      </c>
      <c r="AP658" t="s">
        <v>86</v>
      </c>
      <c r="AQ658" s="3">
        <v>7397.6106</v>
      </c>
      <c r="AS658" t="s">
        <v>1845</v>
      </c>
      <c r="AT658" t="s">
        <v>88</v>
      </c>
      <c r="AU658" t="s">
        <v>271</v>
      </c>
      <c r="AV658" s="14">
        <v>9881</v>
      </c>
    </row>
    <row r="659" spans="26:48">
      <c r="Z659" s="3"/>
      <c r="AC659"/>
      <c r="AE659" s="3"/>
      <c r="AH659" t="s">
        <v>2024</v>
      </c>
      <c r="AI659" t="s">
        <v>67</v>
      </c>
      <c r="AJ659" t="s">
        <v>72</v>
      </c>
      <c r="AK659" s="3" t="s">
        <v>27</v>
      </c>
      <c r="AL659" s="3">
        <v>-25563.025213000001</v>
      </c>
      <c r="AN659" t="s">
        <v>2200</v>
      </c>
      <c r="AO659" t="s">
        <v>88</v>
      </c>
      <c r="AP659" t="s">
        <v>90</v>
      </c>
      <c r="AQ659" s="3">
        <v>12920</v>
      </c>
      <c r="AS659" t="s">
        <v>1845</v>
      </c>
      <c r="AT659" t="s">
        <v>88</v>
      </c>
      <c r="AU659" t="s">
        <v>272</v>
      </c>
      <c r="AV659" s="14">
        <v>0</v>
      </c>
    </row>
    <row r="660" spans="26:48">
      <c r="Z660" s="3"/>
      <c r="AC660"/>
      <c r="AE660" s="3"/>
      <c r="AH660" t="s">
        <v>2024</v>
      </c>
      <c r="AI660" t="s">
        <v>67</v>
      </c>
      <c r="AJ660" t="s">
        <v>113</v>
      </c>
      <c r="AK660" s="3" t="s">
        <v>27</v>
      </c>
      <c r="AL660" s="3">
        <v>-2201.1103136946999</v>
      </c>
      <c r="AN660" t="s">
        <v>2201</v>
      </c>
      <c r="AO660" t="s">
        <v>88</v>
      </c>
      <c r="AP660" t="s">
        <v>86</v>
      </c>
      <c r="AQ660" s="3">
        <v>7397.6106</v>
      </c>
      <c r="AS660" t="s">
        <v>1845</v>
      </c>
      <c r="AT660" t="s">
        <v>88</v>
      </c>
      <c r="AU660" t="s">
        <v>273</v>
      </c>
      <c r="AV660" s="14">
        <v>0</v>
      </c>
    </row>
    <row r="661" spans="26:48">
      <c r="Z661" s="3"/>
      <c r="AC661"/>
      <c r="AE661" s="3"/>
      <c r="AH661" t="s">
        <v>2024</v>
      </c>
      <c r="AI661" t="s">
        <v>67</v>
      </c>
      <c r="AJ661" t="s">
        <v>108</v>
      </c>
      <c r="AK661" s="3" t="s">
        <v>27</v>
      </c>
      <c r="AL661" s="3">
        <v>166.78510069469999</v>
      </c>
      <c r="AN661" t="s">
        <v>2201</v>
      </c>
      <c r="AO661" t="s">
        <v>88</v>
      </c>
      <c r="AP661" t="s">
        <v>90</v>
      </c>
      <c r="AQ661" s="3">
        <v>14420</v>
      </c>
      <c r="AS661" t="s">
        <v>1845</v>
      </c>
      <c r="AT661" t="s">
        <v>196</v>
      </c>
      <c r="AU661" t="s">
        <v>197</v>
      </c>
      <c r="AV661" s="14">
        <v>7.2437978208016203</v>
      </c>
    </row>
    <row r="662" spans="26:48">
      <c r="Z662" s="3"/>
      <c r="AC662"/>
      <c r="AE662" s="3"/>
      <c r="AH662" t="s">
        <v>2024</v>
      </c>
      <c r="AI662" t="s">
        <v>67</v>
      </c>
      <c r="AJ662" t="s">
        <v>98</v>
      </c>
      <c r="AK662" s="3" t="s">
        <v>27</v>
      </c>
      <c r="AL662" s="3">
        <v>166.78510069469999</v>
      </c>
      <c r="AN662" t="s">
        <v>2202</v>
      </c>
      <c r="AO662" t="s">
        <v>88</v>
      </c>
      <c r="AP662" t="s">
        <v>86</v>
      </c>
      <c r="AQ662" s="3">
        <v>7397.6106</v>
      </c>
      <c r="AS662" t="s">
        <v>1845</v>
      </c>
      <c r="AT662" t="s">
        <v>196</v>
      </c>
      <c r="AU662" t="s">
        <v>109</v>
      </c>
      <c r="AV662" s="14">
        <v>5.5667528901163097</v>
      </c>
    </row>
    <row r="663" spans="26:48">
      <c r="Z663" s="3"/>
      <c r="AC663"/>
      <c r="AE663" s="3"/>
      <c r="AH663" t="s">
        <v>2024</v>
      </c>
      <c r="AI663" t="s">
        <v>67</v>
      </c>
      <c r="AJ663" t="s">
        <v>66</v>
      </c>
      <c r="AK663" s="3" t="s">
        <v>114</v>
      </c>
      <c r="AL663" s="3">
        <v>0</v>
      </c>
      <c r="AN663" t="s">
        <v>2202</v>
      </c>
      <c r="AO663" t="s">
        <v>88</v>
      </c>
      <c r="AP663" t="s">
        <v>90</v>
      </c>
      <c r="AQ663" s="3">
        <v>14720</v>
      </c>
      <c r="AS663" t="s">
        <v>1845</v>
      </c>
      <c r="AT663" t="s">
        <v>196</v>
      </c>
      <c r="AU663" t="s">
        <v>198</v>
      </c>
      <c r="AV663" s="14">
        <v>6.2196797866064903</v>
      </c>
    </row>
    <row r="664" spans="26:48">
      <c r="Z664" s="3"/>
      <c r="AC664"/>
      <c r="AE664" s="3"/>
      <c r="AH664" t="s">
        <v>2024</v>
      </c>
      <c r="AI664" t="s">
        <v>67</v>
      </c>
      <c r="AJ664" t="s">
        <v>98</v>
      </c>
      <c r="AK664" s="3" t="s">
        <v>114</v>
      </c>
      <c r="AL664" s="3">
        <v>0</v>
      </c>
      <c r="AN664" t="s">
        <v>2203</v>
      </c>
      <c r="AO664" t="s">
        <v>88</v>
      </c>
      <c r="AP664" t="s">
        <v>86</v>
      </c>
      <c r="AQ664" s="3">
        <v>7397.6106</v>
      </c>
      <c r="AS664" t="s">
        <v>1846</v>
      </c>
      <c r="AT664" t="s">
        <v>88</v>
      </c>
      <c r="AU664" t="s">
        <v>109</v>
      </c>
      <c r="AV664" s="14">
        <v>20269</v>
      </c>
    </row>
    <row r="665" spans="26:48">
      <c r="Z665" s="3"/>
      <c r="AC665"/>
      <c r="AE665" s="3"/>
      <c r="AH665" t="s">
        <v>2024</v>
      </c>
      <c r="AI665" t="s">
        <v>67</v>
      </c>
      <c r="AJ665" t="s">
        <v>66</v>
      </c>
      <c r="AK665" s="3" t="s">
        <v>115</v>
      </c>
      <c r="AL665" s="3">
        <v>23528.7</v>
      </c>
      <c r="AN665" t="s">
        <v>2203</v>
      </c>
      <c r="AO665" t="s">
        <v>88</v>
      </c>
      <c r="AP665" t="s">
        <v>90</v>
      </c>
      <c r="AQ665" s="3">
        <v>16620</v>
      </c>
      <c r="AS665" t="s">
        <v>1846</v>
      </c>
      <c r="AT665" t="s">
        <v>88</v>
      </c>
      <c r="AU665" t="s">
        <v>110</v>
      </c>
      <c r="AV665" s="14">
        <v>397.61059999999998</v>
      </c>
    </row>
    <row r="666" spans="26:48">
      <c r="Z666" s="3"/>
      <c r="AC666"/>
      <c r="AE666" s="3"/>
      <c r="AH666" t="s">
        <v>2024</v>
      </c>
      <c r="AI666" t="s">
        <v>67</v>
      </c>
      <c r="AJ666" t="s">
        <v>98</v>
      </c>
      <c r="AK666" s="3" t="s">
        <v>115</v>
      </c>
      <c r="AL666" s="3">
        <v>-166.78510069469999</v>
      </c>
      <c r="AN666" t="s">
        <v>2204</v>
      </c>
      <c r="AO666" t="s">
        <v>88</v>
      </c>
      <c r="AP666" t="s">
        <v>86</v>
      </c>
      <c r="AQ666" s="3">
        <v>7397.6106</v>
      </c>
      <c r="AS666" t="s">
        <v>1846</v>
      </c>
      <c r="AT666" t="s">
        <v>88</v>
      </c>
      <c r="AU666" t="s">
        <v>111</v>
      </c>
      <c r="AV666" s="14">
        <v>10800</v>
      </c>
    </row>
    <row r="667" spans="26:48">
      <c r="Z667" s="3"/>
      <c r="AC667"/>
      <c r="AE667" s="3"/>
      <c r="AH667" t="s">
        <v>2024</v>
      </c>
      <c r="AI667" t="s">
        <v>68</v>
      </c>
      <c r="AJ667" t="s">
        <v>66</v>
      </c>
      <c r="AK667" s="3" t="s">
        <v>27</v>
      </c>
      <c r="AL667" s="3">
        <v>2094</v>
      </c>
      <c r="AN667" t="s">
        <v>2204</v>
      </c>
      <c r="AO667" t="s">
        <v>88</v>
      </c>
      <c r="AP667" t="s">
        <v>90</v>
      </c>
      <c r="AQ667" s="3">
        <v>16320</v>
      </c>
      <c r="AS667" t="s">
        <v>1846</v>
      </c>
      <c r="AT667" t="s">
        <v>88</v>
      </c>
      <c r="AU667" t="s">
        <v>268</v>
      </c>
      <c r="AV667" s="14">
        <v>0</v>
      </c>
    </row>
    <row r="668" spans="26:48">
      <c r="Z668" s="3"/>
      <c r="AC668"/>
      <c r="AE668" s="3"/>
      <c r="AH668" t="s">
        <v>2024</v>
      </c>
      <c r="AI668" t="s">
        <v>68</v>
      </c>
      <c r="AJ668" t="s">
        <v>72</v>
      </c>
      <c r="AK668" s="3" t="s">
        <v>27</v>
      </c>
      <c r="AL668" s="3">
        <v>1920.2409600000001</v>
      </c>
      <c r="AN668" t="s">
        <v>2206</v>
      </c>
      <c r="AO668" t="s">
        <v>88</v>
      </c>
      <c r="AP668" t="s">
        <v>86</v>
      </c>
      <c r="AQ668" s="3">
        <v>7397.6106</v>
      </c>
      <c r="AS668" t="s">
        <v>1846</v>
      </c>
      <c r="AT668" t="s">
        <v>88</v>
      </c>
      <c r="AU668" t="s">
        <v>269</v>
      </c>
      <c r="AV668" s="14">
        <v>0</v>
      </c>
    </row>
    <row r="669" spans="26:48">
      <c r="Z669" s="3"/>
      <c r="AC669"/>
      <c r="AE669" s="3"/>
      <c r="AH669" t="s">
        <v>2024</v>
      </c>
      <c r="AI669" t="s">
        <v>68</v>
      </c>
      <c r="AJ669" t="s">
        <v>113</v>
      </c>
      <c r="AK669" s="3" t="s">
        <v>27</v>
      </c>
      <c r="AL669" s="3">
        <v>-20.7041246253</v>
      </c>
      <c r="AN669" t="s">
        <v>2206</v>
      </c>
      <c r="AO669" t="s">
        <v>88</v>
      </c>
      <c r="AP669" t="s">
        <v>90</v>
      </c>
      <c r="AQ669" s="3">
        <v>15120</v>
      </c>
      <c r="AS669" t="s">
        <v>1846</v>
      </c>
      <c r="AT669" t="s">
        <v>88</v>
      </c>
      <c r="AU669" t="s">
        <v>270</v>
      </c>
      <c r="AV669" s="14">
        <v>0</v>
      </c>
    </row>
    <row r="670" spans="26:48">
      <c r="Z670" s="3"/>
      <c r="AC670"/>
      <c r="AE670" s="3"/>
      <c r="AH670" t="s">
        <v>2024</v>
      </c>
      <c r="AI670" t="s">
        <v>68</v>
      </c>
      <c r="AJ670" t="s">
        <v>108</v>
      </c>
      <c r="AK670" s="3" t="s">
        <v>27</v>
      </c>
      <c r="AL670" s="3">
        <v>-153.05491537469999</v>
      </c>
      <c r="AN670" t="s">
        <v>2207</v>
      </c>
      <c r="AO670" t="s">
        <v>88</v>
      </c>
      <c r="AP670" t="s">
        <v>86</v>
      </c>
      <c r="AQ670" s="3">
        <v>7397.6106</v>
      </c>
      <c r="AS670" t="s">
        <v>1846</v>
      </c>
      <c r="AT670" t="s">
        <v>88</v>
      </c>
      <c r="AU670" t="s">
        <v>271</v>
      </c>
      <c r="AV670" s="14">
        <v>8381</v>
      </c>
    </row>
    <row r="671" spans="26:48">
      <c r="Z671" s="3"/>
      <c r="AC671"/>
      <c r="AE671" s="3"/>
      <c r="AH671" t="s">
        <v>2024</v>
      </c>
      <c r="AI671" t="s">
        <v>68</v>
      </c>
      <c r="AJ671" t="s">
        <v>98</v>
      </c>
      <c r="AK671" s="3" t="s">
        <v>27</v>
      </c>
      <c r="AL671" s="3">
        <v>-79.314416150400007</v>
      </c>
      <c r="AN671" t="s">
        <v>2207</v>
      </c>
      <c r="AO671" t="s">
        <v>88</v>
      </c>
      <c r="AP671" t="s">
        <v>90</v>
      </c>
      <c r="AQ671" s="3">
        <v>15620</v>
      </c>
      <c r="AS671" t="s">
        <v>1846</v>
      </c>
      <c r="AT671" t="s">
        <v>88</v>
      </c>
      <c r="AU671" t="s">
        <v>272</v>
      </c>
      <c r="AV671" s="14">
        <v>0</v>
      </c>
    </row>
    <row r="672" spans="26:48">
      <c r="Z672" s="3"/>
      <c r="AC672"/>
      <c r="AE672" s="3"/>
      <c r="AH672" t="s">
        <v>2024</v>
      </c>
      <c r="AI672" t="s">
        <v>68</v>
      </c>
      <c r="AJ672" t="s">
        <v>66</v>
      </c>
      <c r="AK672" s="3" t="s">
        <v>114</v>
      </c>
      <c r="AL672" s="3">
        <v>3730</v>
      </c>
      <c r="AN672" t="s">
        <v>2208</v>
      </c>
      <c r="AO672" t="s">
        <v>88</v>
      </c>
      <c r="AP672" t="s">
        <v>86</v>
      </c>
      <c r="AQ672" s="3">
        <v>7397.6106</v>
      </c>
      <c r="AS672" t="s">
        <v>1846</v>
      </c>
      <c r="AT672" t="s">
        <v>88</v>
      </c>
      <c r="AU672" t="s">
        <v>273</v>
      </c>
      <c r="AV672" s="14">
        <v>0</v>
      </c>
    </row>
    <row r="673" spans="26:48">
      <c r="Z673" s="3"/>
      <c r="AC673"/>
      <c r="AE673" s="3"/>
      <c r="AH673" t="s">
        <v>2024</v>
      </c>
      <c r="AI673" t="s">
        <v>68</v>
      </c>
      <c r="AJ673" t="s">
        <v>98</v>
      </c>
      <c r="AK673" s="3" t="s">
        <v>114</v>
      </c>
      <c r="AL673" s="3">
        <v>-167.28690077580001</v>
      </c>
      <c r="AN673" t="s">
        <v>2208</v>
      </c>
      <c r="AO673" t="s">
        <v>88</v>
      </c>
      <c r="AP673" t="s">
        <v>90</v>
      </c>
      <c r="AQ673" s="3">
        <v>16620</v>
      </c>
      <c r="AS673" t="s">
        <v>1846</v>
      </c>
      <c r="AT673" t="s">
        <v>196</v>
      </c>
      <c r="AU673" t="s">
        <v>197</v>
      </c>
      <c r="AV673" s="14">
        <v>7.2437978208016203</v>
      </c>
    </row>
    <row r="674" spans="26:48">
      <c r="Z674" s="3"/>
      <c r="AC674"/>
      <c r="AE674" s="3"/>
      <c r="AH674" t="s">
        <v>2024</v>
      </c>
      <c r="AI674" t="s">
        <v>68</v>
      </c>
      <c r="AJ674" t="s">
        <v>66</v>
      </c>
      <c r="AK674" s="3" t="s">
        <v>115</v>
      </c>
      <c r="AL674" s="3">
        <v>1636</v>
      </c>
      <c r="AN674" t="s">
        <v>2209</v>
      </c>
      <c r="AO674" t="s">
        <v>88</v>
      </c>
      <c r="AP674" t="s">
        <v>86</v>
      </c>
      <c r="AQ674" s="3">
        <v>6997.6106</v>
      </c>
      <c r="AS674" t="s">
        <v>1846</v>
      </c>
      <c r="AT674" t="s">
        <v>196</v>
      </c>
      <c r="AU674" t="s">
        <v>109</v>
      </c>
      <c r="AV674" s="14">
        <v>5.6821654091463696</v>
      </c>
    </row>
    <row r="675" spans="26:48">
      <c r="Z675" s="3"/>
      <c r="AC675"/>
      <c r="AE675" s="3"/>
      <c r="AH675" t="s">
        <v>2024</v>
      </c>
      <c r="AI675" t="s">
        <v>68</v>
      </c>
      <c r="AJ675" t="s">
        <v>98</v>
      </c>
      <c r="AK675" s="3" t="s">
        <v>115</v>
      </c>
      <c r="AL675" s="3">
        <v>-87.972484625299998</v>
      </c>
      <c r="AN675" t="s">
        <v>2209</v>
      </c>
      <c r="AO675" t="s">
        <v>88</v>
      </c>
      <c r="AP675" t="s">
        <v>90</v>
      </c>
      <c r="AQ675" s="3">
        <v>17220</v>
      </c>
      <c r="AS675" t="s">
        <v>1846</v>
      </c>
      <c r="AT675" t="s">
        <v>196</v>
      </c>
      <c r="AU675" t="s">
        <v>198</v>
      </c>
      <c r="AV675" s="14">
        <v>6.2661377082438303</v>
      </c>
    </row>
    <row r="676" spans="26:48">
      <c r="Z676" s="3"/>
      <c r="AC676"/>
      <c r="AE676" s="3"/>
      <c r="AH676" t="s">
        <v>2023</v>
      </c>
      <c r="AI676" t="s">
        <v>65</v>
      </c>
      <c r="AJ676" t="s">
        <v>66</v>
      </c>
      <c r="AK676" s="3" t="s">
        <v>27</v>
      </c>
      <c r="AL676" s="3">
        <v>38717.699999999997</v>
      </c>
      <c r="AN676" t="s">
        <v>2210</v>
      </c>
      <c r="AO676" t="s">
        <v>88</v>
      </c>
      <c r="AP676" t="s">
        <v>86</v>
      </c>
      <c r="AQ676" s="3">
        <v>6997.6106</v>
      </c>
      <c r="AS676" t="s">
        <v>1847</v>
      </c>
      <c r="AT676" t="s">
        <v>88</v>
      </c>
      <c r="AU676" t="s">
        <v>109</v>
      </c>
      <c r="AV676" s="14">
        <v>19529</v>
      </c>
    </row>
    <row r="677" spans="26:48">
      <c r="Z677" s="3"/>
      <c r="AC677"/>
      <c r="AE677" s="3"/>
      <c r="AH677" t="s">
        <v>2023</v>
      </c>
      <c r="AI677" t="s">
        <v>65</v>
      </c>
      <c r="AJ677" t="s">
        <v>72</v>
      </c>
      <c r="AK677" s="3" t="s">
        <v>27</v>
      </c>
      <c r="AL677" s="3">
        <v>39460.773556</v>
      </c>
      <c r="AN677" t="s">
        <v>2210</v>
      </c>
      <c r="AO677" t="s">
        <v>88</v>
      </c>
      <c r="AP677" t="s">
        <v>90</v>
      </c>
      <c r="AQ677" s="3">
        <v>19170</v>
      </c>
      <c r="AS677" t="s">
        <v>1847</v>
      </c>
      <c r="AT677" t="s">
        <v>88</v>
      </c>
      <c r="AU677" t="s">
        <v>110</v>
      </c>
      <c r="AV677" s="14">
        <v>397.61059999999998</v>
      </c>
    </row>
    <row r="678" spans="26:48">
      <c r="Z678" s="3"/>
      <c r="AC678"/>
      <c r="AE678" s="3"/>
      <c r="AH678" t="s">
        <v>2023</v>
      </c>
      <c r="AI678" t="s">
        <v>65</v>
      </c>
      <c r="AJ678" t="s">
        <v>113</v>
      </c>
      <c r="AK678" s="3" t="s">
        <v>27</v>
      </c>
      <c r="AL678" s="3">
        <v>2403.0899999595999</v>
      </c>
      <c r="AN678" t="s">
        <v>2211</v>
      </c>
      <c r="AO678" t="s">
        <v>88</v>
      </c>
      <c r="AP678" t="s">
        <v>86</v>
      </c>
      <c r="AQ678" s="3">
        <v>6997.6106</v>
      </c>
      <c r="AS678" t="s">
        <v>1847</v>
      </c>
      <c r="AT678" t="s">
        <v>88</v>
      </c>
      <c r="AU678" t="s">
        <v>111</v>
      </c>
      <c r="AV678" s="14">
        <v>10800</v>
      </c>
    </row>
    <row r="679" spans="26:48">
      <c r="Z679" s="3"/>
      <c r="AC679"/>
      <c r="AE679" s="3"/>
      <c r="AH679" t="s">
        <v>2023</v>
      </c>
      <c r="AI679" t="s">
        <v>65</v>
      </c>
      <c r="AJ679" t="s">
        <v>108</v>
      </c>
      <c r="AK679" s="3" t="s">
        <v>27</v>
      </c>
      <c r="AL679" s="3">
        <v>-1660.0164439596001</v>
      </c>
      <c r="AN679" t="s">
        <v>2211</v>
      </c>
      <c r="AO679" t="s">
        <v>88</v>
      </c>
      <c r="AP679" t="s">
        <v>90</v>
      </c>
      <c r="AQ679" s="3">
        <v>17170</v>
      </c>
      <c r="AS679" t="s">
        <v>1847</v>
      </c>
      <c r="AT679" t="s">
        <v>88</v>
      </c>
      <c r="AU679" t="s">
        <v>268</v>
      </c>
      <c r="AV679" s="14">
        <v>0</v>
      </c>
    </row>
    <row r="680" spans="26:48">
      <c r="Z680" s="3"/>
      <c r="AC680"/>
      <c r="AE680" s="3"/>
      <c r="AH680" t="s">
        <v>2023</v>
      </c>
      <c r="AI680" t="s">
        <v>65</v>
      </c>
      <c r="AJ680" t="s">
        <v>98</v>
      </c>
      <c r="AK680" s="3" t="s">
        <v>27</v>
      </c>
      <c r="AL680" s="3">
        <v>-1571.3161839596</v>
      </c>
      <c r="AN680" t="s">
        <v>2212</v>
      </c>
      <c r="AO680" t="s">
        <v>88</v>
      </c>
      <c r="AP680" t="s">
        <v>86</v>
      </c>
      <c r="AQ680" s="3">
        <v>6997.6106</v>
      </c>
      <c r="AS680" t="s">
        <v>1847</v>
      </c>
      <c r="AT680" t="s">
        <v>88</v>
      </c>
      <c r="AU680" t="s">
        <v>269</v>
      </c>
      <c r="AV680" s="14">
        <v>0</v>
      </c>
    </row>
    <row r="681" spans="26:48">
      <c r="Z681" s="3"/>
      <c r="AC681"/>
      <c r="AE681" s="3"/>
      <c r="AH681" t="s">
        <v>2023</v>
      </c>
      <c r="AI681" t="s">
        <v>67</v>
      </c>
      <c r="AJ681" t="s">
        <v>66</v>
      </c>
      <c r="AK681" s="3" t="s">
        <v>27</v>
      </c>
      <c r="AL681" s="3">
        <v>-22764.7</v>
      </c>
      <c r="AN681" t="s">
        <v>2212</v>
      </c>
      <c r="AO681" t="s">
        <v>88</v>
      </c>
      <c r="AP681" t="s">
        <v>90</v>
      </c>
      <c r="AQ681" s="3">
        <v>16620</v>
      </c>
      <c r="AS681" t="s">
        <v>1847</v>
      </c>
      <c r="AT681" t="s">
        <v>88</v>
      </c>
      <c r="AU681" t="s">
        <v>270</v>
      </c>
      <c r="AV681" s="14">
        <v>0</v>
      </c>
    </row>
    <row r="682" spans="26:48">
      <c r="Z682" s="3"/>
      <c r="AC682"/>
      <c r="AE682" s="3"/>
      <c r="AH682" t="s">
        <v>2023</v>
      </c>
      <c r="AI682" t="s">
        <v>67</v>
      </c>
      <c r="AJ682" t="s">
        <v>72</v>
      </c>
      <c r="AK682" s="3" t="s">
        <v>27</v>
      </c>
      <c r="AL682" s="3">
        <v>-24879.491475999999</v>
      </c>
      <c r="AN682" t="s">
        <v>2213</v>
      </c>
      <c r="AO682" t="s">
        <v>88</v>
      </c>
      <c r="AP682" t="s">
        <v>86</v>
      </c>
      <c r="AQ682" s="3">
        <v>6997.6106</v>
      </c>
      <c r="AS682" t="s">
        <v>1847</v>
      </c>
      <c r="AT682" t="s">
        <v>88</v>
      </c>
      <c r="AU682" t="s">
        <v>271</v>
      </c>
      <c r="AV682" s="14">
        <v>9121</v>
      </c>
    </row>
    <row r="683" spans="26:48">
      <c r="Z683" s="3"/>
      <c r="AC683"/>
      <c r="AE683" s="3"/>
      <c r="AH683" t="s">
        <v>2023</v>
      </c>
      <c r="AI683" t="s">
        <v>67</v>
      </c>
      <c r="AJ683" t="s">
        <v>113</v>
      </c>
      <c r="AK683" s="3" t="s">
        <v>27</v>
      </c>
      <c r="AL683" s="3">
        <v>-2215.3542456373002</v>
      </c>
      <c r="AN683" t="s">
        <v>2213</v>
      </c>
      <c r="AO683" t="s">
        <v>88</v>
      </c>
      <c r="AP683" t="s">
        <v>90</v>
      </c>
      <c r="AQ683" s="3">
        <v>16620</v>
      </c>
      <c r="AS683" t="s">
        <v>1847</v>
      </c>
      <c r="AT683" t="s">
        <v>88</v>
      </c>
      <c r="AU683" t="s">
        <v>272</v>
      </c>
      <c r="AV683" s="14">
        <v>0</v>
      </c>
    </row>
    <row r="684" spans="26:48">
      <c r="Z684" s="3"/>
      <c r="AC684"/>
      <c r="AE684" s="3"/>
      <c r="AH684" t="s">
        <v>2023</v>
      </c>
      <c r="AI684" t="s">
        <v>67</v>
      </c>
      <c r="AJ684" t="s">
        <v>108</v>
      </c>
      <c r="AK684" s="3" t="s">
        <v>27</v>
      </c>
      <c r="AL684" s="3">
        <v>100.56276963729999</v>
      </c>
      <c r="AN684" t="s">
        <v>2214</v>
      </c>
      <c r="AO684" t="s">
        <v>88</v>
      </c>
      <c r="AP684" t="s">
        <v>86</v>
      </c>
      <c r="AQ684" s="3">
        <v>6997.6106</v>
      </c>
      <c r="AS684" t="s">
        <v>1847</v>
      </c>
      <c r="AT684" t="s">
        <v>88</v>
      </c>
      <c r="AU684" t="s">
        <v>273</v>
      </c>
      <c r="AV684" s="14">
        <v>0</v>
      </c>
    </row>
    <row r="685" spans="26:48">
      <c r="Z685" s="3"/>
      <c r="AC685"/>
      <c r="AE685" s="3"/>
      <c r="AH685" t="s">
        <v>2023</v>
      </c>
      <c r="AI685" t="s">
        <v>67</v>
      </c>
      <c r="AJ685" t="s">
        <v>98</v>
      </c>
      <c r="AK685" s="3" t="s">
        <v>27</v>
      </c>
      <c r="AL685" s="3">
        <v>112.29214787319999</v>
      </c>
      <c r="AN685" t="s">
        <v>2214</v>
      </c>
      <c r="AO685" t="s">
        <v>88</v>
      </c>
      <c r="AP685" t="s">
        <v>90</v>
      </c>
      <c r="AQ685" s="3">
        <v>18270</v>
      </c>
      <c r="AS685" t="s">
        <v>1847</v>
      </c>
      <c r="AT685" t="s">
        <v>196</v>
      </c>
      <c r="AU685" t="s">
        <v>197</v>
      </c>
      <c r="AV685" s="14">
        <v>7.2437978208016203</v>
      </c>
    </row>
    <row r="686" spans="26:48">
      <c r="Z686" s="3"/>
      <c r="AC686"/>
      <c r="AE686" s="3"/>
      <c r="AH686" t="s">
        <v>2023</v>
      </c>
      <c r="AI686" t="s">
        <v>67</v>
      </c>
      <c r="AJ686" t="s">
        <v>66</v>
      </c>
      <c r="AK686" s="3" t="s">
        <v>114</v>
      </c>
      <c r="AL686" s="3">
        <v>230</v>
      </c>
      <c r="AN686" t="s">
        <v>2215</v>
      </c>
      <c r="AO686" t="s">
        <v>88</v>
      </c>
      <c r="AP686" t="s">
        <v>86</v>
      </c>
      <c r="AQ686" s="3">
        <v>6997.6106</v>
      </c>
      <c r="AS686" t="s">
        <v>1847</v>
      </c>
      <c r="AT686" t="s">
        <v>196</v>
      </c>
      <c r="AU686" t="s">
        <v>109</v>
      </c>
      <c r="AV686" s="14">
        <v>5.6706137396326399</v>
      </c>
    </row>
    <row r="687" spans="26:48">
      <c r="Z687" s="3"/>
      <c r="AC687"/>
      <c r="AE687" s="3"/>
      <c r="AH687" t="s">
        <v>2023</v>
      </c>
      <c r="AI687" t="s">
        <v>67</v>
      </c>
      <c r="AJ687" t="s">
        <v>98</v>
      </c>
      <c r="AK687" s="3" t="s">
        <v>114</v>
      </c>
      <c r="AL687" s="3">
        <v>-10.322721764200001</v>
      </c>
      <c r="AN687" t="s">
        <v>2215</v>
      </c>
      <c r="AO687" t="s">
        <v>88</v>
      </c>
      <c r="AP687" t="s">
        <v>90</v>
      </c>
      <c r="AQ687" s="3">
        <v>18270</v>
      </c>
      <c r="AS687" t="s">
        <v>1847</v>
      </c>
      <c r="AT687" t="s">
        <v>196</v>
      </c>
      <c r="AU687" t="s">
        <v>198</v>
      </c>
      <c r="AV687" s="14">
        <v>6.2706000028611202</v>
      </c>
    </row>
    <row r="688" spans="26:48">
      <c r="Z688" s="3"/>
      <c r="AC688"/>
      <c r="AE688" s="3"/>
      <c r="AH688" t="s">
        <v>2023</v>
      </c>
      <c r="AI688" t="s">
        <v>67</v>
      </c>
      <c r="AJ688" t="s">
        <v>66</v>
      </c>
      <c r="AK688" s="3" t="s">
        <v>115</v>
      </c>
      <c r="AL688" s="3">
        <v>22994.7</v>
      </c>
      <c r="AN688" t="s">
        <v>2216</v>
      </c>
      <c r="AO688" t="s">
        <v>88</v>
      </c>
      <c r="AP688" t="s">
        <v>86</v>
      </c>
      <c r="AQ688" s="3">
        <v>7497.6106</v>
      </c>
      <c r="AS688" t="s">
        <v>1848</v>
      </c>
      <c r="AT688" t="s">
        <v>196</v>
      </c>
      <c r="AU688" t="s">
        <v>197</v>
      </c>
      <c r="AV688" s="14">
        <v>7.2437978208016203</v>
      </c>
    </row>
    <row r="689" spans="26:48">
      <c r="Z689" s="3"/>
      <c r="AC689"/>
      <c r="AE689" s="3"/>
      <c r="AH689" t="s">
        <v>2023</v>
      </c>
      <c r="AI689" t="s">
        <v>67</v>
      </c>
      <c r="AJ689" t="s">
        <v>98</v>
      </c>
      <c r="AK689" s="3" t="s">
        <v>115</v>
      </c>
      <c r="AL689" s="3">
        <v>-122.6148696373</v>
      </c>
      <c r="AN689" t="s">
        <v>2216</v>
      </c>
      <c r="AO689" t="s">
        <v>88</v>
      </c>
      <c r="AP689" t="s">
        <v>90</v>
      </c>
      <c r="AQ689" s="3">
        <v>19270</v>
      </c>
      <c r="AS689" t="s">
        <v>1848</v>
      </c>
      <c r="AT689" t="s">
        <v>196</v>
      </c>
      <c r="AU689" t="s">
        <v>109</v>
      </c>
      <c r="AV689" s="14">
        <v>5.5452176937677402</v>
      </c>
    </row>
    <row r="690" spans="26:48">
      <c r="Z690" s="3"/>
      <c r="AC690"/>
      <c r="AE690" s="3"/>
      <c r="AH690" t="s">
        <v>2023</v>
      </c>
      <c r="AI690" t="s">
        <v>68</v>
      </c>
      <c r="AJ690" t="s">
        <v>66</v>
      </c>
      <c r="AK690" s="3" t="s">
        <v>27</v>
      </c>
      <c r="AL690" s="3">
        <v>1560</v>
      </c>
      <c r="AN690" t="s">
        <v>2217</v>
      </c>
      <c r="AO690" t="s">
        <v>88</v>
      </c>
      <c r="AP690" t="s">
        <v>86</v>
      </c>
      <c r="AQ690" s="3">
        <v>7497.6106</v>
      </c>
      <c r="AS690" t="s">
        <v>1848</v>
      </c>
      <c r="AT690" t="s">
        <v>196</v>
      </c>
      <c r="AU690" t="s">
        <v>198</v>
      </c>
      <c r="AV690" s="14">
        <v>6.18319096546207</v>
      </c>
    </row>
    <row r="691" spans="26:48">
      <c r="Z691" s="3"/>
      <c r="AC691"/>
      <c r="AE691" s="3"/>
      <c r="AH691" t="s">
        <v>2023</v>
      </c>
      <c r="AI691" t="s">
        <v>68</v>
      </c>
      <c r="AJ691" t="s">
        <v>72</v>
      </c>
      <c r="AK691" s="3" t="s">
        <v>27</v>
      </c>
      <c r="AL691" s="3">
        <v>1433.1164000000001</v>
      </c>
      <c r="AN691" t="s">
        <v>2217</v>
      </c>
      <c r="AO691" t="s">
        <v>88</v>
      </c>
      <c r="AP691" t="s">
        <v>90</v>
      </c>
      <c r="AQ691" s="3">
        <v>16770</v>
      </c>
      <c r="AS691" t="s">
        <v>1848</v>
      </c>
      <c r="AT691" t="s">
        <v>88</v>
      </c>
      <c r="AU691" t="s">
        <v>109</v>
      </c>
      <c r="AV691" s="14">
        <v>20103</v>
      </c>
    </row>
    <row r="692" spans="26:48">
      <c r="Z692" s="3"/>
      <c r="AC692"/>
      <c r="AE692" s="3"/>
      <c r="AH692" t="s">
        <v>2023</v>
      </c>
      <c r="AI692" t="s">
        <v>68</v>
      </c>
      <c r="AJ692" t="s">
        <v>113</v>
      </c>
      <c r="AK692" s="3" t="s">
        <v>27</v>
      </c>
      <c r="AL692" s="3">
        <v>-16.3664946707</v>
      </c>
      <c r="AN692" t="s">
        <v>2218</v>
      </c>
      <c r="AO692" t="s">
        <v>88</v>
      </c>
      <c r="AP692" t="s">
        <v>86</v>
      </c>
      <c r="AQ692" s="3">
        <v>7497.6106</v>
      </c>
      <c r="AS692" t="s">
        <v>1848</v>
      </c>
      <c r="AT692" t="s">
        <v>88</v>
      </c>
      <c r="AU692" t="s">
        <v>110</v>
      </c>
      <c r="AV692" s="14">
        <v>397.61059999999998</v>
      </c>
    </row>
    <row r="693" spans="26:48">
      <c r="Z693" s="3"/>
      <c r="AC693"/>
      <c r="AE693" s="3"/>
      <c r="AH693" t="s">
        <v>2023</v>
      </c>
      <c r="AI693" t="s">
        <v>68</v>
      </c>
      <c r="AJ693" t="s">
        <v>108</v>
      </c>
      <c r="AK693" s="3" t="s">
        <v>27</v>
      </c>
      <c r="AL693" s="3">
        <v>-110.51710532929999</v>
      </c>
      <c r="AN693" t="s">
        <v>2218</v>
      </c>
      <c r="AO693" t="s">
        <v>88</v>
      </c>
      <c r="AP693" t="s">
        <v>90</v>
      </c>
      <c r="AQ693" s="3">
        <v>14820</v>
      </c>
      <c r="AS693" t="s">
        <v>1848</v>
      </c>
      <c r="AT693" t="s">
        <v>88</v>
      </c>
      <c r="AU693" t="s">
        <v>111</v>
      </c>
      <c r="AV693" s="14">
        <v>10800</v>
      </c>
    </row>
    <row r="694" spans="26:48">
      <c r="Z694" s="3"/>
      <c r="AC694"/>
      <c r="AE694" s="3"/>
      <c r="AH694" t="s">
        <v>2023</v>
      </c>
      <c r="AI694" t="s">
        <v>68</v>
      </c>
      <c r="AJ694" t="s">
        <v>98</v>
      </c>
      <c r="AK694" s="3" t="s">
        <v>27</v>
      </c>
      <c r="AL694" s="3">
        <v>-44.912860614000003</v>
      </c>
      <c r="AN694" t="s">
        <v>2219</v>
      </c>
      <c r="AO694" t="s">
        <v>88</v>
      </c>
      <c r="AP694" t="s">
        <v>86</v>
      </c>
      <c r="AQ694" s="3">
        <v>7497.6106</v>
      </c>
      <c r="AS694" t="s">
        <v>1848</v>
      </c>
      <c r="AT694" t="s">
        <v>88</v>
      </c>
      <c r="AU694" t="s">
        <v>268</v>
      </c>
      <c r="AV694" s="14">
        <v>0</v>
      </c>
    </row>
    <row r="695" spans="26:48">
      <c r="Z695" s="3"/>
      <c r="AC695"/>
      <c r="AE695" s="3"/>
      <c r="AH695" t="s">
        <v>2023</v>
      </c>
      <c r="AI695" t="s">
        <v>68</v>
      </c>
      <c r="AJ695" t="s">
        <v>66</v>
      </c>
      <c r="AK695" s="3" t="s">
        <v>114</v>
      </c>
      <c r="AL695" s="3">
        <v>2455</v>
      </c>
      <c r="AN695" t="s">
        <v>2219</v>
      </c>
      <c r="AO695" t="s">
        <v>88</v>
      </c>
      <c r="AP695" t="s">
        <v>90</v>
      </c>
      <c r="AQ695" s="3">
        <v>17020</v>
      </c>
      <c r="AS695" t="s">
        <v>1848</v>
      </c>
      <c r="AT695" t="s">
        <v>88</v>
      </c>
      <c r="AU695" t="s">
        <v>269</v>
      </c>
      <c r="AV695" s="14">
        <v>0</v>
      </c>
    </row>
    <row r="696" spans="26:48">
      <c r="Z696" s="3"/>
      <c r="AC696"/>
      <c r="AE696" s="3"/>
      <c r="AH696" t="s">
        <v>2023</v>
      </c>
      <c r="AI696" t="s">
        <v>68</v>
      </c>
      <c r="AJ696" t="s">
        <v>98</v>
      </c>
      <c r="AK696" s="3" t="s">
        <v>114</v>
      </c>
      <c r="AL696" s="3">
        <v>-76.821505284799997</v>
      </c>
      <c r="AN696" t="s">
        <v>2220</v>
      </c>
      <c r="AO696" t="s">
        <v>88</v>
      </c>
      <c r="AP696" t="s">
        <v>86</v>
      </c>
      <c r="AQ696" s="3">
        <v>7497.6106</v>
      </c>
      <c r="AS696" t="s">
        <v>1848</v>
      </c>
      <c r="AT696" t="s">
        <v>88</v>
      </c>
      <c r="AU696" t="s">
        <v>270</v>
      </c>
      <c r="AV696" s="14">
        <v>0</v>
      </c>
    </row>
    <row r="697" spans="26:48">
      <c r="Z697" s="3"/>
      <c r="AC697"/>
      <c r="AE697" s="3"/>
      <c r="AH697" t="s">
        <v>2023</v>
      </c>
      <c r="AI697" t="s">
        <v>68</v>
      </c>
      <c r="AJ697" t="s">
        <v>66</v>
      </c>
      <c r="AK697" s="3" t="s">
        <v>115</v>
      </c>
      <c r="AL697" s="3">
        <v>895</v>
      </c>
      <c r="AN697" t="s">
        <v>2220</v>
      </c>
      <c r="AO697" t="s">
        <v>88</v>
      </c>
      <c r="AP697" t="s">
        <v>90</v>
      </c>
      <c r="AQ697" s="3">
        <v>17020</v>
      </c>
      <c r="AS697" t="s">
        <v>1848</v>
      </c>
      <c r="AT697" t="s">
        <v>88</v>
      </c>
      <c r="AU697" t="s">
        <v>271</v>
      </c>
      <c r="AV697" s="14">
        <v>8547</v>
      </c>
    </row>
    <row r="698" spans="26:48">
      <c r="Z698" s="3"/>
      <c r="AC698"/>
      <c r="AE698" s="3"/>
      <c r="AH698" t="s">
        <v>2023</v>
      </c>
      <c r="AI698" t="s">
        <v>68</v>
      </c>
      <c r="AJ698" t="s">
        <v>98</v>
      </c>
      <c r="AK698" s="3" t="s">
        <v>115</v>
      </c>
      <c r="AL698" s="3">
        <v>-31.908644670699999</v>
      </c>
      <c r="AN698" t="s">
        <v>2221</v>
      </c>
      <c r="AO698" t="s">
        <v>88</v>
      </c>
      <c r="AP698" t="s">
        <v>86</v>
      </c>
      <c r="AQ698" s="3">
        <v>7497.6106</v>
      </c>
      <c r="AS698" t="s">
        <v>1848</v>
      </c>
      <c r="AT698" t="s">
        <v>88</v>
      </c>
      <c r="AU698" t="s">
        <v>272</v>
      </c>
      <c r="AV698" s="14">
        <v>0</v>
      </c>
    </row>
    <row r="699" spans="26:48">
      <c r="Z699" s="3"/>
      <c r="AC699"/>
      <c r="AE699" s="3"/>
      <c r="AH699" t="s">
        <v>2023</v>
      </c>
      <c r="AI699" t="s">
        <v>800</v>
      </c>
      <c r="AJ699" t="s">
        <v>31</v>
      </c>
      <c r="AK699" s="3" t="s">
        <v>27</v>
      </c>
      <c r="AL699" s="3">
        <v>3.9071443812000002</v>
      </c>
      <c r="AN699" t="s">
        <v>2221</v>
      </c>
      <c r="AO699" t="s">
        <v>88</v>
      </c>
      <c r="AP699" t="s">
        <v>90</v>
      </c>
      <c r="AQ699" s="3">
        <v>18120</v>
      </c>
      <c r="AS699" t="s">
        <v>1848</v>
      </c>
      <c r="AT699" t="s">
        <v>88</v>
      </c>
      <c r="AU699" t="s">
        <v>273</v>
      </c>
      <c r="AV699" s="14">
        <v>0</v>
      </c>
    </row>
    <row r="700" spans="26:48">
      <c r="Z700" s="3"/>
      <c r="AC700"/>
      <c r="AE700" s="3"/>
      <c r="AH700" t="s">
        <v>2022</v>
      </c>
      <c r="AI700" t="s">
        <v>65</v>
      </c>
      <c r="AJ700" t="s">
        <v>66</v>
      </c>
      <c r="AK700" s="3" t="s">
        <v>27</v>
      </c>
      <c r="AL700" s="3">
        <v>39918.699999999997</v>
      </c>
      <c r="AN700" t="s">
        <v>2222</v>
      </c>
      <c r="AO700" t="s">
        <v>88</v>
      </c>
      <c r="AP700" t="s">
        <v>86</v>
      </c>
      <c r="AQ700" s="3">
        <v>7497.6106</v>
      </c>
      <c r="AS700" t="s">
        <v>1849</v>
      </c>
      <c r="AT700" t="s">
        <v>88</v>
      </c>
      <c r="AU700" t="s">
        <v>109</v>
      </c>
      <c r="AV700" s="14">
        <v>18853</v>
      </c>
    </row>
    <row r="701" spans="26:48">
      <c r="Z701" s="3"/>
      <c r="AC701"/>
      <c r="AE701" s="3"/>
      <c r="AH701" t="s">
        <v>2022</v>
      </c>
      <c r="AI701" t="s">
        <v>65</v>
      </c>
      <c r="AJ701" t="s">
        <v>72</v>
      </c>
      <c r="AK701" s="3" t="s">
        <v>27</v>
      </c>
      <c r="AL701" s="3">
        <v>40172.092385999997</v>
      </c>
      <c r="AN701" t="s">
        <v>2222</v>
      </c>
      <c r="AO701" t="s">
        <v>88</v>
      </c>
      <c r="AP701" t="s">
        <v>90</v>
      </c>
      <c r="AQ701" s="3">
        <v>16320</v>
      </c>
      <c r="AS701" t="s">
        <v>1849</v>
      </c>
      <c r="AT701" t="s">
        <v>88</v>
      </c>
      <c r="AU701" t="s">
        <v>110</v>
      </c>
      <c r="AV701" s="14">
        <v>397.61059999999998</v>
      </c>
    </row>
    <row r="702" spans="26:48">
      <c r="Z702" s="3"/>
      <c r="AC702"/>
      <c r="AE702" s="3"/>
      <c r="AH702" t="s">
        <v>2022</v>
      </c>
      <c r="AI702" t="s">
        <v>65</v>
      </c>
      <c r="AJ702" t="s">
        <v>113</v>
      </c>
      <c r="AK702" s="3" t="s">
        <v>27</v>
      </c>
      <c r="AL702" s="3">
        <v>2331.5557936926998</v>
      </c>
      <c r="AN702" t="s">
        <v>2223</v>
      </c>
      <c r="AO702" t="s">
        <v>88</v>
      </c>
      <c r="AP702" t="s">
        <v>86</v>
      </c>
      <c r="AQ702" s="3">
        <v>7497.6106</v>
      </c>
      <c r="AS702" t="s">
        <v>1849</v>
      </c>
      <c r="AT702" t="s">
        <v>88</v>
      </c>
      <c r="AU702" t="s">
        <v>111</v>
      </c>
      <c r="AV702" s="14">
        <v>10800</v>
      </c>
    </row>
    <row r="703" spans="26:48">
      <c r="Z703" s="3"/>
      <c r="AC703"/>
      <c r="AE703" s="3"/>
      <c r="AH703" t="s">
        <v>2022</v>
      </c>
      <c r="AI703" t="s">
        <v>65</v>
      </c>
      <c r="AJ703" t="s">
        <v>108</v>
      </c>
      <c r="AK703" s="3" t="s">
        <v>27</v>
      </c>
      <c r="AL703" s="3">
        <v>-2078.1634076926998</v>
      </c>
      <c r="AN703" t="s">
        <v>2223</v>
      </c>
      <c r="AO703" t="s">
        <v>88</v>
      </c>
      <c r="AP703" t="s">
        <v>90</v>
      </c>
      <c r="AQ703" s="3">
        <v>16320</v>
      </c>
      <c r="AS703" t="s">
        <v>1849</v>
      </c>
      <c r="AT703" t="s">
        <v>88</v>
      </c>
      <c r="AU703" t="s">
        <v>268</v>
      </c>
      <c r="AV703" s="14">
        <v>0</v>
      </c>
    </row>
    <row r="704" spans="26:48">
      <c r="Z704" s="3"/>
      <c r="AC704"/>
      <c r="AE704" s="3"/>
      <c r="AH704" t="s">
        <v>2022</v>
      </c>
      <c r="AI704" t="s">
        <v>65</v>
      </c>
      <c r="AJ704" t="s">
        <v>98</v>
      </c>
      <c r="AK704" s="3" t="s">
        <v>27</v>
      </c>
      <c r="AL704" s="3">
        <v>-1592.7424076927</v>
      </c>
      <c r="AN704" t="s">
        <v>2224</v>
      </c>
      <c r="AO704" t="s">
        <v>88</v>
      </c>
      <c r="AP704" t="s">
        <v>86</v>
      </c>
      <c r="AQ704" s="3">
        <v>9497.6106</v>
      </c>
      <c r="AS704" t="s">
        <v>1849</v>
      </c>
      <c r="AT704" t="s">
        <v>88</v>
      </c>
      <c r="AU704" t="s">
        <v>269</v>
      </c>
      <c r="AV704" s="14">
        <v>0</v>
      </c>
    </row>
    <row r="705" spans="26:48">
      <c r="Z705" s="3"/>
      <c r="AC705"/>
      <c r="AE705" s="3"/>
      <c r="AH705" t="s">
        <v>2022</v>
      </c>
      <c r="AI705" t="s">
        <v>67</v>
      </c>
      <c r="AJ705" t="s">
        <v>66</v>
      </c>
      <c r="AK705" s="3" t="s">
        <v>27</v>
      </c>
      <c r="AL705" s="3">
        <v>-24195.7</v>
      </c>
      <c r="AN705" t="s">
        <v>2224</v>
      </c>
      <c r="AO705" t="s">
        <v>88</v>
      </c>
      <c r="AP705" t="s">
        <v>90</v>
      </c>
      <c r="AQ705" s="3">
        <v>17820</v>
      </c>
      <c r="AS705" t="s">
        <v>1849</v>
      </c>
      <c r="AT705" t="s">
        <v>88</v>
      </c>
      <c r="AU705" t="s">
        <v>270</v>
      </c>
      <c r="AV705" s="14">
        <v>0</v>
      </c>
    </row>
    <row r="706" spans="26:48">
      <c r="Z706" s="3"/>
      <c r="AC706"/>
      <c r="AE706" s="3"/>
      <c r="AH706" t="s">
        <v>2022</v>
      </c>
      <c r="AI706" t="s">
        <v>67</v>
      </c>
      <c r="AJ706" t="s">
        <v>72</v>
      </c>
      <c r="AK706" s="3" t="s">
        <v>27</v>
      </c>
      <c r="AL706" s="3">
        <v>-26197.316156000001</v>
      </c>
      <c r="AN706" t="s">
        <v>2225</v>
      </c>
      <c r="AO706" t="s">
        <v>88</v>
      </c>
      <c r="AP706" t="s">
        <v>86</v>
      </c>
      <c r="AQ706" s="3">
        <v>9497.6106</v>
      </c>
      <c r="AS706" t="s">
        <v>1849</v>
      </c>
      <c r="AT706" t="s">
        <v>88</v>
      </c>
      <c r="AU706" t="s">
        <v>271</v>
      </c>
      <c r="AV706" s="14">
        <v>9797</v>
      </c>
    </row>
    <row r="707" spans="26:48">
      <c r="Z707" s="3"/>
      <c r="AC707"/>
      <c r="AE707" s="3"/>
      <c r="AH707" t="s">
        <v>2022</v>
      </c>
      <c r="AI707" t="s">
        <v>67</v>
      </c>
      <c r="AJ707" t="s">
        <v>113</v>
      </c>
      <c r="AK707" s="3" t="s">
        <v>27</v>
      </c>
      <c r="AL707" s="3">
        <v>-2143.6942992458999</v>
      </c>
      <c r="AN707" t="s">
        <v>2225</v>
      </c>
      <c r="AO707" t="s">
        <v>88</v>
      </c>
      <c r="AP707" t="s">
        <v>90</v>
      </c>
      <c r="AQ707" s="3">
        <v>19020</v>
      </c>
      <c r="AS707" t="s">
        <v>1849</v>
      </c>
      <c r="AT707" t="s">
        <v>88</v>
      </c>
      <c r="AU707" t="s">
        <v>272</v>
      </c>
      <c r="AV707" s="14">
        <v>0</v>
      </c>
    </row>
    <row r="708" spans="26:48">
      <c r="Z708" s="3"/>
      <c r="AC708"/>
      <c r="AE708" s="3"/>
      <c r="AH708" t="s">
        <v>2022</v>
      </c>
      <c r="AI708" t="s">
        <v>67</v>
      </c>
      <c r="AJ708" t="s">
        <v>108</v>
      </c>
      <c r="AK708" s="3" t="s">
        <v>27</v>
      </c>
      <c r="AL708" s="3">
        <v>142.07814324590001</v>
      </c>
      <c r="AN708" t="s">
        <v>2226</v>
      </c>
      <c r="AO708" t="s">
        <v>88</v>
      </c>
      <c r="AP708" t="s">
        <v>86</v>
      </c>
      <c r="AQ708" s="3">
        <v>9497.6106</v>
      </c>
      <c r="AS708" t="s">
        <v>1849</v>
      </c>
      <c r="AT708" t="s">
        <v>88</v>
      </c>
      <c r="AU708" t="s">
        <v>273</v>
      </c>
      <c r="AV708" s="14">
        <v>0</v>
      </c>
    </row>
    <row r="709" spans="26:48">
      <c r="Z709" s="3"/>
      <c r="AC709"/>
      <c r="AE709" s="3"/>
      <c r="AH709" t="s">
        <v>2022</v>
      </c>
      <c r="AI709" t="s">
        <v>67</v>
      </c>
      <c r="AJ709" t="s">
        <v>98</v>
      </c>
      <c r="AK709" s="3" t="s">
        <v>27</v>
      </c>
      <c r="AL709" s="3">
        <v>142.07814324590001</v>
      </c>
      <c r="AN709" t="s">
        <v>2226</v>
      </c>
      <c r="AO709" t="s">
        <v>88</v>
      </c>
      <c r="AP709" t="s">
        <v>90</v>
      </c>
      <c r="AQ709" s="3">
        <v>18020</v>
      </c>
      <c r="AS709" t="s">
        <v>1849</v>
      </c>
      <c r="AT709" t="s">
        <v>196</v>
      </c>
      <c r="AU709" t="s">
        <v>197</v>
      </c>
      <c r="AV709" s="14">
        <v>7.2437978208016203</v>
      </c>
    </row>
    <row r="710" spans="26:48">
      <c r="Z710" s="3"/>
      <c r="AC710"/>
      <c r="AE710" s="3"/>
      <c r="AH710" t="s">
        <v>2022</v>
      </c>
      <c r="AI710" t="s">
        <v>67</v>
      </c>
      <c r="AJ710" t="s">
        <v>66</v>
      </c>
      <c r="AK710" s="3" t="s">
        <v>114</v>
      </c>
      <c r="AL710" s="3">
        <v>0</v>
      </c>
      <c r="AN710" t="s">
        <v>2227</v>
      </c>
      <c r="AO710" t="s">
        <v>88</v>
      </c>
      <c r="AP710" t="s">
        <v>86</v>
      </c>
      <c r="AQ710" s="3">
        <v>9497.6106</v>
      </c>
      <c r="AS710" t="s">
        <v>1849</v>
      </c>
      <c r="AT710" t="s">
        <v>196</v>
      </c>
      <c r="AU710" t="s">
        <v>109</v>
      </c>
      <c r="AV710" s="14">
        <v>5.6821038294188702</v>
      </c>
    </row>
    <row r="711" spans="26:48">
      <c r="Z711" s="3"/>
      <c r="AC711"/>
      <c r="AE711" s="3"/>
      <c r="AH711" t="s">
        <v>2022</v>
      </c>
      <c r="AI711" t="s">
        <v>67</v>
      </c>
      <c r="AJ711" t="s">
        <v>98</v>
      </c>
      <c r="AK711" s="3" t="s">
        <v>114</v>
      </c>
      <c r="AL711" s="3">
        <v>0</v>
      </c>
      <c r="AN711" t="s">
        <v>2227</v>
      </c>
      <c r="AO711" t="s">
        <v>88</v>
      </c>
      <c r="AP711" t="s">
        <v>90</v>
      </c>
      <c r="AQ711" s="3">
        <v>18220</v>
      </c>
      <c r="AS711" t="s">
        <v>1849</v>
      </c>
      <c r="AT711" t="s">
        <v>196</v>
      </c>
      <c r="AU711" t="s">
        <v>198</v>
      </c>
      <c r="AV711" s="14">
        <v>6.2887236040831</v>
      </c>
    </row>
    <row r="712" spans="26:48">
      <c r="Z712" s="3"/>
      <c r="AC712"/>
      <c r="AE712" s="3"/>
      <c r="AH712" t="s">
        <v>2022</v>
      </c>
      <c r="AI712" t="s">
        <v>67</v>
      </c>
      <c r="AJ712" t="s">
        <v>66</v>
      </c>
      <c r="AK712" s="3" t="s">
        <v>115</v>
      </c>
      <c r="AL712" s="3">
        <v>24195.7</v>
      </c>
      <c r="AN712" t="s">
        <v>2228</v>
      </c>
      <c r="AO712" t="s">
        <v>88</v>
      </c>
      <c r="AP712" t="s">
        <v>90</v>
      </c>
      <c r="AQ712" s="3">
        <v>18220</v>
      </c>
      <c r="AS712" t="s">
        <v>1850</v>
      </c>
      <c r="AT712" t="s">
        <v>88</v>
      </c>
      <c r="AU712" t="s">
        <v>272</v>
      </c>
      <c r="AV712" s="14">
        <v>0</v>
      </c>
    </row>
    <row r="713" spans="26:48">
      <c r="Z713" s="3"/>
      <c r="AC713"/>
      <c r="AE713" s="3"/>
      <c r="AH713" t="s">
        <v>2022</v>
      </c>
      <c r="AI713" t="s">
        <v>67</v>
      </c>
      <c r="AJ713" t="s">
        <v>98</v>
      </c>
      <c r="AK713" s="3" t="s">
        <v>115</v>
      </c>
      <c r="AL713" s="3">
        <v>-142.07814324590001</v>
      </c>
      <c r="AN713" t="s">
        <v>2228</v>
      </c>
      <c r="AO713" t="s">
        <v>88</v>
      </c>
      <c r="AP713" t="s">
        <v>86</v>
      </c>
      <c r="AQ713" s="3">
        <v>9497.6106</v>
      </c>
      <c r="AS713" t="s">
        <v>1850</v>
      </c>
      <c r="AT713" t="s">
        <v>88</v>
      </c>
      <c r="AU713" t="s">
        <v>273</v>
      </c>
      <c r="AV713" s="14">
        <v>0</v>
      </c>
    </row>
    <row r="714" spans="26:48">
      <c r="Z714" s="3"/>
      <c r="AC714"/>
      <c r="AE714" s="3"/>
      <c r="AH714" t="s">
        <v>2022</v>
      </c>
      <c r="AI714" t="s">
        <v>68</v>
      </c>
      <c r="AJ714" t="s">
        <v>66</v>
      </c>
      <c r="AK714" s="3" t="s">
        <v>27</v>
      </c>
      <c r="AL714" s="3">
        <v>1790</v>
      </c>
      <c r="AN714" t="s">
        <v>2229</v>
      </c>
      <c r="AO714" t="s">
        <v>88</v>
      </c>
      <c r="AP714" t="s">
        <v>86</v>
      </c>
      <c r="AQ714" s="3">
        <v>9497.6106</v>
      </c>
      <c r="AS714" t="s">
        <v>1850</v>
      </c>
      <c r="AT714" t="s">
        <v>196</v>
      </c>
      <c r="AU714" t="s">
        <v>197</v>
      </c>
      <c r="AV714" s="14">
        <v>7.2437978208016203</v>
      </c>
    </row>
    <row r="715" spans="26:48">
      <c r="Z715" s="3"/>
      <c r="AC715"/>
      <c r="AE715" s="3"/>
      <c r="AH715" t="s">
        <v>2022</v>
      </c>
      <c r="AI715" t="s">
        <v>68</v>
      </c>
      <c r="AJ715" t="s">
        <v>72</v>
      </c>
      <c r="AK715" s="3" t="s">
        <v>27</v>
      </c>
      <c r="AL715" s="3">
        <v>1641.0014000000001</v>
      </c>
      <c r="AN715" t="s">
        <v>2229</v>
      </c>
      <c r="AO715" t="s">
        <v>88</v>
      </c>
      <c r="AP715" t="s">
        <v>90</v>
      </c>
      <c r="AQ715" s="3">
        <v>20220</v>
      </c>
      <c r="AS715" t="s">
        <v>1850</v>
      </c>
      <c r="AT715" t="s">
        <v>196</v>
      </c>
      <c r="AU715" t="s">
        <v>109</v>
      </c>
      <c r="AV715" s="14">
        <v>5.58682482382057</v>
      </c>
    </row>
    <row r="716" spans="26:48">
      <c r="Z716" s="3"/>
      <c r="AC716"/>
      <c r="AE716" s="3"/>
      <c r="AH716" t="s">
        <v>2022</v>
      </c>
      <c r="AI716" t="s">
        <v>68</v>
      </c>
      <c r="AJ716" t="s">
        <v>113</v>
      </c>
      <c r="AK716" s="3" t="s">
        <v>27</v>
      </c>
      <c r="AL716" s="3">
        <v>-16.368234910599998</v>
      </c>
      <c r="AN716" t="s">
        <v>2230</v>
      </c>
      <c r="AO716" t="s">
        <v>88</v>
      </c>
      <c r="AP716" t="s">
        <v>86</v>
      </c>
      <c r="AQ716" s="3">
        <v>8797.6106</v>
      </c>
      <c r="AS716" t="s">
        <v>1850</v>
      </c>
      <c r="AT716" t="s">
        <v>88</v>
      </c>
      <c r="AU716" t="s">
        <v>109</v>
      </c>
      <c r="AV716" s="14">
        <v>22360</v>
      </c>
    </row>
    <row r="717" spans="26:48">
      <c r="Z717" s="3"/>
      <c r="AC717"/>
      <c r="AE717" s="3"/>
      <c r="AH717" t="s">
        <v>2022</v>
      </c>
      <c r="AI717" t="s">
        <v>68</v>
      </c>
      <c r="AJ717" t="s">
        <v>108</v>
      </c>
      <c r="AK717" s="3" t="s">
        <v>27</v>
      </c>
      <c r="AL717" s="3">
        <v>-132.63036508939999</v>
      </c>
      <c r="AN717" t="s">
        <v>2230</v>
      </c>
      <c r="AO717" t="s">
        <v>88</v>
      </c>
      <c r="AP717" t="s">
        <v>90</v>
      </c>
      <c r="AQ717" s="3">
        <v>20020</v>
      </c>
      <c r="AS717" t="s">
        <v>1850</v>
      </c>
      <c r="AT717" t="s">
        <v>88</v>
      </c>
      <c r="AU717" t="s">
        <v>110</v>
      </c>
      <c r="AV717" s="14">
        <v>397.61059999999998</v>
      </c>
    </row>
    <row r="718" spans="26:48">
      <c r="Z718" s="3"/>
      <c r="AC718"/>
      <c r="AE718" s="3"/>
      <c r="AH718" t="s">
        <v>2022</v>
      </c>
      <c r="AI718" t="s">
        <v>68</v>
      </c>
      <c r="AJ718" t="s">
        <v>98</v>
      </c>
      <c r="AK718" s="3" t="s">
        <v>27</v>
      </c>
      <c r="AL718" s="3">
        <v>-55.281258293100002</v>
      </c>
      <c r="AN718" t="s">
        <v>2231</v>
      </c>
      <c r="AO718" t="s">
        <v>88</v>
      </c>
      <c r="AP718" t="s">
        <v>86</v>
      </c>
      <c r="AQ718" s="3">
        <v>8797.6106</v>
      </c>
      <c r="AS718" t="s">
        <v>1850</v>
      </c>
      <c r="AT718" t="s">
        <v>88</v>
      </c>
      <c r="AU718" t="s">
        <v>111</v>
      </c>
      <c r="AV718" s="14">
        <v>13800</v>
      </c>
    </row>
    <row r="719" spans="26:48">
      <c r="Z719" s="3"/>
      <c r="AC719"/>
      <c r="AE719" s="3"/>
      <c r="AH719" t="s">
        <v>2022</v>
      </c>
      <c r="AI719" t="s">
        <v>68</v>
      </c>
      <c r="AJ719" t="s">
        <v>66</v>
      </c>
      <c r="AK719" s="3" t="s">
        <v>114</v>
      </c>
      <c r="AL719" s="3">
        <v>2685</v>
      </c>
      <c r="AN719" t="s">
        <v>2231</v>
      </c>
      <c r="AO719" t="s">
        <v>88</v>
      </c>
      <c r="AP719" t="s">
        <v>90</v>
      </c>
      <c r="AQ719" s="3">
        <v>20820</v>
      </c>
      <c r="AS719" t="s">
        <v>1850</v>
      </c>
      <c r="AT719" t="s">
        <v>88</v>
      </c>
      <c r="AU719" t="s">
        <v>268</v>
      </c>
      <c r="AV719" s="14">
        <v>0</v>
      </c>
    </row>
    <row r="720" spans="26:48">
      <c r="Z720" s="3"/>
      <c r="AC720"/>
      <c r="AE720" s="3"/>
      <c r="AH720" t="s">
        <v>2022</v>
      </c>
      <c r="AI720" t="s">
        <v>68</v>
      </c>
      <c r="AJ720" t="s">
        <v>98</v>
      </c>
      <c r="AK720" s="3" t="s">
        <v>114</v>
      </c>
      <c r="AL720" s="3">
        <v>-87.311823203700001</v>
      </c>
      <c r="AN720" t="s">
        <v>2232</v>
      </c>
      <c r="AO720" t="s">
        <v>88</v>
      </c>
      <c r="AP720" t="s">
        <v>86</v>
      </c>
      <c r="AQ720" s="3">
        <v>8797.6106</v>
      </c>
      <c r="AS720" t="s">
        <v>1850</v>
      </c>
      <c r="AT720" t="s">
        <v>88</v>
      </c>
      <c r="AU720" t="s">
        <v>269</v>
      </c>
      <c r="AV720" s="14">
        <v>0</v>
      </c>
    </row>
    <row r="721" spans="26:48">
      <c r="Z721" s="3"/>
      <c r="AC721"/>
      <c r="AE721" s="3"/>
      <c r="AH721" t="s">
        <v>2022</v>
      </c>
      <c r="AI721" t="s">
        <v>68</v>
      </c>
      <c r="AJ721" t="s">
        <v>66</v>
      </c>
      <c r="AK721" s="3" t="s">
        <v>115</v>
      </c>
      <c r="AL721" s="3">
        <v>895</v>
      </c>
      <c r="AN721" t="s">
        <v>2232</v>
      </c>
      <c r="AO721" t="s">
        <v>88</v>
      </c>
      <c r="AP721" t="s">
        <v>90</v>
      </c>
      <c r="AQ721" s="3">
        <v>23770</v>
      </c>
      <c r="AS721" t="s">
        <v>1850</v>
      </c>
      <c r="AT721" t="s">
        <v>88</v>
      </c>
      <c r="AU721" t="s">
        <v>270</v>
      </c>
      <c r="AV721" s="14">
        <v>0</v>
      </c>
    </row>
    <row r="722" spans="26:48">
      <c r="Z722" s="3"/>
      <c r="AC722"/>
      <c r="AE722" s="3"/>
      <c r="AH722" t="s">
        <v>2022</v>
      </c>
      <c r="AI722" t="s">
        <v>68</v>
      </c>
      <c r="AJ722" t="s">
        <v>98</v>
      </c>
      <c r="AK722" s="3" t="s">
        <v>115</v>
      </c>
      <c r="AL722" s="3">
        <v>-32.030564910599999</v>
      </c>
      <c r="AN722" t="s">
        <v>2233</v>
      </c>
      <c r="AO722" t="s">
        <v>88</v>
      </c>
      <c r="AP722" t="s">
        <v>86</v>
      </c>
      <c r="AQ722" s="3">
        <v>8797.6106</v>
      </c>
      <c r="AS722" t="s">
        <v>1850</v>
      </c>
      <c r="AT722" t="s">
        <v>88</v>
      </c>
      <c r="AU722" t="s">
        <v>271</v>
      </c>
      <c r="AV722" s="14">
        <v>6340</v>
      </c>
    </row>
    <row r="723" spans="26:48">
      <c r="Z723" s="3"/>
      <c r="AC723"/>
      <c r="AE723" s="3"/>
      <c r="AH723" t="s">
        <v>2022</v>
      </c>
      <c r="AI723" t="s">
        <v>800</v>
      </c>
      <c r="AJ723" t="s">
        <v>31</v>
      </c>
      <c r="AK723" s="3" t="s">
        <v>27</v>
      </c>
      <c r="AL723" s="3">
        <v>3.9232721938999999</v>
      </c>
      <c r="AN723" t="s">
        <v>2233</v>
      </c>
      <c r="AO723" t="s">
        <v>88</v>
      </c>
      <c r="AP723" t="s">
        <v>90</v>
      </c>
      <c r="AQ723" s="3">
        <v>24270</v>
      </c>
      <c r="AS723" t="s">
        <v>1850</v>
      </c>
      <c r="AT723" t="s">
        <v>196</v>
      </c>
      <c r="AU723" t="s">
        <v>198</v>
      </c>
      <c r="AV723" s="14">
        <v>6.17410541878077</v>
      </c>
    </row>
    <row r="724" spans="26:48">
      <c r="Z724" s="3"/>
      <c r="AC724"/>
      <c r="AE724" s="3"/>
      <c r="AH724" t="s">
        <v>2018</v>
      </c>
      <c r="AI724" t="s">
        <v>800</v>
      </c>
      <c r="AJ724" t="s">
        <v>31</v>
      </c>
      <c r="AK724" s="3" t="s">
        <v>27</v>
      </c>
      <c r="AL724" s="3">
        <v>3.9070584357999998</v>
      </c>
      <c r="AN724" t="s">
        <v>2234</v>
      </c>
      <c r="AO724" t="s">
        <v>88</v>
      </c>
      <c r="AP724" t="s">
        <v>86</v>
      </c>
      <c r="AQ724" s="3">
        <v>8797.6106</v>
      </c>
      <c r="AS724" t="s">
        <v>1851</v>
      </c>
      <c r="AT724" t="s">
        <v>196</v>
      </c>
      <c r="AU724" t="s">
        <v>197</v>
      </c>
      <c r="AV724" s="14">
        <v>7.2437978208016203</v>
      </c>
    </row>
    <row r="725" spans="26:48">
      <c r="Z725" s="3"/>
      <c r="AC725"/>
      <c r="AE725" s="3"/>
      <c r="AH725" t="s">
        <v>2018</v>
      </c>
      <c r="AI725" t="s">
        <v>65</v>
      </c>
      <c r="AJ725" t="s">
        <v>66</v>
      </c>
      <c r="AK725" s="3" t="s">
        <v>27</v>
      </c>
      <c r="AL725" s="3">
        <v>40618.699999999997</v>
      </c>
      <c r="AN725" t="s">
        <v>2234</v>
      </c>
      <c r="AO725" t="s">
        <v>88</v>
      </c>
      <c r="AP725" t="s">
        <v>90</v>
      </c>
      <c r="AQ725" s="3">
        <v>24270</v>
      </c>
      <c r="AS725" t="s">
        <v>1851</v>
      </c>
      <c r="AT725" t="s">
        <v>196</v>
      </c>
      <c r="AU725" t="s">
        <v>109</v>
      </c>
      <c r="AV725" s="14">
        <v>5.2668323422116501</v>
      </c>
    </row>
    <row r="726" spans="26:48">
      <c r="Z726" s="3"/>
      <c r="AC726"/>
      <c r="AE726" s="3"/>
      <c r="AH726" t="s">
        <v>2018</v>
      </c>
      <c r="AI726" t="s">
        <v>65</v>
      </c>
      <c r="AJ726" t="s">
        <v>72</v>
      </c>
      <c r="AK726" s="3" t="s">
        <v>27</v>
      </c>
      <c r="AL726" s="3">
        <v>41100.758169000001</v>
      </c>
      <c r="AN726" t="s">
        <v>2235</v>
      </c>
      <c r="AO726" t="s">
        <v>88</v>
      </c>
      <c r="AP726" t="s">
        <v>86</v>
      </c>
      <c r="AQ726" s="3">
        <v>8797.6106</v>
      </c>
      <c r="AS726" t="s">
        <v>1851</v>
      </c>
      <c r="AT726" t="s">
        <v>196</v>
      </c>
      <c r="AU726" t="s">
        <v>198</v>
      </c>
      <c r="AV726" s="14">
        <v>5.9787239736731603</v>
      </c>
    </row>
    <row r="727" spans="26:48">
      <c r="Z727" s="3"/>
      <c r="AC727"/>
      <c r="AE727" s="3"/>
      <c r="AH727" t="s">
        <v>2018</v>
      </c>
      <c r="AI727" t="s">
        <v>65</v>
      </c>
      <c r="AJ727" t="s">
        <v>113</v>
      </c>
      <c r="AK727" s="3" t="s">
        <v>27</v>
      </c>
      <c r="AL727" s="3">
        <v>2616.0498928215002</v>
      </c>
      <c r="AN727" t="s">
        <v>2235</v>
      </c>
      <c r="AO727" t="s">
        <v>88</v>
      </c>
      <c r="AP727" t="s">
        <v>90</v>
      </c>
      <c r="AQ727" s="3">
        <v>24770</v>
      </c>
      <c r="AS727" t="s">
        <v>1851</v>
      </c>
      <c r="AT727" t="s">
        <v>88</v>
      </c>
      <c r="AU727" t="s">
        <v>109</v>
      </c>
      <c r="AV727" s="14">
        <v>21730</v>
      </c>
    </row>
    <row r="728" spans="26:48">
      <c r="Z728" s="3"/>
      <c r="AC728"/>
      <c r="AE728" s="3"/>
      <c r="AH728" t="s">
        <v>2018</v>
      </c>
      <c r="AI728" t="s">
        <v>65</v>
      </c>
      <c r="AJ728" t="s">
        <v>108</v>
      </c>
      <c r="AK728" s="3" t="s">
        <v>27</v>
      </c>
      <c r="AL728" s="3">
        <v>-2133.9917238214998</v>
      </c>
      <c r="AN728" t="s">
        <v>2236</v>
      </c>
      <c r="AO728" t="s">
        <v>88</v>
      </c>
      <c r="AP728" t="s">
        <v>86</v>
      </c>
      <c r="AQ728" s="3">
        <v>8797.6106</v>
      </c>
      <c r="AS728" t="s">
        <v>1851</v>
      </c>
      <c r="AT728" t="s">
        <v>88</v>
      </c>
      <c r="AU728" t="s">
        <v>110</v>
      </c>
      <c r="AV728" s="14">
        <v>397.61059999999998</v>
      </c>
    </row>
    <row r="729" spans="26:48">
      <c r="Z729" s="3"/>
      <c r="AC729"/>
      <c r="AE729" s="3"/>
      <c r="AH729" t="s">
        <v>2018</v>
      </c>
      <c r="AI729" t="s">
        <v>65</v>
      </c>
      <c r="AJ729" t="s">
        <v>98</v>
      </c>
      <c r="AK729" s="3" t="s">
        <v>27</v>
      </c>
      <c r="AL729" s="3">
        <v>-1648.7717238215</v>
      </c>
      <c r="AN729" t="s">
        <v>2236</v>
      </c>
      <c r="AO729" t="s">
        <v>88</v>
      </c>
      <c r="AP729" t="s">
        <v>90</v>
      </c>
      <c r="AQ729" s="3">
        <v>25746.383900000001</v>
      </c>
      <c r="AS729" t="s">
        <v>1851</v>
      </c>
      <c r="AT729" t="s">
        <v>88</v>
      </c>
      <c r="AU729" t="s">
        <v>111</v>
      </c>
      <c r="AV729" s="14">
        <v>13800</v>
      </c>
    </row>
    <row r="730" spans="26:48">
      <c r="Z730" s="3"/>
      <c r="AC730"/>
      <c r="AE730" s="3"/>
      <c r="AH730" t="s">
        <v>2018</v>
      </c>
      <c r="AI730" t="s">
        <v>67</v>
      </c>
      <c r="AJ730" t="s">
        <v>66</v>
      </c>
      <c r="AK730" s="3" t="s">
        <v>27</v>
      </c>
      <c r="AL730" s="3">
        <v>-24505.7</v>
      </c>
      <c r="AN730" t="s">
        <v>2237</v>
      </c>
      <c r="AO730" t="s">
        <v>88</v>
      </c>
      <c r="AP730" t="s">
        <v>86</v>
      </c>
      <c r="AQ730" s="3">
        <v>8797.6106</v>
      </c>
      <c r="AS730" t="s">
        <v>1851</v>
      </c>
      <c r="AT730" t="s">
        <v>88</v>
      </c>
      <c r="AU730" t="s">
        <v>268</v>
      </c>
      <c r="AV730" s="14">
        <v>0</v>
      </c>
    </row>
    <row r="731" spans="26:48">
      <c r="Z731" s="3"/>
      <c r="AC731"/>
      <c r="AE731" s="3"/>
      <c r="AH731" t="s">
        <v>2018</v>
      </c>
      <c r="AI731" t="s">
        <v>67</v>
      </c>
      <c r="AJ731" t="s">
        <v>72</v>
      </c>
      <c r="AK731" s="3" t="s">
        <v>27</v>
      </c>
      <c r="AL731" s="3">
        <v>-26770.684269000001</v>
      </c>
      <c r="AN731" t="s">
        <v>2237</v>
      </c>
      <c r="AO731" t="s">
        <v>88</v>
      </c>
      <c r="AP731" t="s">
        <v>90</v>
      </c>
      <c r="AQ731" s="3">
        <v>25796.383900000001</v>
      </c>
      <c r="AS731" t="s">
        <v>1851</v>
      </c>
      <c r="AT731" t="s">
        <v>88</v>
      </c>
      <c r="AU731" t="s">
        <v>269</v>
      </c>
      <c r="AV731" s="14">
        <v>0</v>
      </c>
    </row>
    <row r="732" spans="26:48">
      <c r="Z732" s="3"/>
      <c r="AC732"/>
      <c r="AE732" s="3"/>
      <c r="AH732" t="s">
        <v>2018</v>
      </c>
      <c r="AI732" t="s">
        <v>67</v>
      </c>
      <c r="AJ732" t="s">
        <v>113</v>
      </c>
      <c r="AK732" s="3" t="s">
        <v>27</v>
      </c>
      <c r="AL732" s="3">
        <v>-2742.0215326599</v>
      </c>
      <c r="AN732" t="s">
        <v>2238</v>
      </c>
      <c r="AO732" t="s">
        <v>88</v>
      </c>
      <c r="AP732" t="s">
        <v>86</v>
      </c>
      <c r="AQ732" s="3">
        <v>8797.6106</v>
      </c>
      <c r="AS732" t="s">
        <v>1851</v>
      </c>
      <c r="AT732" t="s">
        <v>88</v>
      </c>
      <c r="AU732" t="s">
        <v>270</v>
      </c>
      <c r="AV732" s="14">
        <v>0</v>
      </c>
    </row>
    <row r="733" spans="26:48">
      <c r="Z733" s="3"/>
      <c r="AC733"/>
      <c r="AE733" s="3"/>
      <c r="AH733" t="s">
        <v>2018</v>
      </c>
      <c r="AI733" t="s">
        <v>67</v>
      </c>
      <c r="AJ733" t="s">
        <v>108</v>
      </c>
      <c r="AK733" s="3" t="s">
        <v>27</v>
      </c>
      <c r="AL733" s="3">
        <v>477.03726365990002</v>
      </c>
      <c r="AN733" t="s">
        <v>2238</v>
      </c>
      <c r="AO733" t="s">
        <v>88</v>
      </c>
      <c r="AP733" t="s">
        <v>90</v>
      </c>
      <c r="AQ733" s="3">
        <v>24796.383900000001</v>
      </c>
      <c r="AS733" t="s">
        <v>1851</v>
      </c>
      <c r="AT733" t="s">
        <v>88</v>
      </c>
      <c r="AU733" t="s">
        <v>271</v>
      </c>
      <c r="AV733" s="14">
        <v>7470</v>
      </c>
    </row>
    <row r="734" spans="26:48">
      <c r="Z734" s="3"/>
      <c r="AC734"/>
      <c r="AE734" s="3"/>
      <c r="AH734" t="s">
        <v>2018</v>
      </c>
      <c r="AI734" t="s">
        <v>67</v>
      </c>
      <c r="AJ734" t="s">
        <v>98</v>
      </c>
      <c r="AK734" s="3" t="s">
        <v>27</v>
      </c>
      <c r="AL734" s="3">
        <v>186.63801639959999</v>
      </c>
      <c r="AN734" t="s">
        <v>2239</v>
      </c>
      <c r="AO734" t="s">
        <v>88</v>
      </c>
      <c r="AP734" t="s">
        <v>86</v>
      </c>
      <c r="AQ734" s="3">
        <v>8797.6106</v>
      </c>
      <c r="AS734" t="s">
        <v>1851</v>
      </c>
      <c r="AT734" t="s">
        <v>88</v>
      </c>
      <c r="AU734" t="s">
        <v>272</v>
      </c>
      <c r="AV734" s="14">
        <v>0</v>
      </c>
    </row>
    <row r="735" spans="26:48">
      <c r="Z735" s="3"/>
      <c r="AC735"/>
      <c r="AE735" s="3"/>
      <c r="AH735" t="s">
        <v>2018</v>
      </c>
      <c r="AI735" t="s">
        <v>67</v>
      </c>
      <c r="AJ735" t="s">
        <v>66</v>
      </c>
      <c r="AK735" s="3" t="s">
        <v>114</v>
      </c>
      <c r="AL735" s="3">
        <v>1530</v>
      </c>
      <c r="AN735" t="s">
        <v>2239</v>
      </c>
      <c r="AO735" t="s">
        <v>88</v>
      </c>
      <c r="AP735" t="s">
        <v>90</v>
      </c>
      <c r="AQ735" s="3">
        <v>24796.383900000001</v>
      </c>
      <c r="AS735" t="s">
        <v>1851</v>
      </c>
      <c r="AT735" t="s">
        <v>88</v>
      </c>
      <c r="AU735" t="s">
        <v>273</v>
      </c>
      <c r="AV735" s="14">
        <v>0</v>
      </c>
    </row>
    <row r="736" spans="26:48">
      <c r="Z736" s="3"/>
      <c r="AC736"/>
      <c r="AE736" s="3"/>
      <c r="AH736" t="s">
        <v>2018</v>
      </c>
      <c r="AI736" t="s">
        <v>67</v>
      </c>
      <c r="AJ736" t="s">
        <v>98</v>
      </c>
      <c r="AK736" s="3" t="s">
        <v>114</v>
      </c>
      <c r="AL736" s="3">
        <v>4.3873527396999998</v>
      </c>
      <c r="AN736" t="s">
        <v>2240</v>
      </c>
      <c r="AO736" t="s">
        <v>88</v>
      </c>
      <c r="AP736" t="s">
        <v>86</v>
      </c>
      <c r="AQ736" s="3">
        <v>8797.6106</v>
      </c>
      <c r="AS736" t="s">
        <v>1852</v>
      </c>
      <c r="AT736" t="s">
        <v>88</v>
      </c>
      <c r="AU736" t="s">
        <v>109</v>
      </c>
      <c r="AV736" s="14">
        <v>21530</v>
      </c>
    </row>
    <row r="737" spans="26:48">
      <c r="Z737" s="3"/>
      <c r="AC737"/>
      <c r="AE737" s="3"/>
      <c r="AH737" t="s">
        <v>2018</v>
      </c>
      <c r="AI737" t="s">
        <v>67</v>
      </c>
      <c r="AJ737" t="s">
        <v>66</v>
      </c>
      <c r="AK737" s="3" t="s">
        <v>115</v>
      </c>
      <c r="AL737" s="3">
        <v>26035.7</v>
      </c>
      <c r="AN737" t="s">
        <v>2240</v>
      </c>
      <c r="AO737" t="s">
        <v>88</v>
      </c>
      <c r="AP737" t="s">
        <v>90</v>
      </c>
      <c r="AQ737" s="3">
        <v>24796.383900000001</v>
      </c>
      <c r="AS737" t="s">
        <v>1852</v>
      </c>
      <c r="AT737" t="s">
        <v>88</v>
      </c>
      <c r="AU737" t="s">
        <v>110</v>
      </c>
      <c r="AV737" s="14">
        <v>397.61059999999998</v>
      </c>
    </row>
    <row r="738" spans="26:48">
      <c r="Z738" s="3"/>
      <c r="AC738"/>
      <c r="AE738" s="3"/>
      <c r="AH738" t="s">
        <v>2018</v>
      </c>
      <c r="AI738" t="s">
        <v>67</v>
      </c>
      <c r="AJ738" t="s">
        <v>98</v>
      </c>
      <c r="AK738" s="3" t="s">
        <v>115</v>
      </c>
      <c r="AL738" s="3">
        <v>-182.2506636599</v>
      </c>
      <c r="AN738" t="s">
        <v>2241</v>
      </c>
      <c r="AO738" t="s">
        <v>88</v>
      </c>
      <c r="AP738" t="s">
        <v>86</v>
      </c>
      <c r="AQ738" s="3">
        <v>8797.6106</v>
      </c>
      <c r="AS738" t="s">
        <v>1852</v>
      </c>
      <c r="AT738" t="s">
        <v>88</v>
      </c>
      <c r="AU738" t="s">
        <v>111</v>
      </c>
      <c r="AV738" s="14">
        <v>10800</v>
      </c>
    </row>
    <row r="739" spans="26:48">
      <c r="Z739" s="3"/>
      <c r="AC739"/>
      <c r="AE739" s="3"/>
      <c r="AH739" t="s">
        <v>2018</v>
      </c>
      <c r="AI739" t="s">
        <v>68</v>
      </c>
      <c r="AJ739" t="s">
        <v>66</v>
      </c>
      <c r="AK739" s="3" t="s">
        <v>27</v>
      </c>
      <c r="AL739" s="3">
        <v>1400</v>
      </c>
      <c r="AN739" t="s">
        <v>2241</v>
      </c>
      <c r="AO739" t="s">
        <v>88</v>
      </c>
      <c r="AP739" t="s">
        <v>90</v>
      </c>
      <c r="AQ739" s="3">
        <v>24796.383900000001</v>
      </c>
      <c r="AS739" t="s">
        <v>1852</v>
      </c>
      <c r="AT739" t="s">
        <v>88</v>
      </c>
      <c r="AU739" t="s">
        <v>268</v>
      </c>
      <c r="AV739" s="14">
        <v>0</v>
      </c>
    </row>
    <row r="740" spans="26:48">
      <c r="Z740" s="3"/>
      <c r="AC740"/>
      <c r="AE740" s="3"/>
      <c r="AH740" t="s">
        <v>2018</v>
      </c>
      <c r="AI740" t="s">
        <v>68</v>
      </c>
      <c r="AJ740" t="s">
        <v>72</v>
      </c>
      <c r="AK740" s="3" t="s">
        <v>27</v>
      </c>
      <c r="AL740" s="3">
        <v>1289.5609999999999</v>
      </c>
      <c r="AN740" t="s">
        <v>2242</v>
      </c>
      <c r="AO740" t="s">
        <v>88</v>
      </c>
      <c r="AP740" t="s">
        <v>86</v>
      </c>
      <c r="AQ740" s="3">
        <v>8797.6106</v>
      </c>
      <c r="AS740" t="s">
        <v>1852</v>
      </c>
      <c r="AT740" t="s">
        <v>88</v>
      </c>
      <c r="AU740" t="s">
        <v>269</v>
      </c>
      <c r="AV740" s="14">
        <v>0</v>
      </c>
    </row>
    <row r="741" spans="26:48">
      <c r="Z741" s="3"/>
      <c r="AC741"/>
      <c r="AE741" s="3"/>
      <c r="AH741" t="s">
        <v>2018</v>
      </c>
      <c r="AI741" t="s">
        <v>68</v>
      </c>
      <c r="AJ741" t="s">
        <v>113</v>
      </c>
      <c r="AK741" s="3" t="s">
        <v>27</v>
      </c>
      <c r="AL741" s="3">
        <v>41.145121504599999</v>
      </c>
      <c r="AN741" t="s">
        <v>2242</v>
      </c>
      <c r="AO741" t="s">
        <v>88</v>
      </c>
      <c r="AP741" t="s">
        <v>90</v>
      </c>
      <c r="AQ741" s="3">
        <v>24796.383900000001</v>
      </c>
      <c r="AS741" t="s">
        <v>1852</v>
      </c>
      <c r="AT741" t="s">
        <v>88</v>
      </c>
      <c r="AU741" t="s">
        <v>270</v>
      </c>
      <c r="AV741" s="14">
        <v>0</v>
      </c>
    </row>
    <row r="742" spans="26:48">
      <c r="Z742" s="3"/>
      <c r="AC742"/>
      <c r="AE742" s="3"/>
      <c r="AH742" t="s">
        <v>2018</v>
      </c>
      <c r="AI742" t="s">
        <v>68</v>
      </c>
      <c r="AJ742" t="s">
        <v>108</v>
      </c>
      <c r="AK742" s="3" t="s">
        <v>27</v>
      </c>
      <c r="AL742" s="3">
        <v>-151.58412150460001</v>
      </c>
      <c r="AN742" t="s">
        <v>2243</v>
      </c>
      <c r="AO742" t="s">
        <v>88</v>
      </c>
      <c r="AP742" t="s">
        <v>86</v>
      </c>
      <c r="AQ742" s="3">
        <v>8797.6106</v>
      </c>
      <c r="AS742" t="s">
        <v>1852</v>
      </c>
      <c r="AT742" t="s">
        <v>88</v>
      </c>
      <c r="AU742" t="s">
        <v>271</v>
      </c>
      <c r="AV742" s="14">
        <v>7170</v>
      </c>
    </row>
    <row r="743" spans="26:48">
      <c r="Z743" s="3"/>
      <c r="AC743"/>
      <c r="AE743" s="3"/>
      <c r="AH743" t="s">
        <v>2018</v>
      </c>
      <c r="AI743" t="s">
        <v>68</v>
      </c>
      <c r="AJ743" t="s">
        <v>98</v>
      </c>
      <c r="AK743" s="3" t="s">
        <v>27</v>
      </c>
      <c r="AL743" s="3">
        <v>-39.397234107400003</v>
      </c>
      <c r="AN743" t="s">
        <v>2243</v>
      </c>
      <c r="AO743" t="s">
        <v>88</v>
      </c>
      <c r="AP743" t="s">
        <v>90</v>
      </c>
      <c r="AQ743" s="3">
        <v>24796.383900000001</v>
      </c>
      <c r="AS743" t="s">
        <v>1852</v>
      </c>
      <c r="AT743" t="s">
        <v>88</v>
      </c>
      <c r="AU743" t="s">
        <v>272</v>
      </c>
      <c r="AV743" s="14">
        <v>0</v>
      </c>
    </row>
    <row r="744" spans="26:48">
      <c r="Z744" s="3"/>
      <c r="AC744"/>
      <c r="AE744" s="3"/>
      <c r="AH744" t="s">
        <v>2018</v>
      </c>
      <c r="AI744" t="s">
        <v>68</v>
      </c>
      <c r="AJ744" t="s">
        <v>66</v>
      </c>
      <c r="AK744" s="3" t="s">
        <v>114</v>
      </c>
      <c r="AL744" s="3">
        <v>2124</v>
      </c>
      <c r="AN744" t="s">
        <v>2244</v>
      </c>
      <c r="AO744" t="s">
        <v>88</v>
      </c>
      <c r="AP744" t="s">
        <v>86</v>
      </c>
      <c r="AQ744" s="3">
        <v>8797.6106</v>
      </c>
      <c r="AS744" t="s">
        <v>1852</v>
      </c>
      <c r="AT744" t="s">
        <v>88</v>
      </c>
      <c r="AU744" t="s">
        <v>273</v>
      </c>
      <c r="AV744" s="14">
        <v>0</v>
      </c>
    </row>
    <row r="745" spans="26:48">
      <c r="Z745" s="3"/>
      <c r="AC745"/>
      <c r="AE745" s="3"/>
      <c r="AH745" t="s">
        <v>2018</v>
      </c>
      <c r="AI745" t="s">
        <v>68</v>
      </c>
      <c r="AJ745" t="s">
        <v>98</v>
      </c>
      <c r="AK745" s="3" t="s">
        <v>114</v>
      </c>
      <c r="AL745" s="3">
        <v>-74.046892602699998</v>
      </c>
      <c r="AN745" t="s">
        <v>2244</v>
      </c>
      <c r="AO745" t="s">
        <v>88</v>
      </c>
      <c r="AP745" t="s">
        <v>90</v>
      </c>
      <c r="AQ745" s="3">
        <v>24796.383900000001</v>
      </c>
      <c r="AS745" t="s">
        <v>1852</v>
      </c>
      <c r="AT745" t="s">
        <v>196</v>
      </c>
      <c r="AU745" t="s">
        <v>197</v>
      </c>
      <c r="AV745" s="14">
        <v>7.2437978208016203</v>
      </c>
    </row>
    <row r="746" spans="26:48">
      <c r="Z746" s="3"/>
      <c r="AC746"/>
      <c r="AE746" s="3"/>
      <c r="AH746" t="s">
        <v>2018</v>
      </c>
      <c r="AI746" t="s">
        <v>68</v>
      </c>
      <c r="AJ746" t="s">
        <v>66</v>
      </c>
      <c r="AK746" s="3" t="s">
        <v>115</v>
      </c>
      <c r="AL746" s="3">
        <v>724</v>
      </c>
      <c r="AN746" t="s">
        <v>2245</v>
      </c>
      <c r="AO746" t="s">
        <v>88</v>
      </c>
      <c r="AP746" t="s">
        <v>86</v>
      </c>
      <c r="AQ746" s="3">
        <v>8797.6106</v>
      </c>
      <c r="AS746" t="s">
        <v>1852</v>
      </c>
      <c r="AT746" t="s">
        <v>196</v>
      </c>
      <c r="AU746" t="s">
        <v>109</v>
      </c>
      <c r="AV746" s="14">
        <v>5.1285098799041204</v>
      </c>
    </row>
    <row r="747" spans="26:48">
      <c r="Z747" s="3"/>
      <c r="AC747"/>
      <c r="AE747" s="3"/>
      <c r="AH747" t="s">
        <v>2018</v>
      </c>
      <c r="AI747" t="s">
        <v>68</v>
      </c>
      <c r="AJ747" t="s">
        <v>98</v>
      </c>
      <c r="AK747" s="3" t="s">
        <v>115</v>
      </c>
      <c r="AL747" s="3">
        <v>-34.649658495399997</v>
      </c>
      <c r="AN747" t="s">
        <v>2245</v>
      </c>
      <c r="AO747" t="s">
        <v>88</v>
      </c>
      <c r="AP747" t="s">
        <v>90</v>
      </c>
      <c r="AQ747" s="3">
        <v>24796.383900000001</v>
      </c>
      <c r="AS747" t="s">
        <v>1852</v>
      </c>
      <c r="AT747" t="s">
        <v>196</v>
      </c>
      <c r="AU747" t="s">
        <v>198</v>
      </c>
      <c r="AV747" s="14">
        <v>5.8940939680600897</v>
      </c>
    </row>
    <row r="748" spans="26:48">
      <c r="Z748" s="3"/>
      <c r="AC748"/>
      <c r="AE748" s="3"/>
      <c r="AH748" t="s">
        <v>2016</v>
      </c>
      <c r="AI748" t="s">
        <v>800</v>
      </c>
      <c r="AJ748" t="s">
        <v>31</v>
      </c>
      <c r="AK748" s="3" t="s">
        <v>27</v>
      </c>
      <c r="AL748" s="3">
        <v>3.8733625213999998</v>
      </c>
      <c r="AN748" t="s">
        <v>2246</v>
      </c>
      <c r="AO748" t="s">
        <v>88</v>
      </c>
      <c r="AP748" t="s">
        <v>86</v>
      </c>
      <c r="AQ748" s="3">
        <v>8900</v>
      </c>
      <c r="AS748" t="s">
        <v>1853</v>
      </c>
      <c r="AT748" t="s">
        <v>88</v>
      </c>
      <c r="AU748" t="s">
        <v>109</v>
      </c>
      <c r="AV748" s="14">
        <v>21030</v>
      </c>
    </row>
    <row r="749" spans="26:48">
      <c r="Z749" s="3"/>
      <c r="AC749"/>
      <c r="AE749" s="3"/>
      <c r="AH749" t="s">
        <v>2016</v>
      </c>
      <c r="AI749" t="s">
        <v>65</v>
      </c>
      <c r="AJ749" t="s">
        <v>66</v>
      </c>
      <c r="AK749" s="3" t="s">
        <v>27</v>
      </c>
      <c r="AL749" s="3">
        <v>40668.699999999997</v>
      </c>
      <c r="AN749" t="s">
        <v>2246</v>
      </c>
      <c r="AO749" t="s">
        <v>88</v>
      </c>
      <c r="AP749" t="s">
        <v>90</v>
      </c>
      <c r="AQ749" s="3">
        <v>24796.383900000001</v>
      </c>
      <c r="AS749" t="s">
        <v>1853</v>
      </c>
      <c r="AT749" t="s">
        <v>88</v>
      </c>
      <c r="AU749" t="s">
        <v>110</v>
      </c>
      <c r="AV749" s="14">
        <v>397.61059999999998</v>
      </c>
    </row>
    <row r="750" spans="26:48">
      <c r="Z750" s="3"/>
      <c r="AC750"/>
      <c r="AE750" s="3"/>
      <c r="AH750" t="s">
        <v>2016</v>
      </c>
      <c r="AI750" t="s">
        <v>65</v>
      </c>
      <c r="AJ750" t="s">
        <v>72</v>
      </c>
      <c r="AK750" s="3" t="s">
        <v>27</v>
      </c>
      <c r="AL750" s="3">
        <v>42251.479148999999</v>
      </c>
      <c r="AN750" t="s">
        <v>2247</v>
      </c>
      <c r="AO750" t="s">
        <v>88</v>
      </c>
      <c r="AP750" t="s">
        <v>86</v>
      </c>
      <c r="AQ750" s="3">
        <v>8900</v>
      </c>
      <c r="AS750" t="s">
        <v>1853</v>
      </c>
      <c r="AT750" t="s">
        <v>88</v>
      </c>
      <c r="AU750" t="s">
        <v>111</v>
      </c>
      <c r="AV750" s="14">
        <v>13800</v>
      </c>
    </row>
    <row r="751" spans="26:48">
      <c r="Z751" s="3"/>
      <c r="AC751"/>
      <c r="AE751" s="3"/>
      <c r="AH751" t="s">
        <v>2016</v>
      </c>
      <c r="AI751" t="s">
        <v>65</v>
      </c>
      <c r="AJ751" t="s">
        <v>113</v>
      </c>
      <c r="AK751" s="3" t="s">
        <v>27</v>
      </c>
      <c r="AL751" s="3">
        <v>2604.6101385153002</v>
      </c>
      <c r="AN751" t="s">
        <v>2247</v>
      </c>
      <c r="AO751" t="s">
        <v>88</v>
      </c>
      <c r="AP751" t="s">
        <v>90</v>
      </c>
      <c r="AQ751" s="3">
        <v>24796.383900000001</v>
      </c>
      <c r="AS751" t="s">
        <v>1853</v>
      </c>
      <c r="AT751" t="s">
        <v>88</v>
      </c>
      <c r="AU751" t="s">
        <v>268</v>
      </c>
      <c r="AV751" s="14">
        <v>0</v>
      </c>
    </row>
    <row r="752" spans="26:48">
      <c r="Z752" s="3"/>
      <c r="AC752"/>
      <c r="AE752" s="3"/>
      <c r="AH752" t="s">
        <v>2016</v>
      </c>
      <c r="AI752" t="s">
        <v>65</v>
      </c>
      <c r="AJ752" t="s">
        <v>108</v>
      </c>
      <c r="AK752" s="3" t="s">
        <v>27</v>
      </c>
      <c r="AL752" s="3">
        <v>-1021.8309895153</v>
      </c>
      <c r="AN752" t="s">
        <v>2249</v>
      </c>
      <c r="AO752" t="s">
        <v>88</v>
      </c>
      <c r="AP752" t="s">
        <v>86</v>
      </c>
      <c r="AQ752" s="3">
        <v>8900</v>
      </c>
      <c r="AS752" t="s">
        <v>1853</v>
      </c>
      <c r="AT752" t="s">
        <v>88</v>
      </c>
      <c r="AU752" t="s">
        <v>269</v>
      </c>
      <c r="AV752" s="14">
        <v>0</v>
      </c>
    </row>
    <row r="753" spans="26:48">
      <c r="Z753" s="3"/>
      <c r="AC753"/>
      <c r="AE753" s="3"/>
      <c r="AH753" t="s">
        <v>2016</v>
      </c>
      <c r="AI753" t="s">
        <v>65</v>
      </c>
      <c r="AJ753" t="s">
        <v>98</v>
      </c>
      <c r="AK753" s="3" t="s">
        <v>27</v>
      </c>
      <c r="AL753" s="3">
        <v>-1770.6219895322999</v>
      </c>
      <c r="AN753" t="s">
        <v>2249</v>
      </c>
      <c r="AO753" t="s">
        <v>88</v>
      </c>
      <c r="AP753" t="s">
        <v>90</v>
      </c>
      <c r="AQ753" s="3">
        <v>24796.383900000001</v>
      </c>
      <c r="AS753" t="s">
        <v>1853</v>
      </c>
      <c r="AT753" t="s">
        <v>88</v>
      </c>
      <c r="AU753" t="s">
        <v>270</v>
      </c>
      <c r="AV753" s="14">
        <v>0</v>
      </c>
    </row>
    <row r="754" spans="26:48">
      <c r="Z754" s="3"/>
      <c r="AC754"/>
      <c r="AE754" s="3"/>
      <c r="AH754" t="s">
        <v>2016</v>
      </c>
      <c r="AI754" t="s">
        <v>67</v>
      </c>
      <c r="AJ754" t="s">
        <v>66</v>
      </c>
      <c r="AK754" s="3" t="s">
        <v>27</v>
      </c>
      <c r="AL754" s="3">
        <v>-22655.7</v>
      </c>
      <c r="AN754" t="s">
        <v>2250</v>
      </c>
      <c r="AO754" t="s">
        <v>88</v>
      </c>
      <c r="AP754" t="s">
        <v>86</v>
      </c>
      <c r="AQ754" s="3">
        <v>8900</v>
      </c>
      <c r="AS754" t="s">
        <v>1853</v>
      </c>
      <c r="AT754" t="s">
        <v>88</v>
      </c>
      <c r="AU754" t="s">
        <v>271</v>
      </c>
      <c r="AV754" s="14">
        <v>8170</v>
      </c>
    </row>
    <row r="755" spans="26:48">
      <c r="Z755" s="3"/>
      <c r="AC755"/>
      <c r="AE755" s="3"/>
      <c r="AH755" t="s">
        <v>2016</v>
      </c>
      <c r="AI755" t="s">
        <v>67</v>
      </c>
      <c r="AJ755" t="s">
        <v>72</v>
      </c>
      <c r="AK755" s="3" t="s">
        <v>27</v>
      </c>
      <c r="AL755" s="3">
        <v>-24365.680038999999</v>
      </c>
      <c r="AN755" t="s">
        <v>2250</v>
      </c>
      <c r="AO755" t="s">
        <v>88</v>
      </c>
      <c r="AP755" t="s">
        <v>90</v>
      </c>
      <c r="AQ755" s="3">
        <v>24796.383900000001</v>
      </c>
      <c r="AS755" t="s">
        <v>1853</v>
      </c>
      <c r="AT755" t="s">
        <v>88</v>
      </c>
      <c r="AU755" t="s">
        <v>272</v>
      </c>
      <c r="AV755" s="14">
        <v>0</v>
      </c>
    </row>
    <row r="756" spans="26:48">
      <c r="Z756" s="3"/>
      <c r="AC756"/>
      <c r="AE756" s="3"/>
      <c r="AH756" t="s">
        <v>2016</v>
      </c>
      <c r="AI756" t="s">
        <v>67</v>
      </c>
      <c r="AJ756" t="s">
        <v>113</v>
      </c>
      <c r="AK756" s="3" t="s">
        <v>27</v>
      </c>
      <c r="AL756" s="3">
        <v>-1903.682326543</v>
      </c>
      <c r="AS756" t="s">
        <v>1853</v>
      </c>
      <c r="AT756" t="s">
        <v>88</v>
      </c>
      <c r="AU756" t="s">
        <v>273</v>
      </c>
      <c r="AV756" s="14">
        <v>0</v>
      </c>
    </row>
    <row r="757" spans="26:48">
      <c r="Z757" s="3"/>
      <c r="AC757"/>
      <c r="AE757" s="3"/>
      <c r="AH757" t="s">
        <v>2016</v>
      </c>
      <c r="AI757" t="s">
        <v>67</v>
      </c>
      <c r="AJ757" t="s">
        <v>108</v>
      </c>
      <c r="AK757" s="3" t="s">
        <v>27</v>
      </c>
      <c r="AL757" s="3">
        <v>193.70228754300001</v>
      </c>
      <c r="AS757" t="s">
        <v>1853</v>
      </c>
      <c r="AT757" t="s">
        <v>196</v>
      </c>
      <c r="AU757" t="s">
        <v>197</v>
      </c>
      <c r="AV757" s="14">
        <v>7.2437978208016203</v>
      </c>
    </row>
    <row r="758" spans="26:48">
      <c r="Z758" s="3"/>
      <c r="AC758"/>
      <c r="AE758" s="3"/>
      <c r="AH758" t="s">
        <v>2016</v>
      </c>
      <c r="AI758" t="s">
        <v>67</v>
      </c>
      <c r="AJ758" t="s">
        <v>98</v>
      </c>
      <c r="AK758" s="3" t="s">
        <v>27</v>
      </c>
      <c r="AL758" s="3">
        <v>131.61485877589999</v>
      </c>
      <c r="AS758" t="s">
        <v>1853</v>
      </c>
      <c r="AT758" t="s">
        <v>196</v>
      </c>
      <c r="AU758" t="s">
        <v>109</v>
      </c>
      <c r="AV758" s="14">
        <v>5.0149250466367699</v>
      </c>
    </row>
    <row r="759" spans="26:48">
      <c r="Z759" s="3"/>
      <c r="AC759"/>
      <c r="AE759" s="3"/>
      <c r="AH759" t="s">
        <v>2016</v>
      </c>
      <c r="AI759" t="s">
        <v>67</v>
      </c>
      <c r="AJ759" t="s">
        <v>66</v>
      </c>
      <c r="AK759" s="3" t="s">
        <v>114</v>
      </c>
      <c r="AL759" s="3">
        <v>230</v>
      </c>
      <c r="AS759" t="s">
        <v>1853</v>
      </c>
      <c r="AT759" t="s">
        <v>196</v>
      </c>
      <c r="AU759" t="s">
        <v>198</v>
      </c>
      <c r="AV759" s="14">
        <v>5.8320337511054703</v>
      </c>
    </row>
    <row r="760" spans="26:48">
      <c r="Z760" s="3"/>
      <c r="AC760"/>
      <c r="AE760" s="3"/>
      <c r="AH760" t="s">
        <v>2016</v>
      </c>
      <c r="AI760" t="s">
        <v>67</v>
      </c>
      <c r="AJ760" t="s">
        <v>98</v>
      </c>
      <c r="AK760" s="3" t="s">
        <v>114</v>
      </c>
      <c r="AL760" s="3">
        <v>-4.4471287670999997</v>
      </c>
      <c r="AS760" t="s">
        <v>1854</v>
      </c>
      <c r="AT760" t="s">
        <v>88</v>
      </c>
      <c r="AU760" t="s">
        <v>109</v>
      </c>
      <c r="AV760" s="14">
        <v>18123</v>
      </c>
    </row>
    <row r="761" spans="26:48">
      <c r="Z761" s="3"/>
      <c r="AC761"/>
      <c r="AE761" s="3"/>
      <c r="AH761" t="s">
        <v>2016</v>
      </c>
      <c r="AI761" t="s">
        <v>67</v>
      </c>
      <c r="AJ761" t="s">
        <v>66</v>
      </c>
      <c r="AK761" s="3" t="s">
        <v>115</v>
      </c>
      <c r="AL761" s="3">
        <v>22885.7</v>
      </c>
      <c r="AS761" t="s">
        <v>1854</v>
      </c>
      <c r="AT761" t="s">
        <v>88</v>
      </c>
      <c r="AU761" t="s">
        <v>110</v>
      </c>
      <c r="AV761" s="14">
        <v>397.61059999999998</v>
      </c>
    </row>
    <row r="762" spans="26:48">
      <c r="Z762" s="3"/>
      <c r="AC762"/>
      <c r="AE762" s="3"/>
      <c r="AH762" t="s">
        <v>2016</v>
      </c>
      <c r="AI762" t="s">
        <v>67</v>
      </c>
      <c r="AJ762" t="s">
        <v>98</v>
      </c>
      <c r="AK762" s="3" t="s">
        <v>115</v>
      </c>
      <c r="AL762" s="3">
        <v>-136.06198754299999</v>
      </c>
      <c r="AS762" t="s">
        <v>1854</v>
      </c>
      <c r="AT762" t="s">
        <v>88</v>
      </c>
      <c r="AU762" t="s">
        <v>111</v>
      </c>
      <c r="AV762" s="14">
        <v>13800</v>
      </c>
    </row>
    <row r="763" spans="26:48">
      <c r="Z763" s="3"/>
      <c r="AC763"/>
      <c r="AE763" s="3"/>
      <c r="AH763" t="s">
        <v>2016</v>
      </c>
      <c r="AI763" t="s">
        <v>68</v>
      </c>
      <c r="AJ763" t="s">
        <v>66</v>
      </c>
      <c r="AK763" s="3" t="s">
        <v>27</v>
      </c>
      <c r="AL763" s="3">
        <v>-500</v>
      </c>
      <c r="AS763" t="s">
        <v>1854</v>
      </c>
      <c r="AT763" t="s">
        <v>88</v>
      </c>
      <c r="AU763" t="s">
        <v>268</v>
      </c>
      <c r="AV763" s="14">
        <v>0</v>
      </c>
    </row>
    <row r="764" spans="26:48">
      <c r="Z764" s="3"/>
      <c r="AC764"/>
      <c r="AE764" s="3"/>
      <c r="AH764" t="s">
        <v>2016</v>
      </c>
      <c r="AI764" t="s">
        <v>68</v>
      </c>
      <c r="AJ764" t="s">
        <v>72</v>
      </c>
      <c r="AK764" s="3" t="s">
        <v>27</v>
      </c>
      <c r="AL764" s="3">
        <v>-1118.9025999999999</v>
      </c>
      <c r="AS764" t="s">
        <v>1854</v>
      </c>
      <c r="AT764" t="s">
        <v>88</v>
      </c>
      <c r="AU764" t="s">
        <v>269</v>
      </c>
      <c r="AV764" s="14">
        <v>0</v>
      </c>
    </row>
    <row r="765" spans="26:48">
      <c r="Z765" s="3"/>
      <c r="AC765"/>
      <c r="AE765" s="3"/>
      <c r="AH765" t="s">
        <v>2016</v>
      </c>
      <c r="AI765" t="s">
        <v>68</v>
      </c>
      <c r="AJ765" t="s">
        <v>113</v>
      </c>
      <c r="AK765" s="3" t="s">
        <v>27</v>
      </c>
      <c r="AL765" s="3">
        <v>-823.78698489459998</v>
      </c>
      <c r="AS765" t="s">
        <v>1854</v>
      </c>
      <c r="AT765" t="s">
        <v>88</v>
      </c>
      <c r="AU765" t="s">
        <v>270</v>
      </c>
      <c r="AV765" s="14">
        <v>0</v>
      </c>
    </row>
    <row r="766" spans="26:48">
      <c r="Z766" s="3"/>
      <c r="AC766"/>
      <c r="AE766" s="3"/>
      <c r="AH766" t="s">
        <v>2016</v>
      </c>
      <c r="AI766" t="s">
        <v>68</v>
      </c>
      <c r="AJ766" t="s">
        <v>108</v>
      </c>
      <c r="AK766" s="3" t="s">
        <v>27</v>
      </c>
      <c r="AL766" s="3">
        <v>204.8843848946</v>
      </c>
      <c r="AS766" t="s">
        <v>1854</v>
      </c>
      <c r="AT766" t="s">
        <v>88</v>
      </c>
      <c r="AU766" t="s">
        <v>271</v>
      </c>
      <c r="AV766" s="14">
        <v>8077</v>
      </c>
    </row>
    <row r="767" spans="26:48">
      <c r="Z767" s="3"/>
      <c r="AC767"/>
      <c r="AE767" s="3"/>
      <c r="AH767" t="s">
        <v>2016</v>
      </c>
      <c r="AI767" t="s">
        <v>68</v>
      </c>
      <c r="AJ767" t="s">
        <v>98</v>
      </c>
      <c r="AK767" s="3" t="s">
        <v>27</v>
      </c>
      <c r="AL767" s="3">
        <v>15.1694855322</v>
      </c>
      <c r="AS767" t="s">
        <v>1854</v>
      </c>
      <c r="AT767" t="s">
        <v>88</v>
      </c>
      <c r="AU767" t="s">
        <v>272</v>
      </c>
      <c r="AV767" s="14">
        <v>0</v>
      </c>
    </row>
    <row r="768" spans="26:48">
      <c r="Z768" s="3"/>
      <c r="AC768"/>
      <c r="AE768" s="3"/>
      <c r="AH768" t="s">
        <v>2016</v>
      </c>
      <c r="AI768" t="s">
        <v>68</v>
      </c>
      <c r="AJ768" t="s">
        <v>66</v>
      </c>
      <c r="AK768" s="3" t="s">
        <v>114</v>
      </c>
      <c r="AL768" s="3">
        <v>3424</v>
      </c>
      <c r="AS768" t="s">
        <v>1854</v>
      </c>
      <c r="AT768" t="s">
        <v>88</v>
      </c>
      <c r="AU768" t="s">
        <v>273</v>
      </c>
      <c r="AV768" s="14">
        <v>0</v>
      </c>
    </row>
    <row r="769" spans="26:48">
      <c r="Z769" s="3"/>
      <c r="AC769"/>
      <c r="AE769" s="3"/>
      <c r="AH769" t="s">
        <v>2016</v>
      </c>
      <c r="AI769" t="s">
        <v>68</v>
      </c>
      <c r="AJ769" t="s">
        <v>98</v>
      </c>
      <c r="AK769" s="3" t="s">
        <v>114</v>
      </c>
      <c r="AL769" s="3">
        <v>-58.643659362400001</v>
      </c>
      <c r="AS769" t="s">
        <v>1854</v>
      </c>
      <c r="AT769" t="s">
        <v>196</v>
      </c>
      <c r="AU769" t="s">
        <v>197</v>
      </c>
      <c r="AV769" s="14">
        <v>7.2437978208016203</v>
      </c>
    </row>
    <row r="770" spans="26:48">
      <c r="Z770" s="3"/>
      <c r="AC770"/>
      <c r="AE770" s="3"/>
      <c r="AH770" t="s">
        <v>2016</v>
      </c>
      <c r="AI770" t="s">
        <v>68</v>
      </c>
      <c r="AJ770" t="s">
        <v>66</v>
      </c>
      <c r="AK770" s="3" t="s">
        <v>115</v>
      </c>
      <c r="AL770" s="3">
        <v>3924</v>
      </c>
      <c r="AS770" t="s">
        <v>1854</v>
      </c>
      <c r="AT770" t="s">
        <v>196</v>
      </c>
      <c r="AU770" t="s">
        <v>109</v>
      </c>
      <c r="AV770" s="14">
        <v>4.8432725922917603</v>
      </c>
    </row>
    <row r="771" spans="26:48">
      <c r="Z771" s="3"/>
      <c r="AC771"/>
      <c r="AE771" s="3"/>
      <c r="AH771" t="s">
        <v>2016</v>
      </c>
      <c r="AI771" t="s">
        <v>68</v>
      </c>
      <c r="AJ771" t="s">
        <v>98</v>
      </c>
      <c r="AK771" s="3" t="s">
        <v>115</v>
      </c>
      <c r="AL771" s="3">
        <v>-73.813144894600001</v>
      </c>
      <c r="AS771" t="s">
        <v>1854</v>
      </c>
      <c r="AT771" t="s">
        <v>196</v>
      </c>
      <c r="AU771" t="s">
        <v>198</v>
      </c>
      <c r="AV771" s="14">
        <v>5.7212011437262102</v>
      </c>
    </row>
    <row r="772" spans="26:48">
      <c r="Z772" s="3"/>
      <c r="AC772"/>
      <c r="AE772" s="3"/>
      <c r="AH772" t="s">
        <v>1829</v>
      </c>
      <c r="AI772" t="s">
        <v>65</v>
      </c>
      <c r="AJ772" t="s">
        <v>66</v>
      </c>
      <c r="AK772" s="3" t="s">
        <v>27</v>
      </c>
      <c r="AL772" s="3">
        <v>41045.199999999997</v>
      </c>
      <c r="AS772" t="s">
        <v>1855</v>
      </c>
      <c r="AT772" t="s">
        <v>196</v>
      </c>
      <c r="AU772" t="s">
        <v>197</v>
      </c>
      <c r="AV772" s="14">
        <v>7.2437978208016203</v>
      </c>
    </row>
    <row r="773" spans="26:48">
      <c r="Z773" s="3"/>
      <c r="AC773"/>
      <c r="AE773" s="3"/>
      <c r="AH773" t="s">
        <v>1829</v>
      </c>
      <c r="AI773" t="s">
        <v>65</v>
      </c>
      <c r="AJ773" t="s">
        <v>72</v>
      </c>
      <c r="AK773" s="3" t="s">
        <v>27</v>
      </c>
      <c r="AL773" s="3">
        <v>42208.60183</v>
      </c>
      <c r="AS773" t="s">
        <v>1855</v>
      </c>
      <c r="AT773" t="s">
        <v>196</v>
      </c>
      <c r="AU773" t="s">
        <v>109</v>
      </c>
      <c r="AV773" s="14">
        <v>4.7395626255336003</v>
      </c>
    </row>
    <row r="774" spans="26:48">
      <c r="Z774" s="3"/>
      <c r="AC774"/>
      <c r="AE774" s="3"/>
      <c r="AH774" t="s">
        <v>1829</v>
      </c>
      <c r="AI774" t="s">
        <v>65</v>
      </c>
      <c r="AJ774" t="s">
        <v>113</v>
      </c>
      <c r="AK774" s="3" t="s">
        <v>27</v>
      </c>
      <c r="AL774" s="3">
        <v>3015.1800704238999</v>
      </c>
      <c r="AS774" t="s">
        <v>1855</v>
      </c>
      <c r="AT774" t="s">
        <v>196</v>
      </c>
      <c r="AU774" t="s">
        <v>198</v>
      </c>
      <c r="AV774" s="14">
        <v>5.7025520120967297</v>
      </c>
    </row>
    <row r="775" spans="26:48">
      <c r="Z775" s="3"/>
      <c r="AC775"/>
      <c r="AE775" s="3"/>
      <c r="AH775" t="s">
        <v>1829</v>
      </c>
      <c r="AI775" t="s">
        <v>65</v>
      </c>
      <c r="AJ775" t="s">
        <v>108</v>
      </c>
      <c r="AK775" s="3" t="s">
        <v>27</v>
      </c>
      <c r="AL775" s="3">
        <v>-1851.7782404238999</v>
      </c>
      <c r="AS775" t="s">
        <v>1855</v>
      </c>
      <c r="AT775" t="s">
        <v>88</v>
      </c>
      <c r="AU775" t="s">
        <v>109</v>
      </c>
      <c r="AV775" s="14">
        <v>16223</v>
      </c>
    </row>
    <row r="776" spans="26:48">
      <c r="Z776" s="3"/>
      <c r="AC776"/>
      <c r="AE776" s="3"/>
      <c r="AH776" t="s">
        <v>1829</v>
      </c>
      <c r="AI776" t="s">
        <v>65</v>
      </c>
      <c r="AJ776" t="s">
        <v>98</v>
      </c>
      <c r="AK776" s="3" t="s">
        <v>27</v>
      </c>
      <c r="AL776" s="3">
        <v>-1851.7782404238999</v>
      </c>
      <c r="AS776" t="s">
        <v>1855</v>
      </c>
      <c r="AT776" t="s">
        <v>88</v>
      </c>
      <c r="AU776" t="s">
        <v>110</v>
      </c>
      <c r="AV776" s="14">
        <v>397.61059999999998</v>
      </c>
    </row>
    <row r="777" spans="26:48">
      <c r="Z777" s="3"/>
      <c r="AC777"/>
      <c r="AE777" s="3"/>
      <c r="AH777" t="s">
        <v>1829</v>
      </c>
      <c r="AI777" t="s">
        <v>67</v>
      </c>
      <c r="AJ777" t="s">
        <v>66</v>
      </c>
      <c r="AK777" s="3" t="s">
        <v>27</v>
      </c>
      <c r="AL777" s="3">
        <v>-22932.2</v>
      </c>
      <c r="AS777" t="s">
        <v>1855</v>
      </c>
      <c r="AT777" t="s">
        <v>88</v>
      </c>
      <c r="AU777" t="s">
        <v>111</v>
      </c>
      <c r="AV777" s="14">
        <v>13800</v>
      </c>
    </row>
    <row r="778" spans="26:48">
      <c r="Z778" s="3"/>
      <c r="AC778"/>
      <c r="AE778" s="3"/>
      <c r="AH778" t="s">
        <v>1829</v>
      </c>
      <c r="AI778" t="s">
        <v>67</v>
      </c>
      <c r="AJ778" t="s">
        <v>72</v>
      </c>
      <c r="AK778" s="3" t="s">
        <v>27</v>
      </c>
      <c r="AL778" s="3">
        <v>-25016.764299999999</v>
      </c>
      <c r="AS778" t="s">
        <v>1855</v>
      </c>
      <c r="AT778" t="s">
        <v>88</v>
      </c>
      <c r="AU778" t="s">
        <v>268</v>
      </c>
      <c r="AV778" s="14">
        <v>0</v>
      </c>
    </row>
    <row r="779" spans="26:48">
      <c r="Z779" s="3"/>
      <c r="AC779"/>
      <c r="AE779" s="3"/>
      <c r="AH779" t="s">
        <v>1829</v>
      </c>
      <c r="AI779" t="s">
        <v>67</v>
      </c>
      <c r="AJ779" t="s">
        <v>113</v>
      </c>
      <c r="AK779" s="3" t="s">
        <v>27</v>
      </c>
      <c r="AL779" s="3">
        <v>-2436.1363032045001</v>
      </c>
      <c r="AS779" t="s">
        <v>1855</v>
      </c>
      <c r="AT779" t="s">
        <v>88</v>
      </c>
      <c r="AU779" t="s">
        <v>269</v>
      </c>
      <c r="AV779" s="14">
        <v>0</v>
      </c>
    </row>
    <row r="780" spans="26:48">
      <c r="Z780" s="3"/>
      <c r="AC780"/>
      <c r="AE780" s="3"/>
      <c r="AH780" t="s">
        <v>1829</v>
      </c>
      <c r="AI780" t="s">
        <v>67</v>
      </c>
      <c r="AJ780" t="s">
        <v>108</v>
      </c>
      <c r="AK780" s="3" t="s">
        <v>27</v>
      </c>
      <c r="AL780" s="3">
        <v>351.57200320449999</v>
      </c>
      <c r="AS780" t="s">
        <v>1855</v>
      </c>
      <c r="AT780" t="s">
        <v>88</v>
      </c>
      <c r="AU780" t="s">
        <v>270</v>
      </c>
      <c r="AV780" s="14">
        <v>0</v>
      </c>
    </row>
    <row r="781" spans="26:48">
      <c r="Z781" s="3"/>
      <c r="AC781"/>
      <c r="AE781" s="3"/>
      <c r="AH781" t="s">
        <v>1829</v>
      </c>
      <c r="AI781" t="s">
        <v>67</v>
      </c>
      <c r="AJ781" t="s">
        <v>98</v>
      </c>
      <c r="AK781" s="3" t="s">
        <v>27</v>
      </c>
      <c r="AL781" s="3">
        <v>212.20115457430001</v>
      </c>
      <c r="AS781" t="s">
        <v>1855</v>
      </c>
      <c r="AT781" t="s">
        <v>88</v>
      </c>
      <c r="AU781" t="s">
        <v>271</v>
      </c>
      <c r="AV781" s="14">
        <v>9977</v>
      </c>
    </row>
    <row r="782" spans="26:48">
      <c r="Z782" s="3"/>
      <c r="AC782"/>
      <c r="AE782" s="3"/>
      <c r="AH782" t="s">
        <v>1829</v>
      </c>
      <c r="AI782" t="s">
        <v>67</v>
      </c>
      <c r="AJ782" t="s">
        <v>66</v>
      </c>
      <c r="AK782" s="3" t="s">
        <v>114</v>
      </c>
      <c r="AL782" s="3">
        <v>912</v>
      </c>
      <c r="AS782" t="s">
        <v>1855</v>
      </c>
      <c r="AT782" t="s">
        <v>88</v>
      </c>
      <c r="AU782" t="s">
        <v>272</v>
      </c>
      <c r="AV782" s="14">
        <v>0</v>
      </c>
    </row>
    <row r="783" spans="26:48">
      <c r="Z783" s="3"/>
      <c r="AC783"/>
      <c r="AE783" s="3"/>
      <c r="AH783" t="s">
        <v>1829</v>
      </c>
      <c r="AI783" t="s">
        <v>67</v>
      </c>
      <c r="AJ783" t="s">
        <v>98</v>
      </c>
      <c r="AK783" s="3" t="s">
        <v>114</v>
      </c>
      <c r="AL783" s="3">
        <v>-27.6737486301</v>
      </c>
      <c r="AS783" t="s">
        <v>1855</v>
      </c>
      <c r="AT783" t="s">
        <v>88</v>
      </c>
      <c r="AU783" t="s">
        <v>273</v>
      </c>
      <c r="AV783" s="14">
        <v>0</v>
      </c>
    </row>
    <row r="784" spans="26:48">
      <c r="Z784" s="3"/>
      <c r="AC784"/>
      <c r="AE784" s="3"/>
      <c r="AH784" t="s">
        <v>1829</v>
      </c>
      <c r="AI784" t="s">
        <v>67</v>
      </c>
      <c r="AJ784" t="s">
        <v>66</v>
      </c>
      <c r="AK784" s="3" t="s">
        <v>115</v>
      </c>
      <c r="AL784" s="3">
        <v>23844.2</v>
      </c>
      <c r="AS784" t="s">
        <v>1856</v>
      </c>
      <c r="AT784" t="s">
        <v>88</v>
      </c>
      <c r="AU784" t="s">
        <v>109</v>
      </c>
      <c r="AV784" s="14">
        <v>17308</v>
      </c>
    </row>
    <row r="785" spans="26:48">
      <c r="Z785" s="3"/>
      <c r="AC785"/>
      <c r="AE785" s="3"/>
      <c r="AH785" t="s">
        <v>1829</v>
      </c>
      <c r="AI785" t="s">
        <v>67</v>
      </c>
      <c r="AJ785" t="s">
        <v>98</v>
      </c>
      <c r="AK785" s="3" t="s">
        <v>115</v>
      </c>
      <c r="AL785" s="3">
        <v>-239.87490320449999</v>
      </c>
      <c r="AS785" t="s">
        <v>1856</v>
      </c>
      <c r="AT785" t="s">
        <v>88</v>
      </c>
      <c r="AU785" t="s">
        <v>110</v>
      </c>
      <c r="AV785" s="14">
        <v>397.61059999999998</v>
      </c>
    </row>
    <row r="786" spans="26:48">
      <c r="Z786" s="3"/>
      <c r="AC786"/>
      <c r="AE786" s="3"/>
      <c r="AH786" t="s">
        <v>1829</v>
      </c>
      <c r="AI786" t="s">
        <v>68</v>
      </c>
      <c r="AJ786" t="s">
        <v>66</v>
      </c>
      <c r="AK786" s="3" t="s">
        <v>27</v>
      </c>
      <c r="AL786" s="3">
        <v>-600</v>
      </c>
      <c r="AS786" t="s">
        <v>1856</v>
      </c>
      <c r="AT786" t="s">
        <v>88</v>
      </c>
      <c r="AU786" t="s">
        <v>111</v>
      </c>
      <c r="AV786" s="14">
        <v>13800</v>
      </c>
    </row>
    <row r="787" spans="26:48">
      <c r="Z787" s="3"/>
      <c r="AC787"/>
      <c r="AE787" s="3"/>
      <c r="AH787" t="s">
        <v>1829</v>
      </c>
      <c r="AI787" t="s">
        <v>68</v>
      </c>
      <c r="AJ787" t="s">
        <v>72</v>
      </c>
      <c r="AK787" s="3" t="s">
        <v>27</v>
      </c>
      <c r="AL787" s="3">
        <v>-1172.0639000000001</v>
      </c>
      <c r="AS787" t="s">
        <v>1856</v>
      </c>
      <c r="AT787" t="s">
        <v>88</v>
      </c>
      <c r="AU787" t="s">
        <v>268</v>
      </c>
      <c r="AV787" s="14">
        <v>0</v>
      </c>
    </row>
    <row r="788" spans="26:48">
      <c r="Z788" s="3"/>
      <c r="AC788"/>
      <c r="AE788" s="3"/>
      <c r="AH788" t="s">
        <v>1829</v>
      </c>
      <c r="AI788" t="s">
        <v>68</v>
      </c>
      <c r="AJ788" t="s">
        <v>113</v>
      </c>
      <c r="AK788" s="3" t="s">
        <v>27</v>
      </c>
      <c r="AL788" s="3">
        <v>-569.85096364560002</v>
      </c>
      <c r="AS788" t="s">
        <v>1856</v>
      </c>
      <c r="AT788" t="s">
        <v>88</v>
      </c>
      <c r="AU788" t="s">
        <v>269</v>
      </c>
      <c r="AV788" s="14">
        <v>0</v>
      </c>
    </row>
    <row r="789" spans="26:48">
      <c r="Z789" s="3"/>
      <c r="AC789"/>
      <c r="AE789" s="3"/>
      <c r="AH789" t="s">
        <v>1829</v>
      </c>
      <c r="AI789" t="s">
        <v>68</v>
      </c>
      <c r="AJ789" t="s">
        <v>108</v>
      </c>
      <c r="AK789" s="3" t="s">
        <v>27</v>
      </c>
      <c r="AL789" s="3">
        <v>-2.2129363544</v>
      </c>
      <c r="AS789" t="s">
        <v>1856</v>
      </c>
      <c r="AT789" t="s">
        <v>88</v>
      </c>
      <c r="AU789" t="s">
        <v>270</v>
      </c>
      <c r="AV789" s="14">
        <v>0</v>
      </c>
    </row>
    <row r="790" spans="26:48">
      <c r="Z790" s="3"/>
      <c r="AC790"/>
      <c r="AE790" s="3"/>
      <c r="AH790" t="s">
        <v>1829</v>
      </c>
      <c r="AI790" t="s">
        <v>68</v>
      </c>
      <c r="AJ790" t="s">
        <v>98</v>
      </c>
      <c r="AK790" s="3" t="s">
        <v>27</v>
      </c>
      <c r="AL790" s="3">
        <v>17.2940394158</v>
      </c>
      <c r="AS790" t="s">
        <v>1856</v>
      </c>
      <c r="AT790" t="s">
        <v>88</v>
      </c>
      <c r="AU790" t="s">
        <v>271</v>
      </c>
      <c r="AV790" s="14">
        <v>8892</v>
      </c>
    </row>
    <row r="791" spans="26:48">
      <c r="Z791" s="3"/>
      <c r="AC791"/>
      <c r="AE791" s="3"/>
      <c r="AH791" t="s">
        <v>1829</v>
      </c>
      <c r="AI791" t="s">
        <v>68</v>
      </c>
      <c r="AJ791" t="s">
        <v>66</v>
      </c>
      <c r="AK791" s="3" t="s">
        <v>114</v>
      </c>
      <c r="AL791" s="3">
        <v>2404</v>
      </c>
      <c r="AS791" t="s">
        <v>1856</v>
      </c>
      <c r="AT791" t="s">
        <v>88</v>
      </c>
      <c r="AU791" t="s">
        <v>272</v>
      </c>
      <c r="AV791" s="14">
        <v>0</v>
      </c>
    </row>
    <row r="792" spans="26:48">
      <c r="Z792" s="3"/>
      <c r="AC792"/>
      <c r="AE792" s="3"/>
      <c r="AH792" t="s">
        <v>1829</v>
      </c>
      <c r="AI792" t="s">
        <v>68</v>
      </c>
      <c r="AJ792" t="s">
        <v>98</v>
      </c>
      <c r="AK792" s="3" t="s">
        <v>114</v>
      </c>
      <c r="AL792" s="3">
        <v>-78.735204229800004</v>
      </c>
      <c r="AS792" t="s">
        <v>1856</v>
      </c>
      <c r="AT792" t="s">
        <v>88</v>
      </c>
      <c r="AU792" t="s">
        <v>273</v>
      </c>
      <c r="AV792" s="14">
        <v>0</v>
      </c>
    </row>
    <row r="793" spans="26:48">
      <c r="Z793" s="3"/>
      <c r="AC793"/>
      <c r="AE793" s="3"/>
      <c r="AH793" t="s">
        <v>1829</v>
      </c>
      <c r="AI793" t="s">
        <v>68</v>
      </c>
      <c r="AJ793" t="s">
        <v>66</v>
      </c>
      <c r="AK793" s="3" t="s">
        <v>115</v>
      </c>
      <c r="AL793" s="3">
        <v>3004</v>
      </c>
      <c r="AS793" t="s">
        <v>1856</v>
      </c>
      <c r="AT793" t="s">
        <v>196</v>
      </c>
      <c r="AU793" t="s">
        <v>197</v>
      </c>
      <c r="AV793" s="14">
        <v>7.2437978208016203</v>
      </c>
    </row>
    <row r="794" spans="26:48">
      <c r="Z794" s="3"/>
      <c r="AC794"/>
      <c r="AE794" s="3"/>
      <c r="AH794" t="s">
        <v>1829</v>
      </c>
      <c r="AI794" t="s">
        <v>68</v>
      </c>
      <c r="AJ794" t="s">
        <v>98</v>
      </c>
      <c r="AK794" s="3" t="s">
        <v>115</v>
      </c>
      <c r="AL794" s="3">
        <v>-96.029243645600005</v>
      </c>
      <c r="AS794" t="s">
        <v>1856</v>
      </c>
      <c r="AT794" t="s">
        <v>196</v>
      </c>
      <c r="AU794" t="s">
        <v>109</v>
      </c>
      <c r="AV794" s="14">
        <v>4.8416086943464398</v>
      </c>
    </row>
    <row r="795" spans="26:48">
      <c r="Z795" s="3"/>
      <c r="AC795"/>
      <c r="AE795" s="3"/>
      <c r="AH795" t="s">
        <v>1829</v>
      </c>
      <c r="AI795" t="s">
        <v>800</v>
      </c>
      <c r="AJ795" t="s">
        <v>31</v>
      </c>
      <c r="AK795" s="3" t="s">
        <v>27</v>
      </c>
      <c r="AL795" s="3">
        <v>3.8689106149999999</v>
      </c>
      <c r="AS795" t="s">
        <v>1856</v>
      </c>
      <c r="AT795" t="s">
        <v>196</v>
      </c>
      <c r="AU795" t="s">
        <v>198</v>
      </c>
      <c r="AV795" s="14">
        <v>5.7389852991829002</v>
      </c>
    </row>
    <row r="796" spans="26:48">
      <c r="Z796" s="3"/>
      <c r="AC796"/>
      <c r="AE796" s="3"/>
      <c r="AH796" t="s">
        <v>1826</v>
      </c>
      <c r="AI796" t="s">
        <v>800</v>
      </c>
      <c r="AJ796" t="s">
        <v>31</v>
      </c>
      <c r="AK796" s="3" t="s">
        <v>27</v>
      </c>
      <c r="AL796" s="3">
        <v>3.9106816817999999</v>
      </c>
      <c r="AS796" t="s">
        <v>1857</v>
      </c>
      <c r="AT796" t="s">
        <v>88</v>
      </c>
      <c r="AU796" t="s">
        <v>109</v>
      </c>
      <c r="AV796" s="14">
        <v>13808</v>
      </c>
    </row>
    <row r="797" spans="26:48">
      <c r="Z797" s="3"/>
      <c r="AC797"/>
      <c r="AE797" s="3"/>
      <c r="AH797" t="s">
        <v>1826</v>
      </c>
      <c r="AI797" t="s">
        <v>65</v>
      </c>
      <c r="AJ797" t="s">
        <v>66</v>
      </c>
      <c r="AK797" s="3" t="s">
        <v>27</v>
      </c>
      <c r="AL797" s="3">
        <v>39969.199999999997</v>
      </c>
      <c r="AS797" t="s">
        <v>1857</v>
      </c>
      <c r="AT797" t="s">
        <v>88</v>
      </c>
      <c r="AU797" t="s">
        <v>110</v>
      </c>
      <c r="AV797" s="14">
        <v>397.61059999999998</v>
      </c>
    </row>
    <row r="798" spans="26:48">
      <c r="Z798" s="3"/>
      <c r="AC798"/>
      <c r="AE798" s="3"/>
      <c r="AH798" t="s">
        <v>1826</v>
      </c>
      <c r="AI798" t="s">
        <v>65</v>
      </c>
      <c r="AJ798" t="s">
        <v>72</v>
      </c>
      <c r="AK798" s="3" t="s">
        <v>27</v>
      </c>
      <c r="AL798" s="3">
        <v>41146.891428000003</v>
      </c>
      <c r="AS798" t="s">
        <v>1857</v>
      </c>
      <c r="AT798" t="s">
        <v>88</v>
      </c>
      <c r="AU798" t="s">
        <v>111</v>
      </c>
      <c r="AV798" s="14">
        <v>13800</v>
      </c>
    </row>
    <row r="799" spans="26:48">
      <c r="Z799" s="3"/>
      <c r="AC799"/>
      <c r="AE799" s="3"/>
      <c r="AH799" t="s">
        <v>1826</v>
      </c>
      <c r="AI799" t="s">
        <v>65</v>
      </c>
      <c r="AJ799" t="s">
        <v>113</v>
      </c>
      <c r="AK799" s="3" t="s">
        <v>27</v>
      </c>
      <c r="AL799" s="3">
        <v>2995.9579468813999</v>
      </c>
      <c r="AS799" t="s">
        <v>1857</v>
      </c>
      <c r="AT799" t="s">
        <v>88</v>
      </c>
      <c r="AU799" t="s">
        <v>268</v>
      </c>
      <c r="AV799" s="14">
        <v>0</v>
      </c>
    </row>
    <row r="800" spans="26:48">
      <c r="Z800" s="3"/>
      <c r="AC800"/>
      <c r="AE800" s="3"/>
      <c r="AH800" t="s">
        <v>1826</v>
      </c>
      <c r="AI800" t="s">
        <v>65</v>
      </c>
      <c r="AJ800" t="s">
        <v>108</v>
      </c>
      <c r="AK800" s="3" t="s">
        <v>27</v>
      </c>
      <c r="AL800" s="3">
        <v>-1818.2665188814001</v>
      </c>
      <c r="AS800" t="s">
        <v>1857</v>
      </c>
      <c r="AT800" t="s">
        <v>88</v>
      </c>
      <c r="AU800" t="s">
        <v>269</v>
      </c>
      <c r="AV800" s="14">
        <v>0</v>
      </c>
    </row>
    <row r="801" spans="26:48">
      <c r="Z801" s="3"/>
      <c r="AC801"/>
      <c r="AE801" s="3"/>
      <c r="AH801" t="s">
        <v>1826</v>
      </c>
      <c r="AI801" t="s">
        <v>65</v>
      </c>
      <c r="AJ801" t="s">
        <v>98</v>
      </c>
      <c r="AK801" s="3" t="s">
        <v>27</v>
      </c>
      <c r="AL801" s="3">
        <v>-1818.2665188814001</v>
      </c>
      <c r="AS801" t="s">
        <v>1857</v>
      </c>
      <c r="AT801" t="s">
        <v>88</v>
      </c>
      <c r="AU801" t="s">
        <v>270</v>
      </c>
      <c r="AV801" s="14">
        <v>0</v>
      </c>
    </row>
    <row r="802" spans="26:48">
      <c r="Z802" s="3"/>
      <c r="AC802"/>
      <c r="AE802" s="3"/>
      <c r="AH802" t="s">
        <v>1826</v>
      </c>
      <c r="AI802" t="s">
        <v>67</v>
      </c>
      <c r="AJ802" t="s">
        <v>66</v>
      </c>
      <c r="AK802" s="3" t="s">
        <v>27</v>
      </c>
      <c r="AL802" s="3">
        <v>-23581.200000000001</v>
      </c>
      <c r="AS802" t="s">
        <v>1857</v>
      </c>
      <c r="AT802" t="s">
        <v>88</v>
      </c>
      <c r="AU802" t="s">
        <v>271</v>
      </c>
      <c r="AV802" s="14">
        <v>12392</v>
      </c>
    </row>
    <row r="803" spans="26:48">
      <c r="Z803" s="3"/>
      <c r="AC803"/>
      <c r="AE803" s="3"/>
      <c r="AH803" t="s">
        <v>1826</v>
      </c>
      <c r="AI803" t="s">
        <v>67</v>
      </c>
      <c r="AJ803" t="s">
        <v>72</v>
      </c>
      <c r="AK803" s="3" t="s">
        <v>27</v>
      </c>
      <c r="AL803" s="3">
        <v>-25741.003477999999</v>
      </c>
      <c r="AS803" t="s">
        <v>1857</v>
      </c>
      <c r="AT803" t="s">
        <v>88</v>
      </c>
      <c r="AU803" t="s">
        <v>272</v>
      </c>
      <c r="AV803" s="14">
        <v>0</v>
      </c>
    </row>
    <row r="804" spans="26:48">
      <c r="Z804" s="3"/>
      <c r="AC804"/>
      <c r="AE804" s="3"/>
      <c r="AH804" t="s">
        <v>1826</v>
      </c>
      <c r="AI804" t="s">
        <v>67</v>
      </c>
      <c r="AJ804" t="s">
        <v>113</v>
      </c>
      <c r="AK804" s="3" t="s">
        <v>27</v>
      </c>
      <c r="AL804" s="3">
        <v>-2459.4839637839</v>
      </c>
      <c r="AS804" t="s">
        <v>1857</v>
      </c>
      <c r="AT804" t="s">
        <v>88</v>
      </c>
      <c r="AU804" t="s">
        <v>273</v>
      </c>
      <c r="AV804" s="14">
        <v>0</v>
      </c>
    </row>
    <row r="805" spans="26:48">
      <c r="Z805" s="3"/>
      <c r="AC805"/>
      <c r="AE805" s="3"/>
      <c r="AH805" t="s">
        <v>1826</v>
      </c>
      <c r="AI805" t="s">
        <v>67</v>
      </c>
      <c r="AJ805" t="s">
        <v>108</v>
      </c>
      <c r="AK805" s="3" t="s">
        <v>27</v>
      </c>
      <c r="AL805" s="3">
        <v>299.6804857839</v>
      </c>
      <c r="AS805" t="s">
        <v>1857</v>
      </c>
      <c r="AT805" t="s">
        <v>196</v>
      </c>
      <c r="AU805" t="s">
        <v>197</v>
      </c>
      <c r="AV805" s="14">
        <v>7.2437978208016203</v>
      </c>
    </row>
    <row r="806" spans="26:48">
      <c r="Z806" s="3"/>
      <c r="AC806"/>
      <c r="AE806" s="3"/>
      <c r="AH806" t="s">
        <v>1826</v>
      </c>
      <c r="AI806" t="s">
        <v>67</v>
      </c>
      <c r="AJ806" t="s">
        <v>98</v>
      </c>
      <c r="AK806" s="3" t="s">
        <v>27</v>
      </c>
      <c r="AL806" s="3">
        <v>216.48573405339999</v>
      </c>
      <c r="AS806" t="s">
        <v>1857</v>
      </c>
      <c r="AT806" t="s">
        <v>196</v>
      </c>
      <c r="AU806" t="s">
        <v>109</v>
      </c>
      <c r="AV806" s="14">
        <v>5.0251942187807801</v>
      </c>
    </row>
    <row r="807" spans="26:48">
      <c r="Z807" s="3"/>
      <c r="AC807"/>
      <c r="AE807" s="3"/>
      <c r="AH807" t="s">
        <v>1826</v>
      </c>
      <c r="AI807" t="s">
        <v>67</v>
      </c>
      <c r="AJ807" t="s">
        <v>66</v>
      </c>
      <c r="AK807" s="3" t="s">
        <v>114</v>
      </c>
      <c r="AL807" s="3">
        <v>200</v>
      </c>
      <c r="AS807" t="s">
        <v>1857</v>
      </c>
      <c r="AT807" t="s">
        <v>196</v>
      </c>
      <c r="AU807" t="s">
        <v>198</v>
      </c>
      <c r="AV807" s="14">
        <v>5.9380564886995497</v>
      </c>
    </row>
    <row r="808" spans="26:48">
      <c r="Z808" s="3"/>
      <c r="AC808"/>
      <c r="AE808" s="3"/>
      <c r="AH808" t="s">
        <v>1826</v>
      </c>
      <c r="AI808" t="s">
        <v>67</v>
      </c>
      <c r="AJ808" t="s">
        <v>98</v>
      </c>
      <c r="AK808" s="3" t="s">
        <v>114</v>
      </c>
      <c r="AL808" s="3">
        <v>-16.430751730400001</v>
      </c>
      <c r="AS808" t="s">
        <v>1858</v>
      </c>
      <c r="AT808" t="s">
        <v>88</v>
      </c>
      <c r="AU808" t="s">
        <v>109</v>
      </c>
      <c r="AV808" s="14">
        <v>14308</v>
      </c>
    </row>
    <row r="809" spans="26:48">
      <c r="Z809" s="3"/>
      <c r="AC809"/>
      <c r="AE809" s="3"/>
      <c r="AH809" t="s">
        <v>1826</v>
      </c>
      <c r="AI809" t="s">
        <v>67</v>
      </c>
      <c r="AJ809" t="s">
        <v>66</v>
      </c>
      <c r="AK809" s="3" t="s">
        <v>115</v>
      </c>
      <c r="AL809" s="3">
        <v>23781.200000000001</v>
      </c>
      <c r="AS809" t="s">
        <v>1858</v>
      </c>
      <c r="AT809" t="s">
        <v>88</v>
      </c>
      <c r="AU809" t="s">
        <v>110</v>
      </c>
      <c r="AV809" s="14">
        <v>397.61059999999998</v>
      </c>
    </row>
    <row r="810" spans="26:48">
      <c r="Z810" s="3"/>
      <c r="AC810"/>
      <c r="AE810" s="3"/>
      <c r="AH810" t="s">
        <v>1826</v>
      </c>
      <c r="AI810" t="s">
        <v>67</v>
      </c>
      <c r="AJ810" t="s">
        <v>98</v>
      </c>
      <c r="AK810" s="3" t="s">
        <v>115</v>
      </c>
      <c r="AL810" s="3">
        <v>-232.9164857838</v>
      </c>
      <c r="AS810" t="s">
        <v>1858</v>
      </c>
      <c r="AT810" t="s">
        <v>88</v>
      </c>
      <c r="AU810" t="s">
        <v>111</v>
      </c>
      <c r="AV810" s="14">
        <v>13800</v>
      </c>
    </row>
    <row r="811" spans="26:48">
      <c r="Z811" s="3"/>
      <c r="AC811"/>
      <c r="AE811" s="3"/>
      <c r="AH811" t="s">
        <v>1826</v>
      </c>
      <c r="AI811" t="s">
        <v>68</v>
      </c>
      <c r="AJ811" t="s">
        <v>66</v>
      </c>
      <c r="AK811" s="3" t="s">
        <v>27</v>
      </c>
      <c r="AL811" s="3">
        <v>-18</v>
      </c>
      <c r="AS811" t="s">
        <v>1858</v>
      </c>
      <c r="AT811" t="s">
        <v>88</v>
      </c>
      <c r="AU811" t="s">
        <v>268</v>
      </c>
      <c r="AV811" s="14">
        <v>0</v>
      </c>
    </row>
    <row r="812" spans="26:48">
      <c r="Z812" s="3"/>
      <c r="AC812"/>
      <c r="AE812" s="3"/>
      <c r="AH812" t="s">
        <v>1826</v>
      </c>
      <c r="AI812" t="s">
        <v>68</v>
      </c>
      <c r="AJ812" t="s">
        <v>72</v>
      </c>
      <c r="AK812" s="3" t="s">
        <v>27</v>
      </c>
      <c r="AL812" s="3">
        <v>-525.93156999999997</v>
      </c>
      <c r="AS812" t="s">
        <v>1858</v>
      </c>
      <c r="AT812" t="s">
        <v>88</v>
      </c>
      <c r="AU812" t="s">
        <v>269</v>
      </c>
      <c r="AV812" s="14">
        <v>0</v>
      </c>
    </row>
    <row r="813" spans="26:48">
      <c r="Z813" s="3"/>
      <c r="AC813"/>
      <c r="AE813" s="3"/>
      <c r="AH813" t="s">
        <v>1826</v>
      </c>
      <c r="AI813" t="s">
        <v>68</v>
      </c>
      <c r="AJ813" t="s">
        <v>113</v>
      </c>
      <c r="AK813" s="3" t="s">
        <v>27</v>
      </c>
      <c r="AL813" s="3">
        <v>-613.74660844519997</v>
      </c>
      <c r="AS813" t="s">
        <v>1858</v>
      </c>
      <c r="AT813" t="s">
        <v>88</v>
      </c>
      <c r="AU813" t="s">
        <v>270</v>
      </c>
      <c r="AV813" s="14">
        <v>0</v>
      </c>
    </row>
    <row r="814" spans="26:48">
      <c r="Z814" s="3"/>
      <c r="AC814"/>
      <c r="AE814" s="3"/>
      <c r="AH814" t="s">
        <v>1826</v>
      </c>
      <c r="AI814" t="s">
        <v>68</v>
      </c>
      <c r="AJ814" t="s">
        <v>108</v>
      </c>
      <c r="AK814" s="3" t="s">
        <v>27</v>
      </c>
      <c r="AL814" s="3">
        <v>105.8150384452</v>
      </c>
      <c r="AS814" t="s">
        <v>1858</v>
      </c>
      <c r="AT814" t="s">
        <v>88</v>
      </c>
      <c r="AU814" t="s">
        <v>271</v>
      </c>
      <c r="AV814" s="14">
        <v>11892</v>
      </c>
    </row>
    <row r="815" spans="26:48">
      <c r="Z815" s="3"/>
      <c r="AC815"/>
      <c r="AE815" s="3"/>
      <c r="AH815" t="s">
        <v>1826</v>
      </c>
      <c r="AI815" t="s">
        <v>68</v>
      </c>
      <c r="AJ815" t="s">
        <v>98</v>
      </c>
      <c r="AK815" s="3" t="s">
        <v>27</v>
      </c>
      <c r="AL815" s="3">
        <v>3.1661649967000001</v>
      </c>
      <c r="AS815" t="s">
        <v>1858</v>
      </c>
      <c r="AT815" t="s">
        <v>88</v>
      </c>
      <c r="AU815" t="s">
        <v>272</v>
      </c>
      <c r="AV815" s="14">
        <v>0</v>
      </c>
    </row>
    <row r="816" spans="26:48">
      <c r="Z816" s="3"/>
      <c r="AC816"/>
      <c r="AE816" s="3"/>
      <c r="AH816" t="s">
        <v>1826</v>
      </c>
      <c r="AI816" t="s">
        <v>68</v>
      </c>
      <c r="AJ816" t="s">
        <v>66</v>
      </c>
      <c r="AK816" s="3" t="s">
        <v>114</v>
      </c>
      <c r="AL816" s="3">
        <v>3141</v>
      </c>
      <c r="AS816" t="s">
        <v>1858</v>
      </c>
      <c r="AT816" t="s">
        <v>88</v>
      </c>
      <c r="AU816" t="s">
        <v>273</v>
      </c>
      <c r="AV816" s="14">
        <v>0</v>
      </c>
    </row>
    <row r="817" spans="26:48">
      <c r="Z817" s="3"/>
      <c r="AC817"/>
      <c r="AE817" s="3"/>
      <c r="AH817" t="s">
        <v>1826</v>
      </c>
      <c r="AI817" t="s">
        <v>68</v>
      </c>
      <c r="AJ817" t="s">
        <v>98</v>
      </c>
      <c r="AK817" s="3" t="s">
        <v>114</v>
      </c>
      <c r="AL817" s="3">
        <v>-101.5771034485</v>
      </c>
      <c r="AS817" t="s">
        <v>1858</v>
      </c>
      <c r="AT817" t="s">
        <v>196</v>
      </c>
      <c r="AU817" t="s">
        <v>197</v>
      </c>
      <c r="AV817" s="14">
        <v>7.2437978208016203</v>
      </c>
    </row>
    <row r="818" spans="26:48">
      <c r="Z818" s="3"/>
      <c r="AC818"/>
      <c r="AE818" s="3"/>
      <c r="AH818" t="s">
        <v>1826</v>
      </c>
      <c r="AI818" t="s">
        <v>68</v>
      </c>
      <c r="AJ818" t="s">
        <v>66</v>
      </c>
      <c r="AK818" s="3" t="s">
        <v>115</v>
      </c>
      <c r="AL818" s="3">
        <v>3159</v>
      </c>
      <c r="AS818" t="s">
        <v>1858</v>
      </c>
      <c r="AT818" t="s">
        <v>196</v>
      </c>
      <c r="AU818" t="s">
        <v>109</v>
      </c>
      <c r="AV818" s="14">
        <v>5.1409710349384898</v>
      </c>
    </row>
    <row r="819" spans="26:48">
      <c r="Z819" s="3"/>
      <c r="AC819"/>
      <c r="AE819" s="3"/>
      <c r="AH819" t="s">
        <v>1826</v>
      </c>
      <c r="AI819" t="s">
        <v>68</v>
      </c>
      <c r="AJ819" t="s">
        <v>98</v>
      </c>
      <c r="AK819" s="3" t="s">
        <v>115</v>
      </c>
      <c r="AL819" s="3">
        <v>-104.7432684452</v>
      </c>
      <c r="AS819" t="s">
        <v>1858</v>
      </c>
      <c r="AT819" t="s">
        <v>196</v>
      </c>
      <c r="AU819" t="s">
        <v>198</v>
      </c>
      <c r="AV819" s="14">
        <v>5.9938376284134796</v>
      </c>
    </row>
    <row r="820" spans="26:48">
      <c r="Z820" s="3"/>
      <c r="AC820"/>
      <c r="AE820" s="3"/>
      <c r="AH820" t="s">
        <v>1825</v>
      </c>
      <c r="AI820" t="s">
        <v>800</v>
      </c>
      <c r="AJ820" t="s">
        <v>31</v>
      </c>
      <c r="AK820" s="3" t="s">
        <v>27</v>
      </c>
      <c r="AL820" s="3">
        <v>3.9202568270999998</v>
      </c>
      <c r="AS820" t="s">
        <v>1859</v>
      </c>
      <c r="AT820" t="s">
        <v>88</v>
      </c>
      <c r="AU820" t="s">
        <v>109</v>
      </c>
      <c r="AV820" s="14">
        <v>14958</v>
      </c>
    </row>
    <row r="821" spans="26:48">
      <c r="Z821" s="3"/>
      <c r="AC821"/>
      <c r="AE821" s="3"/>
      <c r="AH821" t="s">
        <v>1825</v>
      </c>
      <c r="AI821" t="s">
        <v>65</v>
      </c>
      <c r="AJ821" t="s">
        <v>66</v>
      </c>
      <c r="AK821" s="3" t="s">
        <v>27</v>
      </c>
      <c r="AL821" s="3">
        <v>39193.199999999997</v>
      </c>
      <c r="AS821" t="s">
        <v>1859</v>
      </c>
      <c r="AT821" t="s">
        <v>88</v>
      </c>
      <c r="AU821" t="s">
        <v>110</v>
      </c>
      <c r="AV821" s="14">
        <v>397.61059999999998</v>
      </c>
    </row>
    <row r="822" spans="26:48">
      <c r="Z822" s="3"/>
      <c r="AC822"/>
      <c r="AE822" s="3"/>
      <c r="AH822" t="s">
        <v>1825</v>
      </c>
      <c r="AI822" t="s">
        <v>65</v>
      </c>
      <c r="AJ822" t="s">
        <v>72</v>
      </c>
      <c r="AK822" s="3" t="s">
        <v>27</v>
      </c>
      <c r="AL822" s="3">
        <v>39971.165668000001</v>
      </c>
      <c r="AS822" t="s">
        <v>1859</v>
      </c>
      <c r="AT822" t="s">
        <v>88</v>
      </c>
      <c r="AU822" t="s">
        <v>111</v>
      </c>
      <c r="AV822" s="14">
        <v>13800</v>
      </c>
    </row>
    <row r="823" spans="26:48">
      <c r="Z823" s="3"/>
      <c r="AC823"/>
      <c r="AE823" s="3"/>
      <c r="AH823" t="s">
        <v>1825</v>
      </c>
      <c r="AI823" t="s">
        <v>65</v>
      </c>
      <c r="AJ823" t="s">
        <v>113</v>
      </c>
      <c r="AK823" s="3" t="s">
        <v>27</v>
      </c>
      <c r="AL823" s="3">
        <v>2507.7849986839001</v>
      </c>
      <c r="AS823" t="s">
        <v>1859</v>
      </c>
      <c r="AT823" t="s">
        <v>88</v>
      </c>
      <c r="AU823" t="s">
        <v>268</v>
      </c>
      <c r="AV823" s="14">
        <v>0</v>
      </c>
    </row>
    <row r="824" spans="26:48">
      <c r="Z824" s="3"/>
      <c r="AC824"/>
      <c r="AE824" s="3"/>
      <c r="AH824" t="s">
        <v>1825</v>
      </c>
      <c r="AI824" t="s">
        <v>65</v>
      </c>
      <c r="AJ824" t="s">
        <v>108</v>
      </c>
      <c r="AK824" s="3" t="s">
        <v>27</v>
      </c>
      <c r="AL824" s="3">
        <v>-1729.8193306839</v>
      </c>
      <c r="AS824" t="s">
        <v>1859</v>
      </c>
      <c r="AT824" t="s">
        <v>88</v>
      </c>
      <c r="AU824" t="s">
        <v>269</v>
      </c>
      <c r="AV824" s="14">
        <v>0</v>
      </c>
    </row>
    <row r="825" spans="26:48">
      <c r="Z825" s="3"/>
      <c r="AC825"/>
      <c r="AE825" s="3"/>
      <c r="AH825" t="s">
        <v>1825</v>
      </c>
      <c r="AI825" t="s">
        <v>65</v>
      </c>
      <c r="AJ825" t="s">
        <v>98</v>
      </c>
      <c r="AK825" s="3" t="s">
        <v>27</v>
      </c>
      <c r="AL825" s="3">
        <v>-1729.8193306839</v>
      </c>
      <c r="AS825" t="s">
        <v>1859</v>
      </c>
      <c r="AT825" t="s">
        <v>88</v>
      </c>
      <c r="AU825" t="s">
        <v>270</v>
      </c>
      <c r="AV825" s="14">
        <v>0</v>
      </c>
    </row>
    <row r="826" spans="26:48">
      <c r="Z826" s="3"/>
      <c r="AC826"/>
      <c r="AE826" s="3"/>
      <c r="AH826" t="s">
        <v>1825</v>
      </c>
      <c r="AI826" t="s">
        <v>67</v>
      </c>
      <c r="AJ826" t="s">
        <v>66</v>
      </c>
      <c r="AK826" s="3" t="s">
        <v>27</v>
      </c>
      <c r="AL826" s="3">
        <v>-22738.2</v>
      </c>
      <c r="AS826" t="s">
        <v>1859</v>
      </c>
      <c r="AT826" t="s">
        <v>88</v>
      </c>
      <c r="AU826" t="s">
        <v>271</v>
      </c>
      <c r="AV826" s="14">
        <v>12242</v>
      </c>
    </row>
    <row r="827" spans="26:48">
      <c r="Z827" s="3"/>
      <c r="AC827"/>
      <c r="AE827" s="3"/>
      <c r="AH827" t="s">
        <v>1825</v>
      </c>
      <c r="AI827" t="s">
        <v>67</v>
      </c>
      <c r="AJ827" t="s">
        <v>72</v>
      </c>
      <c r="AK827" s="3" t="s">
        <v>27</v>
      </c>
      <c r="AL827" s="3">
        <v>-24485.564008000001</v>
      </c>
      <c r="AS827" t="s">
        <v>1859</v>
      </c>
      <c r="AT827" t="s">
        <v>88</v>
      </c>
      <c r="AU827" t="s">
        <v>272</v>
      </c>
      <c r="AV827" s="14">
        <v>0</v>
      </c>
    </row>
    <row r="828" spans="26:48">
      <c r="Z828" s="3"/>
      <c r="AC828"/>
      <c r="AE828" s="3"/>
      <c r="AH828" t="s">
        <v>1825</v>
      </c>
      <c r="AI828" t="s">
        <v>67</v>
      </c>
      <c r="AJ828" t="s">
        <v>113</v>
      </c>
      <c r="AK828" s="3" t="s">
        <v>27</v>
      </c>
      <c r="AL828" s="3">
        <v>-2421.0680523299998</v>
      </c>
      <c r="AS828" t="s">
        <v>1859</v>
      </c>
      <c r="AT828" t="s">
        <v>88</v>
      </c>
      <c r="AU828" t="s">
        <v>273</v>
      </c>
      <c r="AV828" s="14">
        <v>0</v>
      </c>
    </row>
    <row r="829" spans="26:48">
      <c r="Z829" s="3"/>
      <c r="AC829"/>
      <c r="AE829" s="3"/>
      <c r="AH829" t="s">
        <v>1825</v>
      </c>
      <c r="AI829" t="s">
        <v>67</v>
      </c>
      <c r="AJ829" t="s">
        <v>108</v>
      </c>
      <c r="AK829" s="3" t="s">
        <v>27</v>
      </c>
      <c r="AL829" s="3">
        <v>673.70404432999999</v>
      </c>
      <c r="AS829" t="s">
        <v>1859</v>
      </c>
      <c r="AT829" t="s">
        <v>196</v>
      </c>
      <c r="AU829" t="s">
        <v>197</v>
      </c>
      <c r="AV829" s="14">
        <v>7.2437978208016203</v>
      </c>
    </row>
    <row r="830" spans="26:48">
      <c r="Z830" s="3"/>
      <c r="AC830"/>
      <c r="AE830" s="3"/>
      <c r="AH830" t="s">
        <v>1825</v>
      </c>
      <c r="AI830" t="s">
        <v>67</v>
      </c>
      <c r="AJ830" t="s">
        <v>98</v>
      </c>
      <c r="AK830" s="3" t="s">
        <v>27</v>
      </c>
      <c r="AL830" s="3">
        <v>141.42620446699999</v>
      </c>
      <c r="AS830" t="s">
        <v>1859</v>
      </c>
      <c r="AT830" t="s">
        <v>196</v>
      </c>
      <c r="AU830" t="s">
        <v>109</v>
      </c>
      <c r="AV830" s="14">
        <v>5.1856186664647197</v>
      </c>
    </row>
    <row r="831" spans="26:48">
      <c r="Z831" s="3"/>
      <c r="AC831"/>
      <c r="AE831" s="3"/>
      <c r="AH831" t="s">
        <v>1825</v>
      </c>
      <c r="AI831" t="s">
        <v>67</v>
      </c>
      <c r="AJ831" t="s">
        <v>66</v>
      </c>
      <c r="AK831" s="3" t="s">
        <v>114</v>
      </c>
      <c r="AL831" s="3">
        <v>1626</v>
      </c>
      <c r="AS831" t="s">
        <v>1859</v>
      </c>
      <c r="AT831" t="s">
        <v>196</v>
      </c>
      <c r="AU831" t="s">
        <v>198</v>
      </c>
      <c r="AV831" s="14">
        <v>6.0051594255931802</v>
      </c>
    </row>
    <row r="832" spans="26:48">
      <c r="Z832" s="3"/>
      <c r="AC832"/>
      <c r="AE832" s="3"/>
      <c r="AH832" t="s">
        <v>1825</v>
      </c>
      <c r="AI832" t="s">
        <v>67</v>
      </c>
      <c r="AJ832" t="s">
        <v>98</v>
      </c>
      <c r="AK832" s="3" t="s">
        <v>114</v>
      </c>
      <c r="AL832" s="3">
        <v>-100.464139863</v>
      </c>
      <c r="AS832" t="s">
        <v>1860</v>
      </c>
      <c r="AT832" t="s">
        <v>88</v>
      </c>
      <c r="AU832" t="s">
        <v>109</v>
      </c>
      <c r="AV832" s="14">
        <v>18658</v>
      </c>
    </row>
    <row r="833" spans="26:48">
      <c r="Z833" s="3"/>
      <c r="AC833"/>
      <c r="AE833" s="3"/>
      <c r="AH833" t="s">
        <v>1825</v>
      </c>
      <c r="AI833" t="s">
        <v>67</v>
      </c>
      <c r="AJ833" t="s">
        <v>66</v>
      </c>
      <c r="AK833" s="3" t="s">
        <v>115</v>
      </c>
      <c r="AL833" s="3">
        <v>24364.2</v>
      </c>
      <c r="AS833" t="s">
        <v>1860</v>
      </c>
      <c r="AT833" t="s">
        <v>88</v>
      </c>
      <c r="AU833" t="s">
        <v>110</v>
      </c>
      <c r="AV833" s="14">
        <v>397.61059999999998</v>
      </c>
    </row>
    <row r="834" spans="26:48">
      <c r="Z834" s="3"/>
      <c r="AC834"/>
      <c r="AE834" s="3"/>
      <c r="AH834" t="s">
        <v>1825</v>
      </c>
      <c r="AI834" t="s">
        <v>67</v>
      </c>
      <c r="AJ834" t="s">
        <v>98</v>
      </c>
      <c r="AK834" s="3" t="s">
        <v>115</v>
      </c>
      <c r="AL834" s="3">
        <v>-241.89034433</v>
      </c>
      <c r="AS834" t="s">
        <v>1860</v>
      </c>
      <c r="AT834" t="s">
        <v>88</v>
      </c>
      <c r="AU834" t="s">
        <v>111</v>
      </c>
      <c r="AV834" s="14">
        <v>13800</v>
      </c>
    </row>
    <row r="835" spans="26:48">
      <c r="Z835" s="3"/>
      <c r="AC835"/>
      <c r="AE835" s="3"/>
      <c r="AH835" t="s">
        <v>1825</v>
      </c>
      <c r="AI835" t="s">
        <v>68</v>
      </c>
      <c r="AJ835" t="s">
        <v>66</v>
      </c>
      <c r="AK835" s="3" t="s">
        <v>27</v>
      </c>
      <c r="AL835" s="3">
        <v>-85</v>
      </c>
      <c r="AS835" t="s">
        <v>1860</v>
      </c>
      <c r="AT835" t="s">
        <v>88</v>
      </c>
      <c r="AU835" t="s">
        <v>268</v>
      </c>
      <c r="AV835" s="14">
        <v>0</v>
      </c>
    </row>
    <row r="836" spans="26:48">
      <c r="Z836" s="3"/>
      <c r="AC836"/>
      <c r="AE836" s="3"/>
      <c r="AH836" t="s">
        <v>1825</v>
      </c>
      <c r="AI836" t="s">
        <v>68</v>
      </c>
      <c r="AJ836" t="s">
        <v>72</v>
      </c>
      <c r="AK836" s="3" t="s">
        <v>27</v>
      </c>
      <c r="AL836" s="3">
        <v>-601.57140000000004</v>
      </c>
      <c r="AS836" t="s">
        <v>1860</v>
      </c>
      <c r="AT836" t="s">
        <v>88</v>
      </c>
      <c r="AU836" t="s">
        <v>269</v>
      </c>
      <c r="AV836" s="14">
        <v>0</v>
      </c>
    </row>
    <row r="837" spans="26:48">
      <c r="Z837" s="3"/>
      <c r="AC837"/>
      <c r="AE837" s="3"/>
      <c r="AH837" t="s">
        <v>1825</v>
      </c>
      <c r="AI837" t="s">
        <v>68</v>
      </c>
      <c r="AJ837" t="s">
        <v>113</v>
      </c>
      <c r="AK837" s="3" t="s">
        <v>27</v>
      </c>
      <c r="AL837" s="3">
        <v>-696.25136845479994</v>
      </c>
      <c r="AS837" t="s">
        <v>1860</v>
      </c>
      <c r="AT837" t="s">
        <v>88</v>
      </c>
      <c r="AU837" t="s">
        <v>270</v>
      </c>
      <c r="AV837" s="14">
        <v>0</v>
      </c>
    </row>
    <row r="838" spans="26:48">
      <c r="Z838" s="3"/>
      <c r="AC838"/>
      <c r="AE838" s="3"/>
      <c r="AH838" t="s">
        <v>1825</v>
      </c>
      <c r="AI838" t="s">
        <v>68</v>
      </c>
      <c r="AJ838" t="s">
        <v>108</v>
      </c>
      <c r="AK838" s="3" t="s">
        <v>27</v>
      </c>
      <c r="AL838" s="3">
        <v>179.67996845479999</v>
      </c>
      <c r="AS838" t="s">
        <v>1860</v>
      </c>
      <c r="AT838" t="s">
        <v>88</v>
      </c>
      <c r="AU838" t="s">
        <v>271</v>
      </c>
      <c r="AV838" s="14">
        <v>9042</v>
      </c>
    </row>
    <row r="839" spans="26:48">
      <c r="Z839" s="3"/>
      <c r="AC839"/>
      <c r="AE839" s="3"/>
      <c r="AH839" t="s">
        <v>1825</v>
      </c>
      <c r="AI839" t="s">
        <v>68</v>
      </c>
      <c r="AJ839" t="s">
        <v>98</v>
      </c>
      <c r="AK839" s="3" t="s">
        <v>27</v>
      </c>
      <c r="AL839" s="3">
        <v>-6.2087613794000003</v>
      </c>
      <c r="AS839" t="s">
        <v>1860</v>
      </c>
      <c r="AT839" t="s">
        <v>88</v>
      </c>
      <c r="AU839" t="s">
        <v>272</v>
      </c>
      <c r="AV839" s="14">
        <v>0</v>
      </c>
    </row>
    <row r="840" spans="26:48">
      <c r="Z840" s="3"/>
      <c r="AC840"/>
      <c r="AE840" s="3"/>
      <c r="AH840" t="s">
        <v>1825</v>
      </c>
      <c r="AI840" t="s">
        <v>68</v>
      </c>
      <c r="AJ840" t="s">
        <v>66</v>
      </c>
      <c r="AK840" s="3" t="s">
        <v>114</v>
      </c>
      <c r="AL840" s="3">
        <v>3341</v>
      </c>
      <c r="AS840" t="s">
        <v>1860</v>
      </c>
      <c r="AT840" t="s">
        <v>88</v>
      </c>
      <c r="AU840" t="s">
        <v>273</v>
      </c>
      <c r="AV840" s="14">
        <v>0</v>
      </c>
    </row>
    <row r="841" spans="26:48">
      <c r="Z841" s="3"/>
      <c r="AC841"/>
      <c r="AE841" s="3"/>
      <c r="AH841" t="s">
        <v>1825</v>
      </c>
      <c r="AI841" t="s">
        <v>68</v>
      </c>
      <c r="AJ841" t="s">
        <v>98</v>
      </c>
      <c r="AK841" s="3" t="s">
        <v>114</v>
      </c>
      <c r="AL841" s="3">
        <v>-116.3217898342</v>
      </c>
      <c r="AS841" t="s">
        <v>1860</v>
      </c>
      <c r="AT841" t="s">
        <v>196</v>
      </c>
      <c r="AU841" t="s">
        <v>197</v>
      </c>
      <c r="AV841" s="14">
        <v>7.2437978208016203</v>
      </c>
    </row>
    <row r="842" spans="26:48">
      <c r="Z842" s="3"/>
      <c r="AC842"/>
      <c r="AE842" s="3"/>
      <c r="AH842" t="s">
        <v>1825</v>
      </c>
      <c r="AI842" t="s">
        <v>68</v>
      </c>
      <c r="AJ842" t="s">
        <v>66</v>
      </c>
      <c r="AK842" s="3" t="s">
        <v>115</v>
      </c>
      <c r="AL842" s="3">
        <v>3426</v>
      </c>
      <c r="AS842" t="s">
        <v>1860</v>
      </c>
      <c r="AT842" t="s">
        <v>196</v>
      </c>
      <c r="AU842" t="s">
        <v>109</v>
      </c>
      <c r="AV842" s="14">
        <v>4.68168814671278</v>
      </c>
    </row>
    <row r="843" spans="26:48">
      <c r="Z843" s="3"/>
      <c r="AC843"/>
      <c r="AE843" s="3"/>
      <c r="AH843" t="s">
        <v>1825</v>
      </c>
      <c r="AI843" t="s">
        <v>68</v>
      </c>
      <c r="AJ843" t="s">
        <v>98</v>
      </c>
      <c r="AK843" s="3" t="s">
        <v>115</v>
      </c>
      <c r="AL843" s="3">
        <v>-110.1130284548</v>
      </c>
      <c r="AS843" t="s">
        <v>1860</v>
      </c>
      <c r="AT843" t="s">
        <v>196</v>
      </c>
      <c r="AU843" t="s">
        <v>198</v>
      </c>
      <c r="AV843" s="14">
        <v>5.6059740341030304</v>
      </c>
    </row>
    <row r="844" spans="26:48">
      <c r="Z844" s="3"/>
      <c r="AC844"/>
      <c r="AE844" s="3"/>
      <c r="AH844" t="s">
        <v>809</v>
      </c>
      <c r="AI844" t="s">
        <v>800</v>
      </c>
      <c r="AJ844" t="s">
        <v>31</v>
      </c>
      <c r="AK844" s="3" t="s">
        <v>27</v>
      </c>
      <c r="AL844" s="3">
        <v>3.9300189486999999</v>
      </c>
      <c r="AS844" t="s">
        <v>1861</v>
      </c>
      <c r="AT844" t="s">
        <v>88</v>
      </c>
      <c r="AU844" t="s">
        <v>109</v>
      </c>
      <c r="AV844" s="14">
        <v>21778</v>
      </c>
    </row>
    <row r="845" spans="26:48">
      <c r="Z845" s="3"/>
      <c r="AC845"/>
      <c r="AE845" s="3"/>
      <c r="AH845" t="s">
        <v>809</v>
      </c>
      <c r="AI845" t="s">
        <v>65</v>
      </c>
      <c r="AJ845" t="s">
        <v>66</v>
      </c>
      <c r="AK845" s="3" t="s">
        <v>27</v>
      </c>
      <c r="AL845" s="3">
        <v>39434.199999999997</v>
      </c>
      <c r="AS845" t="s">
        <v>1861</v>
      </c>
      <c r="AT845" t="s">
        <v>88</v>
      </c>
      <c r="AU845" t="s">
        <v>110</v>
      </c>
      <c r="AV845" s="14">
        <v>397.61059999999998</v>
      </c>
    </row>
    <row r="846" spans="26:48">
      <c r="Z846" s="3"/>
      <c r="AC846"/>
      <c r="AE846" s="3"/>
      <c r="AH846" t="s">
        <v>809</v>
      </c>
      <c r="AI846" t="s">
        <v>65</v>
      </c>
      <c r="AJ846" t="s">
        <v>72</v>
      </c>
      <c r="AK846" s="3" t="s">
        <v>27</v>
      </c>
      <c r="AL846" s="3">
        <v>40355.179922000003</v>
      </c>
      <c r="AS846" t="s">
        <v>1861</v>
      </c>
      <c r="AT846" t="s">
        <v>88</v>
      </c>
      <c r="AU846" t="s">
        <v>111</v>
      </c>
      <c r="AV846" s="14">
        <v>13800</v>
      </c>
    </row>
    <row r="847" spans="26:48">
      <c r="Z847" s="3"/>
      <c r="AC847"/>
      <c r="AE847" s="3"/>
      <c r="AH847" t="s">
        <v>809</v>
      </c>
      <c r="AI847" t="s">
        <v>65</v>
      </c>
      <c r="AJ847" t="s">
        <v>113</v>
      </c>
      <c r="AK847" s="3" t="s">
        <v>27</v>
      </c>
      <c r="AL847" s="3">
        <v>2632.8156115236002</v>
      </c>
      <c r="AS847" t="s">
        <v>1861</v>
      </c>
      <c r="AT847" t="s">
        <v>88</v>
      </c>
      <c r="AU847" t="s">
        <v>268</v>
      </c>
      <c r="AV847" s="14">
        <v>0</v>
      </c>
    </row>
    <row r="848" spans="26:48">
      <c r="Z848" s="3"/>
      <c r="AC848"/>
      <c r="AE848" s="3"/>
      <c r="AH848" t="s">
        <v>809</v>
      </c>
      <c r="AI848" t="s">
        <v>65</v>
      </c>
      <c r="AJ848" t="s">
        <v>108</v>
      </c>
      <c r="AK848" s="3" t="s">
        <v>27</v>
      </c>
      <c r="AL848" s="3">
        <v>-1711.8356895236</v>
      </c>
      <c r="AS848" t="s">
        <v>1861</v>
      </c>
      <c r="AT848" t="s">
        <v>88</v>
      </c>
      <c r="AU848" t="s">
        <v>269</v>
      </c>
      <c r="AV848" s="14">
        <v>0</v>
      </c>
    </row>
    <row r="849" spans="26:48">
      <c r="Z849" s="3"/>
      <c r="AC849"/>
      <c r="AE849" s="3"/>
      <c r="AH849" t="s">
        <v>809</v>
      </c>
      <c r="AI849" t="s">
        <v>65</v>
      </c>
      <c r="AJ849" t="s">
        <v>98</v>
      </c>
      <c r="AK849" s="3" t="s">
        <v>27</v>
      </c>
      <c r="AL849" s="3">
        <v>-1711.8356895236</v>
      </c>
      <c r="AS849" t="s">
        <v>1861</v>
      </c>
      <c r="AT849" t="s">
        <v>88</v>
      </c>
      <c r="AU849" t="s">
        <v>270</v>
      </c>
      <c r="AV849" s="14">
        <v>0</v>
      </c>
    </row>
    <row r="850" spans="26:48">
      <c r="Z850" s="3"/>
      <c r="AC850"/>
      <c r="AE850" s="3"/>
      <c r="AH850" t="s">
        <v>809</v>
      </c>
      <c r="AI850" t="s">
        <v>67</v>
      </c>
      <c r="AJ850" t="s">
        <v>66</v>
      </c>
      <c r="AK850" s="3" t="s">
        <v>27</v>
      </c>
      <c r="AL850" s="3">
        <v>-23755.200000000001</v>
      </c>
      <c r="AS850" t="s">
        <v>1861</v>
      </c>
      <c r="AT850" t="s">
        <v>88</v>
      </c>
      <c r="AU850" t="s">
        <v>271</v>
      </c>
      <c r="AV850" s="14">
        <v>7422</v>
      </c>
    </row>
    <row r="851" spans="26:48">
      <c r="Z851" s="3"/>
      <c r="AC851"/>
      <c r="AE851" s="3"/>
      <c r="AH851" t="s">
        <v>809</v>
      </c>
      <c r="AI851" t="s">
        <v>67</v>
      </c>
      <c r="AJ851" t="s">
        <v>72</v>
      </c>
      <c r="AK851" s="3" t="s">
        <v>27</v>
      </c>
      <c r="AL851" s="3">
        <v>-26056.216071999999</v>
      </c>
      <c r="AS851" t="s">
        <v>1861</v>
      </c>
      <c r="AT851" t="s">
        <v>88</v>
      </c>
      <c r="AU851" t="s">
        <v>272</v>
      </c>
      <c r="AV851" s="14">
        <v>0</v>
      </c>
    </row>
    <row r="852" spans="26:48">
      <c r="Z852" s="3"/>
      <c r="AC852"/>
      <c r="AE852" s="3"/>
      <c r="AH852" t="s">
        <v>809</v>
      </c>
      <c r="AI852" t="s">
        <v>67</v>
      </c>
      <c r="AJ852" t="s">
        <v>113</v>
      </c>
      <c r="AK852" s="3" t="s">
        <v>27</v>
      </c>
      <c r="AL852" s="3">
        <v>-2527.6029803596998</v>
      </c>
      <c r="AS852" t="s">
        <v>1861</v>
      </c>
      <c r="AT852" t="s">
        <v>88</v>
      </c>
      <c r="AU852" t="s">
        <v>273</v>
      </c>
      <c r="AV852" s="14">
        <v>0</v>
      </c>
    </row>
    <row r="853" spans="26:48">
      <c r="Z853" s="3"/>
      <c r="AC853"/>
      <c r="AE853" s="3"/>
      <c r="AH853" t="s">
        <v>809</v>
      </c>
      <c r="AI853" t="s">
        <v>67</v>
      </c>
      <c r="AJ853" t="s">
        <v>108</v>
      </c>
      <c r="AK853" s="3" t="s">
        <v>27</v>
      </c>
      <c r="AL853" s="3">
        <v>226.5869083597</v>
      </c>
      <c r="AS853" t="s">
        <v>1861</v>
      </c>
      <c r="AT853" t="s">
        <v>196</v>
      </c>
      <c r="AU853" t="s">
        <v>197</v>
      </c>
      <c r="AV853" s="14">
        <v>7.2437978208016203</v>
      </c>
    </row>
    <row r="854" spans="26:48">
      <c r="Z854" s="3"/>
      <c r="AC854"/>
      <c r="AE854" s="3"/>
      <c r="AH854" t="s">
        <v>809</v>
      </c>
      <c r="AI854" t="s">
        <v>67</v>
      </c>
      <c r="AJ854" t="s">
        <v>98</v>
      </c>
      <c r="AK854" s="3" t="s">
        <v>27</v>
      </c>
      <c r="AL854" s="3">
        <v>201.6194837022</v>
      </c>
      <c r="AS854" t="s">
        <v>1861</v>
      </c>
      <c r="AT854" t="s">
        <v>196</v>
      </c>
      <c r="AU854" t="s">
        <v>109</v>
      </c>
      <c r="AV854" s="14">
        <v>4.5800929745738701</v>
      </c>
    </row>
    <row r="855" spans="26:48">
      <c r="Z855" s="3"/>
      <c r="AC855"/>
      <c r="AE855" s="3"/>
      <c r="AH855" t="s">
        <v>809</v>
      </c>
      <c r="AI855" t="s">
        <v>67</v>
      </c>
      <c r="AJ855" t="s">
        <v>66</v>
      </c>
      <c r="AK855" s="3" t="s">
        <v>114</v>
      </c>
      <c r="AL855" s="3">
        <v>280</v>
      </c>
      <c r="AS855" t="s">
        <v>1861</v>
      </c>
      <c r="AT855" t="s">
        <v>196</v>
      </c>
      <c r="AU855" t="s">
        <v>198</v>
      </c>
      <c r="AV855" s="14">
        <v>5.4704449583561701</v>
      </c>
    </row>
    <row r="856" spans="26:48">
      <c r="Z856" s="3"/>
      <c r="AC856"/>
      <c r="AE856" s="3"/>
      <c r="AH856" t="s">
        <v>809</v>
      </c>
      <c r="AI856" t="s">
        <v>67</v>
      </c>
      <c r="AJ856" t="s">
        <v>98</v>
      </c>
      <c r="AK856" s="3" t="s">
        <v>114</v>
      </c>
      <c r="AL856" s="3">
        <v>-25.1506246575</v>
      </c>
      <c r="AS856" t="s">
        <v>1862</v>
      </c>
      <c r="AT856" t="s">
        <v>88</v>
      </c>
      <c r="AU856" t="s">
        <v>271</v>
      </c>
      <c r="AV856" s="14">
        <v>6422</v>
      </c>
    </row>
    <row r="857" spans="26:48">
      <c r="Z857" s="3"/>
      <c r="AC857"/>
      <c r="AE857" s="3"/>
      <c r="AH857" t="s">
        <v>809</v>
      </c>
      <c r="AI857" t="s">
        <v>67</v>
      </c>
      <c r="AJ857" t="s">
        <v>66</v>
      </c>
      <c r="AK857" s="3" t="s">
        <v>115</v>
      </c>
      <c r="AL857" s="3">
        <v>24035.200000000001</v>
      </c>
      <c r="AS857" t="s">
        <v>1862</v>
      </c>
      <c r="AT857" t="s">
        <v>88</v>
      </c>
      <c r="AU857" t="s">
        <v>272</v>
      </c>
      <c r="AV857" s="14">
        <v>0</v>
      </c>
    </row>
    <row r="858" spans="26:48">
      <c r="Z858" s="3"/>
      <c r="AC858"/>
      <c r="AE858" s="3"/>
      <c r="AH858" t="s">
        <v>809</v>
      </c>
      <c r="AI858" t="s">
        <v>67</v>
      </c>
      <c r="AJ858" t="s">
        <v>98</v>
      </c>
      <c r="AK858" s="3" t="s">
        <v>115</v>
      </c>
      <c r="AL858" s="3">
        <v>-226.7701083597</v>
      </c>
      <c r="AS858" t="s">
        <v>1862</v>
      </c>
      <c r="AT858" t="s">
        <v>88</v>
      </c>
      <c r="AU858" t="s">
        <v>273</v>
      </c>
      <c r="AV858" s="14">
        <v>0</v>
      </c>
    </row>
    <row r="859" spans="26:48">
      <c r="Z859" s="3"/>
      <c r="AC859"/>
      <c r="AE859" s="3"/>
      <c r="AH859" t="s">
        <v>809</v>
      </c>
      <c r="AI859" t="s">
        <v>68</v>
      </c>
      <c r="AJ859" t="s">
        <v>66</v>
      </c>
      <c r="AK859" s="3" t="s">
        <v>27</v>
      </c>
      <c r="AL859" s="3">
        <v>691</v>
      </c>
      <c r="AS859" t="s">
        <v>1862</v>
      </c>
      <c r="AT859" t="s">
        <v>196</v>
      </c>
      <c r="AU859" t="s">
        <v>197</v>
      </c>
      <c r="AV859" s="14">
        <v>7.1509220136976603</v>
      </c>
    </row>
    <row r="860" spans="26:48">
      <c r="Z860" s="3"/>
      <c r="AC860"/>
      <c r="AE860" s="3"/>
      <c r="AH860" t="s">
        <v>809</v>
      </c>
      <c r="AI860" t="s">
        <v>68</v>
      </c>
      <c r="AJ860" t="s">
        <v>72</v>
      </c>
      <c r="AK860" s="3" t="s">
        <v>27</v>
      </c>
      <c r="AL860" s="3">
        <v>589.49140999999997</v>
      </c>
      <c r="AS860" t="s">
        <v>1862</v>
      </c>
      <c r="AT860" t="s">
        <v>196</v>
      </c>
      <c r="AU860" t="s">
        <v>109</v>
      </c>
      <c r="AV860" s="14">
        <v>4.8721919029646799</v>
      </c>
    </row>
    <row r="861" spans="26:48">
      <c r="Z861" s="3"/>
      <c r="AC861"/>
      <c r="AE861" s="3"/>
      <c r="AH861" t="s">
        <v>809</v>
      </c>
      <c r="AI861" t="s">
        <v>68</v>
      </c>
      <c r="AJ861" t="s">
        <v>113</v>
      </c>
      <c r="AK861" s="3" t="s">
        <v>27</v>
      </c>
      <c r="AL861" s="3">
        <v>-749.09744551009999</v>
      </c>
      <c r="AS861" t="s">
        <v>1862</v>
      </c>
      <c r="AT861" t="s">
        <v>196</v>
      </c>
      <c r="AU861" t="s">
        <v>198</v>
      </c>
      <c r="AV861" s="14">
        <v>5.6508490685037396</v>
      </c>
    </row>
    <row r="862" spans="26:48">
      <c r="Z862" s="3"/>
      <c r="AC862"/>
      <c r="AE862" s="3"/>
      <c r="AH862" t="s">
        <v>809</v>
      </c>
      <c r="AI862" t="s">
        <v>68</v>
      </c>
      <c r="AJ862" t="s">
        <v>108</v>
      </c>
      <c r="AK862" s="3" t="s">
        <v>27</v>
      </c>
      <c r="AL862" s="3">
        <v>647.58885551009996</v>
      </c>
      <c r="AS862" t="s">
        <v>1862</v>
      </c>
      <c r="AT862" t="s">
        <v>88</v>
      </c>
      <c r="AU862" t="s">
        <v>109</v>
      </c>
      <c r="AV862" s="14">
        <v>22778</v>
      </c>
    </row>
    <row r="863" spans="26:48">
      <c r="Z863" s="3"/>
      <c r="AC863"/>
      <c r="AE863" s="3"/>
      <c r="AH863" t="s">
        <v>809</v>
      </c>
      <c r="AI863" t="s">
        <v>68</v>
      </c>
      <c r="AJ863" t="s">
        <v>98</v>
      </c>
      <c r="AK863" s="3" t="s">
        <v>27</v>
      </c>
      <c r="AL863" s="3">
        <v>-79.785529306800001</v>
      </c>
      <c r="AS863" t="s">
        <v>1862</v>
      </c>
      <c r="AT863" t="s">
        <v>88</v>
      </c>
      <c r="AU863" t="s">
        <v>110</v>
      </c>
      <c r="AV863" s="14">
        <v>397.61059999999998</v>
      </c>
    </row>
    <row r="864" spans="26:48">
      <c r="Z864" s="3"/>
      <c r="AC864"/>
      <c r="AE864" s="3"/>
      <c r="AH864" t="s">
        <v>809</v>
      </c>
      <c r="AI864" t="s">
        <v>68</v>
      </c>
      <c r="AJ864" t="s">
        <v>66</v>
      </c>
      <c r="AK864" s="3" t="s">
        <v>114</v>
      </c>
      <c r="AL864" s="3">
        <v>4633</v>
      </c>
      <c r="AS864" t="s">
        <v>1862</v>
      </c>
      <c r="AT864" t="s">
        <v>88</v>
      </c>
      <c r="AU864" t="s">
        <v>111</v>
      </c>
      <c r="AV864" s="14">
        <v>14800</v>
      </c>
    </row>
    <row r="865" spans="26:48">
      <c r="Z865" s="3"/>
      <c r="AC865"/>
      <c r="AE865" s="3"/>
      <c r="AH865" t="s">
        <v>809</v>
      </c>
      <c r="AI865" t="s">
        <v>68</v>
      </c>
      <c r="AJ865" t="s">
        <v>98</v>
      </c>
      <c r="AK865" s="3" t="s">
        <v>114</v>
      </c>
      <c r="AL865" s="3">
        <v>-186.46900481700001</v>
      </c>
      <c r="AS865" t="s">
        <v>1862</v>
      </c>
      <c r="AT865" t="s">
        <v>88</v>
      </c>
      <c r="AU865" t="s">
        <v>268</v>
      </c>
      <c r="AV865" s="14">
        <v>0</v>
      </c>
    </row>
    <row r="866" spans="26:48">
      <c r="Z866" s="3"/>
      <c r="AC866"/>
      <c r="AE866" s="3"/>
      <c r="AH866" t="s">
        <v>809</v>
      </c>
      <c r="AI866" t="s">
        <v>68</v>
      </c>
      <c r="AJ866" t="s">
        <v>66</v>
      </c>
      <c r="AK866" s="3" t="s">
        <v>115</v>
      </c>
      <c r="AL866" s="3">
        <v>3942</v>
      </c>
      <c r="AS866" t="s">
        <v>1862</v>
      </c>
      <c r="AT866" t="s">
        <v>88</v>
      </c>
      <c r="AU866" t="s">
        <v>269</v>
      </c>
      <c r="AV866" s="14">
        <v>0</v>
      </c>
    </row>
    <row r="867" spans="26:48">
      <c r="Z867" s="3"/>
      <c r="AC867"/>
      <c r="AE867" s="3"/>
      <c r="AH867" t="s">
        <v>809</v>
      </c>
      <c r="AI867" t="s">
        <v>68</v>
      </c>
      <c r="AJ867" t="s">
        <v>98</v>
      </c>
      <c r="AK867" s="3" t="s">
        <v>115</v>
      </c>
      <c r="AL867" s="3">
        <v>-106.6834755101</v>
      </c>
      <c r="AS867" t="s">
        <v>1862</v>
      </c>
      <c r="AT867" t="s">
        <v>88</v>
      </c>
      <c r="AU867" t="s">
        <v>270</v>
      </c>
      <c r="AV867" s="14">
        <v>0</v>
      </c>
    </row>
    <row r="868" spans="26:48">
      <c r="Z868" s="3"/>
      <c r="AC868"/>
      <c r="AE868" s="3"/>
      <c r="AH868" t="s">
        <v>808</v>
      </c>
      <c r="AI868" t="s">
        <v>800</v>
      </c>
      <c r="AJ868" t="s">
        <v>31</v>
      </c>
      <c r="AK868" s="3" t="s">
        <v>27</v>
      </c>
      <c r="AL868" s="3">
        <v>3.9425284001000001</v>
      </c>
      <c r="AS868" t="s">
        <v>1863</v>
      </c>
      <c r="AT868" t="s">
        <v>88</v>
      </c>
      <c r="AU868" t="s">
        <v>109</v>
      </c>
      <c r="AV868" s="14">
        <v>22178</v>
      </c>
    </row>
    <row r="869" spans="26:48">
      <c r="Z869" s="3"/>
      <c r="AC869"/>
      <c r="AE869" s="3"/>
      <c r="AH869" t="s">
        <v>808</v>
      </c>
      <c r="AI869" t="s">
        <v>65</v>
      </c>
      <c r="AJ869" t="s">
        <v>66</v>
      </c>
      <c r="AK869" s="3" t="s">
        <v>27</v>
      </c>
      <c r="AL869" s="3">
        <v>40219.199999999997</v>
      </c>
      <c r="AS869" t="s">
        <v>1863</v>
      </c>
      <c r="AT869" t="s">
        <v>88</v>
      </c>
      <c r="AU869" t="s">
        <v>110</v>
      </c>
      <c r="AV869" s="14">
        <v>397.61059999999998</v>
      </c>
    </row>
    <row r="870" spans="26:48">
      <c r="Z870" s="3"/>
      <c r="AC870"/>
      <c r="AE870" s="3"/>
      <c r="AH870" t="s">
        <v>808</v>
      </c>
      <c r="AI870" t="s">
        <v>65</v>
      </c>
      <c r="AJ870" t="s">
        <v>72</v>
      </c>
      <c r="AK870" s="3" t="s">
        <v>27</v>
      </c>
      <c r="AL870" s="3">
        <v>41145.048739999998</v>
      </c>
      <c r="AS870" t="s">
        <v>1863</v>
      </c>
      <c r="AT870" t="s">
        <v>88</v>
      </c>
      <c r="AU870" t="s">
        <v>111</v>
      </c>
      <c r="AV870" s="14">
        <v>14800</v>
      </c>
    </row>
    <row r="871" spans="26:48">
      <c r="Z871" s="3"/>
      <c r="AC871"/>
      <c r="AE871" s="3"/>
      <c r="AH871" t="s">
        <v>808</v>
      </c>
      <c r="AI871" t="s">
        <v>65</v>
      </c>
      <c r="AJ871" t="s">
        <v>113</v>
      </c>
      <c r="AK871" s="3" t="s">
        <v>27</v>
      </c>
      <c r="AL871" s="3">
        <v>2656.2627028673</v>
      </c>
      <c r="AS871" t="s">
        <v>1863</v>
      </c>
      <c r="AT871" t="s">
        <v>88</v>
      </c>
      <c r="AU871" t="s">
        <v>268</v>
      </c>
      <c r="AV871" s="14">
        <v>0</v>
      </c>
    </row>
    <row r="872" spans="26:48">
      <c r="Z872" s="3"/>
      <c r="AC872"/>
      <c r="AE872" s="3"/>
      <c r="AH872" t="s">
        <v>808</v>
      </c>
      <c r="AI872" t="s">
        <v>65</v>
      </c>
      <c r="AJ872" t="s">
        <v>108</v>
      </c>
      <c r="AK872" s="3" t="s">
        <v>27</v>
      </c>
      <c r="AL872" s="3">
        <v>-1730.4139628672999</v>
      </c>
      <c r="AS872" t="s">
        <v>1863</v>
      </c>
      <c r="AT872" t="s">
        <v>88</v>
      </c>
      <c r="AU872" t="s">
        <v>269</v>
      </c>
      <c r="AV872" s="14">
        <v>0</v>
      </c>
    </row>
    <row r="873" spans="26:48">
      <c r="Z873" s="3"/>
      <c r="AC873"/>
      <c r="AE873" s="3"/>
      <c r="AH873" t="s">
        <v>808</v>
      </c>
      <c r="AI873" t="s">
        <v>65</v>
      </c>
      <c r="AJ873" t="s">
        <v>98</v>
      </c>
      <c r="AK873" s="3" t="s">
        <v>27</v>
      </c>
      <c r="AL873" s="3">
        <v>-1730.4139628672999</v>
      </c>
      <c r="AS873" t="s">
        <v>1863</v>
      </c>
      <c r="AT873" t="s">
        <v>88</v>
      </c>
      <c r="AU873" t="s">
        <v>270</v>
      </c>
      <c r="AV873" s="14">
        <v>0</v>
      </c>
    </row>
    <row r="874" spans="26:48">
      <c r="Z874" s="3"/>
      <c r="AC874"/>
      <c r="AE874" s="3"/>
      <c r="AH874" t="s">
        <v>808</v>
      </c>
      <c r="AI874" t="s">
        <v>67</v>
      </c>
      <c r="AJ874" t="s">
        <v>66</v>
      </c>
      <c r="AK874" s="3" t="s">
        <v>27</v>
      </c>
      <c r="AL874" s="3">
        <v>-24299.200000000001</v>
      </c>
      <c r="AS874" t="s">
        <v>1863</v>
      </c>
      <c r="AT874" t="s">
        <v>88</v>
      </c>
      <c r="AU874" t="s">
        <v>271</v>
      </c>
      <c r="AV874" s="14">
        <v>7022</v>
      </c>
    </row>
    <row r="875" spans="26:48">
      <c r="Z875" s="3"/>
      <c r="AC875"/>
      <c r="AE875" s="3"/>
      <c r="AH875" t="s">
        <v>808</v>
      </c>
      <c r="AI875" t="s">
        <v>67</v>
      </c>
      <c r="AJ875" t="s">
        <v>72</v>
      </c>
      <c r="AK875" s="3" t="s">
        <v>27</v>
      </c>
      <c r="AL875" s="3">
        <v>-26479.365669999999</v>
      </c>
      <c r="AS875" t="s">
        <v>1863</v>
      </c>
      <c r="AT875" t="s">
        <v>88</v>
      </c>
      <c r="AU875" t="s">
        <v>272</v>
      </c>
      <c r="AV875" s="14">
        <v>0</v>
      </c>
    </row>
    <row r="876" spans="26:48">
      <c r="Z876" s="3"/>
      <c r="AC876"/>
      <c r="AE876" s="3"/>
      <c r="AH876" t="s">
        <v>808</v>
      </c>
      <c r="AI876" t="s">
        <v>67</v>
      </c>
      <c r="AJ876" t="s">
        <v>113</v>
      </c>
      <c r="AK876" s="3" t="s">
        <v>27</v>
      </c>
      <c r="AL876" s="3">
        <v>-2396.7094231967999</v>
      </c>
      <c r="AS876" t="s">
        <v>1863</v>
      </c>
      <c r="AT876" t="s">
        <v>88</v>
      </c>
      <c r="AU876" t="s">
        <v>273</v>
      </c>
      <c r="AV876" s="14">
        <v>0</v>
      </c>
    </row>
    <row r="877" spans="26:48">
      <c r="Z877" s="3"/>
      <c r="AC877"/>
      <c r="AE877" s="3"/>
      <c r="AH877" t="s">
        <v>808</v>
      </c>
      <c r="AI877" t="s">
        <v>67</v>
      </c>
      <c r="AJ877" t="s">
        <v>108</v>
      </c>
      <c r="AK877" s="3" t="s">
        <v>27</v>
      </c>
      <c r="AL877" s="3">
        <v>216.5437531968</v>
      </c>
      <c r="AS877" t="s">
        <v>1863</v>
      </c>
      <c r="AT877" t="s">
        <v>196</v>
      </c>
      <c r="AU877" t="s">
        <v>197</v>
      </c>
      <c r="AV877" s="14">
        <v>7.1509220136976603</v>
      </c>
    </row>
    <row r="878" spans="26:48">
      <c r="Z878" s="3"/>
      <c r="AC878"/>
      <c r="AE878" s="3"/>
      <c r="AH878" t="s">
        <v>808</v>
      </c>
      <c r="AI878" t="s">
        <v>67</v>
      </c>
      <c r="AJ878" t="s">
        <v>98</v>
      </c>
      <c r="AK878" s="3" t="s">
        <v>27</v>
      </c>
      <c r="AL878" s="3">
        <v>216.5437531968</v>
      </c>
      <c r="AS878" t="s">
        <v>1863</v>
      </c>
      <c r="AT878" t="s">
        <v>196</v>
      </c>
      <c r="AU878" t="s">
        <v>109</v>
      </c>
      <c r="AV878" s="14">
        <v>4.8151488714345501</v>
      </c>
    </row>
    <row r="879" spans="26:48">
      <c r="Z879" s="3"/>
      <c r="AC879"/>
      <c r="AE879" s="3"/>
      <c r="AH879" t="s">
        <v>808</v>
      </c>
      <c r="AI879" t="s">
        <v>67</v>
      </c>
      <c r="AJ879" t="s">
        <v>66</v>
      </c>
      <c r="AK879" s="3" t="s">
        <v>114</v>
      </c>
      <c r="AL879" s="3">
        <v>0</v>
      </c>
      <c r="AS879" t="s">
        <v>1863</v>
      </c>
      <c r="AT879" t="s">
        <v>196</v>
      </c>
      <c r="AU879" t="s">
        <v>198</v>
      </c>
      <c r="AV879" s="14">
        <v>5.6242127267431101</v>
      </c>
    </row>
    <row r="880" spans="26:48">
      <c r="Z880" s="3"/>
      <c r="AC880"/>
      <c r="AE880" s="3"/>
      <c r="AH880" t="s">
        <v>808</v>
      </c>
      <c r="AI880" t="s">
        <v>67</v>
      </c>
      <c r="AJ880" t="s">
        <v>98</v>
      </c>
      <c r="AK880" s="3" t="s">
        <v>114</v>
      </c>
      <c r="AL880" s="3">
        <v>0</v>
      </c>
      <c r="AS880" t="s">
        <v>1864</v>
      </c>
      <c r="AT880" t="s">
        <v>196</v>
      </c>
      <c r="AU880" t="s">
        <v>197</v>
      </c>
      <c r="AV880" s="14">
        <v>7.1509220136976603</v>
      </c>
    </row>
    <row r="881" spans="26:48">
      <c r="Z881" s="3"/>
      <c r="AC881"/>
      <c r="AE881" s="3"/>
      <c r="AH881" t="s">
        <v>808</v>
      </c>
      <c r="AI881" t="s">
        <v>67</v>
      </c>
      <c r="AJ881" t="s">
        <v>66</v>
      </c>
      <c r="AK881" s="3" t="s">
        <v>115</v>
      </c>
      <c r="AL881" s="3">
        <v>24299.200000000001</v>
      </c>
      <c r="AS881" t="s">
        <v>1864</v>
      </c>
      <c r="AT881" t="s">
        <v>196</v>
      </c>
      <c r="AU881" t="s">
        <v>109</v>
      </c>
      <c r="AV881" s="14">
        <v>5.5336697695462398</v>
      </c>
    </row>
    <row r="882" spans="26:48">
      <c r="Z882" s="3"/>
      <c r="AC882"/>
      <c r="AE882" s="3"/>
      <c r="AH882" t="s">
        <v>808</v>
      </c>
      <c r="AI882" t="s">
        <v>67</v>
      </c>
      <c r="AJ882" t="s">
        <v>98</v>
      </c>
      <c r="AK882" s="3" t="s">
        <v>115</v>
      </c>
      <c r="AL882" s="3">
        <v>-216.5437531968</v>
      </c>
      <c r="AS882" t="s">
        <v>1864</v>
      </c>
      <c r="AT882" t="s">
        <v>196</v>
      </c>
      <c r="AU882" t="s">
        <v>198</v>
      </c>
      <c r="AV882" s="14">
        <v>6.1220123334389998</v>
      </c>
    </row>
    <row r="883" spans="26:48">
      <c r="Z883" s="3"/>
      <c r="AC883"/>
      <c r="AE883" s="3"/>
      <c r="AH883" t="s">
        <v>808</v>
      </c>
      <c r="AI883" t="s">
        <v>68</v>
      </c>
      <c r="AJ883" t="s">
        <v>66</v>
      </c>
      <c r="AK883" s="3" t="s">
        <v>27</v>
      </c>
      <c r="AL883" s="3">
        <v>450</v>
      </c>
      <c r="AS883" t="s">
        <v>1864</v>
      </c>
      <c r="AT883" t="s">
        <v>88</v>
      </c>
      <c r="AU883" t="s">
        <v>109</v>
      </c>
      <c r="AV883" s="14">
        <v>20078</v>
      </c>
    </row>
    <row r="884" spans="26:48">
      <c r="Z884" s="3"/>
      <c r="AC884"/>
      <c r="AE884" s="3"/>
      <c r="AH884" t="s">
        <v>808</v>
      </c>
      <c r="AI884" t="s">
        <v>68</v>
      </c>
      <c r="AJ884" t="s">
        <v>72</v>
      </c>
      <c r="AK884" s="3" t="s">
        <v>27</v>
      </c>
      <c r="AL884" s="3">
        <v>220.66964999999999</v>
      </c>
      <c r="AS884" t="s">
        <v>1864</v>
      </c>
      <c r="AT884" t="s">
        <v>88</v>
      </c>
      <c r="AU884" t="s">
        <v>110</v>
      </c>
      <c r="AV884" s="14">
        <v>397.61059999999998</v>
      </c>
    </row>
    <row r="885" spans="26:48">
      <c r="Z885" s="3"/>
      <c r="AC885"/>
      <c r="AE885" s="3"/>
      <c r="AH885" t="s">
        <v>808</v>
      </c>
      <c r="AI885" t="s">
        <v>68</v>
      </c>
      <c r="AJ885" t="s">
        <v>113</v>
      </c>
      <c r="AK885" s="3" t="s">
        <v>27</v>
      </c>
      <c r="AL885" s="3">
        <v>-768.2467943071</v>
      </c>
      <c r="AS885" t="s">
        <v>1864</v>
      </c>
      <c r="AT885" t="s">
        <v>88</v>
      </c>
      <c r="AU885" t="s">
        <v>111</v>
      </c>
      <c r="AV885" s="14">
        <v>14800</v>
      </c>
    </row>
    <row r="886" spans="26:48">
      <c r="Z886" s="3"/>
      <c r="AC886"/>
      <c r="AE886" s="3"/>
      <c r="AH886" t="s">
        <v>808</v>
      </c>
      <c r="AI886" t="s">
        <v>68</v>
      </c>
      <c r="AJ886" t="s">
        <v>108</v>
      </c>
      <c r="AK886" s="3" t="s">
        <v>27</v>
      </c>
      <c r="AL886" s="3">
        <v>538.91644430710005</v>
      </c>
      <c r="AS886" t="s">
        <v>1864</v>
      </c>
      <c r="AT886" t="s">
        <v>88</v>
      </c>
      <c r="AU886" t="s">
        <v>268</v>
      </c>
      <c r="AV886" s="14">
        <v>0</v>
      </c>
    </row>
    <row r="887" spans="26:48">
      <c r="Z887" s="3"/>
      <c r="AC887"/>
      <c r="AE887" s="3"/>
      <c r="AH887" t="s">
        <v>808</v>
      </c>
      <c r="AI887" t="s">
        <v>68</v>
      </c>
      <c r="AJ887" t="s">
        <v>98</v>
      </c>
      <c r="AK887" s="3" t="s">
        <v>27</v>
      </c>
      <c r="AL887" s="3">
        <v>-78.472775138499998</v>
      </c>
      <c r="AS887" t="s">
        <v>1864</v>
      </c>
      <c r="AT887" t="s">
        <v>88</v>
      </c>
      <c r="AU887" t="s">
        <v>269</v>
      </c>
      <c r="AV887" s="14">
        <v>0</v>
      </c>
    </row>
    <row r="888" spans="26:48">
      <c r="Z888" s="3"/>
      <c r="AC888"/>
      <c r="AE888" s="3"/>
      <c r="AH888" t="s">
        <v>808</v>
      </c>
      <c r="AI888" t="s">
        <v>68</v>
      </c>
      <c r="AJ888" t="s">
        <v>66</v>
      </c>
      <c r="AK888" s="3" t="s">
        <v>114</v>
      </c>
      <c r="AL888" s="3">
        <v>4051</v>
      </c>
      <c r="AS888" t="s">
        <v>1864</v>
      </c>
      <c r="AT888" t="s">
        <v>88</v>
      </c>
      <c r="AU888" t="s">
        <v>270</v>
      </c>
      <c r="AV888" s="14">
        <v>0</v>
      </c>
    </row>
    <row r="889" spans="26:48">
      <c r="Z889" s="3"/>
      <c r="AC889"/>
      <c r="AE889" s="3"/>
      <c r="AH889" t="s">
        <v>808</v>
      </c>
      <c r="AI889" t="s">
        <v>68</v>
      </c>
      <c r="AJ889" t="s">
        <v>98</v>
      </c>
      <c r="AK889" s="3" t="s">
        <v>114</v>
      </c>
      <c r="AL889" s="3">
        <v>-179.82097944559999</v>
      </c>
      <c r="AS889" t="s">
        <v>1864</v>
      </c>
      <c r="AT889" t="s">
        <v>88</v>
      </c>
      <c r="AU889" t="s">
        <v>271</v>
      </c>
      <c r="AV889" s="14">
        <v>9122</v>
      </c>
    </row>
    <row r="890" spans="26:48">
      <c r="Z890" s="3"/>
      <c r="AC890"/>
      <c r="AE890" s="3"/>
      <c r="AH890" t="s">
        <v>808</v>
      </c>
      <c r="AI890" t="s">
        <v>68</v>
      </c>
      <c r="AJ890" t="s">
        <v>66</v>
      </c>
      <c r="AK890" s="3" t="s">
        <v>115</v>
      </c>
      <c r="AL890" s="3">
        <v>3601</v>
      </c>
      <c r="AS890" t="s">
        <v>1864</v>
      </c>
      <c r="AT890" t="s">
        <v>88</v>
      </c>
      <c r="AU890" t="s">
        <v>272</v>
      </c>
      <c r="AV890" s="14">
        <v>0</v>
      </c>
    </row>
    <row r="891" spans="26:48">
      <c r="Z891" s="3"/>
      <c r="AC891"/>
      <c r="AE891" s="3"/>
      <c r="AH891" t="s">
        <v>808</v>
      </c>
      <c r="AI891" t="s">
        <v>68</v>
      </c>
      <c r="AJ891" t="s">
        <v>98</v>
      </c>
      <c r="AK891" s="3" t="s">
        <v>115</v>
      </c>
      <c r="AL891" s="3">
        <v>-101.3482043071</v>
      </c>
      <c r="AS891" t="s">
        <v>1864</v>
      </c>
      <c r="AT891" t="s">
        <v>88</v>
      </c>
      <c r="AU891" t="s">
        <v>273</v>
      </c>
      <c r="AV891" s="14">
        <v>0</v>
      </c>
    </row>
    <row r="892" spans="26:48">
      <c r="Z892" s="3"/>
      <c r="AC892"/>
      <c r="AE892" s="3"/>
      <c r="AH892" t="s">
        <v>807</v>
      </c>
      <c r="AI892" t="s">
        <v>65</v>
      </c>
      <c r="AJ892" t="s">
        <v>66</v>
      </c>
      <c r="AK892" s="3" t="s">
        <v>27</v>
      </c>
      <c r="AL892" s="3">
        <v>40454.199999999997</v>
      </c>
      <c r="AS892" t="s">
        <v>1865</v>
      </c>
      <c r="AT892" t="s">
        <v>88</v>
      </c>
      <c r="AU892" t="s">
        <v>109</v>
      </c>
      <c r="AV892" s="14">
        <v>20127</v>
      </c>
    </row>
    <row r="893" spans="26:48">
      <c r="Z893" s="3"/>
      <c r="AC893"/>
      <c r="AE893" s="3"/>
      <c r="AH893" t="s">
        <v>807</v>
      </c>
      <c r="AI893" t="s">
        <v>65</v>
      </c>
      <c r="AJ893" t="s">
        <v>72</v>
      </c>
      <c r="AK893" s="3" t="s">
        <v>27</v>
      </c>
      <c r="AL893" s="3">
        <v>41482.635784999999</v>
      </c>
      <c r="AS893" t="s">
        <v>1865</v>
      </c>
      <c r="AT893" t="s">
        <v>88</v>
      </c>
      <c r="AU893" t="s">
        <v>110</v>
      </c>
      <c r="AV893" s="14">
        <v>397.61059999999998</v>
      </c>
    </row>
    <row r="894" spans="26:48">
      <c r="Z894" s="3"/>
      <c r="AC894"/>
      <c r="AE894" s="3"/>
      <c r="AH894" t="s">
        <v>807</v>
      </c>
      <c r="AI894" t="s">
        <v>65</v>
      </c>
      <c r="AJ894" t="s">
        <v>113</v>
      </c>
      <c r="AK894" s="3" t="s">
        <v>27</v>
      </c>
      <c r="AL894" s="3">
        <v>2793.1640884356998</v>
      </c>
      <c r="AS894" t="s">
        <v>1865</v>
      </c>
      <c r="AT894" t="s">
        <v>88</v>
      </c>
      <c r="AU894" t="s">
        <v>111</v>
      </c>
      <c r="AV894" s="14">
        <v>14800</v>
      </c>
    </row>
    <row r="895" spans="26:48">
      <c r="Z895" s="3"/>
      <c r="AC895"/>
      <c r="AE895" s="3"/>
      <c r="AH895" t="s">
        <v>807</v>
      </c>
      <c r="AI895" t="s">
        <v>65</v>
      </c>
      <c r="AJ895" t="s">
        <v>108</v>
      </c>
      <c r="AK895" s="3" t="s">
        <v>27</v>
      </c>
      <c r="AL895" s="3">
        <v>-1764.7283034356999</v>
      </c>
      <c r="AS895" t="s">
        <v>1865</v>
      </c>
      <c r="AT895" t="s">
        <v>88</v>
      </c>
      <c r="AU895" t="s">
        <v>268</v>
      </c>
      <c r="AV895" s="14">
        <v>0</v>
      </c>
    </row>
    <row r="896" spans="26:48">
      <c r="Z896" s="3"/>
      <c r="AC896"/>
      <c r="AE896" s="3"/>
      <c r="AH896" t="s">
        <v>807</v>
      </c>
      <c r="AI896" t="s">
        <v>65</v>
      </c>
      <c r="AJ896" t="s">
        <v>98</v>
      </c>
      <c r="AK896" s="3" t="s">
        <v>27</v>
      </c>
      <c r="AL896" s="3">
        <v>-1764.7283034356999</v>
      </c>
      <c r="AS896" t="s">
        <v>1865</v>
      </c>
      <c r="AT896" t="s">
        <v>88</v>
      </c>
      <c r="AU896" t="s">
        <v>269</v>
      </c>
      <c r="AV896" s="14">
        <v>0</v>
      </c>
    </row>
    <row r="897" spans="26:48">
      <c r="Z897" s="3"/>
      <c r="AC897"/>
      <c r="AE897" s="3"/>
      <c r="AH897" t="s">
        <v>807</v>
      </c>
      <c r="AI897" t="s">
        <v>67</v>
      </c>
      <c r="AJ897" t="s">
        <v>66</v>
      </c>
      <c r="AK897" s="3" t="s">
        <v>27</v>
      </c>
      <c r="AL897" s="3">
        <v>-23749.200000000001</v>
      </c>
      <c r="AS897" t="s">
        <v>1865</v>
      </c>
      <c r="AT897" t="s">
        <v>88</v>
      </c>
      <c r="AU897" t="s">
        <v>270</v>
      </c>
      <c r="AV897" s="14">
        <v>0</v>
      </c>
    </row>
    <row r="898" spans="26:48">
      <c r="Z898" s="3"/>
      <c r="AC898"/>
      <c r="AE898" s="3"/>
      <c r="AH898" t="s">
        <v>807</v>
      </c>
      <c r="AI898" t="s">
        <v>67</v>
      </c>
      <c r="AJ898" t="s">
        <v>72</v>
      </c>
      <c r="AK898" s="3" t="s">
        <v>27</v>
      </c>
      <c r="AL898" s="3">
        <v>-26019.548565000001</v>
      </c>
      <c r="AS898" t="s">
        <v>1865</v>
      </c>
      <c r="AT898" t="s">
        <v>88</v>
      </c>
      <c r="AU898" t="s">
        <v>271</v>
      </c>
      <c r="AV898" s="14">
        <v>9073</v>
      </c>
    </row>
    <row r="899" spans="26:48">
      <c r="Z899" s="3"/>
      <c r="AC899"/>
      <c r="AE899" s="3"/>
      <c r="AH899" t="s">
        <v>807</v>
      </c>
      <c r="AI899" t="s">
        <v>67</v>
      </c>
      <c r="AJ899" t="s">
        <v>113</v>
      </c>
      <c r="AK899" s="3" t="s">
        <v>27</v>
      </c>
      <c r="AL899" s="3">
        <v>-2611.0657891781998</v>
      </c>
      <c r="AS899" t="s">
        <v>1865</v>
      </c>
      <c r="AT899" t="s">
        <v>88</v>
      </c>
      <c r="AU899" t="s">
        <v>272</v>
      </c>
      <c r="AV899" s="14">
        <v>0</v>
      </c>
    </row>
    <row r="900" spans="26:48">
      <c r="Z900" s="3"/>
      <c r="AC900"/>
      <c r="AE900" s="3"/>
      <c r="AH900" t="s">
        <v>807</v>
      </c>
      <c r="AI900" t="s">
        <v>67</v>
      </c>
      <c r="AJ900" t="s">
        <v>108</v>
      </c>
      <c r="AK900" s="3" t="s">
        <v>27</v>
      </c>
      <c r="AL900" s="3">
        <v>340.71722417820001</v>
      </c>
      <c r="AS900" t="s">
        <v>1865</v>
      </c>
      <c r="AT900" t="s">
        <v>88</v>
      </c>
      <c r="AU900" t="s">
        <v>273</v>
      </c>
      <c r="AV900" s="14">
        <v>0</v>
      </c>
    </row>
    <row r="901" spans="26:48">
      <c r="Z901" s="3"/>
      <c r="AC901"/>
      <c r="AE901" s="3"/>
      <c r="AH901" t="s">
        <v>807</v>
      </c>
      <c r="AI901" t="s">
        <v>67</v>
      </c>
      <c r="AJ901" t="s">
        <v>98</v>
      </c>
      <c r="AK901" s="3" t="s">
        <v>27</v>
      </c>
      <c r="AL901" s="3">
        <v>239.7450296577</v>
      </c>
      <c r="AS901" t="s">
        <v>1865</v>
      </c>
      <c r="AT901" t="s">
        <v>196</v>
      </c>
      <c r="AU901" t="s">
        <v>197</v>
      </c>
      <c r="AV901" s="14">
        <v>7.1509220136976603</v>
      </c>
    </row>
    <row r="902" spans="26:48">
      <c r="Z902" s="3"/>
      <c r="AC902"/>
      <c r="AE902" s="3"/>
      <c r="AH902" t="s">
        <v>807</v>
      </c>
      <c r="AI902" t="s">
        <v>67</v>
      </c>
      <c r="AJ902" t="s">
        <v>66</v>
      </c>
      <c r="AK902" s="3" t="s">
        <v>114</v>
      </c>
      <c r="AL902" s="3">
        <v>220</v>
      </c>
      <c r="AS902" t="s">
        <v>1865</v>
      </c>
      <c r="AT902" t="s">
        <v>196</v>
      </c>
      <c r="AU902" t="s">
        <v>109</v>
      </c>
      <c r="AV902" s="14">
        <v>5.1689956167424</v>
      </c>
    </row>
    <row r="903" spans="26:48">
      <c r="Z903" s="3"/>
      <c r="AC903"/>
      <c r="AE903" s="3"/>
      <c r="AH903" t="s">
        <v>807</v>
      </c>
      <c r="AI903" t="s">
        <v>67</v>
      </c>
      <c r="AJ903" t="s">
        <v>98</v>
      </c>
      <c r="AK903" s="3" t="s">
        <v>114</v>
      </c>
      <c r="AL903" s="3">
        <v>-7.9209945204999999</v>
      </c>
      <c r="AS903" t="s">
        <v>1865</v>
      </c>
      <c r="AT903" t="s">
        <v>196</v>
      </c>
      <c r="AU903" t="s">
        <v>198</v>
      </c>
      <c r="AV903" s="14">
        <v>5.8891588217714297</v>
      </c>
    </row>
    <row r="904" spans="26:48">
      <c r="Z904" s="3"/>
      <c r="AC904"/>
      <c r="AE904" s="3"/>
      <c r="AH904" t="s">
        <v>807</v>
      </c>
      <c r="AI904" t="s">
        <v>67</v>
      </c>
      <c r="AJ904" t="s">
        <v>66</v>
      </c>
      <c r="AK904" s="3" t="s">
        <v>115</v>
      </c>
      <c r="AL904" s="3">
        <v>23969.200000000001</v>
      </c>
      <c r="AS904" t="s">
        <v>1866</v>
      </c>
      <c r="AT904" t="s">
        <v>88</v>
      </c>
      <c r="AU904" t="s">
        <v>109</v>
      </c>
      <c r="AV904" s="14">
        <v>17527</v>
      </c>
    </row>
    <row r="905" spans="26:48">
      <c r="Z905" s="3"/>
      <c r="AC905"/>
      <c r="AE905" s="3"/>
      <c r="AH905" t="s">
        <v>807</v>
      </c>
      <c r="AI905" t="s">
        <v>67</v>
      </c>
      <c r="AJ905" t="s">
        <v>98</v>
      </c>
      <c r="AK905" s="3" t="s">
        <v>115</v>
      </c>
      <c r="AL905" s="3">
        <v>-247.66602417819999</v>
      </c>
      <c r="AS905" t="s">
        <v>1866</v>
      </c>
      <c r="AT905" t="s">
        <v>88</v>
      </c>
      <c r="AU905" t="s">
        <v>110</v>
      </c>
      <c r="AV905" s="14">
        <v>397.61059999999998</v>
      </c>
    </row>
    <row r="906" spans="26:48">
      <c r="Z906" s="3"/>
      <c r="AC906"/>
      <c r="AE906" s="3"/>
      <c r="AH906" t="s">
        <v>807</v>
      </c>
      <c r="AI906" t="s">
        <v>68</v>
      </c>
      <c r="AJ906" t="s">
        <v>66</v>
      </c>
      <c r="AK906" s="3" t="s">
        <v>27</v>
      </c>
      <c r="AL906" s="3">
        <v>-335</v>
      </c>
      <c r="AS906" t="s">
        <v>1866</v>
      </c>
      <c r="AT906" t="s">
        <v>88</v>
      </c>
      <c r="AU906" t="s">
        <v>111</v>
      </c>
      <c r="AV906" s="14">
        <v>14800</v>
      </c>
    </row>
    <row r="907" spans="26:48">
      <c r="Z907" s="3"/>
      <c r="AC907"/>
      <c r="AE907" s="3"/>
      <c r="AH907" t="s">
        <v>807</v>
      </c>
      <c r="AI907" t="s">
        <v>68</v>
      </c>
      <c r="AJ907" t="s">
        <v>72</v>
      </c>
      <c r="AK907" s="3" t="s">
        <v>27</v>
      </c>
      <c r="AL907" s="3">
        <v>-572.46280000000002</v>
      </c>
      <c r="AS907" t="s">
        <v>1866</v>
      </c>
      <c r="AT907" t="s">
        <v>88</v>
      </c>
      <c r="AU907" t="s">
        <v>268</v>
      </c>
      <c r="AV907" s="14">
        <v>0</v>
      </c>
    </row>
    <row r="908" spans="26:48">
      <c r="Z908" s="3"/>
      <c r="AC908"/>
      <c r="AE908" s="3"/>
      <c r="AH908" t="s">
        <v>807</v>
      </c>
      <c r="AI908" t="s">
        <v>68</v>
      </c>
      <c r="AJ908" t="s">
        <v>113</v>
      </c>
      <c r="AK908" s="3" t="s">
        <v>27</v>
      </c>
      <c r="AL908" s="3">
        <v>-561.53848275769997</v>
      </c>
      <c r="AS908" t="s">
        <v>1866</v>
      </c>
      <c r="AT908" t="s">
        <v>88</v>
      </c>
      <c r="AU908" t="s">
        <v>269</v>
      </c>
      <c r="AV908" s="14">
        <v>0</v>
      </c>
    </row>
    <row r="909" spans="26:48">
      <c r="Z909" s="3"/>
      <c r="AC909"/>
      <c r="AE909" s="3"/>
      <c r="AH909" t="s">
        <v>807</v>
      </c>
      <c r="AI909" t="s">
        <v>68</v>
      </c>
      <c r="AJ909" t="s">
        <v>108</v>
      </c>
      <c r="AK909" s="3" t="s">
        <v>27</v>
      </c>
      <c r="AL909" s="3">
        <v>324.07568275770001</v>
      </c>
      <c r="AS909" t="s">
        <v>1866</v>
      </c>
      <c r="AT909" t="s">
        <v>88</v>
      </c>
      <c r="AU909" t="s">
        <v>270</v>
      </c>
      <c r="AV909" s="14">
        <v>0</v>
      </c>
    </row>
    <row r="910" spans="26:48">
      <c r="Z910" s="3"/>
      <c r="AC910"/>
      <c r="AE910" s="3"/>
      <c r="AH910" t="s">
        <v>807</v>
      </c>
      <c r="AI910" t="s">
        <v>68</v>
      </c>
      <c r="AJ910" t="s">
        <v>98</v>
      </c>
      <c r="AK910" s="3" t="s">
        <v>27</v>
      </c>
      <c r="AL910" s="3">
        <v>-63.154169078199999</v>
      </c>
      <c r="AS910" t="s">
        <v>1866</v>
      </c>
      <c r="AT910" t="s">
        <v>88</v>
      </c>
      <c r="AU910" t="s">
        <v>271</v>
      </c>
      <c r="AV910" s="14">
        <v>11673</v>
      </c>
    </row>
    <row r="911" spans="26:48">
      <c r="Z911" s="3"/>
      <c r="AC911"/>
      <c r="AE911" s="3"/>
      <c r="AH911" t="s">
        <v>807</v>
      </c>
      <c r="AI911" t="s">
        <v>68</v>
      </c>
      <c r="AJ911" t="s">
        <v>66</v>
      </c>
      <c r="AK911" s="3" t="s">
        <v>114</v>
      </c>
      <c r="AL911" s="3">
        <v>3330</v>
      </c>
      <c r="AS911" t="s">
        <v>1866</v>
      </c>
      <c r="AT911" t="s">
        <v>88</v>
      </c>
      <c r="AU911" t="s">
        <v>272</v>
      </c>
      <c r="AV911" s="14">
        <v>0</v>
      </c>
    </row>
    <row r="912" spans="26:48">
      <c r="Z912" s="3"/>
      <c r="AC912"/>
      <c r="AE912" s="3"/>
      <c r="AH912" t="s">
        <v>807</v>
      </c>
      <c r="AI912" t="s">
        <v>68</v>
      </c>
      <c r="AJ912" t="s">
        <v>98</v>
      </c>
      <c r="AK912" s="3" t="s">
        <v>114</v>
      </c>
      <c r="AL912" s="3">
        <v>-144.0147518359</v>
      </c>
      <c r="AS912" t="s">
        <v>1866</v>
      </c>
      <c r="AT912" t="s">
        <v>88</v>
      </c>
      <c r="AU912" t="s">
        <v>273</v>
      </c>
      <c r="AV912" s="14">
        <v>0</v>
      </c>
    </row>
    <row r="913" spans="26:48">
      <c r="Z913" s="3"/>
      <c r="AC913"/>
      <c r="AE913" s="3"/>
      <c r="AH913" t="s">
        <v>807</v>
      </c>
      <c r="AI913" t="s">
        <v>68</v>
      </c>
      <c r="AJ913" t="s">
        <v>66</v>
      </c>
      <c r="AK913" s="3" t="s">
        <v>115</v>
      </c>
      <c r="AL913" s="3">
        <v>3665</v>
      </c>
      <c r="AS913" t="s">
        <v>1866</v>
      </c>
      <c r="AT913" t="s">
        <v>196</v>
      </c>
      <c r="AU913" t="s">
        <v>197</v>
      </c>
      <c r="AV913" s="14">
        <v>7.1509220136976603</v>
      </c>
    </row>
    <row r="914" spans="26:48">
      <c r="Z914" s="3"/>
      <c r="AC914"/>
      <c r="AE914" s="3"/>
      <c r="AH914" t="s">
        <v>807</v>
      </c>
      <c r="AI914" t="s">
        <v>68</v>
      </c>
      <c r="AJ914" t="s">
        <v>98</v>
      </c>
      <c r="AK914" s="3" t="s">
        <v>115</v>
      </c>
      <c r="AL914" s="3">
        <v>-80.860582757700001</v>
      </c>
      <c r="AS914" t="s">
        <v>1866</v>
      </c>
      <c r="AT914" t="s">
        <v>196</v>
      </c>
      <c r="AU914" t="s">
        <v>109</v>
      </c>
      <c r="AV914" s="14">
        <v>5.3685590517750903</v>
      </c>
    </row>
    <row r="915" spans="26:48">
      <c r="Z915" s="3"/>
      <c r="AC915"/>
      <c r="AE915" s="3"/>
      <c r="AH915" t="s">
        <v>807</v>
      </c>
      <c r="AI915" t="s">
        <v>800</v>
      </c>
      <c r="AJ915" t="s">
        <v>31</v>
      </c>
      <c r="AK915" s="3" t="s">
        <v>27</v>
      </c>
      <c r="AL915" s="3">
        <v>3.9411898327000001</v>
      </c>
      <c r="AS915" t="s">
        <v>1866</v>
      </c>
      <c r="AT915" t="s">
        <v>196</v>
      </c>
      <c r="AU915" t="s">
        <v>198</v>
      </c>
      <c r="AV915" s="14">
        <v>6.0591371819034698</v>
      </c>
    </row>
    <row r="916" spans="26:48">
      <c r="Z916" s="3"/>
      <c r="AC916"/>
      <c r="AE916" s="3"/>
      <c r="AH916" t="s">
        <v>806</v>
      </c>
      <c r="AI916" t="s">
        <v>65</v>
      </c>
      <c r="AJ916" t="s">
        <v>66</v>
      </c>
      <c r="AK916" s="3" t="s">
        <v>27</v>
      </c>
      <c r="AL916" s="3">
        <v>41024.199999999997</v>
      </c>
      <c r="AS916" t="s">
        <v>1867</v>
      </c>
      <c r="AT916" t="s">
        <v>88</v>
      </c>
      <c r="AU916" t="s">
        <v>109</v>
      </c>
      <c r="AV916" s="14">
        <v>17527</v>
      </c>
    </row>
    <row r="917" spans="26:48">
      <c r="Z917" s="3"/>
      <c r="AC917"/>
      <c r="AE917" s="3"/>
      <c r="AH917" t="s">
        <v>806</v>
      </c>
      <c r="AI917" t="s">
        <v>65</v>
      </c>
      <c r="AJ917" t="s">
        <v>72</v>
      </c>
      <c r="AK917" s="3" t="s">
        <v>27</v>
      </c>
      <c r="AL917" s="3">
        <v>42177.843909000003</v>
      </c>
      <c r="AS917" t="s">
        <v>1867</v>
      </c>
      <c r="AT917" t="s">
        <v>88</v>
      </c>
      <c r="AU917" t="s">
        <v>110</v>
      </c>
      <c r="AV917" s="14">
        <v>397.61059999999998</v>
      </c>
    </row>
    <row r="918" spans="26:48">
      <c r="Z918" s="3"/>
      <c r="AC918"/>
      <c r="AE918" s="3"/>
      <c r="AH918" t="s">
        <v>806</v>
      </c>
      <c r="AI918" t="s">
        <v>65</v>
      </c>
      <c r="AJ918" t="s">
        <v>113</v>
      </c>
      <c r="AK918" s="3" t="s">
        <v>27</v>
      </c>
      <c r="AL918" s="3">
        <v>2945.1509832552001</v>
      </c>
      <c r="AS918" t="s">
        <v>1867</v>
      </c>
      <c r="AT918" t="s">
        <v>88</v>
      </c>
      <c r="AU918" t="s">
        <v>111</v>
      </c>
      <c r="AV918" s="14">
        <v>14800</v>
      </c>
    </row>
    <row r="919" spans="26:48">
      <c r="Z919" s="3"/>
      <c r="AC919"/>
      <c r="AE919" s="3"/>
      <c r="AH919" t="s">
        <v>806</v>
      </c>
      <c r="AI919" t="s">
        <v>65</v>
      </c>
      <c r="AJ919" t="s">
        <v>108</v>
      </c>
      <c r="AK919" s="3" t="s">
        <v>27</v>
      </c>
      <c r="AL919" s="3">
        <v>-1791.5070742552</v>
      </c>
      <c r="AS919" t="s">
        <v>1867</v>
      </c>
      <c r="AT919" t="s">
        <v>88</v>
      </c>
      <c r="AU919" t="s">
        <v>268</v>
      </c>
      <c r="AV919" s="14">
        <v>0</v>
      </c>
    </row>
    <row r="920" spans="26:48">
      <c r="Z920" s="3"/>
      <c r="AC920"/>
      <c r="AE920" s="3"/>
      <c r="AH920" t="s">
        <v>806</v>
      </c>
      <c r="AI920" t="s">
        <v>65</v>
      </c>
      <c r="AJ920" t="s">
        <v>98</v>
      </c>
      <c r="AK920" s="3" t="s">
        <v>27</v>
      </c>
      <c r="AL920" s="3">
        <v>-1791.5070742552</v>
      </c>
      <c r="AS920" t="s">
        <v>1867</v>
      </c>
      <c r="AT920" t="s">
        <v>88</v>
      </c>
      <c r="AU920" t="s">
        <v>269</v>
      </c>
      <c r="AV920" s="14">
        <v>0</v>
      </c>
    </row>
    <row r="921" spans="26:48">
      <c r="Z921" s="3"/>
      <c r="AC921"/>
      <c r="AE921" s="3"/>
      <c r="AH921" t="s">
        <v>806</v>
      </c>
      <c r="AI921" t="s">
        <v>67</v>
      </c>
      <c r="AJ921" t="s">
        <v>66</v>
      </c>
      <c r="AK921" s="3" t="s">
        <v>27</v>
      </c>
      <c r="AL921" s="3">
        <v>-24084.2</v>
      </c>
      <c r="AS921" t="s">
        <v>1867</v>
      </c>
      <c r="AT921" t="s">
        <v>88</v>
      </c>
      <c r="AU921" t="s">
        <v>270</v>
      </c>
      <c r="AV921" s="14">
        <v>0</v>
      </c>
    </row>
    <row r="922" spans="26:48">
      <c r="Z922" s="3"/>
      <c r="AC922"/>
      <c r="AE922" s="3"/>
      <c r="AH922" t="s">
        <v>806</v>
      </c>
      <c r="AI922" t="s">
        <v>67</v>
      </c>
      <c r="AJ922" t="s">
        <v>72</v>
      </c>
      <c r="AK922" s="3" t="s">
        <v>27</v>
      </c>
      <c r="AL922" s="3">
        <v>-26382.254869</v>
      </c>
      <c r="AS922" t="s">
        <v>1867</v>
      </c>
      <c r="AT922" t="s">
        <v>88</v>
      </c>
      <c r="AU922" t="s">
        <v>271</v>
      </c>
      <c r="AV922" s="14">
        <v>11673</v>
      </c>
    </row>
    <row r="923" spans="26:48">
      <c r="Z923" s="3"/>
      <c r="AC923"/>
      <c r="AE923" s="3"/>
      <c r="AH923" t="s">
        <v>806</v>
      </c>
      <c r="AI923" t="s">
        <v>67</v>
      </c>
      <c r="AJ923" t="s">
        <v>113</v>
      </c>
      <c r="AK923" s="3" t="s">
        <v>27</v>
      </c>
      <c r="AL923" s="3">
        <v>-2525.3639435537002</v>
      </c>
      <c r="AS923" t="s">
        <v>1867</v>
      </c>
      <c r="AT923" t="s">
        <v>88</v>
      </c>
      <c r="AU923" t="s">
        <v>272</v>
      </c>
      <c r="AV923" s="14">
        <v>0</v>
      </c>
    </row>
    <row r="924" spans="26:48">
      <c r="Z924" s="3"/>
      <c r="AC924"/>
      <c r="AE924" s="3"/>
      <c r="AH924" t="s">
        <v>806</v>
      </c>
      <c r="AI924" t="s">
        <v>67</v>
      </c>
      <c r="AJ924" t="s">
        <v>108</v>
      </c>
      <c r="AK924" s="3" t="s">
        <v>27</v>
      </c>
      <c r="AL924" s="3">
        <v>227.30907455369999</v>
      </c>
      <c r="AS924" t="s">
        <v>1867</v>
      </c>
      <c r="AT924" t="s">
        <v>88</v>
      </c>
      <c r="AU924" t="s">
        <v>273</v>
      </c>
      <c r="AV924" s="14">
        <v>0</v>
      </c>
    </row>
    <row r="925" spans="26:48">
      <c r="Z925" s="3"/>
      <c r="AC925"/>
      <c r="AE925" s="3"/>
      <c r="AH925" t="s">
        <v>806</v>
      </c>
      <c r="AI925" t="s">
        <v>67</v>
      </c>
      <c r="AJ925" t="s">
        <v>98</v>
      </c>
      <c r="AK925" s="3" t="s">
        <v>27</v>
      </c>
      <c r="AL925" s="3">
        <v>227.30907455369999</v>
      </c>
      <c r="AS925" t="s">
        <v>1867</v>
      </c>
      <c r="AT925" t="s">
        <v>196</v>
      </c>
      <c r="AU925" t="s">
        <v>197</v>
      </c>
      <c r="AV925" s="14">
        <v>7.1509220136976603</v>
      </c>
    </row>
    <row r="926" spans="26:48">
      <c r="Z926" s="3"/>
      <c r="AC926"/>
      <c r="AE926" s="3"/>
      <c r="AH926" t="s">
        <v>806</v>
      </c>
      <c r="AI926" t="s">
        <v>67</v>
      </c>
      <c r="AJ926" t="s">
        <v>66</v>
      </c>
      <c r="AK926" s="3" t="s">
        <v>114</v>
      </c>
      <c r="AL926" s="3">
        <v>0</v>
      </c>
      <c r="AS926" t="s">
        <v>1867</v>
      </c>
      <c r="AT926" t="s">
        <v>196</v>
      </c>
      <c r="AU926" t="s">
        <v>109</v>
      </c>
      <c r="AV926" s="14">
        <v>5.3685590517750903</v>
      </c>
    </row>
    <row r="927" spans="26:48">
      <c r="Z927" s="3"/>
      <c r="AC927"/>
      <c r="AE927" s="3"/>
      <c r="AH927" t="s">
        <v>806</v>
      </c>
      <c r="AI927" t="s">
        <v>67</v>
      </c>
      <c r="AJ927" t="s">
        <v>98</v>
      </c>
      <c r="AK927" s="3" t="s">
        <v>114</v>
      </c>
      <c r="AL927" s="3">
        <v>0</v>
      </c>
      <c r="AS927" t="s">
        <v>1867</v>
      </c>
      <c r="AT927" t="s">
        <v>196</v>
      </c>
      <c r="AU927" t="s">
        <v>198</v>
      </c>
      <c r="AV927" s="14">
        <v>6.0591371819034698</v>
      </c>
    </row>
    <row r="928" spans="26:48">
      <c r="Z928" s="3"/>
      <c r="AC928"/>
      <c r="AE928" s="3"/>
      <c r="AH928" t="s">
        <v>806</v>
      </c>
      <c r="AI928" t="s">
        <v>67</v>
      </c>
      <c r="AJ928" t="s">
        <v>66</v>
      </c>
      <c r="AK928" s="3" t="s">
        <v>115</v>
      </c>
      <c r="AL928" s="3">
        <v>24084.2</v>
      </c>
      <c r="AS928" t="s">
        <v>1868</v>
      </c>
      <c r="AT928" t="s">
        <v>88</v>
      </c>
      <c r="AU928" t="s">
        <v>109</v>
      </c>
      <c r="AV928" s="14">
        <v>17576</v>
      </c>
    </row>
    <row r="929" spans="26:48">
      <c r="Z929" s="3"/>
      <c r="AC929"/>
      <c r="AE929" s="3"/>
      <c r="AH929" t="s">
        <v>806</v>
      </c>
      <c r="AI929" t="s">
        <v>67</v>
      </c>
      <c r="AJ929" t="s">
        <v>98</v>
      </c>
      <c r="AK929" s="3" t="s">
        <v>115</v>
      </c>
      <c r="AL929" s="3">
        <v>-227.30907455369999</v>
      </c>
      <c r="AS929" t="s">
        <v>1868</v>
      </c>
      <c r="AT929" t="s">
        <v>88</v>
      </c>
      <c r="AU929" t="s">
        <v>110</v>
      </c>
      <c r="AV929" s="14">
        <v>397.61059999999998</v>
      </c>
    </row>
    <row r="930" spans="26:48">
      <c r="Z930" s="3"/>
      <c r="AC930"/>
      <c r="AE930" s="3"/>
      <c r="AH930" t="s">
        <v>806</v>
      </c>
      <c r="AI930" t="s">
        <v>68</v>
      </c>
      <c r="AJ930" t="s">
        <v>66</v>
      </c>
      <c r="AK930" s="3" t="s">
        <v>27</v>
      </c>
      <c r="AL930" s="3">
        <v>-570</v>
      </c>
      <c r="AS930" t="s">
        <v>1868</v>
      </c>
      <c r="AT930" t="s">
        <v>88</v>
      </c>
      <c r="AU930" t="s">
        <v>111</v>
      </c>
      <c r="AV930" s="14">
        <v>14800</v>
      </c>
    </row>
    <row r="931" spans="26:48">
      <c r="Z931" s="3"/>
      <c r="AC931"/>
      <c r="AE931" s="3"/>
      <c r="AH931" t="s">
        <v>806</v>
      </c>
      <c r="AI931" t="s">
        <v>68</v>
      </c>
      <c r="AJ931" t="s">
        <v>72</v>
      </c>
      <c r="AK931" s="3" t="s">
        <v>27</v>
      </c>
      <c r="AL931" s="3">
        <v>-905.26070000000004</v>
      </c>
      <c r="AS931" t="s">
        <v>1868</v>
      </c>
      <c r="AT931" t="s">
        <v>88</v>
      </c>
      <c r="AU931" t="s">
        <v>268</v>
      </c>
      <c r="AV931" s="14">
        <v>0</v>
      </c>
    </row>
    <row r="932" spans="26:48">
      <c r="Z932" s="3"/>
      <c r="AC932"/>
      <c r="AE932" s="3"/>
      <c r="AH932" t="s">
        <v>806</v>
      </c>
      <c r="AI932" t="s">
        <v>68</v>
      </c>
      <c r="AJ932" t="s">
        <v>113</v>
      </c>
      <c r="AK932" s="3" t="s">
        <v>27</v>
      </c>
      <c r="AL932" s="3">
        <v>-737.41448270169997</v>
      </c>
      <c r="AS932" t="s">
        <v>1868</v>
      </c>
      <c r="AT932" t="s">
        <v>88</v>
      </c>
      <c r="AU932" t="s">
        <v>269</v>
      </c>
      <c r="AV932" s="14">
        <v>0</v>
      </c>
    </row>
    <row r="933" spans="26:48">
      <c r="Z933" s="3"/>
      <c r="AC933"/>
      <c r="AE933" s="3"/>
      <c r="AH933" t="s">
        <v>806</v>
      </c>
      <c r="AI933" t="s">
        <v>68</v>
      </c>
      <c r="AJ933" t="s">
        <v>108</v>
      </c>
      <c r="AK933" s="3" t="s">
        <v>27</v>
      </c>
      <c r="AL933" s="3">
        <v>402.15378270169998</v>
      </c>
      <c r="AS933" t="s">
        <v>1868</v>
      </c>
      <c r="AT933" t="s">
        <v>88</v>
      </c>
      <c r="AU933" t="s">
        <v>270</v>
      </c>
      <c r="AV933" s="14">
        <v>0</v>
      </c>
    </row>
    <row r="934" spans="26:48">
      <c r="Z934" s="3"/>
      <c r="AC934"/>
      <c r="AE934" s="3"/>
      <c r="AH934" t="s">
        <v>806</v>
      </c>
      <c r="AI934" t="s">
        <v>68</v>
      </c>
      <c r="AJ934" t="s">
        <v>98</v>
      </c>
      <c r="AK934" s="3" t="s">
        <v>27</v>
      </c>
      <c r="AL934" s="3">
        <v>-24.4189083029</v>
      </c>
      <c r="AS934" t="s">
        <v>1868</v>
      </c>
      <c r="AT934" t="s">
        <v>88</v>
      </c>
      <c r="AU934" t="s">
        <v>271</v>
      </c>
      <c r="AV934" s="14">
        <v>11624</v>
      </c>
    </row>
    <row r="935" spans="26:48">
      <c r="Z935" s="3"/>
      <c r="AC935"/>
      <c r="AE935" s="3"/>
      <c r="AH935" t="s">
        <v>806</v>
      </c>
      <c r="AI935" t="s">
        <v>68</v>
      </c>
      <c r="AJ935" t="s">
        <v>66</v>
      </c>
      <c r="AK935" s="3" t="s">
        <v>114</v>
      </c>
      <c r="AL935" s="3">
        <v>3415</v>
      </c>
      <c r="AS935" t="s">
        <v>1868</v>
      </c>
      <c r="AT935" t="s">
        <v>88</v>
      </c>
      <c r="AU935" t="s">
        <v>272</v>
      </c>
      <c r="AV935" s="14">
        <v>0</v>
      </c>
    </row>
    <row r="936" spans="26:48">
      <c r="Z936" s="3"/>
      <c r="AC936"/>
      <c r="AE936" s="3"/>
      <c r="AH936" t="s">
        <v>806</v>
      </c>
      <c r="AI936" t="s">
        <v>68</v>
      </c>
      <c r="AJ936" t="s">
        <v>98</v>
      </c>
      <c r="AK936" s="3" t="s">
        <v>114</v>
      </c>
      <c r="AL936" s="3">
        <v>-147.28734100459999</v>
      </c>
      <c r="AS936" t="s">
        <v>1868</v>
      </c>
      <c r="AT936" t="s">
        <v>88</v>
      </c>
      <c r="AU936" t="s">
        <v>273</v>
      </c>
      <c r="AV936" s="14">
        <v>0</v>
      </c>
    </row>
    <row r="937" spans="26:48">
      <c r="Z937" s="3"/>
      <c r="AC937"/>
      <c r="AE937" s="3"/>
      <c r="AH937" t="s">
        <v>806</v>
      </c>
      <c r="AI937" t="s">
        <v>68</v>
      </c>
      <c r="AJ937" t="s">
        <v>66</v>
      </c>
      <c r="AK937" s="3" t="s">
        <v>115</v>
      </c>
      <c r="AL937" s="3">
        <v>3985</v>
      </c>
      <c r="AS937" t="s">
        <v>1868</v>
      </c>
      <c r="AT937" t="s">
        <v>196</v>
      </c>
      <c r="AU937" t="s">
        <v>197</v>
      </c>
      <c r="AV937" s="14">
        <v>7.1509220136976603</v>
      </c>
    </row>
    <row r="938" spans="26:48">
      <c r="Z938" s="3"/>
      <c r="AC938"/>
      <c r="AE938" s="3"/>
      <c r="AH938" t="s">
        <v>806</v>
      </c>
      <c r="AI938" t="s">
        <v>68</v>
      </c>
      <c r="AJ938" t="s">
        <v>98</v>
      </c>
      <c r="AK938" s="3" t="s">
        <v>115</v>
      </c>
      <c r="AL938" s="3">
        <v>-122.8684327017</v>
      </c>
      <c r="AS938" t="s">
        <v>1868</v>
      </c>
      <c r="AT938" t="s">
        <v>196</v>
      </c>
      <c r="AU938" t="s">
        <v>109</v>
      </c>
      <c r="AV938" s="14">
        <v>5.3822512012792796</v>
      </c>
    </row>
    <row r="939" spans="26:48">
      <c r="Z939" s="3"/>
      <c r="AC939"/>
      <c r="AE939" s="3"/>
      <c r="AH939" t="s">
        <v>806</v>
      </c>
      <c r="AI939" t="s">
        <v>800</v>
      </c>
      <c r="AJ939" t="s">
        <v>31</v>
      </c>
      <c r="AK939" s="3" t="s">
        <v>27</v>
      </c>
      <c r="AL939" s="3">
        <v>3.9405609792999998</v>
      </c>
      <c r="AS939" t="s">
        <v>1868</v>
      </c>
      <c r="AT939" t="s">
        <v>196</v>
      </c>
      <c r="AU939" t="s">
        <v>198</v>
      </c>
      <c r="AV939" s="14">
        <v>6.0666693099295799</v>
      </c>
    </row>
    <row r="940" spans="26:48">
      <c r="Z940" s="3"/>
      <c r="AC940"/>
      <c r="AE940" s="3"/>
      <c r="AH940" t="s">
        <v>1830</v>
      </c>
      <c r="AI940" t="s">
        <v>800</v>
      </c>
      <c r="AJ940" t="s">
        <v>31</v>
      </c>
      <c r="AK940" s="3" t="s">
        <v>27</v>
      </c>
      <c r="AL940" s="3">
        <v>3.9405609792999998</v>
      </c>
      <c r="AS940" t="s">
        <v>1869</v>
      </c>
      <c r="AT940" t="s">
        <v>88</v>
      </c>
      <c r="AU940" t="s">
        <v>109</v>
      </c>
      <c r="AV940" s="14">
        <v>22167</v>
      </c>
    </row>
    <row r="941" spans="26:48">
      <c r="Z941" s="3"/>
      <c r="AC941"/>
      <c r="AE941" s="3"/>
      <c r="AH941" t="s">
        <v>1830</v>
      </c>
      <c r="AI941" t="s">
        <v>65</v>
      </c>
      <c r="AJ941" t="s">
        <v>66</v>
      </c>
      <c r="AK941" s="3" t="s">
        <v>27</v>
      </c>
      <c r="AL941" s="3">
        <v>41024.199999999997</v>
      </c>
      <c r="AS941" t="s">
        <v>1869</v>
      </c>
      <c r="AT941" t="s">
        <v>88</v>
      </c>
      <c r="AU941" t="s">
        <v>110</v>
      </c>
      <c r="AV941" s="14">
        <v>397.61059999999998</v>
      </c>
    </row>
    <row r="942" spans="26:48">
      <c r="Z942" s="3"/>
      <c r="AC942"/>
      <c r="AE942" s="3"/>
      <c r="AH942" t="s">
        <v>1830</v>
      </c>
      <c r="AI942" t="s">
        <v>65</v>
      </c>
      <c r="AJ942" t="s">
        <v>72</v>
      </c>
      <c r="AK942" s="3" t="s">
        <v>27</v>
      </c>
      <c r="AL942" s="3">
        <v>42177.663259000001</v>
      </c>
      <c r="AS942" t="s">
        <v>1869</v>
      </c>
      <c r="AT942" t="s">
        <v>88</v>
      </c>
      <c r="AU942" t="s">
        <v>111</v>
      </c>
      <c r="AV942" s="14">
        <v>14800</v>
      </c>
    </row>
    <row r="943" spans="26:48">
      <c r="Z943" s="3"/>
      <c r="AC943"/>
      <c r="AE943" s="3"/>
      <c r="AH943" t="s">
        <v>1830</v>
      </c>
      <c r="AI943" t="s">
        <v>65</v>
      </c>
      <c r="AJ943" t="s">
        <v>113</v>
      </c>
      <c r="AK943" s="3" t="s">
        <v>27</v>
      </c>
      <c r="AL943" s="3">
        <v>2945.9188834974998</v>
      </c>
      <c r="AS943" t="s">
        <v>1869</v>
      </c>
      <c r="AT943" t="s">
        <v>88</v>
      </c>
      <c r="AU943" t="s">
        <v>268</v>
      </c>
      <c r="AV943" s="14">
        <v>0</v>
      </c>
    </row>
    <row r="944" spans="26:48">
      <c r="Z944" s="3"/>
      <c r="AC944"/>
      <c r="AE944" s="3"/>
      <c r="AH944" t="s">
        <v>1830</v>
      </c>
      <c r="AI944" t="s">
        <v>65</v>
      </c>
      <c r="AJ944" t="s">
        <v>108</v>
      </c>
      <c r="AK944" s="3" t="s">
        <v>27</v>
      </c>
      <c r="AL944" s="3">
        <v>-1792.4556244974999</v>
      </c>
      <c r="AS944" t="s">
        <v>1869</v>
      </c>
      <c r="AT944" t="s">
        <v>88</v>
      </c>
      <c r="AU944" t="s">
        <v>269</v>
      </c>
      <c r="AV944" s="14">
        <v>0</v>
      </c>
    </row>
    <row r="945" spans="26:48">
      <c r="Z945" s="3"/>
      <c r="AC945"/>
      <c r="AE945" s="3"/>
      <c r="AH945" t="s">
        <v>1830</v>
      </c>
      <c r="AI945" t="s">
        <v>65</v>
      </c>
      <c r="AJ945" t="s">
        <v>98</v>
      </c>
      <c r="AK945" s="3" t="s">
        <v>27</v>
      </c>
      <c r="AL945" s="3">
        <v>-1792.4556244974999</v>
      </c>
      <c r="AS945" t="s">
        <v>1869</v>
      </c>
      <c r="AT945" t="s">
        <v>88</v>
      </c>
      <c r="AU945" t="s">
        <v>270</v>
      </c>
      <c r="AV945" s="14">
        <v>0</v>
      </c>
    </row>
    <row r="946" spans="26:48">
      <c r="Z946" s="3"/>
      <c r="AC946"/>
      <c r="AE946" s="3"/>
      <c r="AH946" t="s">
        <v>1830</v>
      </c>
      <c r="AI946" t="s">
        <v>67</v>
      </c>
      <c r="AJ946" t="s">
        <v>66</v>
      </c>
      <c r="AK946" s="3" t="s">
        <v>27</v>
      </c>
      <c r="AL946" s="3">
        <v>-23514.2</v>
      </c>
      <c r="AS946" t="s">
        <v>1869</v>
      </c>
      <c r="AT946" t="s">
        <v>88</v>
      </c>
      <c r="AU946" t="s">
        <v>271</v>
      </c>
      <c r="AV946" s="14">
        <v>-1000</v>
      </c>
    </row>
    <row r="947" spans="26:48">
      <c r="Z947" s="3"/>
      <c r="AC947"/>
      <c r="AE947" s="3"/>
      <c r="AH947" t="s">
        <v>1830</v>
      </c>
      <c r="AI947" t="s">
        <v>67</v>
      </c>
      <c r="AJ947" t="s">
        <v>72</v>
      </c>
      <c r="AK947" s="3" t="s">
        <v>27</v>
      </c>
      <c r="AL947" s="3">
        <v>-25690.293199</v>
      </c>
      <c r="AS947" t="s">
        <v>1869</v>
      </c>
      <c r="AT947" t="s">
        <v>88</v>
      </c>
      <c r="AU947" t="s">
        <v>272</v>
      </c>
      <c r="AV947" s="14">
        <v>0</v>
      </c>
    </row>
    <row r="948" spans="26:48">
      <c r="Z948" s="3"/>
      <c r="AC948"/>
      <c r="AE948" s="3"/>
      <c r="AH948" t="s">
        <v>1830</v>
      </c>
      <c r="AI948" t="s">
        <v>67</v>
      </c>
      <c r="AJ948" t="s">
        <v>113</v>
      </c>
      <c r="AK948" s="3" t="s">
        <v>27</v>
      </c>
      <c r="AL948" s="3">
        <v>-2376.1965636353002</v>
      </c>
      <c r="AS948" t="s">
        <v>1869</v>
      </c>
      <c r="AT948" t="s">
        <v>88</v>
      </c>
      <c r="AU948" t="s">
        <v>273</v>
      </c>
      <c r="AV948" s="14">
        <v>0</v>
      </c>
    </row>
    <row r="949" spans="26:48">
      <c r="Z949" s="3"/>
      <c r="AC949"/>
      <c r="AE949" s="3"/>
      <c r="AH949" t="s">
        <v>1830</v>
      </c>
      <c r="AI949" t="s">
        <v>67</v>
      </c>
      <c r="AJ949" t="s">
        <v>108</v>
      </c>
      <c r="AK949" s="3" t="s">
        <v>27</v>
      </c>
      <c r="AL949" s="3">
        <v>200.10336463530001</v>
      </c>
      <c r="AS949" t="s">
        <v>1869</v>
      </c>
      <c r="AT949" t="s">
        <v>196</v>
      </c>
      <c r="AU949" t="s">
        <v>197</v>
      </c>
      <c r="AV949" s="14">
        <v>7.1509220136976603</v>
      </c>
    </row>
    <row r="950" spans="26:48">
      <c r="Z950" s="3"/>
      <c r="AC950"/>
      <c r="AE950" s="3"/>
      <c r="AH950" t="s">
        <v>1830</v>
      </c>
      <c r="AI950" t="s">
        <v>67</v>
      </c>
      <c r="AJ950" t="s">
        <v>98</v>
      </c>
      <c r="AK950" s="3" t="s">
        <v>27</v>
      </c>
      <c r="AL950" s="3">
        <v>200.10336463530001</v>
      </c>
      <c r="AS950" t="s">
        <v>1869</v>
      </c>
      <c r="AT950" t="s">
        <v>196</v>
      </c>
      <c r="AU950" t="s">
        <v>109</v>
      </c>
      <c r="AV950" s="14">
        <v>5.3821978227748604</v>
      </c>
    </row>
    <row r="951" spans="26:48">
      <c r="Z951" s="3"/>
      <c r="AC951"/>
      <c r="AE951" s="3"/>
      <c r="AH951" t="s">
        <v>1830</v>
      </c>
      <c r="AI951" t="s">
        <v>67</v>
      </c>
      <c r="AJ951" t="s">
        <v>66</v>
      </c>
      <c r="AK951" s="3" t="s">
        <v>114</v>
      </c>
      <c r="AL951" s="3">
        <v>0</v>
      </c>
      <c r="AS951" t="s">
        <v>1869</v>
      </c>
      <c r="AT951" t="s">
        <v>196</v>
      </c>
      <c r="AU951" t="s">
        <v>198</v>
      </c>
      <c r="AV951" s="14">
        <v>6.0650543556537801</v>
      </c>
    </row>
    <row r="952" spans="26:48">
      <c r="Z952" s="3"/>
      <c r="AC952"/>
      <c r="AE952" s="3"/>
      <c r="AH952" t="s">
        <v>1830</v>
      </c>
      <c r="AI952" t="s">
        <v>67</v>
      </c>
      <c r="AJ952" t="s">
        <v>98</v>
      </c>
      <c r="AK952" s="3" t="s">
        <v>114</v>
      </c>
      <c r="AL952" s="3">
        <v>0</v>
      </c>
      <c r="AS952" t="s">
        <v>1870</v>
      </c>
      <c r="AT952" t="s">
        <v>88</v>
      </c>
      <c r="AU952" t="s">
        <v>268</v>
      </c>
      <c r="AV952" s="14">
        <v>0</v>
      </c>
    </row>
    <row r="953" spans="26:48">
      <c r="Z953" s="3"/>
      <c r="AC953"/>
      <c r="AE953" s="3"/>
      <c r="AH953" t="s">
        <v>1830</v>
      </c>
      <c r="AI953" t="s">
        <v>67</v>
      </c>
      <c r="AJ953" t="s">
        <v>66</v>
      </c>
      <c r="AK953" s="3" t="s">
        <v>115</v>
      </c>
      <c r="AL953" s="3">
        <v>23514.2</v>
      </c>
      <c r="AS953" t="s">
        <v>1870</v>
      </c>
      <c r="AT953" t="s">
        <v>88</v>
      </c>
      <c r="AU953" t="s">
        <v>269</v>
      </c>
      <c r="AV953" s="14">
        <v>0</v>
      </c>
    </row>
    <row r="954" spans="26:48">
      <c r="Z954" s="3"/>
      <c r="AC954"/>
      <c r="AE954" s="3"/>
      <c r="AH954" t="s">
        <v>1830</v>
      </c>
      <c r="AI954" t="s">
        <v>67</v>
      </c>
      <c r="AJ954" t="s">
        <v>98</v>
      </c>
      <c r="AK954" s="3" t="s">
        <v>115</v>
      </c>
      <c r="AL954" s="3">
        <v>-200.10336463530001</v>
      </c>
      <c r="AS954" t="s">
        <v>1870</v>
      </c>
      <c r="AT954" t="s">
        <v>88</v>
      </c>
      <c r="AU954" t="s">
        <v>270</v>
      </c>
      <c r="AV954" s="14">
        <v>0</v>
      </c>
    </row>
    <row r="955" spans="26:48">
      <c r="Z955" s="3"/>
      <c r="AC955"/>
      <c r="AE955" s="3"/>
      <c r="AH955" t="s">
        <v>1830</v>
      </c>
      <c r="AI955" t="s">
        <v>68</v>
      </c>
      <c r="AJ955" t="s">
        <v>66</v>
      </c>
      <c r="AK955" s="3" t="s">
        <v>27</v>
      </c>
      <c r="AL955" s="3">
        <v>-1140</v>
      </c>
      <c r="AS955" t="s">
        <v>1870</v>
      </c>
      <c r="AT955" t="s">
        <v>88</v>
      </c>
      <c r="AU955" t="s">
        <v>271</v>
      </c>
      <c r="AV955" s="14">
        <v>-824</v>
      </c>
    </row>
    <row r="956" spans="26:48">
      <c r="Z956" s="3"/>
      <c r="AC956"/>
      <c r="AE956" s="3"/>
      <c r="AH956" t="s">
        <v>1830</v>
      </c>
      <c r="AI956" t="s">
        <v>68</v>
      </c>
      <c r="AJ956" t="s">
        <v>72</v>
      </c>
      <c r="AK956" s="3" t="s">
        <v>27</v>
      </c>
      <c r="AL956" s="3">
        <v>-1597.789</v>
      </c>
      <c r="AS956" t="s">
        <v>1870</v>
      </c>
      <c r="AT956" t="s">
        <v>88</v>
      </c>
      <c r="AU956" t="s">
        <v>272</v>
      </c>
      <c r="AV956" s="14">
        <v>0</v>
      </c>
    </row>
    <row r="957" spans="26:48">
      <c r="Z957" s="3"/>
      <c r="AC957"/>
      <c r="AE957" s="3"/>
      <c r="AH957" t="s">
        <v>1830</v>
      </c>
      <c r="AI957" t="s">
        <v>68</v>
      </c>
      <c r="AJ957" t="s">
        <v>113</v>
      </c>
      <c r="AK957" s="3" t="s">
        <v>27</v>
      </c>
      <c r="AL957" s="3">
        <v>-887.41061779639995</v>
      </c>
      <c r="AS957" t="s">
        <v>1870</v>
      </c>
      <c r="AT957" t="s">
        <v>88</v>
      </c>
      <c r="AU957" t="s">
        <v>273</v>
      </c>
      <c r="AV957" s="14">
        <v>0</v>
      </c>
    </row>
    <row r="958" spans="26:48">
      <c r="Z958" s="3"/>
      <c r="AC958"/>
      <c r="AE958" s="3"/>
      <c r="AH958" t="s">
        <v>1830</v>
      </c>
      <c r="AI958" t="s">
        <v>68</v>
      </c>
      <c r="AJ958" t="s">
        <v>108</v>
      </c>
      <c r="AK958" s="3" t="s">
        <v>27</v>
      </c>
      <c r="AL958" s="3">
        <v>429.62161779640002</v>
      </c>
      <c r="AS958" t="s">
        <v>1870</v>
      </c>
      <c r="AT958" t="s">
        <v>196</v>
      </c>
      <c r="AU958" t="s">
        <v>197</v>
      </c>
      <c r="AV958" s="14">
        <v>7.1509220136976603</v>
      </c>
    </row>
    <row r="959" spans="26:48">
      <c r="Z959" s="3"/>
      <c r="AC959"/>
      <c r="AE959" s="3"/>
      <c r="AH959" t="s">
        <v>1830</v>
      </c>
      <c r="AI959" t="s">
        <v>68</v>
      </c>
      <c r="AJ959" t="s">
        <v>98</v>
      </c>
      <c r="AK959" s="3" t="s">
        <v>27</v>
      </c>
      <c r="AL959" s="3">
        <v>2.9269434750999999</v>
      </c>
      <c r="AS959" t="s">
        <v>1870</v>
      </c>
      <c r="AT959" t="s">
        <v>196</v>
      </c>
      <c r="AU959" t="s">
        <v>109</v>
      </c>
      <c r="AV959" s="14">
        <v>5.2815612319654397</v>
      </c>
    </row>
    <row r="960" spans="26:48">
      <c r="Z960" s="3"/>
      <c r="AC960"/>
      <c r="AE960" s="3"/>
      <c r="AH960" t="s">
        <v>1830</v>
      </c>
      <c r="AI960" t="s">
        <v>68</v>
      </c>
      <c r="AJ960" t="s">
        <v>66</v>
      </c>
      <c r="AK960" s="3" t="s">
        <v>114</v>
      </c>
      <c r="AL960" s="3">
        <v>3415</v>
      </c>
      <c r="AS960" t="s">
        <v>1870</v>
      </c>
      <c r="AT960" t="s">
        <v>196</v>
      </c>
      <c r="AU960" t="s">
        <v>198</v>
      </c>
      <c r="AV960" s="14">
        <v>6.0224109690720802</v>
      </c>
    </row>
    <row r="961" spans="26:48">
      <c r="Z961" s="3"/>
      <c r="AC961"/>
      <c r="AE961" s="3"/>
      <c r="AH961" t="s">
        <v>1830</v>
      </c>
      <c r="AI961" t="s">
        <v>68</v>
      </c>
      <c r="AJ961" t="s">
        <v>98</v>
      </c>
      <c r="AK961" s="3" t="s">
        <v>114</v>
      </c>
      <c r="AL961" s="3">
        <v>-147.4373243213</v>
      </c>
      <c r="AS961" t="s">
        <v>1870</v>
      </c>
      <c r="AT961" t="s">
        <v>88</v>
      </c>
      <c r="AU961" t="s">
        <v>109</v>
      </c>
      <c r="AV961" s="14">
        <v>21150</v>
      </c>
    </row>
    <row r="962" spans="26:48">
      <c r="Z962" s="3"/>
      <c r="AC962"/>
      <c r="AE962" s="3"/>
      <c r="AH962" t="s">
        <v>1830</v>
      </c>
      <c r="AI962" t="s">
        <v>68</v>
      </c>
      <c r="AJ962" t="s">
        <v>66</v>
      </c>
      <c r="AK962" s="3" t="s">
        <v>115</v>
      </c>
      <c r="AL962" s="3">
        <v>4555</v>
      </c>
      <c r="AS962" t="s">
        <v>1870</v>
      </c>
      <c r="AT962" t="s">
        <v>88</v>
      </c>
      <c r="AU962" t="s">
        <v>110</v>
      </c>
      <c r="AV962" s="14">
        <v>397.61059999999998</v>
      </c>
    </row>
    <row r="963" spans="26:48">
      <c r="Z963" s="3"/>
      <c r="AC963"/>
      <c r="AE963" s="3"/>
      <c r="AH963" t="s">
        <v>1830</v>
      </c>
      <c r="AI963" t="s">
        <v>68</v>
      </c>
      <c r="AJ963" t="s">
        <v>98</v>
      </c>
      <c r="AK963" s="3" t="s">
        <v>115</v>
      </c>
      <c r="AL963" s="3">
        <v>-150.36426779639999</v>
      </c>
      <c r="AS963" t="s">
        <v>1870</v>
      </c>
      <c r="AT963" t="s">
        <v>88</v>
      </c>
      <c r="AU963" t="s">
        <v>111</v>
      </c>
      <c r="AV963" s="14">
        <v>14800</v>
      </c>
    </row>
    <row r="964" spans="26:48">
      <c r="Z964" s="3"/>
      <c r="AC964"/>
      <c r="AE964" s="3"/>
      <c r="AH964" t="s">
        <v>1831</v>
      </c>
      <c r="AI964" t="s">
        <v>65</v>
      </c>
      <c r="AJ964" t="s">
        <v>113</v>
      </c>
      <c r="AK964" s="3" t="s">
        <v>27</v>
      </c>
      <c r="AL964" s="3">
        <v>2953.0867083972998</v>
      </c>
      <c r="AS964" t="s">
        <v>1871</v>
      </c>
      <c r="AT964" t="s">
        <v>88</v>
      </c>
      <c r="AU964" t="s">
        <v>109</v>
      </c>
      <c r="AV964" s="14">
        <v>22150</v>
      </c>
    </row>
    <row r="965" spans="26:48">
      <c r="Z965" s="3"/>
      <c r="AC965"/>
      <c r="AE965" s="3"/>
      <c r="AH965" t="s">
        <v>1831</v>
      </c>
      <c r="AI965" t="s">
        <v>65</v>
      </c>
      <c r="AJ965" t="s">
        <v>108</v>
      </c>
      <c r="AK965" s="3" t="s">
        <v>27</v>
      </c>
      <c r="AL965" s="3">
        <v>-1783.5156643973</v>
      </c>
      <c r="AS965" t="s">
        <v>1871</v>
      </c>
      <c r="AT965" t="s">
        <v>88</v>
      </c>
      <c r="AU965" t="s">
        <v>110</v>
      </c>
      <c r="AV965" s="14">
        <v>397.61059999999998</v>
      </c>
    </row>
    <row r="966" spans="26:48">
      <c r="Z966" s="3"/>
      <c r="AC966"/>
      <c r="AE966" s="3"/>
      <c r="AH966" t="s">
        <v>1831</v>
      </c>
      <c r="AI966" t="s">
        <v>65</v>
      </c>
      <c r="AJ966" t="s">
        <v>98</v>
      </c>
      <c r="AK966" s="3" t="s">
        <v>27</v>
      </c>
      <c r="AL966" s="3">
        <v>-1783.5156643973</v>
      </c>
      <c r="AS966" t="s">
        <v>1871</v>
      </c>
      <c r="AT966" t="s">
        <v>88</v>
      </c>
      <c r="AU966" t="s">
        <v>111</v>
      </c>
      <c r="AV966" s="14">
        <v>14800</v>
      </c>
    </row>
    <row r="967" spans="26:48">
      <c r="Z967" s="3"/>
      <c r="AC967"/>
      <c r="AE967" s="3"/>
      <c r="AH967" t="s">
        <v>1831</v>
      </c>
      <c r="AI967" t="s">
        <v>67</v>
      </c>
      <c r="AJ967" t="s">
        <v>66</v>
      </c>
      <c r="AK967" s="3" t="s">
        <v>27</v>
      </c>
      <c r="AL967" s="3">
        <v>-23364.2</v>
      </c>
      <c r="AS967" t="s">
        <v>1871</v>
      </c>
      <c r="AT967" t="s">
        <v>88</v>
      </c>
      <c r="AU967" t="s">
        <v>268</v>
      </c>
      <c r="AV967" s="14">
        <v>0</v>
      </c>
    </row>
    <row r="968" spans="26:48">
      <c r="Z968" s="3"/>
      <c r="AC968"/>
      <c r="AE968" s="3"/>
      <c r="AH968" t="s">
        <v>1831</v>
      </c>
      <c r="AI968" t="s">
        <v>67</v>
      </c>
      <c r="AJ968" t="s">
        <v>72</v>
      </c>
      <c r="AK968" s="3" t="s">
        <v>27</v>
      </c>
      <c r="AL968" s="3">
        <v>-25556.815944000002</v>
      </c>
      <c r="AS968" t="s">
        <v>1871</v>
      </c>
      <c r="AT968" t="s">
        <v>88</v>
      </c>
      <c r="AU968" t="s">
        <v>269</v>
      </c>
      <c r="AV968" s="14">
        <v>0</v>
      </c>
    </row>
    <row r="969" spans="26:48">
      <c r="Z969" s="3"/>
      <c r="AC969"/>
      <c r="AE969" s="3"/>
      <c r="AH969" t="s">
        <v>1831</v>
      </c>
      <c r="AI969" t="s">
        <v>67</v>
      </c>
      <c r="AJ969" t="s">
        <v>113</v>
      </c>
      <c r="AK969" s="3" t="s">
        <v>27</v>
      </c>
      <c r="AL969" s="3">
        <v>-2376.4380610407002</v>
      </c>
      <c r="AS969" t="s">
        <v>1871</v>
      </c>
      <c r="AT969" t="s">
        <v>88</v>
      </c>
      <c r="AU969" t="s">
        <v>270</v>
      </c>
      <c r="AV969" s="14">
        <v>0</v>
      </c>
    </row>
    <row r="970" spans="26:48">
      <c r="Z970" s="3"/>
      <c r="AC970"/>
      <c r="AE970" s="3"/>
      <c r="AH970" t="s">
        <v>1831</v>
      </c>
      <c r="AI970" t="s">
        <v>67</v>
      </c>
      <c r="AJ970" t="s">
        <v>108</v>
      </c>
      <c r="AK970" s="3" t="s">
        <v>27</v>
      </c>
      <c r="AL970" s="3">
        <v>183.82211704069999</v>
      </c>
      <c r="AS970" t="s">
        <v>1871</v>
      </c>
      <c r="AT970" t="s">
        <v>88</v>
      </c>
      <c r="AU970" t="s">
        <v>271</v>
      </c>
      <c r="AV970" s="14">
        <v>-3494</v>
      </c>
    </row>
    <row r="971" spans="26:48">
      <c r="Z971" s="3"/>
      <c r="AC971"/>
      <c r="AE971" s="3"/>
      <c r="AH971" t="s">
        <v>1831</v>
      </c>
      <c r="AI971" t="s">
        <v>67</v>
      </c>
      <c r="AJ971" t="s">
        <v>98</v>
      </c>
      <c r="AK971" s="3" t="s">
        <v>27</v>
      </c>
      <c r="AL971" s="3">
        <v>190.2220416982</v>
      </c>
      <c r="AS971" t="s">
        <v>1871</v>
      </c>
      <c r="AT971" t="s">
        <v>88</v>
      </c>
      <c r="AU971" t="s">
        <v>272</v>
      </c>
      <c r="AV971" s="14">
        <v>0</v>
      </c>
    </row>
    <row r="972" spans="26:48">
      <c r="Z972" s="3"/>
      <c r="AC972"/>
      <c r="AE972" s="3"/>
      <c r="AH972" t="s">
        <v>1831</v>
      </c>
      <c r="AI972" t="s">
        <v>67</v>
      </c>
      <c r="AJ972" t="s">
        <v>66</v>
      </c>
      <c r="AK972" s="3" t="s">
        <v>114</v>
      </c>
      <c r="AL972" s="3">
        <v>150</v>
      </c>
      <c r="AS972" t="s">
        <v>1871</v>
      </c>
      <c r="AT972" t="s">
        <v>88</v>
      </c>
      <c r="AU972" t="s">
        <v>273</v>
      </c>
      <c r="AV972" s="14">
        <v>0</v>
      </c>
    </row>
    <row r="973" spans="26:48">
      <c r="Z973" s="3"/>
      <c r="AC973"/>
      <c r="AE973" s="3"/>
      <c r="AH973" t="s">
        <v>1831</v>
      </c>
      <c r="AI973" t="s">
        <v>67</v>
      </c>
      <c r="AJ973" t="s">
        <v>98</v>
      </c>
      <c r="AK973" s="3" t="s">
        <v>114</v>
      </c>
      <c r="AL973" s="3">
        <v>-8.8730753425</v>
      </c>
      <c r="AS973" t="s">
        <v>1871</v>
      </c>
      <c r="AT973" t="s">
        <v>196</v>
      </c>
      <c r="AU973" t="s">
        <v>197</v>
      </c>
      <c r="AV973" s="14">
        <v>7.1509220136976603</v>
      </c>
    </row>
    <row r="974" spans="26:48">
      <c r="Z974" s="3"/>
      <c r="AC974"/>
      <c r="AE974" s="3"/>
      <c r="AH974" t="s">
        <v>1831</v>
      </c>
      <c r="AI974" t="s">
        <v>67</v>
      </c>
      <c r="AJ974" t="s">
        <v>66</v>
      </c>
      <c r="AK974" s="3" t="s">
        <v>115</v>
      </c>
      <c r="AL974" s="3">
        <v>23514.2</v>
      </c>
      <c r="AS974" t="s">
        <v>1871</v>
      </c>
      <c r="AT974" t="s">
        <v>196</v>
      </c>
      <c r="AU974" t="s">
        <v>109</v>
      </c>
      <c r="AV974" s="14">
        <v>4.87331005258799</v>
      </c>
    </row>
    <row r="975" spans="26:48">
      <c r="Z975" s="3"/>
      <c r="AC975"/>
      <c r="AE975" s="3"/>
      <c r="AH975" t="s">
        <v>1831</v>
      </c>
      <c r="AI975" t="s">
        <v>67</v>
      </c>
      <c r="AJ975" t="s">
        <v>98</v>
      </c>
      <c r="AK975" s="3" t="s">
        <v>115</v>
      </c>
      <c r="AL975" s="3">
        <v>-199.09511704069999</v>
      </c>
      <c r="AS975" t="s">
        <v>1871</v>
      </c>
      <c r="AT975" t="s">
        <v>196</v>
      </c>
      <c r="AU975" t="s">
        <v>198</v>
      </c>
      <c r="AV975" s="14">
        <v>5.7530142876107702</v>
      </c>
    </row>
    <row r="976" spans="26:48">
      <c r="Z976" s="3"/>
      <c r="AC976"/>
      <c r="AE976" s="3"/>
      <c r="AH976" t="s">
        <v>1831</v>
      </c>
      <c r="AI976" t="s">
        <v>68</v>
      </c>
      <c r="AJ976" t="s">
        <v>66</v>
      </c>
      <c r="AK976" s="3" t="s">
        <v>27</v>
      </c>
      <c r="AL976" s="3">
        <v>-1140</v>
      </c>
      <c r="AS976" t="s">
        <v>1872</v>
      </c>
      <c r="AT976" t="s">
        <v>88</v>
      </c>
      <c r="AU976" t="s">
        <v>109</v>
      </c>
      <c r="AV976" s="14">
        <v>21950</v>
      </c>
    </row>
    <row r="977" spans="26:48">
      <c r="Z977" s="3"/>
      <c r="AC977"/>
      <c r="AE977" s="3"/>
      <c r="AH977" t="s">
        <v>1831</v>
      </c>
      <c r="AI977" t="s">
        <v>68</v>
      </c>
      <c r="AJ977" t="s">
        <v>72</v>
      </c>
      <c r="AK977" s="3" t="s">
        <v>27</v>
      </c>
      <c r="AL977" s="3">
        <v>-1598.0971</v>
      </c>
      <c r="AS977" t="s">
        <v>1872</v>
      </c>
      <c r="AT977" t="s">
        <v>88</v>
      </c>
      <c r="AU977" t="s">
        <v>110</v>
      </c>
      <c r="AV977" s="14">
        <v>397.61059999999998</v>
      </c>
    </row>
    <row r="978" spans="26:48">
      <c r="Z978" s="3"/>
      <c r="AC978"/>
      <c r="AE978" s="3"/>
      <c r="AH978" t="s">
        <v>1831</v>
      </c>
      <c r="AI978" t="s">
        <v>68</v>
      </c>
      <c r="AJ978" t="s">
        <v>113</v>
      </c>
      <c r="AK978" s="3" t="s">
        <v>27</v>
      </c>
      <c r="AL978" s="3">
        <v>-517.21017369749995</v>
      </c>
      <c r="AS978" t="s">
        <v>1872</v>
      </c>
      <c r="AT978" t="s">
        <v>88</v>
      </c>
      <c r="AU978" t="s">
        <v>111</v>
      </c>
      <c r="AV978" s="14">
        <v>14800</v>
      </c>
    </row>
    <row r="979" spans="26:48">
      <c r="Z979" s="3"/>
      <c r="AC979"/>
      <c r="AE979" s="3"/>
      <c r="AH979" t="s">
        <v>1831</v>
      </c>
      <c r="AI979" t="s">
        <v>68</v>
      </c>
      <c r="AJ979" t="s">
        <v>108</v>
      </c>
      <c r="AK979" s="3" t="s">
        <v>27</v>
      </c>
      <c r="AL979" s="3">
        <v>59.113073697499999</v>
      </c>
      <c r="AS979" t="s">
        <v>1872</v>
      </c>
      <c r="AT979" t="s">
        <v>88</v>
      </c>
      <c r="AU979" t="s">
        <v>268</v>
      </c>
      <c r="AV979" s="14">
        <v>0</v>
      </c>
    </row>
    <row r="980" spans="26:48">
      <c r="Z980" s="3"/>
      <c r="AC980"/>
      <c r="AE980" s="3"/>
      <c r="AH980" t="s">
        <v>1831</v>
      </c>
      <c r="AI980" t="s">
        <v>68</v>
      </c>
      <c r="AJ980" t="s">
        <v>98</v>
      </c>
      <c r="AK980" s="3" t="s">
        <v>27</v>
      </c>
      <c r="AL980" s="3">
        <v>3.0841179293000001</v>
      </c>
      <c r="AS980" t="s">
        <v>1872</v>
      </c>
      <c r="AT980" t="s">
        <v>88</v>
      </c>
      <c r="AU980" t="s">
        <v>269</v>
      </c>
      <c r="AV980" s="14">
        <v>0</v>
      </c>
    </row>
    <row r="981" spans="26:48">
      <c r="Z981" s="3"/>
      <c r="AC981"/>
      <c r="AE981" s="3"/>
      <c r="AH981" t="s">
        <v>1831</v>
      </c>
      <c r="AI981" t="s">
        <v>68</v>
      </c>
      <c r="AJ981" t="s">
        <v>66</v>
      </c>
      <c r="AK981" s="3" t="s">
        <v>114</v>
      </c>
      <c r="AL981" s="3">
        <v>2670</v>
      </c>
      <c r="AS981" t="s">
        <v>1872</v>
      </c>
      <c r="AT981" t="s">
        <v>88</v>
      </c>
      <c r="AU981" t="s">
        <v>270</v>
      </c>
      <c r="AV981" s="14">
        <v>0</v>
      </c>
    </row>
    <row r="982" spans="26:48">
      <c r="Z982" s="3"/>
      <c r="AC982"/>
      <c r="AE982" s="3"/>
      <c r="AH982" t="s">
        <v>1831</v>
      </c>
      <c r="AI982" t="s">
        <v>68</v>
      </c>
      <c r="AJ982" t="s">
        <v>98</v>
      </c>
      <c r="AK982" s="3" t="s">
        <v>114</v>
      </c>
      <c r="AL982" s="3">
        <v>-89.691455768200001</v>
      </c>
      <c r="AS982" t="s">
        <v>1872</v>
      </c>
      <c r="AT982" t="s">
        <v>88</v>
      </c>
      <c r="AU982" t="s">
        <v>271</v>
      </c>
      <c r="AV982" s="14">
        <v>-1224</v>
      </c>
    </row>
    <row r="983" spans="26:48">
      <c r="Z983" s="3"/>
      <c r="AC983"/>
      <c r="AE983" s="3"/>
      <c r="AH983" t="s">
        <v>1831</v>
      </c>
      <c r="AI983" t="s">
        <v>68</v>
      </c>
      <c r="AJ983" t="s">
        <v>66</v>
      </c>
      <c r="AK983" s="3" t="s">
        <v>115</v>
      </c>
      <c r="AL983" s="3">
        <v>3810</v>
      </c>
      <c r="AS983" t="s">
        <v>1872</v>
      </c>
      <c r="AT983" t="s">
        <v>88</v>
      </c>
      <c r="AU983" t="s">
        <v>272</v>
      </c>
      <c r="AV983" s="14">
        <v>0</v>
      </c>
    </row>
    <row r="984" spans="26:48">
      <c r="Z984" s="3"/>
      <c r="AC984"/>
      <c r="AE984" s="3"/>
      <c r="AH984" t="s">
        <v>1831</v>
      </c>
      <c r="AI984" t="s">
        <v>68</v>
      </c>
      <c r="AJ984" t="s">
        <v>98</v>
      </c>
      <c r="AK984" s="3" t="s">
        <v>115</v>
      </c>
      <c r="AL984" s="3">
        <v>-92.775573697499993</v>
      </c>
      <c r="AS984" t="s">
        <v>1872</v>
      </c>
      <c r="AT984" t="s">
        <v>88</v>
      </c>
      <c r="AU984" t="s">
        <v>273</v>
      </c>
      <c r="AV984" s="14">
        <v>0</v>
      </c>
    </row>
    <row r="985" spans="26:48">
      <c r="Z985" s="3"/>
      <c r="AC985"/>
      <c r="AE985" s="3"/>
      <c r="AH985" t="s">
        <v>1831</v>
      </c>
      <c r="AI985" t="s">
        <v>800</v>
      </c>
      <c r="AJ985" t="s">
        <v>31</v>
      </c>
      <c r="AK985" s="3" t="s">
        <v>27</v>
      </c>
      <c r="AL985" s="3">
        <v>3.9422434379000002</v>
      </c>
      <c r="AS985" t="s">
        <v>1872</v>
      </c>
      <c r="AT985" t="s">
        <v>196</v>
      </c>
      <c r="AU985" t="s">
        <v>197</v>
      </c>
      <c r="AV985" s="14">
        <v>7.1509220136976603</v>
      </c>
    </row>
    <row r="986" spans="26:48">
      <c r="Z986" s="3"/>
      <c r="AC986"/>
      <c r="AE986" s="3"/>
      <c r="AH986" t="s">
        <v>1831</v>
      </c>
      <c r="AI986" t="s">
        <v>65</v>
      </c>
      <c r="AJ986" t="s">
        <v>66</v>
      </c>
      <c r="AK986" s="3" t="s">
        <v>27</v>
      </c>
      <c r="AL986" s="3">
        <v>40874.199999999997</v>
      </c>
      <c r="AS986" t="s">
        <v>1872</v>
      </c>
      <c r="AT986" t="s">
        <v>196</v>
      </c>
      <c r="AU986" t="s">
        <v>109</v>
      </c>
      <c r="AV986" s="14">
        <v>4.5128782450939502</v>
      </c>
    </row>
    <row r="987" spans="26:48">
      <c r="Z987" s="3"/>
      <c r="AC987"/>
      <c r="AE987" s="3"/>
      <c r="AH987" t="s">
        <v>1831</v>
      </c>
      <c r="AI987" t="s">
        <v>65</v>
      </c>
      <c r="AJ987" t="s">
        <v>72</v>
      </c>
      <c r="AK987" s="3" t="s">
        <v>27</v>
      </c>
      <c r="AL987" s="3">
        <v>42043.771044000001</v>
      </c>
      <c r="AS987" t="s">
        <v>1872</v>
      </c>
      <c r="AT987" t="s">
        <v>196</v>
      </c>
      <c r="AU987" t="s">
        <v>198</v>
      </c>
      <c r="AV987" s="14">
        <v>5.5370010798346101</v>
      </c>
    </row>
    <row r="988" spans="26:48">
      <c r="Z988" s="3"/>
      <c r="AC988"/>
      <c r="AE988" s="3"/>
      <c r="AH988" t="s">
        <v>1832</v>
      </c>
      <c r="AI988" t="s">
        <v>65</v>
      </c>
      <c r="AJ988" t="s">
        <v>66</v>
      </c>
      <c r="AK988" s="3" t="s">
        <v>27</v>
      </c>
      <c r="AL988" s="3">
        <v>41122.199999999997</v>
      </c>
      <c r="AS988" t="s">
        <v>1873</v>
      </c>
      <c r="AT988" t="s">
        <v>88</v>
      </c>
      <c r="AU988" t="s">
        <v>109</v>
      </c>
      <c r="AV988" s="14">
        <v>20850</v>
      </c>
    </row>
    <row r="989" spans="26:48">
      <c r="Z989" s="3"/>
      <c r="AC989"/>
      <c r="AE989" s="3"/>
      <c r="AH989" t="s">
        <v>1832</v>
      </c>
      <c r="AI989" t="s">
        <v>65</v>
      </c>
      <c r="AJ989" t="s">
        <v>72</v>
      </c>
      <c r="AK989" s="3" t="s">
        <v>27</v>
      </c>
      <c r="AL989" s="3">
        <v>42858.969106999997</v>
      </c>
      <c r="AS989" t="s">
        <v>1873</v>
      </c>
      <c r="AT989" t="s">
        <v>88</v>
      </c>
      <c r="AU989" t="s">
        <v>110</v>
      </c>
      <c r="AV989" s="14">
        <v>397.61059999999998</v>
      </c>
    </row>
    <row r="990" spans="26:48">
      <c r="Z990" s="3"/>
      <c r="AC990"/>
      <c r="AE990" s="3"/>
      <c r="AH990" t="s">
        <v>1832</v>
      </c>
      <c r="AI990" t="s">
        <v>65</v>
      </c>
      <c r="AJ990" t="s">
        <v>113</v>
      </c>
      <c r="AK990" s="3" t="s">
        <v>27</v>
      </c>
      <c r="AL990" s="3">
        <v>3155.5589804302999</v>
      </c>
      <c r="AS990" t="s">
        <v>1873</v>
      </c>
      <c r="AT990" t="s">
        <v>88</v>
      </c>
      <c r="AU990" t="s">
        <v>111</v>
      </c>
      <c r="AV990" s="14">
        <v>14800</v>
      </c>
    </row>
    <row r="991" spans="26:48">
      <c r="Z991" s="3"/>
      <c r="AC991"/>
      <c r="AE991" s="3"/>
      <c r="AH991" t="s">
        <v>1832</v>
      </c>
      <c r="AI991" t="s">
        <v>65</v>
      </c>
      <c r="AJ991" t="s">
        <v>108</v>
      </c>
      <c r="AK991" s="3" t="s">
        <v>27</v>
      </c>
      <c r="AL991" s="3">
        <v>-1418.7898734303001</v>
      </c>
      <c r="AS991" t="s">
        <v>1873</v>
      </c>
      <c r="AT991" t="s">
        <v>88</v>
      </c>
      <c r="AU991" t="s">
        <v>268</v>
      </c>
      <c r="AV991" s="14">
        <v>0</v>
      </c>
    </row>
    <row r="992" spans="26:48">
      <c r="Z992" s="3"/>
      <c r="AC992"/>
      <c r="AE992" s="3"/>
      <c r="AH992" t="s">
        <v>1832</v>
      </c>
      <c r="AI992" t="s">
        <v>65</v>
      </c>
      <c r="AJ992" t="s">
        <v>98</v>
      </c>
      <c r="AK992" s="3" t="s">
        <v>27</v>
      </c>
      <c r="AL992" s="3">
        <v>-1730.9618734303001</v>
      </c>
      <c r="AS992" t="s">
        <v>1873</v>
      </c>
      <c r="AT992" t="s">
        <v>88</v>
      </c>
      <c r="AU992" t="s">
        <v>269</v>
      </c>
      <c r="AV992" s="14">
        <v>0</v>
      </c>
    </row>
    <row r="993" spans="26:48">
      <c r="Z993" s="3"/>
      <c r="AC993"/>
      <c r="AE993" s="3"/>
      <c r="AH993" t="s">
        <v>1832</v>
      </c>
      <c r="AI993" t="s">
        <v>67</v>
      </c>
      <c r="AJ993" t="s">
        <v>66</v>
      </c>
      <c r="AK993" s="3" t="s">
        <v>27</v>
      </c>
      <c r="AL993" s="3">
        <v>-23762.2</v>
      </c>
      <c r="AS993" t="s">
        <v>1873</v>
      </c>
      <c r="AT993" t="s">
        <v>88</v>
      </c>
      <c r="AU993" t="s">
        <v>270</v>
      </c>
      <c r="AV993" s="14">
        <v>0</v>
      </c>
    </row>
    <row r="994" spans="26:48">
      <c r="Z994" s="3"/>
      <c r="AC994"/>
      <c r="AE994" s="3"/>
      <c r="AH994" t="s">
        <v>1832</v>
      </c>
      <c r="AI994" t="s">
        <v>67</v>
      </c>
      <c r="AJ994" t="s">
        <v>72</v>
      </c>
      <c r="AK994" s="3" t="s">
        <v>27</v>
      </c>
      <c r="AL994" s="3">
        <v>-26192.957897</v>
      </c>
      <c r="AS994" t="s">
        <v>1873</v>
      </c>
      <c r="AT994" t="s">
        <v>88</v>
      </c>
      <c r="AU994" t="s">
        <v>271</v>
      </c>
      <c r="AV994" s="14">
        <v>-200</v>
      </c>
    </row>
    <row r="995" spans="26:48">
      <c r="Z995" s="3"/>
      <c r="AC995"/>
      <c r="AE995" s="3"/>
      <c r="AH995" t="s">
        <v>1832</v>
      </c>
      <c r="AI995" t="s">
        <v>67</v>
      </c>
      <c r="AJ995" t="s">
        <v>113</v>
      </c>
      <c r="AK995" s="3" t="s">
        <v>27</v>
      </c>
      <c r="AL995" s="3">
        <v>-2573.8730000761002</v>
      </c>
      <c r="AS995" t="s">
        <v>1873</v>
      </c>
      <c r="AT995" t="s">
        <v>88</v>
      </c>
      <c r="AU995" t="s">
        <v>272</v>
      </c>
      <c r="AV995" s="14">
        <v>0</v>
      </c>
    </row>
    <row r="996" spans="26:48">
      <c r="Z996" s="3"/>
      <c r="AC996"/>
      <c r="AE996" s="3"/>
      <c r="AH996" t="s">
        <v>1832</v>
      </c>
      <c r="AI996" t="s">
        <v>67</v>
      </c>
      <c r="AJ996" t="s">
        <v>108</v>
      </c>
      <c r="AK996" s="3" t="s">
        <v>27</v>
      </c>
      <c r="AL996" s="3">
        <v>143.11510307610001</v>
      </c>
      <c r="AS996" t="s">
        <v>1873</v>
      </c>
      <c r="AT996" t="s">
        <v>88</v>
      </c>
      <c r="AU996" t="s">
        <v>273</v>
      </c>
      <c r="AV996" s="14">
        <v>0</v>
      </c>
    </row>
    <row r="997" spans="26:48">
      <c r="Z997" s="3"/>
      <c r="AC997"/>
      <c r="AE997" s="3"/>
      <c r="AH997" t="s">
        <v>1832</v>
      </c>
      <c r="AI997" t="s">
        <v>67</v>
      </c>
      <c r="AJ997" t="s">
        <v>98</v>
      </c>
      <c r="AK997" s="3" t="s">
        <v>27</v>
      </c>
      <c r="AL997" s="3">
        <v>140.5425414323</v>
      </c>
      <c r="AS997" t="s">
        <v>1873</v>
      </c>
      <c r="AT997" t="s">
        <v>196</v>
      </c>
      <c r="AU997" t="s">
        <v>197</v>
      </c>
      <c r="AV997" s="14">
        <v>7.1509220136976603</v>
      </c>
    </row>
    <row r="998" spans="26:48">
      <c r="Z998" s="3"/>
      <c r="AC998"/>
      <c r="AE998" s="3"/>
      <c r="AH998" t="s">
        <v>1832</v>
      </c>
      <c r="AI998" t="s">
        <v>67</v>
      </c>
      <c r="AJ998" t="s">
        <v>66</v>
      </c>
      <c r="AK998" s="3" t="s">
        <v>114</v>
      </c>
      <c r="AL998" s="3">
        <v>600</v>
      </c>
      <c r="AS998" t="s">
        <v>1873</v>
      </c>
      <c r="AT998" t="s">
        <v>196</v>
      </c>
      <c r="AU998" t="s">
        <v>109</v>
      </c>
      <c r="AV998" s="14">
        <v>4.6193512328227602</v>
      </c>
    </row>
    <row r="999" spans="26:48">
      <c r="Z999" s="3"/>
      <c r="AC999"/>
      <c r="AE999" s="3"/>
      <c r="AH999" t="s">
        <v>1832</v>
      </c>
      <c r="AI999" t="s">
        <v>67</v>
      </c>
      <c r="AJ999" t="s">
        <v>98</v>
      </c>
      <c r="AK999" s="3" t="s">
        <v>114</v>
      </c>
      <c r="AL999" s="3">
        <v>-44.652561643799999</v>
      </c>
      <c r="AS999" t="s">
        <v>1873</v>
      </c>
      <c r="AT999" t="s">
        <v>196</v>
      </c>
      <c r="AU999" t="s">
        <v>198</v>
      </c>
      <c r="AV999" s="14">
        <v>5.6305534168062801</v>
      </c>
    </row>
    <row r="1000" spans="26:48">
      <c r="Z1000" s="3"/>
      <c r="AC1000"/>
      <c r="AE1000" s="3"/>
      <c r="AH1000" t="s">
        <v>1832</v>
      </c>
      <c r="AI1000" t="s">
        <v>67</v>
      </c>
      <c r="AJ1000" t="s">
        <v>66</v>
      </c>
      <c r="AK1000" s="3" t="s">
        <v>115</v>
      </c>
      <c r="AL1000" s="3">
        <v>24362.2</v>
      </c>
      <c r="AS1000" t="s">
        <v>1874</v>
      </c>
      <c r="AT1000" t="s">
        <v>88</v>
      </c>
      <c r="AU1000" t="s">
        <v>109</v>
      </c>
      <c r="AV1000" s="14">
        <v>20536.859</v>
      </c>
    </row>
    <row r="1001" spans="26:48">
      <c r="Z1001" s="3"/>
      <c r="AC1001"/>
      <c r="AE1001" s="3"/>
      <c r="AH1001" t="s">
        <v>1832</v>
      </c>
      <c r="AI1001" t="s">
        <v>67</v>
      </c>
      <c r="AJ1001" t="s">
        <v>98</v>
      </c>
      <c r="AK1001" s="3" t="s">
        <v>115</v>
      </c>
      <c r="AL1001" s="3">
        <v>-185.1951030761</v>
      </c>
      <c r="AS1001" t="s">
        <v>1874</v>
      </c>
      <c r="AT1001" t="s">
        <v>88</v>
      </c>
      <c r="AU1001" t="s">
        <v>110</v>
      </c>
      <c r="AV1001" s="14">
        <v>397.61059999999998</v>
      </c>
    </row>
    <row r="1002" spans="26:48">
      <c r="Z1002" s="3"/>
      <c r="AC1002"/>
      <c r="AE1002" s="3"/>
      <c r="AH1002" t="s">
        <v>1832</v>
      </c>
      <c r="AI1002" t="s">
        <v>68</v>
      </c>
      <c r="AJ1002" t="s">
        <v>66</v>
      </c>
      <c r="AK1002" s="3" t="s">
        <v>27</v>
      </c>
      <c r="AL1002" s="3">
        <v>-990</v>
      </c>
      <c r="AS1002" t="s">
        <v>1874</v>
      </c>
      <c r="AT1002" t="s">
        <v>88</v>
      </c>
      <c r="AU1002" t="s">
        <v>111</v>
      </c>
      <c r="AV1002" s="14">
        <v>14800</v>
      </c>
    </row>
    <row r="1003" spans="26:48">
      <c r="Z1003" s="3"/>
      <c r="AC1003"/>
      <c r="AE1003" s="3"/>
      <c r="AH1003" t="s">
        <v>1832</v>
      </c>
      <c r="AI1003" t="s">
        <v>68</v>
      </c>
      <c r="AJ1003" t="s">
        <v>72</v>
      </c>
      <c r="AK1003" s="3" t="s">
        <v>27</v>
      </c>
      <c r="AL1003" s="3">
        <v>-1463.5499500000001</v>
      </c>
      <c r="AS1003" t="s">
        <v>1874</v>
      </c>
      <c r="AT1003" t="s">
        <v>88</v>
      </c>
      <c r="AU1003" t="s">
        <v>268</v>
      </c>
      <c r="AV1003" s="14">
        <v>0</v>
      </c>
    </row>
    <row r="1004" spans="26:48">
      <c r="Z1004" s="3"/>
      <c r="AC1004"/>
      <c r="AE1004" s="3"/>
      <c r="AH1004" t="s">
        <v>1832</v>
      </c>
      <c r="AI1004" t="s">
        <v>68</v>
      </c>
      <c r="AJ1004" t="s">
        <v>113</v>
      </c>
      <c r="AK1004" s="3" t="s">
        <v>27</v>
      </c>
      <c r="AL1004" s="3">
        <v>-499.72605410450001</v>
      </c>
      <c r="AS1004" t="s">
        <v>1874</v>
      </c>
      <c r="AT1004" t="s">
        <v>88</v>
      </c>
      <c r="AU1004" t="s">
        <v>269</v>
      </c>
      <c r="AV1004" s="14">
        <v>0</v>
      </c>
    </row>
    <row r="1005" spans="26:48">
      <c r="Z1005" s="3"/>
      <c r="AC1005"/>
      <c r="AE1005" s="3"/>
      <c r="AH1005" t="s">
        <v>1832</v>
      </c>
      <c r="AI1005" t="s">
        <v>68</v>
      </c>
      <c r="AJ1005" t="s">
        <v>108</v>
      </c>
      <c r="AK1005" s="3" t="s">
        <v>27</v>
      </c>
      <c r="AL1005" s="3">
        <v>26.176104104499998</v>
      </c>
      <c r="AS1005" t="s">
        <v>1874</v>
      </c>
      <c r="AT1005" t="s">
        <v>88</v>
      </c>
      <c r="AU1005" t="s">
        <v>270</v>
      </c>
      <c r="AV1005" s="14">
        <v>0</v>
      </c>
    </row>
    <row r="1006" spans="26:48">
      <c r="Z1006" s="3"/>
      <c r="AC1006"/>
      <c r="AE1006" s="3"/>
      <c r="AH1006" t="s">
        <v>1832</v>
      </c>
      <c r="AI1006" t="s">
        <v>68</v>
      </c>
      <c r="AJ1006" t="s">
        <v>98</v>
      </c>
      <c r="AK1006" s="3" t="s">
        <v>27</v>
      </c>
      <c r="AL1006" s="3">
        <v>1.5629204940000001</v>
      </c>
      <c r="AS1006" t="s">
        <v>1874</v>
      </c>
      <c r="AT1006" t="s">
        <v>88</v>
      </c>
      <c r="AU1006" t="s">
        <v>271</v>
      </c>
      <c r="AV1006" s="14">
        <v>-260</v>
      </c>
    </row>
    <row r="1007" spans="26:48">
      <c r="Z1007" s="3"/>
      <c r="AC1007"/>
      <c r="AE1007" s="3"/>
      <c r="AH1007" t="s">
        <v>1832</v>
      </c>
      <c r="AI1007" t="s">
        <v>68</v>
      </c>
      <c r="AJ1007" t="s">
        <v>66</v>
      </c>
      <c r="AK1007" s="3" t="s">
        <v>114</v>
      </c>
      <c r="AL1007" s="3">
        <v>2540</v>
      </c>
      <c r="AS1007" t="s">
        <v>1874</v>
      </c>
      <c r="AT1007" t="s">
        <v>88</v>
      </c>
      <c r="AU1007" t="s">
        <v>272</v>
      </c>
      <c r="AV1007" s="14">
        <v>0</v>
      </c>
    </row>
    <row r="1008" spans="26:48">
      <c r="Z1008" s="3"/>
      <c r="AC1008"/>
      <c r="AE1008" s="3"/>
      <c r="AH1008" t="s">
        <v>1832</v>
      </c>
      <c r="AI1008" t="s">
        <v>68</v>
      </c>
      <c r="AJ1008" t="s">
        <v>98</v>
      </c>
      <c r="AK1008" s="3" t="s">
        <v>114</v>
      </c>
      <c r="AL1008" s="3">
        <v>-73.328633610500006</v>
      </c>
      <c r="AS1008" t="s">
        <v>1874</v>
      </c>
      <c r="AT1008" t="s">
        <v>88</v>
      </c>
      <c r="AU1008" t="s">
        <v>273</v>
      </c>
      <c r="AV1008" s="14">
        <v>0</v>
      </c>
    </row>
    <row r="1009" spans="26:48">
      <c r="Z1009" s="3"/>
      <c r="AC1009"/>
      <c r="AE1009" s="3"/>
      <c r="AH1009" t="s">
        <v>1832</v>
      </c>
      <c r="AI1009" t="s">
        <v>68</v>
      </c>
      <c r="AJ1009" t="s">
        <v>66</v>
      </c>
      <c r="AK1009" s="3" t="s">
        <v>115</v>
      </c>
      <c r="AL1009" s="3">
        <v>3530</v>
      </c>
      <c r="AS1009" t="s">
        <v>1874</v>
      </c>
      <c r="AT1009" t="s">
        <v>196</v>
      </c>
      <c r="AU1009" t="s">
        <v>197</v>
      </c>
      <c r="AV1009" s="14">
        <v>7.1509220136976603</v>
      </c>
    </row>
    <row r="1010" spans="26:48">
      <c r="Z1010" s="3"/>
      <c r="AC1010"/>
      <c r="AE1010" s="3"/>
      <c r="AH1010" t="s">
        <v>1832</v>
      </c>
      <c r="AI1010" t="s">
        <v>68</v>
      </c>
      <c r="AJ1010" t="s">
        <v>98</v>
      </c>
      <c r="AK1010" s="3" t="s">
        <v>115</v>
      </c>
      <c r="AL1010" s="3">
        <v>-74.891554104500003</v>
      </c>
      <c r="AS1010" t="s">
        <v>1874</v>
      </c>
      <c r="AT1010" t="s">
        <v>196</v>
      </c>
      <c r="AU1010" t="s">
        <v>109</v>
      </c>
      <c r="AV1010" s="14">
        <v>4.5994961147192699</v>
      </c>
    </row>
    <row r="1011" spans="26:48">
      <c r="Z1011" s="3"/>
      <c r="AC1011"/>
      <c r="AE1011" s="3"/>
      <c r="AH1011" t="s">
        <v>1832</v>
      </c>
      <c r="AI1011" t="s">
        <v>800</v>
      </c>
      <c r="AJ1011" t="s">
        <v>31</v>
      </c>
      <c r="AK1011" s="3" t="s">
        <v>27</v>
      </c>
      <c r="AL1011" s="3">
        <v>3.9662796915</v>
      </c>
      <c r="AS1011" t="s">
        <v>1874</v>
      </c>
      <c r="AT1011" t="s">
        <v>196</v>
      </c>
      <c r="AU1011" t="s">
        <v>198</v>
      </c>
      <c r="AV1011" s="14">
        <v>5.6270864770183699</v>
      </c>
    </row>
    <row r="1012" spans="26:48">
      <c r="Z1012" s="3"/>
      <c r="AC1012"/>
      <c r="AE1012" s="3"/>
      <c r="AH1012" t="s">
        <v>1833</v>
      </c>
      <c r="AI1012" t="s">
        <v>65</v>
      </c>
      <c r="AJ1012" t="s">
        <v>66</v>
      </c>
      <c r="AK1012" s="3" t="s">
        <v>27</v>
      </c>
      <c r="AL1012" s="3">
        <v>38744.199999999997</v>
      </c>
      <c r="AS1012" t="s">
        <v>1875</v>
      </c>
      <c r="AT1012" t="s">
        <v>88</v>
      </c>
      <c r="AU1012" t="s">
        <v>109</v>
      </c>
      <c r="AV1012" s="14">
        <v>20906.859</v>
      </c>
    </row>
    <row r="1013" spans="26:48">
      <c r="Z1013" s="3"/>
      <c r="AC1013"/>
      <c r="AE1013" s="3"/>
      <c r="AH1013" t="s">
        <v>1833</v>
      </c>
      <c r="AI1013" t="s">
        <v>65</v>
      </c>
      <c r="AJ1013" t="s">
        <v>72</v>
      </c>
      <c r="AK1013" s="3" t="s">
        <v>27</v>
      </c>
      <c r="AL1013" s="3">
        <v>40332.366191103902</v>
      </c>
      <c r="AS1013" t="s">
        <v>1875</v>
      </c>
      <c r="AT1013" t="s">
        <v>88</v>
      </c>
      <c r="AU1013" t="s">
        <v>110</v>
      </c>
      <c r="AV1013" s="14">
        <v>397.61059999999998</v>
      </c>
    </row>
    <row r="1014" spans="26:48">
      <c r="Z1014" s="3"/>
      <c r="AC1014"/>
      <c r="AE1014" s="3"/>
      <c r="AH1014" t="s">
        <v>1833</v>
      </c>
      <c r="AI1014" t="s">
        <v>65</v>
      </c>
      <c r="AJ1014" t="s">
        <v>113</v>
      </c>
      <c r="AK1014" s="3" t="s">
        <v>27</v>
      </c>
      <c r="AL1014" s="3">
        <v>3053.0710268046</v>
      </c>
      <c r="AS1014" t="s">
        <v>1875</v>
      </c>
      <c r="AT1014" t="s">
        <v>88</v>
      </c>
      <c r="AU1014" t="s">
        <v>111</v>
      </c>
      <c r="AV1014" s="14">
        <v>14800</v>
      </c>
    </row>
    <row r="1015" spans="26:48">
      <c r="Z1015" s="3"/>
      <c r="AC1015"/>
      <c r="AE1015" s="3"/>
      <c r="AH1015" t="s">
        <v>1833</v>
      </c>
      <c r="AI1015" t="s">
        <v>65</v>
      </c>
      <c r="AJ1015" t="s">
        <v>108</v>
      </c>
      <c r="AK1015" s="3" t="s">
        <v>27</v>
      </c>
      <c r="AL1015" s="3">
        <v>-1464.9048357007</v>
      </c>
      <c r="AS1015" t="s">
        <v>1875</v>
      </c>
      <c r="AT1015" t="s">
        <v>88</v>
      </c>
      <c r="AU1015" t="s">
        <v>268</v>
      </c>
      <c r="AV1015" s="14">
        <v>0</v>
      </c>
    </row>
    <row r="1016" spans="26:48">
      <c r="Z1016" s="3"/>
      <c r="AC1016"/>
      <c r="AE1016" s="3"/>
      <c r="AH1016" t="s">
        <v>1833</v>
      </c>
      <c r="AI1016" t="s">
        <v>65</v>
      </c>
      <c r="AJ1016" t="s">
        <v>98</v>
      </c>
      <c r="AK1016" s="3" t="s">
        <v>27</v>
      </c>
      <c r="AL1016" s="3">
        <v>-1755.2231518046001</v>
      </c>
      <c r="AS1016" t="s">
        <v>1875</v>
      </c>
      <c r="AT1016" t="s">
        <v>88</v>
      </c>
      <c r="AU1016" t="s">
        <v>269</v>
      </c>
      <c r="AV1016" s="14">
        <v>0</v>
      </c>
    </row>
    <row r="1017" spans="26:48">
      <c r="Z1017" s="3"/>
      <c r="AC1017"/>
      <c r="AE1017" s="3"/>
      <c r="AH1017" t="s">
        <v>1833</v>
      </c>
      <c r="AI1017" t="s">
        <v>67</v>
      </c>
      <c r="AJ1017" t="s">
        <v>66</v>
      </c>
      <c r="AK1017" s="3" t="s">
        <v>27</v>
      </c>
      <c r="AL1017" s="3">
        <v>-20684.2</v>
      </c>
      <c r="AS1017" t="s">
        <v>1875</v>
      </c>
      <c r="AT1017" t="s">
        <v>88</v>
      </c>
      <c r="AU1017" t="s">
        <v>270</v>
      </c>
      <c r="AV1017" s="14">
        <v>0</v>
      </c>
    </row>
    <row r="1018" spans="26:48">
      <c r="Z1018" s="3"/>
      <c r="AC1018"/>
      <c r="AE1018" s="3"/>
      <c r="AH1018" t="s">
        <v>1833</v>
      </c>
      <c r="AI1018" t="s">
        <v>67</v>
      </c>
      <c r="AJ1018" t="s">
        <v>72</v>
      </c>
      <c r="AK1018" s="3" t="s">
        <v>27</v>
      </c>
      <c r="AL1018" s="3">
        <v>-23038.007314999999</v>
      </c>
      <c r="AS1018" t="s">
        <v>1875</v>
      </c>
      <c r="AT1018" t="s">
        <v>88</v>
      </c>
      <c r="AU1018" t="s">
        <v>271</v>
      </c>
      <c r="AV1018" s="14">
        <v>-3090</v>
      </c>
    </row>
    <row r="1019" spans="26:48">
      <c r="Z1019" s="3"/>
      <c r="AC1019"/>
      <c r="AE1019" s="3"/>
      <c r="AH1019" t="s">
        <v>1833</v>
      </c>
      <c r="AI1019" t="s">
        <v>67</v>
      </c>
      <c r="AJ1019" t="s">
        <v>113</v>
      </c>
      <c r="AK1019" s="3" t="s">
        <v>27</v>
      </c>
      <c r="AL1019" s="3">
        <v>-2690.3623064417002</v>
      </c>
      <c r="AS1019" t="s">
        <v>1875</v>
      </c>
      <c r="AT1019" t="s">
        <v>88</v>
      </c>
      <c r="AU1019" t="s">
        <v>272</v>
      </c>
      <c r="AV1019" s="14">
        <v>0</v>
      </c>
    </row>
    <row r="1020" spans="26:48">
      <c r="Z1020" s="3"/>
      <c r="AC1020"/>
      <c r="AE1020" s="3"/>
      <c r="AH1020" t="s">
        <v>1833</v>
      </c>
      <c r="AI1020" t="s">
        <v>67</v>
      </c>
      <c r="AJ1020" t="s">
        <v>108</v>
      </c>
      <c r="AK1020" s="3" t="s">
        <v>27</v>
      </c>
      <c r="AL1020" s="3">
        <v>336.5549914417</v>
      </c>
      <c r="AS1020" t="s">
        <v>1875</v>
      </c>
      <c r="AT1020" t="s">
        <v>88</v>
      </c>
      <c r="AU1020" t="s">
        <v>273</v>
      </c>
      <c r="AV1020" s="14">
        <v>0</v>
      </c>
    </row>
    <row r="1021" spans="26:48">
      <c r="Z1021" s="3"/>
      <c r="AC1021"/>
      <c r="AE1021" s="3"/>
      <c r="AH1021" t="s">
        <v>1833</v>
      </c>
      <c r="AI1021" t="s">
        <v>67</v>
      </c>
      <c r="AJ1021" t="s">
        <v>98</v>
      </c>
      <c r="AK1021" s="3" t="s">
        <v>27</v>
      </c>
      <c r="AL1021" s="3">
        <v>233.2373097979</v>
      </c>
      <c r="AS1021" t="s">
        <v>1875</v>
      </c>
      <c r="AT1021" t="s">
        <v>196</v>
      </c>
      <c r="AU1021" t="s">
        <v>197</v>
      </c>
      <c r="AV1021" s="14">
        <v>7.1509220136976603</v>
      </c>
    </row>
    <row r="1022" spans="26:48">
      <c r="Z1022" s="3"/>
      <c r="AC1022"/>
      <c r="AE1022" s="3"/>
      <c r="AH1022" t="s">
        <v>1833</v>
      </c>
      <c r="AI1022" t="s">
        <v>67</v>
      </c>
      <c r="AJ1022" t="s">
        <v>66</v>
      </c>
      <c r="AK1022" s="3" t="s">
        <v>114</v>
      </c>
      <c r="AL1022" s="3">
        <v>2378</v>
      </c>
      <c r="AS1022" t="s">
        <v>1875</v>
      </c>
      <c r="AT1022" t="s">
        <v>196</v>
      </c>
      <c r="AU1022" t="s">
        <v>109</v>
      </c>
      <c r="AV1022" s="14">
        <v>4.9963286973773204</v>
      </c>
    </row>
    <row r="1023" spans="26:48">
      <c r="Z1023" s="3"/>
      <c r="AC1023"/>
      <c r="AE1023" s="3"/>
      <c r="AH1023" t="s">
        <v>1833</v>
      </c>
      <c r="AI1023" t="s">
        <v>67</v>
      </c>
      <c r="AJ1023" t="s">
        <v>98</v>
      </c>
      <c r="AK1023" s="3" t="s">
        <v>114</v>
      </c>
      <c r="AL1023" s="3">
        <v>23.206578356200001</v>
      </c>
      <c r="AS1023" t="s">
        <v>1875</v>
      </c>
      <c r="AT1023" t="s">
        <v>196</v>
      </c>
      <c r="AU1023" t="s">
        <v>198</v>
      </c>
      <c r="AV1023" s="14">
        <v>5.8556680495985898</v>
      </c>
    </row>
    <row r="1024" spans="26:48">
      <c r="Z1024" s="3"/>
      <c r="AC1024"/>
      <c r="AE1024" s="3"/>
      <c r="AH1024" t="s">
        <v>1833</v>
      </c>
      <c r="AI1024" t="s">
        <v>67</v>
      </c>
      <c r="AJ1024" t="s">
        <v>66</v>
      </c>
      <c r="AK1024" s="3" t="s">
        <v>115</v>
      </c>
      <c r="AL1024" s="3">
        <v>23062.2</v>
      </c>
      <c r="AS1024" t="s">
        <v>1876</v>
      </c>
      <c r="AT1024" t="s">
        <v>88</v>
      </c>
      <c r="AU1024" t="s">
        <v>109</v>
      </c>
      <c r="AV1024" s="14">
        <v>21486.7906</v>
      </c>
    </row>
    <row r="1025" spans="26:48">
      <c r="Z1025" s="3"/>
      <c r="AC1025"/>
      <c r="AE1025" s="3"/>
      <c r="AH1025" t="s">
        <v>1833</v>
      </c>
      <c r="AI1025" t="s">
        <v>67</v>
      </c>
      <c r="AJ1025" t="s">
        <v>98</v>
      </c>
      <c r="AK1025" s="3" t="s">
        <v>115</v>
      </c>
      <c r="AL1025" s="3">
        <v>-210.0307314417</v>
      </c>
      <c r="AS1025" t="s">
        <v>1876</v>
      </c>
      <c r="AT1025" t="s">
        <v>88</v>
      </c>
      <c r="AU1025" t="s">
        <v>110</v>
      </c>
      <c r="AV1025" s="14">
        <v>397.61059999999998</v>
      </c>
    </row>
    <row r="1026" spans="26:48">
      <c r="Z1026" s="3"/>
      <c r="AC1026"/>
      <c r="AE1026" s="3"/>
      <c r="AH1026" t="s">
        <v>1833</v>
      </c>
      <c r="AI1026" t="s">
        <v>68</v>
      </c>
      <c r="AJ1026" t="s">
        <v>66</v>
      </c>
      <c r="AK1026" s="3" t="s">
        <v>27</v>
      </c>
      <c r="AL1026" s="3">
        <v>-1690</v>
      </c>
      <c r="AS1026" t="s">
        <v>1876</v>
      </c>
      <c r="AT1026" t="s">
        <v>88</v>
      </c>
      <c r="AU1026" t="s">
        <v>111</v>
      </c>
      <c r="AV1026" s="14">
        <v>14800</v>
      </c>
    </row>
    <row r="1027" spans="26:48">
      <c r="Z1027" s="3"/>
      <c r="AC1027"/>
      <c r="AE1027" s="3"/>
      <c r="AH1027" t="s">
        <v>1833</v>
      </c>
      <c r="AI1027" t="s">
        <v>68</v>
      </c>
      <c r="AJ1027" t="s">
        <v>72</v>
      </c>
      <c r="AK1027" s="3" t="s">
        <v>27</v>
      </c>
      <c r="AL1027" s="3">
        <v>-2114.2424000000001</v>
      </c>
      <c r="AS1027" t="s">
        <v>1876</v>
      </c>
      <c r="AT1027" t="s">
        <v>88</v>
      </c>
      <c r="AU1027" t="s">
        <v>268</v>
      </c>
      <c r="AV1027" s="14">
        <v>0</v>
      </c>
    </row>
    <row r="1028" spans="26:48">
      <c r="Z1028" s="3"/>
      <c r="AC1028"/>
      <c r="AE1028" s="3"/>
      <c r="AH1028" t="s">
        <v>1833</v>
      </c>
      <c r="AI1028" t="s">
        <v>68</v>
      </c>
      <c r="AJ1028" t="s">
        <v>113</v>
      </c>
      <c r="AK1028" s="3" t="s">
        <v>27</v>
      </c>
      <c r="AL1028" s="3">
        <v>-384.17973309040002</v>
      </c>
      <c r="AS1028" t="s">
        <v>1876</v>
      </c>
      <c r="AT1028" t="s">
        <v>88</v>
      </c>
      <c r="AU1028" t="s">
        <v>269</v>
      </c>
      <c r="AV1028" s="14">
        <v>0</v>
      </c>
    </row>
    <row r="1029" spans="26:48">
      <c r="Z1029" s="3"/>
      <c r="AC1029"/>
      <c r="AE1029" s="3"/>
      <c r="AH1029" t="s">
        <v>1833</v>
      </c>
      <c r="AI1029" t="s">
        <v>68</v>
      </c>
      <c r="AJ1029" t="s">
        <v>108</v>
      </c>
      <c r="AK1029" s="3" t="s">
        <v>27</v>
      </c>
      <c r="AL1029" s="3">
        <v>-40.062666909599997</v>
      </c>
      <c r="AS1029" t="s">
        <v>1876</v>
      </c>
      <c r="AT1029" t="s">
        <v>88</v>
      </c>
      <c r="AU1029" t="s">
        <v>270</v>
      </c>
      <c r="AV1029" s="14">
        <v>0</v>
      </c>
    </row>
    <row r="1030" spans="26:48">
      <c r="Z1030" s="3"/>
      <c r="AC1030"/>
      <c r="AE1030" s="3"/>
      <c r="AH1030" t="s">
        <v>1833</v>
      </c>
      <c r="AI1030" t="s">
        <v>68</v>
      </c>
      <c r="AJ1030" t="s">
        <v>98</v>
      </c>
      <c r="AK1030" s="3" t="s">
        <v>27</v>
      </c>
      <c r="AL1030" s="3">
        <v>-67.291791567199994</v>
      </c>
      <c r="AS1030" t="s">
        <v>1876</v>
      </c>
      <c r="AT1030" t="s">
        <v>88</v>
      </c>
      <c r="AU1030" t="s">
        <v>271</v>
      </c>
      <c r="AV1030" s="14">
        <v>-1220</v>
      </c>
    </row>
    <row r="1031" spans="26:48">
      <c r="Z1031" s="3"/>
      <c r="AC1031"/>
      <c r="AE1031" s="3"/>
      <c r="AH1031" t="s">
        <v>1833</v>
      </c>
      <c r="AI1031" t="s">
        <v>68</v>
      </c>
      <c r="AJ1031" t="s">
        <v>66</v>
      </c>
      <c r="AK1031" s="3" t="s">
        <v>114</v>
      </c>
      <c r="AL1031" s="3">
        <v>3140</v>
      </c>
      <c r="AS1031" t="s">
        <v>1876</v>
      </c>
      <c r="AT1031" t="s">
        <v>88</v>
      </c>
      <c r="AU1031" t="s">
        <v>272</v>
      </c>
      <c r="AV1031" s="14">
        <v>0</v>
      </c>
    </row>
    <row r="1032" spans="26:48">
      <c r="Z1032" s="3"/>
      <c r="AC1032"/>
      <c r="AE1032" s="3"/>
      <c r="AH1032" t="s">
        <v>1833</v>
      </c>
      <c r="AI1032" t="s">
        <v>68</v>
      </c>
      <c r="AJ1032" t="s">
        <v>98</v>
      </c>
      <c r="AK1032" s="3" t="s">
        <v>114</v>
      </c>
      <c r="AL1032" s="3">
        <v>-118.06592465750001</v>
      </c>
      <c r="AS1032" t="s">
        <v>1876</v>
      </c>
      <c r="AT1032" t="s">
        <v>88</v>
      </c>
      <c r="AU1032" t="s">
        <v>273</v>
      </c>
      <c r="AV1032" s="14">
        <v>0</v>
      </c>
    </row>
    <row r="1033" spans="26:48">
      <c r="Z1033" s="3"/>
      <c r="AC1033"/>
      <c r="AE1033" s="3"/>
      <c r="AH1033" t="s">
        <v>1833</v>
      </c>
      <c r="AI1033" t="s">
        <v>68</v>
      </c>
      <c r="AJ1033" t="s">
        <v>66</v>
      </c>
      <c r="AK1033" s="3" t="s">
        <v>115</v>
      </c>
      <c r="AL1033" s="3">
        <v>4830</v>
      </c>
      <c r="AS1033" t="s">
        <v>1876</v>
      </c>
      <c r="AT1033" t="s">
        <v>196</v>
      </c>
      <c r="AU1033" t="s">
        <v>197</v>
      </c>
      <c r="AV1033" s="14">
        <v>7.1509220136976603</v>
      </c>
    </row>
    <row r="1034" spans="26:48">
      <c r="Z1034" s="3"/>
      <c r="AC1034"/>
      <c r="AE1034" s="3"/>
      <c r="AH1034" t="s">
        <v>1833</v>
      </c>
      <c r="AI1034" t="s">
        <v>68</v>
      </c>
      <c r="AJ1034" t="s">
        <v>98</v>
      </c>
      <c r="AK1034" s="3" t="s">
        <v>115</v>
      </c>
      <c r="AL1034" s="3">
        <v>-50.774133090399999</v>
      </c>
      <c r="AS1034" t="s">
        <v>1876</v>
      </c>
      <c r="AT1034" t="s">
        <v>196</v>
      </c>
      <c r="AU1034" t="s">
        <v>109</v>
      </c>
      <c r="AV1034" s="14">
        <v>5.2440227776814297</v>
      </c>
    </row>
    <row r="1035" spans="26:48">
      <c r="Z1035" s="3"/>
      <c r="AC1035"/>
      <c r="AE1035" s="3"/>
      <c r="AH1035" t="s">
        <v>1833</v>
      </c>
      <c r="AI1035" t="s">
        <v>800</v>
      </c>
      <c r="AJ1035" t="s">
        <v>31</v>
      </c>
      <c r="AK1035" s="3" t="s">
        <v>27</v>
      </c>
      <c r="AL1035" s="3">
        <v>3.9284587558999999</v>
      </c>
      <c r="AS1035" t="s">
        <v>1876</v>
      </c>
      <c r="AT1035" t="s">
        <v>196</v>
      </c>
      <c r="AU1035" t="s">
        <v>198</v>
      </c>
      <c r="AV1035" s="14">
        <v>5.9931700086953699</v>
      </c>
    </row>
    <row r="1036" spans="26:48">
      <c r="Z1036" s="3"/>
      <c r="AC1036"/>
      <c r="AE1036" s="3"/>
      <c r="AH1036" t="s">
        <v>1834</v>
      </c>
      <c r="AI1036" t="s">
        <v>65</v>
      </c>
      <c r="AJ1036" t="s">
        <v>66</v>
      </c>
      <c r="AK1036" s="3" t="s">
        <v>27</v>
      </c>
      <c r="AL1036" s="3">
        <v>36180.199999999997</v>
      </c>
      <c r="AS1036" t="s">
        <v>1877</v>
      </c>
      <c r="AT1036" t="s">
        <v>88</v>
      </c>
      <c r="AU1036" t="s">
        <v>109</v>
      </c>
      <c r="AV1036" s="14">
        <v>21856.7906</v>
      </c>
    </row>
    <row r="1037" spans="26:48">
      <c r="Z1037" s="3"/>
      <c r="AC1037"/>
      <c r="AE1037" s="3"/>
      <c r="AH1037" t="s">
        <v>1834</v>
      </c>
      <c r="AI1037" t="s">
        <v>65</v>
      </c>
      <c r="AJ1037" t="s">
        <v>72</v>
      </c>
      <c r="AK1037" s="3" t="s">
        <v>27</v>
      </c>
      <c r="AL1037" s="3">
        <v>37462.216532999999</v>
      </c>
      <c r="AS1037" t="s">
        <v>1877</v>
      </c>
      <c r="AT1037" t="s">
        <v>88</v>
      </c>
      <c r="AU1037" t="s">
        <v>110</v>
      </c>
      <c r="AV1037" s="14">
        <v>397.61059999999998</v>
      </c>
    </row>
    <row r="1038" spans="26:48">
      <c r="Z1038" s="3"/>
      <c r="AC1038"/>
      <c r="AE1038" s="3"/>
      <c r="AH1038" t="s">
        <v>1834</v>
      </c>
      <c r="AI1038" t="s">
        <v>65</v>
      </c>
      <c r="AJ1038" t="s">
        <v>113</v>
      </c>
      <c r="AK1038" s="3" t="s">
        <v>27</v>
      </c>
      <c r="AL1038" s="3">
        <v>2439.9758932015002</v>
      </c>
      <c r="AS1038" t="s">
        <v>1877</v>
      </c>
      <c r="AT1038" t="s">
        <v>88</v>
      </c>
      <c r="AU1038" t="s">
        <v>111</v>
      </c>
      <c r="AV1038" s="14">
        <v>13800</v>
      </c>
    </row>
    <row r="1039" spans="26:48">
      <c r="Z1039" s="3"/>
      <c r="AC1039"/>
      <c r="AE1039" s="3"/>
      <c r="AH1039" t="s">
        <v>1834</v>
      </c>
      <c r="AI1039" t="s">
        <v>65</v>
      </c>
      <c r="AJ1039" t="s">
        <v>108</v>
      </c>
      <c r="AK1039" s="3" t="s">
        <v>27</v>
      </c>
      <c r="AL1039" s="3">
        <v>-1157.9593602015</v>
      </c>
      <c r="AS1039" t="s">
        <v>1877</v>
      </c>
      <c r="AT1039" t="s">
        <v>88</v>
      </c>
      <c r="AU1039" t="s">
        <v>268</v>
      </c>
      <c r="AV1039" s="14">
        <v>0</v>
      </c>
    </row>
    <row r="1040" spans="26:48">
      <c r="Z1040" s="3"/>
      <c r="AC1040"/>
      <c r="AE1040" s="3"/>
      <c r="AH1040" t="s">
        <v>1834</v>
      </c>
      <c r="AI1040" t="s">
        <v>65</v>
      </c>
      <c r="AJ1040" t="s">
        <v>98</v>
      </c>
      <c r="AK1040" s="3" t="s">
        <v>27</v>
      </c>
      <c r="AL1040" s="3">
        <v>-1157.9593602015</v>
      </c>
      <c r="AS1040" t="s">
        <v>1877</v>
      </c>
      <c r="AT1040" t="s">
        <v>88</v>
      </c>
      <c r="AU1040" t="s">
        <v>269</v>
      </c>
      <c r="AV1040" s="14">
        <v>0</v>
      </c>
    </row>
    <row r="1041" spans="26:48">
      <c r="Z1041" s="3"/>
      <c r="AC1041"/>
      <c r="AE1041" s="3"/>
      <c r="AH1041" t="s">
        <v>1834</v>
      </c>
      <c r="AI1041" t="s">
        <v>67</v>
      </c>
      <c r="AJ1041" t="s">
        <v>66</v>
      </c>
      <c r="AK1041" s="3" t="s">
        <v>27</v>
      </c>
      <c r="AL1041" s="3">
        <v>-25456.2</v>
      </c>
      <c r="AS1041" t="s">
        <v>1877</v>
      </c>
      <c r="AT1041" t="s">
        <v>88</v>
      </c>
      <c r="AU1041" t="s">
        <v>270</v>
      </c>
      <c r="AV1041" s="14">
        <v>0</v>
      </c>
    </row>
    <row r="1042" spans="26:48">
      <c r="Z1042" s="3"/>
      <c r="AC1042"/>
      <c r="AE1042" s="3"/>
      <c r="AH1042" t="s">
        <v>1834</v>
      </c>
      <c r="AI1042" t="s">
        <v>67</v>
      </c>
      <c r="AJ1042" t="s">
        <v>72</v>
      </c>
      <c r="AK1042" s="3" t="s">
        <v>27</v>
      </c>
      <c r="AL1042" s="3">
        <v>-27333.433992999999</v>
      </c>
      <c r="AS1042" t="s">
        <v>1877</v>
      </c>
      <c r="AT1042" t="s">
        <v>88</v>
      </c>
      <c r="AU1042" t="s">
        <v>271</v>
      </c>
      <c r="AV1042" s="14">
        <v>-1940</v>
      </c>
    </row>
    <row r="1043" spans="26:48">
      <c r="Z1043" s="3"/>
      <c r="AC1043"/>
      <c r="AE1043" s="3"/>
      <c r="AH1043" t="s">
        <v>1834</v>
      </c>
      <c r="AI1043" t="s">
        <v>67</v>
      </c>
      <c r="AJ1043" t="s">
        <v>113</v>
      </c>
      <c r="AK1043" s="3" t="s">
        <v>27</v>
      </c>
      <c r="AL1043" s="3">
        <v>-2177.3318863130999</v>
      </c>
      <c r="AS1043" t="s">
        <v>1877</v>
      </c>
      <c r="AT1043" t="s">
        <v>88</v>
      </c>
      <c r="AU1043" t="s">
        <v>272</v>
      </c>
      <c r="AV1043" s="14">
        <v>0</v>
      </c>
    </row>
    <row r="1044" spans="26:48">
      <c r="Z1044" s="3"/>
      <c r="AC1044"/>
      <c r="AE1044" s="3"/>
      <c r="AH1044" t="s">
        <v>1834</v>
      </c>
      <c r="AI1044" t="s">
        <v>67</v>
      </c>
      <c r="AJ1044" t="s">
        <v>108</v>
      </c>
      <c r="AK1044" s="3" t="s">
        <v>27</v>
      </c>
      <c r="AL1044" s="3">
        <v>300.09789331309997</v>
      </c>
      <c r="AS1044" t="s">
        <v>1877</v>
      </c>
      <c r="AT1044" t="s">
        <v>88</v>
      </c>
      <c r="AU1044" t="s">
        <v>273</v>
      </c>
      <c r="AV1044" s="14">
        <v>0</v>
      </c>
    </row>
    <row r="1045" spans="26:48">
      <c r="Z1045" s="3"/>
      <c r="AC1045"/>
      <c r="AE1045" s="3"/>
      <c r="AH1045" t="s">
        <v>1834</v>
      </c>
      <c r="AI1045" t="s">
        <v>67</v>
      </c>
      <c r="AJ1045" t="s">
        <v>98</v>
      </c>
      <c r="AK1045" s="3" t="s">
        <v>27</v>
      </c>
      <c r="AL1045" s="3">
        <v>300.09789331309997</v>
      </c>
      <c r="AS1045" t="s">
        <v>1877</v>
      </c>
      <c r="AT1045" t="s">
        <v>196</v>
      </c>
      <c r="AU1045" t="s">
        <v>197</v>
      </c>
      <c r="AV1045" s="14">
        <v>6.9649935788593096</v>
      </c>
    </row>
    <row r="1046" spans="26:48">
      <c r="Z1046" s="3"/>
      <c r="AC1046"/>
      <c r="AE1046" s="3"/>
      <c r="AH1046" t="s">
        <v>1834</v>
      </c>
      <c r="AI1046" t="s">
        <v>67</v>
      </c>
      <c r="AJ1046" t="s">
        <v>66</v>
      </c>
      <c r="AK1046" s="3" t="s">
        <v>114</v>
      </c>
      <c r="AL1046" s="3">
        <v>0</v>
      </c>
      <c r="AS1046" t="s">
        <v>1877</v>
      </c>
      <c r="AT1046" t="s">
        <v>196</v>
      </c>
      <c r="AU1046" t="s">
        <v>109</v>
      </c>
      <c r="AV1046" s="14">
        <v>5.3828073542731296</v>
      </c>
    </row>
    <row r="1047" spans="26:48">
      <c r="Z1047" s="3"/>
      <c r="AC1047"/>
      <c r="AE1047" s="3"/>
      <c r="AH1047" t="s">
        <v>1834</v>
      </c>
      <c r="AI1047" t="s">
        <v>67</v>
      </c>
      <c r="AJ1047" t="s">
        <v>98</v>
      </c>
      <c r="AK1047" s="3" t="s">
        <v>114</v>
      </c>
      <c r="AL1047" s="3">
        <v>0</v>
      </c>
      <c r="AS1047" t="s">
        <v>1877</v>
      </c>
      <c r="AT1047" t="s">
        <v>196</v>
      </c>
      <c r="AU1047" t="s">
        <v>198</v>
      </c>
      <c r="AV1047" s="14">
        <v>5.9731008079869401</v>
      </c>
    </row>
    <row r="1048" spans="26:48">
      <c r="Z1048" s="3"/>
      <c r="AC1048"/>
      <c r="AE1048" s="3"/>
      <c r="AH1048" t="s">
        <v>1834</v>
      </c>
      <c r="AI1048" t="s">
        <v>67</v>
      </c>
      <c r="AJ1048" t="s">
        <v>66</v>
      </c>
      <c r="AK1048" s="3" t="s">
        <v>115</v>
      </c>
      <c r="AL1048" s="3">
        <v>25456.2</v>
      </c>
      <c r="AS1048" t="s">
        <v>1878</v>
      </c>
      <c r="AT1048" t="s">
        <v>88</v>
      </c>
      <c r="AU1048" t="s">
        <v>109</v>
      </c>
      <c r="AV1048" s="14">
        <v>21495.883999999998</v>
      </c>
    </row>
    <row r="1049" spans="26:48">
      <c r="Z1049" s="3"/>
      <c r="AC1049"/>
      <c r="AE1049" s="3"/>
      <c r="AH1049" t="s">
        <v>1834</v>
      </c>
      <c r="AI1049" t="s">
        <v>67</v>
      </c>
      <c r="AJ1049" t="s">
        <v>98</v>
      </c>
      <c r="AK1049" s="3" t="s">
        <v>115</v>
      </c>
      <c r="AL1049" s="3">
        <v>-300.09789331309997</v>
      </c>
      <c r="AS1049" t="s">
        <v>1878</v>
      </c>
      <c r="AT1049" t="s">
        <v>88</v>
      </c>
      <c r="AU1049" t="s">
        <v>110</v>
      </c>
      <c r="AV1049" s="14">
        <v>397.61059999999998</v>
      </c>
    </row>
    <row r="1050" spans="26:48">
      <c r="Z1050" s="3"/>
      <c r="AC1050"/>
      <c r="AE1050" s="3"/>
      <c r="AH1050" t="s">
        <v>1834</v>
      </c>
      <c r="AI1050" t="s">
        <v>68</v>
      </c>
      <c r="AJ1050" t="s">
        <v>66</v>
      </c>
      <c r="AK1050" s="3" t="s">
        <v>27</v>
      </c>
      <c r="AL1050" s="3">
        <v>688</v>
      </c>
      <c r="AS1050" t="s">
        <v>1878</v>
      </c>
      <c r="AT1050" t="s">
        <v>88</v>
      </c>
      <c r="AU1050" t="s">
        <v>111</v>
      </c>
      <c r="AV1050" s="14">
        <v>13800</v>
      </c>
    </row>
    <row r="1051" spans="26:48">
      <c r="Z1051" s="3"/>
      <c r="AC1051"/>
      <c r="AE1051" s="3"/>
      <c r="AH1051" t="s">
        <v>1834</v>
      </c>
      <c r="AI1051" t="s">
        <v>68</v>
      </c>
      <c r="AJ1051" t="s">
        <v>72</v>
      </c>
      <c r="AK1051" s="3" t="s">
        <v>27</v>
      </c>
      <c r="AL1051" s="3">
        <v>389.89661999999998</v>
      </c>
      <c r="AS1051" t="s">
        <v>1878</v>
      </c>
      <c r="AT1051" t="s">
        <v>88</v>
      </c>
      <c r="AU1051" t="s">
        <v>268</v>
      </c>
      <c r="AV1051" s="14">
        <v>0</v>
      </c>
    </row>
    <row r="1052" spans="26:48">
      <c r="Z1052" s="3"/>
      <c r="AC1052"/>
      <c r="AE1052" s="3"/>
      <c r="AH1052" t="s">
        <v>1834</v>
      </c>
      <c r="AI1052" t="s">
        <v>68</v>
      </c>
      <c r="AJ1052" t="s">
        <v>113</v>
      </c>
      <c r="AK1052" s="3" t="s">
        <v>27</v>
      </c>
      <c r="AL1052" s="3">
        <v>-500.24663639120001</v>
      </c>
      <c r="AS1052" t="s">
        <v>1878</v>
      </c>
      <c r="AT1052" t="s">
        <v>88</v>
      </c>
      <c r="AU1052" t="s">
        <v>269</v>
      </c>
      <c r="AV1052" s="14">
        <v>0</v>
      </c>
    </row>
    <row r="1053" spans="26:48">
      <c r="Z1053" s="3"/>
      <c r="AC1053"/>
      <c r="AE1053" s="3"/>
      <c r="AH1053" t="s">
        <v>1834</v>
      </c>
      <c r="AI1053" t="s">
        <v>68</v>
      </c>
      <c r="AJ1053" t="s">
        <v>108</v>
      </c>
      <c r="AK1053" s="3" t="s">
        <v>27</v>
      </c>
      <c r="AL1053" s="3">
        <v>202.1432563912</v>
      </c>
      <c r="AS1053" t="s">
        <v>1878</v>
      </c>
      <c r="AT1053" t="s">
        <v>88</v>
      </c>
      <c r="AU1053" t="s">
        <v>270</v>
      </c>
      <c r="AV1053" s="14">
        <v>0</v>
      </c>
    </row>
    <row r="1054" spans="26:48">
      <c r="Z1054" s="3"/>
      <c r="AC1054"/>
      <c r="AE1054" s="3"/>
      <c r="AH1054" t="s">
        <v>1834</v>
      </c>
      <c r="AI1054" t="s">
        <v>68</v>
      </c>
      <c r="AJ1054" t="s">
        <v>98</v>
      </c>
      <c r="AK1054" s="3" t="s">
        <v>27</v>
      </c>
      <c r="AL1054" s="3">
        <v>-43.997885526600001</v>
      </c>
      <c r="AS1054" t="s">
        <v>1878</v>
      </c>
      <c r="AT1054" t="s">
        <v>88</v>
      </c>
      <c r="AU1054" t="s">
        <v>271</v>
      </c>
      <c r="AV1054" s="14">
        <v>-2300</v>
      </c>
    </row>
    <row r="1055" spans="26:48">
      <c r="Z1055" s="3"/>
      <c r="AC1055"/>
      <c r="AE1055" s="3"/>
      <c r="AH1055" t="s">
        <v>1834</v>
      </c>
      <c r="AI1055" t="s">
        <v>68</v>
      </c>
      <c r="AJ1055" t="s">
        <v>66</v>
      </c>
      <c r="AK1055" s="3" t="s">
        <v>114</v>
      </c>
      <c r="AL1055" s="3">
        <v>4218</v>
      </c>
      <c r="AS1055" t="s">
        <v>1878</v>
      </c>
      <c r="AT1055" t="s">
        <v>88</v>
      </c>
      <c r="AU1055" t="s">
        <v>272</v>
      </c>
      <c r="AV1055" s="14">
        <v>0</v>
      </c>
    </row>
    <row r="1056" spans="26:48">
      <c r="Z1056" s="3"/>
      <c r="AC1056"/>
      <c r="AE1056" s="3"/>
      <c r="AH1056" t="s">
        <v>1834</v>
      </c>
      <c r="AI1056" t="s">
        <v>68</v>
      </c>
      <c r="AJ1056" t="s">
        <v>98</v>
      </c>
      <c r="AK1056" s="3" t="s">
        <v>114</v>
      </c>
      <c r="AL1056" s="3">
        <v>-118.7432219178</v>
      </c>
      <c r="AS1056" t="s">
        <v>1878</v>
      </c>
      <c r="AT1056" t="s">
        <v>88</v>
      </c>
      <c r="AU1056" t="s">
        <v>273</v>
      </c>
      <c r="AV1056" s="14">
        <v>0</v>
      </c>
    </row>
    <row r="1057" spans="26:48">
      <c r="Z1057" s="3"/>
      <c r="AC1057"/>
      <c r="AE1057" s="3"/>
      <c r="AH1057" t="s">
        <v>1834</v>
      </c>
      <c r="AI1057" t="s">
        <v>68</v>
      </c>
      <c r="AJ1057" t="s">
        <v>66</v>
      </c>
      <c r="AK1057" s="3" t="s">
        <v>115</v>
      </c>
      <c r="AL1057" s="3">
        <v>3530</v>
      </c>
      <c r="AS1057" t="s">
        <v>1878</v>
      </c>
      <c r="AT1057" t="s">
        <v>196</v>
      </c>
      <c r="AU1057" t="s">
        <v>197</v>
      </c>
      <c r="AV1057" s="14">
        <v>6.9649935788593096</v>
      </c>
    </row>
    <row r="1058" spans="26:48">
      <c r="Z1058" s="3"/>
      <c r="AC1058"/>
      <c r="AE1058" s="3"/>
      <c r="AH1058" t="s">
        <v>1834</v>
      </c>
      <c r="AI1058" t="s">
        <v>68</v>
      </c>
      <c r="AJ1058" t="s">
        <v>98</v>
      </c>
      <c r="AK1058" s="3" t="s">
        <v>115</v>
      </c>
      <c r="AL1058" s="3">
        <v>-74.745336391199999</v>
      </c>
      <c r="AS1058" t="s">
        <v>1878</v>
      </c>
      <c r="AT1058" t="s">
        <v>196</v>
      </c>
      <c r="AU1058" t="s">
        <v>109</v>
      </c>
      <c r="AV1058" s="14">
        <v>5.5164977832763</v>
      </c>
    </row>
    <row r="1059" spans="26:48">
      <c r="Z1059" s="3"/>
      <c r="AC1059"/>
      <c r="AE1059" s="3"/>
      <c r="AH1059" t="s">
        <v>1834</v>
      </c>
      <c r="AI1059" t="s">
        <v>800</v>
      </c>
      <c r="AJ1059" t="s">
        <v>31</v>
      </c>
      <c r="AK1059" s="3" t="s">
        <v>27</v>
      </c>
      <c r="AL1059" s="3">
        <v>3.9539086209000001</v>
      </c>
      <c r="AS1059" t="s">
        <v>1878</v>
      </c>
      <c r="AT1059" t="s">
        <v>196</v>
      </c>
      <c r="AU1059" t="s">
        <v>198</v>
      </c>
      <c r="AV1059" s="14">
        <v>6.06208739972499</v>
      </c>
    </row>
    <row r="1060" spans="26:48">
      <c r="Z1060" s="3"/>
      <c r="AC1060"/>
      <c r="AE1060" s="3"/>
      <c r="AH1060" t="s">
        <v>1835</v>
      </c>
      <c r="AI1060" t="s">
        <v>65</v>
      </c>
      <c r="AJ1060" t="s">
        <v>66</v>
      </c>
      <c r="AK1060" s="3" t="s">
        <v>27</v>
      </c>
      <c r="AL1060" s="3">
        <v>36917.199999999997</v>
      </c>
      <c r="AS1060" t="s">
        <v>1879</v>
      </c>
      <c r="AT1060" t="s">
        <v>196</v>
      </c>
      <c r="AU1060" t="s">
        <v>197</v>
      </c>
      <c r="AV1060" s="14">
        <v>6.9649935788593096</v>
      </c>
    </row>
    <row r="1061" spans="26:48">
      <c r="Z1061" s="3"/>
      <c r="AC1061"/>
      <c r="AE1061" s="3"/>
      <c r="AH1061" t="s">
        <v>1835</v>
      </c>
      <c r="AI1061" t="s">
        <v>65</v>
      </c>
      <c r="AJ1061" t="s">
        <v>72</v>
      </c>
      <c r="AK1061" s="3" t="s">
        <v>27</v>
      </c>
      <c r="AL1061" s="3">
        <v>38425.609450999997</v>
      </c>
      <c r="AS1061" t="s">
        <v>1879</v>
      </c>
      <c r="AT1061" t="s">
        <v>196</v>
      </c>
      <c r="AU1061" t="s">
        <v>109</v>
      </c>
      <c r="AV1061" s="14">
        <v>5.5471169499230202</v>
      </c>
    </row>
    <row r="1062" spans="26:48">
      <c r="Z1062" s="3"/>
      <c r="AC1062"/>
      <c r="AE1062" s="3"/>
      <c r="AH1062" t="s">
        <v>1835</v>
      </c>
      <c r="AI1062" t="s">
        <v>65</v>
      </c>
      <c r="AJ1062" t="s">
        <v>113</v>
      </c>
      <c r="AK1062" s="3" t="s">
        <v>27</v>
      </c>
      <c r="AL1062" s="3">
        <v>2645.8074008038998</v>
      </c>
      <c r="AS1062" t="s">
        <v>1879</v>
      </c>
      <c r="AT1062" t="s">
        <v>196</v>
      </c>
      <c r="AU1062" t="s">
        <v>198</v>
      </c>
      <c r="AV1062" s="14">
        <v>6.08900863283601</v>
      </c>
    </row>
    <row r="1063" spans="26:48">
      <c r="Z1063" s="3"/>
      <c r="AC1063"/>
      <c r="AE1063" s="3"/>
      <c r="AH1063" t="s">
        <v>1835</v>
      </c>
      <c r="AI1063" t="s">
        <v>65</v>
      </c>
      <c r="AJ1063" t="s">
        <v>108</v>
      </c>
      <c r="AK1063" s="3" t="s">
        <v>27</v>
      </c>
      <c r="AL1063" s="3">
        <v>-1137.3979498039</v>
      </c>
      <c r="AS1063" t="s">
        <v>1879</v>
      </c>
      <c r="AT1063" t="s">
        <v>88</v>
      </c>
      <c r="AU1063" t="s">
        <v>109</v>
      </c>
      <c r="AV1063" s="14">
        <v>19950.883999999998</v>
      </c>
    </row>
    <row r="1064" spans="26:48">
      <c r="Z1064" s="3"/>
      <c r="AC1064"/>
      <c r="AE1064" s="3"/>
      <c r="AH1064" t="s">
        <v>1835</v>
      </c>
      <c r="AI1064" t="s">
        <v>65</v>
      </c>
      <c r="AJ1064" t="s">
        <v>98</v>
      </c>
      <c r="AK1064" s="3" t="s">
        <v>27</v>
      </c>
      <c r="AL1064" s="3">
        <v>-1137.3979498039</v>
      </c>
      <c r="AS1064" t="s">
        <v>1879</v>
      </c>
      <c r="AT1064" t="s">
        <v>88</v>
      </c>
      <c r="AU1064" t="s">
        <v>110</v>
      </c>
      <c r="AV1064" s="14">
        <v>397.61059999999998</v>
      </c>
    </row>
    <row r="1065" spans="26:48">
      <c r="Z1065" s="3"/>
      <c r="AC1065"/>
      <c r="AE1065" s="3"/>
      <c r="AH1065" t="s">
        <v>1835</v>
      </c>
      <c r="AI1065" t="s">
        <v>67</v>
      </c>
      <c r="AJ1065" t="s">
        <v>66</v>
      </c>
      <c r="AK1065" s="3" t="s">
        <v>27</v>
      </c>
      <c r="AL1065" s="3">
        <v>-23799.200000000001</v>
      </c>
      <c r="AS1065" t="s">
        <v>1879</v>
      </c>
      <c r="AT1065" t="s">
        <v>88</v>
      </c>
      <c r="AU1065" t="s">
        <v>111</v>
      </c>
      <c r="AV1065" s="14">
        <v>13800</v>
      </c>
    </row>
    <row r="1066" spans="26:48">
      <c r="Z1066" s="3"/>
      <c r="AC1066"/>
      <c r="AE1066" s="3"/>
      <c r="AH1066" t="s">
        <v>1835</v>
      </c>
      <c r="AI1066" t="s">
        <v>67</v>
      </c>
      <c r="AJ1066" t="s">
        <v>72</v>
      </c>
      <c r="AK1066" s="3" t="s">
        <v>27</v>
      </c>
      <c r="AL1066" s="3">
        <v>-26509.001360999999</v>
      </c>
      <c r="AS1066" t="s">
        <v>1879</v>
      </c>
      <c r="AT1066" t="s">
        <v>88</v>
      </c>
      <c r="AU1066" t="s">
        <v>268</v>
      </c>
      <c r="AV1066" s="14">
        <v>0</v>
      </c>
    </row>
    <row r="1067" spans="26:48">
      <c r="Z1067" s="3"/>
      <c r="AC1067"/>
      <c r="AE1067" s="3"/>
      <c r="AH1067" t="s">
        <v>1835</v>
      </c>
      <c r="AI1067" t="s">
        <v>67</v>
      </c>
      <c r="AJ1067" t="s">
        <v>113</v>
      </c>
      <c r="AK1067" s="3" t="s">
        <v>27</v>
      </c>
      <c r="AL1067" s="3">
        <v>-2889.0565825525</v>
      </c>
      <c r="AS1067" t="s">
        <v>1879</v>
      </c>
      <c r="AT1067" t="s">
        <v>88</v>
      </c>
      <c r="AU1067" t="s">
        <v>269</v>
      </c>
      <c r="AV1067" s="14">
        <v>0</v>
      </c>
    </row>
    <row r="1068" spans="26:48">
      <c r="Z1068" s="3"/>
      <c r="AC1068"/>
      <c r="AE1068" s="3"/>
      <c r="AH1068" t="s">
        <v>1835</v>
      </c>
      <c r="AI1068" t="s">
        <v>67</v>
      </c>
      <c r="AJ1068" t="s">
        <v>108</v>
      </c>
      <c r="AK1068" s="3" t="s">
        <v>27</v>
      </c>
      <c r="AL1068" s="3">
        <v>179.25522155249999</v>
      </c>
      <c r="AS1068" t="s">
        <v>1879</v>
      </c>
      <c r="AT1068" t="s">
        <v>88</v>
      </c>
      <c r="AU1068" t="s">
        <v>270</v>
      </c>
      <c r="AV1068" s="14">
        <v>0</v>
      </c>
    </row>
    <row r="1069" spans="26:48">
      <c r="Z1069" s="3"/>
      <c r="AC1069"/>
      <c r="AE1069" s="3"/>
      <c r="AH1069" t="s">
        <v>1835</v>
      </c>
      <c r="AI1069" t="s">
        <v>67</v>
      </c>
      <c r="AJ1069" t="s">
        <v>98</v>
      </c>
      <c r="AK1069" s="3" t="s">
        <v>27</v>
      </c>
      <c r="AL1069" s="3">
        <v>188.0231430593</v>
      </c>
      <c r="AS1069" t="s">
        <v>1879</v>
      </c>
      <c r="AT1069" t="s">
        <v>88</v>
      </c>
      <c r="AU1069" t="s">
        <v>271</v>
      </c>
      <c r="AV1069" s="14">
        <v>-1300</v>
      </c>
    </row>
    <row r="1070" spans="26:48">
      <c r="Z1070" s="3"/>
      <c r="AC1070"/>
      <c r="AE1070" s="3"/>
      <c r="AH1070" t="s">
        <v>1835</v>
      </c>
      <c r="AI1070" t="s">
        <v>67</v>
      </c>
      <c r="AJ1070" t="s">
        <v>66</v>
      </c>
      <c r="AK1070" s="3" t="s">
        <v>114</v>
      </c>
      <c r="AL1070" s="3">
        <v>211</v>
      </c>
      <c r="AS1070" t="s">
        <v>1879</v>
      </c>
      <c r="AT1070" t="s">
        <v>88</v>
      </c>
      <c r="AU1070" t="s">
        <v>272</v>
      </c>
      <c r="AV1070" s="14">
        <v>0</v>
      </c>
    </row>
    <row r="1071" spans="26:48">
      <c r="Z1071" s="3"/>
      <c r="AC1071"/>
      <c r="AE1071" s="3"/>
      <c r="AH1071" t="s">
        <v>1835</v>
      </c>
      <c r="AI1071" t="s">
        <v>67</v>
      </c>
      <c r="AJ1071" t="s">
        <v>98</v>
      </c>
      <c r="AK1071" s="3" t="s">
        <v>114</v>
      </c>
      <c r="AL1071" s="3">
        <v>-16.1171184932</v>
      </c>
      <c r="AS1071" t="s">
        <v>1879</v>
      </c>
      <c r="AT1071" t="s">
        <v>88</v>
      </c>
      <c r="AU1071" t="s">
        <v>273</v>
      </c>
      <c r="AV1071" s="14">
        <v>0</v>
      </c>
    </row>
    <row r="1072" spans="26:48">
      <c r="Z1072" s="3"/>
      <c r="AC1072"/>
      <c r="AE1072" s="3"/>
      <c r="AH1072" t="s">
        <v>1835</v>
      </c>
      <c r="AI1072" t="s">
        <v>67</v>
      </c>
      <c r="AJ1072" t="s">
        <v>66</v>
      </c>
      <c r="AK1072" s="3" t="s">
        <v>115</v>
      </c>
      <c r="AL1072" s="3">
        <v>24010.2</v>
      </c>
      <c r="AS1072" t="s">
        <v>1880</v>
      </c>
      <c r="AT1072" t="s">
        <v>88</v>
      </c>
      <c r="AU1072" t="s">
        <v>109</v>
      </c>
      <c r="AV1072" s="14">
        <v>19980.205900000001</v>
      </c>
    </row>
    <row r="1073" spans="26:48">
      <c r="Z1073" s="3"/>
      <c r="AC1073"/>
      <c r="AE1073" s="3"/>
      <c r="AH1073" t="s">
        <v>1835</v>
      </c>
      <c r="AI1073" t="s">
        <v>67</v>
      </c>
      <c r="AJ1073" t="s">
        <v>98</v>
      </c>
      <c r="AK1073" s="3" t="s">
        <v>115</v>
      </c>
      <c r="AL1073" s="3">
        <v>-204.14026155249999</v>
      </c>
      <c r="AS1073" t="s">
        <v>1880</v>
      </c>
      <c r="AT1073" t="s">
        <v>88</v>
      </c>
      <c r="AU1073" t="s">
        <v>110</v>
      </c>
      <c r="AV1073" s="14">
        <v>397.61059999999998</v>
      </c>
    </row>
    <row r="1074" spans="26:48">
      <c r="Z1074" s="3"/>
      <c r="AC1074"/>
      <c r="AE1074" s="3"/>
      <c r="AH1074" t="s">
        <v>1835</v>
      </c>
      <c r="AI1074" t="s">
        <v>68</v>
      </c>
      <c r="AJ1074" t="s">
        <v>66</v>
      </c>
      <c r="AK1074" s="3" t="s">
        <v>27</v>
      </c>
      <c r="AL1074" s="3">
        <v>-1706</v>
      </c>
      <c r="AS1074" t="s">
        <v>1880</v>
      </c>
      <c r="AT1074" t="s">
        <v>88</v>
      </c>
      <c r="AU1074" t="s">
        <v>111</v>
      </c>
      <c r="AV1074" s="14">
        <v>13800</v>
      </c>
    </row>
    <row r="1075" spans="26:48">
      <c r="Z1075" s="3"/>
      <c r="AC1075"/>
      <c r="AE1075" s="3"/>
      <c r="AH1075" t="s">
        <v>1835</v>
      </c>
      <c r="AI1075" t="s">
        <v>68</v>
      </c>
      <c r="AJ1075" t="s">
        <v>72</v>
      </c>
      <c r="AK1075" s="3" t="s">
        <v>27</v>
      </c>
      <c r="AL1075" s="3">
        <v>-1398.8857700000001</v>
      </c>
      <c r="AS1075" t="s">
        <v>1880</v>
      </c>
      <c r="AT1075" t="s">
        <v>88</v>
      </c>
      <c r="AU1075" t="s">
        <v>268</v>
      </c>
      <c r="AV1075" s="14">
        <v>0</v>
      </c>
    </row>
    <row r="1076" spans="26:48">
      <c r="Z1076" s="3"/>
      <c r="AC1076"/>
      <c r="AE1076" s="3"/>
      <c r="AH1076" t="s">
        <v>1835</v>
      </c>
      <c r="AI1076" t="s">
        <v>68</v>
      </c>
      <c r="AJ1076" t="s">
        <v>113</v>
      </c>
      <c r="AK1076" s="3" t="s">
        <v>27</v>
      </c>
      <c r="AL1076" s="3">
        <v>14.434742740300001</v>
      </c>
      <c r="AS1076" t="s">
        <v>1880</v>
      </c>
      <c r="AT1076" t="s">
        <v>88</v>
      </c>
      <c r="AU1076" t="s">
        <v>269</v>
      </c>
      <c r="AV1076" s="14">
        <v>0</v>
      </c>
    </row>
    <row r="1077" spans="26:48">
      <c r="Z1077" s="3"/>
      <c r="AC1077"/>
      <c r="AE1077" s="3"/>
      <c r="AH1077" t="s">
        <v>1835</v>
      </c>
      <c r="AI1077" t="s">
        <v>68</v>
      </c>
      <c r="AJ1077" t="s">
        <v>108</v>
      </c>
      <c r="AK1077" s="3" t="s">
        <v>27</v>
      </c>
      <c r="AL1077" s="3">
        <v>292.67948725970001</v>
      </c>
      <c r="AS1077" t="s">
        <v>1880</v>
      </c>
      <c r="AT1077" t="s">
        <v>88</v>
      </c>
      <c r="AU1077" t="s">
        <v>270</v>
      </c>
      <c r="AV1077" s="14">
        <v>0</v>
      </c>
    </row>
    <row r="1078" spans="26:48">
      <c r="Z1078" s="3"/>
      <c r="AC1078"/>
      <c r="AE1078" s="3"/>
      <c r="AH1078" t="s">
        <v>1835</v>
      </c>
      <c r="AI1078" t="s">
        <v>68</v>
      </c>
      <c r="AJ1078" t="s">
        <v>98</v>
      </c>
      <c r="AK1078" s="3" t="s">
        <v>27</v>
      </c>
      <c r="AL1078" s="3">
        <v>46.538345341899998</v>
      </c>
      <c r="AS1078" t="s">
        <v>1880</v>
      </c>
      <c r="AT1078" t="s">
        <v>88</v>
      </c>
      <c r="AU1078" t="s">
        <v>271</v>
      </c>
      <c r="AV1078" s="14">
        <v>-1800</v>
      </c>
    </row>
    <row r="1079" spans="26:48">
      <c r="Z1079" s="3"/>
      <c r="AC1079"/>
      <c r="AE1079" s="3"/>
      <c r="AH1079" t="s">
        <v>1835</v>
      </c>
      <c r="AI1079" t="s">
        <v>68</v>
      </c>
      <c r="AJ1079" t="s">
        <v>66</v>
      </c>
      <c r="AK1079" s="3" t="s">
        <v>114</v>
      </c>
      <c r="AL1079" s="3">
        <v>4218</v>
      </c>
      <c r="AS1079" t="s">
        <v>1880</v>
      </c>
      <c r="AT1079" t="s">
        <v>88</v>
      </c>
      <c r="AU1079" t="s">
        <v>272</v>
      </c>
      <c r="AV1079" s="14">
        <v>0</v>
      </c>
    </row>
    <row r="1080" spans="26:48">
      <c r="Z1080" s="3"/>
      <c r="AC1080"/>
      <c r="AE1080" s="3"/>
      <c r="AH1080" t="s">
        <v>1835</v>
      </c>
      <c r="AI1080" t="s">
        <v>68</v>
      </c>
      <c r="AJ1080" t="s">
        <v>98</v>
      </c>
      <c r="AK1080" s="3" t="s">
        <v>114</v>
      </c>
      <c r="AL1080" s="3">
        <v>-118.9810519178</v>
      </c>
      <c r="AS1080" t="s">
        <v>1880</v>
      </c>
      <c r="AT1080" t="s">
        <v>88</v>
      </c>
      <c r="AU1080" t="s">
        <v>273</v>
      </c>
      <c r="AV1080" s="14">
        <v>0</v>
      </c>
    </row>
    <row r="1081" spans="26:48">
      <c r="Z1081" s="3"/>
      <c r="AC1081"/>
      <c r="AE1081" s="3"/>
      <c r="AH1081" t="s">
        <v>1835</v>
      </c>
      <c r="AI1081" t="s">
        <v>68</v>
      </c>
      <c r="AJ1081" t="s">
        <v>66</v>
      </c>
      <c r="AK1081" s="3" t="s">
        <v>115</v>
      </c>
      <c r="AL1081" s="3">
        <v>5924</v>
      </c>
      <c r="AS1081" t="s">
        <v>1880</v>
      </c>
      <c r="AT1081" t="s">
        <v>196</v>
      </c>
      <c r="AU1081" t="s">
        <v>197</v>
      </c>
      <c r="AV1081" s="14">
        <v>6.9649935788593096</v>
      </c>
    </row>
    <row r="1082" spans="26:48">
      <c r="Z1082" s="3"/>
      <c r="AC1082"/>
      <c r="AE1082" s="3"/>
      <c r="AH1082" t="s">
        <v>1835</v>
      </c>
      <c r="AI1082" t="s">
        <v>68</v>
      </c>
      <c r="AJ1082" t="s">
        <v>98</v>
      </c>
      <c r="AK1082" s="3" t="s">
        <v>115</v>
      </c>
      <c r="AL1082" s="3">
        <v>-165.51939725970001</v>
      </c>
      <c r="AS1082" t="s">
        <v>1880</v>
      </c>
      <c r="AT1082" t="s">
        <v>196</v>
      </c>
      <c r="AU1082" t="s">
        <v>109</v>
      </c>
      <c r="AV1082" s="14">
        <v>4.4831046910749004</v>
      </c>
    </row>
    <row r="1083" spans="26:48">
      <c r="Z1083" s="3"/>
      <c r="AC1083"/>
      <c r="AE1083" s="3"/>
      <c r="AH1083" t="s">
        <v>1835</v>
      </c>
      <c r="AI1083" t="s">
        <v>800</v>
      </c>
      <c r="AJ1083" t="s">
        <v>31</v>
      </c>
      <c r="AK1083" s="3" t="s">
        <v>27</v>
      </c>
      <c r="AL1083" s="3">
        <v>3.9671878731999999</v>
      </c>
      <c r="AS1083" t="s">
        <v>1880</v>
      </c>
      <c r="AT1083" t="s">
        <v>196</v>
      </c>
      <c r="AU1083" t="s">
        <v>198</v>
      </c>
      <c r="AV1083" s="14">
        <v>5.3825139774814099</v>
      </c>
    </row>
    <row r="1084" spans="26:48">
      <c r="Z1084" s="3"/>
      <c r="AC1084"/>
      <c r="AE1084" s="3"/>
      <c r="AH1084" t="s">
        <v>1836</v>
      </c>
      <c r="AI1084" t="s">
        <v>65</v>
      </c>
      <c r="AJ1084" t="s">
        <v>66</v>
      </c>
      <c r="AK1084" s="3" t="s">
        <v>27</v>
      </c>
      <c r="AL1084" s="3">
        <v>36811.199999999997</v>
      </c>
      <c r="AS1084" t="s">
        <v>1881</v>
      </c>
      <c r="AT1084" t="s">
        <v>88</v>
      </c>
      <c r="AU1084" t="s">
        <v>109</v>
      </c>
      <c r="AV1084" s="14">
        <v>20710.735100000002</v>
      </c>
    </row>
    <row r="1085" spans="26:48">
      <c r="Z1085" s="3"/>
      <c r="AC1085"/>
      <c r="AE1085" s="3"/>
      <c r="AH1085" t="s">
        <v>1836</v>
      </c>
      <c r="AI1085" t="s">
        <v>65</v>
      </c>
      <c r="AJ1085" t="s">
        <v>72</v>
      </c>
      <c r="AK1085" s="3" t="s">
        <v>27</v>
      </c>
      <c r="AL1085" s="3">
        <v>37752.260666000002</v>
      </c>
      <c r="AS1085" t="s">
        <v>1881</v>
      </c>
      <c r="AT1085" t="s">
        <v>88</v>
      </c>
      <c r="AU1085" t="s">
        <v>110</v>
      </c>
      <c r="AV1085" s="14">
        <v>397.61059999999998</v>
      </c>
    </row>
    <row r="1086" spans="26:48">
      <c r="Z1086" s="3"/>
      <c r="AC1086"/>
      <c r="AE1086" s="3"/>
      <c r="AH1086" t="s">
        <v>1836</v>
      </c>
      <c r="AI1086" t="s">
        <v>65</v>
      </c>
      <c r="AJ1086" t="s">
        <v>113</v>
      </c>
      <c r="AK1086" s="3" t="s">
        <v>27</v>
      </c>
      <c r="AL1086" s="3">
        <v>2155.3418227277002</v>
      </c>
      <c r="AS1086" t="s">
        <v>1881</v>
      </c>
      <c r="AT1086" t="s">
        <v>88</v>
      </c>
      <c r="AU1086" t="s">
        <v>111</v>
      </c>
      <c r="AV1086" s="14">
        <v>13800</v>
      </c>
    </row>
    <row r="1087" spans="26:48">
      <c r="Z1087" s="3"/>
      <c r="AC1087"/>
      <c r="AE1087" s="3"/>
      <c r="AH1087" t="s">
        <v>1836</v>
      </c>
      <c r="AI1087" t="s">
        <v>65</v>
      </c>
      <c r="AJ1087" t="s">
        <v>108</v>
      </c>
      <c r="AK1087" s="3" t="s">
        <v>27</v>
      </c>
      <c r="AL1087" s="3">
        <v>-1214.2811567276999</v>
      </c>
      <c r="AS1087" t="s">
        <v>1881</v>
      </c>
      <c r="AT1087" t="s">
        <v>88</v>
      </c>
      <c r="AU1087" t="s">
        <v>268</v>
      </c>
      <c r="AV1087" s="14">
        <v>0</v>
      </c>
    </row>
    <row r="1088" spans="26:48">
      <c r="Z1088" s="3"/>
      <c r="AC1088"/>
      <c r="AE1088" s="3"/>
      <c r="AH1088" t="s">
        <v>1836</v>
      </c>
      <c r="AI1088" t="s">
        <v>65</v>
      </c>
      <c r="AJ1088" t="s">
        <v>98</v>
      </c>
      <c r="AK1088" s="3" t="s">
        <v>27</v>
      </c>
      <c r="AL1088" s="3">
        <v>-1214.2811567276999</v>
      </c>
      <c r="AS1088" t="s">
        <v>1881</v>
      </c>
      <c r="AT1088" t="s">
        <v>88</v>
      </c>
      <c r="AU1088" t="s">
        <v>269</v>
      </c>
      <c r="AV1088" s="14">
        <v>0</v>
      </c>
    </row>
    <row r="1089" spans="26:48">
      <c r="Z1089" s="3"/>
      <c r="AC1089"/>
      <c r="AE1089" s="3"/>
      <c r="AH1089" t="s">
        <v>1836</v>
      </c>
      <c r="AI1089" t="s">
        <v>67</v>
      </c>
      <c r="AJ1089" t="s">
        <v>66</v>
      </c>
      <c r="AK1089" s="3" t="s">
        <v>27</v>
      </c>
      <c r="AL1089" s="3">
        <v>-22956.2</v>
      </c>
      <c r="AS1089" t="s">
        <v>1881</v>
      </c>
      <c r="AT1089" t="s">
        <v>88</v>
      </c>
      <c r="AU1089" t="s">
        <v>270</v>
      </c>
      <c r="AV1089" s="14">
        <v>0</v>
      </c>
    </row>
    <row r="1090" spans="26:48">
      <c r="Z1090" s="3"/>
      <c r="AC1090"/>
      <c r="AE1090" s="3"/>
      <c r="AH1090" t="s">
        <v>1836</v>
      </c>
      <c r="AI1090" t="s">
        <v>67</v>
      </c>
      <c r="AJ1090" t="s">
        <v>72</v>
      </c>
      <c r="AK1090" s="3" t="s">
        <v>27</v>
      </c>
      <c r="AL1090" s="3">
        <v>-24870.802086</v>
      </c>
      <c r="AS1090" t="s">
        <v>1881</v>
      </c>
      <c r="AT1090" t="s">
        <v>88</v>
      </c>
      <c r="AU1090" t="s">
        <v>271</v>
      </c>
      <c r="AV1090" s="14">
        <v>64.8</v>
      </c>
    </row>
    <row r="1091" spans="26:48">
      <c r="Z1091" s="3"/>
      <c r="AC1091"/>
      <c r="AE1091" s="3"/>
      <c r="AH1091" t="s">
        <v>1836</v>
      </c>
      <c r="AI1091" t="s">
        <v>67</v>
      </c>
      <c r="AJ1091" t="s">
        <v>113</v>
      </c>
      <c r="AK1091" s="3" t="s">
        <v>27</v>
      </c>
      <c r="AL1091" s="3">
        <v>-2442.4014826744001</v>
      </c>
      <c r="AS1091" t="s">
        <v>1881</v>
      </c>
      <c r="AT1091" t="s">
        <v>88</v>
      </c>
      <c r="AU1091" t="s">
        <v>272</v>
      </c>
      <c r="AV1091" s="14">
        <v>0</v>
      </c>
    </row>
    <row r="1092" spans="26:48">
      <c r="Z1092" s="3"/>
      <c r="AC1092"/>
      <c r="AE1092" s="3"/>
      <c r="AH1092" t="s">
        <v>1836</v>
      </c>
      <c r="AI1092" t="s">
        <v>67</v>
      </c>
      <c r="AJ1092" t="s">
        <v>108</v>
      </c>
      <c r="AK1092" s="3" t="s">
        <v>27</v>
      </c>
      <c r="AL1092" s="3">
        <v>527.79939667439999</v>
      </c>
      <c r="AS1092" t="s">
        <v>1881</v>
      </c>
      <c r="AT1092" t="s">
        <v>88</v>
      </c>
      <c r="AU1092" t="s">
        <v>273</v>
      </c>
      <c r="AV1092" s="14">
        <v>0</v>
      </c>
    </row>
    <row r="1093" spans="26:48">
      <c r="Z1093" s="3"/>
      <c r="AC1093"/>
      <c r="AE1093" s="3"/>
      <c r="AH1093" t="s">
        <v>1836</v>
      </c>
      <c r="AI1093" t="s">
        <v>67</v>
      </c>
      <c r="AJ1093" t="s">
        <v>98</v>
      </c>
      <c r="AK1093" s="3" t="s">
        <v>27</v>
      </c>
      <c r="AL1093" s="3">
        <v>285.12524626340002</v>
      </c>
      <c r="AS1093" t="s">
        <v>1881</v>
      </c>
      <c r="AT1093" t="s">
        <v>196</v>
      </c>
      <c r="AU1093" t="s">
        <v>197</v>
      </c>
      <c r="AV1093" s="14">
        <v>6.9649935788593096</v>
      </c>
    </row>
    <row r="1094" spans="26:48">
      <c r="Z1094" s="3"/>
      <c r="AC1094"/>
      <c r="AE1094" s="3"/>
      <c r="AH1094" t="s">
        <v>1836</v>
      </c>
      <c r="AI1094" t="s">
        <v>67</v>
      </c>
      <c r="AJ1094" t="s">
        <v>66</v>
      </c>
      <c r="AK1094" s="3" t="s">
        <v>114</v>
      </c>
      <c r="AL1094" s="3">
        <v>1756</v>
      </c>
      <c r="AS1094" t="s">
        <v>1881</v>
      </c>
      <c r="AT1094" t="s">
        <v>196</v>
      </c>
      <c r="AU1094" t="s">
        <v>109</v>
      </c>
      <c r="AV1094" s="14">
        <v>3.7924957060138298</v>
      </c>
    </row>
    <row r="1095" spans="26:48">
      <c r="Z1095" s="3"/>
      <c r="AC1095"/>
      <c r="AE1095" s="3"/>
      <c r="AH1095" t="s">
        <v>1836</v>
      </c>
      <c r="AI1095" t="s">
        <v>67</v>
      </c>
      <c r="AJ1095" t="s">
        <v>98</v>
      </c>
      <c r="AK1095" s="3" t="s">
        <v>114</v>
      </c>
      <c r="AL1095" s="3">
        <v>21.389169589000002</v>
      </c>
      <c r="AS1095" t="s">
        <v>1881</v>
      </c>
      <c r="AT1095" t="s">
        <v>196</v>
      </c>
      <c r="AU1095" t="s">
        <v>198</v>
      </c>
      <c r="AV1095" s="14">
        <v>4.9211290441776896</v>
      </c>
    </row>
    <row r="1096" spans="26:48">
      <c r="Z1096" s="3"/>
      <c r="AC1096"/>
      <c r="AE1096" s="3"/>
      <c r="AH1096" t="s">
        <v>1836</v>
      </c>
      <c r="AI1096" t="s">
        <v>67</v>
      </c>
      <c r="AJ1096" t="s">
        <v>66</v>
      </c>
      <c r="AK1096" s="3" t="s">
        <v>115</v>
      </c>
      <c r="AL1096" s="3">
        <v>24712.2</v>
      </c>
      <c r="AS1096" t="s">
        <v>1882</v>
      </c>
      <c r="AT1096" t="s">
        <v>88</v>
      </c>
      <c r="AU1096" t="s">
        <v>109</v>
      </c>
      <c r="AV1096" s="14">
        <v>20660.735100000002</v>
      </c>
    </row>
    <row r="1097" spans="26:48">
      <c r="Z1097" s="3"/>
      <c r="AC1097"/>
      <c r="AE1097" s="3"/>
      <c r="AH1097" t="s">
        <v>1836</v>
      </c>
      <c r="AI1097" t="s">
        <v>67</v>
      </c>
      <c r="AJ1097" t="s">
        <v>98</v>
      </c>
      <c r="AK1097" s="3" t="s">
        <v>115</v>
      </c>
      <c r="AL1097" s="3">
        <v>-263.73607667440001</v>
      </c>
      <c r="AS1097" t="s">
        <v>1882</v>
      </c>
      <c r="AT1097" t="s">
        <v>88</v>
      </c>
      <c r="AU1097" t="s">
        <v>110</v>
      </c>
      <c r="AV1097" s="14">
        <v>397.61059999999998</v>
      </c>
    </row>
    <row r="1098" spans="26:48">
      <c r="Z1098" s="3"/>
      <c r="AC1098"/>
      <c r="AE1098" s="3"/>
      <c r="AH1098" t="s">
        <v>1836</v>
      </c>
      <c r="AI1098" t="s">
        <v>68</v>
      </c>
      <c r="AJ1098" t="s">
        <v>66</v>
      </c>
      <c r="AK1098" s="3" t="s">
        <v>27</v>
      </c>
      <c r="AL1098" s="3">
        <v>-2443</v>
      </c>
      <c r="AS1098" t="s">
        <v>1882</v>
      </c>
      <c r="AT1098" t="s">
        <v>88</v>
      </c>
      <c r="AU1098" t="s">
        <v>111</v>
      </c>
      <c r="AV1098" s="14">
        <v>13800</v>
      </c>
    </row>
    <row r="1099" spans="26:48">
      <c r="Z1099" s="3"/>
      <c r="AC1099"/>
      <c r="AE1099" s="3"/>
      <c r="AH1099" t="s">
        <v>1836</v>
      </c>
      <c r="AI1099" t="s">
        <v>68</v>
      </c>
      <c r="AJ1099" t="s">
        <v>72</v>
      </c>
      <c r="AK1099" s="3" t="s">
        <v>27</v>
      </c>
      <c r="AL1099" s="3">
        <v>-2364.1395200000002</v>
      </c>
      <c r="AS1099" t="s">
        <v>1882</v>
      </c>
      <c r="AT1099" t="s">
        <v>88</v>
      </c>
      <c r="AU1099" t="s">
        <v>268</v>
      </c>
      <c r="AV1099" s="14">
        <v>0</v>
      </c>
    </row>
    <row r="1100" spans="26:48">
      <c r="Z1100" s="3"/>
      <c r="AC1100"/>
      <c r="AE1100" s="3"/>
      <c r="AH1100" t="s">
        <v>1836</v>
      </c>
      <c r="AI1100" t="s">
        <v>68</v>
      </c>
      <c r="AJ1100" t="s">
        <v>113</v>
      </c>
      <c r="AK1100" s="3" t="s">
        <v>27</v>
      </c>
      <c r="AL1100" s="3">
        <v>-161.3926919532</v>
      </c>
      <c r="AS1100" t="s">
        <v>1882</v>
      </c>
      <c r="AT1100" t="s">
        <v>88</v>
      </c>
      <c r="AU1100" t="s">
        <v>269</v>
      </c>
      <c r="AV1100" s="14">
        <v>0</v>
      </c>
    </row>
    <row r="1101" spans="26:48">
      <c r="Z1101" s="3"/>
      <c r="AC1101"/>
      <c r="AE1101" s="3"/>
      <c r="AH1101" t="s">
        <v>1836</v>
      </c>
      <c r="AI1101" t="s">
        <v>68</v>
      </c>
      <c r="AJ1101" t="s">
        <v>108</v>
      </c>
      <c r="AK1101" s="3" t="s">
        <v>27</v>
      </c>
      <c r="AL1101" s="3">
        <v>240.2531719532</v>
      </c>
      <c r="AS1101" t="s">
        <v>1882</v>
      </c>
      <c r="AT1101" t="s">
        <v>88</v>
      </c>
      <c r="AU1101" t="s">
        <v>270</v>
      </c>
      <c r="AV1101" s="14">
        <v>0</v>
      </c>
    </row>
    <row r="1102" spans="26:48">
      <c r="Z1102" s="3"/>
      <c r="AC1102"/>
      <c r="AE1102" s="3"/>
      <c r="AH1102" t="s">
        <v>1836</v>
      </c>
      <c r="AI1102" t="s">
        <v>68</v>
      </c>
      <c r="AJ1102" t="s">
        <v>98</v>
      </c>
      <c r="AK1102" s="3" t="s">
        <v>27</v>
      </c>
      <c r="AL1102" s="3">
        <v>25.8954433231</v>
      </c>
      <c r="AS1102" t="s">
        <v>1882</v>
      </c>
      <c r="AT1102" t="s">
        <v>88</v>
      </c>
      <c r="AU1102" t="s">
        <v>271</v>
      </c>
      <c r="AV1102" s="14">
        <v>-2800</v>
      </c>
    </row>
    <row r="1103" spans="26:48">
      <c r="Z1103" s="3"/>
      <c r="AC1103"/>
      <c r="AE1103" s="3"/>
      <c r="AH1103" t="s">
        <v>1836</v>
      </c>
      <c r="AI1103" t="s">
        <v>68</v>
      </c>
      <c r="AJ1103" t="s">
        <v>66</v>
      </c>
      <c r="AK1103" s="3" t="s">
        <v>114</v>
      </c>
      <c r="AL1103" s="3">
        <v>4299</v>
      </c>
      <c r="AS1103" t="s">
        <v>1882</v>
      </c>
      <c r="AT1103" t="s">
        <v>88</v>
      </c>
      <c r="AU1103" t="s">
        <v>272</v>
      </c>
      <c r="AV1103" s="14">
        <v>0</v>
      </c>
    </row>
    <row r="1104" spans="26:48">
      <c r="Z1104" s="3"/>
      <c r="AC1104"/>
      <c r="AE1104" s="3"/>
      <c r="AH1104" t="s">
        <v>1836</v>
      </c>
      <c r="AI1104" t="s">
        <v>68</v>
      </c>
      <c r="AJ1104" t="s">
        <v>98</v>
      </c>
      <c r="AK1104" s="3" t="s">
        <v>114</v>
      </c>
      <c r="AL1104" s="3">
        <v>-126.8946686301</v>
      </c>
      <c r="AS1104" t="s">
        <v>1882</v>
      </c>
      <c r="AT1104" t="s">
        <v>88</v>
      </c>
      <c r="AU1104" t="s">
        <v>273</v>
      </c>
      <c r="AV1104" s="14">
        <v>0</v>
      </c>
    </row>
    <row r="1105" spans="26:48">
      <c r="Z1105" s="3"/>
      <c r="AC1105"/>
      <c r="AE1105" s="3"/>
      <c r="AH1105" t="s">
        <v>1836</v>
      </c>
      <c r="AI1105" t="s">
        <v>68</v>
      </c>
      <c r="AJ1105" t="s">
        <v>66</v>
      </c>
      <c r="AK1105" s="3" t="s">
        <v>115</v>
      </c>
      <c r="AL1105" s="3">
        <v>6742</v>
      </c>
      <c r="AS1105" t="s">
        <v>1883</v>
      </c>
      <c r="AT1105" t="s">
        <v>88</v>
      </c>
      <c r="AU1105" t="s">
        <v>109</v>
      </c>
      <c r="AV1105" s="14">
        <v>21660.735100000002</v>
      </c>
    </row>
    <row r="1106" spans="26:48">
      <c r="Z1106" s="3"/>
      <c r="AC1106"/>
      <c r="AE1106" s="3"/>
      <c r="AH1106" t="s">
        <v>1836</v>
      </c>
      <c r="AI1106" t="s">
        <v>68</v>
      </c>
      <c r="AJ1106" t="s">
        <v>98</v>
      </c>
      <c r="AK1106" s="3" t="s">
        <v>115</v>
      </c>
      <c r="AL1106" s="3">
        <v>-152.79011195320001</v>
      </c>
      <c r="AS1106" t="s">
        <v>1883</v>
      </c>
      <c r="AT1106" t="s">
        <v>88</v>
      </c>
      <c r="AU1106" t="s">
        <v>110</v>
      </c>
      <c r="AV1106" s="14">
        <v>397.61059999999998</v>
      </c>
    </row>
    <row r="1107" spans="26:48">
      <c r="Z1107" s="3"/>
      <c r="AC1107"/>
      <c r="AE1107" s="3"/>
      <c r="AH1107" t="s">
        <v>1836</v>
      </c>
      <c r="AI1107" t="s">
        <v>800</v>
      </c>
      <c r="AJ1107" t="s">
        <v>31</v>
      </c>
      <c r="AK1107" s="3" t="s">
        <v>27</v>
      </c>
      <c r="AL1107" s="3">
        <v>3.9525213105999999</v>
      </c>
      <c r="AS1107" t="s">
        <v>1883</v>
      </c>
      <c r="AT1107" t="s">
        <v>88</v>
      </c>
      <c r="AU1107" t="s">
        <v>111</v>
      </c>
      <c r="AV1107" s="14">
        <v>13800</v>
      </c>
    </row>
    <row r="1108" spans="26:48">
      <c r="Z1108" s="3"/>
      <c r="AC1108"/>
      <c r="AE1108" s="3"/>
      <c r="AH1108" t="s">
        <v>1837</v>
      </c>
      <c r="AI1108" t="s">
        <v>65</v>
      </c>
      <c r="AJ1108" t="s">
        <v>66</v>
      </c>
      <c r="AK1108" s="3" t="s">
        <v>27</v>
      </c>
      <c r="AL1108" s="3">
        <v>35338.199999999997</v>
      </c>
      <c r="AS1108" t="s">
        <v>1883</v>
      </c>
      <c r="AT1108" t="s">
        <v>88</v>
      </c>
      <c r="AU1108" t="s">
        <v>268</v>
      </c>
      <c r="AV1108" s="14">
        <v>0</v>
      </c>
    </row>
    <row r="1109" spans="26:48">
      <c r="Z1109" s="3"/>
      <c r="AC1109"/>
      <c r="AE1109" s="3"/>
      <c r="AH1109" t="s">
        <v>1837</v>
      </c>
      <c r="AI1109" t="s">
        <v>65</v>
      </c>
      <c r="AJ1109" t="s">
        <v>72</v>
      </c>
      <c r="AK1109" s="3" t="s">
        <v>27</v>
      </c>
      <c r="AL1109" s="3">
        <v>35550.251084000003</v>
      </c>
      <c r="AS1109" t="s">
        <v>1883</v>
      </c>
      <c r="AT1109" t="s">
        <v>88</v>
      </c>
      <c r="AU1109" t="s">
        <v>269</v>
      </c>
      <c r="AV1109" s="14">
        <v>0</v>
      </c>
    </row>
    <row r="1110" spans="26:48">
      <c r="Z1110" s="3"/>
      <c r="AC1110"/>
      <c r="AE1110" s="3"/>
      <c r="AH1110" t="s">
        <v>1837</v>
      </c>
      <c r="AI1110" t="s">
        <v>65</v>
      </c>
      <c r="AJ1110" t="s">
        <v>113</v>
      </c>
      <c r="AK1110" s="3" t="s">
        <v>27</v>
      </c>
      <c r="AL1110" s="3">
        <v>1464.5289651503999</v>
      </c>
      <c r="AS1110" t="s">
        <v>1883</v>
      </c>
      <c r="AT1110" t="s">
        <v>88</v>
      </c>
      <c r="AU1110" t="s">
        <v>270</v>
      </c>
      <c r="AV1110" s="14">
        <v>0</v>
      </c>
    </row>
    <row r="1111" spans="26:48">
      <c r="Z1111" s="3"/>
      <c r="AC1111"/>
      <c r="AE1111" s="3"/>
      <c r="AH1111" t="s">
        <v>1837</v>
      </c>
      <c r="AI1111" t="s">
        <v>65</v>
      </c>
      <c r="AJ1111" t="s">
        <v>108</v>
      </c>
      <c r="AK1111" s="3" t="s">
        <v>27</v>
      </c>
      <c r="AL1111" s="3">
        <v>-1252.4778811504</v>
      </c>
      <c r="AS1111" t="s">
        <v>1883</v>
      </c>
      <c r="AT1111" t="s">
        <v>88</v>
      </c>
      <c r="AU1111" t="s">
        <v>271</v>
      </c>
      <c r="AV1111" s="14">
        <v>-1800</v>
      </c>
    </row>
    <row r="1112" spans="26:48">
      <c r="Z1112" s="3"/>
      <c r="AC1112"/>
      <c r="AE1112" s="3"/>
      <c r="AH1112" t="s">
        <v>1837</v>
      </c>
      <c r="AI1112" t="s">
        <v>65</v>
      </c>
      <c r="AJ1112" t="s">
        <v>98</v>
      </c>
      <c r="AK1112" s="3" t="s">
        <v>27</v>
      </c>
      <c r="AL1112" s="3">
        <v>-1252.4778811504</v>
      </c>
      <c r="AS1112" t="s">
        <v>1883</v>
      </c>
      <c r="AT1112" t="s">
        <v>88</v>
      </c>
      <c r="AU1112" t="s">
        <v>272</v>
      </c>
      <c r="AV1112" s="14">
        <v>0</v>
      </c>
    </row>
    <row r="1113" spans="26:48">
      <c r="Z1113" s="3"/>
      <c r="AC1113"/>
      <c r="AE1113" s="3"/>
      <c r="AH1113" t="s">
        <v>1837</v>
      </c>
      <c r="AI1113" t="s">
        <v>67</v>
      </c>
      <c r="AJ1113" t="s">
        <v>66</v>
      </c>
      <c r="AK1113" s="3" t="s">
        <v>27</v>
      </c>
      <c r="AL1113" s="3">
        <v>-20090.2</v>
      </c>
      <c r="AS1113" t="s">
        <v>1883</v>
      </c>
      <c r="AT1113" t="s">
        <v>88</v>
      </c>
      <c r="AU1113" t="s">
        <v>273</v>
      </c>
      <c r="AV1113" s="14">
        <v>0</v>
      </c>
    </row>
    <row r="1114" spans="26:48">
      <c r="Z1114" s="3"/>
      <c r="AC1114"/>
      <c r="AE1114" s="3"/>
      <c r="AH1114" t="s">
        <v>1837</v>
      </c>
      <c r="AI1114" t="s">
        <v>67</v>
      </c>
      <c r="AJ1114" t="s">
        <v>72</v>
      </c>
      <c r="AK1114" s="3" t="s">
        <v>27</v>
      </c>
      <c r="AL1114" s="3">
        <v>-21510.748284000001</v>
      </c>
      <c r="AS1114" t="s">
        <v>1884</v>
      </c>
      <c r="AT1114" t="s">
        <v>88</v>
      </c>
      <c r="AU1114" t="s">
        <v>109</v>
      </c>
      <c r="AV1114" s="14">
        <v>16260.7351</v>
      </c>
    </row>
    <row r="1115" spans="26:48">
      <c r="Z1115" s="3"/>
      <c r="AC1115"/>
      <c r="AE1115" s="3"/>
      <c r="AH1115" t="s">
        <v>1837</v>
      </c>
      <c r="AI1115" t="s">
        <v>67</v>
      </c>
      <c r="AJ1115" t="s">
        <v>113</v>
      </c>
      <c r="AK1115" s="3" t="s">
        <v>27</v>
      </c>
      <c r="AL1115" s="3">
        <v>-2335.5566300976002</v>
      </c>
      <c r="AS1115" t="s">
        <v>1884</v>
      </c>
      <c r="AT1115" t="s">
        <v>88</v>
      </c>
      <c r="AU1115" t="s">
        <v>110</v>
      </c>
      <c r="AV1115" s="14">
        <v>397.61059999999998</v>
      </c>
    </row>
    <row r="1116" spans="26:48">
      <c r="Z1116" s="3"/>
      <c r="AC1116"/>
      <c r="AE1116" s="3"/>
      <c r="AH1116" t="s">
        <v>1837</v>
      </c>
      <c r="AI1116" t="s">
        <v>67</v>
      </c>
      <c r="AJ1116" t="s">
        <v>108</v>
      </c>
      <c r="AK1116" s="3" t="s">
        <v>27</v>
      </c>
      <c r="AL1116" s="3">
        <v>915.0083460976</v>
      </c>
      <c r="AS1116" t="s">
        <v>1884</v>
      </c>
      <c r="AT1116" t="s">
        <v>88</v>
      </c>
      <c r="AU1116" t="s">
        <v>111</v>
      </c>
      <c r="AV1116" s="14">
        <v>13800</v>
      </c>
    </row>
    <row r="1117" spans="26:48">
      <c r="Z1117" s="3"/>
      <c r="AC1117"/>
      <c r="AE1117" s="3"/>
      <c r="AH1117" t="s">
        <v>1837</v>
      </c>
      <c r="AI1117" t="s">
        <v>67</v>
      </c>
      <c r="AJ1117" t="s">
        <v>98</v>
      </c>
      <c r="AK1117" s="3" t="s">
        <v>27</v>
      </c>
      <c r="AL1117" s="3">
        <v>282.40182171399999</v>
      </c>
      <c r="AS1117" t="s">
        <v>1884</v>
      </c>
      <c r="AT1117" t="s">
        <v>88</v>
      </c>
      <c r="AU1117" t="s">
        <v>268</v>
      </c>
      <c r="AV1117" s="14">
        <v>0</v>
      </c>
    </row>
    <row r="1118" spans="26:48">
      <c r="Z1118" s="3"/>
      <c r="AC1118"/>
      <c r="AE1118" s="3"/>
      <c r="AH1118" t="s">
        <v>1837</v>
      </c>
      <c r="AI1118" t="s">
        <v>67</v>
      </c>
      <c r="AJ1118" t="s">
        <v>66</v>
      </c>
      <c r="AK1118" s="3" t="s">
        <v>114</v>
      </c>
      <c r="AL1118" s="3">
        <v>1730</v>
      </c>
      <c r="AS1118" t="s">
        <v>1884</v>
      </c>
      <c r="AT1118" t="s">
        <v>88</v>
      </c>
      <c r="AU1118" t="s">
        <v>269</v>
      </c>
      <c r="AV1118" s="14">
        <v>0</v>
      </c>
    </row>
    <row r="1119" spans="26:48">
      <c r="Z1119" s="3"/>
      <c r="AC1119"/>
      <c r="AE1119" s="3"/>
      <c r="AH1119" t="s">
        <v>1837</v>
      </c>
      <c r="AI1119" t="s">
        <v>67</v>
      </c>
      <c r="AJ1119" t="s">
        <v>98</v>
      </c>
      <c r="AK1119" s="3" t="s">
        <v>114</v>
      </c>
      <c r="AL1119" s="3">
        <v>31.770975616400001</v>
      </c>
      <c r="AS1119" t="s">
        <v>1884</v>
      </c>
      <c r="AT1119" t="s">
        <v>88</v>
      </c>
      <c r="AU1119" t="s">
        <v>270</v>
      </c>
      <c r="AV1119" s="14">
        <v>0</v>
      </c>
    </row>
    <row r="1120" spans="26:48">
      <c r="Z1120" s="3"/>
      <c r="AC1120"/>
      <c r="AE1120" s="3"/>
      <c r="AH1120" t="s">
        <v>1837</v>
      </c>
      <c r="AI1120" t="s">
        <v>67</v>
      </c>
      <c r="AJ1120" t="s">
        <v>66</v>
      </c>
      <c r="AK1120" s="3" t="s">
        <v>115</v>
      </c>
      <c r="AL1120" s="3">
        <v>21820.2</v>
      </c>
      <c r="AS1120" t="s">
        <v>1884</v>
      </c>
      <c r="AT1120" t="s">
        <v>88</v>
      </c>
      <c r="AU1120" t="s">
        <v>271</v>
      </c>
      <c r="AV1120" s="14">
        <v>200</v>
      </c>
    </row>
    <row r="1121" spans="26:48">
      <c r="Z1121" s="3"/>
      <c r="AC1121"/>
      <c r="AE1121" s="3"/>
      <c r="AH1121" t="s">
        <v>1837</v>
      </c>
      <c r="AI1121" t="s">
        <v>67</v>
      </c>
      <c r="AJ1121" t="s">
        <v>98</v>
      </c>
      <c r="AK1121" s="3" t="s">
        <v>115</v>
      </c>
      <c r="AL1121" s="3">
        <v>-250.6308460976</v>
      </c>
      <c r="AS1121" t="s">
        <v>1884</v>
      </c>
      <c r="AT1121" t="s">
        <v>88</v>
      </c>
      <c r="AU1121" t="s">
        <v>272</v>
      </c>
      <c r="AV1121" s="14">
        <v>0</v>
      </c>
    </row>
    <row r="1122" spans="26:48">
      <c r="Z1122" s="3"/>
      <c r="AC1122"/>
      <c r="AE1122" s="3"/>
      <c r="AH1122" t="s">
        <v>1837</v>
      </c>
      <c r="AI1122" t="s">
        <v>68</v>
      </c>
      <c r="AJ1122" t="s">
        <v>66</v>
      </c>
      <c r="AK1122" s="3" t="s">
        <v>27</v>
      </c>
      <c r="AL1122" s="3">
        <v>-3836</v>
      </c>
      <c r="AS1122" t="s">
        <v>1884</v>
      </c>
      <c r="AT1122" t="s">
        <v>88</v>
      </c>
      <c r="AU1122" t="s">
        <v>273</v>
      </c>
      <c r="AV1122" s="14">
        <v>0</v>
      </c>
    </row>
    <row r="1123" spans="26:48">
      <c r="Z1123" s="3"/>
      <c r="AC1123"/>
      <c r="AE1123" s="3"/>
      <c r="AH1123" t="s">
        <v>1837</v>
      </c>
      <c r="AI1123" t="s">
        <v>68</v>
      </c>
      <c r="AJ1123" t="s">
        <v>72</v>
      </c>
      <c r="AK1123" s="3" t="s">
        <v>27</v>
      </c>
      <c r="AL1123" s="3">
        <v>-3521.6014</v>
      </c>
      <c r="AS1123" t="s">
        <v>1885</v>
      </c>
      <c r="AT1123" t="s">
        <v>88</v>
      </c>
      <c r="AU1123" t="s">
        <v>110</v>
      </c>
      <c r="AV1123" s="14">
        <v>397.61059999999998</v>
      </c>
    </row>
    <row r="1124" spans="26:48">
      <c r="Z1124" s="3"/>
      <c r="AC1124"/>
      <c r="AE1124" s="3"/>
      <c r="AH1124" t="s">
        <v>1837</v>
      </c>
      <c r="AI1124" t="s">
        <v>68</v>
      </c>
      <c r="AJ1124" t="s">
        <v>113</v>
      </c>
      <c r="AK1124" s="3" t="s">
        <v>27</v>
      </c>
      <c r="AL1124" s="3">
        <v>-296.7500477895</v>
      </c>
      <c r="AS1124" t="s">
        <v>1885</v>
      </c>
      <c r="AT1124" t="s">
        <v>88</v>
      </c>
      <c r="AU1124" t="s">
        <v>111</v>
      </c>
      <c r="AV1124" s="14">
        <v>13800</v>
      </c>
    </row>
    <row r="1125" spans="26:48">
      <c r="Z1125" s="3"/>
      <c r="AC1125"/>
      <c r="AE1125" s="3"/>
      <c r="AH1125" t="s">
        <v>1837</v>
      </c>
      <c r="AI1125" t="s">
        <v>68</v>
      </c>
      <c r="AJ1125" t="s">
        <v>108</v>
      </c>
      <c r="AK1125" s="3" t="s">
        <v>27</v>
      </c>
      <c r="AL1125" s="3">
        <v>611.14864778950005</v>
      </c>
      <c r="AS1125" t="s">
        <v>1885</v>
      </c>
      <c r="AT1125" t="s">
        <v>88</v>
      </c>
      <c r="AU1125" t="s">
        <v>268</v>
      </c>
      <c r="AV1125" s="14">
        <v>0</v>
      </c>
    </row>
    <row r="1126" spans="26:48">
      <c r="Z1126" s="3"/>
      <c r="AC1126"/>
      <c r="AE1126" s="3"/>
      <c r="AH1126" t="s">
        <v>1837</v>
      </c>
      <c r="AI1126" t="s">
        <v>68</v>
      </c>
      <c r="AJ1126" t="s">
        <v>98</v>
      </c>
      <c r="AK1126" s="3" t="s">
        <v>27</v>
      </c>
      <c r="AL1126" s="3">
        <v>67.667179707399995</v>
      </c>
      <c r="AS1126" t="s">
        <v>1885</v>
      </c>
      <c r="AT1126" t="s">
        <v>88</v>
      </c>
      <c r="AU1126" t="s">
        <v>269</v>
      </c>
      <c r="AV1126" s="14">
        <v>0</v>
      </c>
    </row>
    <row r="1127" spans="26:48">
      <c r="Z1127" s="3"/>
      <c r="AC1127"/>
      <c r="AE1127" s="3"/>
      <c r="AH1127" t="s">
        <v>1837</v>
      </c>
      <c r="AI1127" t="s">
        <v>68</v>
      </c>
      <c r="AJ1127" t="s">
        <v>66</v>
      </c>
      <c r="AK1127" s="3" t="s">
        <v>114</v>
      </c>
      <c r="AL1127" s="3">
        <v>4605</v>
      </c>
      <c r="AS1127" t="s">
        <v>1885</v>
      </c>
      <c r="AT1127" t="s">
        <v>88</v>
      </c>
      <c r="AU1127" t="s">
        <v>270</v>
      </c>
      <c r="AV1127" s="14">
        <v>0</v>
      </c>
    </row>
    <row r="1128" spans="26:48">
      <c r="Z1128" s="3"/>
      <c r="AC1128"/>
      <c r="AE1128" s="3"/>
      <c r="AH1128" t="s">
        <v>1837</v>
      </c>
      <c r="AI1128" t="s">
        <v>68</v>
      </c>
      <c r="AJ1128" t="s">
        <v>98</v>
      </c>
      <c r="AK1128" s="3" t="s">
        <v>114</v>
      </c>
      <c r="AL1128" s="3">
        <v>-78.253648082200002</v>
      </c>
      <c r="AS1128" t="s">
        <v>1885</v>
      </c>
      <c r="AT1128" t="s">
        <v>88</v>
      </c>
      <c r="AU1128" t="s">
        <v>271</v>
      </c>
      <c r="AV1128" s="14">
        <v>-3400</v>
      </c>
    </row>
    <row r="1129" spans="26:48">
      <c r="Z1129" s="3"/>
      <c r="AC1129"/>
      <c r="AE1129" s="3"/>
      <c r="AH1129" t="s">
        <v>1837</v>
      </c>
      <c r="AI1129" t="s">
        <v>68</v>
      </c>
      <c r="AJ1129" t="s">
        <v>66</v>
      </c>
      <c r="AK1129" s="3" t="s">
        <v>115</v>
      </c>
      <c r="AL1129" s="3">
        <v>8441</v>
      </c>
      <c r="AS1129" t="s">
        <v>1885</v>
      </c>
      <c r="AT1129" t="s">
        <v>88</v>
      </c>
      <c r="AU1129" t="s">
        <v>272</v>
      </c>
      <c r="AV1129" s="14">
        <v>0</v>
      </c>
    </row>
    <row r="1130" spans="26:48">
      <c r="Z1130" s="3"/>
      <c r="AC1130"/>
      <c r="AE1130" s="3"/>
      <c r="AH1130" t="s">
        <v>1837</v>
      </c>
      <c r="AI1130" t="s">
        <v>68</v>
      </c>
      <c r="AJ1130" t="s">
        <v>98</v>
      </c>
      <c r="AK1130" s="3" t="s">
        <v>115</v>
      </c>
      <c r="AL1130" s="3">
        <v>-145.92082778950001</v>
      </c>
      <c r="AS1130" t="s">
        <v>1885</v>
      </c>
      <c r="AT1130" t="s">
        <v>88</v>
      </c>
      <c r="AU1130" t="s">
        <v>273</v>
      </c>
      <c r="AV1130" s="14">
        <v>0</v>
      </c>
    </row>
    <row r="1131" spans="26:48">
      <c r="Z1131" s="3"/>
      <c r="AC1131"/>
      <c r="AE1131" s="3"/>
      <c r="AH1131" t="s">
        <v>1837</v>
      </c>
      <c r="AI1131" t="s">
        <v>800</v>
      </c>
      <c r="AJ1131" t="s">
        <v>31</v>
      </c>
      <c r="AK1131" s="3" t="s">
        <v>27</v>
      </c>
      <c r="AL1131" s="3">
        <v>3.9207265058999998</v>
      </c>
      <c r="AS1131" t="s">
        <v>1885</v>
      </c>
      <c r="AT1131" t="s">
        <v>88</v>
      </c>
      <c r="AU1131" t="s">
        <v>109</v>
      </c>
      <c r="AV1131" s="14">
        <v>17860.735100000002</v>
      </c>
    </row>
    <row r="1132" spans="26:48">
      <c r="Z1132" s="3"/>
      <c r="AC1132"/>
      <c r="AE1132" s="3"/>
      <c r="AH1132" t="s">
        <v>1838</v>
      </c>
      <c r="AI1132" t="s">
        <v>65</v>
      </c>
      <c r="AJ1132" t="s">
        <v>66</v>
      </c>
      <c r="AK1132" s="3" t="s">
        <v>27</v>
      </c>
      <c r="AL1132" s="3">
        <v>35448.199999999997</v>
      </c>
      <c r="AS1132" t="s">
        <v>1886</v>
      </c>
      <c r="AT1132" t="s">
        <v>88</v>
      </c>
      <c r="AU1132" t="s">
        <v>109</v>
      </c>
      <c r="AV1132" s="14">
        <v>18060.735100000002</v>
      </c>
    </row>
    <row r="1133" spans="26:48">
      <c r="Z1133" s="3"/>
      <c r="AC1133"/>
      <c r="AE1133" s="3"/>
      <c r="AH1133" t="s">
        <v>1838</v>
      </c>
      <c r="AI1133" t="s">
        <v>65</v>
      </c>
      <c r="AJ1133" t="s">
        <v>72</v>
      </c>
      <c r="AK1133" s="3" t="s">
        <v>27</v>
      </c>
      <c r="AL1133" s="3">
        <v>35645.939632000001</v>
      </c>
      <c r="AS1133" t="s">
        <v>1886</v>
      </c>
      <c r="AT1133" t="s">
        <v>88</v>
      </c>
      <c r="AU1133" t="s">
        <v>110</v>
      </c>
      <c r="AV1133" s="14">
        <v>397.61059999999998</v>
      </c>
    </row>
    <row r="1134" spans="26:48">
      <c r="Z1134" s="3"/>
      <c r="AC1134"/>
      <c r="AE1134" s="3"/>
      <c r="AH1134" t="s">
        <v>1838</v>
      </c>
      <c r="AI1134" t="s">
        <v>65</v>
      </c>
      <c r="AJ1134" t="s">
        <v>113</v>
      </c>
      <c r="AK1134" s="3" t="s">
        <v>27</v>
      </c>
      <c r="AL1134" s="3">
        <v>1447.2935462329999</v>
      </c>
      <c r="AS1134" t="s">
        <v>1886</v>
      </c>
      <c r="AT1134" t="s">
        <v>88</v>
      </c>
      <c r="AU1134" t="s">
        <v>111</v>
      </c>
      <c r="AV1134" s="14">
        <v>13800</v>
      </c>
    </row>
    <row r="1135" spans="26:48">
      <c r="Z1135" s="3"/>
      <c r="AC1135"/>
      <c r="AE1135" s="3"/>
      <c r="AH1135" t="s">
        <v>1838</v>
      </c>
      <c r="AI1135" t="s">
        <v>65</v>
      </c>
      <c r="AJ1135" t="s">
        <v>108</v>
      </c>
      <c r="AK1135" s="3" t="s">
        <v>27</v>
      </c>
      <c r="AL1135" s="3">
        <v>-1249.5539142329999</v>
      </c>
      <c r="AS1135" t="s">
        <v>1886</v>
      </c>
      <c r="AT1135" t="s">
        <v>88</v>
      </c>
      <c r="AU1135" t="s">
        <v>268</v>
      </c>
      <c r="AV1135" s="14">
        <v>0</v>
      </c>
    </row>
    <row r="1136" spans="26:48">
      <c r="Z1136" s="3"/>
      <c r="AC1136"/>
      <c r="AE1136" s="3"/>
      <c r="AH1136" t="s">
        <v>1838</v>
      </c>
      <c r="AI1136" t="s">
        <v>65</v>
      </c>
      <c r="AJ1136" t="s">
        <v>98</v>
      </c>
      <c r="AK1136" s="3" t="s">
        <v>27</v>
      </c>
      <c r="AL1136" s="3">
        <v>-1249.5539142329999</v>
      </c>
      <c r="AS1136" t="s">
        <v>1886</v>
      </c>
      <c r="AT1136" t="s">
        <v>88</v>
      </c>
      <c r="AU1136" t="s">
        <v>269</v>
      </c>
      <c r="AV1136" s="14">
        <v>0</v>
      </c>
    </row>
    <row r="1137" spans="26:48">
      <c r="Z1137" s="3"/>
      <c r="AC1137"/>
      <c r="AE1137" s="3"/>
      <c r="AH1137" t="s">
        <v>1838</v>
      </c>
      <c r="AI1137" t="s">
        <v>67</v>
      </c>
      <c r="AJ1137" t="s">
        <v>66</v>
      </c>
      <c r="AK1137" s="3" t="s">
        <v>27</v>
      </c>
      <c r="AL1137" s="3">
        <v>-20053.2</v>
      </c>
      <c r="AS1137" t="s">
        <v>1886</v>
      </c>
      <c r="AT1137" t="s">
        <v>88</v>
      </c>
      <c r="AU1137" t="s">
        <v>270</v>
      </c>
      <c r="AV1137" s="14">
        <v>0</v>
      </c>
    </row>
    <row r="1138" spans="26:48">
      <c r="Z1138" s="3"/>
      <c r="AC1138"/>
      <c r="AE1138" s="3"/>
      <c r="AH1138" t="s">
        <v>1838</v>
      </c>
      <c r="AI1138" t="s">
        <v>67</v>
      </c>
      <c r="AJ1138" t="s">
        <v>72</v>
      </c>
      <c r="AK1138" s="3" t="s">
        <v>27</v>
      </c>
      <c r="AL1138" s="3">
        <v>-21504.585702</v>
      </c>
      <c r="AS1138" t="s">
        <v>1886</v>
      </c>
      <c r="AT1138" t="s">
        <v>88</v>
      </c>
      <c r="AU1138" t="s">
        <v>271</v>
      </c>
      <c r="AV1138" s="14">
        <v>-1000</v>
      </c>
    </row>
    <row r="1139" spans="26:48">
      <c r="Z1139" s="3"/>
      <c r="AC1139"/>
      <c r="AE1139" s="3"/>
      <c r="AH1139" t="s">
        <v>1838</v>
      </c>
      <c r="AI1139" t="s">
        <v>67</v>
      </c>
      <c r="AJ1139" t="s">
        <v>113</v>
      </c>
      <c r="AK1139" s="3" t="s">
        <v>27</v>
      </c>
      <c r="AL1139" s="3">
        <v>-1731.7445569890001</v>
      </c>
      <c r="AS1139" t="s">
        <v>1886</v>
      </c>
      <c r="AT1139" t="s">
        <v>88</v>
      </c>
      <c r="AU1139" t="s">
        <v>272</v>
      </c>
      <c r="AV1139" s="14">
        <v>0</v>
      </c>
    </row>
    <row r="1140" spans="26:48">
      <c r="Z1140" s="3"/>
      <c r="AC1140"/>
      <c r="AE1140" s="3"/>
      <c r="AH1140" t="s">
        <v>1838</v>
      </c>
      <c r="AI1140" t="s">
        <v>67</v>
      </c>
      <c r="AJ1140" t="s">
        <v>108</v>
      </c>
      <c r="AK1140" s="3" t="s">
        <v>27</v>
      </c>
      <c r="AL1140" s="3">
        <v>280.35885498900001</v>
      </c>
      <c r="AS1140" t="s">
        <v>1886</v>
      </c>
      <c r="AT1140" t="s">
        <v>88</v>
      </c>
      <c r="AU1140" t="s">
        <v>273</v>
      </c>
      <c r="AV1140" s="14">
        <v>0</v>
      </c>
    </row>
    <row r="1141" spans="26:48">
      <c r="Z1141" s="3"/>
      <c r="AC1141"/>
      <c r="AE1141" s="3"/>
      <c r="AH1141" t="s">
        <v>1838</v>
      </c>
      <c r="AI1141" t="s">
        <v>67</v>
      </c>
      <c r="AJ1141" t="s">
        <v>98</v>
      </c>
      <c r="AK1141" s="3" t="s">
        <v>27</v>
      </c>
      <c r="AL1141" s="3">
        <v>280.35885498900001</v>
      </c>
      <c r="AS1141" t="s">
        <v>1887</v>
      </c>
      <c r="AT1141" t="s">
        <v>88</v>
      </c>
      <c r="AU1141" t="s">
        <v>109</v>
      </c>
      <c r="AV1141" s="14">
        <v>19105.983700000001</v>
      </c>
    </row>
    <row r="1142" spans="26:48">
      <c r="Z1142" s="3"/>
      <c r="AC1142"/>
      <c r="AE1142" s="3"/>
      <c r="AH1142" t="s">
        <v>1838</v>
      </c>
      <c r="AI1142" t="s">
        <v>67</v>
      </c>
      <c r="AJ1142" t="s">
        <v>66</v>
      </c>
      <c r="AK1142" s="3" t="s">
        <v>114</v>
      </c>
      <c r="AL1142" s="3">
        <v>0</v>
      </c>
      <c r="AS1142" t="s">
        <v>1887</v>
      </c>
      <c r="AT1142" t="s">
        <v>88</v>
      </c>
      <c r="AU1142" t="s">
        <v>110</v>
      </c>
      <c r="AV1142" s="14">
        <v>397.61059999999998</v>
      </c>
    </row>
    <row r="1143" spans="26:48">
      <c r="Z1143" s="3"/>
      <c r="AC1143"/>
      <c r="AE1143" s="3"/>
      <c r="AH1143" t="s">
        <v>1838</v>
      </c>
      <c r="AI1143" t="s">
        <v>67</v>
      </c>
      <c r="AJ1143" t="s">
        <v>98</v>
      </c>
      <c r="AK1143" s="3" t="s">
        <v>114</v>
      </c>
      <c r="AL1143" s="3">
        <v>0</v>
      </c>
      <c r="AS1143" t="s">
        <v>1887</v>
      </c>
      <c r="AT1143" t="s">
        <v>88</v>
      </c>
      <c r="AU1143" t="s">
        <v>111</v>
      </c>
      <c r="AV1143" s="14">
        <v>12800</v>
      </c>
    </row>
    <row r="1144" spans="26:48">
      <c r="Z1144" s="3"/>
      <c r="AC1144"/>
      <c r="AE1144" s="3"/>
      <c r="AH1144" t="s">
        <v>1838</v>
      </c>
      <c r="AI1144" t="s">
        <v>67</v>
      </c>
      <c r="AJ1144" t="s">
        <v>66</v>
      </c>
      <c r="AK1144" s="3" t="s">
        <v>115</v>
      </c>
      <c r="AL1144" s="3">
        <v>20053.2</v>
      </c>
      <c r="AS1144" t="s">
        <v>1887</v>
      </c>
      <c r="AT1144" t="s">
        <v>88</v>
      </c>
      <c r="AU1144" t="s">
        <v>268</v>
      </c>
      <c r="AV1144" s="14">
        <v>0</v>
      </c>
    </row>
    <row r="1145" spans="26:48">
      <c r="Z1145" s="3"/>
      <c r="AC1145"/>
      <c r="AE1145" s="3"/>
      <c r="AH1145" t="s">
        <v>1838</v>
      </c>
      <c r="AI1145" t="s">
        <v>67</v>
      </c>
      <c r="AJ1145" t="s">
        <v>98</v>
      </c>
      <c r="AK1145" s="3" t="s">
        <v>115</v>
      </c>
      <c r="AL1145" s="3">
        <v>-280.35885498900001</v>
      </c>
      <c r="AS1145" t="s">
        <v>1887</v>
      </c>
      <c r="AT1145" t="s">
        <v>88</v>
      </c>
      <c r="AU1145" t="s">
        <v>269</v>
      </c>
      <c r="AV1145" s="14">
        <v>0</v>
      </c>
    </row>
    <row r="1146" spans="26:48">
      <c r="Z1146" s="3"/>
      <c r="AC1146"/>
      <c r="AE1146" s="3"/>
      <c r="AH1146" t="s">
        <v>1838</v>
      </c>
      <c r="AI1146" t="s">
        <v>68</v>
      </c>
      <c r="AJ1146" t="s">
        <v>66</v>
      </c>
      <c r="AK1146" s="3" t="s">
        <v>27</v>
      </c>
      <c r="AL1146" s="3">
        <v>-3983</v>
      </c>
      <c r="AS1146" t="s">
        <v>1887</v>
      </c>
      <c r="AT1146" t="s">
        <v>88</v>
      </c>
      <c r="AU1146" t="s">
        <v>270</v>
      </c>
      <c r="AV1146" s="14">
        <v>0</v>
      </c>
    </row>
    <row r="1147" spans="26:48">
      <c r="Z1147" s="3"/>
      <c r="AC1147"/>
      <c r="AE1147" s="3"/>
      <c r="AH1147" t="s">
        <v>1838</v>
      </c>
      <c r="AI1147" t="s">
        <v>68</v>
      </c>
      <c r="AJ1147" t="s">
        <v>72</v>
      </c>
      <c r="AK1147" s="3" t="s">
        <v>27</v>
      </c>
      <c r="AL1147" s="3">
        <v>-3620.9413500000001</v>
      </c>
      <c r="AS1147" t="s">
        <v>1887</v>
      </c>
      <c r="AT1147" t="s">
        <v>88</v>
      </c>
      <c r="AU1147" t="s">
        <v>271</v>
      </c>
      <c r="AV1147" s="14">
        <v>-2</v>
      </c>
    </row>
    <row r="1148" spans="26:48">
      <c r="Z1148" s="3"/>
      <c r="AC1148"/>
      <c r="AE1148" s="3"/>
      <c r="AH1148" t="s">
        <v>1838</v>
      </c>
      <c r="AI1148" t="s">
        <v>68</v>
      </c>
      <c r="AJ1148" t="s">
        <v>113</v>
      </c>
      <c r="AK1148" s="3" t="s">
        <v>27</v>
      </c>
      <c r="AL1148" s="3">
        <v>-388.08571049469998</v>
      </c>
      <c r="AS1148" t="s">
        <v>1887</v>
      </c>
      <c r="AT1148" t="s">
        <v>88</v>
      </c>
      <c r="AU1148" t="s">
        <v>272</v>
      </c>
      <c r="AV1148" s="14">
        <v>0</v>
      </c>
    </row>
    <row r="1149" spans="26:48">
      <c r="Z1149" s="3"/>
      <c r="AC1149"/>
      <c r="AE1149" s="3"/>
      <c r="AH1149" t="s">
        <v>1838</v>
      </c>
      <c r="AI1149" t="s">
        <v>68</v>
      </c>
      <c r="AJ1149" t="s">
        <v>108</v>
      </c>
      <c r="AK1149" s="3" t="s">
        <v>27</v>
      </c>
      <c r="AL1149" s="3">
        <v>750.14436049469998</v>
      </c>
      <c r="AS1149" t="s">
        <v>1887</v>
      </c>
      <c r="AT1149" t="s">
        <v>88</v>
      </c>
      <c r="AU1149" t="s">
        <v>273</v>
      </c>
      <c r="AV1149" s="14">
        <v>1000</v>
      </c>
    </row>
    <row r="1150" spans="26:48">
      <c r="Z1150" s="3"/>
      <c r="AC1150"/>
      <c r="AE1150" s="3"/>
      <c r="AH1150" t="s">
        <v>1838</v>
      </c>
      <c r="AI1150" t="s">
        <v>68</v>
      </c>
      <c r="AJ1150" t="s">
        <v>98</v>
      </c>
      <c r="AK1150" s="3" t="s">
        <v>27</v>
      </c>
      <c r="AL1150" s="3">
        <v>68.485842275500005</v>
      </c>
      <c r="AS1150" t="s">
        <v>1888</v>
      </c>
      <c r="AT1150" t="s">
        <v>88</v>
      </c>
      <c r="AU1150" t="s">
        <v>109</v>
      </c>
      <c r="AV1150" s="14">
        <v>16805.983700000001</v>
      </c>
    </row>
    <row r="1151" spans="26:48">
      <c r="Z1151" s="3"/>
      <c r="AC1151"/>
      <c r="AE1151" s="3"/>
      <c r="AH1151" t="s">
        <v>1838</v>
      </c>
      <c r="AI1151" t="s">
        <v>68</v>
      </c>
      <c r="AJ1151" t="s">
        <v>66</v>
      </c>
      <c r="AK1151" s="3" t="s">
        <v>114</v>
      </c>
      <c r="AL1151" s="3">
        <v>3888</v>
      </c>
      <c r="AS1151" t="s">
        <v>1888</v>
      </c>
      <c r="AT1151" t="s">
        <v>88</v>
      </c>
      <c r="AU1151" t="s">
        <v>110</v>
      </c>
      <c r="AV1151" s="14">
        <v>397.61059999999998</v>
      </c>
    </row>
    <row r="1152" spans="26:48">
      <c r="Z1152" s="3"/>
      <c r="AC1152"/>
      <c r="AE1152" s="3"/>
      <c r="AH1152" t="s">
        <v>1838</v>
      </c>
      <c r="AI1152" t="s">
        <v>68</v>
      </c>
      <c r="AJ1152" t="s">
        <v>98</v>
      </c>
      <c r="AK1152" s="3" t="s">
        <v>114</v>
      </c>
      <c r="AL1152" s="3">
        <v>-87.037698219199996</v>
      </c>
      <c r="AS1152" t="s">
        <v>1888</v>
      </c>
      <c r="AT1152" t="s">
        <v>88</v>
      </c>
      <c r="AU1152" t="s">
        <v>111</v>
      </c>
      <c r="AV1152" s="14">
        <v>12800</v>
      </c>
    </row>
    <row r="1153" spans="26:48">
      <c r="Z1153" s="3"/>
      <c r="AC1153"/>
      <c r="AE1153" s="3"/>
      <c r="AH1153" t="s">
        <v>1838</v>
      </c>
      <c r="AI1153" t="s">
        <v>68</v>
      </c>
      <c r="AJ1153" t="s">
        <v>66</v>
      </c>
      <c r="AK1153" s="3" t="s">
        <v>115</v>
      </c>
      <c r="AL1153" s="3">
        <v>7871</v>
      </c>
      <c r="AS1153" t="s">
        <v>1888</v>
      </c>
      <c r="AT1153" t="s">
        <v>88</v>
      </c>
      <c r="AU1153" t="s">
        <v>268</v>
      </c>
      <c r="AV1153" s="14">
        <v>0</v>
      </c>
    </row>
    <row r="1154" spans="26:48">
      <c r="Z1154" s="3"/>
      <c r="AC1154"/>
      <c r="AE1154" s="3"/>
      <c r="AH1154" t="s">
        <v>1838</v>
      </c>
      <c r="AI1154" t="s">
        <v>68</v>
      </c>
      <c r="AJ1154" t="s">
        <v>98</v>
      </c>
      <c r="AK1154" s="3" t="s">
        <v>115</v>
      </c>
      <c r="AL1154" s="3">
        <v>-155.5235404947</v>
      </c>
      <c r="AS1154" t="s">
        <v>1888</v>
      </c>
      <c r="AT1154" t="s">
        <v>88</v>
      </c>
      <c r="AU1154" t="s">
        <v>269</v>
      </c>
      <c r="AV1154" s="14">
        <v>0</v>
      </c>
    </row>
    <row r="1155" spans="26:48">
      <c r="Z1155" s="3"/>
      <c r="AC1155"/>
      <c r="AE1155" s="3"/>
      <c r="AH1155" t="s">
        <v>1838</v>
      </c>
      <c r="AI1155" t="s">
        <v>800</v>
      </c>
      <c r="AJ1155" t="s">
        <v>31</v>
      </c>
      <c r="AK1155" s="3" t="s">
        <v>27</v>
      </c>
      <c r="AL1155" s="3">
        <v>3.922434934</v>
      </c>
      <c r="AS1155" t="s">
        <v>1888</v>
      </c>
      <c r="AT1155" t="s">
        <v>88</v>
      </c>
      <c r="AU1155" t="s">
        <v>270</v>
      </c>
      <c r="AV1155" s="14">
        <v>0</v>
      </c>
    </row>
    <row r="1156" spans="26:48">
      <c r="Z1156" s="3"/>
      <c r="AC1156"/>
      <c r="AE1156" s="3"/>
      <c r="AH1156" t="s">
        <v>1839</v>
      </c>
      <c r="AI1156" t="s">
        <v>65</v>
      </c>
      <c r="AJ1156" t="s">
        <v>66</v>
      </c>
      <c r="AK1156" s="3" t="s">
        <v>27</v>
      </c>
      <c r="AL1156" s="3">
        <v>36652.699999999997</v>
      </c>
      <c r="AS1156" t="s">
        <v>1888</v>
      </c>
      <c r="AT1156" t="s">
        <v>88</v>
      </c>
      <c r="AU1156" t="s">
        <v>271</v>
      </c>
      <c r="AV1156" s="14">
        <v>-102</v>
      </c>
    </row>
    <row r="1157" spans="26:48">
      <c r="Z1157" s="3"/>
      <c r="AC1157"/>
      <c r="AE1157" s="3"/>
      <c r="AH1157" t="s">
        <v>1839</v>
      </c>
      <c r="AI1157" t="s">
        <v>65</v>
      </c>
      <c r="AJ1157" t="s">
        <v>72</v>
      </c>
      <c r="AK1157" s="3" t="s">
        <v>27</v>
      </c>
      <c r="AL1157" s="3">
        <v>36729.480072999999</v>
      </c>
      <c r="AS1157" t="s">
        <v>1888</v>
      </c>
      <c r="AT1157" t="s">
        <v>88</v>
      </c>
      <c r="AU1157" t="s">
        <v>272</v>
      </c>
      <c r="AV1157" s="14">
        <v>0</v>
      </c>
    </row>
    <row r="1158" spans="26:48">
      <c r="Z1158" s="3"/>
      <c r="AC1158"/>
      <c r="AE1158" s="3"/>
      <c r="AH1158" t="s">
        <v>1839</v>
      </c>
      <c r="AI1158" t="s">
        <v>65</v>
      </c>
      <c r="AJ1158" t="s">
        <v>113</v>
      </c>
      <c r="AK1158" s="3" t="s">
        <v>27</v>
      </c>
      <c r="AL1158" s="3">
        <v>1369.7232461691999</v>
      </c>
      <c r="AS1158" t="s">
        <v>1888</v>
      </c>
      <c r="AT1158" t="s">
        <v>88</v>
      </c>
      <c r="AU1158" t="s">
        <v>273</v>
      </c>
      <c r="AV1158" s="14">
        <v>0</v>
      </c>
    </row>
    <row r="1159" spans="26:48">
      <c r="Z1159" s="3"/>
      <c r="AC1159"/>
      <c r="AE1159" s="3"/>
      <c r="AH1159" t="s">
        <v>1839</v>
      </c>
      <c r="AI1159" t="s">
        <v>65</v>
      </c>
      <c r="AJ1159" t="s">
        <v>108</v>
      </c>
      <c r="AK1159" s="3" t="s">
        <v>27</v>
      </c>
      <c r="AL1159" s="3">
        <v>-1292.9431731692</v>
      </c>
      <c r="AS1159" t="s">
        <v>1889</v>
      </c>
      <c r="AT1159" t="s">
        <v>88</v>
      </c>
      <c r="AU1159" t="s">
        <v>109</v>
      </c>
      <c r="AV1159" s="14">
        <v>18115.983700000001</v>
      </c>
    </row>
    <row r="1160" spans="26:48">
      <c r="Z1160" s="3"/>
      <c r="AC1160"/>
      <c r="AE1160" s="3"/>
      <c r="AH1160" t="s">
        <v>1839</v>
      </c>
      <c r="AI1160" t="s">
        <v>65</v>
      </c>
      <c r="AJ1160" t="s">
        <v>98</v>
      </c>
      <c r="AK1160" s="3" t="s">
        <v>27</v>
      </c>
      <c r="AL1160" s="3">
        <v>-1292.9431731692</v>
      </c>
      <c r="AS1160" t="s">
        <v>1889</v>
      </c>
      <c r="AT1160" t="s">
        <v>88</v>
      </c>
      <c r="AU1160" t="s">
        <v>110</v>
      </c>
      <c r="AV1160" s="14">
        <v>397.61059999999998</v>
      </c>
    </row>
    <row r="1161" spans="26:48">
      <c r="Z1161" s="3"/>
      <c r="AC1161"/>
      <c r="AE1161" s="3"/>
      <c r="AH1161" t="s">
        <v>1839</v>
      </c>
      <c r="AI1161" t="s">
        <v>67</v>
      </c>
      <c r="AJ1161" t="s">
        <v>66</v>
      </c>
      <c r="AK1161" s="3" t="s">
        <v>27</v>
      </c>
      <c r="AL1161" s="3">
        <v>-21147.7</v>
      </c>
      <c r="AS1161" t="s">
        <v>1889</v>
      </c>
      <c r="AT1161" t="s">
        <v>88</v>
      </c>
      <c r="AU1161" t="s">
        <v>111</v>
      </c>
      <c r="AV1161" s="14">
        <v>12800</v>
      </c>
    </row>
    <row r="1162" spans="26:48">
      <c r="Z1162" s="3"/>
      <c r="AC1162"/>
      <c r="AE1162" s="3"/>
      <c r="AH1162" t="s">
        <v>1839</v>
      </c>
      <c r="AI1162" t="s">
        <v>67</v>
      </c>
      <c r="AJ1162" t="s">
        <v>72</v>
      </c>
      <c r="AK1162" s="3" t="s">
        <v>27</v>
      </c>
      <c r="AL1162" s="3">
        <v>-22500.165643</v>
      </c>
      <c r="AS1162" t="s">
        <v>1889</v>
      </c>
      <c r="AT1162" t="s">
        <v>88</v>
      </c>
      <c r="AU1162" t="s">
        <v>268</v>
      </c>
      <c r="AV1162" s="14">
        <v>0</v>
      </c>
    </row>
    <row r="1163" spans="26:48">
      <c r="Z1163" s="3"/>
      <c r="AC1163"/>
      <c r="AE1163" s="3"/>
      <c r="AH1163" t="s">
        <v>1839</v>
      </c>
      <c r="AI1163" t="s">
        <v>67</v>
      </c>
      <c r="AJ1163" t="s">
        <v>113</v>
      </c>
      <c r="AK1163" s="3" t="s">
        <v>27</v>
      </c>
      <c r="AL1163" s="3">
        <v>-1668.7037701909001</v>
      </c>
      <c r="AS1163" t="s">
        <v>1889</v>
      </c>
      <c r="AT1163" t="s">
        <v>88</v>
      </c>
      <c r="AU1163" t="s">
        <v>269</v>
      </c>
      <c r="AV1163" s="14">
        <v>0</v>
      </c>
    </row>
    <row r="1164" spans="26:48">
      <c r="Z1164" s="3"/>
      <c r="AC1164"/>
      <c r="AE1164" s="3"/>
      <c r="AH1164" t="s">
        <v>1839</v>
      </c>
      <c r="AI1164" t="s">
        <v>67</v>
      </c>
      <c r="AJ1164" t="s">
        <v>108</v>
      </c>
      <c r="AK1164" s="3" t="s">
        <v>27</v>
      </c>
      <c r="AL1164" s="3">
        <v>316.2381271909</v>
      </c>
      <c r="AS1164" t="s">
        <v>1889</v>
      </c>
      <c r="AT1164" t="s">
        <v>88</v>
      </c>
      <c r="AU1164" t="s">
        <v>270</v>
      </c>
      <c r="AV1164" s="14">
        <v>0</v>
      </c>
    </row>
    <row r="1165" spans="26:48">
      <c r="Z1165" s="3"/>
      <c r="AC1165"/>
      <c r="AE1165" s="3"/>
      <c r="AH1165" t="s">
        <v>1839</v>
      </c>
      <c r="AI1165" t="s">
        <v>67</v>
      </c>
      <c r="AJ1165" t="s">
        <v>98</v>
      </c>
      <c r="AK1165" s="3" t="s">
        <v>27</v>
      </c>
      <c r="AL1165" s="3">
        <v>316.2381271909</v>
      </c>
      <c r="AS1165" t="s">
        <v>1889</v>
      </c>
      <c r="AT1165" t="s">
        <v>88</v>
      </c>
      <c r="AU1165" t="s">
        <v>271</v>
      </c>
      <c r="AV1165" s="14">
        <v>-1502</v>
      </c>
    </row>
    <row r="1166" spans="26:48">
      <c r="Z1166" s="3"/>
      <c r="AC1166"/>
      <c r="AE1166" s="3"/>
      <c r="AH1166" t="s">
        <v>1839</v>
      </c>
      <c r="AI1166" t="s">
        <v>67</v>
      </c>
      <c r="AJ1166" t="s">
        <v>66</v>
      </c>
      <c r="AK1166" s="3" t="s">
        <v>114</v>
      </c>
      <c r="AL1166" s="3">
        <v>0</v>
      </c>
      <c r="AS1166" t="s">
        <v>1889</v>
      </c>
      <c r="AT1166" t="s">
        <v>88</v>
      </c>
      <c r="AU1166" t="s">
        <v>272</v>
      </c>
      <c r="AV1166" s="14">
        <v>0</v>
      </c>
    </row>
    <row r="1167" spans="26:48">
      <c r="Z1167" s="3"/>
      <c r="AC1167"/>
      <c r="AE1167" s="3"/>
      <c r="AH1167" t="s">
        <v>1839</v>
      </c>
      <c r="AI1167" t="s">
        <v>67</v>
      </c>
      <c r="AJ1167" t="s">
        <v>98</v>
      </c>
      <c r="AK1167" s="3" t="s">
        <v>114</v>
      </c>
      <c r="AL1167" s="3">
        <v>0</v>
      </c>
      <c r="AS1167" t="s">
        <v>1889</v>
      </c>
      <c r="AT1167" t="s">
        <v>88</v>
      </c>
      <c r="AU1167" t="s">
        <v>273</v>
      </c>
      <c r="AV1167" s="14">
        <v>0</v>
      </c>
    </row>
    <row r="1168" spans="26:48">
      <c r="Z1168" s="3"/>
      <c r="AC1168"/>
      <c r="AE1168" s="3"/>
      <c r="AH1168" t="s">
        <v>1839</v>
      </c>
      <c r="AI1168" t="s">
        <v>67</v>
      </c>
      <c r="AJ1168" t="s">
        <v>66</v>
      </c>
      <c r="AK1168" s="3" t="s">
        <v>115</v>
      </c>
      <c r="AL1168" s="3">
        <v>21147.7</v>
      </c>
      <c r="AS1168" t="s">
        <v>1890</v>
      </c>
      <c r="AT1168" t="s">
        <v>88</v>
      </c>
      <c r="AU1168" t="s">
        <v>109</v>
      </c>
      <c r="AV1168" s="14">
        <v>19828.5677</v>
      </c>
    </row>
    <row r="1169" spans="26:48">
      <c r="Z1169" s="3"/>
      <c r="AC1169"/>
      <c r="AE1169" s="3"/>
      <c r="AH1169" t="s">
        <v>1839</v>
      </c>
      <c r="AI1169" t="s">
        <v>67</v>
      </c>
      <c r="AJ1169" t="s">
        <v>98</v>
      </c>
      <c r="AK1169" s="3" t="s">
        <v>115</v>
      </c>
      <c r="AL1169" s="3">
        <v>-316.2381271909</v>
      </c>
      <c r="AS1169" t="s">
        <v>1890</v>
      </c>
      <c r="AT1169" t="s">
        <v>88</v>
      </c>
      <c r="AU1169" t="s">
        <v>110</v>
      </c>
      <c r="AV1169" s="14">
        <v>397.61059999999998</v>
      </c>
    </row>
    <row r="1170" spans="26:48">
      <c r="Z1170" s="3"/>
      <c r="AC1170"/>
      <c r="AE1170" s="3"/>
      <c r="AH1170" t="s">
        <v>1839</v>
      </c>
      <c r="AI1170" t="s">
        <v>68</v>
      </c>
      <c r="AJ1170" t="s">
        <v>66</v>
      </c>
      <c r="AK1170" s="3" t="s">
        <v>27</v>
      </c>
      <c r="AL1170" s="3">
        <v>-4093</v>
      </c>
      <c r="AS1170" t="s">
        <v>1890</v>
      </c>
      <c r="AT1170" t="s">
        <v>88</v>
      </c>
      <c r="AU1170" t="s">
        <v>111</v>
      </c>
      <c r="AV1170" s="14">
        <v>12300</v>
      </c>
    </row>
    <row r="1171" spans="26:48">
      <c r="Z1171" s="3"/>
      <c r="AC1171"/>
      <c r="AE1171" s="3"/>
      <c r="AH1171" t="s">
        <v>1839</v>
      </c>
      <c r="AI1171" t="s">
        <v>68</v>
      </c>
      <c r="AJ1171" t="s">
        <v>72</v>
      </c>
      <c r="AK1171" s="3" t="s">
        <v>27</v>
      </c>
      <c r="AL1171" s="3">
        <v>-3711.0492899999999</v>
      </c>
      <c r="AS1171" t="s">
        <v>1890</v>
      </c>
      <c r="AT1171" t="s">
        <v>88</v>
      </c>
      <c r="AU1171" t="s">
        <v>268</v>
      </c>
      <c r="AV1171" s="14">
        <v>0</v>
      </c>
    </row>
    <row r="1172" spans="26:48">
      <c r="Z1172" s="3"/>
      <c r="AC1172"/>
      <c r="AE1172" s="3"/>
      <c r="AH1172" t="s">
        <v>1839</v>
      </c>
      <c r="AI1172" t="s">
        <v>68</v>
      </c>
      <c r="AJ1172" t="s">
        <v>113</v>
      </c>
      <c r="AK1172" s="3" t="s">
        <v>27</v>
      </c>
      <c r="AL1172" s="3">
        <v>215.79445882440001</v>
      </c>
      <c r="AS1172" t="s">
        <v>1890</v>
      </c>
      <c r="AT1172" t="s">
        <v>88</v>
      </c>
      <c r="AU1172" t="s">
        <v>269</v>
      </c>
      <c r="AV1172" s="14">
        <v>0</v>
      </c>
    </row>
    <row r="1173" spans="26:48">
      <c r="Z1173" s="3"/>
      <c r="AC1173"/>
      <c r="AE1173" s="3"/>
      <c r="AH1173" t="s">
        <v>1839</v>
      </c>
      <c r="AI1173" t="s">
        <v>68</v>
      </c>
      <c r="AJ1173" t="s">
        <v>108</v>
      </c>
      <c r="AK1173" s="3" t="s">
        <v>27</v>
      </c>
      <c r="AL1173" s="3">
        <v>166.1562511756</v>
      </c>
      <c r="AS1173" t="s">
        <v>1890</v>
      </c>
      <c r="AT1173" t="s">
        <v>88</v>
      </c>
      <c r="AU1173" t="s">
        <v>270</v>
      </c>
      <c r="AV1173" s="14">
        <v>0</v>
      </c>
    </row>
    <row r="1174" spans="26:48">
      <c r="Z1174" s="3"/>
      <c r="AC1174"/>
      <c r="AE1174" s="3"/>
      <c r="AH1174" t="s">
        <v>1839</v>
      </c>
      <c r="AI1174" t="s">
        <v>68</v>
      </c>
      <c r="AJ1174" t="s">
        <v>98</v>
      </c>
      <c r="AK1174" s="3" t="s">
        <v>27</v>
      </c>
      <c r="AL1174" s="3">
        <v>73.8001619976</v>
      </c>
      <c r="AS1174" t="s">
        <v>1890</v>
      </c>
      <c r="AT1174" t="s">
        <v>88</v>
      </c>
      <c r="AU1174" t="s">
        <v>271</v>
      </c>
      <c r="AV1174" s="14">
        <v>498</v>
      </c>
    </row>
    <row r="1175" spans="26:48">
      <c r="Z1175" s="3"/>
      <c r="AC1175"/>
      <c r="AE1175" s="3"/>
      <c r="AH1175" t="s">
        <v>1839</v>
      </c>
      <c r="AI1175" t="s">
        <v>68</v>
      </c>
      <c r="AJ1175" t="s">
        <v>66</v>
      </c>
      <c r="AK1175" s="3" t="s">
        <v>114</v>
      </c>
      <c r="AL1175" s="3">
        <v>2011</v>
      </c>
      <c r="AS1175" t="s">
        <v>1890</v>
      </c>
      <c r="AT1175" t="s">
        <v>88</v>
      </c>
      <c r="AU1175" t="s">
        <v>272</v>
      </c>
      <c r="AV1175" s="14">
        <v>0</v>
      </c>
    </row>
    <row r="1176" spans="26:48">
      <c r="Z1176" s="3"/>
      <c r="AC1176"/>
      <c r="AE1176" s="3"/>
      <c r="AH1176" t="s">
        <v>1839</v>
      </c>
      <c r="AI1176" t="s">
        <v>68</v>
      </c>
      <c r="AJ1176" t="s">
        <v>98</v>
      </c>
      <c r="AK1176" s="3" t="s">
        <v>114</v>
      </c>
      <c r="AL1176" s="3">
        <v>-114.4095091781</v>
      </c>
      <c r="AS1176" t="s">
        <v>1890</v>
      </c>
      <c r="AT1176" t="s">
        <v>88</v>
      </c>
      <c r="AU1176" t="s">
        <v>273</v>
      </c>
      <c r="AV1176" s="14">
        <v>0</v>
      </c>
    </row>
    <row r="1177" spans="26:48">
      <c r="Z1177" s="3"/>
      <c r="AC1177"/>
      <c r="AE1177" s="3"/>
      <c r="AH1177" t="s">
        <v>1839</v>
      </c>
      <c r="AI1177" t="s">
        <v>68</v>
      </c>
      <c r="AJ1177" t="s">
        <v>66</v>
      </c>
      <c r="AK1177" s="3" t="s">
        <v>115</v>
      </c>
      <c r="AL1177" s="3">
        <v>6104</v>
      </c>
      <c r="AS1177" t="s">
        <v>1891</v>
      </c>
      <c r="AT1177" t="s">
        <v>88</v>
      </c>
      <c r="AU1177" t="s">
        <v>109</v>
      </c>
      <c r="AV1177" s="14">
        <v>19114.158100000001</v>
      </c>
    </row>
    <row r="1178" spans="26:48">
      <c r="Z1178" s="3"/>
      <c r="AC1178"/>
      <c r="AE1178" s="3"/>
      <c r="AH1178" t="s">
        <v>1839</v>
      </c>
      <c r="AI1178" t="s">
        <v>68</v>
      </c>
      <c r="AJ1178" t="s">
        <v>98</v>
      </c>
      <c r="AK1178" s="3" t="s">
        <v>115</v>
      </c>
      <c r="AL1178" s="3">
        <v>-188.20967117559999</v>
      </c>
      <c r="AS1178" t="s">
        <v>1891</v>
      </c>
      <c r="AT1178" t="s">
        <v>88</v>
      </c>
      <c r="AU1178" t="s">
        <v>110</v>
      </c>
      <c r="AV1178" s="14">
        <v>397.61059999999998</v>
      </c>
    </row>
    <row r="1179" spans="26:48">
      <c r="Z1179" s="3"/>
      <c r="AC1179"/>
      <c r="AE1179" s="3"/>
      <c r="AH1179" t="s">
        <v>1839</v>
      </c>
      <c r="AI1179" t="s">
        <v>800</v>
      </c>
      <c r="AJ1179" t="s">
        <v>31</v>
      </c>
      <c r="AK1179" s="3" t="s">
        <v>27</v>
      </c>
      <c r="AL1179" s="3">
        <v>3.9302346806999999</v>
      </c>
      <c r="AS1179" t="s">
        <v>1891</v>
      </c>
      <c r="AT1179" t="s">
        <v>88</v>
      </c>
      <c r="AU1179" t="s">
        <v>111</v>
      </c>
      <c r="AV1179" s="14">
        <v>12300</v>
      </c>
    </row>
    <row r="1180" spans="26:48">
      <c r="Z1180" s="3"/>
      <c r="AC1180"/>
      <c r="AE1180" s="3"/>
      <c r="AH1180" t="s">
        <v>1840</v>
      </c>
      <c r="AI1180" t="s">
        <v>65</v>
      </c>
      <c r="AJ1180" t="s">
        <v>66</v>
      </c>
      <c r="AK1180" s="3" t="s">
        <v>27</v>
      </c>
      <c r="AL1180" s="3">
        <v>35872.699999999997</v>
      </c>
      <c r="AS1180" t="s">
        <v>1891</v>
      </c>
      <c r="AT1180" t="s">
        <v>88</v>
      </c>
      <c r="AU1180" t="s">
        <v>268</v>
      </c>
      <c r="AV1180" s="14">
        <v>0</v>
      </c>
    </row>
    <row r="1181" spans="26:48">
      <c r="Z1181" s="3"/>
      <c r="AC1181"/>
      <c r="AE1181" s="3"/>
      <c r="AH1181" t="s">
        <v>1840</v>
      </c>
      <c r="AI1181" t="s">
        <v>65</v>
      </c>
      <c r="AJ1181" t="s">
        <v>72</v>
      </c>
      <c r="AK1181" s="3" t="s">
        <v>27</v>
      </c>
      <c r="AL1181" s="3">
        <v>36051.123870000003</v>
      </c>
      <c r="AS1181" t="s">
        <v>1891</v>
      </c>
      <c r="AT1181" t="s">
        <v>88</v>
      </c>
      <c r="AU1181" t="s">
        <v>269</v>
      </c>
      <c r="AV1181" s="14">
        <v>0</v>
      </c>
    </row>
    <row r="1182" spans="26:48">
      <c r="Z1182" s="3"/>
      <c r="AC1182"/>
      <c r="AE1182" s="3"/>
      <c r="AH1182" t="s">
        <v>1840</v>
      </c>
      <c r="AI1182" t="s">
        <v>65</v>
      </c>
      <c r="AJ1182" t="s">
        <v>113</v>
      </c>
      <c r="AK1182" s="3" t="s">
        <v>27</v>
      </c>
      <c r="AL1182" s="3">
        <v>1411.8215343313</v>
      </c>
      <c r="AS1182" t="s">
        <v>1891</v>
      </c>
      <c r="AT1182" t="s">
        <v>88</v>
      </c>
      <c r="AU1182" t="s">
        <v>270</v>
      </c>
      <c r="AV1182" s="14">
        <v>0</v>
      </c>
    </row>
    <row r="1183" spans="26:48">
      <c r="Z1183" s="3"/>
      <c r="AC1183"/>
      <c r="AE1183" s="3"/>
      <c r="AH1183" t="s">
        <v>1840</v>
      </c>
      <c r="AI1183" t="s">
        <v>65</v>
      </c>
      <c r="AJ1183" t="s">
        <v>108</v>
      </c>
      <c r="AK1183" s="3" t="s">
        <v>27</v>
      </c>
      <c r="AL1183" s="3">
        <v>-1233.3976643312999</v>
      </c>
      <c r="AS1183" t="s">
        <v>1891</v>
      </c>
      <c r="AT1183" t="s">
        <v>88</v>
      </c>
      <c r="AU1183" t="s">
        <v>271</v>
      </c>
      <c r="AV1183" s="14">
        <v>-347</v>
      </c>
    </row>
    <row r="1184" spans="26:48">
      <c r="Z1184" s="3"/>
      <c r="AC1184"/>
      <c r="AE1184" s="3"/>
      <c r="AH1184" t="s">
        <v>1840</v>
      </c>
      <c r="AI1184" t="s">
        <v>65</v>
      </c>
      <c r="AJ1184" t="s">
        <v>98</v>
      </c>
      <c r="AK1184" s="3" t="s">
        <v>27</v>
      </c>
      <c r="AL1184" s="3">
        <v>-1233.3976643312999</v>
      </c>
      <c r="AS1184" t="s">
        <v>1891</v>
      </c>
      <c r="AT1184" t="s">
        <v>88</v>
      </c>
      <c r="AU1184" t="s">
        <v>272</v>
      </c>
      <c r="AV1184" s="14">
        <v>0</v>
      </c>
    </row>
    <row r="1185" spans="26:48">
      <c r="Z1185" s="3"/>
      <c r="AC1185"/>
      <c r="AE1185" s="3"/>
      <c r="AH1185" t="s">
        <v>1840</v>
      </c>
      <c r="AI1185" t="s">
        <v>67</v>
      </c>
      <c r="AJ1185" t="s">
        <v>66</v>
      </c>
      <c r="AK1185" s="3" t="s">
        <v>27</v>
      </c>
      <c r="AL1185" s="3">
        <v>-19163.2</v>
      </c>
      <c r="AS1185" t="s">
        <v>1891</v>
      </c>
      <c r="AT1185" t="s">
        <v>88</v>
      </c>
      <c r="AU1185" t="s">
        <v>273</v>
      </c>
      <c r="AV1185" s="14">
        <v>0</v>
      </c>
    </row>
    <row r="1186" spans="26:48">
      <c r="Z1186" s="3"/>
      <c r="AC1186"/>
      <c r="AE1186" s="3"/>
      <c r="AH1186" t="s">
        <v>1840</v>
      </c>
      <c r="AI1186" t="s">
        <v>67</v>
      </c>
      <c r="AJ1186" t="s">
        <v>72</v>
      </c>
      <c r="AK1186" s="3" t="s">
        <v>27</v>
      </c>
      <c r="AL1186" s="3">
        <v>-20729.256890000001</v>
      </c>
      <c r="AS1186" t="s">
        <v>1892</v>
      </c>
      <c r="AT1186" t="s">
        <v>88</v>
      </c>
      <c r="AU1186" t="s">
        <v>109</v>
      </c>
      <c r="AV1186" s="14">
        <v>18244.158100000001</v>
      </c>
    </row>
    <row r="1187" spans="26:48">
      <c r="Z1187" s="3"/>
      <c r="AC1187"/>
      <c r="AE1187" s="3"/>
      <c r="AH1187" t="s">
        <v>1840</v>
      </c>
      <c r="AI1187" t="s">
        <v>67</v>
      </c>
      <c r="AJ1187" t="s">
        <v>113</v>
      </c>
      <c r="AK1187" s="3" t="s">
        <v>27</v>
      </c>
      <c r="AL1187" s="3">
        <v>-1748.6055484956</v>
      </c>
      <c r="AS1187" t="s">
        <v>1892</v>
      </c>
      <c r="AT1187" t="s">
        <v>88</v>
      </c>
      <c r="AU1187" t="s">
        <v>110</v>
      </c>
      <c r="AV1187" s="14">
        <v>397.61059999999998</v>
      </c>
    </row>
    <row r="1188" spans="26:48">
      <c r="Z1188" s="3"/>
      <c r="AC1188"/>
      <c r="AE1188" s="3"/>
      <c r="AH1188" t="s">
        <v>1840</v>
      </c>
      <c r="AI1188" t="s">
        <v>67</v>
      </c>
      <c r="AJ1188" t="s">
        <v>108</v>
      </c>
      <c r="AK1188" s="3" t="s">
        <v>27</v>
      </c>
      <c r="AL1188" s="3">
        <v>182.54865849559999</v>
      </c>
      <c r="AS1188" t="s">
        <v>1892</v>
      </c>
      <c r="AT1188" t="s">
        <v>88</v>
      </c>
      <c r="AU1188" t="s">
        <v>111</v>
      </c>
      <c r="AV1188" s="14">
        <v>12300</v>
      </c>
    </row>
    <row r="1189" spans="26:48">
      <c r="Z1189" s="3"/>
      <c r="AC1189"/>
      <c r="AE1189" s="3"/>
      <c r="AH1189" t="s">
        <v>1840</v>
      </c>
      <c r="AI1189" t="s">
        <v>67</v>
      </c>
      <c r="AJ1189" t="s">
        <v>98</v>
      </c>
      <c r="AK1189" s="3" t="s">
        <v>27</v>
      </c>
      <c r="AL1189" s="3">
        <v>224.0550612353</v>
      </c>
      <c r="AS1189" t="s">
        <v>1892</v>
      </c>
      <c r="AT1189" t="s">
        <v>88</v>
      </c>
      <c r="AU1189" t="s">
        <v>268</v>
      </c>
      <c r="AV1189" s="14">
        <v>0</v>
      </c>
    </row>
    <row r="1190" spans="26:48">
      <c r="Z1190" s="3"/>
      <c r="AC1190"/>
      <c r="AE1190" s="3"/>
      <c r="AH1190" t="s">
        <v>1840</v>
      </c>
      <c r="AI1190" t="s">
        <v>67</v>
      </c>
      <c r="AJ1190" t="s">
        <v>66</v>
      </c>
      <c r="AK1190" s="3" t="s">
        <v>114</v>
      </c>
      <c r="AL1190" s="3">
        <v>780</v>
      </c>
      <c r="AS1190" t="s">
        <v>1892</v>
      </c>
      <c r="AT1190" t="s">
        <v>88</v>
      </c>
      <c r="AU1190" t="s">
        <v>269</v>
      </c>
      <c r="AV1190" s="14">
        <v>0</v>
      </c>
    </row>
    <row r="1191" spans="26:48">
      <c r="Z1191" s="3"/>
      <c r="AC1191"/>
      <c r="AE1191" s="3"/>
      <c r="AH1191" t="s">
        <v>1840</v>
      </c>
      <c r="AI1191" t="s">
        <v>67</v>
      </c>
      <c r="AJ1191" t="s">
        <v>98</v>
      </c>
      <c r="AK1191" s="3" t="s">
        <v>114</v>
      </c>
      <c r="AL1191" s="3">
        <v>-28.826597260300002</v>
      </c>
      <c r="AS1191" t="s">
        <v>1892</v>
      </c>
      <c r="AT1191" t="s">
        <v>88</v>
      </c>
      <c r="AU1191" t="s">
        <v>270</v>
      </c>
      <c r="AV1191" s="14">
        <v>0</v>
      </c>
    </row>
    <row r="1192" spans="26:48">
      <c r="Z1192" s="3"/>
      <c r="AC1192"/>
      <c r="AE1192" s="3"/>
      <c r="AH1192" t="s">
        <v>1840</v>
      </c>
      <c r="AI1192" t="s">
        <v>67</v>
      </c>
      <c r="AJ1192" t="s">
        <v>66</v>
      </c>
      <c r="AK1192" s="3" t="s">
        <v>115</v>
      </c>
      <c r="AL1192" s="3">
        <v>19943.2</v>
      </c>
      <c r="AS1192" t="s">
        <v>1892</v>
      </c>
      <c r="AT1192" t="s">
        <v>88</v>
      </c>
      <c r="AU1192" t="s">
        <v>271</v>
      </c>
      <c r="AV1192" s="14">
        <v>868</v>
      </c>
    </row>
    <row r="1193" spans="26:48">
      <c r="Z1193" s="3"/>
      <c r="AC1193"/>
      <c r="AE1193" s="3"/>
      <c r="AH1193" t="s">
        <v>1840</v>
      </c>
      <c r="AI1193" t="s">
        <v>67</v>
      </c>
      <c r="AJ1193" t="s">
        <v>98</v>
      </c>
      <c r="AK1193" s="3" t="s">
        <v>115</v>
      </c>
      <c r="AL1193" s="3">
        <v>-252.88165849559999</v>
      </c>
      <c r="AS1193" t="s">
        <v>1892</v>
      </c>
      <c r="AT1193" t="s">
        <v>88</v>
      </c>
      <c r="AU1193" t="s">
        <v>272</v>
      </c>
      <c r="AV1193" s="14">
        <v>0</v>
      </c>
    </row>
    <row r="1194" spans="26:48">
      <c r="Z1194" s="3"/>
      <c r="AC1194"/>
      <c r="AE1194" s="3"/>
      <c r="AH1194" t="s">
        <v>1840</v>
      </c>
      <c r="AI1194" t="s">
        <v>68</v>
      </c>
      <c r="AJ1194" t="s">
        <v>66</v>
      </c>
      <c r="AK1194" s="3" t="s">
        <v>27</v>
      </c>
      <c r="AL1194" s="3">
        <v>-5297.5</v>
      </c>
      <c r="AS1194" t="s">
        <v>1892</v>
      </c>
      <c r="AT1194" t="s">
        <v>88</v>
      </c>
      <c r="AU1194" t="s">
        <v>273</v>
      </c>
      <c r="AV1194" s="14">
        <v>0</v>
      </c>
    </row>
    <row r="1195" spans="26:48">
      <c r="Z1195" s="3"/>
      <c r="AC1195"/>
      <c r="AE1195" s="3"/>
      <c r="AH1195" t="s">
        <v>1840</v>
      </c>
      <c r="AI1195" t="s">
        <v>68</v>
      </c>
      <c r="AJ1195" t="s">
        <v>72</v>
      </c>
      <c r="AK1195" s="3" t="s">
        <v>27</v>
      </c>
      <c r="AL1195" s="3">
        <v>-4803.6067599999997</v>
      </c>
      <c r="AS1195" t="s">
        <v>1893</v>
      </c>
      <c r="AT1195" t="s">
        <v>88</v>
      </c>
      <c r="AU1195" t="s">
        <v>109</v>
      </c>
      <c r="AV1195" s="14">
        <v>16844.158100000001</v>
      </c>
    </row>
    <row r="1196" spans="26:48">
      <c r="Z1196" s="3"/>
      <c r="AC1196"/>
      <c r="AE1196" s="3"/>
      <c r="AH1196" t="s">
        <v>1840</v>
      </c>
      <c r="AI1196" t="s">
        <v>68</v>
      </c>
      <c r="AJ1196" t="s">
        <v>113</v>
      </c>
      <c r="AK1196" s="3" t="s">
        <v>27</v>
      </c>
      <c r="AL1196" s="3">
        <v>280.22828217199998</v>
      </c>
      <c r="AS1196" t="s">
        <v>1893</v>
      </c>
      <c r="AT1196" t="s">
        <v>88</v>
      </c>
      <c r="AU1196" t="s">
        <v>110</v>
      </c>
      <c r="AV1196" s="14">
        <v>397.61059999999998</v>
      </c>
    </row>
    <row r="1197" spans="26:48">
      <c r="Z1197" s="3"/>
      <c r="AC1197"/>
      <c r="AE1197" s="3"/>
      <c r="AH1197" t="s">
        <v>1840</v>
      </c>
      <c r="AI1197" t="s">
        <v>68</v>
      </c>
      <c r="AJ1197" t="s">
        <v>108</v>
      </c>
      <c r="AK1197" s="3" t="s">
        <v>27</v>
      </c>
      <c r="AL1197" s="3">
        <v>213.66495782800001</v>
      </c>
      <c r="AS1197" t="s">
        <v>1893</v>
      </c>
      <c r="AT1197" t="s">
        <v>88</v>
      </c>
      <c r="AU1197" t="s">
        <v>111</v>
      </c>
      <c r="AV1197" s="14">
        <v>12300</v>
      </c>
    </row>
    <row r="1198" spans="26:48">
      <c r="Z1198" s="3"/>
      <c r="AC1198"/>
      <c r="AE1198" s="3"/>
      <c r="AH1198" t="s">
        <v>1840</v>
      </c>
      <c r="AI1198" t="s">
        <v>68</v>
      </c>
      <c r="AJ1198" t="s">
        <v>98</v>
      </c>
      <c r="AK1198" s="3" t="s">
        <v>27</v>
      </c>
      <c r="AL1198" s="3">
        <v>106.41672344440001</v>
      </c>
      <c r="AS1198" t="s">
        <v>1893</v>
      </c>
      <c r="AT1198" t="s">
        <v>88</v>
      </c>
      <c r="AU1198" t="s">
        <v>268</v>
      </c>
      <c r="AV1198" s="14">
        <v>0</v>
      </c>
    </row>
    <row r="1199" spans="26:48">
      <c r="Z1199" s="3"/>
      <c r="AC1199"/>
      <c r="AE1199" s="3"/>
      <c r="AH1199" t="s">
        <v>1840</v>
      </c>
      <c r="AI1199" t="s">
        <v>68</v>
      </c>
      <c r="AJ1199" t="s">
        <v>66</v>
      </c>
      <c r="AK1199" s="3" t="s">
        <v>114</v>
      </c>
      <c r="AL1199" s="3">
        <v>1949</v>
      </c>
      <c r="AS1199" t="s">
        <v>1893</v>
      </c>
      <c r="AT1199" t="s">
        <v>88</v>
      </c>
      <c r="AU1199" t="s">
        <v>269</v>
      </c>
      <c r="AV1199" s="14">
        <v>0</v>
      </c>
    </row>
    <row r="1200" spans="26:48">
      <c r="Z1200" s="3"/>
      <c r="AC1200"/>
      <c r="AE1200" s="3"/>
      <c r="AH1200" t="s">
        <v>1840</v>
      </c>
      <c r="AI1200" t="s">
        <v>68</v>
      </c>
      <c r="AJ1200" t="s">
        <v>98</v>
      </c>
      <c r="AK1200" s="3" t="s">
        <v>114</v>
      </c>
      <c r="AL1200" s="3">
        <v>-112.2233743836</v>
      </c>
      <c r="AS1200" t="s">
        <v>1893</v>
      </c>
      <c r="AT1200" t="s">
        <v>88</v>
      </c>
      <c r="AU1200" t="s">
        <v>270</v>
      </c>
      <c r="AV1200" s="14">
        <v>0</v>
      </c>
    </row>
    <row r="1201" spans="26:48">
      <c r="Z1201" s="3"/>
      <c r="AC1201"/>
      <c r="AE1201" s="3"/>
      <c r="AH1201" t="s">
        <v>1840</v>
      </c>
      <c r="AI1201" t="s">
        <v>68</v>
      </c>
      <c r="AJ1201" t="s">
        <v>66</v>
      </c>
      <c r="AK1201" s="3" t="s">
        <v>115</v>
      </c>
      <c r="AL1201" s="3">
        <v>7246.5</v>
      </c>
      <c r="AS1201" t="s">
        <v>1893</v>
      </c>
      <c r="AT1201" t="s">
        <v>88</v>
      </c>
      <c r="AU1201" t="s">
        <v>271</v>
      </c>
      <c r="AV1201" s="14">
        <v>1170</v>
      </c>
    </row>
    <row r="1202" spans="26:48">
      <c r="Z1202" s="3"/>
      <c r="AC1202"/>
      <c r="AE1202" s="3"/>
      <c r="AH1202" t="s">
        <v>1840</v>
      </c>
      <c r="AI1202" t="s">
        <v>68</v>
      </c>
      <c r="AJ1202" t="s">
        <v>98</v>
      </c>
      <c r="AK1202" s="3" t="s">
        <v>115</v>
      </c>
      <c r="AL1202" s="3">
        <v>-218.64009782799999</v>
      </c>
      <c r="AS1202" t="s">
        <v>1893</v>
      </c>
      <c r="AT1202" t="s">
        <v>88</v>
      </c>
      <c r="AU1202" t="s">
        <v>272</v>
      </c>
      <c r="AV1202" s="14">
        <v>0</v>
      </c>
    </row>
    <row r="1203" spans="26:48">
      <c r="Z1203" s="3"/>
      <c r="AC1203"/>
      <c r="AE1203" s="3"/>
      <c r="AH1203" t="s">
        <v>1840</v>
      </c>
      <c r="AI1203" t="s">
        <v>800</v>
      </c>
      <c r="AJ1203" t="s">
        <v>31</v>
      </c>
      <c r="AK1203" s="3" t="s">
        <v>27</v>
      </c>
      <c r="AL1203" s="3">
        <v>3.9248191244999999</v>
      </c>
      <c r="AS1203" t="s">
        <v>1893</v>
      </c>
      <c r="AT1203" t="s">
        <v>88</v>
      </c>
      <c r="AU1203" t="s">
        <v>273</v>
      </c>
      <c r="AV1203" s="14">
        <v>0</v>
      </c>
    </row>
    <row r="1204" spans="26:48">
      <c r="Z1204" s="3"/>
      <c r="AC1204"/>
      <c r="AE1204" s="3"/>
      <c r="AH1204" t="s">
        <v>1841</v>
      </c>
      <c r="AI1204" t="s">
        <v>65</v>
      </c>
      <c r="AJ1204" t="s">
        <v>66</v>
      </c>
      <c r="AK1204" s="3" t="s">
        <v>27</v>
      </c>
      <c r="AL1204" s="3">
        <v>37048.699999999997</v>
      </c>
      <c r="AS1204" t="s">
        <v>1894</v>
      </c>
      <c r="AT1204" t="s">
        <v>88</v>
      </c>
      <c r="AU1204" t="s">
        <v>109</v>
      </c>
      <c r="AV1204" s="14">
        <v>16801.858100000001</v>
      </c>
    </row>
    <row r="1205" spans="26:48">
      <c r="Z1205" s="3"/>
      <c r="AC1205"/>
      <c r="AE1205" s="3"/>
      <c r="AH1205" t="s">
        <v>1841</v>
      </c>
      <c r="AI1205" t="s">
        <v>65</v>
      </c>
      <c r="AJ1205" t="s">
        <v>72</v>
      </c>
      <c r="AK1205" s="3" t="s">
        <v>27</v>
      </c>
      <c r="AL1205" s="3">
        <v>37271.126718</v>
      </c>
      <c r="AS1205" t="s">
        <v>1894</v>
      </c>
      <c r="AT1205" t="s">
        <v>88</v>
      </c>
      <c r="AU1205" t="s">
        <v>110</v>
      </c>
      <c r="AV1205" s="14">
        <v>397.61059999999998</v>
      </c>
    </row>
    <row r="1206" spans="26:48">
      <c r="Z1206" s="3"/>
      <c r="AC1206"/>
      <c r="AE1206" s="3"/>
      <c r="AH1206" t="s">
        <v>1841</v>
      </c>
      <c r="AI1206" t="s">
        <v>65</v>
      </c>
      <c r="AJ1206" t="s">
        <v>113</v>
      </c>
      <c r="AK1206" s="3" t="s">
        <v>27</v>
      </c>
      <c r="AL1206" s="3">
        <v>1512.185231549</v>
      </c>
      <c r="AS1206" t="s">
        <v>1894</v>
      </c>
      <c r="AT1206" t="s">
        <v>88</v>
      </c>
      <c r="AU1206" t="s">
        <v>111</v>
      </c>
      <c r="AV1206" s="14">
        <v>12300</v>
      </c>
    </row>
    <row r="1207" spans="26:48">
      <c r="Z1207" s="3"/>
      <c r="AC1207"/>
      <c r="AE1207" s="3"/>
      <c r="AH1207" t="s">
        <v>1841</v>
      </c>
      <c r="AI1207" t="s">
        <v>65</v>
      </c>
      <c r="AJ1207" t="s">
        <v>108</v>
      </c>
      <c r="AK1207" s="3" t="s">
        <v>27</v>
      </c>
      <c r="AL1207" s="3">
        <v>-1289.7585135490001</v>
      </c>
      <c r="AS1207" t="s">
        <v>1894</v>
      </c>
      <c r="AT1207" t="s">
        <v>88</v>
      </c>
      <c r="AU1207" t="s">
        <v>268</v>
      </c>
      <c r="AV1207" s="14">
        <v>0</v>
      </c>
    </row>
    <row r="1208" spans="26:48">
      <c r="Z1208" s="3"/>
      <c r="AC1208"/>
      <c r="AE1208" s="3"/>
      <c r="AH1208" t="s">
        <v>1841</v>
      </c>
      <c r="AI1208" t="s">
        <v>65</v>
      </c>
      <c r="AJ1208" t="s">
        <v>98</v>
      </c>
      <c r="AK1208" s="3" t="s">
        <v>27</v>
      </c>
      <c r="AL1208" s="3">
        <v>-1289.7585135490001</v>
      </c>
      <c r="AS1208" t="s">
        <v>1894</v>
      </c>
      <c r="AT1208" t="s">
        <v>88</v>
      </c>
      <c r="AU1208" t="s">
        <v>269</v>
      </c>
      <c r="AV1208" s="14">
        <v>0</v>
      </c>
    </row>
    <row r="1209" spans="26:48">
      <c r="Z1209" s="3"/>
      <c r="AC1209"/>
      <c r="AE1209" s="3"/>
      <c r="AH1209" t="s">
        <v>1841</v>
      </c>
      <c r="AI1209" t="s">
        <v>67</v>
      </c>
      <c r="AJ1209" t="s">
        <v>66</v>
      </c>
      <c r="AK1209" s="3" t="s">
        <v>27</v>
      </c>
      <c r="AL1209" s="3">
        <v>-21119.200000000001</v>
      </c>
      <c r="AS1209" t="s">
        <v>1894</v>
      </c>
      <c r="AT1209" t="s">
        <v>88</v>
      </c>
      <c r="AU1209" t="s">
        <v>270</v>
      </c>
      <c r="AV1209" s="14">
        <v>0</v>
      </c>
    </row>
    <row r="1210" spans="26:48">
      <c r="Z1210" s="3"/>
      <c r="AC1210"/>
      <c r="AE1210" s="3"/>
      <c r="AH1210" t="s">
        <v>1841</v>
      </c>
      <c r="AI1210" t="s">
        <v>67</v>
      </c>
      <c r="AJ1210" t="s">
        <v>72</v>
      </c>
      <c r="AK1210" s="3" t="s">
        <v>27</v>
      </c>
      <c r="AL1210" s="3">
        <v>-22656.733593000001</v>
      </c>
      <c r="AS1210" t="s">
        <v>1894</v>
      </c>
      <c r="AT1210" t="s">
        <v>88</v>
      </c>
      <c r="AU1210" t="s">
        <v>271</v>
      </c>
      <c r="AV1210" s="14">
        <v>1170</v>
      </c>
    </row>
    <row r="1211" spans="26:48">
      <c r="Z1211" s="3"/>
      <c r="AC1211"/>
      <c r="AE1211" s="3"/>
      <c r="AH1211" t="s">
        <v>1841</v>
      </c>
      <c r="AI1211" t="s">
        <v>67</v>
      </c>
      <c r="AJ1211" t="s">
        <v>113</v>
      </c>
      <c r="AK1211" s="3" t="s">
        <v>27</v>
      </c>
      <c r="AL1211" s="3">
        <v>-1848.8752713872</v>
      </c>
      <c r="AS1211" t="s">
        <v>1894</v>
      </c>
      <c r="AT1211" t="s">
        <v>88</v>
      </c>
      <c r="AU1211" t="s">
        <v>272</v>
      </c>
      <c r="AV1211" s="14">
        <v>0</v>
      </c>
    </row>
    <row r="1212" spans="26:48">
      <c r="Z1212" s="3"/>
      <c r="AC1212"/>
      <c r="AE1212" s="3"/>
      <c r="AH1212" t="s">
        <v>1841</v>
      </c>
      <c r="AI1212" t="s">
        <v>67</v>
      </c>
      <c r="AJ1212" t="s">
        <v>108</v>
      </c>
      <c r="AK1212" s="3" t="s">
        <v>27</v>
      </c>
      <c r="AL1212" s="3">
        <v>311.34167838719998</v>
      </c>
      <c r="AS1212" t="s">
        <v>1894</v>
      </c>
      <c r="AT1212" t="s">
        <v>88</v>
      </c>
      <c r="AU1212" t="s">
        <v>273</v>
      </c>
      <c r="AV1212" s="14">
        <v>0</v>
      </c>
    </row>
    <row r="1213" spans="26:48">
      <c r="Z1213" s="3"/>
      <c r="AC1213"/>
      <c r="AE1213" s="3"/>
      <c r="AH1213" t="s">
        <v>1841</v>
      </c>
      <c r="AI1213" t="s">
        <v>67</v>
      </c>
      <c r="AJ1213" t="s">
        <v>98</v>
      </c>
      <c r="AK1213" s="3" t="s">
        <v>27</v>
      </c>
      <c r="AL1213" s="3">
        <v>311.34167838719998</v>
      </c>
      <c r="AS1213" t="s">
        <v>1895</v>
      </c>
      <c r="AT1213" t="s">
        <v>88</v>
      </c>
      <c r="AU1213" t="s">
        <v>109</v>
      </c>
      <c r="AV1213" s="14">
        <v>16901.858100000001</v>
      </c>
    </row>
    <row r="1214" spans="26:48">
      <c r="Z1214" s="3"/>
      <c r="AC1214"/>
      <c r="AE1214" s="3"/>
      <c r="AH1214" t="s">
        <v>1841</v>
      </c>
      <c r="AI1214" t="s">
        <v>67</v>
      </c>
      <c r="AJ1214" t="s">
        <v>66</v>
      </c>
      <c r="AK1214" s="3" t="s">
        <v>114</v>
      </c>
      <c r="AL1214" s="3">
        <v>0</v>
      </c>
      <c r="AS1214" t="s">
        <v>1895</v>
      </c>
      <c r="AT1214" t="s">
        <v>88</v>
      </c>
      <c r="AU1214" t="s">
        <v>110</v>
      </c>
      <c r="AV1214" s="14">
        <v>397.61059999999998</v>
      </c>
    </row>
    <row r="1215" spans="26:48">
      <c r="Z1215" s="3"/>
      <c r="AC1215"/>
      <c r="AE1215" s="3"/>
      <c r="AH1215" t="s">
        <v>1841</v>
      </c>
      <c r="AI1215" t="s">
        <v>67</v>
      </c>
      <c r="AJ1215" t="s">
        <v>98</v>
      </c>
      <c r="AK1215" s="3" t="s">
        <v>114</v>
      </c>
      <c r="AL1215" s="3">
        <v>0</v>
      </c>
      <c r="AS1215" t="s">
        <v>1895</v>
      </c>
      <c r="AT1215" t="s">
        <v>88</v>
      </c>
      <c r="AU1215" t="s">
        <v>111</v>
      </c>
      <c r="AV1215" s="14">
        <v>12300</v>
      </c>
    </row>
    <row r="1216" spans="26:48">
      <c r="Z1216" s="3"/>
      <c r="AC1216"/>
      <c r="AE1216" s="3"/>
      <c r="AH1216" t="s">
        <v>1841</v>
      </c>
      <c r="AI1216" t="s">
        <v>67</v>
      </c>
      <c r="AJ1216" t="s">
        <v>66</v>
      </c>
      <c r="AK1216" s="3" t="s">
        <v>115</v>
      </c>
      <c r="AL1216" s="3">
        <v>21119.200000000001</v>
      </c>
      <c r="AS1216" t="s">
        <v>1895</v>
      </c>
      <c r="AT1216" t="s">
        <v>88</v>
      </c>
      <c r="AU1216" t="s">
        <v>268</v>
      </c>
      <c r="AV1216" s="14">
        <v>0</v>
      </c>
    </row>
    <row r="1217" spans="26:48">
      <c r="Z1217" s="3"/>
      <c r="AC1217"/>
      <c r="AE1217" s="3"/>
      <c r="AH1217" t="s">
        <v>1841</v>
      </c>
      <c r="AI1217" t="s">
        <v>67</v>
      </c>
      <c r="AJ1217" t="s">
        <v>98</v>
      </c>
      <c r="AK1217" s="3" t="s">
        <v>115</v>
      </c>
      <c r="AL1217" s="3">
        <v>-311.34167838719998</v>
      </c>
      <c r="AS1217" t="s">
        <v>1895</v>
      </c>
      <c r="AT1217" t="s">
        <v>88</v>
      </c>
      <c r="AU1217" t="s">
        <v>269</v>
      </c>
      <c r="AV1217" s="14">
        <v>0</v>
      </c>
    </row>
    <row r="1218" spans="26:48">
      <c r="Z1218" s="3"/>
      <c r="AC1218"/>
      <c r="AE1218" s="3"/>
      <c r="AH1218" t="s">
        <v>1841</v>
      </c>
      <c r="AI1218" t="s">
        <v>68</v>
      </c>
      <c r="AJ1218" t="s">
        <v>66</v>
      </c>
      <c r="AK1218" s="3" t="s">
        <v>27</v>
      </c>
      <c r="AL1218" s="3">
        <v>-4517.5</v>
      </c>
      <c r="AS1218" t="s">
        <v>1895</v>
      </c>
      <c r="AT1218" t="s">
        <v>88</v>
      </c>
      <c r="AU1218" t="s">
        <v>270</v>
      </c>
      <c r="AV1218" s="14">
        <v>0</v>
      </c>
    </row>
    <row r="1219" spans="26:48">
      <c r="Z1219" s="3"/>
      <c r="AC1219"/>
      <c r="AE1219" s="3"/>
      <c r="AH1219" t="s">
        <v>1841</v>
      </c>
      <c r="AI1219" t="s">
        <v>68</v>
      </c>
      <c r="AJ1219" t="s">
        <v>72</v>
      </c>
      <c r="AK1219" s="3" t="s">
        <v>27</v>
      </c>
      <c r="AL1219" s="3">
        <v>-4094.1899050000002</v>
      </c>
      <c r="AS1219" t="s">
        <v>1895</v>
      </c>
      <c r="AT1219" t="s">
        <v>88</v>
      </c>
      <c r="AU1219" t="s">
        <v>271</v>
      </c>
      <c r="AV1219" s="14">
        <v>170</v>
      </c>
    </row>
    <row r="1220" spans="26:48">
      <c r="Z1220" s="3"/>
      <c r="AC1220"/>
      <c r="AE1220" s="3"/>
      <c r="AH1220" t="s">
        <v>1841</v>
      </c>
      <c r="AI1220" t="s">
        <v>68</v>
      </c>
      <c r="AJ1220" t="s">
        <v>113</v>
      </c>
      <c r="AK1220" s="3" t="s">
        <v>27</v>
      </c>
      <c r="AL1220" s="3">
        <v>280.1503835167</v>
      </c>
      <c r="AS1220" t="s">
        <v>1895</v>
      </c>
      <c r="AT1220" t="s">
        <v>88</v>
      </c>
      <c r="AU1220" t="s">
        <v>272</v>
      </c>
      <c r="AV1220" s="14">
        <v>0</v>
      </c>
    </row>
    <row r="1221" spans="26:48">
      <c r="Z1221" s="3"/>
      <c r="AC1221"/>
      <c r="AE1221" s="3"/>
      <c r="AH1221" t="s">
        <v>1841</v>
      </c>
      <c r="AI1221" t="s">
        <v>68</v>
      </c>
      <c r="AJ1221" t="s">
        <v>108</v>
      </c>
      <c r="AK1221" s="3" t="s">
        <v>27</v>
      </c>
      <c r="AL1221" s="3">
        <v>143.15971148329999</v>
      </c>
      <c r="AS1221" t="s">
        <v>1895</v>
      </c>
      <c r="AT1221" t="s">
        <v>88</v>
      </c>
      <c r="AU1221" t="s">
        <v>273</v>
      </c>
      <c r="AV1221" s="14">
        <v>0</v>
      </c>
    </row>
    <row r="1222" spans="26:48">
      <c r="Z1222" s="3"/>
      <c r="AC1222"/>
      <c r="AE1222" s="3"/>
      <c r="AH1222" t="s">
        <v>1841</v>
      </c>
      <c r="AI1222" t="s">
        <v>68</v>
      </c>
      <c r="AJ1222" t="s">
        <v>98</v>
      </c>
      <c r="AK1222" s="3" t="s">
        <v>27</v>
      </c>
      <c r="AL1222" s="3">
        <v>77.417879839500003</v>
      </c>
      <c r="AS1222" t="s">
        <v>1896</v>
      </c>
      <c r="AT1222" t="s">
        <v>88</v>
      </c>
      <c r="AU1222" t="s">
        <v>109</v>
      </c>
      <c r="AV1222" s="14">
        <v>16801.858100000001</v>
      </c>
    </row>
    <row r="1223" spans="26:48">
      <c r="Z1223" s="3"/>
      <c r="AC1223"/>
      <c r="AE1223" s="3"/>
      <c r="AH1223" t="s">
        <v>1841</v>
      </c>
      <c r="AI1223" t="s">
        <v>68</v>
      </c>
      <c r="AJ1223" t="s">
        <v>66</v>
      </c>
      <c r="AK1223" s="3" t="s">
        <v>114</v>
      </c>
      <c r="AL1223" s="3">
        <v>2729</v>
      </c>
      <c r="AS1223" t="s">
        <v>1896</v>
      </c>
      <c r="AT1223" t="s">
        <v>88</v>
      </c>
      <c r="AU1223" t="s">
        <v>110</v>
      </c>
      <c r="AV1223" s="14">
        <v>397.61059999999998</v>
      </c>
    </row>
    <row r="1224" spans="26:48">
      <c r="Z1224" s="3"/>
      <c r="AC1224"/>
      <c r="AE1224" s="3"/>
      <c r="AH1224" t="s">
        <v>1841</v>
      </c>
      <c r="AI1224" t="s">
        <v>68</v>
      </c>
      <c r="AJ1224" t="s">
        <v>98</v>
      </c>
      <c r="AK1224" s="3" t="s">
        <v>114</v>
      </c>
      <c r="AL1224" s="3">
        <v>-140.52915164379999</v>
      </c>
      <c r="AS1224" t="s">
        <v>1896</v>
      </c>
      <c r="AT1224" t="s">
        <v>88</v>
      </c>
      <c r="AU1224" t="s">
        <v>111</v>
      </c>
      <c r="AV1224" s="14">
        <v>12300</v>
      </c>
    </row>
    <row r="1225" spans="26:48">
      <c r="Z1225" s="3"/>
      <c r="AC1225"/>
      <c r="AE1225" s="3"/>
      <c r="AH1225" t="s">
        <v>1841</v>
      </c>
      <c r="AI1225" t="s">
        <v>68</v>
      </c>
      <c r="AJ1225" t="s">
        <v>66</v>
      </c>
      <c r="AK1225" s="3" t="s">
        <v>115</v>
      </c>
      <c r="AL1225" s="3">
        <v>7246.5</v>
      </c>
      <c r="AS1225" t="s">
        <v>1896</v>
      </c>
      <c r="AT1225" t="s">
        <v>88</v>
      </c>
      <c r="AU1225" t="s">
        <v>268</v>
      </c>
      <c r="AV1225" s="14">
        <v>0</v>
      </c>
    </row>
    <row r="1226" spans="26:48">
      <c r="Z1226" s="3"/>
      <c r="AC1226"/>
      <c r="AE1226" s="3"/>
      <c r="AH1226" t="s">
        <v>1841</v>
      </c>
      <c r="AI1226" t="s">
        <v>68</v>
      </c>
      <c r="AJ1226" t="s">
        <v>98</v>
      </c>
      <c r="AK1226" s="3" t="s">
        <v>115</v>
      </c>
      <c r="AL1226" s="3">
        <v>-217.94703148330001</v>
      </c>
      <c r="AS1226" t="s">
        <v>1896</v>
      </c>
      <c r="AT1226" t="s">
        <v>88</v>
      </c>
      <c r="AU1226" t="s">
        <v>269</v>
      </c>
      <c r="AV1226" s="14">
        <v>0</v>
      </c>
    </row>
    <row r="1227" spans="26:48">
      <c r="Z1227" s="3"/>
      <c r="AC1227"/>
      <c r="AE1227" s="3"/>
      <c r="AH1227" t="s">
        <v>1841</v>
      </c>
      <c r="AI1227" t="s">
        <v>800</v>
      </c>
      <c r="AJ1227" t="s">
        <v>31</v>
      </c>
      <c r="AK1227" s="3" t="s">
        <v>27</v>
      </c>
      <c r="AL1227" s="3">
        <v>3.9054075190000002</v>
      </c>
      <c r="AS1227" t="s">
        <v>1896</v>
      </c>
      <c r="AT1227" t="s">
        <v>88</v>
      </c>
      <c r="AU1227" t="s">
        <v>270</v>
      </c>
      <c r="AV1227" s="14">
        <v>0</v>
      </c>
    </row>
    <row r="1228" spans="26:48">
      <c r="Z1228" s="3"/>
      <c r="AC1228"/>
      <c r="AE1228" s="3"/>
      <c r="AH1228" t="s">
        <v>1842</v>
      </c>
      <c r="AI1228" t="s">
        <v>65</v>
      </c>
      <c r="AJ1228" t="s">
        <v>66</v>
      </c>
      <c r="AK1228" s="3" t="s">
        <v>27</v>
      </c>
      <c r="AL1228" s="3">
        <v>37048.699999999997</v>
      </c>
      <c r="AS1228" t="s">
        <v>1896</v>
      </c>
      <c r="AT1228" t="s">
        <v>88</v>
      </c>
      <c r="AU1228" t="s">
        <v>271</v>
      </c>
      <c r="AV1228" s="14">
        <v>3270</v>
      </c>
    </row>
    <row r="1229" spans="26:48">
      <c r="Z1229" s="3"/>
      <c r="AC1229"/>
      <c r="AE1229" s="3"/>
      <c r="AH1229" t="s">
        <v>1842</v>
      </c>
      <c r="AI1229" t="s">
        <v>65</v>
      </c>
      <c r="AJ1229" t="s">
        <v>72</v>
      </c>
      <c r="AK1229" s="3" t="s">
        <v>27</v>
      </c>
      <c r="AL1229" s="3">
        <v>37277.133135999997</v>
      </c>
      <c r="AS1229" t="s">
        <v>1896</v>
      </c>
      <c r="AT1229" t="s">
        <v>88</v>
      </c>
      <c r="AU1229" t="s">
        <v>272</v>
      </c>
      <c r="AV1229" s="14">
        <v>0</v>
      </c>
    </row>
    <row r="1230" spans="26:48">
      <c r="Z1230" s="3"/>
      <c r="AC1230"/>
      <c r="AE1230" s="3"/>
      <c r="AH1230" t="s">
        <v>1842</v>
      </c>
      <c r="AI1230" t="s">
        <v>65</v>
      </c>
      <c r="AJ1230" t="s">
        <v>113</v>
      </c>
      <c r="AK1230" s="3" t="s">
        <v>27</v>
      </c>
      <c r="AL1230" s="3">
        <v>1512.8476745390001</v>
      </c>
      <c r="AS1230" t="s">
        <v>1896</v>
      </c>
      <c r="AT1230" t="s">
        <v>88</v>
      </c>
      <c r="AU1230" t="s">
        <v>273</v>
      </c>
      <c r="AV1230" s="14">
        <v>0</v>
      </c>
    </row>
    <row r="1231" spans="26:48">
      <c r="Z1231" s="3"/>
      <c r="AC1231"/>
      <c r="AE1231" s="3"/>
      <c r="AH1231" t="s">
        <v>1842</v>
      </c>
      <c r="AI1231" t="s">
        <v>65</v>
      </c>
      <c r="AJ1231" t="s">
        <v>108</v>
      </c>
      <c r="AK1231" s="3" t="s">
        <v>27</v>
      </c>
      <c r="AL1231" s="3">
        <v>-1284.414538539</v>
      </c>
      <c r="AS1231" t="s">
        <v>1897</v>
      </c>
      <c r="AT1231" t="s">
        <v>88</v>
      </c>
      <c r="AU1231" t="s">
        <v>109</v>
      </c>
      <c r="AV1231" s="14">
        <v>15741.858099999999</v>
      </c>
    </row>
    <row r="1232" spans="26:48">
      <c r="Z1232" s="3"/>
      <c r="AC1232"/>
      <c r="AE1232" s="3"/>
      <c r="AH1232" t="s">
        <v>1842</v>
      </c>
      <c r="AI1232" t="s">
        <v>65</v>
      </c>
      <c r="AJ1232" t="s">
        <v>98</v>
      </c>
      <c r="AK1232" s="3" t="s">
        <v>27</v>
      </c>
      <c r="AL1232" s="3">
        <v>-1284.414538539</v>
      </c>
      <c r="AS1232" t="s">
        <v>1897</v>
      </c>
      <c r="AT1232" t="s">
        <v>88</v>
      </c>
      <c r="AU1232" t="s">
        <v>110</v>
      </c>
      <c r="AV1232" s="14">
        <v>397.61059999999998</v>
      </c>
    </row>
    <row r="1233" spans="26:48">
      <c r="Z1233" s="3"/>
      <c r="AC1233"/>
      <c r="AE1233" s="3"/>
      <c r="AH1233" t="s">
        <v>1842</v>
      </c>
      <c r="AI1233" t="s">
        <v>67</v>
      </c>
      <c r="AJ1233" t="s">
        <v>66</v>
      </c>
      <c r="AK1233" s="3" t="s">
        <v>27</v>
      </c>
      <c r="AL1233" s="3">
        <v>-19943.2</v>
      </c>
      <c r="AS1233" t="s">
        <v>1897</v>
      </c>
      <c r="AT1233" t="s">
        <v>88</v>
      </c>
      <c r="AU1233" t="s">
        <v>111</v>
      </c>
      <c r="AV1233" s="14">
        <v>10300</v>
      </c>
    </row>
    <row r="1234" spans="26:48">
      <c r="Z1234" s="3"/>
      <c r="AC1234"/>
      <c r="AE1234" s="3"/>
      <c r="AH1234" t="s">
        <v>1842</v>
      </c>
      <c r="AI1234" t="s">
        <v>67</v>
      </c>
      <c r="AJ1234" t="s">
        <v>72</v>
      </c>
      <c r="AK1234" s="3" t="s">
        <v>27</v>
      </c>
      <c r="AL1234" s="3">
        <v>-21445.873275999998</v>
      </c>
      <c r="AS1234" t="s">
        <v>1897</v>
      </c>
      <c r="AT1234" t="s">
        <v>88</v>
      </c>
      <c r="AU1234" t="s">
        <v>268</v>
      </c>
      <c r="AV1234" s="14">
        <v>0</v>
      </c>
    </row>
    <row r="1235" spans="26:48">
      <c r="Z1235" s="3"/>
      <c r="AC1235"/>
      <c r="AE1235" s="3"/>
      <c r="AH1235" t="s">
        <v>1842</v>
      </c>
      <c r="AI1235" t="s">
        <v>67</v>
      </c>
      <c r="AJ1235" t="s">
        <v>113</v>
      </c>
      <c r="AK1235" s="3" t="s">
        <v>27</v>
      </c>
      <c r="AL1235" s="3">
        <v>-1749.6193177824</v>
      </c>
      <c r="AS1235" t="s">
        <v>1897</v>
      </c>
      <c r="AT1235" t="s">
        <v>88</v>
      </c>
      <c r="AU1235" t="s">
        <v>269</v>
      </c>
      <c r="AV1235" s="14">
        <v>0</v>
      </c>
    </row>
    <row r="1236" spans="26:48">
      <c r="Z1236" s="3"/>
      <c r="AC1236"/>
      <c r="AE1236" s="3"/>
      <c r="AH1236" t="s">
        <v>1842</v>
      </c>
      <c r="AI1236" t="s">
        <v>67</v>
      </c>
      <c r="AJ1236" t="s">
        <v>108</v>
      </c>
      <c r="AK1236" s="3" t="s">
        <v>27</v>
      </c>
      <c r="AL1236" s="3">
        <v>246.94604178239999</v>
      </c>
      <c r="AS1236" t="s">
        <v>1897</v>
      </c>
      <c r="AT1236" t="s">
        <v>88</v>
      </c>
      <c r="AU1236" t="s">
        <v>270</v>
      </c>
      <c r="AV1236" s="14">
        <v>0</v>
      </c>
    </row>
    <row r="1237" spans="26:48">
      <c r="Z1237" s="3"/>
      <c r="AC1237"/>
      <c r="AE1237" s="3"/>
      <c r="AH1237" t="s">
        <v>1842</v>
      </c>
      <c r="AI1237" t="s">
        <v>67</v>
      </c>
      <c r="AJ1237" t="s">
        <v>98</v>
      </c>
      <c r="AK1237" s="3" t="s">
        <v>27</v>
      </c>
      <c r="AL1237" s="3">
        <v>246.94604178239999</v>
      </c>
      <c r="AS1237" t="s">
        <v>1897</v>
      </c>
      <c r="AT1237" t="s">
        <v>88</v>
      </c>
      <c r="AU1237" t="s">
        <v>271</v>
      </c>
      <c r="AV1237" s="14">
        <v>4180</v>
      </c>
    </row>
    <row r="1238" spans="26:48">
      <c r="Z1238" s="3"/>
      <c r="AC1238"/>
      <c r="AE1238" s="3"/>
      <c r="AH1238" t="s">
        <v>1842</v>
      </c>
      <c r="AI1238" t="s">
        <v>67</v>
      </c>
      <c r="AJ1238" t="s">
        <v>66</v>
      </c>
      <c r="AK1238" s="3" t="s">
        <v>114</v>
      </c>
      <c r="AL1238" s="3">
        <v>0</v>
      </c>
      <c r="AS1238" t="s">
        <v>1897</v>
      </c>
      <c r="AT1238" t="s">
        <v>88</v>
      </c>
      <c r="AU1238" t="s">
        <v>272</v>
      </c>
      <c r="AV1238" s="14">
        <v>0</v>
      </c>
    </row>
    <row r="1239" spans="26:48">
      <c r="Z1239" s="3"/>
      <c r="AC1239"/>
      <c r="AE1239" s="3"/>
      <c r="AH1239" t="s">
        <v>1842</v>
      </c>
      <c r="AI1239" t="s">
        <v>67</v>
      </c>
      <c r="AJ1239" t="s">
        <v>98</v>
      </c>
      <c r="AK1239" s="3" t="s">
        <v>114</v>
      </c>
      <c r="AL1239" s="3">
        <v>0</v>
      </c>
      <c r="AS1239" t="s">
        <v>1897</v>
      </c>
      <c r="AT1239" t="s">
        <v>88</v>
      </c>
      <c r="AU1239" t="s">
        <v>273</v>
      </c>
      <c r="AV1239" s="14">
        <v>2000</v>
      </c>
    </row>
    <row r="1240" spans="26:48">
      <c r="Z1240" s="3"/>
      <c r="AC1240"/>
      <c r="AE1240" s="3"/>
      <c r="AH1240" t="s">
        <v>1842</v>
      </c>
      <c r="AI1240" t="s">
        <v>67</v>
      </c>
      <c r="AJ1240" t="s">
        <v>66</v>
      </c>
      <c r="AK1240" s="3" t="s">
        <v>115</v>
      </c>
      <c r="AL1240" s="3">
        <v>19943.2</v>
      </c>
      <c r="AS1240" t="s">
        <v>1898</v>
      </c>
      <c r="AT1240" t="s">
        <v>88</v>
      </c>
      <c r="AU1240" t="s">
        <v>109</v>
      </c>
      <c r="AV1240" s="14">
        <v>17841.858100000001</v>
      </c>
    </row>
    <row r="1241" spans="26:48">
      <c r="Z1241" s="3"/>
      <c r="AC1241"/>
      <c r="AE1241" s="3"/>
      <c r="AH1241" t="s">
        <v>1842</v>
      </c>
      <c r="AI1241" t="s">
        <v>67</v>
      </c>
      <c r="AJ1241" t="s">
        <v>98</v>
      </c>
      <c r="AK1241" s="3" t="s">
        <v>115</v>
      </c>
      <c r="AL1241" s="3">
        <v>-246.94604178239999</v>
      </c>
      <c r="AS1241" t="s">
        <v>1898</v>
      </c>
      <c r="AT1241" t="s">
        <v>88</v>
      </c>
      <c r="AU1241" t="s">
        <v>110</v>
      </c>
      <c r="AV1241" s="14">
        <v>397.61059999999998</v>
      </c>
    </row>
    <row r="1242" spans="26:48">
      <c r="Z1242" s="3"/>
      <c r="AC1242"/>
      <c r="AE1242" s="3"/>
      <c r="AH1242" t="s">
        <v>1842</v>
      </c>
      <c r="AI1242" t="s">
        <v>68</v>
      </c>
      <c r="AJ1242" t="s">
        <v>66</v>
      </c>
      <c r="AK1242" s="3" t="s">
        <v>27</v>
      </c>
      <c r="AL1242" s="3">
        <v>-5693.5</v>
      </c>
      <c r="AS1242" t="s">
        <v>1898</v>
      </c>
      <c r="AT1242" t="s">
        <v>88</v>
      </c>
      <c r="AU1242" t="s">
        <v>111</v>
      </c>
      <c r="AV1242" s="14">
        <v>11000</v>
      </c>
    </row>
    <row r="1243" spans="26:48">
      <c r="Z1243" s="3"/>
      <c r="AC1243"/>
      <c r="AE1243" s="3"/>
      <c r="AH1243" t="s">
        <v>1842</v>
      </c>
      <c r="AI1243" t="s">
        <v>68</v>
      </c>
      <c r="AJ1243" t="s">
        <v>72</v>
      </c>
      <c r="AK1243" s="3" t="s">
        <v>27</v>
      </c>
      <c r="AL1243" s="3">
        <v>-5311.5005199999996</v>
      </c>
      <c r="AS1243" t="s">
        <v>1898</v>
      </c>
      <c r="AT1243" t="s">
        <v>88</v>
      </c>
      <c r="AU1243" t="s">
        <v>268</v>
      </c>
      <c r="AV1243" s="14">
        <v>0</v>
      </c>
    </row>
    <row r="1244" spans="26:48">
      <c r="Z1244" s="3"/>
      <c r="AC1244"/>
      <c r="AE1244" s="3"/>
      <c r="AH1244" t="s">
        <v>1842</v>
      </c>
      <c r="AI1244" t="s">
        <v>68</v>
      </c>
      <c r="AJ1244" t="s">
        <v>113</v>
      </c>
      <c r="AK1244" s="3" t="s">
        <v>27</v>
      </c>
      <c r="AL1244" s="3">
        <v>180.24806259269999</v>
      </c>
      <c r="AS1244" t="s">
        <v>1898</v>
      </c>
      <c r="AT1244" t="s">
        <v>88</v>
      </c>
      <c r="AU1244" t="s">
        <v>269</v>
      </c>
      <c r="AV1244" s="14">
        <v>0</v>
      </c>
    </row>
    <row r="1245" spans="26:48">
      <c r="Z1245" s="3"/>
      <c r="AC1245"/>
      <c r="AE1245" s="3"/>
      <c r="AH1245" t="s">
        <v>1842</v>
      </c>
      <c r="AI1245" t="s">
        <v>68</v>
      </c>
      <c r="AJ1245" t="s">
        <v>108</v>
      </c>
      <c r="AK1245" s="3" t="s">
        <v>27</v>
      </c>
      <c r="AL1245" s="3">
        <v>201.75141740730001</v>
      </c>
      <c r="AS1245" t="s">
        <v>1898</v>
      </c>
      <c r="AT1245" t="s">
        <v>88</v>
      </c>
      <c r="AU1245" t="s">
        <v>270</v>
      </c>
      <c r="AV1245" s="14">
        <v>0</v>
      </c>
    </row>
    <row r="1246" spans="26:48">
      <c r="Z1246" s="3"/>
      <c r="AC1246"/>
      <c r="AE1246" s="3"/>
      <c r="AH1246" t="s">
        <v>1842</v>
      </c>
      <c r="AI1246" t="s">
        <v>68</v>
      </c>
      <c r="AJ1246" t="s">
        <v>98</v>
      </c>
      <c r="AK1246" s="3" t="s">
        <v>27</v>
      </c>
      <c r="AL1246" s="3">
        <v>136.01537781830001</v>
      </c>
      <c r="AS1246" t="s">
        <v>1898</v>
      </c>
      <c r="AT1246" t="s">
        <v>88</v>
      </c>
      <c r="AU1246" t="s">
        <v>271</v>
      </c>
      <c r="AV1246" s="14">
        <v>2120</v>
      </c>
    </row>
    <row r="1247" spans="26:48">
      <c r="Z1247" s="3"/>
      <c r="AC1247"/>
      <c r="AE1247" s="3"/>
      <c r="AH1247" t="s">
        <v>1842</v>
      </c>
      <c r="AI1247" t="s">
        <v>68</v>
      </c>
      <c r="AJ1247" t="s">
        <v>66</v>
      </c>
      <c r="AK1247" s="3" t="s">
        <v>114</v>
      </c>
      <c r="AL1247" s="3">
        <v>2729</v>
      </c>
      <c r="AS1247" t="s">
        <v>1898</v>
      </c>
      <c r="AT1247" t="s">
        <v>88</v>
      </c>
      <c r="AU1247" t="s">
        <v>272</v>
      </c>
      <c r="AV1247" s="14">
        <v>0</v>
      </c>
    </row>
    <row r="1248" spans="26:48">
      <c r="Z1248" s="3"/>
      <c r="AC1248"/>
      <c r="AE1248" s="3"/>
      <c r="AH1248" t="s">
        <v>1842</v>
      </c>
      <c r="AI1248" t="s">
        <v>68</v>
      </c>
      <c r="AJ1248" t="s">
        <v>98</v>
      </c>
      <c r="AK1248" s="3" t="s">
        <v>114</v>
      </c>
      <c r="AL1248" s="3">
        <v>-140.370719589</v>
      </c>
      <c r="AS1248" t="s">
        <v>1898</v>
      </c>
      <c r="AT1248" t="s">
        <v>88</v>
      </c>
      <c r="AU1248" t="s">
        <v>273</v>
      </c>
      <c r="AV1248" s="14">
        <v>0</v>
      </c>
    </row>
    <row r="1249" spans="26:48">
      <c r="Z1249" s="3"/>
      <c r="AC1249"/>
      <c r="AE1249" s="3"/>
      <c r="AH1249" t="s">
        <v>1842</v>
      </c>
      <c r="AI1249" t="s">
        <v>68</v>
      </c>
      <c r="AJ1249" t="s">
        <v>66</v>
      </c>
      <c r="AK1249" s="3" t="s">
        <v>115</v>
      </c>
      <c r="AL1249" s="3">
        <v>8422.5</v>
      </c>
      <c r="AS1249" t="s">
        <v>1899</v>
      </c>
      <c r="AT1249" t="s">
        <v>88</v>
      </c>
      <c r="AU1249" t="s">
        <v>109</v>
      </c>
      <c r="AV1249" s="14">
        <v>20328.858100000001</v>
      </c>
    </row>
    <row r="1250" spans="26:48">
      <c r="Z1250" s="3"/>
      <c r="AC1250"/>
      <c r="AE1250" s="3"/>
      <c r="AH1250" t="s">
        <v>1842</v>
      </c>
      <c r="AI1250" t="s">
        <v>68</v>
      </c>
      <c r="AJ1250" t="s">
        <v>98</v>
      </c>
      <c r="AK1250" s="3" t="s">
        <v>115</v>
      </c>
      <c r="AL1250" s="3">
        <v>-276.38609740729999</v>
      </c>
      <c r="AS1250" t="s">
        <v>1899</v>
      </c>
      <c r="AT1250" t="s">
        <v>88</v>
      </c>
      <c r="AU1250" t="s">
        <v>110</v>
      </c>
      <c r="AV1250" s="14">
        <v>397.61059999999998</v>
      </c>
    </row>
    <row r="1251" spans="26:48">
      <c r="Z1251" s="3"/>
      <c r="AC1251"/>
      <c r="AE1251" s="3"/>
      <c r="AH1251" t="s">
        <v>1842</v>
      </c>
      <c r="AI1251" t="s">
        <v>800</v>
      </c>
      <c r="AJ1251" t="s">
        <v>31</v>
      </c>
      <c r="AK1251" s="3" t="s">
        <v>27</v>
      </c>
      <c r="AL1251" s="3">
        <v>4.0422541689000004</v>
      </c>
      <c r="AS1251" t="s">
        <v>1899</v>
      </c>
      <c r="AT1251" t="s">
        <v>88</v>
      </c>
      <c r="AU1251" t="s">
        <v>111</v>
      </c>
      <c r="AV1251" s="14">
        <v>11000</v>
      </c>
    </row>
    <row r="1252" spans="26:48">
      <c r="Z1252" s="3"/>
      <c r="AC1252"/>
      <c r="AE1252" s="3"/>
      <c r="AH1252" t="s">
        <v>1843</v>
      </c>
      <c r="AI1252" t="s">
        <v>65</v>
      </c>
      <c r="AJ1252" t="s">
        <v>66</v>
      </c>
      <c r="AK1252" s="3" t="s">
        <v>27</v>
      </c>
      <c r="AL1252" s="3">
        <v>37048.699999999997</v>
      </c>
      <c r="AS1252" t="s">
        <v>1899</v>
      </c>
      <c r="AT1252" t="s">
        <v>88</v>
      </c>
      <c r="AU1252" t="s">
        <v>268</v>
      </c>
      <c r="AV1252" s="14">
        <v>0</v>
      </c>
    </row>
    <row r="1253" spans="26:48">
      <c r="Z1253" s="3"/>
      <c r="AC1253"/>
      <c r="AE1253" s="3"/>
      <c r="AH1253" t="s">
        <v>1843</v>
      </c>
      <c r="AI1253" t="s">
        <v>65</v>
      </c>
      <c r="AJ1253" t="s">
        <v>72</v>
      </c>
      <c r="AK1253" s="3" t="s">
        <v>27</v>
      </c>
      <c r="AL1253" s="3">
        <v>37277.169944000001</v>
      </c>
      <c r="AS1253" t="s">
        <v>1899</v>
      </c>
      <c r="AT1253" t="s">
        <v>88</v>
      </c>
      <c r="AU1253" t="s">
        <v>269</v>
      </c>
      <c r="AV1253" s="14">
        <v>0</v>
      </c>
    </row>
    <row r="1254" spans="26:48">
      <c r="Z1254" s="3"/>
      <c r="AC1254"/>
      <c r="AE1254" s="3"/>
      <c r="AH1254" t="s">
        <v>1843</v>
      </c>
      <c r="AI1254" t="s">
        <v>65</v>
      </c>
      <c r="AJ1254" t="s">
        <v>113</v>
      </c>
      <c r="AK1254" s="3" t="s">
        <v>27</v>
      </c>
      <c r="AL1254" s="3">
        <v>1513.5101175289999</v>
      </c>
      <c r="AS1254" t="s">
        <v>1899</v>
      </c>
      <c r="AT1254" t="s">
        <v>88</v>
      </c>
      <c r="AU1254" t="s">
        <v>270</v>
      </c>
      <c r="AV1254" s="14">
        <v>0</v>
      </c>
    </row>
    <row r="1255" spans="26:48">
      <c r="Z1255" s="3"/>
      <c r="AC1255"/>
      <c r="AE1255" s="3"/>
      <c r="AH1255" t="s">
        <v>1843</v>
      </c>
      <c r="AI1255" t="s">
        <v>65</v>
      </c>
      <c r="AJ1255" t="s">
        <v>108</v>
      </c>
      <c r="AK1255" s="3" t="s">
        <v>27</v>
      </c>
      <c r="AL1255" s="3">
        <v>-1285.040173529</v>
      </c>
      <c r="AS1255" t="s">
        <v>1899</v>
      </c>
      <c r="AT1255" t="s">
        <v>88</v>
      </c>
      <c r="AU1255" t="s">
        <v>271</v>
      </c>
      <c r="AV1255" s="14">
        <v>2033</v>
      </c>
    </row>
    <row r="1256" spans="26:48">
      <c r="Z1256" s="3"/>
      <c r="AC1256"/>
      <c r="AE1256" s="3"/>
      <c r="AH1256" t="s">
        <v>1843</v>
      </c>
      <c r="AI1256" t="s">
        <v>65</v>
      </c>
      <c r="AJ1256" t="s">
        <v>98</v>
      </c>
      <c r="AK1256" s="3" t="s">
        <v>27</v>
      </c>
      <c r="AL1256" s="3">
        <v>-1285.040173529</v>
      </c>
      <c r="AS1256" t="s">
        <v>1899</v>
      </c>
      <c r="AT1256" t="s">
        <v>88</v>
      </c>
      <c r="AU1256" t="s">
        <v>272</v>
      </c>
      <c r="AV1256" s="14">
        <v>0</v>
      </c>
    </row>
    <row r="1257" spans="26:48">
      <c r="Z1257" s="3"/>
      <c r="AC1257"/>
      <c r="AE1257" s="3"/>
      <c r="AH1257" t="s">
        <v>1843</v>
      </c>
      <c r="AI1257" t="s">
        <v>67</v>
      </c>
      <c r="AJ1257" t="s">
        <v>66</v>
      </c>
      <c r="AK1257" s="3" t="s">
        <v>27</v>
      </c>
      <c r="AL1257" s="3">
        <v>-19943.2</v>
      </c>
      <c r="AS1257" t="s">
        <v>1899</v>
      </c>
      <c r="AT1257" t="s">
        <v>88</v>
      </c>
      <c r="AU1257" t="s">
        <v>273</v>
      </c>
      <c r="AV1257" s="14">
        <v>0</v>
      </c>
    </row>
    <row r="1258" spans="26:48">
      <c r="Z1258" s="3"/>
      <c r="AC1258"/>
      <c r="AE1258" s="3"/>
      <c r="AH1258" t="s">
        <v>1843</v>
      </c>
      <c r="AI1258" t="s">
        <v>67</v>
      </c>
      <c r="AJ1258" t="s">
        <v>72</v>
      </c>
      <c r="AK1258" s="3" t="s">
        <v>27</v>
      </c>
      <c r="AL1258" s="3">
        <v>-21446.106728999999</v>
      </c>
      <c r="AS1258" t="s">
        <v>1900</v>
      </c>
      <c r="AT1258" t="s">
        <v>88</v>
      </c>
      <c r="AU1258" t="s">
        <v>109</v>
      </c>
      <c r="AV1258" s="14">
        <v>20939.658100000001</v>
      </c>
    </row>
    <row r="1259" spans="26:48">
      <c r="Z1259" s="3"/>
      <c r="AC1259"/>
      <c r="AE1259" s="3"/>
      <c r="AH1259" t="s">
        <v>1843</v>
      </c>
      <c r="AI1259" t="s">
        <v>67</v>
      </c>
      <c r="AJ1259" t="s">
        <v>113</v>
      </c>
      <c r="AK1259" s="3" t="s">
        <v>27</v>
      </c>
      <c r="AL1259" s="3">
        <v>-1750.1262024258001</v>
      </c>
      <c r="AS1259" t="s">
        <v>1900</v>
      </c>
      <c r="AT1259" t="s">
        <v>88</v>
      </c>
      <c r="AU1259" t="s">
        <v>110</v>
      </c>
      <c r="AV1259" s="14">
        <v>397.61059999999998</v>
      </c>
    </row>
    <row r="1260" spans="26:48">
      <c r="Z1260" s="3"/>
      <c r="AC1260"/>
      <c r="AE1260" s="3"/>
      <c r="AH1260" t="s">
        <v>1843</v>
      </c>
      <c r="AI1260" t="s">
        <v>67</v>
      </c>
      <c r="AJ1260" t="s">
        <v>108</v>
      </c>
      <c r="AK1260" s="3" t="s">
        <v>27</v>
      </c>
      <c r="AL1260" s="3">
        <v>247.2194734258</v>
      </c>
      <c r="AS1260" t="s">
        <v>1900</v>
      </c>
      <c r="AT1260" t="s">
        <v>88</v>
      </c>
      <c r="AU1260" t="s">
        <v>111</v>
      </c>
      <c r="AV1260" s="14">
        <v>9000</v>
      </c>
    </row>
    <row r="1261" spans="26:48">
      <c r="Z1261" s="3"/>
      <c r="AC1261"/>
      <c r="AE1261" s="3"/>
      <c r="AH1261" t="s">
        <v>1843</v>
      </c>
      <c r="AI1261" t="s">
        <v>67</v>
      </c>
      <c r="AJ1261" t="s">
        <v>98</v>
      </c>
      <c r="AK1261" s="3" t="s">
        <v>27</v>
      </c>
      <c r="AL1261" s="3">
        <v>247.2194734258</v>
      </c>
      <c r="AS1261" t="s">
        <v>1900</v>
      </c>
      <c r="AT1261" t="s">
        <v>88</v>
      </c>
      <c r="AU1261" t="s">
        <v>268</v>
      </c>
      <c r="AV1261" s="14">
        <v>0</v>
      </c>
    </row>
    <row r="1262" spans="26:48">
      <c r="Z1262" s="3"/>
      <c r="AC1262"/>
      <c r="AE1262" s="3"/>
      <c r="AH1262" t="s">
        <v>1843</v>
      </c>
      <c r="AI1262" t="s">
        <v>67</v>
      </c>
      <c r="AJ1262" t="s">
        <v>66</v>
      </c>
      <c r="AK1262" s="3" t="s">
        <v>114</v>
      </c>
      <c r="AL1262" s="3">
        <v>0</v>
      </c>
      <c r="AS1262" t="s">
        <v>1900</v>
      </c>
      <c r="AT1262" t="s">
        <v>88</v>
      </c>
      <c r="AU1262" t="s">
        <v>269</v>
      </c>
      <c r="AV1262" s="14">
        <v>0</v>
      </c>
    </row>
    <row r="1263" spans="26:48">
      <c r="Z1263" s="3"/>
      <c r="AC1263"/>
      <c r="AE1263" s="3"/>
      <c r="AH1263" t="s">
        <v>1843</v>
      </c>
      <c r="AI1263" t="s">
        <v>67</v>
      </c>
      <c r="AJ1263" t="s">
        <v>98</v>
      </c>
      <c r="AK1263" s="3" t="s">
        <v>114</v>
      </c>
      <c r="AL1263" s="3">
        <v>0</v>
      </c>
      <c r="AS1263" t="s">
        <v>1900</v>
      </c>
      <c r="AT1263" t="s">
        <v>88</v>
      </c>
      <c r="AU1263" t="s">
        <v>270</v>
      </c>
      <c r="AV1263" s="14">
        <v>0</v>
      </c>
    </row>
    <row r="1264" spans="26:48">
      <c r="Z1264" s="3"/>
      <c r="AC1264"/>
      <c r="AE1264" s="3"/>
      <c r="AH1264" t="s">
        <v>1843</v>
      </c>
      <c r="AI1264" t="s">
        <v>67</v>
      </c>
      <c r="AJ1264" t="s">
        <v>66</v>
      </c>
      <c r="AK1264" s="3" t="s">
        <v>115</v>
      </c>
      <c r="AL1264" s="3">
        <v>19943.2</v>
      </c>
      <c r="AS1264" t="s">
        <v>1900</v>
      </c>
      <c r="AT1264" t="s">
        <v>88</v>
      </c>
      <c r="AU1264" t="s">
        <v>271</v>
      </c>
      <c r="AV1264" s="14">
        <v>170</v>
      </c>
    </row>
    <row r="1265" spans="26:48">
      <c r="Z1265" s="3"/>
      <c r="AC1265"/>
      <c r="AE1265" s="3"/>
      <c r="AH1265" t="s">
        <v>1843</v>
      </c>
      <c r="AI1265" t="s">
        <v>67</v>
      </c>
      <c r="AJ1265" t="s">
        <v>98</v>
      </c>
      <c r="AK1265" s="3" t="s">
        <v>115</v>
      </c>
      <c r="AL1265" s="3">
        <v>-247.2194734258</v>
      </c>
      <c r="AS1265" t="s">
        <v>1900</v>
      </c>
      <c r="AT1265" t="s">
        <v>88</v>
      </c>
      <c r="AU1265" t="s">
        <v>272</v>
      </c>
      <c r="AV1265" s="14">
        <v>0</v>
      </c>
    </row>
    <row r="1266" spans="26:48">
      <c r="Z1266" s="3"/>
      <c r="AC1266"/>
      <c r="AE1266" s="3"/>
      <c r="AH1266" t="s">
        <v>1843</v>
      </c>
      <c r="AI1266" t="s">
        <v>68</v>
      </c>
      <c r="AJ1266" t="s">
        <v>66</v>
      </c>
      <c r="AK1266" s="3" t="s">
        <v>27</v>
      </c>
      <c r="AL1266" s="3">
        <v>-5693.5</v>
      </c>
      <c r="AS1266" t="s">
        <v>1900</v>
      </c>
      <c r="AT1266" t="s">
        <v>88</v>
      </c>
      <c r="AU1266" t="s">
        <v>273</v>
      </c>
      <c r="AV1266" s="14">
        <v>2000</v>
      </c>
    </row>
    <row r="1267" spans="26:48">
      <c r="Z1267" s="3"/>
      <c r="AC1267"/>
      <c r="AE1267" s="3"/>
      <c r="AH1267" t="s">
        <v>1843</v>
      </c>
      <c r="AI1267" t="s">
        <v>68</v>
      </c>
      <c r="AJ1267" t="s">
        <v>72</v>
      </c>
      <c r="AK1267" s="3" t="s">
        <v>27</v>
      </c>
      <c r="AL1267" s="3">
        <v>-5311.6049149999999</v>
      </c>
      <c r="AS1267" t="s">
        <v>1901</v>
      </c>
      <c r="AT1267" t="s">
        <v>88</v>
      </c>
      <c r="AU1267" t="s">
        <v>109</v>
      </c>
      <c r="AV1267" s="14">
        <v>20520.658100000001</v>
      </c>
    </row>
    <row r="1268" spans="26:48">
      <c r="Z1268" s="3"/>
      <c r="AC1268"/>
      <c r="AE1268" s="3"/>
      <c r="AH1268" t="s">
        <v>1843</v>
      </c>
      <c r="AI1268" t="s">
        <v>68</v>
      </c>
      <c r="AJ1268" t="s">
        <v>113</v>
      </c>
      <c r="AK1268" s="3" t="s">
        <v>27</v>
      </c>
      <c r="AL1268" s="3">
        <v>182.70261726519999</v>
      </c>
      <c r="AS1268" t="s">
        <v>1901</v>
      </c>
      <c r="AT1268" t="s">
        <v>88</v>
      </c>
      <c r="AU1268" t="s">
        <v>110</v>
      </c>
      <c r="AV1268" s="14">
        <v>397.61059999999998</v>
      </c>
    </row>
    <row r="1269" spans="26:48">
      <c r="Z1269" s="3"/>
      <c r="AC1269"/>
      <c r="AE1269" s="3"/>
      <c r="AH1269" t="s">
        <v>1843</v>
      </c>
      <c r="AI1269" t="s">
        <v>68</v>
      </c>
      <c r="AJ1269" t="s">
        <v>108</v>
      </c>
      <c r="AK1269" s="3" t="s">
        <v>27</v>
      </c>
      <c r="AL1269" s="3">
        <v>199.1924677348</v>
      </c>
      <c r="AS1269" t="s">
        <v>1901</v>
      </c>
      <c r="AT1269" t="s">
        <v>88</v>
      </c>
      <c r="AU1269" t="s">
        <v>111</v>
      </c>
      <c r="AV1269" s="14">
        <v>9000</v>
      </c>
    </row>
    <row r="1270" spans="26:48">
      <c r="Z1270" s="3"/>
      <c r="AC1270"/>
      <c r="AE1270" s="3"/>
      <c r="AH1270" t="s">
        <v>1843</v>
      </c>
      <c r="AI1270" t="s">
        <v>68</v>
      </c>
      <c r="AJ1270" t="s">
        <v>98</v>
      </c>
      <c r="AK1270" s="3" t="s">
        <v>27</v>
      </c>
      <c r="AL1270" s="3">
        <v>136.02898978959999</v>
      </c>
      <c r="AS1270" t="s">
        <v>1901</v>
      </c>
      <c r="AT1270" t="s">
        <v>88</v>
      </c>
      <c r="AU1270" t="s">
        <v>268</v>
      </c>
      <c r="AV1270" s="14">
        <v>0</v>
      </c>
    </row>
    <row r="1271" spans="26:48">
      <c r="Z1271" s="3"/>
      <c r="AC1271"/>
      <c r="AE1271" s="3"/>
      <c r="AH1271" t="s">
        <v>1843</v>
      </c>
      <c r="AI1271" t="s">
        <v>68</v>
      </c>
      <c r="AJ1271" t="s">
        <v>66</v>
      </c>
      <c r="AK1271" s="3" t="s">
        <v>114</v>
      </c>
      <c r="AL1271" s="3">
        <v>2129</v>
      </c>
      <c r="AS1271" t="s">
        <v>1901</v>
      </c>
      <c r="AT1271" t="s">
        <v>88</v>
      </c>
      <c r="AU1271" t="s">
        <v>269</v>
      </c>
      <c r="AV1271" s="14">
        <v>0</v>
      </c>
    </row>
    <row r="1272" spans="26:48">
      <c r="Z1272" s="3"/>
      <c r="AC1272"/>
      <c r="AE1272" s="3"/>
      <c r="AH1272" t="s">
        <v>1843</v>
      </c>
      <c r="AI1272" t="s">
        <v>68</v>
      </c>
      <c r="AJ1272" t="s">
        <v>98</v>
      </c>
      <c r="AK1272" s="3" t="s">
        <v>114</v>
      </c>
      <c r="AL1272" s="3">
        <v>-95.613367945199997</v>
      </c>
      <c r="AS1272" t="s">
        <v>1901</v>
      </c>
      <c r="AT1272" t="s">
        <v>88</v>
      </c>
      <c r="AU1272" t="s">
        <v>270</v>
      </c>
      <c r="AV1272" s="14">
        <v>0</v>
      </c>
    </row>
    <row r="1273" spans="26:48">
      <c r="Z1273" s="3"/>
      <c r="AC1273"/>
      <c r="AE1273" s="3"/>
      <c r="AH1273" t="s">
        <v>1843</v>
      </c>
      <c r="AI1273" t="s">
        <v>68</v>
      </c>
      <c r="AJ1273" t="s">
        <v>66</v>
      </c>
      <c r="AK1273" s="3" t="s">
        <v>115</v>
      </c>
      <c r="AL1273" s="3">
        <v>7822.5</v>
      </c>
      <c r="AS1273" t="s">
        <v>1901</v>
      </c>
      <c r="AT1273" t="s">
        <v>88</v>
      </c>
      <c r="AU1273" t="s">
        <v>271</v>
      </c>
      <c r="AV1273" s="14">
        <v>619</v>
      </c>
    </row>
    <row r="1274" spans="26:48">
      <c r="Z1274" s="3"/>
      <c r="AC1274"/>
      <c r="AE1274" s="3"/>
      <c r="AH1274" t="s">
        <v>1843</v>
      </c>
      <c r="AI1274" t="s">
        <v>68</v>
      </c>
      <c r="AJ1274" t="s">
        <v>98</v>
      </c>
      <c r="AK1274" s="3" t="s">
        <v>115</v>
      </c>
      <c r="AL1274" s="3">
        <v>-231.64235773479999</v>
      </c>
      <c r="AS1274" t="s">
        <v>1901</v>
      </c>
      <c r="AT1274" t="s">
        <v>88</v>
      </c>
      <c r="AU1274" t="s">
        <v>272</v>
      </c>
      <c r="AV1274" s="14">
        <v>0</v>
      </c>
    </row>
    <row r="1275" spans="26:48">
      <c r="Z1275" s="3"/>
      <c r="AC1275"/>
      <c r="AE1275" s="3"/>
      <c r="AH1275" t="s">
        <v>1843</v>
      </c>
      <c r="AI1275" t="s">
        <v>800</v>
      </c>
      <c r="AJ1275" t="s">
        <v>31</v>
      </c>
      <c r="AK1275" s="3" t="s">
        <v>27</v>
      </c>
      <c r="AL1275" s="3">
        <v>4.0422541689000004</v>
      </c>
      <c r="AS1275" t="s">
        <v>1901</v>
      </c>
      <c r="AT1275" t="s">
        <v>88</v>
      </c>
      <c r="AU1275" t="s">
        <v>273</v>
      </c>
      <c r="AV1275" s="14">
        <v>0</v>
      </c>
    </row>
    <row r="1276" spans="26:48">
      <c r="Z1276" s="3"/>
      <c r="AC1276"/>
      <c r="AE1276" s="3"/>
      <c r="AH1276" t="s">
        <v>1844</v>
      </c>
      <c r="AI1276" t="s">
        <v>65</v>
      </c>
      <c r="AJ1276" t="s">
        <v>66</v>
      </c>
      <c r="AK1276" s="3" t="s">
        <v>27</v>
      </c>
      <c r="AL1276" s="3">
        <v>37363.699999999997</v>
      </c>
      <c r="AS1276" t="s">
        <v>1902</v>
      </c>
      <c r="AT1276" t="s">
        <v>88</v>
      </c>
      <c r="AU1276" t="s">
        <v>109</v>
      </c>
      <c r="AV1276" s="14">
        <v>23110.658100000001</v>
      </c>
    </row>
    <row r="1277" spans="26:48">
      <c r="Z1277" s="3"/>
      <c r="AC1277"/>
      <c r="AE1277" s="3"/>
      <c r="AH1277" t="s">
        <v>1844</v>
      </c>
      <c r="AI1277" t="s">
        <v>65</v>
      </c>
      <c r="AJ1277" t="s">
        <v>72</v>
      </c>
      <c r="AK1277" s="3" t="s">
        <v>27</v>
      </c>
      <c r="AL1277" s="3">
        <v>37669.260999999999</v>
      </c>
      <c r="AS1277" t="s">
        <v>1902</v>
      </c>
      <c r="AT1277" t="s">
        <v>88</v>
      </c>
      <c r="AU1277" t="s">
        <v>110</v>
      </c>
      <c r="AV1277" s="14">
        <v>397.61059999999998</v>
      </c>
    </row>
    <row r="1278" spans="26:48">
      <c r="Z1278" s="3"/>
      <c r="AC1278"/>
      <c r="AE1278" s="3"/>
      <c r="AH1278" t="s">
        <v>1844</v>
      </c>
      <c r="AI1278" t="s">
        <v>65</v>
      </c>
      <c r="AJ1278" t="s">
        <v>113</v>
      </c>
      <c r="AK1278" s="3" t="s">
        <v>27</v>
      </c>
      <c r="AL1278" s="3">
        <v>1612.4698367514</v>
      </c>
      <c r="AS1278" t="s">
        <v>1902</v>
      </c>
      <c r="AT1278" t="s">
        <v>88</v>
      </c>
      <c r="AU1278" t="s">
        <v>111</v>
      </c>
      <c r="AV1278" s="14">
        <v>9500</v>
      </c>
    </row>
    <row r="1279" spans="26:48">
      <c r="Z1279" s="3"/>
      <c r="AC1279"/>
      <c r="AE1279" s="3"/>
      <c r="AH1279" t="s">
        <v>1844</v>
      </c>
      <c r="AI1279" t="s">
        <v>65</v>
      </c>
      <c r="AJ1279" t="s">
        <v>108</v>
      </c>
      <c r="AK1279" s="3" t="s">
        <v>27</v>
      </c>
      <c r="AL1279" s="3">
        <v>-1306.9088367514</v>
      </c>
      <c r="AS1279" t="s">
        <v>1902</v>
      </c>
      <c r="AT1279" t="s">
        <v>88</v>
      </c>
      <c r="AU1279" t="s">
        <v>268</v>
      </c>
      <c r="AV1279" s="14">
        <v>0</v>
      </c>
    </row>
    <row r="1280" spans="26:48">
      <c r="Z1280" s="3"/>
      <c r="AC1280"/>
      <c r="AE1280" s="3"/>
      <c r="AH1280" t="s">
        <v>1844</v>
      </c>
      <c r="AI1280" t="s">
        <v>65</v>
      </c>
      <c r="AJ1280" t="s">
        <v>98</v>
      </c>
      <c r="AK1280" s="3" t="s">
        <v>27</v>
      </c>
      <c r="AL1280" s="3">
        <v>-1306.9088367514</v>
      </c>
      <c r="AS1280" t="s">
        <v>1902</v>
      </c>
      <c r="AT1280" t="s">
        <v>88</v>
      </c>
      <c r="AU1280" t="s">
        <v>269</v>
      </c>
      <c r="AV1280" s="14">
        <v>0</v>
      </c>
    </row>
    <row r="1281" spans="26:48">
      <c r="Z1281" s="3"/>
      <c r="AC1281"/>
      <c r="AE1281" s="3"/>
      <c r="AH1281" t="s">
        <v>1844</v>
      </c>
      <c r="AI1281" t="s">
        <v>67</v>
      </c>
      <c r="AJ1281" t="s">
        <v>66</v>
      </c>
      <c r="AK1281" s="3" t="s">
        <v>27</v>
      </c>
      <c r="AL1281" s="3">
        <v>-20258.2</v>
      </c>
      <c r="AS1281" t="s">
        <v>1902</v>
      </c>
      <c r="AT1281" t="s">
        <v>88</v>
      </c>
      <c r="AU1281" t="s">
        <v>270</v>
      </c>
      <c r="AV1281" s="14">
        <v>0</v>
      </c>
    </row>
    <row r="1282" spans="26:48">
      <c r="Z1282" s="3"/>
      <c r="AC1282"/>
      <c r="AE1282" s="3"/>
      <c r="AH1282" t="s">
        <v>1844</v>
      </c>
      <c r="AI1282" t="s">
        <v>67</v>
      </c>
      <c r="AJ1282" t="s">
        <v>72</v>
      </c>
      <c r="AK1282" s="3" t="s">
        <v>27</v>
      </c>
      <c r="AL1282" s="3">
        <v>-21838.480029999999</v>
      </c>
      <c r="AS1282" t="s">
        <v>1902</v>
      </c>
      <c r="AT1282" t="s">
        <v>88</v>
      </c>
      <c r="AU1282" t="s">
        <v>271</v>
      </c>
      <c r="AV1282" s="14">
        <v>-1381</v>
      </c>
    </row>
    <row r="1283" spans="26:48">
      <c r="Z1283" s="3"/>
      <c r="AC1283"/>
      <c r="AE1283" s="3"/>
      <c r="AH1283" t="s">
        <v>1844</v>
      </c>
      <c r="AI1283" t="s">
        <v>67</v>
      </c>
      <c r="AJ1283" t="s">
        <v>113</v>
      </c>
      <c r="AK1283" s="3" t="s">
        <v>27</v>
      </c>
      <c r="AL1283" s="3">
        <v>-1832.6722172376001</v>
      </c>
      <c r="AS1283" t="s">
        <v>1902</v>
      </c>
      <c r="AT1283" t="s">
        <v>88</v>
      </c>
      <c r="AU1283" t="s">
        <v>272</v>
      </c>
      <c r="AV1283" s="14">
        <v>0</v>
      </c>
    </row>
    <row r="1284" spans="26:48">
      <c r="Z1284" s="3"/>
      <c r="AC1284"/>
      <c r="AE1284" s="3"/>
      <c r="AH1284" t="s">
        <v>1844</v>
      </c>
      <c r="AI1284" t="s">
        <v>67</v>
      </c>
      <c r="AJ1284" t="s">
        <v>108</v>
      </c>
      <c r="AK1284" s="3" t="s">
        <v>27</v>
      </c>
      <c r="AL1284" s="3">
        <v>252.39218723760001</v>
      </c>
      <c r="AS1284" t="s">
        <v>1902</v>
      </c>
      <c r="AT1284" t="s">
        <v>88</v>
      </c>
      <c r="AU1284" t="s">
        <v>273</v>
      </c>
      <c r="AV1284" s="14">
        <v>-500</v>
      </c>
    </row>
    <row r="1285" spans="26:48">
      <c r="Z1285" s="3"/>
      <c r="AC1285"/>
      <c r="AE1285" s="3"/>
      <c r="AH1285" t="s">
        <v>1844</v>
      </c>
      <c r="AI1285" t="s">
        <v>67</v>
      </c>
      <c r="AJ1285" t="s">
        <v>98</v>
      </c>
      <c r="AK1285" s="3" t="s">
        <v>27</v>
      </c>
      <c r="AL1285" s="3">
        <v>262.9941324431</v>
      </c>
      <c r="AS1285" t="s">
        <v>1903</v>
      </c>
      <c r="AT1285" t="s">
        <v>88</v>
      </c>
      <c r="AU1285" t="s">
        <v>109</v>
      </c>
      <c r="AV1285" s="14">
        <v>23416.658100000001</v>
      </c>
    </row>
    <row r="1286" spans="26:48">
      <c r="Z1286" s="3"/>
      <c r="AC1286"/>
      <c r="AE1286" s="3"/>
      <c r="AH1286" t="s">
        <v>1844</v>
      </c>
      <c r="AI1286" t="s">
        <v>67</v>
      </c>
      <c r="AJ1286" t="s">
        <v>66</v>
      </c>
      <c r="AK1286" s="3" t="s">
        <v>114</v>
      </c>
      <c r="AL1286" s="3">
        <v>200</v>
      </c>
      <c r="AS1286" t="s">
        <v>1903</v>
      </c>
      <c r="AT1286" t="s">
        <v>88</v>
      </c>
      <c r="AU1286" t="s">
        <v>110</v>
      </c>
      <c r="AV1286" s="14">
        <v>397.61059999999998</v>
      </c>
    </row>
    <row r="1287" spans="26:48">
      <c r="Z1287" s="3"/>
      <c r="AC1287"/>
      <c r="AE1287" s="3"/>
      <c r="AH1287" t="s">
        <v>1844</v>
      </c>
      <c r="AI1287" t="s">
        <v>67</v>
      </c>
      <c r="AJ1287" t="s">
        <v>98</v>
      </c>
      <c r="AK1287" s="3" t="s">
        <v>114</v>
      </c>
      <c r="AL1287" s="3">
        <v>-7.6370547945</v>
      </c>
      <c r="AS1287" t="s">
        <v>1903</v>
      </c>
      <c r="AT1287" t="s">
        <v>88</v>
      </c>
      <c r="AU1287" t="s">
        <v>111</v>
      </c>
      <c r="AV1287" s="14">
        <v>9500</v>
      </c>
    </row>
    <row r="1288" spans="26:48">
      <c r="Z1288" s="3"/>
      <c r="AC1288"/>
      <c r="AE1288" s="3"/>
      <c r="AH1288" t="s">
        <v>1844</v>
      </c>
      <c r="AI1288" t="s">
        <v>67</v>
      </c>
      <c r="AJ1288" t="s">
        <v>66</v>
      </c>
      <c r="AK1288" s="3" t="s">
        <v>115</v>
      </c>
      <c r="AL1288" s="3">
        <v>20458.2</v>
      </c>
      <c r="AS1288" t="s">
        <v>1903</v>
      </c>
      <c r="AT1288" t="s">
        <v>88</v>
      </c>
      <c r="AU1288" t="s">
        <v>268</v>
      </c>
      <c r="AV1288" s="14">
        <v>0</v>
      </c>
    </row>
    <row r="1289" spans="26:48">
      <c r="Z1289" s="3"/>
      <c r="AC1289"/>
      <c r="AE1289" s="3"/>
      <c r="AH1289" t="s">
        <v>1844</v>
      </c>
      <c r="AI1289" t="s">
        <v>67</v>
      </c>
      <c r="AJ1289" t="s">
        <v>98</v>
      </c>
      <c r="AK1289" s="3" t="s">
        <v>115</v>
      </c>
      <c r="AL1289" s="3">
        <v>-270.63118723759999</v>
      </c>
      <c r="AS1289" t="s">
        <v>1903</v>
      </c>
      <c r="AT1289" t="s">
        <v>88</v>
      </c>
      <c r="AU1289" t="s">
        <v>269</v>
      </c>
      <c r="AV1289" s="14">
        <v>0</v>
      </c>
    </row>
    <row r="1290" spans="26:48">
      <c r="Z1290" s="3"/>
      <c r="AC1290"/>
      <c r="AE1290" s="3"/>
      <c r="AH1290" t="s">
        <v>1844</v>
      </c>
      <c r="AI1290" t="s">
        <v>68</v>
      </c>
      <c r="AJ1290" t="s">
        <v>66</v>
      </c>
      <c r="AK1290" s="3" t="s">
        <v>27</v>
      </c>
      <c r="AL1290" s="3">
        <v>-5693.5</v>
      </c>
      <c r="AS1290" t="s">
        <v>1903</v>
      </c>
      <c r="AT1290" t="s">
        <v>88</v>
      </c>
      <c r="AU1290" t="s">
        <v>270</v>
      </c>
      <c r="AV1290" s="14">
        <v>0</v>
      </c>
    </row>
    <row r="1291" spans="26:48">
      <c r="Z1291" s="3"/>
      <c r="AC1291"/>
      <c r="AE1291" s="3"/>
      <c r="AH1291" t="s">
        <v>1844</v>
      </c>
      <c r="AI1291" t="s">
        <v>68</v>
      </c>
      <c r="AJ1291" t="s">
        <v>72</v>
      </c>
      <c r="AK1291" s="3" t="s">
        <v>27</v>
      </c>
      <c r="AL1291" s="3">
        <v>-5311.6142300000001</v>
      </c>
      <c r="AS1291" t="s">
        <v>1903</v>
      </c>
      <c r="AT1291" t="s">
        <v>88</v>
      </c>
      <c r="AU1291" t="s">
        <v>271</v>
      </c>
      <c r="AV1291" s="14">
        <v>-3387</v>
      </c>
    </row>
    <row r="1292" spans="26:48">
      <c r="Z1292" s="3"/>
      <c r="AC1292"/>
      <c r="AE1292" s="3"/>
      <c r="AH1292" t="s">
        <v>1844</v>
      </c>
      <c r="AI1292" t="s">
        <v>68</v>
      </c>
      <c r="AJ1292" t="s">
        <v>113</v>
      </c>
      <c r="AK1292" s="3" t="s">
        <v>27</v>
      </c>
      <c r="AL1292" s="3">
        <v>179.29442085139999</v>
      </c>
      <c r="AS1292" t="s">
        <v>1903</v>
      </c>
      <c r="AT1292" t="s">
        <v>88</v>
      </c>
      <c r="AU1292" t="s">
        <v>272</v>
      </c>
      <c r="AV1292" s="14">
        <v>0</v>
      </c>
    </row>
    <row r="1293" spans="26:48">
      <c r="Z1293" s="3"/>
      <c r="AC1293"/>
      <c r="AE1293" s="3"/>
      <c r="AH1293" t="s">
        <v>1844</v>
      </c>
      <c r="AI1293" t="s">
        <v>68</v>
      </c>
      <c r="AJ1293" t="s">
        <v>108</v>
      </c>
      <c r="AK1293" s="3" t="s">
        <v>27</v>
      </c>
      <c r="AL1293" s="3">
        <v>202.59134914859999</v>
      </c>
      <c r="AS1293" t="s">
        <v>1903</v>
      </c>
      <c r="AT1293" t="s">
        <v>88</v>
      </c>
      <c r="AU1293" t="s">
        <v>273</v>
      </c>
      <c r="AV1293" s="14">
        <v>0</v>
      </c>
    </row>
    <row r="1294" spans="26:48">
      <c r="Z1294" s="3"/>
      <c r="AC1294"/>
      <c r="AE1294" s="3"/>
      <c r="AH1294" t="s">
        <v>1844</v>
      </c>
      <c r="AI1294" t="s">
        <v>68</v>
      </c>
      <c r="AJ1294" t="s">
        <v>98</v>
      </c>
      <c r="AK1294" s="3" t="s">
        <v>27</v>
      </c>
      <c r="AL1294" s="3">
        <v>141.76531339549999</v>
      </c>
      <c r="AS1294" t="s">
        <v>1904</v>
      </c>
      <c r="AT1294" t="s">
        <v>88</v>
      </c>
      <c r="AU1294" t="s">
        <v>109</v>
      </c>
      <c r="AV1294" s="14">
        <v>23916.658100000001</v>
      </c>
    </row>
    <row r="1295" spans="26:48">
      <c r="Z1295" s="3"/>
      <c r="AC1295"/>
      <c r="AE1295" s="3"/>
      <c r="AH1295" t="s">
        <v>1844</v>
      </c>
      <c r="AI1295" t="s">
        <v>68</v>
      </c>
      <c r="AJ1295" t="s">
        <v>66</v>
      </c>
      <c r="AK1295" s="3" t="s">
        <v>114</v>
      </c>
      <c r="AL1295" s="3">
        <v>2619.7361999999998</v>
      </c>
      <c r="AS1295" t="s">
        <v>1904</v>
      </c>
      <c r="AT1295" t="s">
        <v>88</v>
      </c>
      <c r="AU1295" t="s">
        <v>110</v>
      </c>
      <c r="AV1295" s="14">
        <v>397.61059999999998</v>
      </c>
    </row>
    <row r="1296" spans="26:48">
      <c r="Z1296" s="3"/>
      <c r="AC1296"/>
      <c r="AE1296" s="3"/>
      <c r="AH1296" t="s">
        <v>1844</v>
      </c>
      <c r="AI1296" t="s">
        <v>68</v>
      </c>
      <c r="AJ1296" t="s">
        <v>98</v>
      </c>
      <c r="AK1296" s="3" t="s">
        <v>114</v>
      </c>
      <c r="AL1296" s="3">
        <v>-89.738675753099997</v>
      </c>
      <c r="AS1296" t="s">
        <v>1904</v>
      </c>
      <c r="AT1296" t="s">
        <v>88</v>
      </c>
      <c r="AU1296" t="s">
        <v>111</v>
      </c>
      <c r="AV1296" s="14">
        <v>9500</v>
      </c>
    </row>
    <row r="1297" spans="26:48">
      <c r="Z1297" s="3"/>
      <c r="AC1297"/>
      <c r="AE1297" s="3"/>
      <c r="AH1297" t="s">
        <v>1844</v>
      </c>
      <c r="AI1297" t="s">
        <v>68</v>
      </c>
      <c r="AJ1297" t="s">
        <v>66</v>
      </c>
      <c r="AK1297" s="3" t="s">
        <v>115</v>
      </c>
      <c r="AL1297" s="3">
        <v>7774.5</v>
      </c>
      <c r="AS1297" t="s">
        <v>1904</v>
      </c>
      <c r="AT1297" t="s">
        <v>88</v>
      </c>
      <c r="AU1297" t="s">
        <v>268</v>
      </c>
      <c r="AV1297" s="14">
        <v>0</v>
      </c>
    </row>
    <row r="1298" spans="26:48">
      <c r="Z1298" s="3"/>
      <c r="AC1298"/>
      <c r="AE1298" s="3"/>
      <c r="AH1298" t="s">
        <v>1844</v>
      </c>
      <c r="AI1298" t="s">
        <v>68</v>
      </c>
      <c r="AJ1298" t="s">
        <v>98</v>
      </c>
      <c r="AK1298" s="3" t="s">
        <v>115</v>
      </c>
      <c r="AL1298" s="3">
        <v>-231.5039891486</v>
      </c>
      <c r="AS1298" t="s">
        <v>1904</v>
      </c>
      <c r="AT1298" t="s">
        <v>88</v>
      </c>
      <c r="AU1298" t="s">
        <v>269</v>
      </c>
      <c r="AV1298" s="14">
        <v>0</v>
      </c>
    </row>
    <row r="1299" spans="26:48">
      <c r="Z1299" s="3"/>
      <c r="AC1299"/>
      <c r="AE1299" s="3"/>
      <c r="AH1299" t="s">
        <v>1844</v>
      </c>
      <c r="AI1299" t="s">
        <v>800</v>
      </c>
      <c r="AJ1299" t="s">
        <v>31</v>
      </c>
      <c r="AK1299" s="3" t="s">
        <v>27</v>
      </c>
      <c r="AL1299" s="3">
        <v>4.0357812296000004</v>
      </c>
      <c r="AS1299" t="s">
        <v>1904</v>
      </c>
      <c r="AT1299" t="s">
        <v>88</v>
      </c>
      <c r="AU1299" t="s">
        <v>270</v>
      </c>
      <c r="AV1299" s="14">
        <v>0</v>
      </c>
    </row>
    <row r="1300" spans="26:48">
      <c r="Z1300" s="3"/>
      <c r="AC1300"/>
      <c r="AE1300" s="3"/>
      <c r="AH1300" t="s">
        <v>1845</v>
      </c>
      <c r="AI1300" t="s">
        <v>65</v>
      </c>
      <c r="AJ1300" t="s">
        <v>66</v>
      </c>
      <c r="AK1300" s="3" t="s">
        <v>27</v>
      </c>
      <c r="AL1300" s="3">
        <v>35928.699999999997</v>
      </c>
      <c r="AS1300" t="s">
        <v>1904</v>
      </c>
      <c r="AT1300" t="s">
        <v>88</v>
      </c>
      <c r="AU1300" t="s">
        <v>271</v>
      </c>
      <c r="AV1300" s="14">
        <v>-1387</v>
      </c>
    </row>
    <row r="1301" spans="26:48">
      <c r="Z1301" s="3"/>
      <c r="AC1301"/>
      <c r="AE1301" s="3"/>
      <c r="AH1301" t="s">
        <v>1845</v>
      </c>
      <c r="AI1301" t="s">
        <v>65</v>
      </c>
      <c r="AJ1301" t="s">
        <v>72</v>
      </c>
      <c r="AK1301" s="3" t="s">
        <v>27</v>
      </c>
      <c r="AL1301" s="3">
        <v>35761.832540000003</v>
      </c>
      <c r="AS1301" t="s">
        <v>1904</v>
      </c>
      <c r="AT1301" t="s">
        <v>88</v>
      </c>
      <c r="AU1301" t="s">
        <v>272</v>
      </c>
      <c r="AV1301" s="14">
        <v>0</v>
      </c>
    </row>
    <row r="1302" spans="26:48">
      <c r="Z1302" s="3"/>
      <c r="AC1302"/>
      <c r="AE1302" s="3"/>
      <c r="AH1302" t="s">
        <v>1845</v>
      </c>
      <c r="AI1302" t="s">
        <v>65</v>
      </c>
      <c r="AJ1302" t="s">
        <v>113</v>
      </c>
      <c r="AK1302" s="3" t="s">
        <v>27</v>
      </c>
      <c r="AL1302" s="3">
        <v>1090.4809600236999</v>
      </c>
      <c r="AS1302" t="s">
        <v>1904</v>
      </c>
      <c r="AT1302" t="s">
        <v>88</v>
      </c>
      <c r="AU1302" t="s">
        <v>273</v>
      </c>
      <c r="AV1302" s="14">
        <v>0</v>
      </c>
    </row>
    <row r="1303" spans="26:48">
      <c r="Z1303" s="3"/>
      <c r="AC1303"/>
      <c r="AE1303" s="3"/>
      <c r="AH1303" t="s">
        <v>1845</v>
      </c>
      <c r="AI1303" t="s">
        <v>65</v>
      </c>
      <c r="AJ1303" t="s">
        <v>108</v>
      </c>
      <c r="AK1303" s="3" t="s">
        <v>27</v>
      </c>
      <c r="AL1303" s="3">
        <v>-1257.3484200236001</v>
      </c>
      <c r="AS1303" t="s">
        <v>1905</v>
      </c>
      <c r="AT1303" t="s">
        <v>88</v>
      </c>
      <c r="AU1303" t="s">
        <v>109</v>
      </c>
      <c r="AV1303" s="14">
        <v>22095.858100000001</v>
      </c>
    </row>
    <row r="1304" spans="26:48">
      <c r="Z1304" s="3"/>
      <c r="AC1304"/>
      <c r="AE1304" s="3"/>
      <c r="AH1304" t="s">
        <v>1845</v>
      </c>
      <c r="AI1304" t="s">
        <v>65</v>
      </c>
      <c r="AJ1304" t="s">
        <v>98</v>
      </c>
      <c r="AK1304" s="3" t="s">
        <v>27</v>
      </c>
      <c r="AL1304" s="3">
        <v>-1257.3484200237001</v>
      </c>
      <c r="AS1304" t="s">
        <v>1905</v>
      </c>
      <c r="AT1304" t="s">
        <v>88</v>
      </c>
      <c r="AU1304" t="s">
        <v>110</v>
      </c>
      <c r="AV1304" s="14">
        <v>397.61059999999998</v>
      </c>
    </row>
    <row r="1305" spans="26:48">
      <c r="Z1305" s="3"/>
      <c r="AC1305"/>
      <c r="AE1305" s="3"/>
      <c r="AH1305" t="s">
        <v>1845</v>
      </c>
      <c r="AI1305" t="s">
        <v>67</v>
      </c>
      <c r="AJ1305" t="s">
        <v>66</v>
      </c>
      <c r="AK1305" s="3" t="s">
        <v>27</v>
      </c>
      <c r="AL1305" s="3">
        <v>-18508.2</v>
      </c>
      <c r="AS1305" t="s">
        <v>1905</v>
      </c>
      <c r="AT1305" t="s">
        <v>88</v>
      </c>
      <c r="AU1305" t="s">
        <v>111</v>
      </c>
      <c r="AV1305" s="14">
        <v>9500</v>
      </c>
    </row>
    <row r="1306" spans="26:48">
      <c r="Z1306" s="3"/>
      <c r="AC1306"/>
      <c r="AE1306" s="3"/>
      <c r="AH1306" t="s">
        <v>1845</v>
      </c>
      <c r="AI1306" t="s">
        <v>67</v>
      </c>
      <c r="AJ1306" t="s">
        <v>72</v>
      </c>
      <c r="AK1306" s="3" t="s">
        <v>27</v>
      </c>
      <c r="AL1306" s="3">
        <v>-19528.70867</v>
      </c>
      <c r="AS1306" t="s">
        <v>1905</v>
      </c>
      <c r="AT1306" t="s">
        <v>88</v>
      </c>
      <c r="AU1306" t="s">
        <v>268</v>
      </c>
      <c r="AV1306" s="14">
        <v>0</v>
      </c>
    </row>
    <row r="1307" spans="26:48">
      <c r="Z1307" s="3"/>
      <c r="AC1307"/>
      <c r="AE1307" s="3"/>
      <c r="AH1307" t="s">
        <v>1845</v>
      </c>
      <c r="AI1307" t="s">
        <v>67</v>
      </c>
      <c r="AJ1307" t="s">
        <v>113</v>
      </c>
      <c r="AK1307" s="3" t="s">
        <v>27</v>
      </c>
      <c r="AL1307" s="3">
        <v>-1763.4876004702001</v>
      </c>
      <c r="AS1307" t="s">
        <v>1905</v>
      </c>
      <c r="AT1307" t="s">
        <v>88</v>
      </c>
      <c r="AU1307" t="s">
        <v>269</v>
      </c>
      <c r="AV1307" s="14">
        <v>0</v>
      </c>
    </row>
    <row r="1308" spans="26:48">
      <c r="Z1308" s="3"/>
      <c r="AC1308"/>
      <c r="AE1308" s="3"/>
      <c r="AH1308" t="s">
        <v>1845</v>
      </c>
      <c r="AI1308" t="s">
        <v>67</v>
      </c>
      <c r="AJ1308" t="s">
        <v>108</v>
      </c>
      <c r="AK1308" s="3" t="s">
        <v>27</v>
      </c>
      <c r="AL1308" s="3">
        <v>742.9789304702</v>
      </c>
      <c r="AS1308" t="s">
        <v>1905</v>
      </c>
      <c r="AT1308" t="s">
        <v>88</v>
      </c>
      <c r="AU1308" t="s">
        <v>270</v>
      </c>
      <c r="AV1308" s="14">
        <v>0</v>
      </c>
    </row>
    <row r="1309" spans="26:48">
      <c r="Z1309" s="3"/>
      <c r="AC1309"/>
      <c r="AE1309" s="3"/>
      <c r="AH1309" t="s">
        <v>1845</v>
      </c>
      <c r="AI1309" t="s">
        <v>67</v>
      </c>
      <c r="AJ1309" t="s">
        <v>98</v>
      </c>
      <c r="AK1309" s="3" t="s">
        <v>27</v>
      </c>
      <c r="AL1309" s="3">
        <v>203.62326882630001</v>
      </c>
      <c r="AS1309" t="s">
        <v>1905</v>
      </c>
      <c r="AT1309" t="s">
        <v>88</v>
      </c>
      <c r="AU1309" t="s">
        <v>271</v>
      </c>
      <c r="AV1309" s="14">
        <v>3723.8</v>
      </c>
    </row>
    <row r="1310" spans="26:48">
      <c r="Z1310" s="3"/>
      <c r="AC1310"/>
      <c r="AE1310" s="3"/>
      <c r="AH1310" t="s">
        <v>1845</v>
      </c>
      <c r="AI1310" t="s">
        <v>67</v>
      </c>
      <c r="AJ1310" t="s">
        <v>66</v>
      </c>
      <c r="AK1310" s="3" t="s">
        <v>114</v>
      </c>
      <c r="AL1310" s="3">
        <v>2010</v>
      </c>
      <c r="AS1310" t="s">
        <v>1905</v>
      </c>
      <c r="AT1310" t="s">
        <v>88</v>
      </c>
      <c r="AU1310" t="s">
        <v>272</v>
      </c>
      <c r="AV1310" s="14">
        <v>0</v>
      </c>
    </row>
    <row r="1311" spans="26:48">
      <c r="Z1311" s="3"/>
      <c r="AC1311"/>
      <c r="AE1311" s="3"/>
      <c r="AH1311" t="s">
        <v>1845</v>
      </c>
      <c r="AI1311" t="s">
        <v>67</v>
      </c>
      <c r="AJ1311" t="s">
        <v>98</v>
      </c>
      <c r="AK1311" s="3" t="s">
        <v>114</v>
      </c>
      <c r="AL1311" s="3">
        <v>-5.7498616438000001</v>
      </c>
      <c r="AS1311" t="s">
        <v>1905</v>
      </c>
      <c r="AT1311" t="s">
        <v>88</v>
      </c>
      <c r="AU1311" t="s">
        <v>273</v>
      </c>
      <c r="AV1311" s="14">
        <v>0</v>
      </c>
    </row>
    <row r="1312" spans="26:48">
      <c r="Z1312" s="3"/>
      <c r="AC1312"/>
      <c r="AE1312" s="3"/>
      <c r="AH1312" t="s">
        <v>1845</v>
      </c>
      <c r="AI1312" t="s">
        <v>67</v>
      </c>
      <c r="AJ1312" t="s">
        <v>66</v>
      </c>
      <c r="AK1312" s="3" t="s">
        <v>115</v>
      </c>
      <c r="AL1312" s="3">
        <v>20518.2</v>
      </c>
      <c r="AS1312" t="s">
        <v>1906</v>
      </c>
      <c r="AT1312" t="s">
        <v>88</v>
      </c>
      <c r="AU1312" t="s">
        <v>109</v>
      </c>
      <c r="AV1312" s="14">
        <v>17925.658100000001</v>
      </c>
    </row>
    <row r="1313" spans="26:48">
      <c r="Z1313" s="3"/>
      <c r="AC1313"/>
      <c r="AE1313" s="3"/>
      <c r="AH1313" t="s">
        <v>1845</v>
      </c>
      <c r="AI1313" t="s">
        <v>67</v>
      </c>
      <c r="AJ1313" t="s">
        <v>98</v>
      </c>
      <c r="AK1313" s="3" t="s">
        <v>115</v>
      </c>
      <c r="AL1313" s="3">
        <v>-209.37313047020001</v>
      </c>
      <c r="AS1313" t="s">
        <v>1906</v>
      </c>
      <c r="AT1313" t="s">
        <v>88</v>
      </c>
      <c r="AU1313" t="s">
        <v>110</v>
      </c>
      <c r="AV1313" s="14">
        <v>397.61059999999998</v>
      </c>
    </row>
    <row r="1314" spans="26:48">
      <c r="Z1314" s="3"/>
      <c r="AC1314"/>
      <c r="AE1314" s="3"/>
      <c r="AH1314" t="s">
        <v>1845</v>
      </c>
      <c r="AI1314" t="s">
        <v>68</v>
      </c>
      <c r="AJ1314" t="s">
        <v>66</v>
      </c>
      <c r="AK1314" s="3" t="s">
        <v>27</v>
      </c>
      <c r="AL1314" s="3">
        <v>-6008.5</v>
      </c>
      <c r="AS1314" t="s">
        <v>1906</v>
      </c>
      <c r="AT1314" t="s">
        <v>88</v>
      </c>
      <c r="AU1314" t="s">
        <v>111</v>
      </c>
      <c r="AV1314" s="14">
        <v>9500</v>
      </c>
    </row>
    <row r="1315" spans="26:48">
      <c r="Z1315" s="3"/>
      <c r="AC1315"/>
      <c r="AE1315" s="3"/>
      <c r="AH1315" t="s">
        <v>1845</v>
      </c>
      <c r="AI1315" t="s">
        <v>68</v>
      </c>
      <c r="AJ1315" t="s">
        <v>72</v>
      </c>
      <c r="AK1315" s="3" t="s">
        <v>27</v>
      </c>
      <c r="AL1315" s="3">
        <v>-5713.6323700000003</v>
      </c>
      <c r="AS1315" t="s">
        <v>1906</v>
      </c>
      <c r="AT1315" t="s">
        <v>88</v>
      </c>
      <c r="AU1315" t="s">
        <v>268</v>
      </c>
      <c r="AV1315" s="14">
        <v>0</v>
      </c>
    </row>
    <row r="1316" spans="26:48">
      <c r="Z1316" s="3"/>
      <c r="AC1316"/>
      <c r="AE1316" s="3"/>
      <c r="AH1316" t="s">
        <v>1845</v>
      </c>
      <c r="AI1316" t="s">
        <v>68</v>
      </c>
      <c r="AJ1316" t="s">
        <v>113</v>
      </c>
      <c r="AK1316" s="3" t="s">
        <v>27</v>
      </c>
      <c r="AL1316" s="3">
        <v>92.766948025299996</v>
      </c>
      <c r="AS1316" t="s">
        <v>1906</v>
      </c>
      <c r="AT1316" t="s">
        <v>88</v>
      </c>
      <c r="AU1316" t="s">
        <v>269</v>
      </c>
      <c r="AV1316" s="14">
        <v>0</v>
      </c>
    </row>
    <row r="1317" spans="26:48">
      <c r="Z1317" s="3"/>
      <c r="AC1317"/>
      <c r="AE1317" s="3"/>
      <c r="AH1317" t="s">
        <v>1845</v>
      </c>
      <c r="AI1317" t="s">
        <v>68</v>
      </c>
      <c r="AJ1317" t="s">
        <v>108</v>
      </c>
      <c r="AK1317" s="3" t="s">
        <v>27</v>
      </c>
      <c r="AL1317" s="3">
        <v>202.1006819747</v>
      </c>
      <c r="AS1317" t="s">
        <v>1906</v>
      </c>
      <c r="AT1317" t="s">
        <v>88</v>
      </c>
      <c r="AU1317" t="s">
        <v>270</v>
      </c>
      <c r="AV1317" s="14">
        <v>0</v>
      </c>
    </row>
    <row r="1318" spans="26:48">
      <c r="Z1318" s="3"/>
      <c r="AC1318"/>
      <c r="AE1318" s="3"/>
      <c r="AH1318" t="s">
        <v>1845</v>
      </c>
      <c r="AI1318" t="s">
        <v>68</v>
      </c>
      <c r="AJ1318" t="s">
        <v>98</v>
      </c>
      <c r="AK1318" s="3" t="s">
        <v>27</v>
      </c>
      <c r="AL1318" s="3">
        <v>151.87659142679999</v>
      </c>
      <c r="AS1318" t="s">
        <v>1906</v>
      </c>
      <c r="AT1318" t="s">
        <v>88</v>
      </c>
      <c r="AU1318" t="s">
        <v>271</v>
      </c>
      <c r="AV1318" s="14">
        <v>5864</v>
      </c>
    </row>
    <row r="1319" spans="26:48">
      <c r="Z1319" s="3"/>
      <c r="AC1319"/>
      <c r="AE1319" s="3"/>
      <c r="AH1319" t="s">
        <v>1845</v>
      </c>
      <c r="AI1319" t="s">
        <v>68</v>
      </c>
      <c r="AJ1319" t="s">
        <v>66</v>
      </c>
      <c r="AK1319" s="3" t="s">
        <v>114</v>
      </c>
      <c r="AL1319" s="3">
        <v>2381</v>
      </c>
      <c r="AS1319" t="s">
        <v>1906</v>
      </c>
      <c r="AT1319" t="s">
        <v>88</v>
      </c>
      <c r="AU1319" t="s">
        <v>272</v>
      </c>
      <c r="AV1319" s="14">
        <v>0</v>
      </c>
    </row>
    <row r="1320" spans="26:48">
      <c r="Z1320" s="3"/>
      <c r="AC1320"/>
      <c r="AE1320" s="3"/>
      <c r="AH1320" t="s">
        <v>1845</v>
      </c>
      <c r="AI1320" t="s">
        <v>68</v>
      </c>
      <c r="AJ1320" t="s">
        <v>98</v>
      </c>
      <c r="AK1320" s="3" t="s">
        <v>114</v>
      </c>
      <c r="AL1320" s="3">
        <v>-95.5050105479</v>
      </c>
      <c r="AS1320" t="s">
        <v>1906</v>
      </c>
      <c r="AT1320" t="s">
        <v>88</v>
      </c>
      <c r="AU1320" t="s">
        <v>273</v>
      </c>
      <c r="AV1320" s="14">
        <v>0</v>
      </c>
    </row>
    <row r="1321" spans="26:48">
      <c r="Z1321" s="3"/>
      <c r="AC1321"/>
      <c r="AE1321" s="3"/>
      <c r="AH1321" t="s">
        <v>1845</v>
      </c>
      <c r="AI1321" t="s">
        <v>68</v>
      </c>
      <c r="AJ1321" t="s">
        <v>66</v>
      </c>
      <c r="AK1321" s="3" t="s">
        <v>115</v>
      </c>
      <c r="AL1321" s="3">
        <v>8289.5</v>
      </c>
      <c r="AS1321" t="s">
        <v>1907</v>
      </c>
      <c r="AT1321" t="s">
        <v>88</v>
      </c>
      <c r="AU1321" t="s">
        <v>109</v>
      </c>
      <c r="AV1321" s="14">
        <v>14643.329100000001</v>
      </c>
    </row>
    <row r="1322" spans="26:48">
      <c r="Z1322" s="3"/>
      <c r="AC1322"/>
      <c r="AE1322" s="3"/>
      <c r="AH1322" t="s">
        <v>1845</v>
      </c>
      <c r="AI1322" t="s">
        <v>68</v>
      </c>
      <c r="AJ1322" t="s">
        <v>98</v>
      </c>
      <c r="AK1322" s="3" t="s">
        <v>115</v>
      </c>
      <c r="AL1322" s="3">
        <v>-247.3816019747</v>
      </c>
      <c r="AS1322" t="s">
        <v>1907</v>
      </c>
      <c r="AT1322" t="s">
        <v>88</v>
      </c>
      <c r="AU1322" t="s">
        <v>110</v>
      </c>
      <c r="AV1322" s="14">
        <v>397.61059999999998</v>
      </c>
    </row>
    <row r="1323" spans="26:48">
      <c r="Z1323" s="3"/>
      <c r="AC1323"/>
      <c r="AE1323" s="3"/>
      <c r="AH1323" t="s">
        <v>1845</v>
      </c>
      <c r="AI1323" t="s">
        <v>800</v>
      </c>
      <c r="AJ1323" t="s">
        <v>31</v>
      </c>
      <c r="AK1323" s="3" t="s">
        <v>27</v>
      </c>
      <c r="AL1323" s="3">
        <v>4.0204071990000001</v>
      </c>
      <c r="AS1323" t="s">
        <v>1907</v>
      </c>
      <c r="AT1323" t="s">
        <v>88</v>
      </c>
      <c r="AU1323" t="s">
        <v>111</v>
      </c>
      <c r="AV1323" s="14">
        <v>9500</v>
      </c>
    </row>
    <row r="1324" spans="26:48">
      <c r="Z1324" s="3"/>
      <c r="AC1324"/>
      <c r="AE1324" s="3"/>
      <c r="AH1324" t="s">
        <v>1846</v>
      </c>
      <c r="AI1324" t="s">
        <v>65</v>
      </c>
      <c r="AJ1324" t="s">
        <v>66</v>
      </c>
      <c r="AK1324" s="3" t="s">
        <v>27</v>
      </c>
      <c r="AL1324" s="3">
        <v>36043.699999999997</v>
      </c>
      <c r="AS1324" t="s">
        <v>1907</v>
      </c>
      <c r="AT1324" t="s">
        <v>88</v>
      </c>
      <c r="AU1324" t="s">
        <v>268</v>
      </c>
      <c r="AV1324" s="14">
        <v>0</v>
      </c>
    </row>
    <row r="1325" spans="26:48">
      <c r="Z1325" s="3"/>
      <c r="AC1325"/>
      <c r="AE1325" s="3"/>
      <c r="AH1325" t="s">
        <v>1846</v>
      </c>
      <c r="AI1325" t="s">
        <v>65</v>
      </c>
      <c r="AJ1325" t="s">
        <v>72</v>
      </c>
      <c r="AK1325" s="3" t="s">
        <v>27</v>
      </c>
      <c r="AL1325" s="3">
        <v>35852.654134999997</v>
      </c>
      <c r="AS1325" t="s">
        <v>1907</v>
      </c>
      <c r="AT1325" t="s">
        <v>88</v>
      </c>
      <c r="AU1325" t="s">
        <v>269</v>
      </c>
      <c r="AV1325" s="14">
        <v>0</v>
      </c>
    </row>
    <row r="1326" spans="26:48">
      <c r="Z1326" s="3"/>
      <c r="AC1326"/>
      <c r="AE1326" s="3"/>
      <c r="AH1326" t="s">
        <v>1846</v>
      </c>
      <c r="AI1326" t="s">
        <v>65</v>
      </c>
      <c r="AJ1326" t="s">
        <v>113</v>
      </c>
      <c r="AK1326" s="3" t="s">
        <v>27</v>
      </c>
      <c r="AL1326" s="3">
        <v>1097.2615871293001</v>
      </c>
      <c r="AS1326" t="s">
        <v>1907</v>
      </c>
      <c r="AT1326" t="s">
        <v>88</v>
      </c>
      <c r="AU1326" t="s">
        <v>270</v>
      </c>
      <c r="AV1326" s="14">
        <v>0</v>
      </c>
    </row>
    <row r="1327" spans="26:48">
      <c r="Z1327" s="3"/>
      <c r="AC1327"/>
      <c r="AE1327" s="3"/>
      <c r="AH1327" t="s">
        <v>1846</v>
      </c>
      <c r="AI1327" t="s">
        <v>65</v>
      </c>
      <c r="AJ1327" t="s">
        <v>108</v>
      </c>
      <c r="AK1327" s="3" t="s">
        <v>27</v>
      </c>
      <c r="AL1327" s="3">
        <v>-1288.3074521292999</v>
      </c>
      <c r="AS1327" t="s">
        <v>1907</v>
      </c>
      <c r="AT1327" t="s">
        <v>88</v>
      </c>
      <c r="AU1327" t="s">
        <v>271</v>
      </c>
      <c r="AV1327" s="14">
        <v>3914</v>
      </c>
    </row>
    <row r="1328" spans="26:48">
      <c r="Z1328" s="3"/>
      <c r="AC1328"/>
      <c r="AE1328" s="3"/>
      <c r="AH1328" t="s">
        <v>1846</v>
      </c>
      <c r="AI1328" t="s">
        <v>65</v>
      </c>
      <c r="AJ1328" t="s">
        <v>98</v>
      </c>
      <c r="AK1328" s="3" t="s">
        <v>27</v>
      </c>
      <c r="AL1328" s="3">
        <v>-1288.3074521292999</v>
      </c>
      <c r="AS1328" t="s">
        <v>1907</v>
      </c>
      <c r="AT1328" t="s">
        <v>88</v>
      </c>
      <c r="AU1328" t="s">
        <v>272</v>
      </c>
      <c r="AV1328" s="14">
        <v>0</v>
      </c>
    </row>
    <row r="1329" spans="26:48">
      <c r="Z1329" s="3"/>
      <c r="AC1329"/>
      <c r="AE1329" s="3"/>
      <c r="AH1329" t="s">
        <v>1846</v>
      </c>
      <c r="AI1329" t="s">
        <v>67</v>
      </c>
      <c r="AJ1329" t="s">
        <v>66</v>
      </c>
      <c r="AK1329" s="3" t="s">
        <v>27</v>
      </c>
      <c r="AL1329" s="3">
        <v>-18678.2</v>
      </c>
      <c r="AS1329" t="s">
        <v>1907</v>
      </c>
      <c r="AT1329" t="s">
        <v>88</v>
      </c>
      <c r="AU1329" t="s">
        <v>273</v>
      </c>
      <c r="AV1329" s="14">
        <v>0</v>
      </c>
    </row>
    <row r="1330" spans="26:48">
      <c r="Z1330" s="3"/>
      <c r="AC1330"/>
      <c r="AE1330" s="3"/>
      <c r="AH1330" t="s">
        <v>1846</v>
      </c>
      <c r="AI1330" t="s">
        <v>67</v>
      </c>
      <c r="AJ1330" t="s">
        <v>72</v>
      </c>
      <c r="AK1330" s="3" t="s">
        <v>27</v>
      </c>
      <c r="AL1330" s="3">
        <v>-19616.97365</v>
      </c>
      <c r="AS1330" t="s">
        <v>1908</v>
      </c>
      <c r="AT1330" t="s">
        <v>88</v>
      </c>
      <c r="AU1330" t="s">
        <v>109</v>
      </c>
      <c r="AV1330" s="14">
        <v>13993.329100000001</v>
      </c>
    </row>
    <row r="1331" spans="26:48">
      <c r="Z1331" s="3"/>
      <c r="AC1331"/>
      <c r="AE1331" s="3"/>
      <c r="AH1331" t="s">
        <v>1846</v>
      </c>
      <c r="AI1331" t="s">
        <v>67</v>
      </c>
      <c r="AJ1331" t="s">
        <v>113</v>
      </c>
      <c r="AK1331" s="3" t="s">
        <v>27</v>
      </c>
      <c r="AL1331" s="3">
        <v>-1134.815676851</v>
      </c>
      <c r="AS1331" t="s">
        <v>1908</v>
      </c>
      <c r="AT1331" t="s">
        <v>88</v>
      </c>
      <c r="AU1331" t="s">
        <v>110</v>
      </c>
      <c r="AV1331" s="14">
        <v>397.61059999999998</v>
      </c>
    </row>
    <row r="1332" spans="26:48">
      <c r="Z1332" s="3"/>
      <c r="AC1332"/>
      <c r="AE1332" s="3"/>
      <c r="AH1332" t="s">
        <v>1846</v>
      </c>
      <c r="AI1332" t="s">
        <v>67</v>
      </c>
      <c r="AJ1332" t="s">
        <v>108</v>
      </c>
      <c r="AK1332" s="3" t="s">
        <v>27</v>
      </c>
      <c r="AL1332" s="3">
        <v>196.042026851</v>
      </c>
      <c r="AS1332" t="s">
        <v>1908</v>
      </c>
      <c r="AT1332" t="s">
        <v>88</v>
      </c>
      <c r="AU1332" t="s">
        <v>111</v>
      </c>
      <c r="AV1332" s="14">
        <v>9500</v>
      </c>
    </row>
    <row r="1333" spans="26:48">
      <c r="Z1333" s="3"/>
      <c r="AC1333"/>
      <c r="AE1333" s="3"/>
      <c r="AH1333" t="s">
        <v>1846</v>
      </c>
      <c r="AI1333" t="s">
        <v>67</v>
      </c>
      <c r="AJ1333" t="s">
        <v>98</v>
      </c>
      <c r="AK1333" s="3" t="s">
        <v>27</v>
      </c>
      <c r="AL1333" s="3">
        <v>253.54198164549999</v>
      </c>
      <c r="AS1333" t="s">
        <v>1908</v>
      </c>
      <c r="AT1333" t="s">
        <v>88</v>
      </c>
      <c r="AU1333" t="s">
        <v>268</v>
      </c>
      <c r="AV1333" s="14">
        <v>0</v>
      </c>
    </row>
    <row r="1334" spans="26:48">
      <c r="Z1334" s="3"/>
      <c r="AC1334"/>
      <c r="AE1334" s="3"/>
      <c r="AH1334" t="s">
        <v>1846</v>
      </c>
      <c r="AI1334" t="s">
        <v>67</v>
      </c>
      <c r="AJ1334" t="s">
        <v>66</v>
      </c>
      <c r="AK1334" s="3" t="s">
        <v>114</v>
      </c>
      <c r="AL1334" s="3">
        <v>665</v>
      </c>
      <c r="AS1334" t="s">
        <v>1908</v>
      </c>
      <c r="AT1334" t="s">
        <v>88</v>
      </c>
      <c r="AU1334" t="s">
        <v>269</v>
      </c>
      <c r="AV1334" s="14">
        <v>0</v>
      </c>
    </row>
    <row r="1335" spans="26:48">
      <c r="Z1335" s="3"/>
      <c r="AC1335"/>
      <c r="AE1335" s="3"/>
      <c r="AH1335" t="s">
        <v>1846</v>
      </c>
      <c r="AI1335" t="s">
        <v>67</v>
      </c>
      <c r="AJ1335" t="s">
        <v>98</v>
      </c>
      <c r="AK1335" s="3" t="s">
        <v>114</v>
      </c>
      <c r="AL1335" s="3">
        <v>-34.012395205499999</v>
      </c>
      <c r="AS1335" t="s">
        <v>1908</v>
      </c>
      <c r="AT1335" t="s">
        <v>88</v>
      </c>
      <c r="AU1335" t="s">
        <v>270</v>
      </c>
      <c r="AV1335" s="14">
        <v>0</v>
      </c>
    </row>
    <row r="1336" spans="26:48">
      <c r="Z1336" s="3"/>
      <c r="AC1336"/>
      <c r="AE1336" s="3"/>
      <c r="AH1336" t="s">
        <v>1846</v>
      </c>
      <c r="AI1336" t="s">
        <v>67</v>
      </c>
      <c r="AJ1336" t="s">
        <v>66</v>
      </c>
      <c r="AK1336" s="3" t="s">
        <v>115</v>
      </c>
      <c r="AL1336" s="3">
        <v>19343.2</v>
      </c>
      <c r="AS1336" t="s">
        <v>1908</v>
      </c>
      <c r="AT1336" t="s">
        <v>88</v>
      </c>
      <c r="AU1336" t="s">
        <v>271</v>
      </c>
      <c r="AV1336" s="14">
        <v>3414</v>
      </c>
    </row>
    <row r="1337" spans="26:48">
      <c r="Z1337" s="3"/>
      <c r="AC1337"/>
      <c r="AE1337" s="3"/>
      <c r="AH1337" t="s">
        <v>1846</v>
      </c>
      <c r="AI1337" t="s">
        <v>67</v>
      </c>
      <c r="AJ1337" t="s">
        <v>98</v>
      </c>
      <c r="AK1337" s="3" t="s">
        <v>115</v>
      </c>
      <c r="AL1337" s="3">
        <v>-287.55437685099997</v>
      </c>
      <c r="AS1337" t="s">
        <v>1908</v>
      </c>
      <c r="AT1337" t="s">
        <v>88</v>
      </c>
      <c r="AU1337" t="s">
        <v>272</v>
      </c>
      <c r="AV1337" s="14">
        <v>0</v>
      </c>
    </row>
    <row r="1338" spans="26:48">
      <c r="Z1338" s="3"/>
      <c r="AC1338"/>
      <c r="AE1338" s="3"/>
      <c r="AH1338" t="s">
        <v>1846</v>
      </c>
      <c r="AI1338" t="s">
        <v>68</v>
      </c>
      <c r="AJ1338" t="s">
        <v>66</v>
      </c>
      <c r="AK1338" s="3" t="s">
        <v>27</v>
      </c>
      <c r="AL1338" s="3">
        <v>-5953.5</v>
      </c>
      <c r="AS1338" t="s">
        <v>1908</v>
      </c>
      <c r="AT1338" t="s">
        <v>88</v>
      </c>
      <c r="AU1338" t="s">
        <v>273</v>
      </c>
      <c r="AV1338" s="14">
        <v>0</v>
      </c>
    </row>
    <row r="1339" spans="26:48">
      <c r="Z1339" s="3"/>
      <c r="AC1339"/>
      <c r="AE1339" s="3"/>
      <c r="AH1339" t="s">
        <v>1846</v>
      </c>
      <c r="AI1339" t="s">
        <v>68</v>
      </c>
      <c r="AJ1339" t="s">
        <v>72</v>
      </c>
      <c r="AK1339" s="3" t="s">
        <v>27</v>
      </c>
      <c r="AL1339" s="3">
        <v>-5715.4323649999997</v>
      </c>
      <c r="AS1339" t="s">
        <v>1909</v>
      </c>
      <c r="AT1339" t="s">
        <v>88</v>
      </c>
      <c r="AU1339" t="s">
        <v>109</v>
      </c>
      <c r="AV1339" s="14">
        <v>15442.329100000001</v>
      </c>
    </row>
    <row r="1340" spans="26:48">
      <c r="Z1340" s="3"/>
      <c r="AC1340"/>
      <c r="AE1340" s="3"/>
      <c r="AH1340" t="s">
        <v>1846</v>
      </c>
      <c r="AI1340" t="s">
        <v>68</v>
      </c>
      <c r="AJ1340" t="s">
        <v>113</v>
      </c>
      <c r="AK1340" s="3" t="s">
        <v>27</v>
      </c>
      <c r="AL1340" s="3">
        <v>75.943256294799994</v>
      </c>
      <c r="AS1340" t="s">
        <v>1909</v>
      </c>
      <c r="AT1340" t="s">
        <v>88</v>
      </c>
      <c r="AU1340" t="s">
        <v>110</v>
      </c>
      <c r="AV1340" s="14">
        <v>397.61059999999998</v>
      </c>
    </row>
    <row r="1341" spans="26:48">
      <c r="Z1341" s="3"/>
      <c r="AC1341"/>
      <c r="AE1341" s="3"/>
      <c r="AH1341" t="s">
        <v>1846</v>
      </c>
      <c r="AI1341" t="s">
        <v>68</v>
      </c>
      <c r="AJ1341" t="s">
        <v>108</v>
      </c>
      <c r="AK1341" s="3" t="s">
        <v>27</v>
      </c>
      <c r="AL1341" s="3">
        <v>162.1243787052</v>
      </c>
      <c r="AS1341" t="s">
        <v>1909</v>
      </c>
      <c r="AT1341" t="s">
        <v>88</v>
      </c>
      <c r="AU1341" t="s">
        <v>111</v>
      </c>
      <c r="AV1341" s="14">
        <v>9500</v>
      </c>
    </row>
    <row r="1342" spans="26:48">
      <c r="Z1342" s="3"/>
      <c r="AC1342"/>
      <c r="AE1342" s="3"/>
      <c r="AH1342" t="s">
        <v>1846</v>
      </c>
      <c r="AI1342" t="s">
        <v>68</v>
      </c>
      <c r="AJ1342" t="s">
        <v>98</v>
      </c>
      <c r="AK1342" s="3" t="s">
        <v>27</v>
      </c>
      <c r="AL1342" s="3">
        <v>133.6496018558</v>
      </c>
      <c r="AS1342" t="s">
        <v>1909</v>
      </c>
      <c r="AT1342" t="s">
        <v>88</v>
      </c>
      <c r="AU1342" t="s">
        <v>268</v>
      </c>
      <c r="AV1342" s="14">
        <v>0</v>
      </c>
    </row>
    <row r="1343" spans="26:48">
      <c r="Z1343" s="3"/>
      <c r="AC1343"/>
      <c r="AE1343" s="3"/>
      <c r="AH1343" t="s">
        <v>1846</v>
      </c>
      <c r="AI1343" t="s">
        <v>68</v>
      </c>
      <c r="AJ1343" t="s">
        <v>66</v>
      </c>
      <c r="AK1343" s="3" t="s">
        <v>114</v>
      </c>
      <c r="AL1343" s="3">
        <v>2911</v>
      </c>
      <c r="AS1343" t="s">
        <v>1909</v>
      </c>
      <c r="AT1343" t="s">
        <v>88</v>
      </c>
      <c r="AU1343" t="s">
        <v>269</v>
      </c>
      <c r="AV1343" s="14">
        <v>0</v>
      </c>
    </row>
    <row r="1344" spans="26:48">
      <c r="Z1344" s="3"/>
      <c r="AC1344"/>
      <c r="AE1344" s="3"/>
      <c r="AH1344" t="s">
        <v>1846</v>
      </c>
      <c r="AI1344" t="s">
        <v>68</v>
      </c>
      <c r="AJ1344" t="s">
        <v>98</v>
      </c>
      <c r="AK1344" s="3" t="s">
        <v>114</v>
      </c>
      <c r="AL1344" s="3">
        <v>-134.5826268493</v>
      </c>
      <c r="AS1344" t="s">
        <v>1909</v>
      </c>
      <c r="AT1344" t="s">
        <v>88</v>
      </c>
      <c r="AU1344" t="s">
        <v>270</v>
      </c>
      <c r="AV1344" s="14">
        <v>0</v>
      </c>
    </row>
    <row r="1345" spans="26:48">
      <c r="Z1345" s="3"/>
      <c r="AC1345"/>
      <c r="AE1345" s="3"/>
      <c r="AH1345" t="s">
        <v>1846</v>
      </c>
      <c r="AI1345" t="s">
        <v>68</v>
      </c>
      <c r="AJ1345" t="s">
        <v>66</v>
      </c>
      <c r="AK1345" s="3" t="s">
        <v>115</v>
      </c>
      <c r="AL1345" s="3">
        <v>8864.5</v>
      </c>
      <c r="AS1345" t="s">
        <v>1909</v>
      </c>
      <c r="AT1345" t="s">
        <v>88</v>
      </c>
      <c r="AU1345" t="s">
        <v>271</v>
      </c>
      <c r="AV1345" s="14">
        <v>2765</v>
      </c>
    </row>
    <row r="1346" spans="26:48">
      <c r="Z1346" s="3"/>
      <c r="AC1346"/>
      <c r="AE1346" s="3"/>
      <c r="AH1346" t="s">
        <v>1846</v>
      </c>
      <c r="AI1346" t="s">
        <v>68</v>
      </c>
      <c r="AJ1346" t="s">
        <v>98</v>
      </c>
      <c r="AK1346" s="3" t="s">
        <v>115</v>
      </c>
      <c r="AL1346" s="3">
        <v>-268.23222870519999</v>
      </c>
      <c r="AS1346" t="s">
        <v>1909</v>
      </c>
      <c r="AT1346" t="s">
        <v>88</v>
      </c>
      <c r="AU1346" t="s">
        <v>272</v>
      </c>
      <c r="AV1346" s="14">
        <v>0</v>
      </c>
    </row>
    <row r="1347" spans="26:48">
      <c r="Z1347" s="3"/>
      <c r="AC1347"/>
      <c r="AE1347" s="3"/>
      <c r="AH1347" t="s">
        <v>1846</v>
      </c>
      <c r="AI1347" t="s">
        <v>800</v>
      </c>
      <c r="AJ1347" t="s">
        <v>31</v>
      </c>
      <c r="AK1347" s="3" t="s">
        <v>27</v>
      </c>
      <c r="AL1347" s="3">
        <v>4.0306952152999997</v>
      </c>
      <c r="AS1347" t="s">
        <v>1909</v>
      </c>
      <c r="AT1347" t="s">
        <v>88</v>
      </c>
      <c r="AU1347" t="s">
        <v>273</v>
      </c>
      <c r="AV1347" s="14">
        <v>0</v>
      </c>
    </row>
    <row r="1348" spans="26:48">
      <c r="Z1348" s="3"/>
      <c r="AC1348"/>
      <c r="AE1348" s="3"/>
      <c r="AH1348" t="s">
        <v>1847</v>
      </c>
      <c r="AI1348" t="s">
        <v>65</v>
      </c>
      <c r="AJ1348" t="s">
        <v>66</v>
      </c>
      <c r="AK1348" s="3" t="s">
        <v>27</v>
      </c>
      <c r="AL1348" s="3">
        <v>35283.699999999997</v>
      </c>
      <c r="AS1348" t="s">
        <v>1910</v>
      </c>
      <c r="AT1348" t="s">
        <v>88</v>
      </c>
      <c r="AU1348" t="s">
        <v>109</v>
      </c>
      <c r="AV1348" s="14">
        <v>16742.329099999999</v>
      </c>
    </row>
    <row r="1349" spans="26:48">
      <c r="Z1349" s="3"/>
      <c r="AC1349"/>
      <c r="AE1349" s="3"/>
      <c r="AH1349" t="s">
        <v>1847</v>
      </c>
      <c r="AI1349" t="s">
        <v>65</v>
      </c>
      <c r="AJ1349" t="s">
        <v>72</v>
      </c>
      <c r="AK1349" s="3" t="s">
        <v>27</v>
      </c>
      <c r="AL1349" s="3">
        <v>35138.281905999997</v>
      </c>
      <c r="AS1349" t="s">
        <v>1910</v>
      </c>
      <c r="AT1349" t="s">
        <v>88</v>
      </c>
      <c r="AU1349" t="s">
        <v>110</v>
      </c>
      <c r="AV1349" s="14">
        <v>397.61059999999998</v>
      </c>
    </row>
    <row r="1350" spans="26:48">
      <c r="Z1350" s="3"/>
      <c r="AC1350"/>
      <c r="AE1350" s="3"/>
      <c r="AH1350" t="s">
        <v>1847</v>
      </c>
      <c r="AI1350" t="s">
        <v>65</v>
      </c>
      <c r="AJ1350" t="s">
        <v>113</v>
      </c>
      <c r="AK1350" s="3" t="s">
        <v>27</v>
      </c>
      <c r="AL1350" s="3">
        <v>1094.0064767844999</v>
      </c>
      <c r="AS1350" t="s">
        <v>1910</v>
      </c>
      <c r="AT1350" t="s">
        <v>88</v>
      </c>
      <c r="AU1350" t="s">
        <v>111</v>
      </c>
      <c r="AV1350" s="14">
        <v>9500</v>
      </c>
    </row>
    <row r="1351" spans="26:48">
      <c r="Z1351" s="3"/>
      <c r="AC1351"/>
      <c r="AE1351" s="3"/>
      <c r="AH1351" t="s">
        <v>1847</v>
      </c>
      <c r="AI1351" t="s">
        <v>65</v>
      </c>
      <c r="AJ1351" t="s">
        <v>108</v>
      </c>
      <c r="AK1351" s="3" t="s">
        <v>27</v>
      </c>
      <c r="AL1351" s="3">
        <v>-1239.4245707845</v>
      </c>
      <c r="AS1351" t="s">
        <v>1910</v>
      </c>
      <c r="AT1351" t="s">
        <v>88</v>
      </c>
      <c r="AU1351" t="s">
        <v>268</v>
      </c>
      <c r="AV1351" s="14">
        <v>0</v>
      </c>
    </row>
    <row r="1352" spans="26:48">
      <c r="Z1352" s="3"/>
      <c r="AC1352"/>
      <c r="AE1352" s="3"/>
      <c r="AH1352" t="s">
        <v>1847</v>
      </c>
      <c r="AI1352" t="s">
        <v>65</v>
      </c>
      <c r="AJ1352" t="s">
        <v>98</v>
      </c>
      <c r="AK1352" s="3" t="s">
        <v>27</v>
      </c>
      <c r="AL1352" s="3">
        <v>-1239.4245707845</v>
      </c>
      <c r="AS1352" t="s">
        <v>1910</v>
      </c>
      <c r="AT1352" t="s">
        <v>88</v>
      </c>
      <c r="AU1352" t="s">
        <v>269</v>
      </c>
      <c r="AV1352" s="14">
        <v>0</v>
      </c>
    </row>
    <row r="1353" spans="26:48">
      <c r="Z1353" s="3"/>
      <c r="AC1353"/>
      <c r="AE1353" s="3"/>
      <c r="AH1353" t="s">
        <v>1847</v>
      </c>
      <c r="AI1353" t="s">
        <v>67</v>
      </c>
      <c r="AJ1353" t="s">
        <v>66</v>
      </c>
      <c r="AK1353" s="3" t="s">
        <v>27</v>
      </c>
      <c r="AL1353" s="3">
        <v>-17803.2</v>
      </c>
      <c r="AS1353" t="s">
        <v>1910</v>
      </c>
      <c r="AT1353" t="s">
        <v>88</v>
      </c>
      <c r="AU1353" t="s">
        <v>270</v>
      </c>
      <c r="AV1353" s="14">
        <v>0</v>
      </c>
    </row>
    <row r="1354" spans="26:48">
      <c r="Z1354" s="3"/>
      <c r="AC1354"/>
      <c r="AE1354" s="3"/>
      <c r="AH1354" t="s">
        <v>1847</v>
      </c>
      <c r="AI1354" t="s">
        <v>67</v>
      </c>
      <c r="AJ1354" t="s">
        <v>72</v>
      </c>
      <c r="AK1354" s="3" t="s">
        <v>27</v>
      </c>
      <c r="AL1354" s="3">
        <v>-18765.997501000002</v>
      </c>
      <c r="AS1354" t="s">
        <v>1910</v>
      </c>
      <c r="AT1354" t="s">
        <v>88</v>
      </c>
      <c r="AU1354" t="s">
        <v>271</v>
      </c>
      <c r="AV1354" s="14">
        <v>1165</v>
      </c>
    </row>
    <row r="1355" spans="26:48">
      <c r="Z1355" s="3"/>
      <c r="AC1355"/>
      <c r="AE1355" s="3"/>
      <c r="AH1355" t="s">
        <v>1847</v>
      </c>
      <c r="AI1355" t="s">
        <v>67</v>
      </c>
      <c r="AJ1355" t="s">
        <v>113</v>
      </c>
      <c r="AK1355" s="3" t="s">
        <v>27</v>
      </c>
      <c r="AL1355" s="3">
        <v>-1186.5700921042001</v>
      </c>
      <c r="AS1355" t="s">
        <v>1910</v>
      </c>
      <c r="AT1355" t="s">
        <v>88</v>
      </c>
      <c r="AU1355" t="s">
        <v>272</v>
      </c>
      <c r="AV1355" s="14">
        <v>0</v>
      </c>
    </row>
    <row r="1356" spans="26:48">
      <c r="Z1356" s="3"/>
      <c r="AC1356"/>
      <c r="AE1356" s="3"/>
      <c r="AH1356" t="s">
        <v>1847</v>
      </c>
      <c r="AI1356" t="s">
        <v>67</v>
      </c>
      <c r="AJ1356" t="s">
        <v>108</v>
      </c>
      <c r="AK1356" s="3" t="s">
        <v>27</v>
      </c>
      <c r="AL1356" s="3">
        <v>223.77259110419999</v>
      </c>
      <c r="AS1356" t="s">
        <v>1910</v>
      </c>
      <c r="AT1356" t="s">
        <v>88</v>
      </c>
      <c r="AU1356" t="s">
        <v>273</v>
      </c>
      <c r="AV1356" s="14">
        <v>0</v>
      </c>
    </row>
    <row r="1357" spans="26:48">
      <c r="Z1357" s="3"/>
      <c r="AC1357"/>
      <c r="AE1357" s="3"/>
      <c r="AH1357" t="s">
        <v>1847</v>
      </c>
      <c r="AI1357" t="s">
        <v>67</v>
      </c>
      <c r="AJ1357" t="s">
        <v>98</v>
      </c>
      <c r="AK1357" s="3" t="s">
        <v>27</v>
      </c>
      <c r="AL1357" s="3">
        <v>219.9106650768</v>
      </c>
      <c r="AS1357" t="s">
        <v>1911</v>
      </c>
      <c r="AT1357" t="s">
        <v>88</v>
      </c>
      <c r="AU1357" t="s">
        <v>109</v>
      </c>
      <c r="AV1357" s="14">
        <v>11753.829100000001</v>
      </c>
    </row>
    <row r="1358" spans="26:48">
      <c r="Z1358" s="3"/>
      <c r="AC1358"/>
      <c r="AE1358" s="3"/>
      <c r="AH1358" t="s">
        <v>1847</v>
      </c>
      <c r="AI1358" t="s">
        <v>67</v>
      </c>
      <c r="AJ1358" t="s">
        <v>66</v>
      </c>
      <c r="AK1358" s="3" t="s">
        <v>114</v>
      </c>
      <c r="AL1358" s="3">
        <v>760</v>
      </c>
      <c r="AS1358" t="s">
        <v>1911</v>
      </c>
      <c r="AT1358" t="s">
        <v>88</v>
      </c>
      <c r="AU1358" t="s">
        <v>110</v>
      </c>
      <c r="AV1358" s="14">
        <v>397.61059999999998</v>
      </c>
    </row>
    <row r="1359" spans="26:48">
      <c r="Z1359" s="3"/>
      <c r="AC1359"/>
      <c r="AE1359" s="3"/>
      <c r="AH1359" t="s">
        <v>1847</v>
      </c>
      <c r="AI1359" t="s">
        <v>67</v>
      </c>
      <c r="AJ1359" t="s">
        <v>98</v>
      </c>
      <c r="AK1359" s="3" t="s">
        <v>114</v>
      </c>
      <c r="AL1359" s="3">
        <v>-48.958126027399999</v>
      </c>
      <c r="AS1359" t="s">
        <v>1911</v>
      </c>
      <c r="AT1359" t="s">
        <v>88</v>
      </c>
      <c r="AU1359" t="s">
        <v>111</v>
      </c>
      <c r="AV1359" s="14">
        <v>9500</v>
      </c>
    </row>
    <row r="1360" spans="26:48">
      <c r="Z1360" s="3"/>
      <c r="AC1360"/>
      <c r="AE1360" s="3"/>
      <c r="AH1360" t="s">
        <v>1847</v>
      </c>
      <c r="AI1360" t="s">
        <v>67</v>
      </c>
      <c r="AJ1360" t="s">
        <v>66</v>
      </c>
      <c r="AK1360" s="3" t="s">
        <v>115</v>
      </c>
      <c r="AL1360" s="3">
        <v>18563.2</v>
      </c>
      <c r="AS1360" t="s">
        <v>1911</v>
      </c>
      <c r="AT1360" t="s">
        <v>88</v>
      </c>
      <c r="AU1360" t="s">
        <v>268</v>
      </c>
      <c r="AV1360" s="14">
        <v>0</v>
      </c>
    </row>
    <row r="1361" spans="26:48">
      <c r="Z1361" s="3"/>
      <c r="AC1361"/>
      <c r="AE1361" s="3"/>
      <c r="AH1361" t="s">
        <v>1847</v>
      </c>
      <c r="AI1361" t="s">
        <v>67</v>
      </c>
      <c r="AJ1361" t="s">
        <v>98</v>
      </c>
      <c r="AK1361" s="3" t="s">
        <v>115</v>
      </c>
      <c r="AL1361" s="3">
        <v>-268.8687911042</v>
      </c>
      <c r="AS1361" t="s">
        <v>1911</v>
      </c>
      <c r="AT1361" t="s">
        <v>88</v>
      </c>
      <c r="AU1361" t="s">
        <v>269</v>
      </c>
      <c r="AV1361" s="14">
        <v>0</v>
      </c>
    </row>
    <row r="1362" spans="26:48">
      <c r="Z1362" s="3"/>
      <c r="AC1362"/>
      <c r="AE1362" s="3"/>
      <c r="AH1362" t="s">
        <v>1847</v>
      </c>
      <c r="AI1362" t="s">
        <v>68</v>
      </c>
      <c r="AJ1362" t="s">
        <v>66</v>
      </c>
      <c r="AK1362" s="3" t="s">
        <v>27</v>
      </c>
      <c r="AL1362" s="3">
        <v>-6068.5</v>
      </c>
      <c r="AS1362" t="s">
        <v>1911</v>
      </c>
      <c r="AT1362" t="s">
        <v>88</v>
      </c>
      <c r="AU1362" t="s">
        <v>270</v>
      </c>
      <c r="AV1362" s="14">
        <v>0</v>
      </c>
    </row>
    <row r="1363" spans="26:48">
      <c r="Z1363" s="3"/>
      <c r="AC1363"/>
      <c r="AE1363" s="3"/>
      <c r="AH1363" t="s">
        <v>1847</v>
      </c>
      <c r="AI1363" t="s">
        <v>68</v>
      </c>
      <c r="AJ1363" t="s">
        <v>72</v>
      </c>
      <c r="AK1363" s="3" t="s">
        <v>27</v>
      </c>
      <c r="AL1363" s="3">
        <v>-5851.9066650000004</v>
      </c>
      <c r="AS1363" t="s">
        <v>1911</v>
      </c>
      <c r="AT1363" t="s">
        <v>88</v>
      </c>
      <c r="AU1363" t="s">
        <v>271</v>
      </c>
      <c r="AV1363" s="14">
        <v>3718</v>
      </c>
    </row>
    <row r="1364" spans="26:48">
      <c r="Z1364" s="3"/>
      <c r="AC1364"/>
      <c r="AE1364" s="3"/>
      <c r="AH1364" t="s">
        <v>1847</v>
      </c>
      <c r="AI1364" t="s">
        <v>68</v>
      </c>
      <c r="AJ1364" t="s">
        <v>113</v>
      </c>
      <c r="AK1364" s="3" t="s">
        <v>27</v>
      </c>
      <c r="AL1364" s="3">
        <v>127.1162438376</v>
      </c>
      <c r="AS1364" t="s">
        <v>1911</v>
      </c>
      <c r="AT1364" t="s">
        <v>88</v>
      </c>
      <c r="AU1364" t="s">
        <v>272</v>
      </c>
      <c r="AV1364" s="14">
        <v>0</v>
      </c>
    </row>
    <row r="1365" spans="26:48">
      <c r="Z1365" s="3"/>
      <c r="AC1365"/>
      <c r="AE1365" s="3"/>
      <c r="AH1365" t="s">
        <v>1847</v>
      </c>
      <c r="AI1365" t="s">
        <v>68</v>
      </c>
      <c r="AJ1365" t="s">
        <v>108</v>
      </c>
      <c r="AK1365" s="3" t="s">
        <v>27</v>
      </c>
      <c r="AL1365" s="3">
        <v>89.477091162400001</v>
      </c>
      <c r="AS1365" t="s">
        <v>1911</v>
      </c>
      <c r="AT1365" t="s">
        <v>88</v>
      </c>
      <c r="AU1365" t="s">
        <v>273</v>
      </c>
      <c r="AV1365" s="14">
        <v>0</v>
      </c>
    </row>
    <row r="1366" spans="26:48">
      <c r="Z1366" s="3"/>
      <c r="AC1366"/>
      <c r="AE1366" s="3"/>
      <c r="AH1366" t="s">
        <v>1847</v>
      </c>
      <c r="AI1366" t="s">
        <v>68</v>
      </c>
      <c r="AJ1366" t="s">
        <v>98</v>
      </c>
      <c r="AK1366" s="3" t="s">
        <v>27</v>
      </c>
      <c r="AL1366" s="3">
        <v>118.5022691076</v>
      </c>
      <c r="AS1366" t="s">
        <v>1912</v>
      </c>
      <c r="AT1366" t="s">
        <v>88</v>
      </c>
      <c r="AU1366" t="s">
        <v>109</v>
      </c>
      <c r="AV1366" s="14">
        <v>12596.1291</v>
      </c>
    </row>
    <row r="1367" spans="26:48">
      <c r="Z1367" s="3"/>
      <c r="AC1367"/>
      <c r="AE1367" s="3"/>
      <c r="AH1367" t="s">
        <v>1847</v>
      </c>
      <c r="AI1367" t="s">
        <v>68</v>
      </c>
      <c r="AJ1367" t="s">
        <v>66</v>
      </c>
      <c r="AK1367" s="3" t="s">
        <v>114</v>
      </c>
      <c r="AL1367" s="3">
        <v>3576</v>
      </c>
      <c r="AS1367" t="s">
        <v>1912</v>
      </c>
      <c r="AT1367" t="s">
        <v>88</v>
      </c>
      <c r="AU1367" t="s">
        <v>110</v>
      </c>
      <c r="AV1367" s="14">
        <v>397.61059999999998</v>
      </c>
    </row>
    <row r="1368" spans="26:48">
      <c r="Z1368" s="3"/>
      <c r="AC1368"/>
      <c r="AE1368" s="3"/>
      <c r="AH1368" t="s">
        <v>1847</v>
      </c>
      <c r="AI1368" t="s">
        <v>68</v>
      </c>
      <c r="AJ1368" t="s">
        <v>98</v>
      </c>
      <c r="AK1368" s="3" t="s">
        <v>114</v>
      </c>
      <c r="AL1368" s="3">
        <v>-168.55133205480001</v>
      </c>
      <c r="AS1368" t="s">
        <v>1912</v>
      </c>
      <c r="AT1368" t="s">
        <v>88</v>
      </c>
      <c r="AU1368" t="s">
        <v>111</v>
      </c>
      <c r="AV1368" s="14">
        <v>9500</v>
      </c>
    </row>
    <row r="1369" spans="26:48">
      <c r="Z1369" s="3"/>
      <c r="AC1369"/>
      <c r="AE1369" s="3"/>
      <c r="AH1369" t="s">
        <v>1847</v>
      </c>
      <c r="AI1369" t="s">
        <v>68</v>
      </c>
      <c r="AJ1369" t="s">
        <v>66</v>
      </c>
      <c r="AK1369" s="3" t="s">
        <v>115</v>
      </c>
      <c r="AL1369" s="3">
        <v>9644.5</v>
      </c>
      <c r="AS1369" t="s">
        <v>1912</v>
      </c>
      <c r="AT1369" t="s">
        <v>88</v>
      </c>
      <c r="AU1369" t="s">
        <v>268</v>
      </c>
      <c r="AV1369" s="14">
        <v>0</v>
      </c>
    </row>
    <row r="1370" spans="26:48">
      <c r="Z1370" s="3"/>
      <c r="AC1370"/>
      <c r="AE1370" s="3"/>
      <c r="AH1370" t="s">
        <v>1847</v>
      </c>
      <c r="AI1370" t="s">
        <v>68</v>
      </c>
      <c r="AJ1370" t="s">
        <v>98</v>
      </c>
      <c r="AK1370" s="3" t="s">
        <v>115</v>
      </c>
      <c r="AL1370" s="3">
        <v>-287.05360116240001</v>
      </c>
      <c r="AS1370" t="s">
        <v>1912</v>
      </c>
      <c r="AT1370" t="s">
        <v>88</v>
      </c>
      <c r="AU1370" t="s">
        <v>269</v>
      </c>
      <c r="AV1370" s="14">
        <v>0</v>
      </c>
    </row>
    <row r="1371" spans="26:48">
      <c r="Z1371" s="3"/>
      <c r="AC1371"/>
      <c r="AE1371" s="3"/>
      <c r="AH1371" t="s">
        <v>1847</v>
      </c>
      <c r="AI1371" t="s">
        <v>800</v>
      </c>
      <c r="AJ1371" t="s">
        <v>31</v>
      </c>
      <c r="AK1371" s="3" t="s">
        <v>27</v>
      </c>
      <c r="AL1371" s="3">
        <v>4.0461540068000001</v>
      </c>
      <c r="AS1371" t="s">
        <v>1912</v>
      </c>
      <c r="AT1371" t="s">
        <v>88</v>
      </c>
      <c r="AU1371" t="s">
        <v>270</v>
      </c>
      <c r="AV1371" s="14">
        <v>0</v>
      </c>
    </row>
    <row r="1372" spans="26:48">
      <c r="Z1372" s="3"/>
      <c r="AC1372"/>
      <c r="AE1372" s="3"/>
      <c r="AH1372" t="s">
        <v>1848</v>
      </c>
      <c r="AI1372" t="s">
        <v>65</v>
      </c>
      <c r="AJ1372" t="s">
        <v>66</v>
      </c>
      <c r="AK1372" s="3" t="s">
        <v>27</v>
      </c>
      <c r="AL1372" s="3">
        <v>36443.699999999997</v>
      </c>
      <c r="AS1372" t="s">
        <v>1912</v>
      </c>
      <c r="AT1372" t="s">
        <v>88</v>
      </c>
      <c r="AU1372" t="s">
        <v>271</v>
      </c>
      <c r="AV1372" s="14">
        <v>3553.7</v>
      </c>
    </row>
    <row r="1373" spans="26:48">
      <c r="Z1373" s="3"/>
      <c r="AC1373"/>
      <c r="AE1373" s="3"/>
      <c r="AH1373" t="s">
        <v>1848</v>
      </c>
      <c r="AI1373" t="s">
        <v>65</v>
      </c>
      <c r="AJ1373" t="s">
        <v>72</v>
      </c>
      <c r="AK1373" s="3" t="s">
        <v>27</v>
      </c>
      <c r="AL1373" s="3">
        <v>36713.719405999997</v>
      </c>
      <c r="AS1373" t="s">
        <v>1912</v>
      </c>
      <c r="AT1373" t="s">
        <v>88</v>
      </c>
      <c r="AU1373" t="s">
        <v>272</v>
      </c>
      <c r="AV1373" s="14">
        <v>0</v>
      </c>
    </row>
    <row r="1374" spans="26:48">
      <c r="Z1374" s="3"/>
      <c r="AC1374"/>
      <c r="AE1374" s="3"/>
      <c r="AH1374" t="s">
        <v>1848</v>
      </c>
      <c r="AI1374" t="s">
        <v>65</v>
      </c>
      <c r="AJ1374" t="s">
        <v>113</v>
      </c>
      <c r="AK1374" s="3" t="s">
        <v>27</v>
      </c>
      <c r="AL1374" s="3">
        <v>1587.6225819358001</v>
      </c>
      <c r="AS1374" t="s">
        <v>1912</v>
      </c>
      <c r="AT1374" t="s">
        <v>88</v>
      </c>
      <c r="AU1374" t="s">
        <v>273</v>
      </c>
      <c r="AV1374" s="14">
        <v>0</v>
      </c>
    </row>
    <row r="1375" spans="26:48">
      <c r="Z1375" s="3"/>
      <c r="AC1375"/>
      <c r="AE1375" s="3"/>
      <c r="AH1375" t="s">
        <v>1848</v>
      </c>
      <c r="AI1375" t="s">
        <v>65</v>
      </c>
      <c r="AJ1375" t="s">
        <v>108</v>
      </c>
      <c r="AK1375" s="3" t="s">
        <v>27</v>
      </c>
      <c r="AL1375" s="3">
        <v>-1317.6031759358</v>
      </c>
      <c r="AS1375" t="s">
        <v>1913</v>
      </c>
      <c r="AT1375" t="s">
        <v>88</v>
      </c>
      <c r="AU1375" t="s">
        <v>109</v>
      </c>
      <c r="AV1375" s="14">
        <v>15802.1291</v>
      </c>
    </row>
    <row r="1376" spans="26:48">
      <c r="Z1376" s="3"/>
      <c r="AC1376"/>
      <c r="AE1376" s="3"/>
      <c r="AH1376" t="s">
        <v>1848</v>
      </c>
      <c r="AI1376" t="s">
        <v>65</v>
      </c>
      <c r="AJ1376" t="s">
        <v>98</v>
      </c>
      <c r="AK1376" s="3" t="s">
        <v>27</v>
      </c>
      <c r="AL1376" s="3">
        <v>-1317.6031759358</v>
      </c>
      <c r="AS1376" t="s">
        <v>1913</v>
      </c>
      <c r="AT1376" t="s">
        <v>88</v>
      </c>
      <c r="AU1376" t="s">
        <v>110</v>
      </c>
      <c r="AV1376" s="14">
        <v>397.61059999999998</v>
      </c>
    </row>
    <row r="1377" spans="26:48">
      <c r="Z1377" s="3"/>
      <c r="AC1377"/>
      <c r="AE1377" s="3"/>
      <c r="AH1377" t="s">
        <v>1848</v>
      </c>
      <c r="AI1377" t="s">
        <v>67</v>
      </c>
      <c r="AJ1377" t="s">
        <v>66</v>
      </c>
      <c r="AK1377" s="3" t="s">
        <v>27</v>
      </c>
      <c r="AL1377" s="3">
        <v>-19723.2</v>
      </c>
      <c r="AS1377" t="s">
        <v>1913</v>
      </c>
      <c r="AT1377" t="s">
        <v>88</v>
      </c>
      <c r="AU1377" t="s">
        <v>111</v>
      </c>
      <c r="AV1377" s="14">
        <v>9500</v>
      </c>
    </row>
    <row r="1378" spans="26:48">
      <c r="Z1378" s="3"/>
      <c r="AC1378"/>
      <c r="AE1378" s="3"/>
      <c r="AH1378" t="s">
        <v>1848</v>
      </c>
      <c r="AI1378" t="s">
        <v>67</v>
      </c>
      <c r="AJ1378" t="s">
        <v>72</v>
      </c>
      <c r="AK1378" s="3" t="s">
        <v>27</v>
      </c>
      <c r="AL1378" s="3">
        <v>-21055.644725999999</v>
      </c>
      <c r="AS1378" t="s">
        <v>1913</v>
      </c>
      <c r="AT1378" t="s">
        <v>88</v>
      </c>
      <c r="AU1378" t="s">
        <v>268</v>
      </c>
      <c r="AV1378" s="14">
        <v>0</v>
      </c>
    </row>
    <row r="1379" spans="26:48">
      <c r="Z1379" s="3"/>
      <c r="AC1379"/>
      <c r="AE1379" s="3"/>
      <c r="AH1379" t="s">
        <v>1848</v>
      </c>
      <c r="AI1379" t="s">
        <v>67</v>
      </c>
      <c r="AJ1379" t="s">
        <v>113</v>
      </c>
      <c r="AK1379" s="3" t="s">
        <v>27</v>
      </c>
      <c r="AL1379" s="3">
        <v>-1669.6076244578001</v>
      </c>
      <c r="AS1379" t="s">
        <v>1913</v>
      </c>
      <c r="AT1379" t="s">
        <v>88</v>
      </c>
      <c r="AU1379" t="s">
        <v>269</v>
      </c>
      <c r="AV1379" s="14">
        <v>0</v>
      </c>
    </row>
    <row r="1380" spans="26:48">
      <c r="Z1380" s="3"/>
      <c r="AC1380"/>
      <c r="AE1380" s="3"/>
      <c r="AH1380" t="s">
        <v>1848</v>
      </c>
      <c r="AI1380" t="s">
        <v>67</v>
      </c>
      <c r="AJ1380" t="s">
        <v>108</v>
      </c>
      <c r="AK1380" s="3" t="s">
        <v>27</v>
      </c>
      <c r="AL1380" s="3">
        <v>337.1628984578</v>
      </c>
      <c r="AS1380" t="s">
        <v>1913</v>
      </c>
      <c r="AT1380" t="s">
        <v>88</v>
      </c>
      <c r="AU1380" t="s">
        <v>270</v>
      </c>
      <c r="AV1380" s="14">
        <v>0</v>
      </c>
    </row>
    <row r="1381" spans="26:48">
      <c r="Z1381" s="3"/>
      <c r="AC1381"/>
      <c r="AE1381" s="3"/>
      <c r="AH1381" t="s">
        <v>1848</v>
      </c>
      <c r="AI1381" t="s">
        <v>67</v>
      </c>
      <c r="AJ1381" t="s">
        <v>98</v>
      </c>
      <c r="AK1381" s="3" t="s">
        <v>27</v>
      </c>
      <c r="AL1381" s="3">
        <v>337.1628984578</v>
      </c>
      <c r="AS1381" t="s">
        <v>1913</v>
      </c>
      <c r="AT1381" t="s">
        <v>88</v>
      </c>
      <c r="AU1381" t="s">
        <v>271</v>
      </c>
      <c r="AV1381" s="14">
        <v>690</v>
      </c>
    </row>
    <row r="1382" spans="26:48">
      <c r="Z1382" s="3"/>
      <c r="AC1382"/>
      <c r="AE1382" s="3"/>
      <c r="AH1382" t="s">
        <v>1848</v>
      </c>
      <c r="AI1382" t="s">
        <v>67</v>
      </c>
      <c r="AJ1382" t="s">
        <v>66</v>
      </c>
      <c r="AK1382" s="3" t="s">
        <v>114</v>
      </c>
      <c r="AL1382" s="3">
        <v>0</v>
      </c>
      <c r="AS1382" t="s">
        <v>1913</v>
      </c>
      <c r="AT1382" t="s">
        <v>88</v>
      </c>
      <c r="AU1382" t="s">
        <v>272</v>
      </c>
      <c r="AV1382" s="14">
        <v>0</v>
      </c>
    </row>
    <row r="1383" spans="26:48">
      <c r="Z1383" s="3"/>
      <c r="AC1383"/>
      <c r="AE1383" s="3"/>
      <c r="AH1383" t="s">
        <v>1848</v>
      </c>
      <c r="AI1383" t="s">
        <v>67</v>
      </c>
      <c r="AJ1383" t="s">
        <v>98</v>
      </c>
      <c r="AK1383" s="3" t="s">
        <v>114</v>
      </c>
      <c r="AL1383" s="3">
        <v>0</v>
      </c>
      <c r="AS1383" t="s">
        <v>1913</v>
      </c>
      <c r="AT1383" t="s">
        <v>88</v>
      </c>
      <c r="AU1383" t="s">
        <v>273</v>
      </c>
      <c r="AV1383" s="14">
        <v>0</v>
      </c>
    </row>
    <row r="1384" spans="26:48">
      <c r="Z1384" s="3"/>
      <c r="AC1384"/>
      <c r="AE1384" s="3"/>
      <c r="AH1384" t="s">
        <v>1848</v>
      </c>
      <c r="AI1384" t="s">
        <v>67</v>
      </c>
      <c r="AJ1384" t="s">
        <v>66</v>
      </c>
      <c r="AK1384" s="3" t="s">
        <v>115</v>
      </c>
      <c r="AL1384" s="3">
        <v>19723.2</v>
      </c>
      <c r="AS1384" t="s">
        <v>1914</v>
      </c>
      <c r="AT1384" t="s">
        <v>88</v>
      </c>
      <c r="AU1384" t="s">
        <v>109</v>
      </c>
      <c r="AV1384" s="14">
        <v>15302.1291</v>
      </c>
    </row>
    <row r="1385" spans="26:48">
      <c r="Z1385" s="3"/>
      <c r="AC1385"/>
      <c r="AE1385" s="3"/>
      <c r="AH1385" t="s">
        <v>1848</v>
      </c>
      <c r="AI1385" t="s">
        <v>67</v>
      </c>
      <c r="AJ1385" t="s">
        <v>98</v>
      </c>
      <c r="AK1385" s="3" t="s">
        <v>115</v>
      </c>
      <c r="AL1385" s="3">
        <v>-337.1628984578</v>
      </c>
      <c r="AS1385" t="s">
        <v>1914</v>
      </c>
      <c r="AT1385" t="s">
        <v>88</v>
      </c>
      <c r="AU1385" t="s">
        <v>110</v>
      </c>
      <c r="AV1385" s="14">
        <v>397.61059999999998</v>
      </c>
    </row>
    <row r="1386" spans="26:48">
      <c r="Z1386" s="3"/>
      <c r="AC1386"/>
      <c r="AE1386" s="3"/>
      <c r="AH1386" t="s">
        <v>1848</v>
      </c>
      <c r="AI1386" t="s">
        <v>68</v>
      </c>
      <c r="AJ1386" t="s">
        <v>66</v>
      </c>
      <c r="AK1386" s="3" t="s">
        <v>27</v>
      </c>
      <c r="AL1386" s="3">
        <v>-5308.5</v>
      </c>
      <c r="AS1386" t="s">
        <v>1914</v>
      </c>
      <c r="AT1386" t="s">
        <v>88</v>
      </c>
      <c r="AU1386" t="s">
        <v>111</v>
      </c>
      <c r="AV1386" s="14">
        <v>9500</v>
      </c>
    </row>
    <row r="1387" spans="26:48">
      <c r="Z1387" s="3"/>
      <c r="AC1387"/>
      <c r="AE1387" s="3"/>
      <c r="AH1387" t="s">
        <v>1848</v>
      </c>
      <c r="AI1387" t="s">
        <v>68</v>
      </c>
      <c r="AJ1387" t="s">
        <v>72</v>
      </c>
      <c r="AK1387" s="3" t="s">
        <v>27</v>
      </c>
      <c r="AL1387" s="3">
        <v>-5137.3922199999997</v>
      </c>
      <c r="AS1387" t="s">
        <v>1914</v>
      </c>
      <c r="AT1387" t="s">
        <v>88</v>
      </c>
      <c r="AU1387" t="s">
        <v>268</v>
      </c>
      <c r="AV1387" s="14">
        <v>0</v>
      </c>
    </row>
    <row r="1388" spans="26:48">
      <c r="Z1388" s="3"/>
      <c r="AC1388"/>
      <c r="AE1388" s="3"/>
      <c r="AH1388" t="s">
        <v>1848</v>
      </c>
      <c r="AI1388" t="s">
        <v>68</v>
      </c>
      <c r="AJ1388" t="s">
        <v>113</v>
      </c>
      <c r="AK1388" s="3" t="s">
        <v>27</v>
      </c>
      <c r="AL1388" s="3">
        <v>75.061519134299999</v>
      </c>
      <c r="AS1388" t="s">
        <v>1914</v>
      </c>
      <c r="AT1388" t="s">
        <v>88</v>
      </c>
      <c r="AU1388" t="s">
        <v>269</v>
      </c>
      <c r="AV1388" s="14">
        <v>0</v>
      </c>
    </row>
    <row r="1389" spans="26:48">
      <c r="Z1389" s="3"/>
      <c r="AC1389"/>
      <c r="AE1389" s="3"/>
      <c r="AH1389" t="s">
        <v>1848</v>
      </c>
      <c r="AI1389" t="s">
        <v>68</v>
      </c>
      <c r="AJ1389" t="s">
        <v>108</v>
      </c>
      <c r="AK1389" s="3" t="s">
        <v>27</v>
      </c>
      <c r="AL1389" s="3">
        <v>96.046260865700006</v>
      </c>
      <c r="AS1389" t="s">
        <v>1914</v>
      </c>
      <c r="AT1389" t="s">
        <v>88</v>
      </c>
      <c r="AU1389" t="s">
        <v>270</v>
      </c>
      <c r="AV1389" s="14">
        <v>0</v>
      </c>
    </row>
    <row r="1390" spans="26:48">
      <c r="Z1390" s="3"/>
      <c r="AC1390"/>
      <c r="AE1390" s="3"/>
      <c r="AH1390" t="s">
        <v>1848</v>
      </c>
      <c r="AI1390" t="s">
        <v>68</v>
      </c>
      <c r="AJ1390" t="s">
        <v>98</v>
      </c>
      <c r="AK1390" s="3" t="s">
        <v>27</v>
      </c>
      <c r="AL1390" s="3">
        <v>79.703110043799995</v>
      </c>
      <c r="AS1390" t="s">
        <v>1914</v>
      </c>
      <c r="AT1390" t="s">
        <v>88</v>
      </c>
      <c r="AU1390" t="s">
        <v>271</v>
      </c>
      <c r="AV1390" s="14">
        <v>1920</v>
      </c>
    </row>
    <row r="1391" spans="26:48">
      <c r="Z1391" s="3"/>
      <c r="AC1391"/>
      <c r="AE1391" s="3"/>
      <c r="AH1391" t="s">
        <v>1848</v>
      </c>
      <c r="AI1391" t="s">
        <v>68</v>
      </c>
      <c r="AJ1391" t="s">
        <v>66</v>
      </c>
      <c r="AK1391" s="3" t="s">
        <v>114</v>
      </c>
      <c r="AL1391" s="3">
        <v>3556</v>
      </c>
      <c r="AS1391" t="s">
        <v>1914</v>
      </c>
      <c r="AT1391" t="s">
        <v>88</v>
      </c>
      <c r="AU1391" t="s">
        <v>272</v>
      </c>
      <c r="AV1391" s="14">
        <v>0</v>
      </c>
    </row>
    <row r="1392" spans="26:48">
      <c r="Z1392" s="3"/>
      <c r="AC1392"/>
      <c r="AE1392" s="3"/>
      <c r="AH1392" t="s">
        <v>1848</v>
      </c>
      <c r="AI1392" t="s">
        <v>68</v>
      </c>
      <c r="AJ1392" t="s">
        <v>98</v>
      </c>
      <c r="AK1392" s="3" t="s">
        <v>114</v>
      </c>
      <c r="AL1392" s="3">
        <v>-188.69503082189999</v>
      </c>
      <c r="AS1392" t="s">
        <v>1914</v>
      </c>
      <c r="AT1392" t="s">
        <v>88</v>
      </c>
      <c r="AU1392" t="s">
        <v>273</v>
      </c>
      <c r="AV1392" s="14">
        <v>0</v>
      </c>
    </row>
    <row r="1393" spans="26:48">
      <c r="Z1393" s="3"/>
      <c r="AC1393"/>
      <c r="AE1393" s="3"/>
      <c r="AH1393" t="s">
        <v>1848</v>
      </c>
      <c r="AI1393" t="s">
        <v>68</v>
      </c>
      <c r="AJ1393" t="s">
        <v>66</v>
      </c>
      <c r="AK1393" s="3" t="s">
        <v>115</v>
      </c>
      <c r="AL1393" s="3">
        <v>8864.5</v>
      </c>
      <c r="AS1393" t="s">
        <v>1915</v>
      </c>
      <c r="AT1393" t="s">
        <v>88</v>
      </c>
      <c r="AU1393" t="s">
        <v>109</v>
      </c>
      <c r="AV1393" s="14">
        <v>14832.3717</v>
      </c>
    </row>
    <row r="1394" spans="26:48">
      <c r="Z1394" s="3"/>
      <c r="AC1394"/>
      <c r="AE1394" s="3"/>
      <c r="AH1394" t="s">
        <v>1848</v>
      </c>
      <c r="AI1394" t="s">
        <v>68</v>
      </c>
      <c r="AJ1394" t="s">
        <v>98</v>
      </c>
      <c r="AK1394" s="3" t="s">
        <v>115</v>
      </c>
      <c r="AL1394" s="3">
        <v>-268.39814086569999</v>
      </c>
      <c r="AS1394" t="s">
        <v>1915</v>
      </c>
      <c r="AT1394" t="s">
        <v>88</v>
      </c>
      <c r="AU1394" t="s">
        <v>110</v>
      </c>
      <c r="AV1394" s="14">
        <v>397.61059999999998</v>
      </c>
    </row>
    <row r="1395" spans="26:48">
      <c r="Z1395" s="3"/>
      <c r="AC1395"/>
      <c r="AE1395" s="3"/>
      <c r="AH1395" t="s">
        <v>1848</v>
      </c>
      <c r="AI1395" t="s">
        <v>800</v>
      </c>
      <c r="AJ1395" t="s">
        <v>31</v>
      </c>
      <c r="AK1395" s="3" t="s">
        <v>27</v>
      </c>
      <c r="AL1395" s="3">
        <v>4.0516680340000004</v>
      </c>
      <c r="AS1395" t="s">
        <v>1915</v>
      </c>
      <c r="AT1395" t="s">
        <v>88</v>
      </c>
      <c r="AU1395" t="s">
        <v>111</v>
      </c>
      <c r="AV1395" s="14">
        <v>9500</v>
      </c>
    </row>
    <row r="1396" spans="26:48">
      <c r="Z1396" s="3"/>
      <c r="AC1396"/>
      <c r="AE1396" s="3"/>
      <c r="AH1396" t="s">
        <v>1849</v>
      </c>
      <c r="AI1396" t="s">
        <v>68</v>
      </c>
      <c r="AJ1396" t="s">
        <v>113</v>
      </c>
      <c r="AK1396" s="3" t="s">
        <v>27</v>
      </c>
      <c r="AL1396" s="3">
        <v>-418.58025398839999</v>
      </c>
      <c r="AS1396" t="s">
        <v>1915</v>
      </c>
      <c r="AT1396" t="s">
        <v>88</v>
      </c>
      <c r="AU1396" t="s">
        <v>268</v>
      </c>
      <c r="AV1396" s="14">
        <v>0</v>
      </c>
    </row>
    <row r="1397" spans="26:48">
      <c r="Z1397" s="3"/>
      <c r="AC1397"/>
      <c r="AE1397" s="3"/>
      <c r="AH1397" t="s">
        <v>1849</v>
      </c>
      <c r="AI1397" t="s">
        <v>68</v>
      </c>
      <c r="AJ1397" t="s">
        <v>108</v>
      </c>
      <c r="AK1397" s="3" t="s">
        <v>27</v>
      </c>
      <c r="AL1397" s="3">
        <v>175.7663439884</v>
      </c>
      <c r="AS1397" t="s">
        <v>1915</v>
      </c>
      <c r="AT1397" t="s">
        <v>88</v>
      </c>
      <c r="AU1397" t="s">
        <v>269</v>
      </c>
      <c r="AV1397" s="14">
        <v>0</v>
      </c>
    </row>
    <row r="1398" spans="26:48">
      <c r="Z1398" s="3"/>
      <c r="AC1398"/>
      <c r="AE1398" s="3"/>
      <c r="AH1398" t="s">
        <v>1849</v>
      </c>
      <c r="AI1398" t="s">
        <v>68</v>
      </c>
      <c r="AJ1398" t="s">
        <v>98</v>
      </c>
      <c r="AK1398" s="3" t="s">
        <v>27</v>
      </c>
      <c r="AL1398" s="3">
        <v>159.4231931665</v>
      </c>
      <c r="AS1398" t="s">
        <v>1915</v>
      </c>
      <c r="AT1398" t="s">
        <v>88</v>
      </c>
      <c r="AU1398" t="s">
        <v>270</v>
      </c>
      <c r="AV1398" s="14">
        <v>0</v>
      </c>
    </row>
    <row r="1399" spans="26:48">
      <c r="Z1399" s="3"/>
      <c r="AC1399"/>
      <c r="AE1399" s="3"/>
      <c r="AH1399" t="s">
        <v>1849</v>
      </c>
      <c r="AI1399" t="s">
        <v>68</v>
      </c>
      <c r="AJ1399" t="s">
        <v>66</v>
      </c>
      <c r="AK1399" s="3" t="s">
        <v>114</v>
      </c>
      <c r="AL1399" s="3">
        <v>3556</v>
      </c>
      <c r="AS1399" t="s">
        <v>1915</v>
      </c>
      <c r="AT1399" t="s">
        <v>88</v>
      </c>
      <c r="AU1399" t="s">
        <v>271</v>
      </c>
      <c r="AV1399" s="14">
        <v>2220</v>
      </c>
    </row>
    <row r="1400" spans="26:48">
      <c r="Z1400" s="3"/>
      <c r="AC1400"/>
      <c r="AE1400" s="3"/>
      <c r="AH1400" t="s">
        <v>1849</v>
      </c>
      <c r="AI1400" t="s">
        <v>68</v>
      </c>
      <c r="AJ1400" t="s">
        <v>98</v>
      </c>
      <c r="AK1400" s="3" t="s">
        <v>114</v>
      </c>
      <c r="AL1400" s="3">
        <v>-188.78118082189999</v>
      </c>
      <c r="AS1400" t="s">
        <v>1915</v>
      </c>
      <c r="AT1400" t="s">
        <v>88</v>
      </c>
      <c r="AU1400" t="s">
        <v>272</v>
      </c>
      <c r="AV1400" s="14">
        <v>0</v>
      </c>
    </row>
    <row r="1401" spans="26:48">
      <c r="Z1401" s="3"/>
      <c r="AC1401"/>
      <c r="AE1401" s="3"/>
      <c r="AH1401" t="s">
        <v>1849</v>
      </c>
      <c r="AI1401" t="s">
        <v>68</v>
      </c>
      <c r="AJ1401" t="s">
        <v>66</v>
      </c>
      <c r="AK1401" s="3" t="s">
        <v>115</v>
      </c>
      <c r="AL1401" s="3">
        <v>10024.5</v>
      </c>
      <c r="AS1401" t="s">
        <v>1915</v>
      </c>
      <c r="AT1401" t="s">
        <v>88</v>
      </c>
      <c r="AU1401" t="s">
        <v>273</v>
      </c>
      <c r="AV1401" s="14">
        <v>0</v>
      </c>
    </row>
    <row r="1402" spans="26:48">
      <c r="Z1402" s="3"/>
      <c r="AC1402"/>
      <c r="AE1402" s="3"/>
      <c r="AH1402" t="s">
        <v>1849</v>
      </c>
      <c r="AI1402" t="s">
        <v>68</v>
      </c>
      <c r="AJ1402" t="s">
        <v>98</v>
      </c>
      <c r="AK1402" s="3" t="s">
        <v>115</v>
      </c>
      <c r="AL1402" s="3">
        <v>-348.20437398839999</v>
      </c>
      <c r="AS1402" t="s">
        <v>1916</v>
      </c>
      <c r="AT1402" t="s">
        <v>88</v>
      </c>
      <c r="AU1402" t="s">
        <v>109</v>
      </c>
      <c r="AV1402" s="14">
        <v>11332.3717</v>
      </c>
    </row>
    <row r="1403" spans="26:48">
      <c r="Z1403" s="3"/>
      <c r="AC1403"/>
      <c r="AE1403" s="3"/>
      <c r="AH1403" t="s">
        <v>1849</v>
      </c>
      <c r="AI1403" t="s">
        <v>65</v>
      </c>
      <c r="AJ1403" t="s">
        <v>72</v>
      </c>
      <c r="AK1403" s="3" t="s">
        <v>27</v>
      </c>
      <c r="AL1403" s="3">
        <v>38139.504127</v>
      </c>
      <c r="AS1403" t="s">
        <v>1916</v>
      </c>
      <c r="AT1403" t="s">
        <v>88</v>
      </c>
      <c r="AU1403" t="s">
        <v>110</v>
      </c>
      <c r="AV1403" s="14">
        <v>397.61059999999998</v>
      </c>
    </row>
    <row r="1404" spans="26:48">
      <c r="Z1404" s="3"/>
      <c r="AC1404"/>
      <c r="AE1404" s="3"/>
      <c r="AH1404" t="s">
        <v>1849</v>
      </c>
      <c r="AI1404" t="s">
        <v>65</v>
      </c>
      <c r="AJ1404" t="s">
        <v>113</v>
      </c>
      <c r="AK1404" s="3" t="s">
        <v>27</v>
      </c>
      <c r="AL1404" s="3">
        <v>2083.3968392062998</v>
      </c>
      <c r="AS1404" t="s">
        <v>1916</v>
      </c>
      <c r="AT1404" t="s">
        <v>88</v>
      </c>
      <c r="AU1404" t="s">
        <v>111</v>
      </c>
      <c r="AV1404" s="14">
        <v>9500</v>
      </c>
    </row>
    <row r="1405" spans="26:48">
      <c r="Z1405" s="3"/>
      <c r="AC1405"/>
      <c r="AE1405" s="3"/>
      <c r="AH1405" t="s">
        <v>1849</v>
      </c>
      <c r="AI1405" t="s">
        <v>65</v>
      </c>
      <c r="AJ1405" t="s">
        <v>108</v>
      </c>
      <c r="AK1405" s="3" t="s">
        <v>27</v>
      </c>
      <c r="AL1405" s="3">
        <v>-1387.5927122062999</v>
      </c>
      <c r="AS1405" t="s">
        <v>1916</v>
      </c>
      <c r="AT1405" t="s">
        <v>88</v>
      </c>
      <c r="AU1405" t="s">
        <v>268</v>
      </c>
      <c r="AV1405" s="14">
        <v>0</v>
      </c>
    </row>
    <row r="1406" spans="26:48">
      <c r="Z1406" s="3"/>
      <c r="AC1406"/>
      <c r="AE1406" s="3"/>
      <c r="AH1406" t="s">
        <v>1849</v>
      </c>
      <c r="AI1406" t="s">
        <v>65</v>
      </c>
      <c r="AJ1406" t="s">
        <v>98</v>
      </c>
      <c r="AK1406" s="3" t="s">
        <v>27</v>
      </c>
      <c r="AL1406" s="3">
        <v>-1387.5927122062999</v>
      </c>
      <c r="AS1406" t="s">
        <v>1916</v>
      </c>
      <c r="AT1406" t="s">
        <v>88</v>
      </c>
      <c r="AU1406" t="s">
        <v>269</v>
      </c>
      <c r="AV1406" s="14">
        <v>0</v>
      </c>
    </row>
    <row r="1407" spans="26:48">
      <c r="Z1407" s="3"/>
      <c r="AC1407"/>
      <c r="AE1407" s="3"/>
      <c r="AH1407" t="s">
        <v>1849</v>
      </c>
      <c r="AI1407" t="s">
        <v>67</v>
      </c>
      <c r="AJ1407" t="s">
        <v>66</v>
      </c>
      <c r="AK1407" s="3" t="s">
        <v>27</v>
      </c>
      <c r="AL1407" s="3">
        <v>-19563.2</v>
      </c>
      <c r="AS1407" t="s">
        <v>1916</v>
      </c>
      <c r="AT1407" t="s">
        <v>88</v>
      </c>
      <c r="AU1407" t="s">
        <v>270</v>
      </c>
      <c r="AV1407" s="14">
        <v>0</v>
      </c>
    </row>
    <row r="1408" spans="26:48">
      <c r="Z1408" s="3"/>
      <c r="AC1408"/>
      <c r="AE1408" s="3"/>
      <c r="AH1408" t="s">
        <v>1849</v>
      </c>
      <c r="AI1408" t="s">
        <v>67</v>
      </c>
      <c r="AJ1408" t="s">
        <v>72</v>
      </c>
      <c r="AK1408" s="3" t="s">
        <v>27</v>
      </c>
      <c r="AL1408" s="3">
        <v>-20908.340517000001</v>
      </c>
      <c r="AS1408" t="s">
        <v>1916</v>
      </c>
      <c r="AT1408" t="s">
        <v>88</v>
      </c>
      <c r="AU1408" t="s">
        <v>271</v>
      </c>
      <c r="AV1408" s="14">
        <v>5070</v>
      </c>
    </row>
    <row r="1409" spans="26:48">
      <c r="Z1409" s="3"/>
      <c r="AC1409"/>
      <c r="AE1409" s="3"/>
      <c r="AH1409" t="s">
        <v>1849</v>
      </c>
      <c r="AI1409" t="s">
        <v>67</v>
      </c>
      <c r="AJ1409" t="s">
        <v>113</v>
      </c>
      <c r="AK1409" s="3" t="s">
        <v>27</v>
      </c>
      <c r="AL1409" s="3">
        <v>-1671.6493561033001</v>
      </c>
      <c r="AS1409" t="s">
        <v>1916</v>
      </c>
      <c r="AT1409" t="s">
        <v>88</v>
      </c>
      <c r="AU1409" t="s">
        <v>272</v>
      </c>
      <c r="AV1409" s="14">
        <v>0</v>
      </c>
    </row>
    <row r="1410" spans="26:48">
      <c r="Z1410" s="3"/>
      <c r="AC1410"/>
      <c r="AE1410" s="3"/>
      <c r="AH1410" t="s">
        <v>1849</v>
      </c>
      <c r="AI1410" t="s">
        <v>67</v>
      </c>
      <c r="AJ1410" t="s">
        <v>108</v>
      </c>
      <c r="AK1410" s="3" t="s">
        <v>27</v>
      </c>
      <c r="AL1410" s="3">
        <v>326.50883910329998</v>
      </c>
      <c r="AS1410" t="s">
        <v>1916</v>
      </c>
      <c r="AT1410" t="s">
        <v>88</v>
      </c>
      <c r="AU1410" t="s">
        <v>273</v>
      </c>
      <c r="AV1410" s="14">
        <v>0</v>
      </c>
    </row>
    <row r="1411" spans="26:48">
      <c r="Z1411" s="3"/>
      <c r="AC1411"/>
      <c r="AE1411" s="3"/>
      <c r="AH1411" t="s">
        <v>1849</v>
      </c>
      <c r="AI1411" t="s">
        <v>67</v>
      </c>
      <c r="AJ1411" t="s">
        <v>98</v>
      </c>
      <c r="AK1411" s="3" t="s">
        <v>27</v>
      </c>
      <c r="AL1411" s="3">
        <v>326.50883910329998</v>
      </c>
      <c r="AS1411" t="s">
        <v>1917</v>
      </c>
      <c r="AT1411" t="s">
        <v>88</v>
      </c>
      <c r="AU1411" t="s">
        <v>109</v>
      </c>
      <c r="AV1411" s="14">
        <v>12914.700699999999</v>
      </c>
    </row>
    <row r="1412" spans="26:48">
      <c r="Z1412" s="3"/>
      <c r="AC1412"/>
      <c r="AE1412" s="3"/>
      <c r="AH1412" t="s">
        <v>1849</v>
      </c>
      <c r="AI1412" t="s">
        <v>67</v>
      </c>
      <c r="AJ1412" t="s">
        <v>66</v>
      </c>
      <c r="AK1412" s="3" t="s">
        <v>114</v>
      </c>
      <c r="AL1412" s="3">
        <v>0</v>
      </c>
      <c r="AS1412" t="s">
        <v>1917</v>
      </c>
      <c r="AT1412" t="s">
        <v>88</v>
      </c>
      <c r="AU1412" t="s">
        <v>110</v>
      </c>
      <c r="AV1412" s="14">
        <v>397.61059999999998</v>
      </c>
    </row>
    <row r="1413" spans="26:48">
      <c r="Z1413" s="3"/>
      <c r="AC1413"/>
      <c r="AE1413" s="3"/>
      <c r="AH1413" t="s">
        <v>1849</v>
      </c>
      <c r="AI1413" t="s">
        <v>67</v>
      </c>
      <c r="AJ1413" t="s">
        <v>98</v>
      </c>
      <c r="AK1413" s="3" t="s">
        <v>114</v>
      </c>
      <c r="AL1413" s="3">
        <v>0</v>
      </c>
      <c r="AS1413" t="s">
        <v>1917</v>
      </c>
      <c r="AT1413" t="s">
        <v>88</v>
      </c>
      <c r="AU1413" t="s">
        <v>111</v>
      </c>
      <c r="AV1413" s="14">
        <v>9500</v>
      </c>
    </row>
    <row r="1414" spans="26:48">
      <c r="Z1414" s="3"/>
      <c r="AC1414"/>
      <c r="AE1414" s="3"/>
      <c r="AH1414" t="s">
        <v>1849</v>
      </c>
      <c r="AI1414" t="s">
        <v>67</v>
      </c>
      <c r="AJ1414" t="s">
        <v>66</v>
      </c>
      <c r="AK1414" s="3" t="s">
        <v>115</v>
      </c>
      <c r="AL1414" s="3">
        <v>19563.2</v>
      </c>
      <c r="AS1414" t="s">
        <v>1917</v>
      </c>
      <c r="AT1414" t="s">
        <v>88</v>
      </c>
      <c r="AU1414" t="s">
        <v>268</v>
      </c>
      <c r="AV1414" s="14">
        <v>0</v>
      </c>
    </row>
    <row r="1415" spans="26:48">
      <c r="Z1415" s="3"/>
      <c r="AC1415"/>
      <c r="AE1415" s="3"/>
      <c r="AH1415" t="s">
        <v>1849</v>
      </c>
      <c r="AI1415" t="s">
        <v>67</v>
      </c>
      <c r="AJ1415" t="s">
        <v>98</v>
      </c>
      <c r="AK1415" s="3" t="s">
        <v>115</v>
      </c>
      <c r="AL1415" s="3">
        <v>-326.50883910329998</v>
      </c>
      <c r="AS1415" t="s">
        <v>1917</v>
      </c>
      <c r="AT1415" t="s">
        <v>88</v>
      </c>
      <c r="AU1415" t="s">
        <v>269</v>
      </c>
      <c r="AV1415" s="14">
        <v>0</v>
      </c>
    </row>
    <row r="1416" spans="26:48">
      <c r="Z1416" s="3"/>
      <c r="AC1416"/>
      <c r="AE1416" s="3"/>
      <c r="AH1416" t="s">
        <v>1849</v>
      </c>
      <c r="AI1416" t="s">
        <v>68</v>
      </c>
      <c r="AJ1416" t="s">
        <v>66</v>
      </c>
      <c r="AK1416" s="3" t="s">
        <v>27</v>
      </c>
      <c r="AL1416" s="3">
        <v>-6468.5</v>
      </c>
      <c r="AS1416" t="s">
        <v>1917</v>
      </c>
      <c r="AT1416" t="s">
        <v>88</v>
      </c>
      <c r="AU1416" t="s">
        <v>270</v>
      </c>
      <c r="AV1416" s="14">
        <v>0</v>
      </c>
    </row>
    <row r="1417" spans="26:48">
      <c r="Z1417" s="3"/>
      <c r="AC1417"/>
      <c r="AE1417" s="3"/>
      <c r="AH1417" t="s">
        <v>1849</v>
      </c>
      <c r="AI1417" t="s">
        <v>68</v>
      </c>
      <c r="AJ1417" t="s">
        <v>72</v>
      </c>
      <c r="AK1417" s="3" t="s">
        <v>27</v>
      </c>
      <c r="AL1417" s="3">
        <v>-6711.3139099999999</v>
      </c>
      <c r="AS1417" t="s">
        <v>1917</v>
      </c>
      <c r="AT1417" t="s">
        <v>88</v>
      </c>
      <c r="AU1417" t="s">
        <v>271</v>
      </c>
      <c r="AV1417" s="14">
        <v>3437.6709999999998</v>
      </c>
    </row>
    <row r="1418" spans="26:48">
      <c r="Z1418" s="3"/>
      <c r="AC1418"/>
      <c r="AE1418" s="3"/>
      <c r="AH1418" t="s">
        <v>1849</v>
      </c>
      <c r="AI1418" t="s">
        <v>65</v>
      </c>
      <c r="AJ1418" t="s">
        <v>66</v>
      </c>
      <c r="AK1418" s="3" t="s">
        <v>27</v>
      </c>
      <c r="AL1418" s="3">
        <v>37443.699999999997</v>
      </c>
      <c r="AS1418" t="s">
        <v>1917</v>
      </c>
      <c r="AT1418" t="s">
        <v>88</v>
      </c>
      <c r="AU1418" t="s">
        <v>272</v>
      </c>
      <c r="AV1418" s="14">
        <v>0</v>
      </c>
    </row>
    <row r="1419" spans="26:48">
      <c r="Z1419" s="3"/>
      <c r="AC1419"/>
      <c r="AE1419" s="3"/>
      <c r="AH1419" t="s">
        <v>1849</v>
      </c>
      <c r="AI1419" t="s">
        <v>800</v>
      </c>
      <c r="AJ1419" t="s">
        <v>31</v>
      </c>
      <c r="AK1419" s="3" t="s">
        <v>27</v>
      </c>
      <c r="AL1419" s="3">
        <v>4.0559015223000001</v>
      </c>
      <c r="AS1419" t="s">
        <v>1917</v>
      </c>
      <c r="AT1419" t="s">
        <v>88</v>
      </c>
      <c r="AU1419" t="s">
        <v>273</v>
      </c>
      <c r="AV1419" s="14">
        <v>0</v>
      </c>
    </row>
    <row r="1420" spans="26:48">
      <c r="Z1420" s="3"/>
      <c r="AC1420"/>
      <c r="AE1420" s="3"/>
      <c r="AH1420" t="s">
        <v>1850</v>
      </c>
      <c r="AI1420" t="s">
        <v>65</v>
      </c>
      <c r="AJ1420" t="s">
        <v>66</v>
      </c>
      <c r="AK1420" s="3" t="s">
        <v>27</v>
      </c>
      <c r="AL1420" s="3">
        <v>37654.699999999997</v>
      </c>
      <c r="AS1420" t="s">
        <v>1918</v>
      </c>
      <c r="AT1420" t="s">
        <v>88</v>
      </c>
      <c r="AU1420" t="s">
        <v>109</v>
      </c>
      <c r="AV1420" s="14">
        <v>9782.3716999999997</v>
      </c>
    </row>
    <row r="1421" spans="26:48">
      <c r="Z1421" s="3"/>
      <c r="AC1421"/>
      <c r="AE1421" s="3"/>
      <c r="AH1421" t="s">
        <v>1850</v>
      </c>
      <c r="AI1421" t="s">
        <v>65</v>
      </c>
      <c r="AJ1421" t="s">
        <v>72</v>
      </c>
      <c r="AK1421" s="3" t="s">
        <v>27</v>
      </c>
      <c r="AL1421" s="3">
        <v>38323.494647</v>
      </c>
      <c r="AS1421" t="s">
        <v>1918</v>
      </c>
      <c r="AT1421" t="s">
        <v>88</v>
      </c>
      <c r="AU1421" t="s">
        <v>110</v>
      </c>
      <c r="AV1421" s="14">
        <v>397.61059999999998</v>
      </c>
    </row>
    <row r="1422" spans="26:48">
      <c r="Z1422" s="3"/>
      <c r="AC1422"/>
      <c r="AE1422" s="3"/>
      <c r="AH1422" t="s">
        <v>1850</v>
      </c>
      <c r="AI1422" t="s">
        <v>65</v>
      </c>
      <c r="AJ1422" t="s">
        <v>113</v>
      </c>
      <c r="AK1422" s="3" t="s">
        <v>27</v>
      </c>
      <c r="AL1422" s="3">
        <v>2075.2970341585001</v>
      </c>
      <c r="AS1422" t="s">
        <v>1918</v>
      </c>
      <c r="AT1422" t="s">
        <v>88</v>
      </c>
      <c r="AU1422" t="s">
        <v>111</v>
      </c>
      <c r="AV1422" s="14">
        <v>9500</v>
      </c>
    </row>
    <row r="1423" spans="26:48">
      <c r="Z1423" s="3"/>
      <c r="AC1423"/>
      <c r="AE1423" s="3"/>
      <c r="AH1423" t="s">
        <v>1850</v>
      </c>
      <c r="AI1423" t="s">
        <v>65</v>
      </c>
      <c r="AJ1423" t="s">
        <v>108</v>
      </c>
      <c r="AK1423" s="3" t="s">
        <v>27</v>
      </c>
      <c r="AL1423" s="3">
        <v>-1406.5023871584999</v>
      </c>
      <c r="AS1423" t="s">
        <v>1918</v>
      </c>
      <c r="AT1423" t="s">
        <v>88</v>
      </c>
      <c r="AU1423" t="s">
        <v>268</v>
      </c>
      <c r="AV1423" s="14">
        <v>0</v>
      </c>
    </row>
    <row r="1424" spans="26:48">
      <c r="Z1424" s="3"/>
      <c r="AC1424"/>
      <c r="AE1424" s="3"/>
      <c r="AH1424" t="s">
        <v>1850</v>
      </c>
      <c r="AI1424" t="s">
        <v>65</v>
      </c>
      <c r="AJ1424" t="s">
        <v>98</v>
      </c>
      <c r="AK1424" s="3" t="s">
        <v>27</v>
      </c>
      <c r="AL1424" s="3">
        <v>-1406.5023871584999</v>
      </c>
      <c r="AS1424" t="s">
        <v>1918</v>
      </c>
      <c r="AT1424" t="s">
        <v>88</v>
      </c>
      <c r="AU1424" t="s">
        <v>269</v>
      </c>
      <c r="AV1424" s="14">
        <v>0</v>
      </c>
    </row>
    <row r="1425" spans="26:48">
      <c r="Z1425" s="3"/>
      <c r="AC1425"/>
      <c r="AE1425" s="3"/>
      <c r="AH1425" t="s">
        <v>1850</v>
      </c>
      <c r="AI1425" t="s">
        <v>67</v>
      </c>
      <c r="AJ1425" t="s">
        <v>66</v>
      </c>
      <c r="AK1425" s="3" t="s">
        <v>27</v>
      </c>
      <c r="AL1425" s="3">
        <v>-18774.2</v>
      </c>
      <c r="AS1425" t="s">
        <v>1918</v>
      </c>
      <c r="AT1425" t="s">
        <v>88</v>
      </c>
      <c r="AU1425" t="s">
        <v>270</v>
      </c>
      <c r="AV1425" s="14">
        <v>0</v>
      </c>
    </row>
    <row r="1426" spans="26:48">
      <c r="Z1426" s="3"/>
      <c r="AC1426"/>
      <c r="AE1426" s="3"/>
      <c r="AH1426" t="s">
        <v>1850</v>
      </c>
      <c r="AI1426" t="s">
        <v>67</v>
      </c>
      <c r="AJ1426" t="s">
        <v>72</v>
      </c>
      <c r="AK1426" s="3" t="s">
        <v>27</v>
      </c>
      <c r="AL1426" s="3">
        <v>-19668.153627</v>
      </c>
      <c r="AS1426" t="s">
        <v>1918</v>
      </c>
      <c r="AT1426" t="s">
        <v>88</v>
      </c>
      <c r="AU1426" t="s">
        <v>271</v>
      </c>
      <c r="AV1426" s="14">
        <v>6570</v>
      </c>
    </row>
    <row r="1427" spans="26:48">
      <c r="Z1427" s="3"/>
      <c r="AC1427"/>
      <c r="AE1427" s="3"/>
      <c r="AH1427" t="s">
        <v>1850</v>
      </c>
      <c r="AI1427" t="s">
        <v>67</v>
      </c>
      <c r="AJ1427" t="s">
        <v>113</v>
      </c>
      <c r="AK1427" s="3" t="s">
        <v>27</v>
      </c>
      <c r="AL1427" s="3">
        <v>-1169.4655135321</v>
      </c>
      <c r="AS1427" t="s">
        <v>1918</v>
      </c>
      <c r="AT1427" t="s">
        <v>88</v>
      </c>
      <c r="AU1427" t="s">
        <v>272</v>
      </c>
      <c r="AV1427" s="14">
        <v>0</v>
      </c>
    </row>
    <row r="1428" spans="26:48">
      <c r="Z1428" s="3"/>
      <c r="AC1428"/>
      <c r="AE1428" s="3"/>
      <c r="AH1428" t="s">
        <v>1850</v>
      </c>
      <c r="AI1428" t="s">
        <v>67</v>
      </c>
      <c r="AJ1428" t="s">
        <v>108</v>
      </c>
      <c r="AK1428" s="3" t="s">
        <v>27</v>
      </c>
      <c r="AL1428" s="3">
        <v>275.51188653209999</v>
      </c>
      <c r="AS1428" t="s">
        <v>1918</v>
      </c>
      <c r="AT1428" t="s">
        <v>88</v>
      </c>
      <c r="AU1428" t="s">
        <v>273</v>
      </c>
      <c r="AV1428" s="14">
        <v>0</v>
      </c>
    </row>
    <row r="1429" spans="26:48">
      <c r="Z1429" s="3"/>
      <c r="AC1429"/>
      <c r="AE1429" s="3"/>
      <c r="AH1429" t="s">
        <v>1850</v>
      </c>
      <c r="AI1429" t="s">
        <v>67</v>
      </c>
      <c r="AJ1429" t="s">
        <v>98</v>
      </c>
      <c r="AK1429" s="3" t="s">
        <v>27</v>
      </c>
      <c r="AL1429" s="3">
        <v>275.51188653209999</v>
      </c>
      <c r="AS1429" t="s">
        <v>1919</v>
      </c>
      <c r="AT1429" t="s">
        <v>88</v>
      </c>
      <c r="AU1429" t="s">
        <v>109</v>
      </c>
      <c r="AV1429" s="14">
        <v>12282.3717</v>
      </c>
    </row>
    <row r="1430" spans="26:48">
      <c r="Z1430" s="3"/>
      <c r="AC1430"/>
      <c r="AE1430" s="3"/>
      <c r="AH1430" t="s">
        <v>1850</v>
      </c>
      <c r="AI1430" t="s">
        <v>67</v>
      </c>
      <c r="AJ1430" t="s">
        <v>66</v>
      </c>
      <c r="AK1430" s="3" t="s">
        <v>114</v>
      </c>
      <c r="AL1430" s="3">
        <v>0</v>
      </c>
      <c r="AS1430" t="s">
        <v>1919</v>
      </c>
      <c r="AT1430" t="s">
        <v>88</v>
      </c>
      <c r="AU1430" t="s">
        <v>110</v>
      </c>
      <c r="AV1430" s="14">
        <v>397.61059999999998</v>
      </c>
    </row>
    <row r="1431" spans="26:48">
      <c r="Z1431" s="3"/>
      <c r="AC1431"/>
      <c r="AE1431" s="3"/>
      <c r="AH1431" t="s">
        <v>1850</v>
      </c>
      <c r="AI1431" t="s">
        <v>67</v>
      </c>
      <c r="AJ1431" t="s">
        <v>98</v>
      </c>
      <c r="AK1431" s="3" t="s">
        <v>114</v>
      </c>
      <c r="AL1431" s="3">
        <v>0</v>
      </c>
      <c r="AS1431" t="s">
        <v>1919</v>
      </c>
      <c r="AT1431" t="s">
        <v>88</v>
      </c>
      <c r="AU1431" t="s">
        <v>111</v>
      </c>
      <c r="AV1431" s="14">
        <v>9500</v>
      </c>
    </row>
    <row r="1432" spans="26:48">
      <c r="Z1432" s="3"/>
      <c r="AC1432"/>
      <c r="AE1432" s="3"/>
      <c r="AH1432" t="s">
        <v>1850</v>
      </c>
      <c r="AI1432" t="s">
        <v>67</v>
      </c>
      <c r="AJ1432" t="s">
        <v>66</v>
      </c>
      <c r="AK1432" s="3" t="s">
        <v>115</v>
      </c>
      <c r="AL1432" s="3">
        <v>18774.2</v>
      </c>
      <c r="AS1432" t="s">
        <v>1919</v>
      </c>
      <c r="AT1432" t="s">
        <v>88</v>
      </c>
      <c r="AU1432" t="s">
        <v>268</v>
      </c>
      <c r="AV1432" s="14">
        <v>0</v>
      </c>
    </row>
    <row r="1433" spans="26:48">
      <c r="Z1433" s="3"/>
      <c r="AC1433"/>
      <c r="AE1433" s="3"/>
      <c r="AH1433" t="s">
        <v>1850</v>
      </c>
      <c r="AI1433" t="s">
        <v>67</v>
      </c>
      <c r="AJ1433" t="s">
        <v>98</v>
      </c>
      <c r="AK1433" s="3" t="s">
        <v>115</v>
      </c>
      <c r="AL1433" s="3">
        <v>-275.51188653209999</v>
      </c>
      <c r="AS1433" t="s">
        <v>1919</v>
      </c>
      <c r="AT1433" t="s">
        <v>88</v>
      </c>
      <c r="AU1433" t="s">
        <v>269</v>
      </c>
      <c r="AV1433" s="14">
        <v>0</v>
      </c>
    </row>
    <row r="1434" spans="26:48">
      <c r="Z1434" s="3"/>
      <c r="AC1434"/>
      <c r="AE1434" s="3"/>
      <c r="AH1434" t="s">
        <v>1850</v>
      </c>
      <c r="AI1434" t="s">
        <v>68</v>
      </c>
      <c r="AJ1434" t="s">
        <v>66</v>
      </c>
      <c r="AK1434" s="3" t="s">
        <v>27</v>
      </c>
      <c r="AL1434" s="3">
        <v>-7468.5</v>
      </c>
      <c r="AS1434" t="s">
        <v>1919</v>
      </c>
      <c r="AT1434" t="s">
        <v>88</v>
      </c>
      <c r="AU1434" t="s">
        <v>270</v>
      </c>
      <c r="AV1434" s="14">
        <v>0</v>
      </c>
    </row>
    <row r="1435" spans="26:48">
      <c r="Z1435" s="3"/>
      <c r="AC1435"/>
      <c r="AE1435" s="3"/>
      <c r="AH1435" t="s">
        <v>1850</v>
      </c>
      <c r="AI1435" t="s">
        <v>68</v>
      </c>
      <c r="AJ1435" t="s">
        <v>72</v>
      </c>
      <c r="AK1435" s="3" t="s">
        <v>27</v>
      </c>
      <c r="AL1435" s="3">
        <v>-8136.5817999999999</v>
      </c>
      <c r="AS1435" t="s">
        <v>1919</v>
      </c>
      <c r="AT1435" t="s">
        <v>88</v>
      </c>
      <c r="AU1435" t="s">
        <v>271</v>
      </c>
      <c r="AV1435" s="14">
        <v>4970</v>
      </c>
    </row>
    <row r="1436" spans="26:48">
      <c r="Z1436" s="3"/>
      <c r="AC1436"/>
      <c r="AE1436" s="3"/>
      <c r="AH1436" t="s">
        <v>1850</v>
      </c>
      <c r="AI1436" t="s">
        <v>68</v>
      </c>
      <c r="AJ1436" t="s">
        <v>113</v>
      </c>
      <c r="AK1436" s="3" t="s">
        <v>27</v>
      </c>
      <c r="AL1436" s="3">
        <v>-912.63404067780004</v>
      </c>
      <c r="AS1436" t="s">
        <v>1919</v>
      </c>
      <c r="AT1436" t="s">
        <v>88</v>
      </c>
      <c r="AU1436" t="s">
        <v>272</v>
      </c>
      <c r="AV1436" s="14">
        <v>0</v>
      </c>
    </row>
    <row r="1437" spans="26:48">
      <c r="Z1437" s="3"/>
      <c r="AC1437"/>
      <c r="AE1437" s="3"/>
      <c r="AH1437" t="s">
        <v>1850</v>
      </c>
      <c r="AI1437" t="s">
        <v>68</v>
      </c>
      <c r="AJ1437" t="s">
        <v>108</v>
      </c>
      <c r="AK1437" s="3" t="s">
        <v>27</v>
      </c>
      <c r="AL1437" s="3">
        <v>244.5522406778</v>
      </c>
      <c r="AS1437" t="s">
        <v>1919</v>
      </c>
      <c r="AT1437" t="s">
        <v>88</v>
      </c>
      <c r="AU1437" t="s">
        <v>273</v>
      </c>
      <c r="AV1437" s="14">
        <v>0</v>
      </c>
    </row>
    <row r="1438" spans="26:48">
      <c r="Z1438" s="3"/>
      <c r="AC1438"/>
      <c r="AE1438" s="3"/>
      <c r="AH1438" t="s">
        <v>1850</v>
      </c>
      <c r="AI1438" t="s">
        <v>68</v>
      </c>
      <c r="AJ1438" t="s">
        <v>98</v>
      </c>
      <c r="AK1438" s="3" t="s">
        <v>27</v>
      </c>
      <c r="AL1438" s="3">
        <v>228.20908985579999</v>
      </c>
      <c r="AS1438" t="s">
        <v>1920</v>
      </c>
      <c r="AT1438" t="s">
        <v>88</v>
      </c>
      <c r="AU1438" t="s">
        <v>109</v>
      </c>
      <c r="AV1438" s="14">
        <v>11682.3717</v>
      </c>
    </row>
    <row r="1439" spans="26:48">
      <c r="Z1439" s="3"/>
      <c r="AC1439"/>
      <c r="AE1439" s="3"/>
      <c r="AH1439" t="s">
        <v>1850</v>
      </c>
      <c r="AI1439" t="s">
        <v>68</v>
      </c>
      <c r="AJ1439" t="s">
        <v>66</v>
      </c>
      <c r="AK1439" s="3" t="s">
        <v>114</v>
      </c>
      <c r="AL1439" s="3">
        <v>3556</v>
      </c>
      <c r="AS1439" t="s">
        <v>1920</v>
      </c>
      <c r="AT1439" t="s">
        <v>88</v>
      </c>
      <c r="AU1439" t="s">
        <v>110</v>
      </c>
      <c r="AV1439" s="14">
        <v>397.61059999999998</v>
      </c>
    </row>
    <row r="1440" spans="26:48">
      <c r="Z1440" s="3"/>
      <c r="AC1440"/>
      <c r="AE1440" s="3"/>
      <c r="AH1440" t="s">
        <v>1850</v>
      </c>
      <c r="AI1440" t="s">
        <v>68</v>
      </c>
      <c r="AJ1440" t="s">
        <v>98</v>
      </c>
      <c r="AK1440" s="3" t="s">
        <v>114</v>
      </c>
      <c r="AL1440" s="3">
        <v>-189.00105082190001</v>
      </c>
      <c r="AS1440" t="s">
        <v>1920</v>
      </c>
      <c r="AT1440" t="s">
        <v>88</v>
      </c>
      <c r="AU1440" t="s">
        <v>111</v>
      </c>
      <c r="AV1440" s="14">
        <v>9500</v>
      </c>
    </row>
    <row r="1441" spans="26:48">
      <c r="Z1441" s="3"/>
      <c r="AC1441"/>
      <c r="AE1441" s="3"/>
      <c r="AH1441" t="s">
        <v>1850</v>
      </c>
      <c r="AI1441" t="s">
        <v>68</v>
      </c>
      <c r="AJ1441" t="s">
        <v>66</v>
      </c>
      <c r="AK1441" s="3" t="s">
        <v>115</v>
      </c>
      <c r="AL1441" s="3">
        <v>11024.5</v>
      </c>
      <c r="AS1441" t="s">
        <v>1920</v>
      </c>
      <c r="AT1441" t="s">
        <v>88</v>
      </c>
      <c r="AU1441" t="s">
        <v>268</v>
      </c>
      <c r="AV1441" s="14">
        <v>0</v>
      </c>
    </row>
    <row r="1442" spans="26:48">
      <c r="Z1442" s="3"/>
      <c r="AC1442"/>
      <c r="AE1442" s="3"/>
      <c r="AH1442" t="s">
        <v>1850</v>
      </c>
      <c r="AI1442" t="s">
        <v>68</v>
      </c>
      <c r="AJ1442" t="s">
        <v>98</v>
      </c>
      <c r="AK1442" s="3" t="s">
        <v>115</v>
      </c>
      <c r="AL1442" s="3">
        <v>-417.21014067779998</v>
      </c>
      <c r="AS1442" t="s">
        <v>1920</v>
      </c>
      <c r="AT1442" t="s">
        <v>88</v>
      </c>
      <c r="AU1442" t="s">
        <v>269</v>
      </c>
      <c r="AV1442" s="14">
        <v>0</v>
      </c>
    </row>
    <row r="1443" spans="26:48">
      <c r="Z1443" s="3"/>
      <c r="AC1443"/>
      <c r="AE1443" s="3"/>
      <c r="AH1443" t="s">
        <v>1850</v>
      </c>
      <c r="AI1443" t="s">
        <v>800</v>
      </c>
      <c r="AJ1443" t="s">
        <v>31</v>
      </c>
      <c r="AK1443" s="3" t="s">
        <v>27</v>
      </c>
      <c r="AL1443" s="3">
        <v>4.0521302421999996</v>
      </c>
      <c r="AS1443" t="s">
        <v>1920</v>
      </c>
      <c r="AT1443" t="s">
        <v>88</v>
      </c>
      <c r="AU1443" t="s">
        <v>270</v>
      </c>
      <c r="AV1443" s="14">
        <v>0</v>
      </c>
    </row>
    <row r="1444" spans="26:48">
      <c r="Z1444" s="3"/>
      <c r="AC1444"/>
      <c r="AE1444" s="3"/>
      <c r="AH1444" t="s">
        <v>1851</v>
      </c>
      <c r="AI1444" t="s">
        <v>800</v>
      </c>
      <c r="AJ1444" t="s">
        <v>31</v>
      </c>
      <c r="AK1444" s="3" t="s">
        <v>27</v>
      </c>
      <c r="AL1444" s="3">
        <v>4.0545899058000003</v>
      </c>
      <c r="AS1444" t="s">
        <v>1920</v>
      </c>
      <c r="AT1444" t="s">
        <v>88</v>
      </c>
      <c r="AU1444" t="s">
        <v>271</v>
      </c>
      <c r="AV1444" s="14">
        <v>4502.3289999999997</v>
      </c>
    </row>
    <row r="1445" spans="26:48">
      <c r="Z1445" s="3"/>
      <c r="AC1445"/>
      <c r="AE1445" s="3"/>
      <c r="AH1445" t="s">
        <v>1851</v>
      </c>
      <c r="AI1445" t="s">
        <v>65</v>
      </c>
      <c r="AJ1445" t="s">
        <v>66</v>
      </c>
      <c r="AK1445" s="3" t="s">
        <v>27</v>
      </c>
      <c r="AL1445" s="3">
        <v>36346.699999999997</v>
      </c>
      <c r="AS1445" t="s">
        <v>1920</v>
      </c>
      <c r="AT1445" t="s">
        <v>88</v>
      </c>
      <c r="AU1445" t="s">
        <v>272</v>
      </c>
      <c r="AV1445" s="14">
        <v>0</v>
      </c>
    </row>
    <row r="1446" spans="26:48">
      <c r="Z1446" s="3"/>
      <c r="AC1446"/>
      <c r="AE1446" s="3"/>
      <c r="AH1446" t="s">
        <v>1851</v>
      </c>
      <c r="AI1446" t="s">
        <v>65</v>
      </c>
      <c r="AJ1446" t="s">
        <v>72</v>
      </c>
      <c r="AK1446" s="3" t="s">
        <v>27</v>
      </c>
      <c r="AL1446" s="3">
        <v>37019.47176</v>
      </c>
      <c r="AS1446" t="s">
        <v>1920</v>
      </c>
      <c r="AT1446" t="s">
        <v>88</v>
      </c>
      <c r="AU1446" t="s">
        <v>273</v>
      </c>
      <c r="AV1446" s="14">
        <v>0</v>
      </c>
    </row>
    <row r="1447" spans="26:48">
      <c r="Z1447" s="3"/>
      <c r="AC1447"/>
      <c r="AE1447" s="3"/>
      <c r="AH1447" t="s">
        <v>1851</v>
      </c>
      <c r="AI1447" t="s">
        <v>65</v>
      </c>
      <c r="AJ1447" t="s">
        <v>113</v>
      </c>
      <c r="AK1447" s="3" t="s">
        <v>27</v>
      </c>
      <c r="AL1447" s="3">
        <v>1996.4744274651</v>
      </c>
      <c r="AS1447" t="s">
        <v>1921</v>
      </c>
      <c r="AT1447" t="s">
        <v>88</v>
      </c>
      <c r="AU1447" t="s">
        <v>109</v>
      </c>
      <c r="AV1447" s="14">
        <v>17052.3717</v>
      </c>
    </row>
    <row r="1448" spans="26:48">
      <c r="Z1448" s="3"/>
      <c r="AC1448"/>
      <c r="AE1448" s="3"/>
      <c r="AH1448" t="s">
        <v>1851</v>
      </c>
      <c r="AI1448" t="s">
        <v>65</v>
      </c>
      <c r="AJ1448" t="s">
        <v>108</v>
      </c>
      <c r="AK1448" s="3" t="s">
        <v>27</v>
      </c>
      <c r="AL1448" s="3">
        <v>-1323.7026674650999</v>
      </c>
      <c r="AS1448" t="s">
        <v>1921</v>
      </c>
      <c r="AT1448" t="s">
        <v>88</v>
      </c>
      <c r="AU1448" t="s">
        <v>110</v>
      </c>
      <c r="AV1448" s="14">
        <v>397.61059999999998</v>
      </c>
    </row>
    <row r="1449" spans="26:48">
      <c r="Z1449" s="3"/>
      <c r="AC1449"/>
      <c r="AE1449" s="3"/>
      <c r="AH1449" t="s">
        <v>1851</v>
      </c>
      <c r="AI1449" t="s">
        <v>65</v>
      </c>
      <c r="AJ1449" t="s">
        <v>98</v>
      </c>
      <c r="AK1449" s="3" t="s">
        <v>27</v>
      </c>
      <c r="AL1449" s="3">
        <v>-1323.7026674650999</v>
      </c>
      <c r="AS1449" t="s">
        <v>1921</v>
      </c>
      <c r="AT1449" t="s">
        <v>88</v>
      </c>
      <c r="AU1449" t="s">
        <v>111</v>
      </c>
      <c r="AV1449" s="14">
        <v>9500</v>
      </c>
    </row>
    <row r="1450" spans="26:48">
      <c r="Z1450" s="3"/>
      <c r="AC1450"/>
      <c r="AE1450" s="3"/>
      <c r="AH1450" t="s">
        <v>1851</v>
      </c>
      <c r="AI1450" t="s">
        <v>67</v>
      </c>
      <c r="AJ1450" t="s">
        <v>66</v>
      </c>
      <c r="AK1450" s="3" t="s">
        <v>27</v>
      </c>
      <c r="AL1450" s="3">
        <v>-17255.2</v>
      </c>
      <c r="AS1450" t="s">
        <v>1921</v>
      </c>
      <c r="AT1450" t="s">
        <v>88</v>
      </c>
      <c r="AU1450" t="s">
        <v>268</v>
      </c>
      <c r="AV1450" s="14">
        <v>0</v>
      </c>
    </row>
    <row r="1451" spans="26:48">
      <c r="Z1451" s="3"/>
      <c r="AC1451"/>
      <c r="AE1451" s="3"/>
      <c r="AH1451" t="s">
        <v>1851</v>
      </c>
      <c r="AI1451" t="s">
        <v>67</v>
      </c>
      <c r="AJ1451" t="s">
        <v>72</v>
      </c>
      <c r="AK1451" s="3" t="s">
        <v>27</v>
      </c>
      <c r="AL1451" s="3">
        <v>-18179.227490000001</v>
      </c>
      <c r="AS1451" t="s">
        <v>1921</v>
      </c>
      <c r="AT1451" t="s">
        <v>88</v>
      </c>
      <c r="AU1451" t="s">
        <v>269</v>
      </c>
      <c r="AV1451" s="14">
        <v>0</v>
      </c>
    </row>
    <row r="1452" spans="26:48">
      <c r="Z1452" s="3"/>
      <c r="AC1452"/>
      <c r="AE1452" s="3"/>
      <c r="AH1452" t="s">
        <v>1851</v>
      </c>
      <c r="AI1452" t="s">
        <v>67</v>
      </c>
      <c r="AJ1452" t="s">
        <v>113</v>
      </c>
      <c r="AK1452" s="3" t="s">
        <v>27</v>
      </c>
      <c r="AL1452" s="3">
        <v>-1178.7285716821</v>
      </c>
      <c r="AS1452" t="s">
        <v>1921</v>
      </c>
      <c r="AT1452" t="s">
        <v>88</v>
      </c>
      <c r="AU1452" t="s">
        <v>270</v>
      </c>
      <c r="AV1452" s="14">
        <v>0</v>
      </c>
    </row>
    <row r="1453" spans="26:48">
      <c r="Z1453" s="3"/>
      <c r="AC1453"/>
      <c r="AE1453" s="3"/>
      <c r="AH1453" t="s">
        <v>1851</v>
      </c>
      <c r="AI1453" t="s">
        <v>67</v>
      </c>
      <c r="AJ1453" t="s">
        <v>108</v>
      </c>
      <c r="AK1453" s="3" t="s">
        <v>27</v>
      </c>
      <c r="AL1453" s="3">
        <v>254.70108168210001</v>
      </c>
      <c r="AS1453" t="s">
        <v>1921</v>
      </c>
      <c r="AT1453" t="s">
        <v>88</v>
      </c>
      <c r="AU1453" t="s">
        <v>271</v>
      </c>
      <c r="AV1453" s="14">
        <v>232.32900000000001</v>
      </c>
    </row>
    <row r="1454" spans="26:48">
      <c r="Z1454" s="3"/>
      <c r="AC1454"/>
      <c r="AE1454" s="3"/>
      <c r="AH1454" t="s">
        <v>1851</v>
      </c>
      <c r="AI1454" t="s">
        <v>67</v>
      </c>
      <c r="AJ1454" t="s">
        <v>98</v>
      </c>
      <c r="AK1454" s="3" t="s">
        <v>27</v>
      </c>
      <c r="AL1454" s="3">
        <v>175.14603812039999</v>
      </c>
      <c r="AS1454" t="s">
        <v>1921</v>
      </c>
      <c r="AT1454" t="s">
        <v>88</v>
      </c>
      <c r="AU1454" t="s">
        <v>272</v>
      </c>
      <c r="AV1454" s="14">
        <v>0</v>
      </c>
    </row>
    <row r="1455" spans="26:48">
      <c r="Z1455" s="3"/>
      <c r="AC1455"/>
      <c r="AE1455" s="3"/>
      <c r="AH1455" t="s">
        <v>1851</v>
      </c>
      <c r="AI1455" t="s">
        <v>67</v>
      </c>
      <c r="AJ1455" t="s">
        <v>66</v>
      </c>
      <c r="AK1455" s="3" t="s">
        <v>114</v>
      </c>
      <c r="AL1455" s="3">
        <v>1308</v>
      </c>
      <c r="AS1455" t="s">
        <v>1921</v>
      </c>
      <c r="AT1455" t="s">
        <v>88</v>
      </c>
      <c r="AU1455" t="s">
        <v>273</v>
      </c>
      <c r="AV1455" s="14">
        <v>0</v>
      </c>
    </row>
    <row r="1456" spans="26:48">
      <c r="Z1456" s="3"/>
      <c r="AC1456"/>
      <c r="AE1456" s="3"/>
      <c r="AH1456" t="s">
        <v>1851</v>
      </c>
      <c r="AI1456" t="s">
        <v>67</v>
      </c>
      <c r="AJ1456" t="s">
        <v>98</v>
      </c>
      <c r="AK1456" s="3" t="s">
        <v>114</v>
      </c>
      <c r="AL1456" s="3">
        <v>-84.489723561600002</v>
      </c>
      <c r="AS1456" t="s">
        <v>1922</v>
      </c>
      <c r="AT1456" t="s">
        <v>88</v>
      </c>
      <c r="AU1456" t="s">
        <v>109</v>
      </c>
      <c r="AV1456" s="14">
        <v>17552.3717</v>
      </c>
    </row>
    <row r="1457" spans="26:48">
      <c r="Z1457" s="3"/>
      <c r="AC1457"/>
      <c r="AE1457" s="3"/>
      <c r="AH1457" t="s">
        <v>1851</v>
      </c>
      <c r="AI1457" t="s">
        <v>67</v>
      </c>
      <c r="AJ1457" t="s">
        <v>66</v>
      </c>
      <c r="AK1457" s="3" t="s">
        <v>115</v>
      </c>
      <c r="AL1457" s="3">
        <v>18563.2</v>
      </c>
      <c r="AS1457" t="s">
        <v>1922</v>
      </c>
      <c r="AT1457" t="s">
        <v>88</v>
      </c>
      <c r="AU1457" t="s">
        <v>110</v>
      </c>
      <c r="AV1457" s="14">
        <v>397.61059999999998</v>
      </c>
    </row>
    <row r="1458" spans="26:48">
      <c r="Z1458" s="3"/>
      <c r="AC1458"/>
      <c r="AE1458" s="3"/>
      <c r="AH1458" t="s">
        <v>1851</v>
      </c>
      <c r="AI1458" t="s">
        <v>67</v>
      </c>
      <c r="AJ1458" t="s">
        <v>98</v>
      </c>
      <c r="AK1458" s="3" t="s">
        <v>115</v>
      </c>
      <c r="AL1458" s="3">
        <v>-259.6357616821</v>
      </c>
      <c r="AS1458" t="s">
        <v>1922</v>
      </c>
      <c r="AT1458" t="s">
        <v>88</v>
      </c>
      <c r="AU1458" t="s">
        <v>111</v>
      </c>
      <c r="AV1458" s="14">
        <v>9500</v>
      </c>
    </row>
    <row r="1459" spans="26:48">
      <c r="Z1459" s="3"/>
      <c r="AC1459"/>
      <c r="AE1459" s="3"/>
      <c r="AH1459" t="s">
        <v>1851</v>
      </c>
      <c r="AI1459" t="s">
        <v>68</v>
      </c>
      <c r="AJ1459" t="s">
        <v>66</v>
      </c>
      <c r="AK1459" s="3" t="s">
        <v>27</v>
      </c>
      <c r="AL1459" s="3">
        <v>-7679.5</v>
      </c>
      <c r="AS1459" t="s">
        <v>1922</v>
      </c>
      <c r="AT1459" t="s">
        <v>88</v>
      </c>
      <c r="AU1459" t="s">
        <v>268</v>
      </c>
      <c r="AV1459" s="14">
        <v>0</v>
      </c>
    </row>
    <row r="1460" spans="26:48">
      <c r="Z1460" s="3"/>
      <c r="AC1460"/>
      <c r="AE1460" s="3"/>
      <c r="AH1460" t="s">
        <v>1851</v>
      </c>
      <c r="AI1460" t="s">
        <v>68</v>
      </c>
      <c r="AJ1460" t="s">
        <v>72</v>
      </c>
      <c r="AK1460" s="3" t="s">
        <v>27</v>
      </c>
      <c r="AL1460" s="3">
        <v>-8322.8878299999997</v>
      </c>
      <c r="AS1460" t="s">
        <v>1922</v>
      </c>
      <c r="AT1460" t="s">
        <v>88</v>
      </c>
      <c r="AU1460" t="s">
        <v>269</v>
      </c>
      <c r="AV1460" s="14">
        <v>0</v>
      </c>
    </row>
    <row r="1461" spans="26:48">
      <c r="Z1461" s="3"/>
      <c r="AC1461"/>
      <c r="AE1461" s="3"/>
      <c r="AH1461" t="s">
        <v>1851</v>
      </c>
      <c r="AI1461" t="s">
        <v>68</v>
      </c>
      <c r="AJ1461" t="s">
        <v>113</v>
      </c>
      <c r="AK1461" s="3" t="s">
        <v>27</v>
      </c>
      <c r="AL1461" s="3">
        <v>-904.07316856190005</v>
      </c>
      <c r="AS1461" t="s">
        <v>1922</v>
      </c>
      <c r="AT1461" t="s">
        <v>88</v>
      </c>
      <c r="AU1461" t="s">
        <v>270</v>
      </c>
      <c r="AV1461" s="14">
        <v>0</v>
      </c>
    </row>
    <row r="1462" spans="26:48">
      <c r="Z1462" s="3"/>
      <c r="AC1462"/>
      <c r="AE1462" s="3"/>
      <c r="AH1462" t="s">
        <v>1851</v>
      </c>
      <c r="AI1462" t="s">
        <v>68</v>
      </c>
      <c r="AJ1462" t="s">
        <v>108</v>
      </c>
      <c r="AK1462" s="3" t="s">
        <v>27</v>
      </c>
      <c r="AL1462" s="3">
        <v>260.68533856189998</v>
      </c>
      <c r="AS1462" t="s">
        <v>1922</v>
      </c>
      <c r="AT1462" t="s">
        <v>88</v>
      </c>
      <c r="AU1462" t="s">
        <v>271</v>
      </c>
      <c r="AV1462" s="14">
        <v>1232.329</v>
      </c>
    </row>
    <row r="1463" spans="26:48">
      <c r="Z1463" s="3"/>
      <c r="AC1463"/>
      <c r="AE1463" s="3"/>
      <c r="AH1463" t="s">
        <v>1851</v>
      </c>
      <c r="AI1463" t="s">
        <v>68</v>
      </c>
      <c r="AJ1463" t="s">
        <v>98</v>
      </c>
      <c r="AK1463" s="3" t="s">
        <v>27</v>
      </c>
      <c r="AL1463" s="3">
        <v>244.34218774000001</v>
      </c>
      <c r="AS1463" t="s">
        <v>1922</v>
      </c>
      <c r="AT1463" t="s">
        <v>88</v>
      </c>
      <c r="AU1463" t="s">
        <v>272</v>
      </c>
      <c r="AV1463" s="14">
        <v>0</v>
      </c>
    </row>
    <row r="1464" spans="26:48">
      <c r="Z1464" s="3"/>
      <c r="AC1464"/>
      <c r="AE1464" s="3"/>
      <c r="AH1464" t="s">
        <v>1851</v>
      </c>
      <c r="AI1464" t="s">
        <v>68</v>
      </c>
      <c r="AJ1464" t="s">
        <v>66</v>
      </c>
      <c r="AK1464" s="3" t="s">
        <v>114</v>
      </c>
      <c r="AL1464" s="3">
        <v>3556</v>
      </c>
      <c r="AS1464" t="s">
        <v>1922</v>
      </c>
      <c r="AT1464" t="s">
        <v>88</v>
      </c>
      <c r="AU1464" t="s">
        <v>273</v>
      </c>
      <c r="AV1464" s="14">
        <v>0</v>
      </c>
    </row>
    <row r="1465" spans="26:48">
      <c r="Z1465" s="3"/>
      <c r="AC1465"/>
      <c r="AE1465" s="3"/>
      <c r="AH1465" t="s">
        <v>1851</v>
      </c>
      <c r="AI1465" t="s">
        <v>68</v>
      </c>
      <c r="AJ1465" t="s">
        <v>98</v>
      </c>
      <c r="AK1465" s="3" t="s">
        <v>114</v>
      </c>
      <c r="AL1465" s="3">
        <v>-189.30309082190001</v>
      </c>
      <c r="AS1465" t="s">
        <v>1923</v>
      </c>
      <c r="AT1465" t="s">
        <v>88</v>
      </c>
      <c r="AU1465" t="s">
        <v>109</v>
      </c>
      <c r="AV1465" s="14">
        <v>16252.3717</v>
      </c>
    </row>
    <row r="1466" spans="26:48">
      <c r="Z1466" s="3"/>
      <c r="AC1466"/>
      <c r="AE1466" s="3"/>
      <c r="AH1466" t="s">
        <v>1851</v>
      </c>
      <c r="AI1466" t="s">
        <v>68</v>
      </c>
      <c r="AJ1466" t="s">
        <v>66</v>
      </c>
      <c r="AK1466" s="3" t="s">
        <v>115</v>
      </c>
      <c r="AL1466" s="3">
        <v>11235.5</v>
      </c>
      <c r="AS1466" t="s">
        <v>1923</v>
      </c>
      <c r="AT1466" t="s">
        <v>88</v>
      </c>
      <c r="AU1466" t="s">
        <v>110</v>
      </c>
      <c r="AV1466" s="14">
        <v>397.61059999999998</v>
      </c>
    </row>
    <row r="1467" spans="26:48">
      <c r="Z1467" s="3"/>
      <c r="AC1467"/>
      <c r="AE1467" s="3"/>
      <c r="AH1467" t="s">
        <v>1851</v>
      </c>
      <c r="AI1467" t="s">
        <v>68</v>
      </c>
      <c r="AJ1467" t="s">
        <v>98</v>
      </c>
      <c r="AK1467" s="3" t="s">
        <v>115</v>
      </c>
      <c r="AL1467" s="3">
        <v>-433.6452785619</v>
      </c>
      <c r="AS1467" t="s">
        <v>1923</v>
      </c>
      <c r="AT1467" t="s">
        <v>88</v>
      </c>
      <c r="AU1467" t="s">
        <v>111</v>
      </c>
      <c r="AV1467" s="14">
        <v>9500</v>
      </c>
    </row>
    <row r="1468" spans="26:48">
      <c r="Z1468" s="3"/>
      <c r="AC1468"/>
      <c r="AE1468" s="3"/>
      <c r="AH1468" t="s">
        <v>1852</v>
      </c>
      <c r="AI1468" t="s">
        <v>65</v>
      </c>
      <c r="AJ1468" t="s">
        <v>66</v>
      </c>
      <c r="AK1468" s="3" t="s">
        <v>27</v>
      </c>
      <c r="AL1468" s="3">
        <v>36404.699999999997</v>
      </c>
      <c r="AS1468" t="s">
        <v>1923</v>
      </c>
      <c r="AT1468" t="s">
        <v>88</v>
      </c>
      <c r="AU1468" t="s">
        <v>268</v>
      </c>
      <c r="AV1468" s="14">
        <v>0</v>
      </c>
    </row>
    <row r="1469" spans="26:48">
      <c r="Z1469" s="3"/>
      <c r="AC1469"/>
      <c r="AE1469" s="3"/>
      <c r="AH1469" t="s">
        <v>1852</v>
      </c>
      <c r="AI1469" t="s">
        <v>65</v>
      </c>
      <c r="AJ1469" t="s">
        <v>72</v>
      </c>
      <c r="AK1469" s="3" t="s">
        <v>27</v>
      </c>
      <c r="AL1469" s="3">
        <v>37114.685396000001</v>
      </c>
      <c r="AS1469" t="s">
        <v>1923</v>
      </c>
      <c r="AT1469" t="s">
        <v>88</v>
      </c>
      <c r="AU1469" t="s">
        <v>269</v>
      </c>
      <c r="AV1469" s="14">
        <v>0</v>
      </c>
    </row>
    <row r="1470" spans="26:48">
      <c r="Z1470" s="3"/>
      <c r="AC1470"/>
      <c r="AE1470" s="3"/>
      <c r="AH1470" t="s">
        <v>1852</v>
      </c>
      <c r="AI1470" t="s">
        <v>65</v>
      </c>
      <c r="AJ1470" t="s">
        <v>113</v>
      </c>
      <c r="AK1470" s="3" t="s">
        <v>27</v>
      </c>
      <c r="AL1470" s="3">
        <v>2028.1047649262</v>
      </c>
      <c r="AS1470" t="s">
        <v>1923</v>
      </c>
      <c r="AT1470" t="s">
        <v>88</v>
      </c>
      <c r="AU1470" t="s">
        <v>270</v>
      </c>
      <c r="AV1470" s="14">
        <v>0</v>
      </c>
    </row>
    <row r="1471" spans="26:48">
      <c r="Z1471" s="3"/>
      <c r="AC1471"/>
      <c r="AE1471" s="3"/>
      <c r="AH1471" t="s">
        <v>1852</v>
      </c>
      <c r="AI1471" t="s">
        <v>65</v>
      </c>
      <c r="AJ1471" t="s">
        <v>108</v>
      </c>
      <c r="AK1471" s="3" t="s">
        <v>27</v>
      </c>
      <c r="AL1471" s="3">
        <v>-1318.1193689262</v>
      </c>
      <c r="AS1471" t="s">
        <v>1923</v>
      </c>
      <c r="AT1471" t="s">
        <v>88</v>
      </c>
      <c r="AU1471" t="s">
        <v>271</v>
      </c>
      <c r="AV1471" s="14">
        <v>1032.329</v>
      </c>
    </row>
    <row r="1472" spans="26:48">
      <c r="Z1472" s="3"/>
      <c r="AC1472"/>
      <c r="AE1472" s="3"/>
      <c r="AH1472" t="s">
        <v>1852</v>
      </c>
      <c r="AI1472" t="s">
        <v>65</v>
      </c>
      <c r="AJ1472" t="s">
        <v>98</v>
      </c>
      <c r="AK1472" s="3" t="s">
        <v>27</v>
      </c>
      <c r="AL1472" s="3">
        <v>-1318.1193689262</v>
      </c>
      <c r="AS1472" t="s">
        <v>1923</v>
      </c>
      <c r="AT1472" t="s">
        <v>88</v>
      </c>
      <c r="AU1472" t="s">
        <v>272</v>
      </c>
      <c r="AV1472" s="14">
        <v>0</v>
      </c>
    </row>
    <row r="1473" spans="26:48">
      <c r="Z1473" s="3"/>
      <c r="AC1473"/>
      <c r="AE1473" s="3"/>
      <c r="AH1473" t="s">
        <v>1852</v>
      </c>
      <c r="AI1473" t="s">
        <v>67</v>
      </c>
      <c r="AJ1473" t="s">
        <v>66</v>
      </c>
      <c r="AK1473" s="3" t="s">
        <v>27</v>
      </c>
      <c r="AL1473" s="3">
        <v>-18621.2</v>
      </c>
      <c r="AS1473" t="s">
        <v>1923</v>
      </c>
      <c r="AT1473" t="s">
        <v>88</v>
      </c>
      <c r="AU1473" t="s">
        <v>273</v>
      </c>
      <c r="AV1473" s="14">
        <v>0</v>
      </c>
    </row>
    <row r="1474" spans="26:48">
      <c r="Z1474" s="3"/>
      <c r="AC1474"/>
      <c r="AE1474" s="3"/>
      <c r="AH1474" t="s">
        <v>1852</v>
      </c>
      <c r="AI1474" t="s">
        <v>800</v>
      </c>
      <c r="AJ1474" t="s">
        <v>31</v>
      </c>
      <c r="AK1474" s="3" t="s">
        <v>27</v>
      </c>
      <c r="AL1474" s="3">
        <v>4.0545139262000003</v>
      </c>
      <c r="AS1474" t="s">
        <v>1924</v>
      </c>
      <c r="AT1474" t="s">
        <v>88</v>
      </c>
      <c r="AU1474" t="s">
        <v>109</v>
      </c>
      <c r="AV1474" s="14">
        <v>14102.3717</v>
      </c>
    </row>
    <row r="1475" spans="26:48">
      <c r="Z1475" s="3"/>
      <c r="AC1475"/>
      <c r="AE1475" s="3"/>
      <c r="AH1475" t="s">
        <v>1852</v>
      </c>
      <c r="AI1475" t="s">
        <v>67</v>
      </c>
      <c r="AJ1475" t="s">
        <v>72</v>
      </c>
      <c r="AK1475" s="3" t="s">
        <v>27</v>
      </c>
      <c r="AL1475" s="3">
        <v>-19571.984681000002</v>
      </c>
      <c r="AS1475" t="s">
        <v>1924</v>
      </c>
      <c r="AT1475" t="s">
        <v>88</v>
      </c>
      <c r="AU1475" t="s">
        <v>110</v>
      </c>
      <c r="AV1475" s="14">
        <v>397.61059999999998</v>
      </c>
    </row>
    <row r="1476" spans="26:48">
      <c r="Z1476" s="3"/>
      <c r="AC1476"/>
      <c r="AE1476" s="3"/>
      <c r="AH1476" t="s">
        <v>1852</v>
      </c>
      <c r="AI1476" t="s">
        <v>67</v>
      </c>
      <c r="AJ1476" t="s">
        <v>113</v>
      </c>
      <c r="AK1476" s="3" t="s">
        <v>27</v>
      </c>
      <c r="AL1476" s="3">
        <v>-1210.0424452742</v>
      </c>
      <c r="AS1476" t="s">
        <v>1924</v>
      </c>
      <c r="AT1476" t="s">
        <v>88</v>
      </c>
      <c r="AU1476" t="s">
        <v>111</v>
      </c>
      <c r="AV1476" s="14">
        <v>9500</v>
      </c>
    </row>
    <row r="1477" spans="26:48">
      <c r="Z1477" s="3"/>
      <c r="AC1477"/>
      <c r="AE1477" s="3"/>
      <c r="AH1477" t="s">
        <v>1852</v>
      </c>
      <c r="AI1477" t="s">
        <v>67</v>
      </c>
      <c r="AJ1477" t="s">
        <v>108</v>
      </c>
      <c r="AK1477" s="3" t="s">
        <v>27</v>
      </c>
      <c r="AL1477" s="3">
        <v>259.25776427419999</v>
      </c>
      <c r="AS1477" t="s">
        <v>1924</v>
      </c>
      <c r="AT1477" t="s">
        <v>88</v>
      </c>
      <c r="AU1477" t="s">
        <v>268</v>
      </c>
      <c r="AV1477" s="14">
        <v>0</v>
      </c>
    </row>
    <row r="1478" spans="26:48">
      <c r="Z1478" s="3"/>
      <c r="AC1478"/>
      <c r="AE1478" s="3"/>
      <c r="AH1478" t="s">
        <v>1852</v>
      </c>
      <c r="AI1478" t="s">
        <v>67</v>
      </c>
      <c r="AJ1478" t="s">
        <v>98</v>
      </c>
      <c r="AK1478" s="3" t="s">
        <v>27</v>
      </c>
      <c r="AL1478" s="3">
        <v>259.25776427419999</v>
      </c>
      <c r="AS1478" t="s">
        <v>1924</v>
      </c>
      <c r="AT1478" t="s">
        <v>88</v>
      </c>
      <c r="AU1478" t="s">
        <v>269</v>
      </c>
      <c r="AV1478" s="14">
        <v>0</v>
      </c>
    </row>
    <row r="1479" spans="26:48">
      <c r="Z1479" s="3"/>
      <c r="AC1479"/>
      <c r="AE1479" s="3"/>
      <c r="AH1479" t="s">
        <v>1852</v>
      </c>
      <c r="AI1479" t="s">
        <v>67</v>
      </c>
      <c r="AJ1479" t="s">
        <v>66</v>
      </c>
      <c r="AK1479" s="3" t="s">
        <v>114</v>
      </c>
      <c r="AL1479" s="3">
        <v>0</v>
      </c>
      <c r="AS1479" t="s">
        <v>1924</v>
      </c>
      <c r="AT1479" t="s">
        <v>88</v>
      </c>
      <c r="AU1479" t="s">
        <v>270</v>
      </c>
      <c r="AV1479" s="14">
        <v>0</v>
      </c>
    </row>
    <row r="1480" spans="26:48">
      <c r="Z1480" s="3"/>
      <c r="AC1480"/>
      <c r="AE1480" s="3"/>
      <c r="AH1480" t="s">
        <v>1852</v>
      </c>
      <c r="AI1480" t="s">
        <v>67</v>
      </c>
      <c r="AJ1480" t="s">
        <v>98</v>
      </c>
      <c r="AK1480" s="3" t="s">
        <v>114</v>
      </c>
      <c r="AL1480" s="3">
        <v>0</v>
      </c>
      <c r="AS1480" t="s">
        <v>1924</v>
      </c>
      <c r="AT1480" t="s">
        <v>88</v>
      </c>
      <c r="AU1480" t="s">
        <v>271</v>
      </c>
      <c r="AV1480" s="14">
        <v>2332.3290000000002</v>
      </c>
    </row>
    <row r="1481" spans="26:48">
      <c r="Z1481" s="3"/>
      <c r="AC1481"/>
      <c r="AE1481" s="3"/>
      <c r="AH1481" t="s">
        <v>1852</v>
      </c>
      <c r="AI1481" t="s">
        <v>67</v>
      </c>
      <c r="AJ1481" t="s">
        <v>66</v>
      </c>
      <c r="AK1481" s="3" t="s">
        <v>115</v>
      </c>
      <c r="AL1481" s="3">
        <v>18621.2</v>
      </c>
      <c r="AS1481" t="s">
        <v>1924</v>
      </c>
      <c r="AT1481" t="s">
        <v>88</v>
      </c>
      <c r="AU1481" t="s">
        <v>272</v>
      </c>
      <c r="AV1481" s="14">
        <v>0</v>
      </c>
    </row>
    <row r="1482" spans="26:48">
      <c r="Z1482" s="3"/>
      <c r="AC1482"/>
      <c r="AE1482" s="3"/>
      <c r="AH1482" t="s">
        <v>1852</v>
      </c>
      <c r="AI1482" t="s">
        <v>67</v>
      </c>
      <c r="AJ1482" t="s">
        <v>98</v>
      </c>
      <c r="AK1482" s="3" t="s">
        <v>115</v>
      </c>
      <c r="AL1482" s="3">
        <v>-259.25776427419999</v>
      </c>
      <c r="AS1482" t="s">
        <v>1924</v>
      </c>
      <c r="AT1482" t="s">
        <v>88</v>
      </c>
      <c r="AU1482" t="s">
        <v>273</v>
      </c>
      <c r="AV1482" s="14">
        <v>0</v>
      </c>
    </row>
    <row r="1483" spans="26:48">
      <c r="Z1483" s="3"/>
      <c r="AC1483"/>
      <c r="AE1483" s="3"/>
      <c r="AH1483" t="s">
        <v>1852</v>
      </c>
      <c r="AI1483" t="s">
        <v>68</v>
      </c>
      <c r="AJ1483" t="s">
        <v>66</v>
      </c>
      <c r="AK1483" s="3" t="s">
        <v>27</v>
      </c>
      <c r="AL1483" s="3">
        <v>-6371.5</v>
      </c>
      <c r="AS1483" t="s">
        <v>1925</v>
      </c>
      <c r="AT1483" t="s">
        <v>88</v>
      </c>
      <c r="AU1483" t="s">
        <v>109</v>
      </c>
      <c r="AV1483" s="14">
        <v>13252.1291</v>
      </c>
    </row>
    <row r="1484" spans="26:48">
      <c r="Z1484" s="3"/>
      <c r="AC1484"/>
      <c r="AE1484" s="3"/>
      <c r="AH1484" t="s">
        <v>1852</v>
      </c>
      <c r="AI1484" t="s">
        <v>68</v>
      </c>
      <c r="AJ1484" t="s">
        <v>72</v>
      </c>
      <c r="AK1484" s="3" t="s">
        <v>27</v>
      </c>
      <c r="AL1484" s="3">
        <v>-7022.7796550000003</v>
      </c>
      <c r="AS1484" t="s">
        <v>1925</v>
      </c>
      <c r="AT1484" t="s">
        <v>88</v>
      </c>
      <c r="AU1484" t="s">
        <v>110</v>
      </c>
      <c r="AV1484" s="14">
        <v>397.61059999999998</v>
      </c>
    </row>
    <row r="1485" spans="26:48">
      <c r="Z1485" s="3"/>
      <c r="AC1485"/>
      <c r="AE1485" s="3"/>
      <c r="AH1485" t="s">
        <v>1852</v>
      </c>
      <c r="AI1485" t="s">
        <v>68</v>
      </c>
      <c r="AJ1485" t="s">
        <v>113</v>
      </c>
      <c r="AK1485" s="3" t="s">
        <v>27</v>
      </c>
      <c r="AL1485" s="3">
        <v>-913.19544631810004</v>
      </c>
      <c r="AS1485" t="s">
        <v>1925</v>
      </c>
      <c r="AT1485" t="s">
        <v>88</v>
      </c>
      <c r="AU1485" t="s">
        <v>111</v>
      </c>
      <c r="AV1485" s="14">
        <v>9500</v>
      </c>
    </row>
    <row r="1486" spans="26:48">
      <c r="Z1486" s="3"/>
      <c r="AC1486"/>
      <c r="AE1486" s="3"/>
      <c r="AH1486" t="s">
        <v>1852</v>
      </c>
      <c r="AI1486" t="s">
        <v>68</v>
      </c>
      <c r="AJ1486" t="s">
        <v>108</v>
      </c>
      <c r="AK1486" s="3" t="s">
        <v>27</v>
      </c>
      <c r="AL1486" s="3">
        <v>261.91579131809999</v>
      </c>
      <c r="AS1486" t="s">
        <v>1925</v>
      </c>
      <c r="AT1486" t="s">
        <v>88</v>
      </c>
      <c r="AU1486" t="s">
        <v>268</v>
      </c>
      <c r="AV1486" s="14">
        <v>0</v>
      </c>
    </row>
    <row r="1487" spans="26:48">
      <c r="Z1487" s="3"/>
      <c r="AC1487"/>
      <c r="AE1487" s="3"/>
      <c r="AH1487" t="s">
        <v>1852</v>
      </c>
      <c r="AI1487" t="s">
        <v>68</v>
      </c>
      <c r="AJ1487" t="s">
        <v>98</v>
      </c>
      <c r="AK1487" s="3" t="s">
        <v>27</v>
      </c>
      <c r="AL1487" s="3">
        <v>157.2438833729</v>
      </c>
      <c r="AS1487" t="s">
        <v>1925</v>
      </c>
      <c r="AT1487" t="s">
        <v>88</v>
      </c>
      <c r="AU1487" t="s">
        <v>269</v>
      </c>
      <c r="AV1487" s="14">
        <v>0</v>
      </c>
    </row>
    <row r="1488" spans="26:48">
      <c r="Z1488" s="3"/>
      <c r="AC1488"/>
      <c r="AE1488" s="3"/>
      <c r="AH1488" t="s">
        <v>1852</v>
      </c>
      <c r="AI1488" t="s">
        <v>68</v>
      </c>
      <c r="AJ1488" t="s">
        <v>66</v>
      </c>
      <c r="AK1488" s="3" t="s">
        <v>114</v>
      </c>
      <c r="AL1488" s="3">
        <v>4653</v>
      </c>
      <c r="AS1488" t="s">
        <v>1925</v>
      </c>
      <c r="AT1488" t="s">
        <v>88</v>
      </c>
      <c r="AU1488" t="s">
        <v>270</v>
      </c>
      <c r="AV1488" s="14">
        <v>0</v>
      </c>
    </row>
    <row r="1489" spans="26:48">
      <c r="Z1489" s="3"/>
      <c r="AC1489"/>
      <c r="AE1489" s="3"/>
      <c r="AH1489" t="s">
        <v>1852</v>
      </c>
      <c r="AI1489" t="s">
        <v>68</v>
      </c>
      <c r="AJ1489" t="s">
        <v>98</v>
      </c>
      <c r="AK1489" s="3" t="s">
        <v>114</v>
      </c>
      <c r="AL1489" s="3">
        <v>-256.18137794519998</v>
      </c>
      <c r="AS1489" t="s">
        <v>1925</v>
      </c>
      <c r="AT1489" t="s">
        <v>88</v>
      </c>
      <c r="AU1489" t="s">
        <v>271</v>
      </c>
      <c r="AV1489" s="14">
        <v>3932.5716000000002</v>
      </c>
    </row>
    <row r="1490" spans="26:48">
      <c r="Z1490" s="3"/>
      <c r="AC1490"/>
      <c r="AE1490" s="3"/>
      <c r="AH1490" t="s">
        <v>1852</v>
      </c>
      <c r="AI1490" t="s">
        <v>68</v>
      </c>
      <c r="AJ1490" t="s">
        <v>66</v>
      </c>
      <c r="AK1490" s="3" t="s">
        <v>115</v>
      </c>
      <c r="AL1490" s="3">
        <v>11024.5</v>
      </c>
      <c r="AS1490" t="s">
        <v>1925</v>
      </c>
      <c r="AT1490" t="s">
        <v>88</v>
      </c>
      <c r="AU1490" t="s">
        <v>272</v>
      </c>
      <c r="AV1490" s="14">
        <v>0</v>
      </c>
    </row>
    <row r="1491" spans="26:48">
      <c r="Z1491" s="3"/>
      <c r="AC1491"/>
      <c r="AE1491" s="3"/>
      <c r="AH1491" t="s">
        <v>1852</v>
      </c>
      <c r="AI1491" t="s">
        <v>68</v>
      </c>
      <c r="AJ1491" t="s">
        <v>98</v>
      </c>
      <c r="AK1491" s="3" t="s">
        <v>115</v>
      </c>
      <c r="AL1491" s="3">
        <v>-413.42526131810001</v>
      </c>
      <c r="AS1491" t="s">
        <v>1925</v>
      </c>
      <c r="AT1491" t="s">
        <v>88</v>
      </c>
      <c r="AU1491" t="s">
        <v>273</v>
      </c>
      <c r="AV1491" s="14">
        <v>0</v>
      </c>
    </row>
    <row r="1492" spans="26:48">
      <c r="Z1492" s="3"/>
      <c r="AC1492"/>
      <c r="AE1492" s="3"/>
      <c r="AH1492" t="s">
        <v>1853</v>
      </c>
      <c r="AI1492" t="s">
        <v>65</v>
      </c>
      <c r="AJ1492" t="s">
        <v>66</v>
      </c>
      <c r="AK1492" s="3" t="s">
        <v>27</v>
      </c>
      <c r="AL1492" s="3">
        <v>36049.699999999997</v>
      </c>
      <c r="AS1492" t="s">
        <v>1926</v>
      </c>
      <c r="AT1492" t="s">
        <v>88</v>
      </c>
      <c r="AU1492" t="s">
        <v>109</v>
      </c>
      <c r="AV1492" s="14">
        <v>12952.1291</v>
      </c>
    </row>
    <row r="1493" spans="26:48">
      <c r="Z1493" s="3"/>
      <c r="AC1493"/>
      <c r="AE1493" s="3"/>
      <c r="AH1493" t="s">
        <v>1853</v>
      </c>
      <c r="AI1493" t="s">
        <v>65</v>
      </c>
      <c r="AJ1493" t="s">
        <v>72</v>
      </c>
      <c r="AK1493" s="3" t="s">
        <v>27</v>
      </c>
      <c r="AL1493" s="3">
        <v>36570.766708000003</v>
      </c>
      <c r="AS1493" t="s">
        <v>1926</v>
      </c>
      <c r="AT1493" t="s">
        <v>88</v>
      </c>
      <c r="AU1493" t="s">
        <v>110</v>
      </c>
      <c r="AV1493" s="14">
        <v>397.61059999999998</v>
      </c>
    </row>
    <row r="1494" spans="26:48">
      <c r="Z1494" s="3"/>
      <c r="AC1494"/>
      <c r="AE1494" s="3"/>
      <c r="AH1494" t="s">
        <v>1853</v>
      </c>
      <c r="AI1494" t="s">
        <v>65</v>
      </c>
      <c r="AJ1494" t="s">
        <v>113</v>
      </c>
      <c r="AK1494" s="3" t="s">
        <v>27</v>
      </c>
      <c r="AL1494" s="3">
        <v>1793.3763751068</v>
      </c>
      <c r="AS1494" t="s">
        <v>1926</v>
      </c>
      <c r="AT1494" t="s">
        <v>88</v>
      </c>
      <c r="AU1494" t="s">
        <v>111</v>
      </c>
      <c r="AV1494" s="14">
        <v>9500</v>
      </c>
    </row>
    <row r="1495" spans="26:48">
      <c r="Z1495" s="3"/>
      <c r="AC1495"/>
      <c r="AE1495" s="3"/>
      <c r="AH1495" t="s">
        <v>1853</v>
      </c>
      <c r="AI1495" t="s">
        <v>65</v>
      </c>
      <c r="AJ1495" t="s">
        <v>108</v>
      </c>
      <c r="AK1495" s="3" t="s">
        <v>27</v>
      </c>
      <c r="AL1495" s="3">
        <v>-1272.3096671067999</v>
      </c>
      <c r="AS1495" t="s">
        <v>1926</v>
      </c>
      <c r="AT1495" t="s">
        <v>88</v>
      </c>
      <c r="AU1495" t="s">
        <v>268</v>
      </c>
      <c r="AV1495" s="14">
        <v>0</v>
      </c>
    </row>
    <row r="1496" spans="26:48">
      <c r="Z1496" s="3"/>
      <c r="AC1496"/>
      <c r="AE1496" s="3"/>
      <c r="AH1496" t="s">
        <v>1853</v>
      </c>
      <c r="AI1496" t="s">
        <v>65</v>
      </c>
      <c r="AJ1496" t="s">
        <v>98</v>
      </c>
      <c r="AK1496" s="3" t="s">
        <v>27</v>
      </c>
      <c r="AL1496" s="3">
        <v>-1272.3096671067999</v>
      </c>
      <c r="AS1496" t="s">
        <v>1926</v>
      </c>
      <c r="AT1496" t="s">
        <v>88</v>
      </c>
      <c r="AU1496" t="s">
        <v>269</v>
      </c>
      <c r="AV1496" s="14">
        <v>0</v>
      </c>
    </row>
    <row r="1497" spans="26:48">
      <c r="Z1497" s="3"/>
      <c r="AC1497"/>
      <c r="AE1497" s="3"/>
      <c r="AH1497" t="s">
        <v>1853</v>
      </c>
      <c r="AI1497" t="s">
        <v>67</v>
      </c>
      <c r="AJ1497" t="s">
        <v>66</v>
      </c>
      <c r="AK1497" s="3" t="s">
        <v>27</v>
      </c>
      <c r="AL1497" s="3">
        <v>-18208.2</v>
      </c>
      <c r="AS1497" t="s">
        <v>1926</v>
      </c>
      <c r="AT1497" t="s">
        <v>88</v>
      </c>
      <c r="AU1497" t="s">
        <v>270</v>
      </c>
      <c r="AV1497" s="14">
        <v>0</v>
      </c>
    </row>
    <row r="1498" spans="26:48">
      <c r="Z1498" s="3"/>
      <c r="AC1498"/>
      <c r="AE1498" s="3"/>
      <c r="AH1498" t="s">
        <v>1853</v>
      </c>
      <c r="AI1498" t="s">
        <v>67</v>
      </c>
      <c r="AJ1498" t="s">
        <v>72</v>
      </c>
      <c r="AK1498" s="3" t="s">
        <v>27</v>
      </c>
      <c r="AL1498" s="3">
        <v>-18932.112787999999</v>
      </c>
      <c r="AS1498" t="s">
        <v>1926</v>
      </c>
      <c r="AT1498" t="s">
        <v>88</v>
      </c>
      <c r="AU1498" t="s">
        <v>271</v>
      </c>
      <c r="AV1498" s="14">
        <v>3832.3290000000002</v>
      </c>
    </row>
    <row r="1499" spans="26:48">
      <c r="Z1499" s="3"/>
      <c r="AC1499"/>
      <c r="AE1499" s="3"/>
      <c r="AH1499" t="s">
        <v>1853</v>
      </c>
      <c r="AI1499" t="s">
        <v>67</v>
      </c>
      <c r="AJ1499" t="s">
        <v>113</v>
      </c>
      <c r="AK1499" s="3" t="s">
        <v>27</v>
      </c>
      <c r="AL1499" s="3">
        <v>-1166.6240825448999</v>
      </c>
      <c r="AS1499" t="s">
        <v>1926</v>
      </c>
      <c r="AT1499" t="s">
        <v>88</v>
      </c>
      <c r="AU1499" t="s">
        <v>272</v>
      </c>
      <c r="AV1499" s="14">
        <v>0</v>
      </c>
    </row>
    <row r="1500" spans="26:48">
      <c r="Z1500" s="3"/>
      <c r="AC1500"/>
      <c r="AE1500" s="3"/>
      <c r="AH1500" t="s">
        <v>1853</v>
      </c>
      <c r="AI1500" t="s">
        <v>67</v>
      </c>
      <c r="AJ1500" t="s">
        <v>108</v>
      </c>
      <c r="AK1500" s="3" t="s">
        <v>27</v>
      </c>
      <c r="AL1500" s="3">
        <v>442.7112945449</v>
      </c>
      <c r="AS1500" t="s">
        <v>1926</v>
      </c>
      <c r="AT1500" t="s">
        <v>88</v>
      </c>
      <c r="AU1500" t="s">
        <v>273</v>
      </c>
      <c r="AV1500" s="14">
        <v>0</v>
      </c>
    </row>
    <row r="1501" spans="26:48">
      <c r="Z1501" s="3"/>
      <c r="AC1501"/>
      <c r="AE1501" s="3"/>
      <c r="AH1501" t="s">
        <v>1853</v>
      </c>
      <c r="AI1501" t="s">
        <v>67</v>
      </c>
      <c r="AJ1501" t="s">
        <v>98</v>
      </c>
      <c r="AK1501" s="3" t="s">
        <v>27</v>
      </c>
      <c r="AL1501" s="3">
        <v>220.17256742160001</v>
      </c>
      <c r="AS1501" t="s">
        <v>1927</v>
      </c>
      <c r="AT1501" t="s">
        <v>88</v>
      </c>
      <c r="AU1501" t="s">
        <v>109</v>
      </c>
      <c r="AV1501" s="14">
        <v>18021.329099999999</v>
      </c>
    </row>
    <row r="1502" spans="26:48">
      <c r="Z1502" s="3"/>
      <c r="AC1502"/>
      <c r="AE1502" s="3"/>
      <c r="AH1502" t="s">
        <v>1853</v>
      </c>
      <c r="AI1502" t="s">
        <v>67</v>
      </c>
      <c r="AJ1502" t="s">
        <v>66</v>
      </c>
      <c r="AK1502" s="3" t="s">
        <v>114</v>
      </c>
      <c r="AL1502" s="3">
        <v>689</v>
      </c>
      <c r="AS1502" t="s">
        <v>1927</v>
      </c>
      <c r="AT1502" t="s">
        <v>88</v>
      </c>
      <c r="AU1502" t="s">
        <v>110</v>
      </c>
      <c r="AV1502" s="14">
        <v>397.61059999999998</v>
      </c>
    </row>
    <row r="1503" spans="26:48">
      <c r="Z1503" s="3"/>
      <c r="AC1503"/>
      <c r="AE1503" s="3"/>
      <c r="AH1503" t="s">
        <v>1853</v>
      </c>
      <c r="AI1503" t="s">
        <v>67</v>
      </c>
      <c r="AJ1503" t="s">
        <v>98</v>
      </c>
      <c r="AK1503" s="3" t="s">
        <v>114</v>
      </c>
      <c r="AL1503" s="3">
        <v>-31.338147123300001</v>
      </c>
      <c r="AS1503" t="s">
        <v>1927</v>
      </c>
      <c r="AT1503" t="s">
        <v>88</v>
      </c>
      <c r="AU1503" t="s">
        <v>111</v>
      </c>
      <c r="AV1503" s="14">
        <v>9500</v>
      </c>
    </row>
    <row r="1504" spans="26:48">
      <c r="Z1504" s="3"/>
      <c r="AC1504"/>
      <c r="AE1504" s="3"/>
      <c r="AH1504" t="s">
        <v>1853</v>
      </c>
      <c r="AI1504" t="s">
        <v>67</v>
      </c>
      <c r="AJ1504" t="s">
        <v>66</v>
      </c>
      <c r="AK1504" s="3" t="s">
        <v>115</v>
      </c>
      <c r="AL1504" s="3">
        <v>18897.2</v>
      </c>
      <c r="AS1504" t="s">
        <v>1927</v>
      </c>
      <c r="AT1504" t="s">
        <v>88</v>
      </c>
      <c r="AU1504" t="s">
        <v>268</v>
      </c>
      <c r="AV1504" s="14">
        <v>0</v>
      </c>
    </row>
    <row r="1505" spans="26:48">
      <c r="Z1505" s="3"/>
      <c r="AC1505"/>
      <c r="AE1505" s="3"/>
      <c r="AH1505" t="s">
        <v>1853</v>
      </c>
      <c r="AI1505" t="s">
        <v>67</v>
      </c>
      <c r="AJ1505" t="s">
        <v>98</v>
      </c>
      <c r="AK1505" s="3" t="s">
        <v>115</v>
      </c>
      <c r="AL1505" s="3">
        <v>-251.5107145449</v>
      </c>
      <c r="AS1505" t="s">
        <v>1927</v>
      </c>
      <c r="AT1505" t="s">
        <v>88</v>
      </c>
      <c r="AU1505" t="s">
        <v>269</v>
      </c>
      <c r="AV1505" s="14">
        <v>0</v>
      </c>
    </row>
    <row r="1506" spans="26:48">
      <c r="Z1506" s="3"/>
      <c r="AC1506"/>
      <c r="AE1506" s="3"/>
      <c r="AH1506" t="s">
        <v>1853</v>
      </c>
      <c r="AI1506" t="s">
        <v>68</v>
      </c>
      <c r="AJ1506" t="s">
        <v>66</v>
      </c>
      <c r="AK1506" s="3" t="s">
        <v>27</v>
      </c>
      <c r="AL1506" s="3">
        <v>-6429.5</v>
      </c>
      <c r="AS1506" t="s">
        <v>1927</v>
      </c>
      <c r="AT1506" t="s">
        <v>88</v>
      </c>
      <c r="AU1506" t="s">
        <v>270</v>
      </c>
      <c r="AV1506" s="14">
        <v>0</v>
      </c>
    </row>
    <row r="1507" spans="26:48">
      <c r="Z1507" s="3"/>
      <c r="AC1507"/>
      <c r="AE1507" s="3"/>
      <c r="AH1507" t="s">
        <v>1853</v>
      </c>
      <c r="AI1507" t="s">
        <v>68</v>
      </c>
      <c r="AJ1507" t="s">
        <v>72</v>
      </c>
      <c r="AK1507" s="3" t="s">
        <v>27</v>
      </c>
      <c r="AL1507" s="3">
        <v>-7116.8296799999998</v>
      </c>
      <c r="AS1507" t="s">
        <v>1927</v>
      </c>
      <c r="AT1507" t="s">
        <v>88</v>
      </c>
      <c r="AU1507" t="s">
        <v>271</v>
      </c>
      <c r="AV1507" s="14">
        <v>-1736.8710000000001</v>
      </c>
    </row>
    <row r="1508" spans="26:48">
      <c r="Z1508" s="3"/>
      <c r="AC1508"/>
      <c r="AE1508" s="3"/>
      <c r="AH1508" t="s">
        <v>1853</v>
      </c>
      <c r="AI1508" t="s">
        <v>68</v>
      </c>
      <c r="AJ1508" t="s">
        <v>113</v>
      </c>
      <c r="AK1508" s="3" t="s">
        <v>27</v>
      </c>
      <c r="AL1508" s="3">
        <v>-944.39249594219996</v>
      </c>
      <c r="AS1508" t="s">
        <v>1927</v>
      </c>
      <c r="AT1508" t="s">
        <v>88</v>
      </c>
      <c r="AU1508" t="s">
        <v>272</v>
      </c>
      <c r="AV1508" s="14">
        <v>0</v>
      </c>
    </row>
    <row r="1509" spans="26:48">
      <c r="Z1509" s="3"/>
      <c r="AC1509"/>
      <c r="AE1509" s="3"/>
      <c r="AH1509" t="s">
        <v>1853</v>
      </c>
      <c r="AI1509" t="s">
        <v>68</v>
      </c>
      <c r="AJ1509" t="s">
        <v>108</v>
      </c>
      <c r="AK1509" s="3" t="s">
        <v>27</v>
      </c>
      <c r="AL1509" s="3">
        <v>257.06281594220002</v>
      </c>
      <c r="AS1509" t="s">
        <v>1927</v>
      </c>
      <c r="AT1509" t="s">
        <v>88</v>
      </c>
      <c r="AU1509" t="s">
        <v>273</v>
      </c>
      <c r="AV1509" s="14">
        <v>0</v>
      </c>
    </row>
    <row r="1510" spans="26:48">
      <c r="Z1510" s="3"/>
      <c r="AC1510"/>
      <c r="AE1510" s="3"/>
      <c r="AH1510" t="s">
        <v>1853</v>
      </c>
      <c r="AI1510" t="s">
        <v>68</v>
      </c>
      <c r="AJ1510" t="s">
        <v>98</v>
      </c>
      <c r="AK1510" s="3" t="s">
        <v>27</v>
      </c>
      <c r="AL1510" s="3">
        <v>152.390907997</v>
      </c>
      <c r="AS1510" t="s">
        <v>1928</v>
      </c>
      <c r="AT1510" t="s">
        <v>88</v>
      </c>
      <c r="AU1510" t="s">
        <v>109</v>
      </c>
      <c r="AV1510" s="14">
        <v>20053.658100000001</v>
      </c>
    </row>
    <row r="1511" spans="26:48">
      <c r="Z1511" s="3"/>
      <c r="AC1511"/>
      <c r="AE1511" s="3"/>
      <c r="AH1511" t="s">
        <v>1853</v>
      </c>
      <c r="AI1511" t="s">
        <v>68</v>
      </c>
      <c r="AJ1511" t="s">
        <v>66</v>
      </c>
      <c r="AK1511" s="3" t="s">
        <v>114</v>
      </c>
      <c r="AL1511" s="3">
        <v>4653</v>
      </c>
      <c r="AS1511" t="s">
        <v>1928</v>
      </c>
      <c r="AT1511" t="s">
        <v>88</v>
      </c>
      <c r="AU1511" t="s">
        <v>110</v>
      </c>
      <c r="AV1511" s="14">
        <v>397.61059999999998</v>
      </c>
    </row>
    <row r="1512" spans="26:48">
      <c r="Z1512" s="3"/>
      <c r="AC1512"/>
      <c r="AE1512" s="3"/>
      <c r="AH1512" t="s">
        <v>1853</v>
      </c>
      <c r="AI1512" t="s">
        <v>68</v>
      </c>
      <c r="AJ1512" t="s">
        <v>98</v>
      </c>
      <c r="AK1512" s="3" t="s">
        <v>114</v>
      </c>
      <c r="AL1512" s="3">
        <v>-251.60812794520001</v>
      </c>
      <c r="AS1512" t="s">
        <v>1928</v>
      </c>
      <c r="AT1512" t="s">
        <v>88</v>
      </c>
      <c r="AU1512" t="s">
        <v>111</v>
      </c>
      <c r="AV1512" s="14">
        <v>9500</v>
      </c>
    </row>
    <row r="1513" spans="26:48">
      <c r="Z1513" s="3"/>
      <c r="AC1513"/>
      <c r="AE1513" s="3"/>
      <c r="AH1513" t="s">
        <v>1853</v>
      </c>
      <c r="AI1513" t="s">
        <v>68</v>
      </c>
      <c r="AJ1513" t="s">
        <v>66</v>
      </c>
      <c r="AK1513" s="3" t="s">
        <v>115</v>
      </c>
      <c r="AL1513" s="3">
        <v>11082.5</v>
      </c>
      <c r="AS1513" t="s">
        <v>1928</v>
      </c>
      <c r="AT1513" t="s">
        <v>88</v>
      </c>
      <c r="AU1513" t="s">
        <v>268</v>
      </c>
      <c r="AV1513" s="14">
        <v>0</v>
      </c>
    </row>
    <row r="1514" spans="26:48">
      <c r="Z1514" s="3"/>
      <c r="AC1514"/>
      <c r="AE1514" s="3"/>
      <c r="AH1514" t="s">
        <v>1853</v>
      </c>
      <c r="AI1514" t="s">
        <v>68</v>
      </c>
      <c r="AJ1514" t="s">
        <v>98</v>
      </c>
      <c r="AK1514" s="3" t="s">
        <v>115</v>
      </c>
      <c r="AL1514" s="3">
        <v>-403.99903594220001</v>
      </c>
      <c r="AS1514" t="s">
        <v>1928</v>
      </c>
      <c r="AT1514" t="s">
        <v>88</v>
      </c>
      <c r="AU1514" t="s">
        <v>269</v>
      </c>
      <c r="AV1514" s="14">
        <v>0</v>
      </c>
    </row>
    <row r="1515" spans="26:48">
      <c r="Z1515" s="3"/>
      <c r="AC1515"/>
      <c r="AE1515" s="3"/>
      <c r="AH1515" t="s">
        <v>1853</v>
      </c>
      <c r="AI1515" t="s">
        <v>800</v>
      </c>
      <c r="AJ1515" t="s">
        <v>31</v>
      </c>
      <c r="AK1515" s="3" t="s">
        <v>27</v>
      </c>
      <c r="AL1515" s="3">
        <v>4.0505072616</v>
      </c>
      <c r="AS1515" t="s">
        <v>1928</v>
      </c>
      <c r="AT1515" t="s">
        <v>88</v>
      </c>
      <c r="AU1515" t="s">
        <v>270</v>
      </c>
      <c r="AV1515" s="14">
        <v>0</v>
      </c>
    </row>
    <row r="1516" spans="26:48">
      <c r="Z1516" s="3"/>
      <c r="AC1516"/>
      <c r="AE1516" s="3"/>
      <c r="AH1516" t="s">
        <v>1854</v>
      </c>
      <c r="AI1516" t="s">
        <v>67</v>
      </c>
      <c r="AJ1516" t="s">
        <v>72</v>
      </c>
      <c r="AK1516" s="3" t="s">
        <v>27</v>
      </c>
      <c r="AL1516" s="3">
        <v>-20348.435126</v>
      </c>
      <c r="AS1516" t="s">
        <v>1928</v>
      </c>
      <c r="AT1516" t="s">
        <v>88</v>
      </c>
      <c r="AU1516" t="s">
        <v>271</v>
      </c>
      <c r="AV1516" s="14">
        <v>-2700</v>
      </c>
    </row>
    <row r="1517" spans="26:48">
      <c r="Z1517" s="3"/>
      <c r="AC1517"/>
      <c r="AE1517" s="3"/>
      <c r="AH1517" t="s">
        <v>1854</v>
      </c>
      <c r="AI1517" t="s">
        <v>67</v>
      </c>
      <c r="AJ1517" t="s">
        <v>113</v>
      </c>
      <c r="AK1517" s="3" t="s">
        <v>27</v>
      </c>
      <c r="AL1517" s="3">
        <v>-1224.2500511485</v>
      </c>
      <c r="AS1517" t="s">
        <v>1928</v>
      </c>
      <c r="AT1517" t="s">
        <v>88</v>
      </c>
      <c r="AU1517" t="s">
        <v>272</v>
      </c>
      <c r="AV1517" s="14">
        <v>0</v>
      </c>
    </row>
    <row r="1518" spans="26:48">
      <c r="Z1518" s="3"/>
      <c r="AC1518"/>
      <c r="AE1518" s="3"/>
      <c r="AH1518" t="s">
        <v>1854</v>
      </c>
      <c r="AI1518" t="s">
        <v>67</v>
      </c>
      <c r="AJ1518" t="s">
        <v>108</v>
      </c>
      <c r="AK1518" s="3" t="s">
        <v>27</v>
      </c>
      <c r="AL1518" s="3">
        <v>235.0149251485</v>
      </c>
      <c r="AS1518" t="s">
        <v>1928</v>
      </c>
      <c r="AT1518" t="s">
        <v>88</v>
      </c>
      <c r="AU1518" t="s">
        <v>273</v>
      </c>
      <c r="AV1518" s="14">
        <v>0</v>
      </c>
    </row>
    <row r="1519" spans="26:48">
      <c r="Z1519" s="3"/>
      <c r="AC1519"/>
      <c r="AE1519" s="3"/>
      <c r="AH1519" t="s">
        <v>1854</v>
      </c>
      <c r="AI1519" t="s">
        <v>67</v>
      </c>
      <c r="AJ1519" t="s">
        <v>98</v>
      </c>
      <c r="AK1519" s="3" t="s">
        <v>27</v>
      </c>
      <c r="AL1519" s="3">
        <v>239.20138542239999</v>
      </c>
      <c r="AS1519" t="s">
        <v>1929</v>
      </c>
      <c r="AT1519" t="s">
        <v>88</v>
      </c>
      <c r="AU1519" t="s">
        <v>109</v>
      </c>
      <c r="AV1519" s="14">
        <v>23203.658100000001</v>
      </c>
    </row>
    <row r="1520" spans="26:48">
      <c r="Z1520" s="3"/>
      <c r="AC1520"/>
      <c r="AE1520" s="3"/>
      <c r="AH1520" t="s">
        <v>1854</v>
      </c>
      <c r="AI1520" t="s">
        <v>67</v>
      </c>
      <c r="AJ1520" t="s">
        <v>66</v>
      </c>
      <c r="AK1520" s="3" t="s">
        <v>114</v>
      </c>
      <c r="AL1520" s="3">
        <v>420</v>
      </c>
      <c r="AS1520" t="s">
        <v>1929</v>
      </c>
      <c r="AT1520" t="s">
        <v>88</v>
      </c>
      <c r="AU1520" t="s">
        <v>110</v>
      </c>
      <c r="AV1520" s="14">
        <v>397.61059999999998</v>
      </c>
    </row>
    <row r="1521" spans="26:48">
      <c r="Z1521" s="3"/>
      <c r="AC1521"/>
      <c r="AE1521" s="3"/>
      <c r="AH1521" t="s">
        <v>1854</v>
      </c>
      <c r="AI1521" t="s">
        <v>67</v>
      </c>
      <c r="AJ1521" t="s">
        <v>98</v>
      </c>
      <c r="AK1521" s="3" t="s">
        <v>114</v>
      </c>
      <c r="AL1521" s="3">
        <v>-28.018439726</v>
      </c>
      <c r="AS1521" t="s">
        <v>1929</v>
      </c>
      <c r="AT1521" t="s">
        <v>88</v>
      </c>
      <c r="AU1521" t="s">
        <v>111</v>
      </c>
      <c r="AV1521" s="14">
        <v>9500</v>
      </c>
    </row>
    <row r="1522" spans="26:48">
      <c r="Z1522" s="3"/>
      <c r="AC1522"/>
      <c r="AE1522" s="3"/>
      <c r="AH1522" t="s">
        <v>1854</v>
      </c>
      <c r="AI1522" t="s">
        <v>67</v>
      </c>
      <c r="AJ1522" t="s">
        <v>66</v>
      </c>
      <c r="AK1522" s="3" t="s">
        <v>115</v>
      </c>
      <c r="AL1522" s="3">
        <v>19779.2</v>
      </c>
      <c r="AS1522" t="s">
        <v>1929</v>
      </c>
      <c r="AT1522" t="s">
        <v>88</v>
      </c>
      <c r="AU1522" t="s">
        <v>268</v>
      </c>
      <c r="AV1522" s="14">
        <v>0</v>
      </c>
    </row>
    <row r="1523" spans="26:48">
      <c r="Z1523" s="3"/>
      <c r="AC1523"/>
      <c r="AE1523" s="3"/>
      <c r="AH1523" t="s">
        <v>1854</v>
      </c>
      <c r="AI1523" t="s">
        <v>67</v>
      </c>
      <c r="AJ1523" t="s">
        <v>98</v>
      </c>
      <c r="AK1523" s="3" t="s">
        <v>115</v>
      </c>
      <c r="AL1523" s="3">
        <v>-267.21982514849998</v>
      </c>
      <c r="AS1523" t="s">
        <v>1929</v>
      </c>
      <c r="AT1523" t="s">
        <v>88</v>
      </c>
      <c r="AU1523" t="s">
        <v>269</v>
      </c>
      <c r="AV1523" s="14">
        <v>0</v>
      </c>
    </row>
    <row r="1524" spans="26:48">
      <c r="Z1524" s="3"/>
      <c r="AC1524"/>
      <c r="AE1524" s="3"/>
      <c r="AH1524" t="s">
        <v>1854</v>
      </c>
      <c r="AI1524" t="s">
        <v>68</v>
      </c>
      <c r="AJ1524" t="s">
        <v>66</v>
      </c>
      <c r="AK1524" s="3" t="s">
        <v>27</v>
      </c>
      <c r="AL1524" s="3">
        <v>-6074.5</v>
      </c>
      <c r="AS1524" t="s">
        <v>1929</v>
      </c>
      <c r="AT1524" t="s">
        <v>88</v>
      </c>
      <c r="AU1524" t="s">
        <v>270</v>
      </c>
      <c r="AV1524" s="14">
        <v>0</v>
      </c>
    </row>
    <row r="1525" spans="26:48">
      <c r="Z1525" s="3"/>
      <c r="AC1525"/>
      <c r="AE1525" s="3"/>
      <c r="AH1525" t="s">
        <v>1854</v>
      </c>
      <c r="AI1525" t="s">
        <v>68</v>
      </c>
      <c r="AJ1525" t="s">
        <v>72</v>
      </c>
      <c r="AK1525" s="3" t="s">
        <v>27</v>
      </c>
      <c r="AL1525" s="3">
        <v>-6531.8923750000004</v>
      </c>
      <c r="AS1525" t="s">
        <v>1929</v>
      </c>
      <c r="AT1525" t="s">
        <v>88</v>
      </c>
      <c r="AU1525" t="s">
        <v>271</v>
      </c>
      <c r="AV1525" s="14">
        <v>-3200</v>
      </c>
    </row>
    <row r="1526" spans="26:48">
      <c r="Z1526" s="3"/>
      <c r="AC1526"/>
      <c r="AE1526" s="3"/>
      <c r="AH1526" t="s">
        <v>1854</v>
      </c>
      <c r="AI1526" t="s">
        <v>68</v>
      </c>
      <c r="AJ1526" t="s">
        <v>113</v>
      </c>
      <c r="AK1526" s="3" t="s">
        <v>27</v>
      </c>
      <c r="AL1526" s="3">
        <v>-942.02366538440003</v>
      </c>
      <c r="AS1526" t="s">
        <v>1929</v>
      </c>
      <c r="AT1526" t="s">
        <v>88</v>
      </c>
      <c r="AU1526" t="s">
        <v>272</v>
      </c>
      <c r="AV1526" s="14">
        <v>0</v>
      </c>
    </row>
    <row r="1527" spans="26:48">
      <c r="Z1527" s="3"/>
      <c r="AC1527"/>
      <c r="AE1527" s="3"/>
      <c r="AH1527" t="s">
        <v>1854</v>
      </c>
      <c r="AI1527" t="s">
        <v>68</v>
      </c>
      <c r="AJ1527" t="s">
        <v>108</v>
      </c>
      <c r="AK1527" s="3" t="s">
        <v>27</v>
      </c>
      <c r="AL1527" s="3">
        <v>484.63129038440002</v>
      </c>
      <c r="AS1527" t="s">
        <v>1929</v>
      </c>
      <c r="AT1527" t="s">
        <v>88</v>
      </c>
      <c r="AU1527" t="s">
        <v>273</v>
      </c>
      <c r="AV1527" s="14">
        <v>0</v>
      </c>
    </row>
    <row r="1528" spans="26:48">
      <c r="Z1528" s="3"/>
      <c r="AC1528"/>
      <c r="AE1528" s="3"/>
      <c r="AH1528" t="s">
        <v>1854</v>
      </c>
      <c r="AI1528" t="s">
        <v>68</v>
      </c>
      <c r="AJ1528" t="s">
        <v>98</v>
      </c>
      <c r="AK1528" s="3" t="s">
        <v>27</v>
      </c>
      <c r="AL1528" s="3">
        <v>147.48752928850001</v>
      </c>
      <c r="AS1528" t="s">
        <v>1930</v>
      </c>
      <c r="AT1528" t="s">
        <v>88</v>
      </c>
      <c r="AU1528" t="s">
        <v>109</v>
      </c>
      <c r="AV1528" s="14">
        <v>23853.658100000001</v>
      </c>
    </row>
    <row r="1529" spans="26:48">
      <c r="Z1529" s="3"/>
      <c r="AC1529"/>
      <c r="AE1529" s="3"/>
      <c r="AH1529" t="s">
        <v>1854</v>
      </c>
      <c r="AI1529" t="s">
        <v>68</v>
      </c>
      <c r="AJ1529" t="s">
        <v>66</v>
      </c>
      <c r="AK1529" s="3" t="s">
        <v>114</v>
      </c>
      <c r="AL1529" s="3">
        <v>5182</v>
      </c>
      <c r="AS1529" t="s">
        <v>1930</v>
      </c>
      <c r="AT1529" t="s">
        <v>88</v>
      </c>
      <c r="AU1529" t="s">
        <v>110</v>
      </c>
      <c r="AV1529" s="14">
        <v>397.61059999999998</v>
      </c>
    </row>
    <row r="1530" spans="26:48">
      <c r="Z1530" s="3"/>
      <c r="AC1530"/>
      <c r="AE1530" s="3"/>
      <c r="AH1530" t="s">
        <v>1854</v>
      </c>
      <c r="AI1530" t="s">
        <v>68</v>
      </c>
      <c r="AJ1530" t="s">
        <v>98</v>
      </c>
      <c r="AK1530" s="3" t="s">
        <v>114</v>
      </c>
      <c r="AL1530" s="3">
        <v>-281.29227109589999</v>
      </c>
      <c r="AS1530" t="s">
        <v>1930</v>
      </c>
      <c r="AT1530" t="s">
        <v>88</v>
      </c>
      <c r="AU1530" t="s">
        <v>111</v>
      </c>
      <c r="AV1530" s="14">
        <v>9500</v>
      </c>
    </row>
    <row r="1531" spans="26:48">
      <c r="Z1531" s="3"/>
      <c r="AC1531"/>
      <c r="AE1531" s="3"/>
      <c r="AH1531" t="s">
        <v>1854</v>
      </c>
      <c r="AI1531" t="s">
        <v>68</v>
      </c>
      <c r="AJ1531" t="s">
        <v>66</v>
      </c>
      <c r="AK1531" s="3" t="s">
        <v>115</v>
      </c>
      <c r="AL1531" s="3">
        <v>11256.5</v>
      </c>
      <c r="AS1531" t="s">
        <v>1930</v>
      </c>
      <c r="AT1531" t="s">
        <v>88</v>
      </c>
      <c r="AU1531" t="s">
        <v>268</v>
      </c>
      <c r="AV1531" s="14">
        <v>0</v>
      </c>
    </row>
    <row r="1532" spans="26:48">
      <c r="Z1532" s="3"/>
      <c r="AC1532"/>
      <c r="AE1532" s="3"/>
      <c r="AH1532" t="s">
        <v>1854</v>
      </c>
      <c r="AI1532" t="s">
        <v>68</v>
      </c>
      <c r="AJ1532" t="s">
        <v>98</v>
      </c>
      <c r="AK1532" s="3" t="s">
        <v>115</v>
      </c>
      <c r="AL1532" s="3">
        <v>-428.7798003844</v>
      </c>
      <c r="AS1532" t="s">
        <v>1930</v>
      </c>
      <c r="AT1532" t="s">
        <v>88</v>
      </c>
      <c r="AU1532" t="s">
        <v>269</v>
      </c>
      <c r="AV1532" s="14">
        <v>0</v>
      </c>
    </row>
    <row r="1533" spans="26:48">
      <c r="Z1533" s="3"/>
      <c r="AC1533"/>
      <c r="AE1533" s="3"/>
      <c r="AH1533" t="s">
        <v>1854</v>
      </c>
      <c r="AI1533" t="s">
        <v>800</v>
      </c>
      <c r="AJ1533" t="s">
        <v>31</v>
      </c>
      <c r="AK1533" s="3" t="s">
        <v>27</v>
      </c>
      <c r="AL1533" s="3">
        <v>4.0634112564000002</v>
      </c>
      <c r="AS1533" t="s">
        <v>1930</v>
      </c>
      <c r="AT1533" t="s">
        <v>88</v>
      </c>
      <c r="AU1533" t="s">
        <v>270</v>
      </c>
      <c r="AV1533" s="14">
        <v>0</v>
      </c>
    </row>
    <row r="1534" spans="26:48">
      <c r="Z1534" s="3"/>
      <c r="AC1534"/>
      <c r="AE1534" s="3"/>
      <c r="AH1534" t="s">
        <v>1854</v>
      </c>
      <c r="AI1534" t="s">
        <v>65</v>
      </c>
      <c r="AJ1534" t="s">
        <v>66</v>
      </c>
      <c r="AK1534" s="3" t="s">
        <v>27</v>
      </c>
      <c r="AL1534" s="3">
        <v>36845.699999999997</v>
      </c>
      <c r="AS1534" t="s">
        <v>1930</v>
      </c>
      <c r="AT1534" t="s">
        <v>88</v>
      </c>
      <c r="AU1534" t="s">
        <v>271</v>
      </c>
      <c r="AV1534" s="14">
        <v>100</v>
      </c>
    </row>
    <row r="1535" spans="26:48">
      <c r="Z1535" s="3"/>
      <c r="AC1535"/>
      <c r="AE1535" s="3"/>
      <c r="AH1535" t="s">
        <v>1854</v>
      </c>
      <c r="AI1535" t="s">
        <v>65</v>
      </c>
      <c r="AJ1535" t="s">
        <v>72</v>
      </c>
      <c r="AK1535" s="3" t="s">
        <v>27</v>
      </c>
      <c r="AL1535" s="3">
        <v>37402.092280999997</v>
      </c>
      <c r="AS1535" t="s">
        <v>1930</v>
      </c>
      <c r="AT1535" t="s">
        <v>88</v>
      </c>
      <c r="AU1535" t="s">
        <v>272</v>
      </c>
      <c r="AV1535" s="14">
        <v>0</v>
      </c>
    </row>
    <row r="1536" spans="26:48">
      <c r="Z1536" s="3"/>
      <c r="AC1536"/>
      <c r="AE1536" s="3"/>
      <c r="AH1536" t="s">
        <v>1854</v>
      </c>
      <c r="AI1536" t="s">
        <v>65</v>
      </c>
      <c r="AJ1536" t="s">
        <v>113</v>
      </c>
      <c r="AK1536" s="3" t="s">
        <v>27</v>
      </c>
      <c r="AL1536" s="3">
        <v>1842.9848111884</v>
      </c>
      <c r="AS1536" t="s">
        <v>1930</v>
      </c>
      <c r="AT1536" t="s">
        <v>88</v>
      </c>
      <c r="AU1536" t="s">
        <v>273</v>
      </c>
      <c r="AV1536" s="14">
        <v>0</v>
      </c>
    </row>
    <row r="1537" spans="26:48">
      <c r="Z1537" s="3"/>
      <c r="AC1537"/>
      <c r="AE1537" s="3"/>
      <c r="AH1537" t="s">
        <v>1854</v>
      </c>
      <c r="AI1537" t="s">
        <v>65</v>
      </c>
      <c r="AJ1537" t="s">
        <v>108</v>
      </c>
      <c r="AK1537" s="3" t="s">
        <v>27</v>
      </c>
      <c r="AL1537" s="3">
        <v>-1286.5925301883999</v>
      </c>
      <c r="AS1537" t="s">
        <v>1931</v>
      </c>
      <c r="AT1537" t="s">
        <v>88</v>
      </c>
      <c r="AU1537" t="s">
        <v>109</v>
      </c>
      <c r="AV1537" s="14">
        <v>24253.658100000001</v>
      </c>
    </row>
    <row r="1538" spans="26:48">
      <c r="Z1538" s="3"/>
      <c r="AC1538"/>
      <c r="AE1538" s="3"/>
      <c r="AH1538" t="s">
        <v>1854</v>
      </c>
      <c r="AI1538" t="s">
        <v>65</v>
      </c>
      <c r="AJ1538" t="s">
        <v>98</v>
      </c>
      <c r="AK1538" s="3" t="s">
        <v>27</v>
      </c>
      <c r="AL1538" s="3">
        <v>-1286.5925301883999</v>
      </c>
      <c r="AS1538" t="s">
        <v>1931</v>
      </c>
      <c r="AT1538" t="s">
        <v>88</v>
      </c>
      <c r="AU1538" t="s">
        <v>110</v>
      </c>
      <c r="AV1538" s="14">
        <v>397.61059999999998</v>
      </c>
    </row>
    <row r="1539" spans="26:48">
      <c r="Z1539" s="3"/>
      <c r="AC1539"/>
      <c r="AE1539" s="3"/>
      <c r="AH1539" t="s">
        <v>1854</v>
      </c>
      <c r="AI1539" t="s">
        <v>67</v>
      </c>
      <c r="AJ1539" t="s">
        <v>66</v>
      </c>
      <c r="AK1539" s="3" t="s">
        <v>27</v>
      </c>
      <c r="AL1539" s="3">
        <v>-19359.2</v>
      </c>
      <c r="AS1539" t="s">
        <v>1931</v>
      </c>
      <c r="AT1539" t="s">
        <v>88</v>
      </c>
      <c r="AU1539" t="s">
        <v>111</v>
      </c>
      <c r="AV1539" s="14">
        <v>9500</v>
      </c>
    </row>
    <row r="1540" spans="26:48">
      <c r="Z1540" s="3"/>
      <c r="AC1540"/>
      <c r="AE1540" s="3"/>
      <c r="AH1540" t="s">
        <v>1855</v>
      </c>
      <c r="AI1540" t="s">
        <v>67</v>
      </c>
      <c r="AJ1540" t="s">
        <v>98</v>
      </c>
      <c r="AK1540" s="3" t="s">
        <v>27</v>
      </c>
      <c r="AL1540" s="3">
        <v>225.89089325200001</v>
      </c>
      <c r="AS1540" t="s">
        <v>1931</v>
      </c>
      <c r="AT1540" t="s">
        <v>88</v>
      </c>
      <c r="AU1540" t="s">
        <v>268</v>
      </c>
      <c r="AV1540" s="14">
        <v>0</v>
      </c>
    </row>
    <row r="1541" spans="26:48">
      <c r="Z1541" s="3"/>
      <c r="AC1541"/>
      <c r="AE1541" s="3"/>
      <c r="AH1541" t="s">
        <v>1855</v>
      </c>
      <c r="AI1541" t="s">
        <v>67</v>
      </c>
      <c r="AJ1541" t="s">
        <v>66</v>
      </c>
      <c r="AK1541" s="3" t="s">
        <v>114</v>
      </c>
      <c r="AL1541" s="3">
        <v>260</v>
      </c>
      <c r="AS1541" t="s">
        <v>1931</v>
      </c>
      <c r="AT1541" t="s">
        <v>88</v>
      </c>
      <c r="AU1541" t="s">
        <v>269</v>
      </c>
      <c r="AV1541" s="14">
        <v>0</v>
      </c>
    </row>
    <row r="1542" spans="26:48">
      <c r="Z1542" s="3"/>
      <c r="AC1542"/>
      <c r="AE1542" s="3"/>
      <c r="AH1542" t="s">
        <v>1855</v>
      </c>
      <c r="AI1542" t="s">
        <v>67</v>
      </c>
      <c r="AJ1542" t="s">
        <v>98</v>
      </c>
      <c r="AK1542" s="3" t="s">
        <v>114</v>
      </c>
      <c r="AL1542" s="3">
        <v>-28.347513013699999</v>
      </c>
      <c r="AS1542" t="s">
        <v>1931</v>
      </c>
      <c r="AT1542" t="s">
        <v>88</v>
      </c>
      <c r="AU1542" t="s">
        <v>270</v>
      </c>
      <c r="AV1542" s="14">
        <v>0</v>
      </c>
    </row>
    <row r="1543" spans="26:48">
      <c r="Z1543" s="3"/>
      <c r="AC1543"/>
      <c r="AE1543" s="3"/>
      <c r="AH1543" t="s">
        <v>1855</v>
      </c>
      <c r="AI1543" t="s">
        <v>67</v>
      </c>
      <c r="AJ1543" t="s">
        <v>66</v>
      </c>
      <c r="AK1543" s="3" t="s">
        <v>115</v>
      </c>
      <c r="AL1543" s="3">
        <v>19183.2</v>
      </c>
      <c r="AS1543" t="s">
        <v>1931</v>
      </c>
      <c r="AT1543" t="s">
        <v>88</v>
      </c>
      <c r="AU1543" t="s">
        <v>271</v>
      </c>
      <c r="AV1543" s="14">
        <v>1600</v>
      </c>
    </row>
    <row r="1544" spans="26:48">
      <c r="Z1544" s="3"/>
      <c r="AC1544"/>
      <c r="AE1544" s="3"/>
      <c r="AH1544" t="s">
        <v>1855</v>
      </c>
      <c r="AI1544" t="s">
        <v>67</v>
      </c>
      <c r="AJ1544" t="s">
        <v>98</v>
      </c>
      <c r="AK1544" s="3" t="s">
        <v>115</v>
      </c>
      <c r="AL1544" s="3">
        <v>-254.23840626570001</v>
      </c>
      <c r="AS1544" t="s">
        <v>1931</v>
      </c>
      <c r="AT1544" t="s">
        <v>88</v>
      </c>
      <c r="AU1544" t="s">
        <v>272</v>
      </c>
      <c r="AV1544" s="14">
        <v>0</v>
      </c>
    </row>
    <row r="1545" spans="26:48">
      <c r="Z1545" s="3"/>
      <c r="AC1545"/>
      <c r="AE1545" s="3"/>
      <c r="AH1545" t="s">
        <v>1855</v>
      </c>
      <c r="AI1545" t="s">
        <v>68</v>
      </c>
      <c r="AJ1545" t="s">
        <v>66</v>
      </c>
      <c r="AK1545" s="3" t="s">
        <v>27</v>
      </c>
      <c r="AL1545" s="3">
        <v>-6870.5</v>
      </c>
      <c r="AS1545" t="s">
        <v>1931</v>
      </c>
      <c r="AT1545" t="s">
        <v>88</v>
      </c>
      <c r="AU1545" t="s">
        <v>273</v>
      </c>
      <c r="AV1545" s="14">
        <v>0</v>
      </c>
    </row>
    <row r="1546" spans="26:48">
      <c r="Z1546" s="3"/>
      <c r="AC1546"/>
      <c r="AE1546" s="3"/>
      <c r="AH1546" t="s">
        <v>1855</v>
      </c>
      <c r="AI1546" t="s">
        <v>68</v>
      </c>
      <c r="AJ1546" t="s">
        <v>72</v>
      </c>
      <c r="AK1546" s="3" t="s">
        <v>27</v>
      </c>
      <c r="AL1546" s="3">
        <v>-7360.4730099999997</v>
      </c>
      <c r="AS1546" t="s">
        <v>1932</v>
      </c>
      <c r="AT1546" t="s">
        <v>88</v>
      </c>
      <c r="AU1546" t="s">
        <v>109</v>
      </c>
      <c r="AV1546" s="14">
        <v>23703.658100000001</v>
      </c>
    </row>
    <row r="1547" spans="26:48">
      <c r="Z1547" s="3"/>
      <c r="AC1547"/>
      <c r="AE1547" s="3"/>
      <c r="AH1547" t="s">
        <v>1855</v>
      </c>
      <c r="AI1547" t="s">
        <v>68</v>
      </c>
      <c r="AJ1547" t="s">
        <v>113</v>
      </c>
      <c r="AK1547" s="3" t="s">
        <v>27</v>
      </c>
      <c r="AL1547" s="3">
        <v>-998.61797655060002</v>
      </c>
      <c r="AS1547" t="s">
        <v>1932</v>
      </c>
      <c r="AT1547" t="s">
        <v>88</v>
      </c>
      <c r="AU1547" t="s">
        <v>110</v>
      </c>
      <c r="AV1547" s="14">
        <v>397.61059999999998</v>
      </c>
    </row>
    <row r="1548" spans="26:48">
      <c r="Z1548" s="3"/>
      <c r="AC1548"/>
      <c r="AE1548" s="3"/>
      <c r="AH1548" t="s">
        <v>1855</v>
      </c>
      <c r="AI1548" t="s">
        <v>68</v>
      </c>
      <c r="AJ1548" t="s">
        <v>108</v>
      </c>
      <c r="AK1548" s="3" t="s">
        <v>27</v>
      </c>
      <c r="AL1548" s="3">
        <v>508.64496655059997</v>
      </c>
      <c r="AS1548" t="s">
        <v>1932</v>
      </c>
      <c r="AT1548" t="s">
        <v>88</v>
      </c>
      <c r="AU1548" t="s">
        <v>111</v>
      </c>
      <c r="AV1548" s="14">
        <v>9500</v>
      </c>
    </row>
    <row r="1549" spans="26:48">
      <c r="Z1549" s="3"/>
      <c r="AC1549"/>
      <c r="AE1549" s="3"/>
      <c r="AH1549" t="s">
        <v>1855</v>
      </c>
      <c r="AI1549" t="s">
        <v>68</v>
      </c>
      <c r="AJ1549" t="s">
        <v>98</v>
      </c>
      <c r="AK1549" s="3" t="s">
        <v>27</v>
      </c>
      <c r="AL1549" s="3">
        <v>162.65482655060001</v>
      </c>
      <c r="AS1549" t="s">
        <v>1932</v>
      </c>
      <c r="AT1549" t="s">
        <v>88</v>
      </c>
      <c r="AU1549" t="s">
        <v>268</v>
      </c>
      <c r="AV1549" s="14">
        <v>0</v>
      </c>
    </row>
    <row r="1550" spans="26:48">
      <c r="Z1550" s="3"/>
      <c r="AC1550"/>
      <c r="AE1550" s="3"/>
      <c r="AH1550" t="s">
        <v>1855</v>
      </c>
      <c r="AI1550" t="s">
        <v>68</v>
      </c>
      <c r="AJ1550" t="s">
        <v>66</v>
      </c>
      <c r="AK1550" s="3" t="s">
        <v>114</v>
      </c>
      <c r="AL1550" s="3">
        <v>5268</v>
      </c>
      <c r="AS1550" t="s">
        <v>1932</v>
      </c>
      <c r="AT1550" t="s">
        <v>88</v>
      </c>
      <c r="AU1550" t="s">
        <v>269</v>
      </c>
      <c r="AV1550" s="14">
        <v>0</v>
      </c>
    </row>
    <row r="1551" spans="26:48">
      <c r="Z1551" s="3"/>
      <c r="AC1551"/>
      <c r="AE1551" s="3"/>
      <c r="AH1551" t="s">
        <v>1855</v>
      </c>
      <c r="AI1551" t="s">
        <v>68</v>
      </c>
      <c r="AJ1551" t="s">
        <v>98</v>
      </c>
      <c r="AK1551" s="3" t="s">
        <v>114</v>
      </c>
      <c r="AL1551" s="3">
        <v>-282.46877000000001</v>
      </c>
      <c r="AS1551" t="s">
        <v>1932</v>
      </c>
      <c r="AT1551" t="s">
        <v>88</v>
      </c>
      <c r="AU1551" t="s">
        <v>270</v>
      </c>
      <c r="AV1551" s="14">
        <v>0</v>
      </c>
    </row>
    <row r="1552" spans="26:48">
      <c r="Z1552" s="3"/>
      <c r="AC1552"/>
      <c r="AE1552" s="3"/>
      <c r="AH1552" t="s">
        <v>1855</v>
      </c>
      <c r="AI1552" t="s">
        <v>68</v>
      </c>
      <c r="AJ1552" t="s">
        <v>66</v>
      </c>
      <c r="AK1552" s="3" t="s">
        <v>115</v>
      </c>
      <c r="AL1552" s="3">
        <v>12138.5</v>
      </c>
      <c r="AS1552" t="s">
        <v>1932</v>
      </c>
      <c r="AT1552" t="s">
        <v>88</v>
      </c>
      <c r="AU1552" t="s">
        <v>271</v>
      </c>
      <c r="AV1552" s="14">
        <v>-2850</v>
      </c>
    </row>
    <row r="1553" spans="26:48">
      <c r="Z1553" s="3"/>
      <c r="AC1553"/>
      <c r="AE1553" s="3"/>
      <c r="AH1553" t="s">
        <v>1855</v>
      </c>
      <c r="AI1553" t="s">
        <v>68</v>
      </c>
      <c r="AJ1553" t="s">
        <v>98</v>
      </c>
      <c r="AK1553" s="3" t="s">
        <v>115</v>
      </c>
      <c r="AL1553" s="3">
        <v>-445.12359655059998</v>
      </c>
      <c r="AS1553" t="s">
        <v>1932</v>
      </c>
      <c r="AT1553" t="s">
        <v>88</v>
      </c>
      <c r="AU1553" t="s">
        <v>272</v>
      </c>
      <c r="AV1553" s="14">
        <v>0</v>
      </c>
    </row>
    <row r="1554" spans="26:48">
      <c r="Z1554" s="3"/>
      <c r="AC1554"/>
      <c r="AE1554" s="3"/>
      <c r="AH1554" t="s">
        <v>1855</v>
      </c>
      <c r="AI1554" t="s">
        <v>800</v>
      </c>
      <c r="AJ1554" t="s">
        <v>31</v>
      </c>
      <c r="AK1554" s="3" t="s">
        <v>27</v>
      </c>
      <c r="AL1554" s="3">
        <v>4.0569234722000003</v>
      </c>
      <c r="AS1554" t="s">
        <v>1932</v>
      </c>
      <c r="AT1554" t="s">
        <v>88</v>
      </c>
      <c r="AU1554" t="s">
        <v>273</v>
      </c>
      <c r="AV1554" s="14">
        <v>0</v>
      </c>
    </row>
    <row r="1555" spans="26:48">
      <c r="Z1555" s="3"/>
      <c r="AC1555"/>
      <c r="AE1555" s="3"/>
      <c r="AH1555" t="s">
        <v>1855</v>
      </c>
      <c r="AI1555" t="s">
        <v>65</v>
      </c>
      <c r="AJ1555" t="s">
        <v>66</v>
      </c>
      <c r="AK1555" s="3" t="s">
        <v>27</v>
      </c>
      <c r="AL1555" s="3">
        <v>37205.699999999997</v>
      </c>
      <c r="AS1555" t="s">
        <v>1933</v>
      </c>
      <c r="AT1555" t="s">
        <v>88</v>
      </c>
      <c r="AU1555" t="s">
        <v>109</v>
      </c>
      <c r="AV1555" s="14">
        <v>26939.158100000001</v>
      </c>
    </row>
    <row r="1556" spans="26:48">
      <c r="Z1556" s="3"/>
      <c r="AC1556"/>
      <c r="AE1556" s="3"/>
      <c r="AH1556" t="s">
        <v>1855</v>
      </c>
      <c r="AI1556" t="s">
        <v>65</v>
      </c>
      <c r="AJ1556" t="s">
        <v>72</v>
      </c>
      <c r="AK1556" s="3" t="s">
        <v>27</v>
      </c>
      <c r="AL1556" s="3">
        <v>37602.217319000003</v>
      </c>
      <c r="AS1556" t="s">
        <v>1933</v>
      </c>
      <c r="AT1556" t="s">
        <v>88</v>
      </c>
      <c r="AU1556" t="s">
        <v>110</v>
      </c>
      <c r="AV1556" s="14">
        <v>397.61059999999998</v>
      </c>
    </row>
    <row r="1557" spans="26:48">
      <c r="Z1557" s="3"/>
      <c r="AC1557"/>
      <c r="AE1557" s="3"/>
      <c r="AH1557" t="s">
        <v>1855</v>
      </c>
      <c r="AI1557" t="s">
        <v>65</v>
      </c>
      <c r="AJ1557" t="s">
        <v>113</v>
      </c>
      <c r="AK1557" s="3" t="s">
        <v>27</v>
      </c>
      <c r="AL1557" s="3">
        <v>1684.8860406795</v>
      </c>
      <c r="AS1557" t="s">
        <v>1933</v>
      </c>
      <c r="AT1557" t="s">
        <v>88</v>
      </c>
      <c r="AU1557" t="s">
        <v>111</v>
      </c>
      <c r="AV1557" s="14">
        <v>9500</v>
      </c>
    </row>
    <row r="1558" spans="26:48">
      <c r="Z1558" s="3"/>
      <c r="AC1558"/>
      <c r="AE1558" s="3"/>
      <c r="AH1558" t="s">
        <v>1855</v>
      </c>
      <c r="AI1558" t="s">
        <v>65</v>
      </c>
      <c r="AJ1558" t="s">
        <v>108</v>
      </c>
      <c r="AK1558" s="3" t="s">
        <v>27</v>
      </c>
      <c r="AL1558" s="3">
        <v>-1288.3687216794999</v>
      </c>
      <c r="AS1558" t="s">
        <v>1933</v>
      </c>
      <c r="AT1558" t="s">
        <v>88</v>
      </c>
      <c r="AU1558" t="s">
        <v>268</v>
      </c>
      <c r="AV1558" s="14">
        <v>0</v>
      </c>
    </row>
    <row r="1559" spans="26:48">
      <c r="Z1559" s="3"/>
      <c r="AC1559"/>
      <c r="AE1559" s="3"/>
      <c r="AH1559" t="s">
        <v>1855</v>
      </c>
      <c r="AI1559" t="s">
        <v>65</v>
      </c>
      <c r="AJ1559" t="s">
        <v>98</v>
      </c>
      <c r="AK1559" s="3" t="s">
        <v>27</v>
      </c>
      <c r="AL1559" s="3">
        <v>-1288.3687216794999</v>
      </c>
      <c r="AS1559" t="s">
        <v>1933</v>
      </c>
      <c r="AT1559" t="s">
        <v>88</v>
      </c>
      <c r="AU1559" t="s">
        <v>269</v>
      </c>
      <c r="AV1559" s="14">
        <v>0</v>
      </c>
    </row>
    <row r="1560" spans="26:48">
      <c r="Z1560" s="3"/>
      <c r="AC1560"/>
      <c r="AE1560" s="3"/>
      <c r="AH1560" t="s">
        <v>1855</v>
      </c>
      <c r="AI1560" t="s">
        <v>67</v>
      </c>
      <c r="AJ1560" t="s">
        <v>66</v>
      </c>
      <c r="AK1560" s="3" t="s">
        <v>27</v>
      </c>
      <c r="AL1560" s="3">
        <v>-18923.2</v>
      </c>
      <c r="AS1560" t="s">
        <v>1933</v>
      </c>
      <c r="AT1560" t="s">
        <v>88</v>
      </c>
      <c r="AU1560" t="s">
        <v>270</v>
      </c>
      <c r="AV1560" s="14">
        <v>0</v>
      </c>
    </row>
    <row r="1561" spans="26:48">
      <c r="Z1561" s="3"/>
      <c r="AC1561"/>
      <c r="AE1561" s="3"/>
      <c r="AH1561" t="s">
        <v>1855</v>
      </c>
      <c r="AI1561" t="s">
        <v>67</v>
      </c>
      <c r="AJ1561" t="s">
        <v>72</v>
      </c>
      <c r="AK1561" s="3" t="s">
        <v>27</v>
      </c>
      <c r="AL1561" s="3">
        <v>-19719.765288999999</v>
      </c>
      <c r="AS1561" t="s">
        <v>1933</v>
      </c>
      <c r="AT1561" t="s">
        <v>88</v>
      </c>
      <c r="AU1561" t="s">
        <v>271</v>
      </c>
      <c r="AV1561" s="14">
        <v>-6185.5</v>
      </c>
    </row>
    <row r="1562" spans="26:48">
      <c r="Z1562" s="3"/>
      <c r="AC1562"/>
      <c r="AE1562" s="3"/>
      <c r="AH1562" t="s">
        <v>1855</v>
      </c>
      <c r="AI1562" t="s">
        <v>67</v>
      </c>
      <c r="AJ1562" t="s">
        <v>113</v>
      </c>
      <c r="AK1562" s="3" t="s">
        <v>27</v>
      </c>
      <c r="AL1562" s="3">
        <v>-1161.4128952656999</v>
      </c>
      <c r="AS1562" t="s">
        <v>1933</v>
      </c>
      <c r="AT1562" t="s">
        <v>88</v>
      </c>
      <c r="AU1562" t="s">
        <v>272</v>
      </c>
      <c r="AV1562" s="14">
        <v>0</v>
      </c>
    </row>
    <row r="1563" spans="26:48">
      <c r="Z1563" s="3"/>
      <c r="AC1563"/>
      <c r="AE1563" s="3"/>
      <c r="AH1563" t="s">
        <v>1855</v>
      </c>
      <c r="AI1563" t="s">
        <v>67</v>
      </c>
      <c r="AJ1563" t="s">
        <v>108</v>
      </c>
      <c r="AK1563" s="3" t="s">
        <v>27</v>
      </c>
      <c r="AL1563" s="3">
        <v>364.84760626569999</v>
      </c>
      <c r="AS1563" t="s">
        <v>1933</v>
      </c>
      <c r="AT1563" t="s">
        <v>88</v>
      </c>
      <c r="AU1563" t="s">
        <v>273</v>
      </c>
      <c r="AV1563" s="14">
        <v>0</v>
      </c>
    </row>
    <row r="1564" spans="26:48">
      <c r="Z1564" s="3"/>
      <c r="AC1564"/>
      <c r="AE1564" s="3"/>
      <c r="AH1564" t="s">
        <v>1856</v>
      </c>
      <c r="AI1564" t="s">
        <v>65</v>
      </c>
      <c r="AJ1564" t="s">
        <v>66</v>
      </c>
      <c r="AK1564" s="3" t="s">
        <v>27</v>
      </c>
      <c r="AL1564" s="3">
        <v>35849.699999999997</v>
      </c>
      <c r="AS1564" t="s">
        <v>1934</v>
      </c>
      <c r="AT1564" t="s">
        <v>88</v>
      </c>
      <c r="AU1564" t="s">
        <v>109</v>
      </c>
      <c r="AV1564" s="14">
        <v>28401.658100000001</v>
      </c>
    </row>
    <row r="1565" spans="26:48">
      <c r="Z1565" s="3"/>
      <c r="AC1565"/>
      <c r="AE1565" s="3"/>
      <c r="AH1565" t="s">
        <v>1856</v>
      </c>
      <c r="AI1565" t="s">
        <v>65</v>
      </c>
      <c r="AJ1565" t="s">
        <v>72</v>
      </c>
      <c r="AK1565" s="3" t="s">
        <v>27</v>
      </c>
      <c r="AL1565" s="3">
        <v>36482.315366000003</v>
      </c>
      <c r="AS1565" t="s">
        <v>1934</v>
      </c>
      <c r="AT1565" t="s">
        <v>88</v>
      </c>
      <c r="AU1565" t="s">
        <v>110</v>
      </c>
      <c r="AV1565" s="14">
        <v>397.61059999999998</v>
      </c>
    </row>
    <row r="1566" spans="26:48">
      <c r="Z1566" s="3"/>
      <c r="AC1566"/>
      <c r="AE1566" s="3"/>
      <c r="AH1566" t="s">
        <v>1856</v>
      </c>
      <c r="AI1566" t="s">
        <v>65</v>
      </c>
      <c r="AJ1566" t="s">
        <v>113</v>
      </c>
      <c r="AK1566" s="3" t="s">
        <v>27</v>
      </c>
      <c r="AL1566" s="3">
        <v>1873.2070255427</v>
      </c>
      <c r="AS1566" t="s">
        <v>1934</v>
      </c>
      <c r="AT1566" t="s">
        <v>88</v>
      </c>
      <c r="AU1566" t="s">
        <v>111</v>
      </c>
      <c r="AV1566" s="14">
        <v>9500</v>
      </c>
    </row>
    <row r="1567" spans="26:48">
      <c r="Z1567" s="3"/>
      <c r="AC1567"/>
      <c r="AE1567" s="3"/>
      <c r="AH1567" t="s">
        <v>1856</v>
      </c>
      <c r="AI1567" t="s">
        <v>65</v>
      </c>
      <c r="AJ1567" t="s">
        <v>108</v>
      </c>
      <c r="AK1567" s="3" t="s">
        <v>27</v>
      </c>
      <c r="AL1567" s="3">
        <v>-1240.5916595427</v>
      </c>
      <c r="AS1567" t="s">
        <v>1934</v>
      </c>
      <c r="AT1567" t="s">
        <v>88</v>
      </c>
      <c r="AU1567" t="s">
        <v>268</v>
      </c>
      <c r="AV1567" s="14">
        <v>0</v>
      </c>
    </row>
    <row r="1568" spans="26:48">
      <c r="Z1568" s="3"/>
      <c r="AC1568"/>
      <c r="AE1568" s="3"/>
      <c r="AH1568" t="s">
        <v>1856</v>
      </c>
      <c r="AI1568" t="s">
        <v>65</v>
      </c>
      <c r="AJ1568" t="s">
        <v>98</v>
      </c>
      <c r="AK1568" s="3" t="s">
        <v>27</v>
      </c>
      <c r="AL1568" s="3">
        <v>-1240.5916595427</v>
      </c>
      <c r="AS1568" t="s">
        <v>1934</v>
      </c>
      <c r="AT1568" t="s">
        <v>88</v>
      </c>
      <c r="AU1568" t="s">
        <v>269</v>
      </c>
      <c r="AV1568" s="14">
        <v>0</v>
      </c>
    </row>
    <row r="1569" spans="26:48">
      <c r="Z1569" s="3"/>
      <c r="AC1569"/>
      <c r="AE1569" s="3"/>
      <c r="AH1569" t="s">
        <v>1856</v>
      </c>
      <c r="AI1569" t="s">
        <v>67</v>
      </c>
      <c r="AJ1569" t="s">
        <v>66</v>
      </c>
      <c r="AK1569" s="3" t="s">
        <v>27</v>
      </c>
      <c r="AL1569" s="3">
        <v>-17207.2</v>
      </c>
      <c r="AS1569" t="s">
        <v>1934</v>
      </c>
      <c r="AT1569" t="s">
        <v>88</v>
      </c>
      <c r="AU1569" t="s">
        <v>270</v>
      </c>
      <c r="AV1569" s="14">
        <v>0</v>
      </c>
    </row>
    <row r="1570" spans="26:48">
      <c r="Z1570" s="3"/>
      <c r="AC1570"/>
      <c r="AE1570" s="3"/>
      <c r="AH1570" t="s">
        <v>1856</v>
      </c>
      <c r="AI1570" t="s">
        <v>67</v>
      </c>
      <c r="AJ1570" t="s">
        <v>72</v>
      </c>
      <c r="AK1570" s="3" t="s">
        <v>27</v>
      </c>
      <c r="AL1570" s="3">
        <v>-18400.637736000001</v>
      </c>
      <c r="AS1570" t="s">
        <v>1934</v>
      </c>
      <c r="AT1570" t="s">
        <v>88</v>
      </c>
      <c r="AU1570" t="s">
        <v>271</v>
      </c>
      <c r="AV1570" s="14">
        <v>-5100</v>
      </c>
    </row>
    <row r="1571" spans="26:48">
      <c r="Z1571" s="3"/>
      <c r="AC1571"/>
      <c r="AE1571" s="3"/>
      <c r="AH1571" t="s">
        <v>1856</v>
      </c>
      <c r="AI1571" t="s">
        <v>67</v>
      </c>
      <c r="AJ1571" t="s">
        <v>113</v>
      </c>
      <c r="AK1571" s="3" t="s">
        <v>27</v>
      </c>
      <c r="AL1571" s="3">
        <v>-1312.3770511907001</v>
      </c>
      <c r="AS1571" t="s">
        <v>1934</v>
      </c>
      <c r="AT1571" t="s">
        <v>88</v>
      </c>
      <c r="AU1571" t="s">
        <v>272</v>
      </c>
      <c r="AV1571" s="14">
        <v>0</v>
      </c>
    </row>
    <row r="1572" spans="26:48">
      <c r="Z1572" s="3"/>
      <c r="AC1572"/>
      <c r="AE1572" s="3"/>
      <c r="AH1572" t="s">
        <v>1856</v>
      </c>
      <c r="AI1572" t="s">
        <v>67</v>
      </c>
      <c r="AJ1572" t="s">
        <v>108</v>
      </c>
      <c r="AK1572" s="3" t="s">
        <v>27</v>
      </c>
      <c r="AL1572" s="3">
        <v>118.9393151907</v>
      </c>
      <c r="AS1572" t="s">
        <v>1934</v>
      </c>
      <c r="AT1572" t="s">
        <v>88</v>
      </c>
      <c r="AU1572" t="s">
        <v>273</v>
      </c>
      <c r="AV1572" s="14">
        <v>0</v>
      </c>
    </row>
    <row r="1573" spans="26:48">
      <c r="Z1573" s="3"/>
      <c r="AC1573"/>
      <c r="AE1573" s="3"/>
      <c r="AH1573" t="s">
        <v>1856</v>
      </c>
      <c r="AI1573" t="s">
        <v>67</v>
      </c>
      <c r="AJ1573" t="s">
        <v>98</v>
      </c>
      <c r="AK1573" s="3" t="s">
        <v>27</v>
      </c>
      <c r="AL1573" s="3">
        <v>175.86937984830001</v>
      </c>
      <c r="AS1573" t="s">
        <v>1935</v>
      </c>
      <c r="AT1573" t="s">
        <v>88</v>
      </c>
      <c r="AU1573" t="s">
        <v>109</v>
      </c>
      <c r="AV1573" s="14">
        <v>29772.336200000002</v>
      </c>
    </row>
    <row r="1574" spans="26:48">
      <c r="Z1574" s="3"/>
      <c r="AC1574"/>
      <c r="AE1574" s="3"/>
      <c r="AH1574" t="s">
        <v>1856</v>
      </c>
      <c r="AI1574" t="s">
        <v>67</v>
      </c>
      <c r="AJ1574" t="s">
        <v>66</v>
      </c>
      <c r="AK1574" s="3" t="s">
        <v>114</v>
      </c>
      <c r="AL1574" s="3">
        <v>1621</v>
      </c>
      <c r="AS1574" t="s">
        <v>1935</v>
      </c>
      <c r="AT1574" t="s">
        <v>88</v>
      </c>
      <c r="AU1574" t="s">
        <v>110</v>
      </c>
      <c r="AV1574" s="14">
        <v>397.61059999999998</v>
      </c>
    </row>
    <row r="1575" spans="26:48">
      <c r="Z1575" s="3"/>
      <c r="AC1575"/>
      <c r="AE1575" s="3"/>
      <c r="AH1575" t="s">
        <v>1856</v>
      </c>
      <c r="AI1575" t="s">
        <v>67</v>
      </c>
      <c r="AJ1575" t="s">
        <v>98</v>
      </c>
      <c r="AK1575" s="3" t="s">
        <v>114</v>
      </c>
      <c r="AL1575" s="3">
        <v>-64.365885342499993</v>
      </c>
      <c r="AS1575" t="s">
        <v>1935</v>
      </c>
      <c r="AT1575" t="s">
        <v>88</v>
      </c>
      <c r="AU1575" t="s">
        <v>111</v>
      </c>
      <c r="AV1575" s="14">
        <v>9500</v>
      </c>
    </row>
    <row r="1576" spans="26:48">
      <c r="Z1576" s="3"/>
      <c r="AC1576"/>
      <c r="AE1576" s="3"/>
      <c r="AH1576" t="s">
        <v>1856</v>
      </c>
      <c r="AI1576" t="s">
        <v>67</v>
      </c>
      <c r="AJ1576" t="s">
        <v>66</v>
      </c>
      <c r="AK1576" s="3" t="s">
        <v>115</v>
      </c>
      <c r="AL1576" s="3">
        <v>18828.2</v>
      </c>
      <c r="AS1576" t="s">
        <v>1935</v>
      </c>
      <c r="AT1576" t="s">
        <v>88</v>
      </c>
      <c r="AU1576" t="s">
        <v>268</v>
      </c>
      <c r="AV1576" s="14">
        <v>0</v>
      </c>
    </row>
    <row r="1577" spans="26:48">
      <c r="Z1577" s="3"/>
      <c r="AC1577"/>
      <c r="AE1577" s="3"/>
      <c r="AH1577" t="s">
        <v>1856</v>
      </c>
      <c r="AI1577" t="s">
        <v>67</v>
      </c>
      <c r="AJ1577" t="s">
        <v>98</v>
      </c>
      <c r="AK1577" s="3" t="s">
        <v>115</v>
      </c>
      <c r="AL1577" s="3">
        <v>-240.23526519070001</v>
      </c>
      <c r="AS1577" t="s">
        <v>1935</v>
      </c>
      <c r="AT1577" t="s">
        <v>88</v>
      </c>
      <c r="AU1577" t="s">
        <v>269</v>
      </c>
      <c r="AV1577" s="14">
        <v>0</v>
      </c>
    </row>
    <row r="1578" spans="26:48">
      <c r="Z1578" s="3"/>
      <c r="AC1578"/>
      <c r="AE1578" s="3"/>
      <c r="AH1578" t="s">
        <v>1856</v>
      </c>
      <c r="AI1578" t="s">
        <v>68</v>
      </c>
      <c r="AJ1578" t="s">
        <v>66</v>
      </c>
      <c r="AK1578" s="3" t="s">
        <v>27</v>
      </c>
      <c r="AL1578" s="3">
        <v>-7230.5</v>
      </c>
      <c r="AS1578" t="s">
        <v>1935</v>
      </c>
      <c r="AT1578" t="s">
        <v>88</v>
      </c>
      <c r="AU1578" t="s">
        <v>270</v>
      </c>
      <c r="AV1578" s="14">
        <v>0</v>
      </c>
    </row>
    <row r="1579" spans="26:48">
      <c r="Z1579" s="3"/>
      <c r="AC1579"/>
      <c r="AE1579" s="3"/>
      <c r="AH1579" t="s">
        <v>1856</v>
      </c>
      <c r="AI1579" t="s">
        <v>68</v>
      </c>
      <c r="AJ1579" t="s">
        <v>72</v>
      </c>
      <c r="AK1579" s="3" t="s">
        <v>27</v>
      </c>
      <c r="AL1579" s="3">
        <v>-7559.7762499999999</v>
      </c>
      <c r="AS1579" t="s">
        <v>1935</v>
      </c>
      <c r="AT1579" t="s">
        <v>88</v>
      </c>
      <c r="AU1579" t="s">
        <v>271</v>
      </c>
      <c r="AV1579" s="14">
        <v>-2900</v>
      </c>
    </row>
    <row r="1580" spans="26:48">
      <c r="Z1580" s="3"/>
      <c r="AC1580"/>
      <c r="AE1580" s="3"/>
      <c r="AH1580" t="s">
        <v>1856</v>
      </c>
      <c r="AI1580" t="s">
        <v>68</v>
      </c>
      <c r="AJ1580" t="s">
        <v>113</v>
      </c>
      <c r="AK1580" s="3" t="s">
        <v>27</v>
      </c>
      <c r="AL1580" s="3">
        <v>-979.01556562129997</v>
      </c>
      <c r="AS1580" t="s">
        <v>1935</v>
      </c>
      <c r="AT1580" t="s">
        <v>88</v>
      </c>
      <c r="AU1580" t="s">
        <v>272</v>
      </c>
      <c r="AV1580" s="14">
        <v>0</v>
      </c>
    </row>
    <row r="1581" spans="26:48">
      <c r="Z1581" s="3"/>
      <c r="AC1581"/>
      <c r="AE1581" s="3"/>
      <c r="AH1581" t="s">
        <v>1856</v>
      </c>
      <c r="AI1581" t="s">
        <v>68</v>
      </c>
      <c r="AJ1581" t="s">
        <v>108</v>
      </c>
      <c r="AK1581" s="3" t="s">
        <v>27</v>
      </c>
      <c r="AL1581" s="3">
        <v>649.73931562129997</v>
      </c>
      <c r="AS1581" t="s">
        <v>1935</v>
      </c>
      <c r="AT1581" t="s">
        <v>88</v>
      </c>
      <c r="AU1581" t="s">
        <v>273</v>
      </c>
      <c r="AV1581" s="14">
        <v>0</v>
      </c>
    </row>
    <row r="1582" spans="26:48">
      <c r="Z1582" s="3"/>
      <c r="AC1582"/>
      <c r="AE1582" s="3"/>
      <c r="AH1582" t="s">
        <v>1856</v>
      </c>
      <c r="AI1582" t="s">
        <v>68</v>
      </c>
      <c r="AJ1582" t="s">
        <v>98</v>
      </c>
      <c r="AK1582" s="3" t="s">
        <v>27</v>
      </c>
      <c r="AL1582" s="3">
        <v>164.79246260759999</v>
      </c>
      <c r="AS1582" t="s">
        <v>1936</v>
      </c>
      <c r="AT1582" t="s">
        <v>88</v>
      </c>
      <c r="AU1582" t="s">
        <v>109</v>
      </c>
      <c r="AV1582" s="14">
        <v>30972.336200000002</v>
      </c>
    </row>
    <row r="1583" spans="26:48">
      <c r="Z1583" s="3"/>
      <c r="AC1583"/>
      <c r="AE1583" s="3"/>
      <c r="AH1583" t="s">
        <v>1856</v>
      </c>
      <c r="AI1583" t="s">
        <v>68</v>
      </c>
      <c r="AJ1583" t="s">
        <v>66</v>
      </c>
      <c r="AK1583" s="3" t="s">
        <v>114</v>
      </c>
      <c r="AL1583" s="3">
        <v>5528</v>
      </c>
      <c r="AS1583" t="s">
        <v>1936</v>
      </c>
      <c r="AT1583" t="s">
        <v>88</v>
      </c>
      <c r="AU1583" t="s">
        <v>110</v>
      </c>
      <c r="AV1583" s="14">
        <v>397.61059999999998</v>
      </c>
    </row>
    <row r="1584" spans="26:48">
      <c r="Z1584" s="3"/>
      <c r="AC1584"/>
      <c r="AE1584" s="3"/>
      <c r="AH1584" t="s">
        <v>1856</v>
      </c>
      <c r="AI1584" t="s">
        <v>68</v>
      </c>
      <c r="AJ1584" t="s">
        <v>98</v>
      </c>
      <c r="AK1584" s="3" t="s">
        <v>114</v>
      </c>
      <c r="AL1584" s="3">
        <v>-310.7154430137</v>
      </c>
      <c r="AS1584" t="s">
        <v>1936</v>
      </c>
      <c r="AT1584" t="s">
        <v>88</v>
      </c>
      <c r="AU1584" t="s">
        <v>111</v>
      </c>
      <c r="AV1584" s="14">
        <v>9500</v>
      </c>
    </row>
    <row r="1585" spans="26:48">
      <c r="Z1585" s="3"/>
      <c r="AC1585"/>
      <c r="AE1585" s="3"/>
      <c r="AH1585" t="s">
        <v>1856</v>
      </c>
      <c r="AI1585" t="s">
        <v>68</v>
      </c>
      <c r="AJ1585" t="s">
        <v>66</v>
      </c>
      <c r="AK1585" s="3" t="s">
        <v>115</v>
      </c>
      <c r="AL1585" s="3">
        <v>12758.5</v>
      </c>
      <c r="AS1585" t="s">
        <v>1936</v>
      </c>
      <c r="AT1585" t="s">
        <v>88</v>
      </c>
      <c r="AU1585" t="s">
        <v>268</v>
      </c>
      <c r="AV1585" s="14">
        <v>0</v>
      </c>
    </row>
    <row r="1586" spans="26:48">
      <c r="Z1586" s="3"/>
      <c r="AC1586"/>
      <c r="AE1586" s="3"/>
      <c r="AH1586" t="s">
        <v>1856</v>
      </c>
      <c r="AI1586" t="s">
        <v>68</v>
      </c>
      <c r="AJ1586" t="s">
        <v>98</v>
      </c>
      <c r="AK1586" s="3" t="s">
        <v>115</v>
      </c>
      <c r="AL1586" s="3">
        <v>-475.50790562129998</v>
      </c>
      <c r="AS1586" t="s">
        <v>1936</v>
      </c>
      <c r="AT1586" t="s">
        <v>88</v>
      </c>
      <c r="AU1586" t="s">
        <v>269</v>
      </c>
      <c r="AV1586" s="14">
        <v>0</v>
      </c>
    </row>
    <row r="1587" spans="26:48">
      <c r="Z1587" s="3"/>
      <c r="AC1587"/>
      <c r="AE1587" s="3"/>
      <c r="AH1587" t="s">
        <v>1856</v>
      </c>
      <c r="AI1587" t="s">
        <v>800</v>
      </c>
      <c r="AJ1587" t="s">
        <v>31</v>
      </c>
      <c r="AK1587" s="3" t="s">
        <v>27</v>
      </c>
      <c r="AL1587" s="3">
        <v>4.0687841914999998</v>
      </c>
      <c r="AS1587" t="s">
        <v>1936</v>
      </c>
      <c r="AT1587" t="s">
        <v>88</v>
      </c>
      <c r="AU1587" t="s">
        <v>270</v>
      </c>
      <c r="AV1587" s="14">
        <v>0</v>
      </c>
    </row>
    <row r="1588" spans="26:48">
      <c r="Z1588" s="3"/>
      <c r="AC1588"/>
      <c r="AE1588" s="3"/>
      <c r="AH1588" t="s">
        <v>1857</v>
      </c>
      <c r="AI1588" t="s">
        <v>65</v>
      </c>
      <c r="AJ1588" t="s">
        <v>66</v>
      </c>
      <c r="AK1588" s="3" t="s">
        <v>27</v>
      </c>
      <c r="AL1588" s="3">
        <v>35729.699999999997</v>
      </c>
      <c r="AS1588" t="s">
        <v>1936</v>
      </c>
      <c r="AT1588" t="s">
        <v>88</v>
      </c>
      <c r="AU1588" t="s">
        <v>271</v>
      </c>
      <c r="AV1588" s="14">
        <v>-1900</v>
      </c>
    </row>
    <row r="1589" spans="26:48">
      <c r="Z1589" s="3"/>
      <c r="AC1589"/>
      <c r="AE1589" s="3"/>
      <c r="AH1589" t="s">
        <v>1857</v>
      </c>
      <c r="AI1589" t="s">
        <v>65</v>
      </c>
      <c r="AJ1589" t="s">
        <v>72</v>
      </c>
      <c r="AK1589" s="3" t="s">
        <v>27</v>
      </c>
      <c r="AL1589" s="3">
        <v>36405.890732</v>
      </c>
      <c r="AS1589" t="s">
        <v>1936</v>
      </c>
      <c r="AT1589" t="s">
        <v>88</v>
      </c>
      <c r="AU1589" t="s">
        <v>272</v>
      </c>
      <c r="AV1589" s="14">
        <v>0</v>
      </c>
    </row>
    <row r="1590" spans="26:48">
      <c r="Z1590" s="3"/>
      <c r="AC1590"/>
      <c r="AE1590" s="3"/>
      <c r="AH1590" t="s">
        <v>1857</v>
      </c>
      <c r="AI1590" t="s">
        <v>65</v>
      </c>
      <c r="AJ1590" t="s">
        <v>113</v>
      </c>
      <c r="AK1590" s="3" t="s">
        <v>27</v>
      </c>
      <c r="AL1590" s="3">
        <v>1881.7937342242001</v>
      </c>
      <c r="AS1590" t="s">
        <v>1936</v>
      </c>
      <c r="AT1590" t="s">
        <v>88</v>
      </c>
      <c r="AU1590" t="s">
        <v>273</v>
      </c>
      <c r="AV1590" s="14">
        <v>0</v>
      </c>
    </row>
    <row r="1591" spans="26:48">
      <c r="Z1591" s="3"/>
      <c r="AC1591"/>
      <c r="AE1591" s="3"/>
      <c r="AH1591" t="s">
        <v>1857</v>
      </c>
      <c r="AI1591" t="s">
        <v>65</v>
      </c>
      <c r="AJ1591" t="s">
        <v>108</v>
      </c>
      <c r="AK1591" s="3" t="s">
        <v>27</v>
      </c>
      <c r="AL1591" s="3">
        <v>-1205.6030022242001</v>
      </c>
      <c r="AS1591" t="s">
        <v>1937</v>
      </c>
      <c r="AT1591" t="s">
        <v>88</v>
      </c>
      <c r="AU1591" t="s">
        <v>109</v>
      </c>
      <c r="AV1591" s="14">
        <v>31472.336200000002</v>
      </c>
    </row>
    <row r="1592" spans="26:48">
      <c r="Z1592" s="3"/>
      <c r="AC1592"/>
      <c r="AE1592" s="3"/>
      <c r="AH1592" t="s">
        <v>1857</v>
      </c>
      <c r="AI1592" t="s">
        <v>65</v>
      </c>
      <c r="AJ1592" t="s">
        <v>98</v>
      </c>
      <c r="AK1592" s="3" t="s">
        <v>27</v>
      </c>
      <c r="AL1592" s="3">
        <v>-1205.6030022242001</v>
      </c>
      <c r="AS1592" t="s">
        <v>1937</v>
      </c>
      <c r="AT1592" t="s">
        <v>88</v>
      </c>
      <c r="AU1592" t="s">
        <v>110</v>
      </c>
      <c r="AV1592" s="14">
        <v>397.61059999999998</v>
      </c>
    </row>
    <row r="1593" spans="26:48">
      <c r="Z1593" s="3"/>
      <c r="AC1593"/>
      <c r="AE1593" s="3"/>
      <c r="AH1593" t="s">
        <v>1857</v>
      </c>
      <c r="AI1593" t="s">
        <v>67</v>
      </c>
      <c r="AJ1593" t="s">
        <v>66</v>
      </c>
      <c r="AK1593" s="3" t="s">
        <v>27</v>
      </c>
      <c r="AL1593" s="3">
        <v>-18443.2</v>
      </c>
      <c r="AS1593" t="s">
        <v>1937</v>
      </c>
      <c r="AT1593" t="s">
        <v>88</v>
      </c>
      <c r="AU1593" t="s">
        <v>111</v>
      </c>
      <c r="AV1593" s="14">
        <v>9500</v>
      </c>
    </row>
    <row r="1594" spans="26:48">
      <c r="Z1594" s="3"/>
      <c r="AC1594"/>
      <c r="AE1594" s="3"/>
      <c r="AH1594" t="s">
        <v>1857</v>
      </c>
      <c r="AI1594" t="s">
        <v>67</v>
      </c>
      <c r="AJ1594" t="s">
        <v>72</v>
      </c>
      <c r="AK1594" s="3" t="s">
        <v>27</v>
      </c>
      <c r="AL1594" s="3">
        <v>-19444.260192000002</v>
      </c>
      <c r="AS1594" t="s">
        <v>1937</v>
      </c>
      <c r="AT1594" t="s">
        <v>88</v>
      </c>
      <c r="AU1594" t="s">
        <v>268</v>
      </c>
      <c r="AV1594" s="14">
        <v>0</v>
      </c>
    </row>
    <row r="1595" spans="26:48">
      <c r="Z1595" s="3"/>
      <c r="AC1595"/>
      <c r="AE1595" s="3"/>
      <c r="AH1595" t="s">
        <v>1857</v>
      </c>
      <c r="AI1595" t="s">
        <v>67</v>
      </c>
      <c r="AJ1595" t="s">
        <v>113</v>
      </c>
      <c r="AK1595" s="3" t="s">
        <v>27</v>
      </c>
      <c r="AL1595" s="3">
        <v>-1188.4381517477</v>
      </c>
      <c r="AS1595" t="s">
        <v>1937</v>
      </c>
      <c r="AT1595" t="s">
        <v>88</v>
      </c>
      <c r="AU1595" t="s">
        <v>269</v>
      </c>
      <c r="AV1595" s="14">
        <v>0</v>
      </c>
    </row>
    <row r="1596" spans="26:48">
      <c r="Z1596" s="3"/>
      <c r="AC1596"/>
      <c r="AE1596" s="3"/>
      <c r="AH1596" t="s">
        <v>1857</v>
      </c>
      <c r="AI1596" t="s">
        <v>67</v>
      </c>
      <c r="AJ1596" t="s">
        <v>108</v>
      </c>
      <c r="AK1596" s="3" t="s">
        <v>27</v>
      </c>
      <c r="AL1596" s="3">
        <v>187.3779597477</v>
      </c>
      <c r="AS1596" t="s">
        <v>1937</v>
      </c>
      <c r="AT1596" t="s">
        <v>88</v>
      </c>
      <c r="AU1596" t="s">
        <v>270</v>
      </c>
      <c r="AV1596" s="14">
        <v>0</v>
      </c>
    </row>
    <row r="1597" spans="26:48">
      <c r="Z1597" s="3"/>
      <c r="AC1597"/>
      <c r="AE1597" s="3"/>
      <c r="AH1597" t="s">
        <v>1857</v>
      </c>
      <c r="AI1597" t="s">
        <v>67</v>
      </c>
      <c r="AJ1597" t="s">
        <v>98</v>
      </c>
      <c r="AK1597" s="3" t="s">
        <v>27</v>
      </c>
      <c r="AL1597" s="3">
        <v>188.88791865179999</v>
      </c>
      <c r="AS1597" t="s">
        <v>1937</v>
      </c>
      <c r="AT1597" t="s">
        <v>88</v>
      </c>
      <c r="AU1597" t="s">
        <v>271</v>
      </c>
      <c r="AV1597" s="14">
        <v>-2200</v>
      </c>
    </row>
    <row r="1598" spans="26:48">
      <c r="Z1598" s="3"/>
      <c r="AC1598"/>
      <c r="AE1598" s="3"/>
      <c r="AH1598" t="s">
        <v>1857</v>
      </c>
      <c r="AI1598" t="s">
        <v>67</v>
      </c>
      <c r="AJ1598" t="s">
        <v>66</v>
      </c>
      <c r="AK1598" s="3" t="s">
        <v>114</v>
      </c>
      <c r="AL1598" s="3">
        <v>420</v>
      </c>
      <c r="AS1598" t="s">
        <v>1937</v>
      </c>
      <c r="AT1598" t="s">
        <v>88</v>
      </c>
      <c r="AU1598" t="s">
        <v>272</v>
      </c>
      <c r="AV1598" s="14">
        <v>0</v>
      </c>
    </row>
    <row r="1599" spans="26:48">
      <c r="Z1599" s="3"/>
      <c r="AC1599"/>
      <c r="AE1599" s="3"/>
      <c r="AH1599" t="s">
        <v>1857</v>
      </c>
      <c r="AI1599" t="s">
        <v>67</v>
      </c>
      <c r="AJ1599" t="s">
        <v>98</v>
      </c>
      <c r="AK1599" s="3" t="s">
        <v>114</v>
      </c>
      <c r="AL1599" s="3">
        <v>-41.5053410959</v>
      </c>
      <c r="AS1599" t="s">
        <v>1937</v>
      </c>
      <c r="AT1599" t="s">
        <v>88</v>
      </c>
      <c r="AU1599" t="s">
        <v>273</v>
      </c>
      <c r="AV1599" s="14">
        <v>0</v>
      </c>
    </row>
    <row r="1600" spans="26:48">
      <c r="Z1600" s="3"/>
      <c r="AC1600"/>
      <c r="AE1600" s="3"/>
      <c r="AH1600" t="s">
        <v>1857</v>
      </c>
      <c r="AI1600" t="s">
        <v>67</v>
      </c>
      <c r="AJ1600" t="s">
        <v>66</v>
      </c>
      <c r="AK1600" s="3" t="s">
        <v>115</v>
      </c>
      <c r="AL1600" s="3">
        <v>18863.2</v>
      </c>
      <c r="AS1600" t="s">
        <v>1938</v>
      </c>
      <c r="AT1600" t="s">
        <v>88</v>
      </c>
      <c r="AU1600" t="s">
        <v>109</v>
      </c>
      <c r="AV1600" s="14">
        <v>29322.336200000002</v>
      </c>
    </row>
    <row r="1601" spans="26:48">
      <c r="Z1601" s="3"/>
      <c r="AC1601"/>
      <c r="AE1601" s="3"/>
      <c r="AH1601" t="s">
        <v>1857</v>
      </c>
      <c r="AI1601" t="s">
        <v>67</v>
      </c>
      <c r="AJ1601" t="s">
        <v>98</v>
      </c>
      <c r="AK1601" s="3" t="s">
        <v>115</v>
      </c>
      <c r="AL1601" s="3">
        <v>-230.3932597477</v>
      </c>
      <c r="AS1601" t="s">
        <v>1938</v>
      </c>
      <c r="AT1601" t="s">
        <v>88</v>
      </c>
      <c r="AU1601" t="s">
        <v>110</v>
      </c>
      <c r="AV1601" s="14">
        <v>397.61059999999998</v>
      </c>
    </row>
    <row r="1602" spans="26:48">
      <c r="Z1602" s="3"/>
      <c r="AC1602"/>
      <c r="AE1602" s="3"/>
      <c r="AH1602" t="s">
        <v>1857</v>
      </c>
      <c r="AI1602" t="s">
        <v>68</v>
      </c>
      <c r="AJ1602" t="s">
        <v>66</v>
      </c>
      <c r="AK1602" s="3" t="s">
        <v>27</v>
      </c>
      <c r="AL1602" s="3">
        <v>-5874.5</v>
      </c>
      <c r="AS1602" t="s">
        <v>1938</v>
      </c>
      <c r="AT1602" t="s">
        <v>88</v>
      </c>
      <c r="AU1602" t="s">
        <v>111</v>
      </c>
      <c r="AV1602" s="14">
        <v>9500</v>
      </c>
    </row>
    <row r="1603" spans="26:48">
      <c r="Z1603" s="3"/>
      <c r="AC1603"/>
      <c r="AE1603" s="3"/>
      <c r="AH1603" t="s">
        <v>1857</v>
      </c>
      <c r="AI1603" t="s">
        <v>68</v>
      </c>
      <c r="AJ1603" t="s">
        <v>72</v>
      </c>
      <c r="AK1603" s="3" t="s">
        <v>27</v>
      </c>
      <c r="AL1603" s="3">
        <v>-6439.3703800000003</v>
      </c>
      <c r="AS1603" t="s">
        <v>1938</v>
      </c>
      <c r="AT1603" t="s">
        <v>88</v>
      </c>
      <c r="AU1603" t="s">
        <v>268</v>
      </c>
      <c r="AV1603" s="14">
        <v>0</v>
      </c>
    </row>
    <row r="1604" spans="26:48">
      <c r="Z1604" s="3"/>
      <c r="AC1604"/>
      <c r="AE1604" s="3"/>
      <c r="AH1604" t="s">
        <v>1857</v>
      </c>
      <c r="AI1604" t="s">
        <v>68</v>
      </c>
      <c r="AJ1604" t="s">
        <v>113</v>
      </c>
      <c r="AK1604" s="3" t="s">
        <v>27</v>
      </c>
      <c r="AL1604" s="3">
        <v>-1121.8681015712</v>
      </c>
      <c r="AS1604" t="s">
        <v>1938</v>
      </c>
      <c r="AT1604" t="s">
        <v>88</v>
      </c>
      <c r="AU1604" t="s">
        <v>269</v>
      </c>
      <c r="AV1604" s="14">
        <v>0</v>
      </c>
    </row>
    <row r="1605" spans="26:48">
      <c r="Z1605" s="3"/>
      <c r="AC1605"/>
      <c r="AE1605" s="3"/>
      <c r="AH1605" t="s">
        <v>1857</v>
      </c>
      <c r="AI1605" t="s">
        <v>68</v>
      </c>
      <c r="AJ1605" t="s">
        <v>108</v>
      </c>
      <c r="AK1605" s="3" t="s">
        <v>27</v>
      </c>
      <c r="AL1605" s="3">
        <v>556.99772157120003</v>
      </c>
      <c r="AS1605" t="s">
        <v>1938</v>
      </c>
      <c r="AT1605" t="s">
        <v>88</v>
      </c>
      <c r="AU1605" t="s">
        <v>270</v>
      </c>
      <c r="AV1605" s="14">
        <v>0</v>
      </c>
    </row>
    <row r="1606" spans="26:48">
      <c r="Z1606" s="3"/>
      <c r="AC1606"/>
      <c r="AE1606" s="3"/>
      <c r="AH1606" t="s">
        <v>1857</v>
      </c>
      <c r="AI1606" t="s">
        <v>68</v>
      </c>
      <c r="AJ1606" t="s">
        <v>98</v>
      </c>
      <c r="AK1606" s="3" t="s">
        <v>27</v>
      </c>
      <c r="AL1606" s="3">
        <v>117.11490581779999</v>
      </c>
      <c r="AS1606" t="s">
        <v>1938</v>
      </c>
      <c r="AT1606" t="s">
        <v>88</v>
      </c>
      <c r="AU1606" t="s">
        <v>271</v>
      </c>
      <c r="AV1606" s="14">
        <v>-3200</v>
      </c>
    </row>
    <row r="1607" spans="26:48">
      <c r="Z1607" s="3"/>
      <c r="AC1607"/>
      <c r="AE1607" s="3"/>
      <c r="AH1607" t="s">
        <v>1857</v>
      </c>
      <c r="AI1607" t="s">
        <v>68</v>
      </c>
      <c r="AJ1607" t="s">
        <v>66</v>
      </c>
      <c r="AK1607" s="3" t="s">
        <v>114</v>
      </c>
      <c r="AL1607" s="3">
        <v>6549</v>
      </c>
      <c r="AS1607" t="s">
        <v>1938</v>
      </c>
      <c r="AT1607" t="s">
        <v>88</v>
      </c>
      <c r="AU1607" t="s">
        <v>272</v>
      </c>
      <c r="AV1607" s="14">
        <v>0</v>
      </c>
    </row>
    <row r="1608" spans="26:48">
      <c r="Z1608" s="3"/>
      <c r="AC1608"/>
      <c r="AE1608" s="3"/>
      <c r="AH1608" t="s">
        <v>1857</v>
      </c>
      <c r="AI1608" t="s">
        <v>68</v>
      </c>
      <c r="AJ1608" t="s">
        <v>98</v>
      </c>
      <c r="AK1608" s="3" t="s">
        <v>114</v>
      </c>
      <c r="AL1608" s="3">
        <v>-373.08140575340002</v>
      </c>
      <c r="AS1608" t="s">
        <v>1938</v>
      </c>
      <c r="AT1608" t="s">
        <v>88</v>
      </c>
      <c r="AU1608" t="s">
        <v>273</v>
      </c>
      <c r="AV1608" s="14">
        <v>0</v>
      </c>
    </row>
    <row r="1609" spans="26:48">
      <c r="Z1609" s="3"/>
      <c r="AC1609"/>
      <c r="AE1609" s="3"/>
      <c r="AH1609" t="s">
        <v>1857</v>
      </c>
      <c r="AI1609" t="s">
        <v>68</v>
      </c>
      <c r="AJ1609" t="s">
        <v>66</v>
      </c>
      <c r="AK1609" s="3" t="s">
        <v>115</v>
      </c>
      <c r="AL1609" s="3">
        <v>12423.5</v>
      </c>
      <c r="AS1609" t="s">
        <v>1939</v>
      </c>
      <c r="AT1609" t="s">
        <v>88</v>
      </c>
      <c r="AU1609" t="s">
        <v>109</v>
      </c>
      <c r="AV1609" s="14">
        <v>28472.336200000002</v>
      </c>
    </row>
    <row r="1610" spans="26:48">
      <c r="Z1610" s="3"/>
      <c r="AC1610"/>
      <c r="AE1610" s="3"/>
      <c r="AH1610" t="s">
        <v>1857</v>
      </c>
      <c r="AI1610" t="s">
        <v>68</v>
      </c>
      <c r="AJ1610" t="s">
        <v>98</v>
      </c>
      <c r="AK1610" s="3" t="s">
        <v>115</v>
      </c>
      <c r="AL1610" s="3">
        <v>-490.1963115712</v>
      </c>
      <c r="AS1610" t="s">
        <v>1939</v>
      </c>
      <c r="AT1610" t="s">
        <v>88</v>
      </c>
      <c r="AU1610" t="s">
        <v>110</v>
      </c>
      <c r="AV1610" s="14">
        <v>397.61059999999998</v>
      </c>
    </row>
    <row r="1611" spans="26:48">
      <c r="Z1611" s="3"/>
      <c r="AC1611"/>
      <c r="AE1611" s="3"/>
      <c r="AH1611" t="s">
        <v>1857</v>
      </c>
      <c r="AI1611" t="s">
        <v>800</v>
      </c>
      <c r="AJ1611" t="s">
        <v>31</v>
      </c>
      <c r="AK1611" s="3" t="s">
        <v>27</v>
      </c>
      <c r="AL1611" s="3">
        <v>4.0812416737000001</v>
      </c>
      <c r="AS1611" t="s">
        <v>1939</v>
      </c>
      <c r="AT1611" t="s">
        <v>88</v>
      </c>
      <c r="AU1611" t="s">
        <v>111</v>
      </c>
      <c r="AV1611" s="14">
        <v>9500</v>
      </c>
    </row>
    <row r="1612" spans="26:48">
      <c r="Z1612" s="3"/>
      <c r="AC1612"/>
      <c r="AE1612" s="3"/>
      <c r="AH1612" t="s">
        <v>1858</v>
      </c>
      <c r="AI1612" t="s">
        <v>65</v>
      </c>
      <c r="AJ1612" t="s">
        <v>66</v>
      </c>
      <c r="AK1612" s="3" t="s">
        <v>27</v>
      </c>
      <c r="AL1612" s="3">
        <v>36359.699999999997</v>
      </c>
      <c r="AS1612" t="s">
        <v>1939</v>
      </c>
      <c r="AT1612" t="s">
        <v>88</v>
      </c>
      <c r="AU1612" t="s">
        <v>268</v>
      </c>
      <c r="AV1612" s="14">
        <v>0</v>
      </c>
    </row>
    <row r="1613" spans="26:48">
      <c r="Z1613" s="3"/>
      <c r="AC1613"/>
      <c r="AE1613" s="3"/>
      <c r="AH1613" t="s">
        <v>1858</v>
      </c>
      <c r="AI1613" t="s">
        <v>65</v>
      </c>
      <c r="AJ1613" t="s">
        <v>72</v>
      </c>
      <c r="AK1613" s="3" t="s">
        <v>27</v>
      </c>
      <c r="AL1613" s="3">
        <v>37100.074226999997</v>
      </c>
      <c r="AS1613" t="s">
        <v>1939</v>
      </c>
      <c r="AT1613" t="s">
        <v>88</v>
      </c>
      <c r="AU1613" t="s">
        <v>269</v>
      </c>
      <c r="AV1613" s="14">
        <v>0</v>
      </c>
    </row>
    <row r="1614" spans="26:48">
      <c r="Z1614" s="3"/>
      <c r="AC1614"/>
      <c r="AE1614" s="3"/>
      <c r="AH1614" t="s">
        <v>1858</v>
      </c>
      <c r="AI1614" t="s">
        <v>65</v>
      </c>
      <c r="AJ1614" t="s">
        <v>113</v>
      </c>
      <c r="AK1614" s="3" t="s">
        <v>27</v>
      </c>
      <c r="AL1614" s="3">
        <v>2000.9732713149999</v>
      </c>
      <c r="AS1614" t="s">
        <v>1939</v>
      </c>
      <c r="AT1614" t="s">
        <v>88</v>
      </c>
      <c r="AU1614" t="s">
        <v>270</v>
      </c>
      <c r="AV1614" s="14">
        <v>0</v>
      </c>
    </row>
    <row r="1615" spans="26:48">
      <c r="Z1615" s="3"/>
      <c r="AC1615"/>
      <c r="AE1615" s="3"/>
      <c r="AH1615" t="s">
        <v>1858</v>
      </c>
      <c r="AI1615" t="s">
        <v>65</v>
      </c>
      <c r="AJ1615" t="s">
        <v>108</v>
      </c>
      <c r="AK1615" s="3" t="s">
        <v>27</v>
      </c>
      <c r="AL1615" s="3">
        <v>-1260.5990443149999</v>
      </c>
      <c r="AS1615" t="s">
        <v>1939</v>
      </c>
      <c r="AT1615" t="s">
        <v>88</v>
      </c>
      <c r="AU1615" t="s">
        <v>271</v>
      </c>
      <c r="AV1615" s="14">
        <v>-2350</v>
      </c>
    </row>
    <row r="1616" spans="26:48">
      <c r="Z1616" s="3"/>
      <c r="AC1616"/>
      <c r="AE1616" s="3"/>
      <c r="AH1616" t="s">
        <v>1858</v>
      </c>
      <c r="AI1616" t="s">
        <v>65</v>
      </c>
      <c r="AJ1616" t="s">
        <v>98</v>
      </c>
      <c r="AK1616" s="3" t="s">
        <v>27</v>
      </c>
      <c r="AL1616" s="3">
        <v>-1260.5990443149999</v>
      </c>
      <c r="AS1616" t="s">
        <v>1939</v>
      </c>
      <c r="AT1616" t="s">
        <v>88</v>
      </c>
      <c r="AU1616" t="s">
        <v>272</v>
      </c>
      <c r="AV1616" s="14">
        <v>0</v>
      </c>
    </row>
    <row r="1617" spans="26:48">
      <c r="Z1617" s="3"/>
      <c r="AC1617"/>
      <c r="AE1617" s="3"/>
      <c r="AH1617" t="s">
        <v>1858</v>
      </c>
      <c r="AI1617" t="s">
        <v>67</v>
      </c>
      <c r="AJ1617" t="s">
        <v>66</v>
      </c>
      <c r="AK1617" s="3" t="s">
        <v>27</v>
      </c>
      <c r="AL1617" s="3">
        <v>-19193.2</v>
      </c>
      <c r="AS1617" t="s">
        <v>1939</v>
      </c>
      <c r="AT1617" t="s">
        <v>88</v>
      </c>
      <c r="AU1617" t="s">
        <v>273</v>
      </c>
      <c r="AV1617" s="14">
        <v>0</v>
      </c>
    </row>
    <row r="1618" spans="26:48">
      <c r="Z1618" s="3"/>
      <c r="AC1618"/>
      <c r="AE1618" s="3"/>
      <c r="AH1618" t="s">
        <v>1858</v>
      </c>
      <c r="AI1618" t="s">
        <v>67</v>
      </c>
      <c r="AJ1618" t="s">
        <v>72</v>
      </c>
      <c r="AK1618" s="3" t="s">
        <v>27</v>
      </c>
      <c r="AL1618" s="3">
        <v>-20217.813936999999</v>
      </c>
      <c r="AS1618" t="s">
        <v>1940</v>
      </c>
      <c r="AT1618" t="s">
        <v>88</v>
      </c>
      <c r="AU1618" t="s">
        <v>109</v>
      </c>
      <c r="AV1618" s="14">
        <v>27472.336200000002</v>
      </c>
    </row>
    <row r="1619" spans="26:48">
      <c r="Z1619" s="3"/>
      <c r="AC1619"/>
      <c r="AE1619" s="3"/>
      <c r="AH1619" t="s">
        <v>1858</v>
      </c>
      <c r="AI1619" t="s">
        <v>67</v>
      </c>
      <c r="AJ1619" t="s">
        <v>113</v>
      </c>
      <c r="AK1619" s="3" t="s">
        <v>27</v>
      </c>
      <c r="AL1619" s="3">
        <v>-1293.6768404525001</v>
      </c>
      <c r="AS1619" t="s">
        <v>1940</v>
      </c>
      <c r="AT1619" t="s">
        <v>88</v>
      </c>
      <c r="AU1619" t="s">
        <v>110</v>
      </c>
      <c r="AV1619" s="14">
        <v>397.61059999999998</v>
      </c>
    </row>
    <row r="1620" spans="26:48">
      <c r="Z1620" s="3"/>
      <c r="AC1620"/>
      <c r="AE1620" s="3"/>
      <c r="AH1620" t="s">
        <v>1858</v>
      </c>
      <c r="AI1620" t="s">
        <v>67</v>
      </c>
      <c r="AJ1620" t="s">
        <v>108</v>
      </c>
      <c r="AK1620" s="3" t="s">
        <v>27</v>
      </c>
      <c r="AL1620" s="3">
        <v>269.0629034525</v>
      </c>
      <c r="AS1620" t="s">
        <v>1940</v>
      </c>
      <c r="AT1620" t="s">
        <v>88</v>
      </c>
      <c r="AU1620" t="s">
        <v>111</v>
      </c>
      <c r="AV1620" s="14">
        <v>9500</v>
      </c>
    </row>
    <row r="1621" spans="26:48">
      <c r="Z1621" s="3"/>
      <c r="AC1621"/>
      <c r="AE1621" s="3"/>
      <c r="AH1621" t="s">
        <v>1858</v>
      </c>
      <c r="AI1621" t="s">
        <v>67</v>
      </c>
      <c r="AJ1621" t="s">
        <v>98</v>
      </c>
      <c r="AK1621" s="3" t="s">
        <v>27</v>
      </c>
      <c r="AL1621" s="3">
        <v>262.87201989089999</v>
      </c>
      <c r="AS1621" t="s">
        <v>1940</v>
      </c>
      <c r="AT1621" t="s">
        <v>88</v>
      </c>
      <c r="AU1621" t="s">
        <v>268</v>
      </c>
      <c r="AV1621" s="14">
        <v>0</v>
      </c>
    </row>
    <row r="1622" spans="26:48">
      <c r="Z1622" s="3"/>
      <c r="AC1622"/>
      <c r="AE1622" s="3"/>
      <c r="AH1622" t="s">
        <v>1858</v>
      </c>
      <c r="AI1622" t="s">
        <v>67</v>
      </c>
      <c r="AJ1622" t="s">
        <v>66</v>
      </c>
      <c r="AK1622" s="3" t="s">
        <v>114</v>
      </c>
      <c r="AL1622" s="3">
        <v>50</v>
      </c>
      <c r="AS1622" t="s">
        <v>1940</v>
      </c>
      <c r="AT1622" t="s">
        <v>88</v>
      </c>
      <c r="AU1622" t="s">
        <v>269</v>
      </c>
      <c r="AV1622" s="14">
        <v>0</v>
      </c>
    </row>
    <row r="1623" spans="26:48">
      <c r="Z1623" s="3"/>
      <c r="AC1623"/>
      <c r="AE1623" s="3"/>
      <c r="AH1623" t="s">
        <v>1858</v>
      </c>
      <c r="AI1623" t="s">
        <v>67</v>
      </c>
      <c r="AJ1623" t="s">
        <v>98</v>
      </c>
      <c r="AK1623" s="3" t="s">
        <v>114</v>
      </c>
      <c r="AL1623" s="3">
        <v>-3.8893835615999999</v>
      </c>
      <c r="AS1623" t="s">
        <v>1940</v>
      </c>
      <c r="AT1623" t="s">
        <v>88</v>
      </c>
      <c r="AU1623" t="s">
        <v>270</v>
      </c>
      <c r="AV1623" s="14">
        <v>0</v>
      </c>
    </row>
    <row r="1624" spans="26:48">
      <c r="Z1624" s="3"/>
      <c r="AC1624"/>
      <c r="AE1624" s="3"/>
      <c r="AH1624" t="s">
        <v>1858</v>
      </c>
      <c r="AI1624" t="s">
        <v>67</v>
      </c>
      <c r="AJ1624" t="s">
        <v>66</v>
      </c>
      <c r="AK1624" s="3" t="s">
        <v>115</v>
      </c>
      <c r="AL1624" s="3">
        <v>19243.2</v>
      </c>
      <c r="AS1624" t="s">
        <v>1940</v>
      </c>
      <c r="AT1624" t="s">
        <v>88</v>
      </c>
      <c r="AU1624" t="s">
        <v>271</v>
      </c>
      <c r="AV1624" s="14">
        <v>-1300</v>
      </c>
    </row>
    <row r="1625" spans="26:48">
      <c r="Z1625" s="3"/>
      <c r="AC1625"/>
      <c r="AE1625" s="3"/>
      <c r="AH1625" t="s">
        <v>1858</v>
      </c>
      <c r="AI1625" t="s">
        <v>67</v>
      </c>
      <c r="AJ1625" t="s">
        <v>98</v>
      </c>
      <c r="AK1625" s="3" t="s">
        <v>115</v>
      </c>
      <c r="AL1625" s="3">
        <v>-266.76140345250002</v>
      </c>
      <c r="AS1625" t="s">
        <v>1940</v>
      </c>
      <c r="AT1625" t="s">
        <v>88</v>
      </c>
      <c r="AU1625" t="s">
        <v>272</v>
      </c>
      <c r="AV1625" s="14">
        <v>0</v>
      </c>
    </row>
    <row r="1626" spans="26:48">
      <c r="Z1626" s="3"/>
      <c r="AC1626"/>
      <c r="AE1626" s="3"/>
      <c r="AH1626" t="s">
        <v>1858</v>
      </c>
      <c r="AI1626" t="s">
        <v>68</v>
      </c>
      <c r="AJ1626" t="s">
        <v>66</v>
      </c>
      <c r="AK1626" s="3" t="s">
        <v>27</v>
      </c>
      <c r="AL1626" s="3">
        <v>-5754.5</v>
      </c>
      <c r="AS1626" t="s">
        <v>1940</v>
      </c>
      <c r="AT1626" t="s">
        <v>88</v>
      </c>
      <c r="AU1626" t="s">
        <v>273</v>
      </c>
      <c r="AV1626" s="14">
        <v>0</v>
      </c>
    </row>
    <row r="1627" spans="26:48">
      <c r="Z1627" s="3"/>
      <c r="AC1627"/>
      <c r="AE1627" s="3"/>
      <c r="AH1627" t="s">
        <v>1858</v>
      </c>
      <c r="AI1627" t="s">
        <v>68</v>
      </c>
      <c r="AJ1627" t="s">
        <v>72</v>
      </c>
      <c r="AK1627" s="3" t="s">
        <v>27</v>
      </c>
      <c r="AL1627" s="3">
        <v>-6360.8171700000003</v>
      </c>
      <c r="AS1627" t="s">
        <v>1941</v>
      </c>
      <c r="AT1627" t="s">
        <v>88</v>
      </c>
      <c r="AU1627" t="s">
        <v>109</v>
      </c>
      <c r="AV1627" s="14">
        <v>25531.561799999999</v>
      </c>
    </row>
    <row r="1628" spans="26:48">
      <c r="Z1628" s="3"/>
      <c r="AC1628"/>
      <c r="AE1628" s="3"/>
      <c r="AH1628" t="s">
        <v>1858</v>
      </c>
      <c r="AI1628" t="s">
        <v>68</v>
      </c>
      <c r="AJ1628" t="s">
        <v>113</v>
      </c>
      <c r="AK1628" s="3" t="s">
        <v>27</v>
      </c>
      <c r="AL1628" s="3">
        <v>-1034.3359085526999</v>
      </c>
      <c r="AS1628" t="s">
        <v>1941</v>
      </c>
      <c r="AT1628" t="s">
        <v>88</v>
      </c>
      <c r="AU1628" t="s">
        <v>110</v>
      </c>
      <c r="AV1628" s="14">
        <v>397.61059999999998</v>
      </c>
    </row>
    <row r="1629" spans="26:48">
      <c r="Z1629" s="3"/>
      <c r="AC1629"/>
      <c r="AE1629" s="3"/>
      <c r="AH1629" t="s">
        <v>1858</v>
      </c>
      <c r="AI1629" t="s">
        <v>68</v>
      </c>
      <c r="AJ1629" t="s">
        <v>108</v>
      </c>
      <c r="AK1629" s="3" t="s">
        <v>27</v>
      </c>
      <c r="AL1629" s="3">
        <v>428.01873855269997</v>
      </c>
      <c r="AS1629" t="s">
        <v>1941</v>
      </c>
      <c r="AT1629" t="s">
        <v>88</v>
      </c>
      <c r="AU1629" t="s">
        <v>111</v>
      </c>
      <c r="AV1629" s="14">
        <v>9500</v>
      </c>
    </row>
    <row r="1630" spans="26:48">
      <c r="Z1630" s="3"/>
      <c r="AC1630"/>
      <c r="AE1630" s="3"/>
      <c r="AH1630" t="s">
        <v>1858</v>
      </c>
      <c r="AI1630" t="s">
        <v>68</v>
      </c>
      <c r="AJ1630" t="s">
        <v>98</v>
      </c>
      <c r="AK1630" s="3" t="s">
        <v>27</v>
      </c>
      <c r="AL1630" s="3">
        <v>96.565573484200002</v>
      </c>
      <c r="AS1630" t="s">
        <v>1941</v>
      </c>
      <c r="AT1630" t="s">
        <v>88</v>
      </c>
      <c r="AU1630" t="s">
        <v>268</v>
      </c>
      <c r="AV1630" s="14">
        <v>0</v>
      </c>
    </row>
    <row r="1631" spans="26:48">
      <c r="Z1631" s="3"/>
      <c r="AC1631"/>
      <c r="AE1631" s="3"/>
      <c r="AH1631" t="s">
        <v>1858</v>
      </c>
      <c r="AI1631" t="s">
        <v>68</v>
      </c>
      <c r="AJ1631" t="s">
        <v>66</v>
      </c>
      <c r="AK1631" s="3" t="s">
        <v>114</v>
      </c>
      <c r="AL1631" s="3">
        <v>5459</v>
      </c>
      <c r="AS1631" t="s">
        <v>1941</v>
      </c>
      <c r="AT1631" t="s">
        <v>88</v>
      </c>
      <c r="AU1631" t="s">
        <v>269</v>
      </c>
      <c r="AV1631" s="14">
        <v>0</v>
      </c>
    </row>
    <row r="1632" spans="26:48">
      <c r="Z1632" s="3"/>
      <c r="AC1632"/>
      <c r="AE1632" s="3"/>
      <c r="AH1632" t="s">
        <v>1858</v>
      </c>
      <c r="AI1632" t="s">
        <v>68</v>
      </c>
      <c r="AJ1632" t="s">
        <v>98</v>
      </c>
      <c r="AK1632" s="3" t="s">
        <v>114</v>
      </c>
      <c r="AL1632" s="3">
        <v>-343.53882506849999</v>
      </c>
      <c r="AS1632" t="s">
        <v>1941</v>
      </c>
      <c r="AT1632" t="s">
        <v>88</v>
      </c>
      <c r="AU1632" t="s">
        <v>270</v>
      </c>
      <c r="AV1632" s="14">
        <v>0</v>
      </c>
    </row>
    <row r="1633" spans="26:48">
      <c r="Z1633" s="3"/>
      <c r="AC1633"/>
      <c r="AE1633" s="3"/>
      <c r="AH1633" t="s">
        <v>1858</v>
      </c>
      <c r="AI1633" t="s">
        <v>68</v>
      </c>
      <c r="AJ1633" t="s">
        <v>66</v>
      </c>
      <c r="AK1633" s="3" t="s">
        <v>115</v>
      </c>
      <c r="AL1633" s="3">
        <v>11213.5</v>
      </c>
      <c r="AS1633" t="s">
        <v>1941</v>
      </c>
      <c r="AT1633" t="s">
        <v>88</v>
      </c>
      <c r="AU1633" t="s">
        <v>271</v>
      </c>
      <c r="AV1633" s="14">
        <v>-670</v>
      </c>
    </row>
    <row r="1634" spans="26:48">
      <c r="Z1634" s="3"/>
      <c r="AC1634"/>
      <c r="AE1634" s="3"/>
      <c r="AH1634" t="s">
        <v>1858</v>
      </c>
      <c r="AI1634" t="s">
        <v>68</v>
      </c>
      <c r="AJ1634" t="s">
        <v>98</v>
      </c>
      <c r="AK1634" s="3" t="s">
        <v>115</v>
      </c>
      <c r="AL1634" s="3">
        <v>-440.10439855269999</v>
      </c>
      <c r="AS1634" t="s">
        <v>1941</v>
      </c>
      <c r="AT1634" t="s">
        <v>88</v>
      </c>
      <c r="AU1634" t="s">
        <v>272</v>
      </c>
      <c r="AV1634" s="14">
        <v>0</v>
      </c>
    </row>
    <row r="1635" spans="26:48">
      <c r="Z1635" s="3"/>
      <c r="AC1635"/>
      <c r="AE1635" s="3"/>
      <c r="AH1635" t="s">
        <v>1858</v>
      </c>
      <c r="AI1635" t="s">
        <v>800</v>
      </c>
      <c r="AJ1635" t="s">
        <v>31</v>
      </c>
      <c r="AK1635" s="3" t="s">
        <v>27</v>
      </c>
      <c r="AL1635" s="3">
        <v>4.0735768757999997</v>
      </c>
      <c r="AS1635" t="s">
        <v>1941</v>
      </c>
      <c r="AT1635" t="s">
        <v>88</v>
      </c>
      <c r="AU1635" t="s">
        <v>273</v>
      </c>
      <c r="AV1635" s="14">
        <v>0</v>
      </c>
    </row>
    <row r="1636" spans="26:48">
      <c r="Z1636" s="3"/>
      <c r="AC1636"/>
      <c r="AE1636" s="3"/>
      <c r="AH1636" t="s">
        <v>1859</v>
      </c>
      <c r="AI1636" t="s">
        <v>65</v>
      </c>
      <c r="AJ1636" t="s">
        <v>66</v>
      </c>
      <c r="AK1636" s="3" t="s">
        <v>27</v>
      </c>
      <c r="AL1636" s="3">
        <v>37104.699999999997</v>
      </c>
      <c r="AS1636" t="s">
        <v>1942</v>
      </c>
      <c r="AT1636" t="s">
        <v>88</v>
      </c>
      <c r="AU1636" t="s">
        <v>109</v>
      </c>
      <c r="AV1636" s="14">
        <v>27361.561799999999</v>
      </c>
    </row>
    <row r="1637" spans="26:48">
      <c r="Z1637" s="3"/>
      <c r="AC1637"/>
      <c r="AE1637" s="3"/>
      <c r="AH1637" t="s">
        <v>1859</v>
      </c>
      <c r="AI1637" t="s">
        <v>65</v>
      </c>
      <c r="AJ1637" t="s">
        <v>72</v>
      </c>
      <c r="AK1637" s="3" t="s">
        <v>27</v>
      </c>
      <c r="AL1637" s="3">
        <v>37882.809417999997</v>
      </c>
      <c r="AS1637" t="s">
        <v>1942</v>
      </c>
      <c r="AT1637" t="s">
        <v>88</v>
      </c>
      <c r="AU1637" t="s">
        <v>110</v>
      </c>
      <c r="AV1637" s="14">
        <v>397.61059999999998</v>
      </c>
    </row>
    <row r="1638" spans="26:48">
      <c r="Z1638" s="3"/>
      <c r="AC1638"/>
      <c r="AE1638" s="3"/>
      <c r="AH1638" t="s">
        <v>1859</v>
      </c>
      <c r="AI1638" t="s">
        <v>65</v>
      </c>
      <c r="AJ1638" t="s">
        <v>113</v>
      </c>
      <c r="AK1638" s="3" t="s">
        <v>27</v>
      </c>
      <c r="AL1638" s="3">
        <v>2067.9461045783</v>
      </c>
      <c r="AS1638" t="s">
        <v>1942</v>
      </c>
      <c r="AT1638" t="s">
        <v>88</v>
      </c>
      <c r="AU1638" t="s">
        <v>111</v>
      </c>
      <c r="AV1638" s="14">
        <v>9500</v>
      </c>
    </row>
    <row r="1639" spans="26:48">
      <c r="Z1639" s="3"/>
      <c r="AC1639"/>
      <c r="AE1639" s="3"/>
      <c r="AH1639" t="s">
        <v>1859</v>
      </c>
      <c r="AI1639" t="s">
        <v>65</v>
      </c>
      <c r="AJ1639" t="s">
        <v>108</v>
      </c>
      <c r="AK1639" s="3" t="s">
        <v>27</v>
      </c>
      <c r="AL1639" s="3">
        <v>-1289.8366865783</v>
      </c>
      <c r="AS1639" t="s">
        <v>1942</v>
      </c>
      <c r="AT1639" t="s">
        <v>88</v>
      </c>
      <c r="AU1639" t="s">
        <v>268</v>
      </c>
      <c r="AV1639" s="14">
        <v>0</v>
      </c>
    </row>
    <row r="1640" spans="26:48">
      <c r="Z1640" s="3"/>
      <c r="AC1640"/>
      <c r="AE1640" s="3"/>
      <c r="AH1640" t="s">
        <v>1859</v>
      </c>
      <c r="AI1640" t="s">
        <v>65</v>
      </c>
      <c r="AJ1640" t="s">
        <v>98</v>
      </c>
      <c r="AK1640" s="3" t="s">
        <v>27</v>
      </c>
      <c r="AL1640" s="3">
        <v>-1289.8366865783</v>
      </c>
      <c r="AS1640" t="s">
        <v>1942</v>
      </c>
      <c r="AT1640" t="s">
        <v>88</v>
      </c>
      <c r="AU1640" t="s">
        <v>269</v>
      </c>
      <c r="AV1640" s="14">
        <v>0</v>
      </c>
    </row>
    <row r="1641" spans="26:48">
      <c r="Z1641" s="3"/>
      <c r="AC1641"/>
      <c r="AE1641" s="3"/>
      <c r="AH1641" t="s">
        <v>1859</v>
      </c>
      <c r="AI1641" t="s">
        <v>67</v>
      </c>
      <c r="AJ1641" t="s">
        <v>66</v>
      </c>
      <c r="AK1641" s="3" t="s">
        <v>27</v>
      </c>
      <c r="AL1641" s="3">
        <v>-19308.2</v>
      </c>
      <c r="AS1641" t="s">
        <v>1942</v>
      </c>
      <c r="AT1641" t="s">
        <v>88</v>
      </c>
      <c r="AU1641" t="s">
        <v>270</v>
      </c>
      <c r="AV1641" s="14">
        <v>0</v>
      </c>
    </row>
    <row r="1642" spans="26:48">
      <c r="Z1642" s="3"/>
      <c r="AC1642"/>
      <c r="AE1642" s="3"/>
      <c r="AH1642" t="s">
        <v>1859</v>
      </c>
      <c r="AI1642" t="s">
        <v>67</v>
      </c>
      <c r="AJ1642" t="s">
        <v>72</v>
      </c>
      <c r="AK1642" s="3" t="s">
        <v>27</v>
      </c>
      <c r="AL1642" s="3">
        <v>-20304.278878000001</v>
      </c>
      <c r="AS1642" t="s">
        <v>1942</v>
      </c>
      <c r="AT1642" t="s">
        <v>88</v>
      </c>
      <c r="AU1642" t="s">
        <v>271</v>
      </c>
      <c r="AV1642" s="14">
        <v>-500</v>
      </c>
    </row>
    <row r="1643" spans="26:48">
      <c r="Z1643" s="3"/>
      <c r="AC1643"/>
      <c r="AE1643" s="3"/>
      <c r="AH1643" t="s">
        <v>1859</v>
      </c>
      <c r="AI1643" t="s">
        <v>67</v>
      </c>
      <c r="AJ1643" t="s">
        <v>113</v>
      </c>
      <c r="AK1643" s="3" t="s">
        <v>27</v>
      </c>
      <c r="AL1643" s="3">
        <v>-1228.2356173479</v>
      </c>
      <c r="AS1643" t="s">
        <v>1942</v>
      </c>
      <c r="AT1643" t="s">
        <v>88</v>
      </c>
      <c r="AU1643" t="s">
        <v>272</v>
      </c>
      <c r="AV1643" s="14">
        <v>0</v>
      </c>
    </row>
    <row r="1644" spans="26:48">
      <c r="Z1644" s="3"/>
      <c r="AC1644"/>
      <c r="AE1644" s="3"/>
      <c r="AH1644" t="s">
        <v>1859</v>
      </c>
      <c r="AI1644" t="s">
        <v>67</v>
      </c>
      <c r="AJ1644" t="s">
        <v>108</v>
      </c>
      <c r="AK1644" s="3" t="s">
        <v>27</v>
      </c>
      <c r="AL1644" s="3">
        <v>232.15673934789999</v>
      </c>
      <c r="AS1644" t="s">
        <v>1942</v>
      </c>
      <c r="AT1644" t="s">
        <v>88</v>
      </c>
      <c r="AU1644" t="s">
        <v>273</v>
      </c>
      <c r="AV1644" s="14">
        <v>0</v>
      </c>
    </row>
    <row r="1645" spans="26:48">
      <c r="Z1645" s="3"/>
      <c r="AC1645"/>
      <c r="AE1645" s="3"/>
      <c r="AH1645" t="s">
        <v>1859</v>
      </c>
      <c r="AI1645" t="s">
        <v>67</v>
      </c>
      <c r="AJ1645" t="s">
        <v>98</v>
      </c>
      <c r="AK1645" s="3" t="s">
        <v>27</v>
      </c>
      <c r="AL1645" s="3">
        <v>239.02421879990001</v>
      </c>
      <c r="AS1645" t="s">
        <v>1943</v>
      </c>
      <c r="AT1645" t="s">
        <v>88</v>
      </c>
      <c r="AU1645" t="s">
        <v>109</v>
      </c>
      <c r="AV1645" s="14">
        <v>29011.561799999999</v>
      </c>
    </row>
    <row r="1646" spans="26:48">
      <c r="Z1646" s="3"/>
      <c r="AC1646"/>
      <c r="AE1646" s="3"/>
      <c r="AH1646" t="s">
        <v>1859</v>
      </c>
      <c r="AI1646" t="s">
        <v>67</v>
      </c>
      <c r="AJ1646" t="s">
        <v>66</v>
      </c>
      <c r="AK1646" s="3" t="s">
        <v>114</v>
      </c>
      <c r="AL1646" s="3">
        <v>200</v>
      </c>
      <c r="AS1646" t="s">
        <v>1943</v>
      </c>
      <c r="AT1646" t="s">
        <v>88</v>
      </c>
      <c r="AU1646" t="s">
        <v>110</v>
      </c>
      <c r="AV1646" s="14">
        <v>397.61059999999998</v>
      </c>
    </row>
    <row r="1647" spans="26:48">
      <c r="Z1647" s="3"/>
      <c r="AC1647"/>
      <c r="AE1647" s="3"/>
      <c r="AH1647" t="s">
        <v>1859</v>
      </c>
      <c r="AI1647" t="s">
        <v>67</v>
      </c>
      <c r="AJ1647" t="s">
        <v>98</v>
      </c>
      <c r="AK1647" s="3" t="s">
        <v>114</v>
      </c>
      <c r="AL1647" s="3">
        <v>-15.765020547900001</v>
      </c>
      <c r="AS1647" t="s">
        <v>1943</v>
      </c>
      <c r="AT1647" t="s">
        <v>88</v>
      </c>
      <c r="AU1647" t="s">
        <v>111</v>
      </c>
      <c r="AV1647" s="14">
        <v>9500</v>
      </c>
    </row>
    <row r="1648" spans="26:48">
      <c r="Z1648" s="3"/>
      <c r="AC1648"/>
      <c r="AE1648" s="3"/>
      <c r="AH1648" t="s">
        <v>1859</v>
      </c>
      <c r="AI1648" t="s">
        <v>67</v>
      </c>
      <c r="AJ1648" t="s">
        <v>66</v>
      </c>
      <c r="AK1648" s="3" t="s">
        <v>115</v>
      </c>
      <c r="AL1648" s="3">
        <v>19508.2</v>
      </c>
      <c r="AS1648" t="s">
        <v>1943</v>
      </c>
      <c r="AT1648" t="s">
        <v>88</v>
      </c>
      <c r="AU1648" t="s">
        <v>268</v>
      </c>
      <c r="AV1648" s="14">
        <v>0</v>
      </c>
    </row>
    <row r="1649" spans="26:48">
      <c r="Z1649" s="3"/>
      <c r="AC1649"/>
      <c r="AE1649" s="3"/>
      <c r="AH1649" t="s">
        <v>1859</v>
      </c>
      <c r="AI1649" t="s">
        <v>67</v>
      </c>
      <c r="AJ1649" t="s">
        <v>98</v>
      </c>
      <c r="AK1649" s="3" t="s">
        <v>115</v>
      </c>
      <c r="AL1649" s="3">
        <v>-254.78923934790001</v>
      </c>
      <c r="AS1649" t="s">
        <v>1943</v>
      </c>
      <c r="AT1649" t="s">
        <v>88</v>
      </c>
      <c r="AU1649" t="s">
        <v>269</v>
      </c>
      <c r="AV1649" s="14">
        <v>0</v>
      </c>
    </row>
    <row r="1650" spans="26:48">
      <c r="Z1650" s="3"/>
      <c r="AC1650"/>
      <c r="AE1650" s="3"/>
      <c r="AH1650" t="s">
        <v>1859</v>
      </c>
      <c r="AI1650" t="s">
        <v>68</v>
      </c>
      <c r="AJ1650" t="s">
        <v>66</v>
      </c>
      <c r="AK1650" s="3" t="s">
        <v>27</v>
      </c>
      <c r="AL1650" s="3">
        <v>-6384.5</v>
      </c>
      <c r="AS1650" t="s">
        <v>1943</v>
      </c>
      <c r="AT1650" t="s">
        <v>88</v>
      </c>
      <c r="AU1650" t="s">
        <v>270</v>
      </c>
      <c r="AV1650" s="14">
        <v>0</v>
      </c>
    </row>
    <row r="1651" spans="26:48">
      <c r="Z1651" s="3"/>
      <c r="AC1651"/>
      <c r="AE1651" s="3"/>
      <c r="AH1651" t="s">
        <v>1859</v>
      </c>
      <c r="AI1651" t="s">
        <v>68</v>
      </c>
      <c r="AJ1651" t="s">
        <v>72</v>
      </c>
      <c r="AK1651" s="3" t="s">
        <v>27</v>
      </c>
      <c r="AL1651" s="3">
        <v>-7056.7260399999996</v>
      </c>
      <c r="AS1651" t="s">
        <v>1943</v>
      </c>
      <c r="AT1651" t="s">
        <v>88</v>
      </c>
      <c r="AU1651" t="s">
        <v>271</v>
      </c>
      <c r="AV1651" s="14">
        <v>-4550</v>
      </c>
    </row>
    <row r="1652" spans="26:48">
      <c r="Z1652" s="3"/>
      <c r="AC1652"/>
      <c r="AE1652" s="3"/>
      <c r="AH1652" t="s">
        <v>1859</v>
      </c>
      <c r="AI1652" t="s">
        <v>68</v>
      </c>
      <c r="AJ1652" t="s">
        <v>113</v>
      </c>
      <c r="AK1652" s="3" t="s">
        <v>27</v>
      </c>
      <c r="AL1652" s="3">
        <v>-1159.7921471456</v>
      </c>
      <c r="AS1652" t="s">
        <v>1943</v>
      </c>
      <c r="AT1652" t="s">
        <v>88</v>
      </c>
      <c r="AU1652" t="s">
        <v>272</v>
      </c>
      <c r="AV1652" s="14">
        <v>0</v>
      </c>
    </row>
    <row r="1653" spans="26:48">
      <c r="Z1653" s="3"/>
      <c r="AC1653"/>
      <c r="AE1653" s="3"/>
      <c r="AH1653" t="s">
        <v>1859</v>
      </c>
      <c r="AI1653" t="s">
        <v>68</v>
      </c>
      <c r="AJ1653" t="s">
        <v>108</v>
      </c>
      <c r="AK1653" s="3" t="s">
        <v>27</v>
      </c>
      <c r="AL1653" s="3">
        <v>487.56610714559997</v>
      </c>
      <c r="AS1653" t="s">
        <v>1943</v>
      </c>
      <c r="AT1653" t="s">
        <v>88</v>
      </c>
      <c r="AU1653" t="s">
        <v>273</v>
      </c>
      <c r="AV1653" s="14">
        <v>0</v>
      </c>
    </row>
    <row r="1654" spans="26:48">
      <c r="Z1654" s="3"/>
      <c r="AC1654"/>
      <c r="AE1654" s="3"/>
      <c r="AH1654" t="s">
        <v>1859</v>
      </c>
      <c r="AI1654" t="s">
        <v>68</v>
      </c>
      <c r="AJ1654" t="s">
        <v>98</v>
      </c>
      <c r="AK1654" s="3" t="s">
        <v>27</v>
      </c>
      <c r="AL1654" s="3">
        <v>149.9220585155</v>
      </c>
      <c r="AS1654" t="s">
        <v>1944</v>
      </c>
      <c r="AT1654" t="s">
        <v>88</v>
      </c>
      <c r="AU1654" t="s">
        <v>109</v>
      </c>
      <c r="AV1654" s="14">
        <v>30367.584800000001</v>
      </c>
    </row>
    <row r="1655" spans="26:48">
      <c r="Z1655" s="3"/>
      <c r="AC1655"/>
      <c r="AE1655" s="3"/>
      <c r="AH1655" t="s">
        <v>1859</v>
      </c>
      <c r="AI1655" t="s">
        <v>68</v>
      </c>
      <c r="AJ1655" t="s">
        <v>66</v>
      </c>
      <c r="AK1655" s="3" t="s">
        <v>114</v>
      </c>
      <c r="AL1655" s="3">
        <v>5509</v>
      </c>
      <c r="AS1655" t="s">
        <v>1944</v>
      </c>
      <c r="AT1655" t="s">
        <v>88</v>
      </c>
      <c r="AU1655" t="s">
        <v>110</v>
      </c>
      <c r="AV1655" s="14">
        <v>397.61059999999998</v>
      </c>
    </row>
    <row r="1656" spans="26:48">
      <c r="Z1656" s="3"/>
      <c r="AC1656"/>
      <c r="AE1656" s="3"/>
      <c r="AH1656" t="s">
        <v>1859</v>
      </c>
      <c r="AI1656" t="s">
        <v>68</v>
      </c>
      <c r="AJ1656" t="s">
        <v>98</v>
      </c>
      <c r="AK1656" s="3" t="s">
        <v>114</v>
      </c>
      <c r="AL1656" s="3">
        <v>-347.3326186301</v>
      </c>
      <c r="AS1656" t="s">
        <v>1944</v>
      </c>
      <c r="AT1656" t="s">
        <v>88</v>
      </c>
      <c r="AU1656" t="s">
        <v>111</v>
      </c>
      <c r="AV1656" s="14">
        <v>9500</v>
      </c>
    </row>
    <row r="1657" spans="26:48">
      <c r="Z1657" s="3"/>
      <c r="AC1657"/>
      <c r="AE1657" s="3"/>
      <c r="AH1657" t="s">
        <v>1859</v>
      </c>
      <c r="AI1657" t="s">
        <v>68</v>
      </c>
      <c r="AJ1657" t="s">
        <v>66</v>
      </c>
      <c r="AK1657" s="3" t="s">
        <v>115</v>
      </c>
      <c r="AL1657" s="3">
        <v>11893.5</v>
      </c>
      <c r="AS1657" t="s">
        <v>1944</v>
      </c>
      <c r="AT1657" t="s">
        <v>88</v>
      </c>
      <c r="AU1657" t="s">
        <v>268</v>
      </c>
      <c r="AV1657" s="14">
        <v>0</v>
      </c>
    </row>
    <row r="1658" spans="26:48">
      <c r="Z1658" s="3"/>
      <c r="AC1658"/>
      <c r="AE1658" s="3"/>
      <c r="AH1658" t="s">
        <v>1859</v>
      </c>
      <c r="AI1658" t="s">
        <v>68</v>
      </c>
      <c r="AJ1658" t="s">
        <v>98</v>
      </c>
      <c r="AK1658" s="3" t="s">
        <v>115</v>
      </c>
      <c r="AL1658" s="3">
        <v>-497.2546771456</v>
      </c>
      <c r="AS1658" t="s">
        <v>1944</v>
      </c>
      <c r="AT1658" t="s">
        <v>88</v>
      </c>
      <c r="AU1658" t="s">
        <v>269</v>
      </c>
      <c r="AV1658" s="14">
        <v>0</v>
      </c>
    </row>
    <row r="1659" spans="26:48">
      <c r="Z1659" s="3"/>
      <c r="AC1659"/>
      <c r="AE1659" s="3"/>
      <c r="AH1659" t="s">
        <v>1859</v>
      </c>
      <c r="AI1659" t="s">
        <v>800</v>
      </c>
      <c r="AJ1659" t="s">
        <v>31</v>
      </c>
      <c r="AK1659" s="3" t="s">
        <v>27</v>
      </c>
      <c r="AL1659" s="3">
        <v>4.0661513509000002</v>
      </c>
      <c r="AS1659" t="s">
        <v>1944</v>
      </c>
      <c r="AT1659" t="s">
        <v>88</v>
      </c>
      <c r="AU1659" t="s">
        <v>270</v>
      </c>
      <c r="AV1659" s="14">
        <v>0</v>
      </c>
    </row>
    <row r="1660" spans="26:48">
      <c r="Z1660" s="3"/>
      <c r="AC1660"/>
      <c r="AE1660" s="3"/>
      <c r="AH1660" t="s">
        <v>1860</v>
      </c>
      <c r="AI1660" t="s">
        <v>65</v>
      </c>
      <c r="AJ1660" t="s">
        <v>66</v>
      </c>
      <c r="AK1660" s="3" t="s">
        <v>27</v>
      </c>
      <c r="AL1660" s="3">
        <v>37084.699999999997</v>
      </c>
      <c r="AS1660" t="s">
        <v>1944</v>
      </c>
      <c r="AT1660" t="s">
        <v>88</v>
      </c>
      <c r="AU1660" t="s">
        <v>271</v>
      </c>
      <c r="AV1660" s="14">
        <v>-5700</v>
      </c>
    </row>
    <row r="1661" spans="26:48">
      <c r="Z1661" s="3"/>
      <c r="AC1661"/>
      <c r="AE1661" s="3"/>
      <c r="AH1661" t="s">
        <v>1860</v>
      </c>
      <c r="AI1661" t="s">
        <v>65</v>
      </c>
      <c r="AJ1661" t="s">
        <v>72</v>
      </c>
      <c r="AK1661" s="3" t="s">
        <v>27</v>
      </c>
      <c r="AL1661" s="3">
        <v>37894.840081000002</v>
      </c>
      <c r="AS1661" t="s">
        <v>1944</v>
      </c>
      <c r="AT1661" t="s">
        <v>88</v>
      </c>
      <c r="AU1661" t="s">
        <v>272</v>
      </c>
      <c r="AV1661" s="14">
        <v>0</v>
      </c>
    </row>
    <row r="1662" spans="26:48">
      <c r="Z1662" s="3"/>
      <c r="AC1662"/>
      <c r="AE1662" s="3"/>
      <c r="AH1662" t="s">
        <v>1860</v>
      </c>
      <c r="AI1662" t="s">
        <v>65</v>
      </c>
      <c r="AJ1662" t="s">
        <v>113</v>
      </c>
      <c r="AK1662" s="3" t="s">
        <v>27</v>
      </c>
      <c r="AL1662" s="3">
        <v>2066.4023510060001</v>
      </c>
      <c r="AS1662" t="s">
        <v>1944</v>
      </c>
      <c r="AT1662" t="s">
        <v>88</v>
      </c>
      <c r="AU1662" t="s">
        <v>273</v>
      </c>
      <c r="AV1662" s="14">
        <v>0</v>
      </c>
    </row>
    <row r="1663" spans="26:48">
      <c r="Z1663" s="3"/>
      <c r="AC1663"/>
      <c r="AE1663" s="3"/>
      <c r="AH1663" t="s">
        <v>1860</v>
      </c>
      <c r="AI1663" t="s">
        <v>65</v>
      </c>
      <c r="AJ1663" t="s">
        <v>108</v>
      </c>
      <c r="AK1663" s="3" t="s">
        <v>27</v>
      </c>
      <c r="AL1663" s="3">
        <v>-1256.2622700060001</v>
      </c>
      <c r="AS1663" t="s">
        <v>1945</v>
      </c>
      <c r="AT1663" t="s">
        <v>88</v>
      </c>
      <c r="AU1663" t="s">
        <v>111</v>
      </c>
      <c r="AV1663" s="14">
        <v>9500</v>
      </c>
    </row>
    <row r="1664" spans="26:48">
      <c r="Z1664" s="3"/>
      <c r="AC1664"/>
      <c r="AE1664" s="3"/>
      <c r="AH1664" t="s">
        <v>1860</v>
      </c>
      <c r="AI1664" t="s">
        <v>65</v>
      </c>
      <c r="AJ1664" t="s">
        <v>98</v>
      </c>
      <c r="AK1664" s="3" t="s">
        <v>27</v>
      </c>
      <c r="AL1664" s="3">
        <v>-1256.2622700060001</v>
      </c>
      <c r="AS1664" t="s">
        <v>1945</v>
      </c>
      <c r="AT1664" t="s">
        <v>88</v>
      </c>
      <c r="AU1664" t="s">
        <v>268</v>
      </c>
      <c r="AV1664" s="14">
        <v>0</v>
      </c>
    </row>
    <row r="1665" spans="26:48">
      <c r="Z1665" s="3"/>
      <c r="AC1665"/>
      <c r="AE1665" s="3"/>
      <c r="AH1665" t="s">
        <v>1860</v>
      </c>
      <c r="AI1665" t="s">
        <v>67</v>
      </c>
      <c r="AJ1665" t="s">
        <v>66</v>
      </c>
      <c r="AK1665" s="3" t="s">
        <v>27</v>
      </c>
      <c r="AL1665" s="3">
        <v>-18543.2</v>
      </c>
      <c r="AS1665" t="s">
        <v>1945</v>
      </c>
      <c r="AT1665" t="s">
        <v>88</v>
      </c>
      <c r="AU1665" t="s">
        <v>269</v>
      </c>
      <c r="AV1665" s="14">
        <v>0</v>
      </c>
    </row>
    <row r="1666" spans="26:48">
      <c r="Z1666" s="3"/>
      <c r="AC1666"/>
      <c r="AE1666" s="3"/>
      <c r="AH1666" t="s">
        <v>1860</v>
      </c>
      <c r="AI1666" t="s">
        <v>67</v>
      </c>
      <c r="AJ1666" t="s">
        <v>72</v>
      </c>
      <c r="AK1666" s="3" t="s">
        <v>27</v>
      </c>
      <c r="AL1666" s="3">
        <v>-19522.104531000001</v>
      </c>
      <c r="AS1666" t="s">
        <v>1945</v>
      </c>
      <c r="AT1666" t="s">
        <v>88</v>
      </c>
      <c r="AU1666" t="s">
        <v>270</v>
      </c>
      <c r="AV1666" s="14">
        <v>0</v>
      </c>
    </row>
    <row r="1667" spans="26:48">
      <c r="Z1667" s="3"/>
      <c r="AC1667"/>
      <c r="AE1667" s="3"/>
      <c r="AH1667" t="s">
        <v>1860</v>
      </c>
      <c r="AI1667" t="s">
        <v>67</v>
      </c>
      <c r="AJ1667" t="s">
        <v>113</v>
      </c>
      <c r="AK1667" s="3" t="s">
        <v>27</v>
      </c>
      <c r="AL1667" s="3">
        <v>-1152.4480642036999</v>
      </c>
      <c r="AS1667" t="s">
        <v>1945</v>
      </c>
      <c r="AT1667" t="s">
        <v>88</v>
      </c>
      <c r="AU1667" t="s">
        <v>271</v>
      </c>
      <c r="AV1667" s="14">
        <v>-1679.3218999999999</v>
      </c>
    </row>
    <row r="1668" spans="26:48">
      <c r="Z1668" s="3"/>
      <c r="AC1668"/>
      <c r="AE1668" s="3"/>
      <c r="AH1668" t="s">
        <v>1860</v>
      </c>
      <c r="AI1668" t="s">
        <v>67</v>
      </c>
      <c r="AJ1668" t="s">
        <v>108</v>
      </c>
      <c r="AK1668" s="3" t="s">
        <v>27</v>
      </c>
      <c r="AL1668" s="3">
        <v>173.54353320370001</v>
      </c>
      <c r="AS1668" t="s">
        <v>1945</v>
      </c>
      <c r="AT1668" t="s">
        <v>88</v>
      </c>
      <c r="AU1668" t="s">
        <v>272</v>
      </c>
      <c r="AV1668" s="14">
        <v>0</v>
      </c>
    </row>
    <row r="1669" spans="26:48">
      <c r="Z1669" s="3"/>
      <c r="AC1669"/>
      <c r="AE1669" s="3"/>
      <c r="AH1669" t="s">
        <v>1860</v>
      </c>
      <c r="AI1669" t="s">
        <v>67</v>
      </c>
      <c r="AJ1669" t="s">
        <v>98</v>
      </c>
      <c r="AK1669" s="3" t="s">
        <v>27</v>
      </c>
      <c r="AL1669" s="3">
        <v>178.00674964199999</v>
      </c>
      <c r="AS1669" t="s">
        <v>1945</v>
      </c>
      <c r="AT1669" t="s">
        <v>88</v>
      </c>
      <c r="AU1669" t="s">
        <v>273</v>
      </c>
      <c r="AV1669" s="14">
        <v>0</v>
      </c>
    </row>
    <row r="1670" spans="26:48">
      <c r="Z1670" s="3"/>
      <c r="AC1670"/>
      <c r="AE1670" s="3"/>
      <c r="AH1670" t="s">
        <v>1860</v>
      </c>
      <c r="AI1670" t="s">
        <v>67</v>
      </c>
      <c r="AJ1670" t="s">
        <v>66</v>
      </c>
      <c r="AK1670" s="3" t="s">
        <v>114</v>
      </c>
      <c r="AL1670" s="3">
        <v>220</v>
      </c>
      <c r="AS1670" t="s">
        <v>1945</v>
      </c>
      <c r="AT1670" t="s">
        <v>88</v>
      </c>
      <c r="AU1670" t="s">
        <v>109</v>
      </c>
      <c r="AV1670" s="14">
        <v>28496.9067</v>
      </c>
    </row>
    <row r="1671" spans="26:48">
      <c r="Z1671" s="3"/>
      <c r="AC1671"/>
      <c r="AE1671" s="3"/>
      <c r="AH1671" t="s">
        <v>1860</v>
      </c>
      <c r="AI1671" t="s">
        <v>67</v>
      </c>
      <c r="AJ1671" t="s">
        <v>98</v>
      </c>
      <c r="AK1671" s="3" t="s">
        <v>114</v>
      </c>
      <c r="AL1671" s="3">
        <v>-15.590683561600001</v>
      </c>
      <c r="AS1671" t="s">
        <v>1945</v>
      </c>
      <c r="AT1671" t="s">
        <v>88</v>
      </c>
      <c r="AU1671" t="s">
        <v>110</v>
      </c>
      <c r="AV1671" s="14">
        <v>397.61059999999998</v>
      </c>
    </row>
    <row r="1672" spans="26:48">
      <c r="Z1672" s="3"/>
      <c r="AC1672"/>
      <c r="AE1672" s="3"/>
      <c r="AH1672" t="s">
        <v>1860</v>
      </c>
      <c r="AI1672" t="s">
        <v>67</v>
      </c>
      <c r="AJ1672" t="s">
        <v>66</v>
      </c>
      <c r="AK1672" s="3" t="s">
        <v>115</v>
      </c>
      <c r="AL1672" s="3">
        <v>18763.2</v>
      </c>
      <c r="AS1672" t="s">
        <v>1946</v>
      </c>
      <c r="AT1672" t="s">
        <v>88</v>
      </c>
      <c r="AU1672" t="s">
        <v>109</v>
      </c>
      <c r="AV1672" s="14">
        <v>26408.0481</v>
      </c>
    </row>
    <row r="1673" spans="26:48">
      <c r="Z1673" s="3"/>
      <c r="AC1673"/>
      <c r="AE1673" s="3"/>
      <c r="AH1673" t="s">
        <v>1860</v>
      </c>
      <c r="AI1673" t="s">
        <v>67</v>
      </c>
      <c r="AJ1673" t="s">
        <v>98</v>
      </c>
      <c r="AK1673" s="3" t="s">
        <v>115</v>
      </c>
      <c r="AL1673" s="3">
        <v>-193.59743320370001</v>
      </c>
      <c r="AS1673" t="s">
        <v>1946</v>
      </c>
      <c r="AT1673" t="s">
        <v>88</v>
      </c>
      <c r="AU1673" t="s">
        <v>110</v>
      </c>
      <c r="AV1673" s="14">
        <v>397.61059999999998</v>
      </c>
    </row>
    <row r="1674" spans="26:48">
      <c r="Z1674" s="3"/>
      <c r="AC1674"/>
      <c r="AE1674" s="3"/>
      <c r="AH1674" t="s">
        <v>1860</v>
      </c>
      <c r="AI1674" t="s">
        <v>68</v>
      </c>
      <c r="AJ1674" t="s">
        <v>66</v>
      </c>
      <c r="AK1674" s="3" t="s">
        <v>27</v>
      </c>
      <c r="AL1674" s="3">
        <v>-7129.5</v>
      </c>
      <c r="AS1674" t="s">
        <v>1946</v>
      </c>
      <c r="AT1674" t="s">
        <v>88</v>
      </c>
      <c r="AU1674" t="s">
        <v>111</v>
      </c>
      <c r="AV1674" s="14">
        <v>9500</v>
      </c>
    </row>
    <row r="1675" spans="26:48">
      <c r="Z1675" s="3"/>
      <c r="AC1675"/>
      <c r="AE1675" s="3"/>
      <c r="AH1675" t="s">
        <v>1860</v>
      </c>
      <c r="AI1675" t="s">
        <v>68</v>
      </c>
      <c r="AJ1675" t="s">
        <v>72</v>
      </c>
      <c r="AK1675" s="3" t="s">
        <v>27</v>
      </c>
      <c r="AL1675" s="3">
        <v>-7845.4494299999997</v>
      </c>
      <c r="AS1675" t="s">
        <v>1946</v>
      </c>
      <c r="AT1675" t="s">
        <v>88</v>
      </c>
      <c r="AU1675" t="s">
        <v>268</v>
      </c>
      <c r="AV1675" s="14">
        <v>0</v>
      </c>
    </row>
    <row r="1676" spans="26:48">
      <c r="Z1676" s="3"/>
      <c r="AC1676"/>
      <c r="AE1676" s="3"/>
      <c r="AH1676" t="s">
        <v>1860</v>
      </c>
      <c r="AI1676" t="s">
        <v>68</v>
      </c>
      <c r="AJ1676" t="s">
        <v>113</v>
      </c>
      <c r="AK1676" s="3" t="s">
        <v>27</v>
      </c>
      <c r="AL1676" s="3">
        <v>-1110.1913575154999</v>
      </c>
      <c r="AS1676" t="s">
        <v>1946</v>
      </c>
      <c r="AT1676" t="s">
        <v>88</v>
      </c>
      <c r="AU1676" t="s">
        <v>269</v>
      </c>
      <c r="AV1676" s="14">
        <v>0</v>
      </c>
    </row>
    <row r="1677" spans="26:48">
      <c r="Z1677" s="3"/>
      <c r="AC1677"/>
      <c r="AE1677" s="3"/>
      <c r="AH1677" t="s">
        <v>1860</v>
      </c>
      <c r="AI1677" t="s">
        <v>68</v>
      </c>
      <c r="AJ1677" t="s">
        <v>108</v>
      </c>
      <c r="AK1677" s="3" t="s">
        <v>27</v>
      </c>
      <c r="AL1677" s="3">
        <v>394.24192751549998</v>
      </c>
      <c r="AS1677" t="s">
        <v>1946</v>
      </c>
      <c r="AT1677" t="s">
        <v>88</v>
      </c>
      <c r="AU1677" t="s">
        <v>270</v>
      </c>
      <c r="AV1677" s="14">
        <v>0</v>
      </c>
    </row>
    <row r="1678" spans="26:48">
      <c r="Z1678" s="3"/>
      <c r="AC1678"/>
      <c r="AE1678" s="3"/>
      <c r="AH1678" t="s">
        <v>1860</v>
      </c>
      <c r="AI1678" t="s">
        <v>68</v>
      </c>
      <c r="AJ1678" t="s">
        <v>98</v>
      </c>
      <c r="AK1678" s="3" t="s">
        <v>27</v>
      </c>
      <c r="AL1678" s="3">
        <v>182.97154874829999</v>
      </c>
      <c r="AS1678" t="s">
        <v>1946</v>
      </c>
      <c r="AT1678" t="s">
        <v>88</v>
      </c>
      <c r="AU1678" t="s">
        <v>271</v>
      </c>
      <c r="AV1678" s="14">
        <v>-1300</v>
      </c>
    </row>
    <row r="1679" spans="26:48">
      <c r="Z1679" s="3"/>
      <c r="AC1679"/>
      <c r="AE1679" s="3"/>
      <c r="AH1679" t="s">
        <v>1860</v>
      </c>
      <c r="AI1679" t="s">
        <v>68</v>
      </c>
      <c r="AJ1679" t="s">
        <v>66</v>
      </c>
      <c r="AK1679" s="3" t="s">
        <v>114</v>
      </c>
      <c r="AL1679" s="3">
        <v>4824</v>
      </c>
      <c r="AS1679" t="s">
        <v>1946</v>
      </c>
      <c r="AT1679" t="s">
        <v>88</v>
      </c>
      <c r="AU1679" t="s">
        <v>272</v>
      </c>
      <c r="AV1679" s="14">
        <v>0</v>
      </c>
    </row>
    <row r="1680" spans="26:48">
      <c r="Z1680" s="3"/>
      <c r="AC1680"/>
      <c r="AE1680" s="3"/>
      <c r="AH1680" t="s">
        <v>1860</v>
      </c>
      <c r="AI1680" t="s">
        <v>68</v>
      </c>
      <c r="AJ1680" t="s">
        <v>98</v>
      </c>
      <c r="AK1680" s="3" t="s">
        <v>114</v>
      </c>
      <c r="AL1680" s="3">
        <v>-291.97745876710002</v>
      </c>
      <c r="AS1680" t="s">
        <v>1946</v>
      </c>
      <c r="AT1680" t="s">
        <v>88</v>
      </c>
      <c r="AU1680" t="s">
        <v>273</v>
      </c>
      <c r="AV1680" s="14">
        <v>0</v>
      </c>
    </row>
    <row r="1681" spans="26:48">
      <c r="Z1681" s="3"/>
      <c r="AC1681"/>
      <c r="AE1681" s="3"/>
      <c r="AH1681" t="s">
        <v>1860</v>
      </c>
      <c r="AI1681" t="s">
        <v>68</v>
      </c>
      <c r="AJ1681" t="s">
        <v>66</v>
      </c>
      <c r="AK1681" s="3" t="s">
        <v>115</v>
      </c>
      <c r="AL1681" s="3">
        <v>11953.5</v>
      </c>
      <c r="AS1681" t="s">
        <v>1947</v>
      </c>
      <c r="AT1681" t="s">
        <v>88</v>
      </c>
      <c r="AU1681" t="s">
        <v>109</v>
      </c>
      <c r="AV1681" s="14">
        <v>25546.071499999998</v>
      </c>
    </row>
    <row r="1682" spans="26:48">
      <c r="Z1682" s="3"/>
      <c r="AC1682"/>
      <c r="AE1682" s="3"/>
      <c r="AH1682" t="s">
        <v>1860</v>
      </c>
      <c r="AI1682" t="s">
        <v>68</v>
      </c>
      <c r="AJ1682" t="s">
        <v>98</v>
      </c>
      <c r="AK1682" s="3" t="s">
        <v>115</v>
      </c>
      <c r="AL1682" s="3">
        <v>-474.9490075155</v>
      </c>
      <c r="AS1682" t="s">
        <v>1947</v>
      </c>
      <c r="AT1682" t="s">
        <v>88</v>
      </c>
      <c r="AU1682" t="s">
        <v>110</v>
      </c>
      <c r="AV1682" s="14">
        <v>397.61059999999998</v>
      </c>
    </row>
    <row r="1683" spans="26:48">
      <c r="Z1683" s="3"/>
      <c r="AC1683"/>
      <c r="AE1683" s="3"/>
      <c r="AH1683" t="s">
        <v>1860</v>
      </c>
      <c r="AI1683" t="s">
        <v>800</v>
      </c>
      <c r="AJ1683" t="s">
        <v>31</v>
      </c>
      <c r="AK1683" s="3" t="s">
        <v>27</v>
      </c>
      <c r="AL1683" s="3">
        <v>4.0635293269000003</v>
      </c>
      <c r="AS1683" t="s">
        <v>1947</v>
      </c>
      <c r="AT1683" t="s">
        <v>88</v>
      </c>
      <c r="AU1683" t="s">
        <v>111</v>
      </c>
      <c r="AV1683" s="14">
        <v>9500</v>
      </c>
    </row>
    <row r="1684" spans="26:48">
      <c r="Z1684" s="3"/>
      <c r="AC1684"/>
      <c r="AE1684" s="3"/>
      <c r="AH1684" t="s">
        <v>1861</v>
      </c>
      <c r="AI1684" t="s">
        <v>65</v>
      </c>
      <c r="AJ1684" t="s">
        <v>66</v>
      </c>
      <c r="AK1684" s="3" t="s">
        <v>27</v>
      </c>
      <c r="AL1684" s="3">
        <v>37063.699999999997</v>
      </c>
      <c r="AS1684" t="s">
        <v>1947</v>
      </c>
      <c r="AT1684" t="s">
        <v>88</v>
      </c>
      <c r="AU1684" t="s">
        <v>268</v>
      </c>
      <c r="AV1684" s="14">
        <v>0</v>
      </c>
    </row>
    <row r="1685" spans="26:48">
      <c r="Z1685" s="3"/>
      <c r="AC1685"/>
      <c r="AE1685" s="3"/>
      <c r="AH1685" t="s">
        <v>1861</v>
      </c>
      <c r="AI1685" t="s">
        <v>65</v>
      </c>
      <c r="AJ1685" t="s">
        <v>72</v>
      </c>
      <c r="AK1685" s="3" t="s">
        <v>27</v>
      </c>
      <c r="AL1685" s="3">
        <v>37896.284062999999</v>
      </c>
      <c r="AS1685" t="s">
        <v>1947</v>
      </c>
      <c r="AT1685" t="s">
        <v>88</v>
      </c>
      <c r="AU1685" t="s">
        <v>269</v>
      </c>
      <c r="AV1685" s="14">
        <v>0</v>
      </c>
    </row>
    <row r="1686" spans="26:48">
      <c r="Z1686" s="3"/>
      <c r="AC1686"/>
      <c r="AE1686" s="3"/>
      <c r="AH1686" t="s">
        <v>1861</v>
      </c>
      <c r="AI1686" t="s">
        <v>65</v>
      </c>
      <c r="AJ1686" t="s">
        <v>113</v>
      </c>
      <c r="AK1686" s="3" t="s">
        <v>27</v>
      </c>
      <c r="AL1686" s="3">
        <v>2028.0078273811</v>
      </c>
      <c r="AS1686" t="s">
        <v>1947</v>
      </c>
      <c r="AT1686" t="s">
        <v>88</v>
      </c>
      <c r="AU1686" t="s">
        <v>270</v>
      </c>
      <c r="AV1686" s="14">
        <v>0</v>
      </c>
    </row>
    <row r="1687" spans="26:48">
      <c r="Z1687" s="3"/>
      <c r="AC1687"/>
      <c r="AE1687" s="3"/>
      <c r="AH1687" t="s">
        <v>1861</v>
      </c>
      <c r="AI1687" t="s">
        <v>65</v>
      </c>
      <c r="AJ1687" t="s">
        <v>108</v>
      </c>
      <c r="AK1687" s="3" t="s">
        <v>27</v>
      </c>
      <c r="AL1687" s="3">
        <v>-1195.4237643811</v>
      </c>
      <c r="AS1687" t="s">
        <v>1947</v>
      </c>
      <c r="AT1687" t="s">
        <v>88</v>
      </c>
      <c r="AU1687" t="s">
        <v>271</v>
      </c>
      <c r="AV1687" s="14">
        <v>-1537.5</v>
      </c>
    </row>
    <row r="1688" spans="26:48">
      <c r="Z1688" s="3"/>
      <c r="AC1688"/>
      <c r="AE1688" s="3"/>
      <c r="AH1688" t="s">
        <v>1861</v>
      </c>
      <c r="AI1688" t="s">
        <v>65</v>
      </c>
      <c r="AJ1688" t="s">
        <v>98</v>
      </c>
      <c r="AK1688" s="3" t="s">
        <v>27</v>
      </c>
      <c r="AL1688" s="3">
        <v>-1195.4237643811</v>
      </c>
      <c r="AS1688" t="s">
        <v>1947</v>
      </c>
      <c r="AT1688" t="s">
        <v>88</v>
      </c>
      <c r="AU1688" t="s">
        <v>272</v>
      </c>
      <c r="AV1688" s="14">
        <v>0</v>
      </c>
    </row>
    <row r="1689" spans="26:48">
      <c r="Z1689" s="3"/>
      <c r="AC1689"/>
      <c r="AE1689" s="3"/>
      <c r="AH1689" t="s">
        <v>1861</v>
      </c>
      <c r="AI1689" t="s">
        <v>67</v>
      </c>
      <c r="AJ1689" t="s">
        <v>66</v>
      </c>
      <c r="AK1689" s="3" t="s">
        <v>27</v>
      </c>
      <c r="AL1689" s="3">
        <v>-18542.2</v>
      </c>
      <c r="AS1689" t="s">
        <v>1947</v>
      </c>
      <c r="AT1689" t="s">
        <v>88</v>
      </c>
      <c r="AU1689" t="s">
        <v>273</v>
      </c>
      <c r="AV1689" s="14">
        <v>0</v>
      </c>
    </row>
    <row r="1690" spans="26:48">
      <c r="Z1690" s="3"/>
      <c r="AC1690"/>
      <c r="AE1690" s="3"/>
      <c r="AH1690" t="s">
        <v>1861</v>
      </c>
      <c r="AI1690" t="s">
        <v>67</v>
      </c>
      <c r="AJ1690" t="s">
        <v>72</v>
      </c>
      <c r="AK1690" s="3" t="s">
        <v>27</v>
      </c>
      <c r="AL1690" s="3">
        <v>-19516.791428</v>
      </c>
      <c r="AS1690" t="s">
        <v>1948</v>
      </c>
      <c r="AT1690" t="s">
        <v>88</v>
      </c>
      <c r="AU1690" t="s">
        <v>109</v>
      </c>
      <c r="AV1690" s="14">
        <v>25296.071499999998</v>
      </c>
    </row>
    <row r="1691" spans="26:48">
      <c r="Z1691" s="3"/>
      <c r="AC1691"/>
      <c r="AE1691" s="3"/>
      <c r="AH1691" t="s">
        <v>1861</v>
      </c>
      <c r="AI1691" t="s">
        <v>67</v>
      </c>
      <c r="AJ1691" t="s">
        <v>113</v>
      </c>
      <c r="AK1691" s="3" t="s">
        <v>27</v>
      </c>
      <c r="AL1691" s="3">
        <v>-1154.7945627504</v>
      </c>
      <c r="AS1691" t="s">
        <v>1948</v>
      </c>
      <c r="AT1691" t="s">
        <v>88</v>
      </c>
      <c r="AU1691" t="s">
        <v>110</v>
      </c>
      <c r="AV1691" s="14">
        <v>397.61059999999998</v>
      </c>
    </row>
    <row r="1692" spans="26:48">
      <c r="Z1692" s="3"/>
      <c r="AC1692"/>
      <c r="AE1692" s="3"/>
      <c r="AH1692" t="s">
        <v>1861</v>
      </c>
      <c r="AI1692" t="s">
        <v>67</v>
      </c>
      <c r="AJ1692" t="s">
        <v>108</v>
      </c>
      <c r="AK1692" s="3" t="s">
        <v>27</v>
      </c>
      <c r="AL1692" s="3">
        <v>180.20313475040001</v>
      </c>
      <c r="AS1692" t="s">
        <v>1948</v>
      </c>
      <c r="AT1692" t="s">
        <v>88</v>
      </c>
      <c r="AU1692" t="s">
        <v>111</v>
      </c>
      <c r="AV1692" s="14">
        <v>9500</v>
      </c>
    </row>
    <row r="1693" spans="26:48">
      <c r="Z1693" s="3"/>
      <c r="AC1693"/>
      <c r="AE1693" s="3"/>
      <c r="AH1693" t="s">
        <v>1861</v>
      </c>
      <c r="AI1693" t="s">
        <v>67</v>
      </c>
      <c r="AJ1693" t="s">
        <v>98</v>
      </c>
      <c r="AK1693" s="3" t="s">
        <v>27</v>
      </c>
      <c r="AL1693" s="3">
        <v>145.8758250244</v>
      </c>
      <c r="AS1693" t="s">
        <v>1948</v>
      </c>
      <c r="AT1693" t="s">
        <v>88</v>
      </c>
      <c r="AU1693" t="s">
        <v>268</v>
      </c>
      <c r="AV1693" s="14">
        <v>0</v>
      </c>
    </row>
    <row r="1694" spans="26:48">
      <c r="Z1694" s="3"/>
      <c r="AC1694"/>
      <c r="AE1694" s="3"/>
      <c r="AH1694" t="s">
        <v>1861</v>
      </c>
      <c r="AI1694" t="s">
        <v>67</v>
      </c>
      <c r="AJ1694" t="s">
        <v>66</v>
      </c>
      <c r="AK1694" s="3" t="s">
        <v>114</v>
      </c>
      <c r="AL1694" s="3">
        <v>291</v>
      </c>
      <c r="AS1694" t="s">
        <v>1948</v>
      </c>
      <c r="AT1694" t="s">
        <v>88</v>
      </c>
      <c r="AU1694" t="s">
        <v>269</v>
      </c>
      <c r="AV1694" s="14">
        <v>0</v>
      </c>
    </row>
    <row r="1695" spans="26:48">
      <c r="Z1695" s="3"/>
      <c r="AC1695"/>
      <c r="AE1695" s="3"/>
      <c r="AH1695" t="s">
        <v>1861</v>
      </c>
      <c r="AI1695" t="s">
        <v>67</v>
      </c>
      <c r="AJ1695" t="s">
        <v>98</v>
      </c>
      <c r="AK1695" s="3" t="s">
        <v>114</v>
      </c>
      <c r="AL1695" s="3">
        <v>-22.956839725999998</v>
      </c>
      <c r="AS1695" t="s">
        <v>1948</v>
      </c>
      <c r="AT1695" t="s">
        <v>88</v>
      </c>
      <c r="AU1695" t="s">
        <v>270</v>
      </c>
      <c r="AV1695" s="14">
        <v>0</v>
      </c>
    </row>
    <row r="1696" spans="26:48">
      <c r="Z1696" s="3"/>
      <c r="AC1696"/>
      <c r="AE1696" s="3"/>
      <c r="AH1696" t="s">
        <v>1861</v>
      </c>
      <c r="AI1696" t="s">
        <v>67</v>
      </c>
      <c r="AJ1696" t="s">
        <v>66</v>
      </c>
      <c r="AK1696" s="3" t="s">
        <v>115</v>
      </c>
      <c r="AL1696" s="3">
        <v>18833.2</v>
      </c>
      <c r="AS1696" t="s">
        <v>1948</v>
      </c>
      <c r="AT1696" t="s">
        <v>88</v>
      </c>
      <c r="AU1696" t="s">
        <v>271</v>
      </c>
      <c r="AV1696" s="14">
        <v>-800</v>
      </c>
    </row>
    <row r="1697" spans="26:48">
      <c r="Z1697" s="3"/>
      <c r="AC1697"/>
      <c r="AE1697" s="3"/>
      <c r="AH1697" t="s">
        <v>1861</v>
      </c>
      <c r="AI1697" t="s">
        <v>67</v>
      </c>
      <c r="AJ1697" t="s">
        <v>98</v>
      </c>
      <c r="AK1697" s="3" t="s">
        <v>115</v>
      </c>
      <c r="AL1697" s="3">
        <v>-168.8326647504</v>
      </c>
      <c r="AS1697" t="s">
        <v>1948</v>
      </c>
      <c r="AT1697" t="s">
        <v>88</v>
      </c>
      <c r="AU1697" t="s">
        <v>272</v>
      </c>
      <c r="AV1697" s="14">
        <v>0</v>
      </c>
    </row>
    <row r="1698" spans="26:48">
      <c r="Z1698" s="3"/>
      <c r="AC1698"/>
      <c r="AE1698" s="3"/>
      <c r="AH1698" t="s">
        <v>1861</v>
      </c>
      <c r="AI1698" t="s">
        <v>68</v>
      </c>
      <c r="AJ1698" t="s">
        <v>66</v>
      </c>
      <c r="AK1698" s="3" t="s">
        <v>27</v>
      </c>
      <c r="AL1698" s="3">
        <v>-7109.5</v>
      </c>
      <c r="AS1698" t="s">
        <v>1948</v>
      </c>
      <c r="AT1698" t="s">
        <v>88</v>
      </c>
      <c r="AU1698" t="s">
        <v>273</v>
      </c>
      <c r="AV1698" s="14">
        <v>0</v>
      </c>
    </row>
    <row r="1699" spans="26:48">
      <c r="Z1699" s="3"/>
      <c r="AC1699"/>
      <c r="AE1699" s="3"/>
      <c r="AH1699" t="s">
        <v>1861</v>
      </c>
      <c r="AI1699" t="s">
        <v>68</v>
      </c>
      <c r="AJ1699" t="s">
        <v>72</v>
      </c>
      <c r="AK1699" s="3" t="s">
        <v>27</v>
      </c>
      <c r="AL1699" s="3">
        <v>-7829.6664149999997</v>
      </c>
      <c r="AS1699" t="s">
        <v>1949</v>
      </c>
      <c r="AT1699" t="s">
        <v>88</v>
      </c>
      <c r="AU1699" t="s">
        <v>109</v>
      </c>
      <c r="AV1699" s="14">
        <v>24261.071499999998</v>
      </c>
    </row>
    <row r="1700" spans="26:48">
      <c r="Z1700" s="3"/>
      <c r="AC1700"/>
      <c r="AE1700" s="3"/>
      <c r="AH1700" t="s">
        <v>1861</v>
      </c>
      <c r="AI1700" t="s">
        <v>68</v>
      </c>
      <c r="AJ1700" t="s">
        <v>113</v>
      </c>
      <c r="AK1700" s="3" t="s">
        <v>27</v>
      </c>
      <c r="AL1700" s="3">
        <v>-1103.7486888056001</v>
      </c>
      <c r="AS1700" t="s">
        <v>1949</v>
      </c>
      <c r="AT1700" t="s">
        <v>88</v>
      </c>
      <c r="AU1700" t="s">
        <v>110</v>
      </c>
      <c r="AV1700" s="14">
        <v>397.61059999999998</v>
      </c>
    </row>
    <row r="1701" spans="26:48">
      <c r="Z1701" s="3"/>
      <c r="AC1701"/>
      <c r="AE1701" s="3"/>
      <c r="AH1701" t="s">
        <v>1861</v>
      </c>
      <c r="AI1701" t="s">
        <v>68</v>
      </c>
      <c r="AJ1701" t="s">
        <v>108</v>
      </c>
      <c r="AK1701" s="3" t="s">
        <v>27</v>
      </c>
      <c r="AL1701" s="3">
        <v>383.58227380559998</v>
      </c>
      <c r="AS1701" t="s">
        <v>1949</v>
      </c>
      <c r="AT1701" t="s">
        <v>88</v>
      </c>
      <c r="AU1701" t="s">
        <v>111</v>
      </c>
      <c r="AV1701" s="14">
        <v>9500</v>
      </c>
    </row>
    <row r="1702" spans="26:48">
      <c r="Z1702" s="3"/>
      <c r="AC1702"/>
      <c r="AE1702" s="3"/>
      <c r="AH1702" t="s">
        <v>1861</v>
      </c>
      <c r="AI1702" t="s">
        <v>68</v>
      </c>
      <c r="AJ1702" t="s">
        <v>98</v>
      </c>
      <c r="AK1702" s="3" t="s">
        <v>27</v>
      </c>
      <c r="AL1702" s="3">
        <v>176.77511147690001</v>
      </c>
      <c r="AS1702" t="s">
        <v>1949</v>
      </c>
      <c r="AT1702" t="s">
        <v>88</v>
      </c>
      <c r="AU1702" t="s">
        <v>268</v>
      </c>
      <c r="AV1702" s="14">
        <v>0</v>
      </c>
    </row>
    <row r="1703" spans="26:48">
      <c r="Z1703" s="3"/>
      <c r="AC1703"/>
      <c r="AE1703" s="3"/>
      <c r="AH1703" t="s">
        <v>1861</v>
      </c>
      <c r="AI1703" t="s">
        <v>68</v>
      </c>
      <c r="AJ1703" t="s">
        <v>66</v>
      </c>
      <c r="AK1703" s="3" t="s">
        <v>114</v>
      </c>
      <c r="AL1703" s="3">
        <v>5044</v>
      </c>
      <c r="AS1703" t="s">
        <v>1949</v>
      </c>
      <c r="AT1703" t="s">
        <v>88</v>
      </c>
      <c r="AU1703" t="s">
        <v>269</v>
      </c>
      <c r="AV1703" s="14">
        <v>0</v>
      </c>
    </row>
    <row r="1704" spans="26:48">
      <c r="Z1704" s="3"/>
      <c r="AC1704"/>
      <c r="AE1704" s="3"/>
      <c r="AH1704" t="s">
        <v>1861</v>
      </c>
      <c r="AI1704" t="s">
        <v>68</v>
      </c>
      <c r="AJ1704" t="s">
        <v>98</v>
      </c>
      <c r="AK1704" s="3" t="s">
        <v>114</v>
      </c>
      <c r="AL1704" s="3">
        <v>-299.76546232880003</v>
      </c>
      <c r="AS1704" t="s">
        <v>1949</v>
      </c>
      <c r="AT1704" t="s">
        <v>88</v>
      </c>
      <c r="AU1704" t="s">
        <v>270</v>
      </c>
      <c r="AV1704" s="14">
        <v>0</v>
      </c>
    </row>
    <row r="1705" spans="26:48">
      <c r="Z1705" s="3"/>
      <c r="AC1705"/>
      <c r="AE1705" s="3"/>
      <c r="AH1705" t="s">
        <v>1861</v>
      </c>
      <c r="AI1705" t="s">
        <v>68</v>
      </c>
      <c r="AJ1705" t="s">
        <v>66</v>
      </c>
      <c r="AK1705" s="3" t="s">
        <v>115</v>
      </c>
      <c r="AL1705" s="3">
        <v>12153.5</v>
      </c>
      <c r="AS1705" t="s">
        <v>1949</v>
      </c>
      <c r="AT1705" t="s">
        <v>88</v>
      </c>
      <c r="AU1705" t="s">
        <v>271</v>
      </c>
      <c r="AV1705" s="14">
        <v>800</v>
      </c>
    </row>
    <row r="1706" spans="26:48">
      <c r="Z1706" s="3"/>
      <c r="AC1706"/>
      <c r="AE1706" s="3"/>
      <c r="AH1706" t="s">
        <v>1861</v>
      </c>
      <c r="AI1706" t="s">
        <v>68</v>
      </c>
      <c r="AJ1706" t="s">
        <v>98</v>
      </c>
      <c r="AK1706" s="3" t="s">
        <v>115</v>
      </c>
      <c r="AL1706" s="3">
        <v>-476.54057380559999</v>
      </c>
      <c r="AS1706" t="s">
        <v>1949</v>
      </c>
      <c r="AT1706" t="s">
        <v>88</v>
      </c>
      <c r="AU1706" t="s">
        <v>272</v>
      </c>
      <c r="AV1706" s="14">
        <v>0</v>
      </c>
    </row>
    <row r="1707" spans="26:48">
      <c r="Z1707" s="3"/>
      <c r="AC1707"/>
      <c r="AE1707" s="3"/>
      <c r="AH1707" t="s">
        <v>1861</v>
      </c>
      <c r="AI1707" t="s">
        <v>800</v>
      </c>
      <c r="AJ1707" t="s">
        <v>31</v>
      </c>
      <c r="AK1707" s="3" t="s">
        <v>27</v>
      </c>
      <c r="AL1707" s="3">
        <v>4.0661252986000003</v>
      </c>
      <c r="AS1707" t="s">
        <v>1949</v>
      </c>
      <c r="AT1707" t="s">
        <v>88</v>
      </c>
      <c r="AU1707" t="s">
        <v>273</v>
      </c>
      <c r="AV1707" s="14">
        <v>0</v>
      </c>
    </row>
    <row r="1708" spans="26:48">
      <c r="Z1708" s="3"/>
      <c r="AC1708"/>
      <c r="AE1708" s="3"/>
      <c r="AH1708" t="s">
        <v>1862</v>
      </c>
      <c r="AI1708" t="s">
        <v>65</v>
      </c>
      <c r="AJ1708" t="s">
        <v>66</v>
      </c>
      <c r="AK1708" s="3" t="s">
        <v>27</v>
      </c>
      <c r="AL1708" s="3">
        <v>34006.699999999997</v>
      </c>
      <c r="AS1708" t="s">
        <v>1950</v>
      </c>
      <c r="AT1708" t="s">
        <v>88</v>
      </c>
      <c r="AU1708" t="s">
        <v>109</v>
      </c>
      <c r="AV1708" s="14">
        <v>24261.071499999998</v>
      </c>
    </row>
    <row r="1709" spans="26:48">
      <c r="Z1709" s="3"/>
      <c r="AC1709"/>
      <c r="AE1709" s="3"/>
      <c r="AH1709" t="s">
        <v>1862</v>
      </c>
      <c r="AI1709" t="s">
        <v>65</v>
      </c>
      <c r="AJ1709" t="s">
        <v>72</v>
      </c>
      <c r="AK1709" s="3" t="s">
        <v>27</v>
      </c>
      <c r="AL1709" s="3">
        <v>34884.522444000002</v>
      </c>
      <c r="AS1709" t="s">
        <v>1950</v>
      </c>
      <c r="AT1709" t="s">
        <v>88</v>
      </c>
      <c r="AU1709" t="s">
        <v>110</v>
      </c>
      <c r="AV1709" s="14">
        <v>397.61059999999998</v>
      </c>
    </row>
    <row r="1710" spans="26:48">
      <c r="Z1710" s="3"/>
      <c r="AC1710"/>
      <c r="AE1710" s="3"/>
      <c r="AH1710" t="s">
        <v>1862</v>
      </c>
      <c r="AI1710" t="s">
        <v>65</v>
      </c>
      <c r="AJ1710" t="s">
        <v>113</v>
      </c>
      <c r="AK1710" s="3" t="s">
        <v>27</v>
      </c>
      <c r="AL1710" s="3">
        <v>2067.9417785228002</v>
      </c>
      <c r="AS1710" t="s">
        <v>1950</v>
      </c>
      <c r="AT1710" t="s">
        <v>88</v>
      </c>
      <c r="AU1710" t="s">
        <v>111</v>
      </c>
      <c r="AV1710" s="14">
        <v>9500</v>
      </c>
    </row>
    <row r="1711" spans="26:48">
      <c r="Z1711" s="3"/>
      <c r="AC1711"/>
      <c r="AE1711" s="3"/>
      <c r="AH1711" t="s">
        <v>1862</v>
      </c>
      <c r="AI1711" t="s">
        <v>65</v>
      </c>
      <c r="AJ1711" t="s">
        <v>108</v>
      </c>
      <c r="AK1711" s="3" t="s">
        <v>27</v>
      </c>
      <c r="AL1711" s="3">
        <v>-1190.1193345228</v>
      </c>
      <c r="AS1711" t="s">
        <v>1950</v>
      </c>
      <c r="AT1711" t="s">
        <v>88</v>
      </c>
      <c r="AU1711" t="s">
        <v>268</v>
      </c>
      <c r="AV1711" s="14">
        <v>0</v>
      </c>
    </row>
    <row r="1712" spans="26:48">
      <c r="Z1712" s="3"/>
      <c r="AC1712"/>
      <c r="AE1712" s="3"/>
      <c r="AH1712" t="s">
        <v>1862</v>
      </c>
      <c r="AI1712" t="s">
        <v>65</v>
      </c>
      <c r="AJ1712" t="s">
        <v>98</v>
      </c>
      <c r="AK1712" s="3" t="s">
        <v>27</v>
      </c>
      <c r="AL1712" s="3">
        <v>-1190.1193345228</v>
      </c>
      <c r="AS1712" t="s">
        <v>1950</v>
      </c>
      <c r="AT1712" t="s">
        <v>88</v>
      </c>
      <c r="AU1712" t="s">
        <v>269</v>
      </c>
      <c r="AV1712" s="14">
        <v>0</v>
      </c>
    </row>
    <row r="1713" spans="26:48">
      <c r="Z1713" s="3"/>
      <c r="AC1713"/>
      <c r="AE1713" s="3"/>
      <c r="AH1713" t="s">
        <v>1862</v>
      </c>
      <c r="AI1713" t="s">
        <v>67</v>
      </c>
      <c r="AJ1713" t="s">
        <v>66</v>
      </c>
      <c r="AK1713" s="3" t="s">
        <v>27</v>
      </c>
      <c r="AL1713" s="3">
        <v>-15506.2</v>
      </c>
      <c r="AS1713" t="s">
        <v>1950</v>
      </c>
      <c r="AT1713" t="s">
        <v>88</v>
      </c>
      <c r="AU1713" t="s">
        <v>270</v>
      </c>
      <c r="AV1713" s="14">
        <v>0</v>
      </c>
    </row>
    <row r="1714" spans="26:48">
      <c r="Z1714" s="3"/>
      <c r="AC1714"/>
      <c r="AE1714" s="3"/>
      <c r="AH1714" t="s">
        <v>1862</v>
      </c>
      <c r="AI1714" t="s">
        <v>67</v>
      </c>
      <c r="AJ1714" t="s">
        <v>72</v>
      </c>
      <c r="AK1714" s="3" t="s">
        <v>27</v>
      </c>
      <c r="AL1714" s="3">
        <v>-16537.818824000002</v>
      </c>
      <c r="AS1714" t="s">
        <v>1950</v>
      </c>
      <c r="AT1714" t="s">
        <v>88</v>
      </c>
      <c r="AU1714" t="s">
        <v>271</v>
      </c>
      <c r="AV1714" s="14">
        <v>1800</v>
      </c>
    </row>
    <row r="1715" spans="26:48">
      <c r="Z1715" s="3"/>
      <c r="AC1715"/>
      <c r="AE1715" s="3"/>
      <c r="AH1715" t="s">
        <v>1862</v>
      </c>
      <c r="AI1715" t="s">
        <v>67</v>
      </c>
      <c r="AJ1715" t="s">
        <v>113</v>
      </c>
      <c r="AK1715" s="3" t="s">
        <v>27</v>
      </c>
      <c r="AL1715" s="3">
        <v>-1141.3424507848999</v>
      </c>
      <c r="AS1715" t="s">
        <v>1950</v>
      </c>
      <c r="AT1715" t="s">
        <v>88</v>
      </c>
      <c r="AU1715" t="s">
        <v>272</v>
      </c>
      <c r="AV1715" s="14">
        <v>0</v>
      </c>
    </row>
    <row r="1716" spans="26:48">
      <c r="Z1716" s="3"/>
      <c r="AC1716"/>
      <c r="AE1716" s="3"/>
      <c r="AH1716" t="s">
        <v>1862</v>
      </c>
      <c r="AI1716" t="s">
        <v>67</v>
      </c>
      <c r="AJ1716" t="s">
        <v>108</v>
      </c>
      <c r="AK1716" s="3" t="s">
        <v>27</v>
      </c>
      <c r="AL1716" s="3">
        <v>109.72362678490001</v>
      </c>
      <c r="AS1716" t="s">
        <v>1950</v>
      </c>
      <c r="AT1716" t="s">
        <v>88</v>
      </c>
      <c r="AU1716" t="s">
        <v>273</v>
      </c>
      <c r="AV1716" s="14">
        <v>0</v>
      </c>
    </row>
    <row r="1717" spans="26:48">
      <c r="Z1717" s="3"/>
      <c r="AC1717"/>
      <c r="AE1717" s="3"/>
      <c r="AH1717" t="s">
        <v>1862</v>
      </c>
      <c r="AI1717" t="s">
        <v>67</v>
      </c>
      <c r="AJ1717" t="s">
        <v>98</v>
      </c>
      <c r="AK1717" s="3" t="s">
        <v>27</v>
      </c>
      <c r="AL1717" s="3">
        <v>167.3555067849</v>
      </c>
      <c r="AS1717" t="s">
        <v>1951</v>
      </c>
      <c r="AT1717" t="s">
        <v>88</v>
      </c>
      <c r="AU1717" t="s">
        <v>109</v>
      </c>
      <c r="AV1717" s="14">
        <v>24149.930100000001</v>
      </c>
    </row>
    <row r="1718" spans="26:48">
      <c r="Z1718" s="3"/>
      <c r="AC1718"/>
      <c r="AE1718" s="3"/>
      <c r="AH1718" t="s">
        <v>1862</v>
      </c>
      <c r="AI1718" t="s">
        <v>67</v>
      </c>
      <c r="AJ1718" t="s">
        <v>66</v>
      </c>
      <c r="AK1718" s="3" t="s">
        <v>114</v>
      </c>
      <c r="AL1718" s="3">
        <v>3768</v>
      </c>
      <c r="AS1718" t="s">
        <v>1951</v>
      </c>
      <c r="AT1718" t="s">
        <v>88</v>
      </c>
      <c r="AU1718" t="s">
        <v>110</v>
      </c>
      <c r="AV1718" s="14">
        <v>397.61059999999998</v>
      </c>
    </row>
    <row r="1719" spans="26:48">
      <c r="Z1719" s="3"/>
      <c r="AC1719"/>
      <c r="AE1719" s="3"/>
      <c r="AH1719" t="s">
        <v>1862</v>
      </c>
      <c r="AI1719" t="s">
        <v>67</v>
      </c>
      <c r="AJ1719" t="s">
        <v>98</v>
      </c>
      <c r="AK1719" s="3" t="s">
        <v>114</v>
      </c>
      <c r="AL1719" s="3">
        <v>1.7700400000000001</v>
      </c>
      <c r="AS1719" t="s">
        <v>1951</v>
      </c>
      <c r="AT1719" t="s">
        <v>88</v>
      </c>
      <c r="AU1719" t="s">
        <v>111</v>
      </c>
      <c r="AV1719" s="14">
        <v>9500</v>
      </c>
    </row>
    <row r="1720" spans="26:48">
      <c r="Z1720" s="3"/>
      <c r="AC1720"/>
      <c r="AE1720" s="3"/>
      <c r="AH1720" t="s">
        <v>1862</v>
      </c>
      <c r="AI1720" t="s">
        <v>67</v>
      </c>
      <c r="AJ1720" t="s">
        <v>66</v>
      </c>
      <c r="AK1720" s="3" t="s">
        <v>115</v>
      </c>
      <c r="AL1720" s="3">
        <v>19274.2</v>
      </c>
      <c r="AS1720" t="s">
        <v>1951</v>
      </c>
      <c r="AT1720" t="s">
        <v>88</v>
      </c>
      <c r="AU1720" t="s">
        <v>268</v>
      </c>
      <c r="AV1720" s="14">
        <v>0</v>
      </c>
    </row>
    <row r="1721" spans="26:48">
      <c r="Z1721" s="3"/>
      <c r="AC1721"/>
      <c r="AE1721" s="3"/>
      <c r="AH1721" t="s">
        <v>1862</v>
      </c>
      <c r="AI1721" t="s">
        <v>67</v>
      </c>
      <c r="AJ1721" t="s">
        <v>98</v>
      </c>
      <c r="AK1721" s="3" t="s">
        <v>115</v>
      </c>
      <c r="AL1721" s="3">
        <v>-165.58546678490001</v>
      </c>
      <c r="AS1721" t="s">
        <v>1951</v>
      </c>
      <c r="AT1721" t="s">
        <v>88</v>
      </c>
      <c r="AU1721" t="s">
        <v>269</v>
      </c>
      <c r="AV1721" s="14">
        <v>0</v>
      </c>
    </row>
    <row r="1722" spans="26:48">
      <c r="Z1722" s="3"/>
      <c r="AC1722"/>
      <c r="AE1722" s="3"/>
      <c r="AH1722" t="s">
        <v>1862</v>
      </c>
      <c r="AI1722" t="s">
        <v>68</v>
      </c>
      <c r="AJ1722" t="s">
        <v>66</v>
      </c>
      <c r="AK1722" s="3" t="s">
        <v>27</v>
      </c>
      <c r="AL1722" s="3">
        <v>-7088.5</v>
      </c>
      <c r="AS1722" t="s">
        <v>1951</v>
      </c>
      <c r="AT1722" t="s">
        <v>88</v>
      </c>
      <c r="AU1722" t="s">
        <v>270</v>
      </c>
      <c r="AV1722" s="14">
        <v>0</v>
      </c>
    </row>
    <row r="1723" spans="26:48">
      <c r="Z1723" s="3"/>
      <c r="AC1723"/>
      <c r="AE1723" s="3"/>
      <c r="AH1723" t="s">
        <v>1862</v>
      </c>
      <c r="AI1723" t="s">
        <v>68</v>
      </c>
      <c r="AJ1723" t="s">
        <v>72</v>
      </c>
      <c r="AK1723" s="3" t="s">
        <v>27</v>
      </c>
      <c r="AL1723" s="3">
        <v>-7796.6922999999997</v>
      </c>
      <c r="AS1723" t="s">
        <v>1951</v>
      </c>
      <c r="AT1723" t="s">
        <v>88</v>
      </c>
      <c r="AU1723" t="s">
        <v>271</v>
      </c>
      <c r="AV1723" s="14">
        <v>411.14139999999998</v>
      </c>
    </row>
    <row r="1724" spans="26:48">
      <c r="Z1724" s="3"/>
      <c r="AC1724"/>
      <c r="AE1724" s="3"/>
      <c r="AH1724" t="s">
        <v>1862</v>
      </c>
      <c r="AI1724" t="s">
        <v>68</v>
      </c>
      <c r="AJ1724" t="s">
        <v>113</v>
      </c>
      <c r="AK1724" s="3" t="s">
        <v>27</v>
      </c>
      <c r="AL1724" s="3">
        <v>-1062.035451386</v>
      </c>
      <c r="AS1724" t="s">
        <v>1951</v>
      </c>
      <c r="AT1724" t="s">
        <v>88</v>
      </c>
      <c r="AU1724" t="s">
        <v>272</v>
      </c>
      <c r="AV1724" s="14">
        <v>0</v>
      </c>
    </row>
    <row r="1725" spans="26:48">
      <c r="Z1725" s="3"/>
      <c r="AC1725"/>
      <c r="AE1725" s="3"/>
      <c r="AH1725" t="s">
        <v>1862</v>
      </c>
      <c r="AI1725" t="s">
        <v>68</v>
      </c>
      <c r="AJ1725" t="s">
        <v>108</v>
      </c>
      <c r="AK1725" s="3" t="s">
        <v>27</v>
      </c>
      <c r="AL1725" s="3">
        <v>353.84315138599999</v>
      </c>
      <c r="AS1725" t="s">
        <v>1951</v>
      </c>
      <c r="AT1725" t="s">
        <v>88</v>
      </c>
      <c r="AU1725" t="s">
        <v>273</v>
      </c>
      <c r="AV1725" s="14">
        <v>0</v>
      </c>
    </row>
    <row r="1726" spans="26:48">
      <c r="Z1726" s="3"/>
      <c r="AC1726"/>
      <c r="AE1726" s="3"/>
      <c r="AH1726" t="s">
        <v>1862</v>
      </c>
      <c r="AI1726" t="s">
        <v>68</v>
      </c>
      <c r="AJ1726" t="s">
        <v>98</v>
      </c>
      <c r="AK1726" s="3" t="s">
        <v>27</v>
      </c>
      <c r="AL1726" s="3">
        <v>150.14709741339999</v>
      </c>
      <c r="AS1726" t="s">
        <v>1952</v>
      </c>
      <c r="AT1726" t="s">
        <v>88</v>
      </c>
      <c r="AU1726" t="s">
        <v>109</v>
      </c>
      <c r="AV1726" s="14">
        <v>22949.930100000001</v>
      </c>
    </row>
    <row r="1727" spans="26:48">
      <c r="Z1727" s="3"/>
      <c r="AC1727"/>
      <c r="AE1727" s="3"/>
      <c r="AH1727" t="s">
        <v>1862</v>
      </c>
      <c r="AI1727" t="s">
        <v>68</v>
      </c>
      <c r="AJ1727" t="s">
        <v>66</v>
      </c>
      <c r="AK1727" s="3" t="s">
        <v>114</v>
      </c>
      <c r="AL1727" s="3">
        <v>4977</v>
      </c>
      <c r="AS1727" t="s">
        <v>1952</v>
      </c>
      <c r="AT1727" t="s">
        <v>88</v>
      </c>
      <c r="AU1727" t="s">
        <v>110</v>
      </c>
      <c r="AV1727" s="14">
        <v>397.61059999999998</v>
      </c>
    </row>
    <row r="1728" spans="26:48">
      <c r="Z1728" s="3"/>
      <c r="AC1728"/>
      <c r="AE1728" s="3"/>
      <c r="AH1728" t="s">
        <v>1862</v>
      </c>
      <c r="AI1728" t="s">
        <v>68</v>
      </c>
      <c r="AJ1728" t="s">
        <v>98</v>
      </c>
      <c r="AK1728" s="3" t="s">
        <v>114</v>
      </c>
      <c r="AL1728" s="3">
        <v>-304.32217397260001</v>
      </c>
      <c r="AS1728" t="s">
        <v>1952</v>
      </c>
      <c r="AT1728" t="s">
        <v>88</v>
      </c>
      <c r="AU1728" t="s">
        <v>111</v>
      </c>
      <c r="AV1728" s="14">
        <v>9500</v>
      </c>
    </row>
    <row r="1729" spans="26:48">
      <c r="Z1729" s="3"/>
      <c r="AC1729"/>
      <c r="AE1729" s="3"/>
      <c r="AH1729" t="s">
        <v>1862</v>
      </c>
      <c r="AI1729" t="s">
        <v>68</v>
      </c>
      <c r="AJ1729" t="s">
        <v>66</v>
      </c>
      <c r="AK1729" s="3" t="s">
        <v>115</v>
      </c>
      <c r="AL1729" s="3">
        <v>12065.5</v>
      </c>
      <c r="AS1729" t="s">
        <v>1952</v>
      </c>
      <c r="AT1729" t="s">
        <v>88</v>
      </c>
      <c r="AU1729" t="s">
        <v>268</v>
      </c>
      <c r="AV1729" s="14">
        <v>0</v>
      </c>
    </row>
    <row r="1730" spans="26:48">
      <c r="Z1730" s="3"/>
      <c r="AC1730"/>
      <c r="AE1730" s="3"/>
      <c r="AH1730" t="s">
        <v>1862</v>
      </c>
      <c r="AI1730" t="s">
        <v>68</v>
      </c>
      <c r="AJ1730" t="s">
        <v>98</v>
      </c>
      <c r="AK1730" s="3" t="s">
        <v>115</v>
      </c>
      <c r="AL1730" s="3">
        <v>-454.469271386</v>
      </c>
      <c r="AS1730" t="s">
        <v>1952</v>
      </c>
      <c r="AT1730" t="s">
        <v>88</v>
      </c>
      <c r="AU1730" t="s">
        <v>269</v>
      </c>
      <c r="AV1730" s="14">
        <v>0</v>
      </c>
    </row>
    <row r="1731" spans="26:48">
      <c r="Z1731" s="3"/>
      <c r="AC1731"/>
      <c r="AE1731" s="3"/>
      <c r="AH1731" t="s">
        <v>1862</v>
      </c>
      <c r="AI1731" t="s">
        <v>800</v>
      </c>
      <c r="AJ1731" t="s">
        <v>31</v>
      </c>
      <c r="AK1731" s="3" t="s">
        <v>27</v>
      </c>
      <c r="AL1731" s="3">
        <v>4.0213033176000001</v>
      </c>
      <c r="AS1731" t="s">
        <v>1952</v>
      </c>
      <c r="AT1731" t="s">
        <v>88</v>
      </c>
      <c r="AU1731" t="s">
        <v>270</v>
      </c>
      <c r="AV1731" s="14">
        <v>0</v>
      </c>
    </row>
    <row r="1732" spans="26:48">
      <c r="Z1732" s="3"/>
      <c r="AC1732"/>
      <c r="AE1732" s="3"/>
      <c r="AH1732" t="s">
        <v>1863</v>
      </c>
      <c r="AI1732" t="s">
        <v>65</v>
      </c>
      <c r="AJ1732" t="s">
        <v>66</v>
      </c>
      <c r="AK1732" s="3" t="s">
        <v>27</v>
      </c>
      <c r="AL1732" s="3">
        <v>32604.7</v>
      </c>
      <c r="AS1732" t="s">
        <v>1952</v>
      </c>
      <c r="AT1732" t="s">
        <v>88</v>
      </c>
      <c r="AU1732" t="s">
        <v>271</v>
      </c>
      <c r="AV1732" s="14">
        <v>2211.1414</v>
      </c>
    </row>
    <row r="1733" spans="26:48">
      <c r="Z1733" s="3"/>
      <c r="AC1733"/>
      <c r="AE1733" s="3"/>
      <c r="AH1733" t="s">
        <v>1863</v>
      </c>
      <c r="AI1733" t="s">
        <v>65</v>
      </c>
      <c r="AJ1733" t="s">
        <v>72</v>
      </c>
      <c r="AK1733" s="3" t="s">
        <v>27</v>
      </c>
      <c r="AL1733" s="3">
        <v>33349.006859000001</v>
      </c>
      <c r="AS1733" t="s">
        <v>1952</v>
      </c>
      <c r="AT1733" t="s">
        <v>88</v>
      </c>
      <c r="AU1733" t="s">
        <v>272</v>
      </c>
      <c r="AV1733" s="14">
        <v>0</v>
      </c>
    </row>
    <row r="1734" spans="26:48">
      <c r="Z1734" s="3"/>
      <c r="AC1734"/>
      <c r="AE1734" s="3"/>
      <c r="AH1734" t="s">
        <v>1863</v>
      </c>
      <c r="AI1734" t="s">
        <v>65</v>
      </c>
      <c r="AJ1734" t="s">
        <v>113</v>
      </c>
      <c r="AK1734" s="3" t="s">
        <v>27</v>
      </c>
      <c r="AL1734" s="3">
        <v>2035.0561582534001</v>
      </c>
      <c r="AS1734" t="s">
        <v>1952</v>
      </c>
      <c r="AT1734" t="s">
        <v>88</v>
      </c>
      <c r="AU1734" t="s">
        <v>273</v>
      </c>
      <c r="AV1734" s="14">
        <v>0</v>
      </c>
    </row>
    <row r="1735" spans="26:48">
      <c r="Z1735" s="3"/>
      <c r="AC1735"/>
      <c r="AE1735" s="3"/>
      <c r="AH1735" t="s">
        <v>1863</v>
      </c>
      <c r="AI1735" t="s">
        <v>65</v>
      </c>
      <c r="AJ1735" t="s">
        <v>108</v>
      </c>
      <c r="AK1735" s="3" t="s">
        <v>27</v>
      </c>
      <c r="AL1735" s="3">
        <v>-1290.7492992534001</v>
      </c>
      <c r="AS1735" t="s">
        <v>1953</v>
      </c>
      <c r="AT1735" t="s">
        <v>88</v>
      </c>
      <c r="AU1735" t="s">
        <v>109</v>
      </c>
      <c r="AV1735" s="14">
        <v>18349.930100000001</v>
      </c>
    </row>
    <row r="1736" spans="26:48">
      <c r="Z1736" s="3"/>
      <c r="AC1736"/>
      <c r="AE1736" s="3"/>
      <c r="AH1736" t="s">
        <v>1863</v>
      </c>
      <c r="AI1736" t="s">
        <v>65</v>
      </c>
      <c r="AJ1736" t="s">
        <v>98</v>
      </c>
      <c r="AK1736" s="3" t="s">
        <v>27</v>
      </c>
      <c r="AL1736" s="3">
        <v>-1290.7492992534001</v>
      </c>
      <c r="AS1736" t="s">
        <v>1953</v>
      </c>
      <c r="AT1736" t="s">
        <v>88</v>
      </c>
      <c r="AU1736" t="s">
        <v>110</v>
      </c>
      <c r="AV1736" s="14">
        <v>397.61059999999998</v>
      </c>
    </row>
    <row r="1737" spans="26:48">
      <c r="Z1737" s="3"/>
      <c r="AC1737"/>
      <c r="AE1737" s="3"/>
      <c r="AH1737" t="s">
        <v>1863</v>
      </c>
      <c r="AI1737" t="s">
        <v>67</v>
      </c>
      <c r="AJ1737" t="s">
        <v>66</v>
      </c>
      <c r="AK1737" s="3" t="s">
        <v>27</v>
      </c>
      <c r="AL1737" s="3">
        <v>-14205.2</v>
      </c>
      <c r="AS1737" t="s">
        <v>1953</v>
      </c>
      <c r="AT1737" t="s">
        <v>88</v>
      </c>
      <c r="AU1737" t="s">
        <v>111</v>
      </c>
      <c r="AV1737" s="14">
        <v>9500</v>
      </c>
    </row>
    <row r="1738" spans="26:48">
      <c r="Z1738" s="3"/>
      <c r="AC1738"/>
      <c r="AE1738" s="3"/>
      <c r="AH1738" t="s">
        <v>1863</v>
      </c>
      <c r="AI1738" t="s">
        <v>67</v>
      </c>
      <c r="AJ1738" t="s">
        <v>72</v>
      </c>
      <c r="AK1738" s="3" t="s">
        <v>27</v>
      </c>
      <c r="AL1738" s="3">
        <v>-15111.050464</v>
      </c>
      <c r="AS1738" t="s">
        <v>1953</v>
      </c>
      <c r="AT1738" t="s">
        <v>88</v>
      </c>
      <c r="AU1738" t="s">
        <v>268</v>
      </c>
      <c r="AV1738" s="14">
        <v>3000</v>
      </c>
    </row>
    <row r="1739" spans="26:48">
      <c r="Z1739" s="3"/>
      <c r="AC1739"/>
      <c r="AE1739" s="3"/>
      <c r="AH1739" t="s">
        <v>1863</v>
      </c>
      <c r="AI1739" t="s">
        <v>67</v>
      </c>
      <c r="AJ1739" t="s">
        <v>113</v>
      </c>
      <c r="AK1739" s="3" t="s">
        <v>27</v>
      </c>
      <c r="AL1739" s="3">
        <v>-1199.6703809592</v>
      </c>
      <c r="AS1739" t="s">
        <v>1953</v>
      </c>
      <c r="AT1739" t="s">
        <v>88</v>
      </c>
      <c r="AU1739" t="s">
        <v>269</v>
      </c>
      <c r="AV1739" s="14">
        <v>0</v>
      </c>
    </row>
    <row r="1740" spans="26:48">
      <c r="Z1740" s="3"/>
      <c r="AC1740"/>
      <c r="AE1740" s="3"/>
      <c r="AH1740" t="s">
        <v>1863</v>
      </c>
      <c r="AI1740" t="s">
        <v>67</v>
      </c>
      <c r="AJ1740" t="s">
        <v>108</v>
      </c>
      <c r="AK1740" s="3" t="s">
        <v>27</v>
      </c>
      <c r="AL1740" s="3">
        <v>293.81991695919999</v>
      </c>
      <c r="AS1740" t="s">
        <v>1953</v>
      </c>
      <c r="AT1740" t="s">
        <v>88</v>
      </c>
      <c r="AU1740" t="s">
        <v>270</v>
      </c>
      <c r="AV1740" s="14">
        <v>0</v>
      </c>
    </row>
    <row r="1741" spans="26:48">
      <c r="Z1741" s="3"/>
      <c r="AC1741"/>
      <c r="AE1741" s="3"/>
      <c r="AH1741" t="s">
        <v>1863</v>
      </c>
      <c r="AI1741" t="s">
        <v>67</v>
      </c>
      <c r="AJ1741" t="s">
        <v>98</v>
      </c>
      <c r="AK1741" s="3" t="s">
        <v>27</v>
      </c>
      <c r="AL1741" s="3">
        <v>267.08058737009998</v>
      </c>
      <c r="AS1741" t="s">
        <v>1953</v>
      </c>
      <c r="AT1741" t="s">
        <v>88</v>
      </c>
      <c r="AU1741" t="s">
        <v>271</v>
      </c>
      <c r="AV1741" s="14">
        <v>4111.1414000000004</v>
      </c>
    </row>
    <row r="1742" spans="26:48">
      <c r="Z1742" s="3"/>
      <c r="AC1742"/>
      <c r="AE1742" s="3"/>
      <c r="AH1742" t="s">
        <v>1863</v>
      </c>
      <c r="AI1742" t="s">
        <v>67</v>
      </c>
      <c r="AJ1742" t="s">
        <v>66</v>
      </c>
      <c r="AK1742" s="3" t="s">
        <v>114</v>
      </c>
      <c r="AL1742" s="3">
        <v>2214</v>
      </c>
      <c r="AS1742" t="s">
        <v>1953</v>
      </c>
      <c r="AT1742" t="s">
        <v>88</v>
      </c>
      <c r="AU1742" t="s">
        <v>272</v>
      </c>
      <c r="AV1742" s="14">
        <v>0</v>
      </c>
    </row>
    <row r="1743" spans="26:48">
      <c r="Z1743" s="3"/>
      <c r="AC1743"/>
      <c r="AE1743" s="3"/>
      <c r="AH1743" t="s">
        <v>1863</v>
      </c>
      <c r="AI1743" t="s">
        <v>67</v>
      </c>
      <c r="AJ1743" t="s">
        <v>98</v>
      </c>
      <c r="AK1743" s="3" t="s">
        <v>114</v>
      </c>
      <c r="AL1743" s="3">
        <v>17.759910411</v>
      </c>
      <c r="AS1743" t="s">
        <v>1953</v>
      </c>
      <c r="AT1743" t="s">
        <v>88</v>
      </c>
      <c r="AU1743" t="s">
        <v>273</v>
      </c>
      <c r="AV1743" s="14">
        <v>0</v>
      </c>
    </row>
    <row r="1744" spans="26:48">
      <c r="Z1744" s="3"/>
      <c r="AC1744"/>
      <c r="AE1744" s="3"/>
      <c r="AH1744" t="s">
        <v>1863</v>
      </c>
      <c r="AI1744" t="s">
        <v>67</v>
      </c>
      <c r="AJ1744" t="s">
        <v>66</v>
      </c>
      <c r="AK1744" s="3" t="s">
        <v>115</v>
      </c>
      <c r="AL1744" s="3">
        <v>16419.2</v>
      </c>
      <c r="AS1744" t="s">
        <v>1954</v>
      </c>
      <c r="AT1744" t="s">
        <v>88</v>
      </c>
      <c r="AU1744" t="s">
        <v>109</v>
      </c>
      <c r="AV1744" s="14">
        <v>18699.4067</v>
      </c>
    </row>
    <row r="1745" spans="26:48">
      <c r="Z1745" s="3"/>
      <c r="AC1745"/>
      <c r="AE1745" s="3"/>
      <c r="AH1745" t="s">
        <v>1863</v>
      </c>
      <c r="AI1745" t="s">
        <v>67</v>
      </c>
      <c r="AJ1745" t="s">
        <v>98</v>
      </c>
      <c r="AK1745" s="3" t="s">
        <v>115</v>
      </c>
      <c r="AL1745" s="3">
        <v>-249.3206769592</v>
      </c>
      <c r="AS1745" t="s">
        <v>1954</v>
      </c>
      <c r="AT1745" t="s">
        <v>88</v>
      </c>
      <c r="AU1745" t="s">
        <v>110</v>
      </c>
      <c r="AV1745" s="14">
        <v>397.61059999999998</v>
      </c>
    </row>
    <row r="1746" spans="26:48">
      <c r="Z1746" s="3"/>
      <c r="AC1746"/>
      <c r="AE1746" s="3"/>
      <c r="AH1746" t="s">
        <v>1863</v>
      </c>
      <c r="AI1746" t="s">
        <v>68</v>
      </c>
      <c r="AJ1746" t="s">
        <v>66</v>
      </c>
      <c r="AK1746" s="3" t="s">
        <v>27</v>
      </c>
      <c r="AL1746" s="3">
        <v>-6987.5</v>
      </c>
      <c r="AS1746" t="s">
        <v>1954</v>
      </c>
      <c r="AT1746" t="s">
        <v>88</v>
      </c>
      <c r="AU1746" t="s">
        <v>111</v>
      </c>
      <c r="AV1746" s="14">
        <v>9500</v>
      </c>
    </row>
    <row r="1747" spans="26:48">
      <c r="Z1747" s="3"/>
      <c r="AC1747"/>
      <c r="AE1747" s="3"/>
      <c r="AH1747" t="s">
        <v>1863</v>
      </c>
      <c r="AI1747" t="s">
        <v>68</v>
      </c>
      <c r="AJ1747" t="s">
        <v>72</v>
      </c>
      <c r="AK1747" s="3" t="s">
        <v>27</v>
      </c>
      <c r="AL1747" s="3">
        <v>-7686.0432950000004</v>
      </c>
      <c r="AS1747" t="s">
        <v>1954</v>
      </c>
      <c r="AT1747" t="s">
        <v>88</v>
      </c>
      <c r="AU1747" t="s">
        <v>268</v>
      </c>
      <c r="AV1747" s="14">
        <v>3400</v>
      </c>
    </row>
    <row r="1748" spans="26:48">
      <c r="Z1748" s="3"/>
      <c r="AC1748"/>
      <c r="AE1748" s="3"/>
      <c r="AH1748" t="s">
        <v>1863</v>
      </c>
      <c r="AI1748" t="s">
        <v>68</v>
      </c>
      <c r="AJ1748" t="s">
        <v>113</v>
      </c>
      <c r="AK1748" s="3" t="s">
        <v>27</v>
      </c>
      <c r="AL1748" s="3">
        <v>-949.57055044330002</v>
      </c>
      <c r="AS1748" t="s">
        <v>1954</v>
      </c>
      <c r="AT1748" t="s">
        <v>88</v>
      </c>
      <c r="AU1748" t="s">
        <v>269</v>
      </c>
      <c r="AV1748" s="14">
        <v>0</v>
      </c>
    </row>
    <row r="1749" spans="26:48">
      <c r="Z1749" s="3"/>
      <c r="AC1749"/>
      <c r="AE1749" s="3"/>
      <c r="AH1749" t="s">
        <v>1863</v>
      </c>
      <c r="AI1749" t="s">
        <v>68</v>
      </c>
      <c r="AJ1749" t="s">
        <v>108</v>
      </c>
      <c r="AK1749" s="3" t="s">
        <v>27</v>
      </c>
      <c r="AL1749" s="3">
        <v>251.02725544329999</v>
      </c>
      <c r="AS1749" t="s">
        <v>1954</v>
      </c>
      <c r="AT1749" t="s">
        <v>88</v>
      </c>
      <c r="AU1749" t="s">
        <v>270</v>
      </c>
      <c r="AV1749" s="14">
        <v>0</v>
      </c>
    </row>
    <row r="1750" spans="26:48">
      <c r="Z1750" s="3"/>
      <c r="AC1750"/>
      <c r="AE1750" s="3"/>
      <c r="AH1750" t="s">
        <v>1863</v>
      </c>
      <c r="AI1750" t="s">
        <v>68</v>
      </c>
      <c r="AJ1750" t="s">
        <v>98</v>
      </c>
      <c r="AK1750" s="3" t="s">
        <v>27</v>
      </c>
      <c r="AL1750" s="3">
        <v>152.79961873089999</v>
      </c>
      <c r="AS1750" t="s">
        <v>1954</v>
      </c>
      <c r="AT1750" t="s">
        <v>88</v>
      </c>
      <c r="AU1750" t="s">
        <v>271</v>
      </c>
      <c r="AV1750" s="14">
        <v>4500</v>
      </c>
    </row>
    <row r="1751" spans="26:48">
      <c r="Z1751" s="3"/>
      <c r="AC1751"/>
      <c r="AE1751" s="3"/>
      <c r="AH1751" t="s">
        <v>1863</v>
      </c>
      <c r="AI1751" t="s">
        <v>68</v>
      </c>
      <c r="AJ1751" t="s">
        <v>66</v>
      </c>
      <c r="AK1751" s="3" t="s">
        <v>114</v>
      </c>
      <c r="AL1751" s="3">
        <v>5399</v>
      </c>
      <c r="AS1751" t="s">
        <v>1954</v>
      </c>
      <c r="AT1751" t="s">
        <v>88</v>
      </c>
      <c r="AU1751" t="s">
        <v>272</v>
      </c>
      <c r="AV1751" s="14">
        <v>0</v>
      </c>
    </row>
    <row r="1752" spans="26:48">
      <c r="Z1752" s="3"/>
      <c r="AC1752"/>
      <c r="AE1752" s="3"/>
      <c r="AH1752" t="s">
        <v>1863</v>
      </c>
      <c r="AI1752" t="s">
        <v>68</v>
      </c>
      <c r="AJ1752" t="s">
        <v>98</v>
      </c>
      <c r="AK1752" s="3" t="s">
        <v>114</v>
      </c>
      <c r="AL1752" s="3">
        <v>-323.83600671229999</v>
      </c>
      <c r="AS1752" t="s">
        <v>1954</v>
      </c>
      <c r="AT1752" t="s">
        <v>88</v>
      </c>
      <c r="AU1752" t="s">
        <v>273</v>
      </c>
      <c r="AV1752" s="14">
        <v>0</v>
      </c>
    </row>
    <row r="1753" spans="26:48">
      <c r="Z1753" s="3"/>
      <c r="AC1753"/>
      <c r="AE1753" s="3"/>
      <c r="AH1753" t="s">
        <v>1863</v>
      </c>
      <c r="AI1753" t="s">
        <v>68</v>
      </c>
      <c r="AJ1753" t="s">
        <v>66</v>
      </c>
      <c r="AK1753" s="3" t="s">
        <v>115</v>
      </c>
      <c r="AL1753" s="3">
        <v>12386.5</v>
      </c>
      <c r="AS1753" t="s">
        <v>1955</v>
      </c>
      <c r="AT1753" t="s">
        <v>88</v>
      </c>
      <c r="AU1753" t="s">
        <v>109</v>
      </c>
      <c r="AV1753" s="14">
        <v>19599.4067</v>
      </c>
    </row>
    <row r="1754" spans="26:48">
      <c r="Z1754" s="3"/>
      <c r="AC1754"/>
      <c r="AE1754" s="3"/>
      <c r="AH1754" t="s">
        <v>1863</v>
      </c>
      <c r="AI1754" t="s">
        <v>68</v>
      </c>
      <c r="AJ1754" t="s">
        <v>98</v>
      </c>
      <c r="AK1754" s="3" t="s">
        <v>115</v>
      </c>
      <c r="AL1754" s="3">
        <v>-476.6356254433</v>
      </c>
      <c r="AS1754" t="s">
        <v>1955</v>
      </c>
      <c r="AT1754" t="s">
        <v>88</v>
      </c>
      <c r="AU1754" t="s">
        <v>110</v>
      </c>
      <c r="AV1754" s="14">
        <v>397.61059999999998</v>
      </c>
    </row>
    <row r="1755" spans="26:48">
      <c r="Z1755" s="3"/>
      <c r="AC1755"/>
      <c r="AE1755" s="3"/>
      <c r="AH1755" t="s">
        <v>1863</v>
      </c>
      <c r="AI1755" t="s">
        <v>800</v>
      </c>
      <c r="AJ1755" t="s">
        <v>31</v>
      </c>
      <c r="AK1755" s="3" t="s">
        <v>27</v>
      </c>
      <c r="AL1755" s="3">
        <v>3.9729975901999999</v>
      </c>
      <c r="AS1755" t="s">
        <v>1955</v>
      </c>
      <c r="AT1755" t="s">
        <v>88</v>
      </c>
      <c r="AU1755" t="s">
        <v>111</v>
      </c>
      <c r="AV1755" s="14">
        <v>9500</v>
      </c>
    </row>
    <row r="1756" spans="26:48">
      <c r="Z1756" s="3"/>
      <c r="AC1756"/>
      <c r="AE1756" s="3"/>
      <c r="AH1756" t="s">
        <v>1864</v>
      </c>
      <c r="AI1756" t="s">
        <v>65</v>
      </c>
      <c r="AJ1756" t="s">
        <v>66</v>
      </c>
      <c r="AK1756" s="3" t="s">
        <v>27</v>
      </c>
      <c r="AL1756" s="3">
        <v>31303.7</v>
      </c>
      <c r="AS1756" t="s">
        <v>1955</v>
      </c>
      <c r="AT1756" t="s">
        <v>88</v>
      </c>
      <c r="AU1756" t="s">
        <v>268</v>
      </c>
      <c r="AV1756" s="14">
        <v>4700</v>
      </c>
    </row>
    <row r="1757" spans="26:48">
      <c r="Z1757" s="3"/>
      <c r="AC1757"/>
      <c r="AE1757" s="3"/>
      <c r="AH1757" t="s">
        <v>1864</v>
      </c>
      <c r="AI1757" t="s">
        <v>65</v>
      </c>
      <c r="AJ1757" t="s">
        <v>72</v>
      </c>
      <c r="AK1757" s="3" t="s">
        <v>27</v>
      </c>
      <c r="AL1757" s="3">
        <v>32213.659669000001</v>
      </c>
      <c r="AS1757" t="s">
        <v>1955</v>
      </c>
      <c r="AT1757" t="s">
        <v>88</v>
      </c>
      <c r="AU1757" t="s">
        <v>269</v>
      </c>
      <c r="AV1757" s="14">
        <v>0</v>
      </c>
    </row>
    <row r="1758" spans="26:48">
      <c r="Z1758" s="3"/>
      <c r="AC1758"/>
      <c r="AE1758" s="3"/>
      <c r="AH1758" t="s">
        <v>1864</v>
      </c>
      <c r="AI1758" t="s">
        <v>65</v>
      </c>
      <c r="AJ1758" t="s">
        <v>113</v>
      </c>
      <c r="AK1758" s="3" t="s">
        <v>27</v>
      </c>
      <c r="AL1758" s="3">
        <v>2100.9214411684002</v>
      </c>
      <c r="AS1758" t="s">
        <v>1955</v>
      </c>
      <c r="AT1758" t="s">
        <v>88</v>
      </c>
      <c r="AU1758" t="s">
        <v>270</v>
      </c>
      <c r="AV1758" s="14">
        <v>0</v>
      </c>
    </row>
    <row r="1759" spans="26:48">
      <c r="Z1759" s="3"/>
      <c r="AC1759"/>
      <c r="AE1759" s="3"/>
      <c r="AH1759" t="s">
        <v>1864</v>
      </c>
      <c r="AI1759" t="s">
        <v>65</v>
      </c>
      <c r="AJ1759" t="s">
        <v>108</v>
      </c>
      <c r="AK1759" s="3" t="s">
        <v>27</v>
      </c>
      <c r="AL1759" s="3">
        <v>-1190.9617721684001</v>
      </c>
      <c r="AS1759" t="s">
        <v>1955</v>
      </c>
      <c r="AT1759" t="s">
        <v>88</v>
      </c>
      <c r="AU1759" t="s">
        <v>271</v>
      </c>
      <c r="AV1759" s="14">
        <v>3600</v>
      </c>
    </row>
    <row r="1760" spans="26:48">
      <c r="Z1760" s="3"/>
      <c r="AC1760"/>
      <c r="AE1760" s="3"/>
      <c r="AH1760" t="s">
        <v>1864</v>
      </c>
      <c r="AI1760" t="s">
        <v>65</v>
      </c>
      <c r="AJ1760" t="s">
        <v>98</v>
      </c>
      <c r="AK1760" s="3" t="s">
        <v>27</v>
      </c>
      <c r="AL1760" s="3">
        <v>-1190.9617721684001</v>
      </c>
      <c r="AS1760" t="s">
        <v>1955</v>
      </c>
      <c r="AT1760" t="s">
        <v>88</v>
      </c>
      <c r="AU1760" t="s">
        <v>272</v>
      </c>
      <c r="AV1760" s="14">
        <v>0</v>
      </c>
    </row>
    <row r="1761" spans="26:48">
      <c r="Z1761" s="3"/>
      <c r="AC1761"/>
      <c r="AE1761" s="3"/>
      <c r="AH1761" t="s">
        <v>1864</v>
      </c>
      <c r="AI1761" t="s">
        <v>67</v>
      </c>
      <c r="AJ1761" t="s">
        <v>66</v>
      </c>
      <c r="AK1761" s="3" t="s">
        <v>27</v>
      </c>
      <c r="AL1761" s="3">
        <v>-12442.2</v>
      </c>
      <c r="AS1761" t="s">
        <v>1955</v>
      </c>
      <c r="AT1761" t="s">
        <v>88</v>
      </c>
      <c r="AU1761" t="s">
        <v>273</v>
      </c>
      <c r="AV1761" s="14">
        <v>0</v>
      </c>
    </row>
    <row r="1762" spans="26:48">
      <c r="Z1762" s="3"/>
      <c r="AC1762"/>
      <c r="AE1762" s="3"/>
      <c r="AH1762" t="s">
        <v>1864</v>
      </c>
      <c r="AI1762" t="s">
        <v>67</v>
      </c>
      <c r="AJ1762" t="s">
        <v>72</v>
      </c>
      <c r="AK1762" s="3" t="s">
        <v>27</v>
      </c>
      <c r="AL1762" s="3">
        <v>-13539.755494000001</v>
      </c>
      <c r="AS1762" t="s">
        <v>1956</v>
      </c>
      <c r="AT1762" t="s">
        <v>88</v>
      </c>
      <c r="AU1762" t="s">
        <v>109</v>
      </c>
      <c r="AV1762" s="14">
        <v>18419.4067</v>
      </c>
    </row>
    <row r="1763" spans="26:48">
      <c r="Z1763" s="3"/>
      <c r="AC1763"/>
      <c r="AE1763" s="3"/>
      <c r="AH1763" t="s">
        <v>1864</v>
      </c>
      <c r="AI1763" t="s">
        <v>67</v>
      </c>
      <c r="AJ1763" t="s">
        <v>113</v>
      </c>
      <c r="AK1763" s="3" t="s">
        <v>27</v>
      </c>
      <c r="AL1763" s="3">
        <v>-1189.047959538</v>
      </c>
      <c r="AS1763" t="s">
        <v>1956</v>
      </c>
      <c r="AT1763" t="s">
        <v>88</v>
      </c>
      <c r="AU1763" t="s">
        <v>110</v>
      </c>
      <c r="AV1763" s="14">
        <v>397.61059999999998</v>
      </c>
    </row>
    <row r="1764" spans="26:48">
      <c r="Z1764" s="3"/>
      <c r="AC1764"/>
      <c r="AE1764" s="3"/>
      <c r="AH1764" t="s">
        <v>1864</v>
      </c>
      <c r="AI1764" t="s">
        <v>67</v>
      </c>
      <c r="AJ1764" t="s">
        <v>108</v>
      </c>
      <c r="AK1764" s="3" t="s">
        <v>27</v>
      </c>
      <c r="AL1764" s="3">
        <v>91.492465538000005</v>
      </c>
      <c r="AS1764" t="s">
        <v>1956</v>
      </c>
      <c r="AT1764" t="s">
        <v>88</v>
      </c>
      <c r="AU1764" t="s">
        <v>111</v>
      </c>
      <c r="AV1764" s="14">
        <v>9500</v>
      </c>
    </row>
    <row r="1765" spans="26:48">
      <c r="Z1765" s="3"/>
      <c r="AC1765"/>
      <c r="AE1765" s="3"/>
      <c r="AH1765" t="s">
        <v>1864</v>
      </c>
      <c r="AI1765" t="s">
        <v>67</v>
      </c>
      <c r="AJ1765" t="s">
        <v>98</v>
      </c>
      <c r="AK1765" s="3" t="s">
        <v>27</v>
      </c>
      <c r="AL1765" s="3">
        <v>127.2220847161</v>
      </c>
      <c r="AS1765" t="s">
        <v>1956</v>
      </c>
      <c r="AT1765" t="s">
        <v>88</v>
      </c>
      <c r="AU1765" t="s">
        <v>268</v>
      </c>
      <c r="AV1765" s="14">
        <v>1100</v>
      </c>
    </row>
    <row r="1766" spans="26:48">
      <c r="Z1766" s="3"/>
      <c r="AC1766"/>
      <c r="AE1766" s="3"/>
      <c r="AH1766" t="s">
        <v>1864</v>
      </c>
      <c r="AI1766" t="s">
        <v>67</v>
      </c>
      <c r="AJ1766" t="s">
        <v>66</v>
      </c>
      <c r="AK1766" s="3" t="s">
        <v>114</v>
      </c>
      <c r="AL1766" s="3">
        <v>1731</v>
      </c>
      <c r="AS1766" t="s">
        <v>1956</v>
      </c>
      <c r="AT1766" t="s">
        <v>88</v>
      </c>
      <c r="AU1766" t="s">
        <v>269</v>
      </c>
      <c r="AV1766" s="14">
        <v>0</v>
      </c>
    </row>
    <row r="1767" spans="26:48">
      <c r="Z1767" s="3"/>
      <c r="AC1767"/>
      <c r="AE1767" s="3"/>
      <c r="AH1767" t="s">
        <v>1864</v>
      </c>
      <c r="AI1767" t="s">
        <v>67</v>
      </c>
      <c r="AJ1767" t="s">
        <v>98</v>
      </c>
      <c r="AK1767" s="3" t="s">
        <v>114</v>
      </c>
      <c r="AL1767" s="3">
        <v>-132.39579082189999</v>
      </c>
      <c r="AS1767" t="s">
        <v>1956</v>
      </c>
      <c r="AT1767" t="s">
        <v>88</v>
      </c>
      <c r="AU1767" t="s">
        <v>270</v>
      </c>
      <c r="AV1767" s="14">
        <v>0</v>
      </c>
    </row>
    <row r="1768" spans="26:48">
      <c r="Z1768" s="3"/>
      <c r="AC1768"/>
      <c r="AE1768" s="3"/>
      <c r="AH1768" t="s">
        <v>1864</v>
      </c>
      <c r="AI1768" t="s">
        <v>67</v>
      </c>
      <c r="AJ1768" t="s">
        <v>66</v>
      </c>
      <c r="AK1768" s="3" t="s">
        <v>115</v>
      </c>
      <c r="AL1768" s="3">
        <v>14173.2</v>
      </c>
      <c r="AS1768" t="s">
        <v>1956</v>
      </c>
      <c r="AT1768" t="s">
        <v>88</v>
      </c>
      <c r="AU1768" t="s">
        <v>271</v>
      </c>
      <c r="AV1768" s="14">
        <v>7800</v>
      </c>
    </row>
    <row r="1769" spans="26:48">
      <c r="Z1769" s="3"/>
      <c r="AC1769"/>
      <c r="AE1769" s="3"/>
      <c r="AH1769" t="s">
        <v>1864</v>
      </c>
      <c r="AI1769" t="s">
        <v>67</v>
      </c>
      <c r="AJ1769" t="s">
        <v>98</v>
      </c>
      <c r="AK1769" s="3" t="s">
        <v>115</v>
      </c>
      <c r="AL1769" s="3">
        <v>-259.61787553800002</v>
      </c>
      <c r="AS1769" t="s">
        <v>1956</v>
      </c>
      <c r="AT1769" t="s">
        <v>88</v>
      </c>
      <c r="AU1769" t="s">
        <v>272</v>
      </c>
      <c r="AV1769" s="14">
        <v>0</v>
      </c>
    </row>
    <row r="1770" spans="26:48">
      <c r="Z1770" s="3"/>
      <c r="AC1770"/>
      <c r="AE1770" s="3"/>
      <c r="AH1770" t="s">
        <v>1864</v>
      </c>
      <c r="AI1770" t="s">
        <v>68</v>
      </c>
      <c r="AJ1770" t="s">
        <v>66</v>
      </c>
      <c r="AK1770" s="3" t="s">
        <v>27</v>
      </c>
      <c r="AL1770" s="3">
        <v>-7449.5</v>
      </c>
      <c r="AS1770" t="s">
        <v>1956</v>
      </c>
      <c r="AT1770" t="s">
        <v>88</v>
      </c>
      <c r="AU1770" t="s">
        <v>273</v>
      </c>
      <c r="AV1770" s="14">
        <v>0</v>
      </c>
    </row>
    <row r="1771" spans="26:48">
      <c r="Z1771" s="3"/>
      <c r="AC1771"/>
      <c r="AE1771" s="3"/>
      <c r="AH1771" t="s">
        <v>1864</v>
      </c>
      <c r="AI1771" t="s">
        <v>68</v>
      </c>
      <c r="AJ1771" t="s">
        <v>72</v>
      </c>
      <c r="AK1771" s="3" t="s">
        <v>27</v>
      </c>
      <c r="AL1771" s="3">
        <v>-8121.9910749999999</v>
      </c>
      <c r="AS1771" t="s">
        <v>1957</v>
      </c>
      <c r="AT1771" t="s">
        <v>88</v>
      </c>
      <c r="AU1771" t="s">
        <v>109</v>
      </c>
      <c r="AV1771" s="14">
        <v>16719.4067</v>
      </c>
    </row>
    <row r="1772" spans="26:48">
      <c r="Z1772" s="3"/>
      <c r="AC1772"/>
      <c r="AE1772" s="3"/>
      <c r="AH1772" t="s">
        <v>1864</v>
      </c>
      <c r="AI1772" t="s">
        <v>68</v>
      </c>
      <c r="AJ1772" t="s">
        <v>113</v>
      </c>
      <c r="AK1772" s="3" t="s">
        <v>27</v>
      </c>
      <c r="AL1772" s="3">
        <v>-822.44977946710003</v>
      </c>
      <c r="AS1772" t="s">
        <v>1957</v>
      </c>
      <c r="AT1772" t="s">
        <v>88</v>
      </c>
      <c r="AU1772" t="s">
        <v>110</v>
      </c>
      <c r="AV1772" s="14">
        <v>397.61059999999998</v>
      </c>
    </row>
    <row r="1773" spans="26:48">
      <c r="Z1773" s="3"/>
      <c r="AC1773"/>
      <c r="AE1773" s="3"/>
      <c r="AH1773" t="s">
        <v>1864</v>
      </c>
      <c r="AI1773" t="s">
        <v>68</v>
      </c>
      <c r="AJ1773" t="s">
        <v>108</v>
      </c>
      <c r="AK1773" s="3" t="s">
        <v>27</v>
      </c>
      <c r="AL1773" s="3">
        <v>149.95870446710001</v>
      </c>
      <c r="AS1773" t="s">
        <v>1957</v>
      </c>
      <c r="AT1773" t="s">
        <v>88</v>
      </c>
      <c r="AU1773" t="s">
        <v>111</v>
      </c>
      <c r="AV1773" s="14">
        <v>9500</v>
      </c>
    </row>
    <row r="1774" spans="26:48">
      <c r="Z1774" s="3"/>
      <c r="AC1774"/>
      <c r="AE1774" s="3"/>
      <c r="AH1774" t="s">
        <v>1864</v>
      </c>
      <c r="AI1774" t="s">
        <v>68</v>
      </c>
      <c r="AJ1774" t="s">
        <v>98</v>
      </c>
      <c r="AK1774" s="3" t="s">
        <v>27</v>
      </c>
      <c r="AL1774" s="3">
        <v>192.65032433010001</v>
      </c>
      <c r="AS1774" t="s">
        <v>1957</v>
      </c>
      <c r="AT1774" t="s">
        <v>88</v>
      </c>
      <c r="AU1774" t="s">
        <v>268</v>
      </c>
      <c r="AV1774" s="14">
        <v>1300</v>
      </c>
    </row>
    <row r="1775" spans="26:48">
      <c r="Z1775" s="3"/>
      <c r="AC1775"/>
      <c r="AE1775" s="3"/>
      <c r="AH1775" t="s">
        <v>1864</v>
      </c>
      <c r="AI1775" t="s">
        <v>68</v>
      </c>
      <c r="AJ1775" t="s">
        <v>66</v>
      </c>
      <c r="AK1775" s="3" t="s">
        <v>114</v>
      </c>
      <c r="AL1775" s="3">
        <v>6593</v>
      </c>
      <c r="AS1775" t="s">
        <v>1957</v>
      </c>
      <c r="AT1775" t="s">
        <v>88</v>
      </c>
      <c r="AU1775" t="s">
        <v>269</v>
      </c>
      <c r="AV1775" s="14">
        <v>0</v>
      </c>
    </row>
    <row r="1776" spans="26:48">
      <c r="Z1776" s="3"/>
      <c r="AC1776"/>
      <c r="AE1776" s="3"/>
      <c r="AH1776" t="s">
        <v>1864</v>
      </c>
      <c r="AI1776" t="s">
        <v>68</v>
      </c>
      <c r="AJ1776" t="s">
        <v>98</v>
      </c>
      <c r="AK1776" s="3" t="s">
        <v>114</v>
      </c>
      <c r="AL1776" s="3">
        <v>-245.76383013700001</v>
      </c>
      <c r="AS1776" t="s">
        <v>1957</v>
      </c>
      <c r="AT1776" t="s">
        <v>88</v>
      </c>
      <c r="AU1776" t="s">
        <v>270</v>
      </c>
      <c r="AV1776" s="14">
        <v>0</v>
      </c>
    </row>
    <row r="1777" spans="26:48">
      <c r="Z1777" s="3"/>
      <c r="AC1777"/>
      <c r="AE1777" s="3"/>
      <c r="AH1777" t="s">
        <v>1864</v>
      </c>
      <c r="AI1777" t="s">
        <v>68</v>
      </c>
      <c r="AJ1777" t="s">
        <v>66</v>
      </c>
      <c r="AK1777" s="3" t="s">
        <v>115</v>
      </c>
      <c r="AL1777" s="3">
        <v>14042.5</v>
      </c>
      <c r="AS1777" t="s">
        <v>1957</v>
      </c>
      <c r="AT1777" t="s">
        <v>88</v>
      </c>
      <c r="AU1777" t="s">
        <v>271</v>
      </c>
      <c r="AV1777" s="14">
        <v>9800</v>
      </c>
    </row>
    <row r="1778" spans="26:48">
      <c r="Z1778" s="3"/>
      <c r="AC1778"/>
      <c r="AE1778" s="3"/>
      <c r="AH1778" t="s">
        <v>1864</v>
      </c>
      <c r="AI1778" t="s">
        <v>68</v>
      </c>
      <c r="AJ1778" t="s">
        <v>98</v>
      </c>
      <c r="AK1778" s="3" t="s">
        <v>115</v>
      </c>
      <c r="AL1778" s="3">
        <v>-438.41415446709999</v>
      </c>
      <c r="AS1778" t="s">
        <v>1957</v>
      </c>
      <c r="AT1778" t="s">
        <v>88</v>
      </c>
      <c r="AU1778" t="s">
        <v>272</v>
      </c>
      <c r="AV1778" s="14">
        <v>0</v>
      </c>
    </row>
    <row r="1779" spans="26:48">
      <c r="Z1779" s="3"/>
      <c r="AC1779"/>
      <c r="AE1779" s="3"/>
      <c r="AH1779" t="s">
        <v>1864</v>
      </c>
      <c r="AI1779" t="s">
        <v>800</v>
      </c>
      <c r="AJ1779" t="s">
        <v>31</v>
      </c>
      <c r="AK1779" s="3" t="s">
        <v>27</v>
      </c>
      <c r="AL1779" s="3">
        <v>4.0107716732999998</v>
      </c>
      <c r="AS1779" t="s">
        <v>1957</v>
      </c>
      <c r="AT1779" t="s">
        <v>88</v>
      </c>
      <c r="AU1779" t="s">
        <v>273</v>
      </c>
      <c r="AV1779" s="14">
        <v>0</v>
      </c>
    </row>
    <row r="1780" spans="26:48">
      <c r="Z1780" s="3"/>
      <c r="AC1780"/>
      <c r="AE1780" s="3"/>
      <c r="AH1780" t="s">
        <v>1865</v>
      </c>
      <c r="AI1780" t="s">
        <v>65</v>
      </c>
      <c r="AJ1780" t="s">
        <v>66</v>
      </c>
      <c r="AK1780" s="3" t="s">
        <v>27</v>
      </c>
      <c r="AL1780" s="3">
        <v>33511.699999999997</v>
      </c>
      <c r="AS1780" t="s">
        <v>1958</v>
      </c>
      <c r="AT1780" t="s">
        <v>88</v>
      </c>
      <c r="AU1780" t="s">
        <v>109</v>
      </c>
      <c r="AV1780" s="14">
        <v>16619.4067</v>
      </c>
    </row>
    <row r="1781" spans="26:48">
      <c r="Z1781" s="3"/>
      <c r="AC1781"/>
      <c r="AE1781" s="3"/>
      <c r="AH1781" t="s">
        <v>1865</v>
      </c>
      <c r="AI1781" t="s">
        <v>65</v>
      </c>
      <c r="AJ1781" t="s">
        <v>72</v>
      </c>
      <c r="AK1781" s="3" t="s">
        <v>27</v>
      </c>
      <c r="AL1781" s="3">
        <v>34313.183357000002</v>
      </c>
      <c r="AS1781" t="s">
        <v>1958</v>
      </c>
      <c r="AT1781" t="s">
        <v>88</v>
      </c>
      <c r="AU1781" t="s">
        <v>110</v>
      </c>
      <c r="AV1781" s="14">
        <v>397.61059999999998</v>
      </c>
    </row>
    <row r="1782" spans="26:48">
      <c r="Z1782" s="3"/>
      <c r="AC1782"/>
      <c r="AE1782" s="3"/>
      <c r="AH1782" t="s">
        <v>1865</v>
      </c>
      <c r="AI1782" t="s">
        <v>65</v>
      </c>
      <c r="AJ1782" t="s">
        <v>113</v>
      </c>
      <c r="AK1782" s="3" t="s">
        <v>27</v>
      </c>
      <c r="AL1782" s="3">
        <v>2104.2366840749</v>
      </c>
      <c r="AS1782" t="s">
        <v>1958</v>
      </c>
      <c r="AT1782" t="s">
        <v>88</v>
      </c>
      <c r="AU1782" t="s">
        <v>111</v>
      </c>
      <c r="AV1782" s="14">
        <v>9500</v>
      </c>
    </row>
    <row r="1783" spans="26:48">
      <c r="Z1783" s="3"/>
      <c r="AC1783"/>
      <c r="AE1783" s="3"/>
      <c r="AH1783" t="s">
        <v>1865</v>
      </c>
      <c r="AI1783" t="s">
        <v>65</v>
      </c>
      <c r="AJ1783" t="s">
        <v>108</v>
      </c>
      <c r="AK1783" s="3" t="s">
        <v>27</v>
      </c>
      <c r="AL1783" s="3">
        <v>-1302.7533270749</v>
      </c>
      <c r="AS1783" t="s">
        <v>1958</v>
      </c>
      <c r="AT1783" t="s">
        <v>88</v>
      </c>
      <c r="AU1783" t="s">
        <v>268</v>
      </c>
      <c r="AV1783" s="14">
        <v>400</v>
      </c>
    </row>
    <row r="1784" spans="26:48">
      <c r="Z1784" s="3"/>
      <c r="AC1784"/>
      <c r="AE1784" s="3"/>
      <c r="AH1784" t="s">
        <v>1865</v>
      </c>
      <c r="AI1784" t="s">
        <v>65</v>
      </c>
      <c r="AJ1784" t="s">
        <v>98</v>
      </c>
      <c r="AK1784" s="3" t="s">
        <v>27</v>
      </c>
      <c r="AL1784" s="3">
        <v>-1302.7533270749</v>
      </c>
      <c r="AS1784" t="s">
        <v>1958</v>
      </c>
      <c r="AT1784" t="s">
        <v>88</v>
      </c>
      <c r="AU1784" t="s">
        <v>269</v>
      </c>
      <c r="AV1784" s="14">
        <v>0</v>
      </c>
    </row>
    <row r="1785" spans="26:48">
      <c r="Z1785" s="3"/>
      <c r="AC1785"/>
      <c r="AE1785" s="3"/>
      <c r="AH1785" t="s">
        <v>1865</v>
      </c>
      <c r="AI1785" t="s">
        <v>67</v>
      </c>
      <c r="AJ1785" t="s">
        <v>66</v>
      </c>
      <c r="AK1785" s="3" t="s">
        <v>27</v>
      </c>
      <c r="AL1785" s="3">
        <v>-15951.2</v>
      </c>
      <c r="AS1785" t="s">
        <v>1958</v>
      </c>
      <c r="AT1785" t="s">
        <v>88</v>
      </c>
      <c r="AU1785" t="s">
        <v>270</v>
      </c>
      <c r="AV1785" s="14">
        <v>0</v>
      </c>
    </row>
    <row r="1786" spans="26:48">
      <c r="Z1786" s="3"/>
      <c r="AC1786"/>
      <c r="AE1786" s="3"/>
      <c r="AH1786" t="s">
        <v>1865</v>
      </c>
      <c r="AI1786" t="s">
        <v>67</v>
      </c>
      <c r="AJ1786" t="s">
        <v>72</v>
      </c>
      <c r="AK1786" s="3" t="s">
        <v>27</v>
      </c>
      <c r="AL1786" s="3">
        <v>-16767.909322</v>
      </c>
      <c r="AS1786" t="s">
        <v>1958</v>
      </c>
      <c r="AT1786" t="s">
        <v>88</v>
      </c>
      <c r="AU1786" t="s">
        <v>271</v>
      </c>
      <c r="AV1786" s="14">
        <v>10800</v>
      </c>
    </row>
    <row r="1787" spans="26:48">
      <c r="Z1787" s="3"/>
      <c r="AC1787"/>
      <c r="AE1787" s="3"/>
      <c r="AH1787" t="s">
        <v>1865</v>
      </c>
      <c r="AI1787" t="s">
        <v>67</v>
      </c>
      <c r="AJ1787" t="s">
        <v>113</v>
      </c>
      <c r="AK1787" s="3" t="s">
        <v>27</v>
      </c>
      <c r="AL1787" s="3">
        <v>-1085.3787224026</v>
      </c>
      <c r="AS1787" t="s">
        <v>1958</v>
      </c>
      <c r="AT1787" t="s">
        <v>88</v>
      </c>
      <c r="AU1787" t="s">
        <v>272</v>
      </c>
      <c r="AV1787" s="14">
        <v>0</v>
      </c>
    </row>
    <row r="1788" spans="26:48">
      <c r="Z1788" s="3"/>
      <c r="AC1788"/>
      <c r="AE1788" s="3"/>
      <c r="AH1788" t="s">
        <v>1865</v>
      </c>
      <c r="AI1788" t="s">
        <v>67</v>
      </c>
      <c r="AJ1788" t="s">
        <v>108</v>
      </c>
      <c r="AK1788" s="3" t="s">
        <v>27</v>
      </c>
      <c r="AL1788" s="3">
        <v>268.66940040259999</v>
      </c>
      <c r="AS1788" t="s">
        <v>1958</v>
      </c>
      <c r="AT1788" t="s">
        <v>88</v>
      </c>
      <c r="AU1788" t="s">
        <v>273</v>
      </c>
      <c r="AV1788" s="14">
        <v>0</v>
      </c>
    </row>
    <row r="1789" spans="26:48">
      <c r="Z1789" s="3"/>
      <c r="AC1789"/>
      <c r="AE1789" s="3"/>
      <c r="AH1789" t="s">
        <v>1865</v>
      </c>
      <c r="AI1789" t="s">
        <v>67</v>
      </c>
      <c r="AJ1789" t="s">
        <v>98</v>
      </c>
      <c r="AK1789" s="3" t="s">
        <v>27</v>
      </c>
      <c r="AL1789" s="3">
        <v>346.55446752590001</v>
      </c>
      <c r="AS1789" t="s">
        <v>1959</v>
      </c>
      <c r="AT1789" t="s">
        <v>88</v>
      </c>
      <c r="AU1789" t="s">
        <v>109</v>
      </c>
      <c r="AV1789" s="14">
        <v>19469.4067</v>
      </c>
    </row>
    <row r="1790" spans="26:48">
      <c r="Z1790" s="3"/>
      <c r="AC1790"/>
      <c r="AE1790" s="3"/>
      <c r="AH1790" t="s">
        <v>1865</v>
      </c>
      <c r="AI1790" t="s">
        <v>67</v>
      </c>
      <c r="AJ1790" t="s">
        <v>66</v>
      </c>
      <c r="AK1790" s="3" t="s">
        <v>114</v>
      </c>
      <c r="AL1790" s="3">
        <v>470</v>
      </c>
      <c r="AS1790" t="s">
        <v>1959</v>
      </c>
      <c r="AT1790" t="s">
        <v>88</v>
      </c>
      <c r="AU1790" t="s">
        <v>110</v>
      </c>
      <c r="AV1790" s="14">
        <v>397.61059999999998</v>
      </c>
    </row>
    <row r="1791" spans="26:48">
      <c r="Z1791" s="3"/>
      <c r="AC1791"/>
      <c r="AE1791" s="3"/>
      <c r="AH1791" t="s">
        <v>1865</v>
      </c>
      <c r="AI1791" t="s">
        <v>67</v>
      </c>
      <c r="AJ1791" t="s">
        <v>98</v>
      </c>
      <c r="AK1791" s="3" t="s">
        <v>114</v>
      </c>
      <c r="AL1791" s="3">
        <v>-9.9724328766999992</v>
      </c>
      <c r="AS1791" t="s">
        <v>1959</v>
      </c>
      <c r="AT1791" t="s">
        <v>88</v>
      </c>
      <c r="AU1791" t="s">
        <v>111</v>
      </c>
      <c r="AV1791" s="14">
        <v>9500</v>
      </c>
    </row>
    <row r="1792" spans="26:48">
      <c r="Z1792" s="3"/>
      <c r="AC1792"/>
      <c r="AE1792" s="3"/>
      <c r="AH1792" t="s">
        <v>1865</v>
      </c>
      <c r="AI1792" t="s">
        <v>67</v>
      </c>
      <c r="AJ1792" t="s">
        <v>66</v>
      </c>
      <c r="AK1792" s="3" t="s">
        <v>115</v>
      </c>
      <c r="AL1792" s="3">
        <v>16421.2</v>
      </c>
      <c r="AS1792" t="s">
        <v>1959</v>
      </c>
      <c r="AT1792" t="s">
        <v>88</v>
      </c>
      <c r="AU1792" t="s">
        <v>268</v>
      </c>
      <c r="AV1792" s="14">
        <v>-2950</v>
      </c>
    </row>
    <row r="1793" spans="26:48">
      <c r="Z1793" s="3"/>
      <c r="AC1793"/>
      <c r="AE1793" s="3"/>
      <c r="AH1793" t="s">
        <v>1865</v>
      </c>
      <c r="AI1793" t="s">
        <v>67</v>
      </c>
      <c r="AJ1793" t="s">
        <v>98</v>
      </c>
      <c r="AK1793" s="3" t="s">
        <v>115</v>
      </c>
      <c r="AL1793" s="3">
        <v>-356.52690040260001</v>
      </c>
      <c r="AS1793" t="s">
        <v>1959</v>
      </c>
      <c r="AT1793" t="s">
        <v>88</v>
      </c>
      <c r="AU1793" t="s">
        <v>269</v>
      </c>
      <c r="AV1793" s="14">
        <v>0</v>
      </c>
    </row>
    <row r="1794" spans="26:48">
      <c r="Z1794" s="3"/>
      <c r="AC1794"/>
      <c r="AE1794" s="3"/>
      <c r="AH1794" t="s">
        <v>1865</v>
      </c>
      <c r="AI1794" t="s">
        <v>68</v>
      </c>
      <c r="AJ1794" t="s">
        <v>66</v>
      </c>
      <c r="AK1794" s="3" t="s">
        <v>27</v>
      </c>
      <c r="AL1794" s="3">
        <v>-6148.5</v>
      </c>
      <c r="AS1794" t="s">
        <v>1959</v>
      </c>
      <c r="AT1794" t="s">
        <v>88</v>
      </c>
      <c r="AU1794" t="s">
        <v>270</v>
      </c>
      <c r="AV1794" s="14">
        <v>0</v>
      </c>
    </row>
    <row r="1795" spans="26:48">
      <c r="Z1795" s="3"/>
      <c r="AC1795"/>
      <c r="AE1795" s="3"/>
      <c r="AH1795" t="s">
        <v>1865</v>
      </c>
      <c r="AI1795" t="s">
        <v>68</v>
      </c>
      <c r="AJ1795" t="s">
        <v>72</v>
      </c>
      <c r="AK1795" s="3" t="s">
        <v>27</v>
      </c>
      <c r="AL1795" s="3">
        <v>-6993.4095349999998</v>
      </c>
      <c r="AS1795" t="s">
        <v>1959</v>
      </c>
      <c r="AT1795" t="s">
        <v>88</v>
      </c>
      <c r="AU1795" t="s">
        <v>271</v>
      </c>
      <c r="AV1795" s="14">
        <v>11600</v>
      </c>
    </row>
    <row r="1796" spans="26:48">
      <c r="Z1796" s="3"/>
      <c r="AC1796"/>
      <c r="AE1796" s="3"/>
      <c r="AH1796" t="s">
        <v>1865</v>
      </c>
      <c r="AI1796" t="s">
        <v>68</v>
      </c>
      <c r="AJ1796" t="s">
        <v>113</v>
      </c>
      <c r="AK1796" s="3" t="s">
        <v>27</v>
      </c>
      <c r="AL1796" s="3">
        <v>-748.38735542259997</v>
      </c>
      <c r="AS1796" t="s">
        <v>1959</v>
      </c>
      <c r="AT1796" t="s">
        <v>88</v>
      </c>
      <c r="AU1796" t="s">
        <v>272</v>
      </c>
      <c r="AV1796" s="14">
        <v>0</v>
      </c>
    </row>
    <row r="1797" spans="26:48">
      <c r="Z1797" s="3"/>
      <c r="AC1797"/>
      <c r="AE1797" s="3"/>
      <c r="AH1797" t="s">
        <v>1865</v>
      </c>
      <c r="AI1797" t="s">
        <v>68</v>
      </c>
      <c r="AJ1797" t="s">
        <v>108</v>
      </c>
      <c r="AK1797" s="3" t="s">
        <v>27</v>
      </c>
      <c r="AL1797" s="3">
        <v>-96.522179577399996</v>
      </c>
      <c r="AS1797" t="s">
        <v>1959</v>
      </c>
      <c r="AT1797" t="s">
        <v>88</v>
      </c>
      <c r="AU1797" t="s">
        <v>273</v>
      </c>
      <c r="AV1797" s="14">
        <v>0</v>
      </c>
    </row>
    <row r="1798" spans="26:48">
      <c r="Z1798" s="3"/>
      <c r="AC1798"/>
      <c r="AE1798" s="3"/>
      <c r="AH1798" t="s">
        <v>1865</v>
      </c>
      <c r="AI1798" t="s">
        <v>68</v>
      </c>
      <c r="AJ1798" t="s">
        <v>98</v>
      </c>
      <c r="AK1798" s="3" t="s">
        <v>27</v>
      </c>
      <c r="AL1798" s="3">
        <v>84.781513710300004</v>
      </c>
      <c r="AS1798" t="s">
        <v>1960</v>
      </c>
      <c r="AT1798" t="s">
        <v>88</v>
      </c>
      <c r="AU1798" t="s">
        <v>109</v>
      </c>
      <c r="AV1798" s="14">
        <v>18969.4067</v>
      </c>
    </row>
    <row r="1799" spans="26:48">
      <c r="Z1799" s="3"/>
      <c r="AC1799"/>
      <c r="AE1799" s="3"/>
      <c r="AH1799" t="s">
        <v>1865</v>
      </c>
      <c r="AI1799" t="s">
        <v>68</v>
      </c>
      <c r="AJ1799" t="s">
        <v>66</v>
      </c>
      <c r="AK1799" s="3" t="s">
        <v>114</v>
      </c>
      <c r="AL1799" s="3">
        <v>5145</v>
      </c>
      <c r="AS1799" t="s">
        <v>1960</v>
      </c>
      <c r="AT1799" t="s">
        <v>88</v>
      </c>
      <c r="AU1799" t="s">
        <v>110</v>
      </c>
      <c r="AV1799" s="14">
        <v>397.61059999999998</v>
      </c>
    </row>
    <row r="1800" spans="26:48">
      <c r="Z1800" s="3"/>
      <c r="AC1800"/>
      <c r="AE1800" s="3"/>
      <c r="AH1800" t="s">
        <v>1865</v>
      </c>
      <c r="AI1800" t="s">
        <v>68</v>
      </c>
      <c r="AJ1800" t="s">
        <v>98</v>
      </c>
      <c r="AK1800" s="3" t="s">
        <v>114</v>
      </c>
      <c r="AL1800" s="3">
        <v>-327.07027671229997</v>
      </c>
      <c r="AS1800" t="s">
        <v>1960</v>
      </c>
      <c r="AT1800" t="s">
        <v>88</v>
      </c>
      <c r="AU1800" t="s">
        <v>111</v>
      </c>
      <c r="AV1800" s="14">
        <v>9500</v>
      </c>
    </row>
    <row r="1801" spans="26:48">
      <c r="Z1801" s="3"/>
      <c r="AC1801"/>
      <c r="AE1801" s="3"/>
      <c r="AH1801" t="s">
        <v>1865</v>
      </c>
      <c r="AI1801" t="s">
        <v>68</v>
      </c>
      <c r="AJ1801" t="s">
        <v>66</v>
      </c>
      <c r="AK1801" s="3" t="s">
        <v>115</v>
      </c>
      <c r="AL1801" s="3">
        <v>11293.5</v>
      </c>
      <c r="AS1801" t="s">
        <v>1960</v>
      </c>
      <c r="AT1801" t="s">
        <v>88</v>
      </c>
      <c r="AU1801" t="s">
        <v>268</v>
      </c>
      <c r="AV1801" s="14">
        <v>-1000</v>
      </c>
    </row>
    <row r="1802" spans="26:48">
      <c r="Z1802" s="3"/>
      <c r="AC1802"/>
      <c r="AE1802" s="3"/>
      <c r="AH1802" t="s">
        <v>1865</v>
      </c>
      <c r="AI1802" t="s">
        <v>68</v>
      </c>
      <c r="AJ1802" t="s">
        <v>98</v>
      </c>
      <c r="AK1802" s="3" t="s">
        <v>115</v>
      </c>
      <c r="AL1802" s="3">
        <v>-411.8517904226</v>
      </c>
      <c r="AS1802" t="s">
        <v>1960</v>
      </c>
      <c r="AT1802" t="s">
        <v>88</v>
      </c>
      <c r="AU1802" t="s">
        <v>269</v>
      </c>
      <c r="AV1802" s="14">
        <v>0</v>
      </c>
    </row>
    <row r="1803" spans="26:48">
      <c r="Z1803" s="3"/>
      <c r="AC1803"/>
      <c r="AE1803" s="3"/>
      <c r="AH1803" t="s">
        <v>1865</v>
      </c>
      <c r="AI1803" t="s">
        <v>800</v>
      </c>
      <c r="AJ1803" t="s">
        <v>31</v>
      </c>
      <c r="AK1803" s="3" t="s">
        <v>27</v>
      </c>
      <c r="AL1803" s="3">
        <v>3.9916531996</v>
      </c>
      <c r="AS1803" t="s">
        <v>1960</v>
      </c>
      <c r="AT1803" t="s">
        <v>88</v>
      </c>
      <c r="AU1803" t="s">
        <v>270</v>
      </c>
      <c r="AV1803" s="14">
        <v>0</v>
      </c>
    </row>
    <row r="1804" spans="26:48">
      <c r="Z1804" s="3"/>
      <c r="AC1804"/>
      <c r="AE1804" s="3"/>
      <c r="AH1804" t="s">
        <v>1866</v>
      </c>
      <c r="AI1804" t="s">
        <v>65</v>
      </c>
      <c r="AJ1804" t="s">
        <v>66</v>
      </c>
      <c r="AK1804" s="3" t="s">
        <v>27</v>
      </c>
      <c r="AL1804" s="3">
        <v>32091.7</v>
      </c>
      <c r="AS1804" t="s">
        <v>1960</v>
      </c>
      <c r="AT1804" t="s">
        <v>88</v>
      </c>
      <c r="AU1804" t="s">
        <v>271</v>
      </c>
      <c r="AV1804" s="14">
        <v>11600</v>
      </c>
    </row>
    <row r="1805" spans="26:48">
      <c r="Z1805" s="3"/>
      <c r="AC1805"/>
      <c r="AE1805" s="3"/>
      <c r="AH1805" t="s">
        <v>1866</v>
      </c>
      <c r="AI1805" t="s">
        <v>65</v>
      </c>
      <c r="AJ1805" t="s">
        <v>72</v>
      </c>
      <c r="AK1805" s="3" t="s">
        <v>27</v>
      </c>
      <c r="AL1805" s="3">
        <v>32932.724899000001</v>
      </c>
      <c r="AS1805" t="s">
        <v>1960</v>
      </c>
      <c r="AT1805" t="s">
        <v>88</v>
      </c>
      <c r="AU1805" t="s">
        <v>272</v>
      </c>
      <c r="AV1805" s="14">
        <v>0</v>
      </c>
    </row>
    <row r="1806" spans="26:48">
      <c r="Z1806" s="3"/>
      <c r="AC1806"/>
      <c r="AE1806" s="3"/>
      <c r="AH1806" t="s">
        <v>1866</v>
      </c>
      <c r="AI1806" t="s">
        <v>65</v>
      </c>
      <c r="AJ1806" t="s">
        <v>113</v>
      </c>
      <c r="AK1806" s="3" t="s">
        <v>27</v>
      </c>
      <c r="AL1806" s="3">
        <v>2012.3108231002</v>
      </c>
      <c r="AS1806" t="s">
        <v>1960</v>
      </c>
      <c r="AT1806" t="s">
        <v>88</v>
      </c>
      <c r="AU1806" t="s">
        <v>273</v>
      </c>
      <c r="AV1806" s="14">
        <v>0</v>
      </c>
    </row>
    <row r="1807" spans="26:48">
      <c r="Z1807" s="3"/>
      <c r="AC1807"/>
      <c r="AE1807" s="3"/>
      <c r="AH1807" t="s">
        <v>1866</v>
      </c>
      <c r="AI1807" t="s">
        <v>65</v>
      </c>
      <c r="AJ1807" t="s">
        <v>108</v>
      </c>
      <c r="AK1807" s="3" t="s">
        <v>27</v>
      </c>
      <c r="AL1807" s="3">
        <v>-1171.2859241002</v>
      </c>
      <c r="AS1807" t="s">
        <v>1961</v>
      </c>
      <c r="AT1807" t="s">
        <v>88</v>
      </c>
      <c r="AU1807" t="s">
        <v>109</v>
      </c>
      <c r="AV1807" s="14">
        <v>20969.4067</v>
      </c>
    </row>
    <row r="1808" spans="26:48">
      <c r="Z1808" s="3"/>
      <c r="AC1808"/>
      <c r="AE1808" s="3"/>
      <c r="AH1808" t="s">
        <v>1866</v>
      </c>
      <c r="AI1808" t="s">
        <v>65</v>
      </c>
      <c r="AJ1808" t="s">
        <v>98</v>
      </c>
      <c r="AK1808" s="3" t="s">
        <v>27</v>
      </c>
      <c r="AL1808" s="3">
        <v>-1171.2859241002</v>
      </c>
      <c r="AS1808" t="s">
        <v>1961</v>
      </c>
      <c r="AT1808" t="s">
        <v>88</v>
      </c>
      <c r="AU1808" t="s">
        <v>110</v>
      </c>
      <c r="AV1808" s="14">
        <v>397.61059999999998</v>
      </c>
    </row>
    <row r="1809" spans="26:48">
      <c r="Z1809" s="3"/>
      <c r="AC1809"/>
      <c r="AE1809" s="3"/>
      <c r="AH1809" t="s">
        <v>1866</v>
      </c>
      <c r="AI1809" t="s">
        <v>67</v>
      </c>
      <c r="AJ1809" t="s">
        <v>66</v>
      </c>
      <c r="AK1809" s="3" t="s">
        <v>27</v>
      </c>
      <c r="AL1809" s="3">
        <v>-14281.2</v>
      </c>
      <c r="AS1809" t="s">
        <v>1961</v>
      </c>
      <c r="AT1809" t="s">
        <v>88</v>
      </c>
      <c r="AU1809" t="s">
        <v>111</v>
      </c>
      <c r="AV1809" s="14">
        <v>9500</v>
      </c>
    </row>
    <row r="1810" spans="26:48">
      <c r="Z1810" s="3"/>
      <c r="AC1810"/>
      <c r="AE1810" s="3"/>
      <c r="AH1810" t="s">
        <v>1866</v>
      </c>
      <c r="AI1810" t="s">
        <v>67</v>
      </c>
      <c r="AJ1810" t="s">
        <v>72</v>
      </c>
      <c r="AK1810" s="3" t="s">
        <v>27</v>
      </c>
      <c r="AL1810" s="3">
        <v>-15108.890998999999</v>
      </c>
      <c r="AS1810" t="s">
        <v>1961</v>
      </c>
      <c r="AT1810" t="s">
        <v>88</v>
      </c>
      <c r="AU1810" t="s">
        <v>268</v>
      </c>
      <c r="AV1810" s="14">
        <v>-3700</v>
      </c>
    </row>
    <row r="1811" spans="26:48">
      <c r="Z1811" s="3"/>
      <c r="AC1811"/>
      <c r="AE1811" s="3"/>
      <c r="AH1811" t="s">
        <v>1866</v>
      </c>
      <c r="AI1811" t="s">
        <v>67</v>
      </c>
      <c r="AJ1811" t="s">
        <v>113</v>
      </c>
      <c r="AK1811" s="3" t="s">
        <v>27</v>
      </c>
      <c r="AL1811" s="3">
        <v>-1073.2382768053999</v>
      </c>
      <c r="AS1811" t="s">
        <v>1961</v>
      </c>
      <c r="AT1811" t="s">
        <v>88</v>
      </c>
      <c r="AU1811" t="s">
        <v>269</v>
      </c>
      <c r="AV1811" s="14">
        <v>0</v>
      </c>
    </row>
    <row r="1812" spans="26:48">
      <c r="Z1812" s="3"/>
      <c r="AC1812"/>
      <c r="AE1812" s="3"/>
      <c r="AH1812" t="s">
        <v>1866</v>
      </c>
      <c r="AI1812" t="s">
        <v>67</v>
      </c>
      <c r="AJ1812" t="s">
        <v>108</v>
      </c>
      <c r="AK1812" s="3" t="s">
        <v>27</v>
      </c>
      <c r="AL1812" s="3">
        <v>245.5472778054</v>
      </c>
      <c r="AS1812" t="s">
        <v>1961</v>
      </c>
      <c r="AT1812" t="s">
        <v>88</v>
      </c>
      <c r="AU1812" t="s">
        <v>270</v>
      </c>
      <c r="AV1812" s="14">
        <v>0</v>
      </c>
    </row>
    <row r="1813" spans="26:48">
      <c r="Z1813" s="3"/>
      <c r="AC1813"/>
      <c r="AE1813" s="3"/>
      <c r="AH1813" t="s">
        <v>1866</v>
      </c>
      <c r="AI1813" t="s">
        <v>67</v>
      </c>
      <c r="AJ1813" t="s">
        <v>98</v>
      </c>
      <c r="AK1813" s="3" t="s">
        <v>27</v>
      </c>
      <c r="AL1813" s="3">
        <v>177.93970862730001</v>
      </c>
      <c r="AS1813" t="s">
        <v>1961</v>
      </c>
      <c r="AT1813" t="s">
        <v>88</v>
      </c>
      <c r="AU1813" t="s">
        <v>271</v>
      </c>
      <c r="AV1813" s="14">
        <v>11600</v>
      </c>
    </row>
    <row r="1814" spans="26:48">
      <c r="Z1814" s="3"/>
      <c r="AC1814"/>
      <c r="AE1814" s="3"/>
      <c r="AH1814" t="s">
        <v>1866</v>
      </c>
      <c r="AI1814" t="s">
        <v>67</v>
      </c>
      <c r="AJ1814" t="s">
        <v>66</v>
      </c>
      <c r="AK1814" s="3" t="s">
        <v>114</v>
      </c>
      <c r="AL1814" s="3">
        <v>1690</v>
      </c>
      <c r="AS1814" t="s">
        <v>1961</v>
      </c>
      <c r="AT1814" t="s">
        <v>88</v>
      </c>
      <c r="AU1814" t="s">
        <v>272</v>
      </c>
      <c r="AV1814" s="14">
        <v>0</v>
      </c>
    </row>
    <row r="1815" spans="26:48">
      <c r="Z1815" s="3"/>
      <c r="AC1815"/>
      <c r="AE1815" s="3"/>
      <c r="AH1815" t="s">
        <v>1866</v>
      </c>
      <c r="AI1815" t="s">
        <v>67</v>
      </c>
      <c r="AJ1815" t="s">
        <v>98</v>
      </c>
      <c r="AK1815" s="3" t="s">
        <v>114</v>
      </c>
      <c r="AL1815" s="3">
        <v>-110.43586917810001</v>
      </c>
      <c r="AS1815" t="s">
        <v>1961</v>
      </c>
      <c r="AT1815" t="s">
        <v>88</v>
      </c>
      <c r="AU1815" t="s">
        <v>273</v>
      </c>
      <c r="AV1815" s="14">
        <v>0</v>
      </c>
    </row>
    <row r="1816" spans="26:48">
      <c r="Z1816" s="3"/>
      <c r="AC1816"/>
      <c r="AE1816" s="3"/>
      <c r="AH1816" t="s">
        <v>1866</v>
      </c>
      <c r="AI1816" t="s">
        <v>67</v>
      </c>
      <c r="AJ1816" t="s">
        <v>66</v>
      </c>
      <c r="AK1816" s="3" t="s">
        <v>115</v>
      </c>
      <c r="AL1816" s="3">
        <v>15971.2</v>
      </c>
      <c r="AS1816" t="s">
        <v>1962</v>
      </c>
      <c r="AT1816" t="s">
        <v>88</v>
      </c>
      <c r="AU1816" t="s">
        <v>109</v>
      </c>
      <c r="AV1816" s="14">
        <v>21939.4067</v>
      </c>
    </row>
    <row r="1817" spans="26:48">
      <c r="Z1817" s="3"/>
      <c r="AC1817"/>
      <c r="AE1817" s="3"/>
      <c r="AH1817" t="s">
        <v>1866</v>
      </c>
      <c r="AI1817" t="s">
        <v>67</v>
      </c>
      <c r="AJ1817" t="s">
        <v>98</v>
      </c>
      <c r="AK1817" s="3" t="s">
        <v>115</v>
      </c>
      <c r="AL1817" s="3">
        <v>-288.37557780539998</v>
      </c>
      <c r="AS1817" t="s">
        <v>1962</v>
      </c>
      <c r="AT1817" t="s">
        <v>88</v>
      </c>
      <c r="AU1817" t="s">
        <v>110</v>
      </c>
      <c r="AV1817" s="14">
        <v>397.61059999999998</v>
      </c>
    </row>
    <row r="1818" spans="26:48">
      <c r="Z1818" s="3"/>
      <c r="AC1818"/>
      <c r="AE1818" s="3"/>
      <c r="AH1818" t="s">
        <v>1866</v>
      </c>
      <c r="AI1818" t="s">
        <v>68</v>
      </c>
      <c r="AJ1818" t="s">
        <v>66</v>
      </c>
      <c r="AK1818" s="3" t="s">
        <v>27</v>
      </c>
      <c r="AL1818" s="3">
        <v>-6398.5</v>
      </c>
      <c r="AS1818" t="s">
        <v>1962</v>
      </c>
      <c r="AT1818" t="s">
        <v>88</v>
      </c>
      <c r="AU1818" t="s">
        <v>111</v>
      </c>
      <c r="AV1818" s="14">
        <v>9500</v>
      </c>
    </row>
    <row r="1819" spans="26:48">
      <c r="Z1819" s="3"/>
      <c r="AC1819"/>
      <c r="AE1819" s="3"/>
      <c r="AH1819" t="s">
        <v>1866</v>
      </c>
      <c r="AI1819" t="s">
        <v>68</v>
      </c>
      <c r="AJ1819" t="s">
        <v>72</v>
      </c>
      <c r="AK1819" s="3" t="s">
        <v>27</v>
      </c>
      <c r="AL1819" s="3">
        <v>-7264.7518600000003</v>
      </c>
      <c r="AS1819" t="s">
        <v>1962</v>
      </c>
      <c r="AT1819" t="s">
        <v>88</v>
      </c>
      <c r="AU1819" t="s">
        <v>268</v>
      </c>
      <c r="AV1819" s="14">
        <v>-2300</v>
      </c>
    </row>
    <row r="1820" spans="26:48">
      <c r="Z1820" s="3"/>
      <c r="AC1820"/>
      <c r="AE1820" s="3"/>
      <c r="AH1820" t="s">
        <v>1866</v>
      </c>
      <c r="AI1820" t="s">
        <v>68</v>
      </c>
      <c r="AJ1820" t="s">
        <v>113</v>
      </c>
      <c r="AK1820" s="3" t="s">
        <v>27</v>
      </c>
      <c r="AL1820" s="3">
        <v>-809.27300498780005</v>
      </c>
      <c r="AS1820" t="s">
        <v>1962</v>
      </c>
      <c r="AT1820" t="s">
        <v>88</v>
      </c>
      <c r="AU1820" t="s">
        <v>269</v>
      </c>
      <c r="AV1820" s="14">
        <v>0</v>
      </c>
    </row>
    <row r="1821" spans="26:48">
      <c r="Z1821" s="3"/>
      <c r="AC1821"/>
      <c r="AE1821" s="3"/>
      <c r="AH1821" t="s">
        <v>1866</v>
      </c>
      <c r="AI1821" t="s">
        <v>68</v>
      </c>
      <c r="AJ1821" t="s">
        <v>108</v>
      </c>
      <c r="AK1821" s="3" t="s">
        <v>27</v>
      </c>
      <c r="AL1821" s="3">
        <v>-56.9788550122</v>
      </c>
      <c r="AS1821" t="s">
        <v>1962</v>
      </c>
      <c r="AT1821" t="s">
        <v>88</v>
      </c>
      <c r="AU1821" t="s">
        <v>270</v>
      </c>
      <c r="AV1821" s="14">
        <v>0</v>
      </c>
    </row>
    <row r="1822" spans="26:48">
      <c r="Z1822" s="3"/>
      <c r="AC1822"/>
      <c r="AE1822" s="3"/>
      <c r="AH1822" t="s">
        <v>1866</v>
      </c>
      <c r="AI1822" t="s">
        <v>68</v>
      </c>
      <c r="AJ1822" t="s">
        <v>98</v>
      </c>
      <c r="AK1822" s="3" t="s">
        <v>27</v>
      </c>
      <c r="AL1822" s="3">
        <v>129.10077211110001</v>
      </c>
      <c r="AS1822" t="s">
        <v>1962</v>
      </c>
      <c r="AT1822" t="s">
        <v>88</v>
      </c>
      <c r="AU1822" t="s">
        <v>271</v>
      </c>
      <c r="AV1822" s="14">
        <v>8430</v>
      </c>
    </row>
    <row r="1823" spans="26:48">
      <c r="Z1823" s="3"/>
      <c r="AC1823"/>
      <c r="AE1823" s="3"/>
      <c r="AH1823" t="s">
        <v>1866</v>
      </c>
      <c r="AI1823" t="s">
        <v>68</v>
      </c>
      <c r="AJ1823" t="s">
        <v>66</v>
      </c>
      <c r="AK1823" s="3" t="s">
        <v>114</v>
      </c>
      <c r="AL1823" s="3">
        <v>5239</v>
      </c>
      <c r="AS1823" t="s">
        <v>1962</v>
      </c>
      <c r="AT1823" t="s">
        <v>88</v>
      </c>
      <c r="AU1823" t="s">
        <v>272</v>
      </c>
      <c r="AV1823" s="14">
        <v>0</v>
      </c>
    </row>
    <row r="1824" spans="26:48">
      <c r="Z1824" s="3"/>
      <c r="AC1824"/>
      <c r="AE1824" s="3"/>
      <c r="AH1824" t="s">
        <v>1866</v>
      </c>
      <c r="AI1824" t="s">
        <v>68</v>
      </c>
      <c r="AJ1824" t="s">
        <v>98</v>
      </c>
      <c r="AK1824" s="3" t="s">
        <v>114</v>
      </c>
      <c r="AL1824" s="3">
        <v>-319.12147287670001</v>
      </c>
      <c r="AS1824" t="s">
        <v>1962</v>
      </c>
      <c r="AT1824" t="s">
        <v>88</v>
      </c>
      <c r="AU1824" t="s">
        <v>273</v>
      </c>
      <c r="AV1824" s="14">
        <v>0</v>
      </c>
    </row>
    <row r="1825" spans="26:48">
      <c r="Z1825" s="3"/>
      <c r="AC1825"/>
      <c r="AE1825" s="3"/>
      <c r="AH1825" t="s">
        <v>1866</v>
      </c>
      <c r="AI1825" t="s">
        <v>68</v>
      </c>
      <c r="AJ1825" t="s">
        <v>66</v>
      </c>
      <c r="AK1825" s="3" t="s">
        <v>115</v>
      </c>
      <c r="AL1825" s="3">
        <v>11637.5</v>
      </c>
      <c r="AS1825" t="s">
        <v>1963</v>
      </c>
      <c r="AT1825" t="s">
        <v>88</v>
      </c>
      <c r="AU1825" t="s">
        <v>109</v>
      </c>
      <c r="AV1825" s="14">
        <v>21939.4067</v>
      </c>
    </row>
    <row r="1826" spans="26:48">
      <c r="Z1826" s="3"/>
      <c r="AC1826"/>
      <c r="AE1826" s="3"/>
      <c r="AH1826" t="s">
        <v>1866</v>
      </c>
      <c r="AI1826" t="s">
        <v>68</v>
      </c>
      <c r="AJ1826" t="s">
        <v>98</v>
      </c>
      <c r="AK1826" s="3" t="s">
        <v>115</v>
      </c>
      <c r="AL1826" s="3">
        <v>-448.22224498780002</v>
      </c>
      <c r="AS1826" t="s">
        <v>1963</v>
      </c>
      <c r="AT1826" t="s">
        <v>88</v>
      </c>
      <c r="AU1826" t="s">
        <v>110</v>
      </c>
      <c r="AV1826" s="14">
        <v>397.61059999999998</v>
      </c>
    </row>
    <row r="1827" spans="26:48">
      <c r="Z1827" s="3"/>
      <c r="AC1827"/>
      <c r="AE1827" s="3"/>
      <c r="AH1827" t="s">
        <v>1866</v>
      </c>
      <c r="AI1827" t="s">
        <v>800</v>
      </c>
      <c r="AJ1827" t="s">
        <v>31</v>
      </c>
      <c r="AK1827" s="3" t="s">
        <v>27</v>
      </c>
      <c r="AL1827" s="3">
        <v>4.0136472025999996</v>
      </c>
      <c r="AS1827" t="s">
        <v>1963</v>
      </c>
      <c r="AT1827" t="s">
        <v>88</v>
      </c>
      <c r="AU1827" t="s">
        <v>111</v>
      </c>
      <c r="AV1827" s="14">
        <v>9500</v>
      </c>
    </row>
    <row r="1828" spans="26:48">
      <c r="Z1828" s="3"/>
      <c r="AC1828"/>
      <c r="AE1828" s="3"/>
      <c r="AH1828" t="s">
        <v>1867</v>
      </c>
      <c r="AI1828" t="s">
        <v>800</v>
      </c>
      <c r="AJ1828" t="s">
        <v>31</v>
      </c>
      <c r="AK1828" s="3" t="s">
        <v>27</v>
      </c>
      <c r="AL1828" s="3">
        <v>4.0126986176999999</v>
      </c>
      <c r="AS1828" t="s">
        <v>1963</v>
      </c>
      <c r="AT1828" t="s">
        <v>88</v>
      </c>
      <c r="AU1828" t="s">
        <v>268</v>
      </c>
      <c r="AV1828" s="14">
        <v>-1800</v>
      </c>
    </row>
    <row r="1829" spans="26:48">
      <c r="Z1829" s="3"/>
      <c r="AC1829"/>
      <c r="AE1829" s="3"/>
      <c r="AH1829" t="s">
        <v>1867</v>
      </c>
      <c r="AI1829" t="s">
        <v>65</v>
      </c>
      <c r="AJ1829" t="s">
        <v>66</v>
      </c>
      <c r="AK1829" s="3" t="s">
        <v>27</v>
      </c>
      <c r="AL1829" s="3">
        <v>34405.699999999997</v>
      </c>
      <c r="AS1829" t="s">
        <v>1963</v>
      </c>
      <c r="AT1829" t="s">
        <v>88</v>
      </c>
      <c r="AU1829" t="s">
        <v>269</v>
      </c>
      <c r="AV1829" s="14">
        <v>0</v>
      </c>
    </row>
    <row r="1830" spans="26:48">
      <c r="Z1830" s="3"/>
      <c r="AC1830"/>
      <c r="AE1830" s="3"/>
      <c r="AH1830" t="s">
        <v>1867</v>
      </c>
      <c r="AI1830" t="s">
        <v>65</v>
      </c>
      <c r="AJ1830" t="s">
        <v>72</v>
      </c>
      <c r="AK1830" s="3" t="s">
        <v>27</v>
      </c>
      <c r="AL1830" s="3">
        <v>35172.662164000001</v>
      </c>
      <c r="AS1830" t="s">
        <v>1963</v>
      </c>
      <c r="AT1830" t="s">
        <v>88</v>
      </c>
      <c r="AU1830" t="s">
        <v>270</v>
      </c>
      <c r="AV1830" s="14">
        <v>0</v>
      </c>
    </row>
    <row r="1831" spans="26:48">
      <c r="Z1831" s="3"/>
      <c r="AC1831"/>
      <c r="AE1831" s="3"/>
      <c r="AH1831" t="s">
        <v>1867</v>
      </c>
      <c r="AI1831" t="s">
        <v>65</v>
      </c>
      <c r="AJ1831" t="s">
        <v>113</v>
      </c>
      <c r="AK1831" s="3" t="s">
        <v>27</v>
      </c>
      <c r="AL1831" s="3">
        <v>2017.7460983976</v>
      </c>
      <c r="AS1831" t="s">
        <v>1963</v>
      </c>
      <c r="AT1831" t="s">
        <v>88</v>
      </c>
      <c r="AU1831" t="s">
        <v>271</v>
      </c>
      <c r="AV1831" s="14">
        <v>7930</v>
      </c>
    </row>
    <row r="1832" spans="26:48">
      <c r="Z1832" s="3"/>
      <c r="AC1832"/>
      <c r="AE1832" s="3"/>
      <c r="AH1832" t="s">
        <v>1867</v>
      </c>
      <c r="AI1832" t="s">
        <v>65</v>
      </c>
      <c r="AJ1832" t="s">
        <v>108</v>
      </c>
      <c r="AK1832" s="3" t="s">
        <v>27</v>
      </c>
      <c r="AL1832" s="3">
        <v>-1250.7839343976</v>
      </c>
      <c r="AS1832" t="s">
        <v>1963</v>
      </c>
      <c r="AT1832" t="s">
        <v>88</v>
      </c>
      <c r="AU1832" t="s">
        <v>272</v>
      </c>
      <c r="AV1832" s="14">
        <v>0</v>
      </c>
    </row>
    <row r="1833" spans="26:48">
      <c r="Z1833" s="3"/>
      <c r="AC1833"/>
      <c r="AE1833" s="3"/>
      <c r="AH1833" t="s">
        <v>1867</v>
      </c>
      <c r="AI1833" t="s">
        <v>65</v>
      </c>
      <c r="AJ1833" t="s">
        <v>98</v>
      </c>
      <c r="AK1833" s="3" t="s">
        <v>27</v>
      </c>
      <c r="AL1833" s="3">
        <v>-1250.7839343976</v>
      </c>
      <c r="AS1833" t="s">
        <v>1963</v>
      </c>
      <c r="AT1833" t="s">
        <v>88</v>
      </c>
      <c r="AU1833" t="s">
        <v>273</v>
      </c>
      <c r="AV1833" s="14">
        <v>0</v>
      </c>
    </row>
    <row r="1834" spans="26:48">
      <c r="Z1834" s="3"/>
      <c r="AC1834"/>
      <c r="AE1834" s="3"/>
      <c r="AH1834" t="s">
        <v>1867</v>
      </c>
      <c r="AI1834" t="s">
        <v>67</v>
      </c>
      <c r="AJ1834" t="s">
        <v>66</v>
      </c>
      <c r="AK1834" s="3" t="s">
        <v>27</v>
      </c>
      <c r="AL1834" s="3">
        <v>-18015.2</v>
      </c>
      <c r="AS1834" t="s">
        <v>1964</v>
      </c>
      <c r="AT1834" t="s">
        <v>88</v>
      </c>
      <c r="AU1834" t="s">
        <v>109</v>
      </c>
      <c r="AV1834" s="14">
        <v>23939.4067</v>
      </c>
    </row>
    <row r="1835" spans="26:48">
      <c r="Z1835" s="3"/>
      <c r="AC1835"/>
      <c r="AE1835" s="3"/>
      <c r="AH1835" t="s">
        <v>1867</v>
      </c>
      <c r="AI1835" t="s">
        <v>67</v>
      </c>
      <c r="AJ1835" t="s">
        <v>72</v>
      </c>
      <c r="AK1835" s="3" t="s">
        <v>27</v>
      </c>
      <c r="AL1835" s="3">
        <v>-18753.647699000001</v>
      </c>
      <c r="AS1835" t="s">
        <v>1964</v>
      </c>
      <c r="AT1835" t="s">
        <v>88</v>
      </c>
      <c r="AU1835" t="s">
        <v>110</v>
      </c>
      <c r="AV1835" s="14">
        <v>397.61059999999998</v>
      </c>
    </row>
    <row r="1836" spans="26:48">
      <c r="Z1836" s="3"/>
      <c r="AC1836"/>
      <c r="AE1836" s="3"/>
      <c r="AH1836" t="s">
        <v>1867</v>
      </c>
      <c r="AI1836" t="s">
        <v>67</v>
      </c>
      <c r="AJ1836" t="s">
        <v>113</v>
      </c>
      <c r="AK1836" s="3" t="s">
        <v>27</v>
      </c>
      <c r="AL1836" s="3">
        <v>-1135.9887184091999</v>
      </c>
      <c r="AS1836" t="s">
        <v>1964</v>
      </c>
      <c r="AT1836" t="s">
        <v>88</v>
      </c>
      <c r="AU1836" t="s">
        <v>111</v>
      </c>
      <c r="AV1836" s="14">
        <v>9500</v>
      </c>
    </row>
    <row r="1837" spans="26:48">
      <c r="Z1837" s="3"/>
      <c r="AC1837"/>
      <c r="AE1837" s="3"/>
      <c r="AH1837" t="s">
        <v>1867</v>
      </c>
      <c r="AI1837" t="s">
        <v>67</v>
      </c>
      <c r="AJ1837" t="s">
        <v>108</v>
      </c>
      <c r="AK1837" s="3" t="s">
        <v>27</v>
      </c>
      <c r="AL1837" s="3">
        <v>397.54101940919998</v>
      </c>
      <c r="AS1837" t="s">
        <v>1964</v>
      </c>
      <c r="AT1837" t="s">
        <v>88</v>
      </c>
      <c r="AU1837" t="s">
        <v>268</v>
      </c>
      <c r="AV1837" s="14">
        <v>-1000</v>
      </c>
    </row>
    <row r="1838" spans="26:48">
      <c r="Z1838" s="3"/>
      <c r="AC1838"/>
      <c r="AE1838" s="3"/>
      <c r="AH1838" t="s">
        <v>1867</v>
      </c>
      <c r="AI1838" t="s">
        <v>67</v>
      </c>
      <c r="AJ1838" t="s">
        <v>98</v>
      </c>
      <c r="AK1838" s="3" t="s">
        <v>27</v>
      </c>
      <c r="AL1838" s="3">
        <v>364.92198790229997</v>
      </c>
      <c r="AS1838" t="s">
        <v>1964</v>
      </c>
      <c r="AT1838" t="s">
        <v>88</v>
      </c>
      <c r="AU1838" t="s">
        <v>269</v>
      </c>
      <c r="AV1838" s="14">
        <v>0</v>
      </c>
    </row>
    <row r="1839" spans="26:48">
      <c r="Z1839" s="3"/>
      <c r="AC1839"/>
      <c r="AE1839" s="3"/>
      <c r="AH1839" t="s">
        <v>1867</v>
      </c>
      <c r="AI1839" t="s">
        <v>67</v>
      </c>
      <c r="AJ1839" t="s">
        <v>66</v>
      </c>
      <c r="AK1839" s="3" t="s">
        <v>114</v>
      </c>
      <c r="AL1839" s="3">
        <v>490</v>
      </c>
      <c r="AS1839" t="s">
        <v>1964</v>
      </c>
      <c r="AT1839" t="s">
        <v>88</v>
      </c>
      <c r="AU1839" t="s">
        <v>270</v>
      </c>
      <c r="AV1839" s="14">
        <v>0</v>
      </c>
    </row>
    <row r="1840" spans="26:48">
      <c r="Z1840" s="3"/>
      <c r="AC1840"/>
      <c r="AE1840" s="3"/>
      <c r="AH1840" t="s">
        <v>1867</v>
      </c>
      <c r="AI1840" t="s">
        <v>67</v>
      </c>
      <c r="AJ1840" t="s">
        <v>98</v>
      </c>
      <c r="AK1840" s="3" t="s">
        <v>114</v>
      </c>
      <c r="AL1840" s="3">
        <v>-10.7307315068</v>
      </c>
      <c r="AS1840" t="s">
        <v>1964</v>
      </c>
      <c r="AT1840" t="s">
        <v>88</v>
      </c>
      <c r="AU1840" t="s">
        <v>271</v>
      </c>
      <c r="AV1840" s="14">
        <v>4430</v>
      </c>
    </row>
    <row r="1841" spans="26:48">
      <c r="Z1841" s="3"/>
      <c r="AC1841"/>
      <c r="AE1841" s="3"/>
      <c r="AH1841" t="s">
        <v>1867</v>
      </c>
      <c r="AI1841" t="s">
        <v>67</v>
      </c>
      <c r="AJ1841" t="s">
        <v>66</v>
      </c>
      <c r="AK1841" s="3" t="s">
        <v>115</v>
      </c>
      <c r="AL1841" s="3">
        <v>18505.2</v>
      </c>
      <c r="AS1841" t="s">
        <v>1964</v>
      </c>
      <c r="AT1841" t="s">
        <v>88</v>
      </c>
      <c r="AU1841" t="s">
        <v>272</v>
      </c>
      <c r="AV1841" s="14">
        <v>0</v>
      </c>
    </row>
    <row r="1842" spans="26:48">
      <c r="Z1842" s="3"/>
      <c r="AC1842"/>
      <c r="AE1842" s="3"/>
      <c r="AH1842" t="s">
        <v>1867</v>
      </c>
      <c r="AI1842" t="s">
        <v>67</v>
      </c>
      <c r="AJ1842" t="s">
        <v>98</v>
      </c>
      <c r="AK1842" s="3" t="s">
        <v>115</v>
      </c>
      <c r="AL1842" s="3">
        <v>-375.65271940920002</v>
      </c>
      <c r="AS1842" t="s">
        <v>1964</v>
      </c>
      <c r="AT1842" t="s">
        <v>88</v>
      </c>
      <c r="AU1842" t="s">
        <v>273</v>
      </c>
      <c r="AV1842" s="14">
        <v>0</v>
      </c>
    </row>
    <row r="1843" spans="26:48">
      <c r="Z1843" s="3"/>
      <c r="AC1843"/>
      <c r="AE1843" s="3"/>
      <c r="AH1843" t="s">
        <v>1867</v>
      </c>
      <c r="AI1843" t="s">
        <v>68</v>
      </c>
      <c r="AJ1843" t="s">
        <v>66</v>
      </c>
      <c r="AK1843" s="3" t="s">
        <v>27</v>
      </c>
      <c r="AL1843" s="3">
        <v>-4978.5</v>
      </c>
      <c r="AS1843" t="s">
        <v>1965</v>
      </c>
      <c r="AT1843" t="s">
        <v>88</v>
      </c>
      <c r="AU1843" t="s">
        <v>109</v>
      </c>
      <c r="AV1843" s="14">
        <v>22639.4067</v>
      </c>
    </row>
    <row r="1844" spans="26:48">
      <c r="Z1844" s="3"/>
      <c r="AC1844"/>
      <c r="AE1844" s="3"/>
      <c r="AH1844" t="s">
        <v>1867</v>
      </c>
      <c r="AI1844" t="s">
        <v>68</v>
      </c>
      <c r="AJ1844" t="s">
        <v>72</v>
      </c>
      <c r="AK1844" s="3" t="s">
        <v>27</v>
      </c>
      <c r="AL1844" s="3">
        <v>-5857.3941249999998</v>
      </c>
      <c r="AS1844" t="s">
        <v>1965</v>
      </c>
      <c r="AT1844" t="s">
        <v>88</v>
      </c>
      <c r="AU1844" t="s">
        <v>110</v>
      </c>
      <c r="AV1844" s="14">
        <v>397.61059999999998</v>
      </c>
    </row>
    <row r="1845" spans="26:48">
      <c r="Z1845" s="3"/>
      <c r="AC1845"/>
      <c r="AE1845" s="3"/>
      <c r="AH1845" t="s">
        <v>1867</v>
      </c>
      <c r="AI1845" t="s">
        <v>68</v>
      </c>
      <c r="AJ1845" t="s">
        <v>113</v>
      </c>
      <c r="AK1845" s="3" t="s">
        <v>27</v>
      </c>
      <c r="AL1845" s="3">
        <v>-810.11682307520005</v>
      </c>
      <c r="AS1845" t="s">
        <v>1965</v>
      </c>
      <c r="AT1845" t="s">
        <v>88</v>
      </c>
      <c r="AU1845" t="s">
        <v>111</v>
      </c>
      <c r="AV1845" s="14">
        <v>9500</v>
      </c>
    </row>
    <row r="1846" spans="26:48">
      <c r="Z1846" s="3"/>
      <c r="AC1846"/>
      <c r="AE1846" s="3"/>
      <c r="AH1846" t="s">
        <v>1867</v>
      </c>
      <c r="AI1846" t="s">
        <v>68</v>
      </c>
      <c r="AJ1846" t="s">
        <v>108</v>
      </c>
      <c r="AK1846" s="3" t="s">
        <v>27</v>
      </c>
      <c r="AL1846" s="3">
        <v>-68.7773019248</v>
      </c>
      <c r="AS1846" t="s">
        <v>1965</v>
      </c>
      <c r="AT1846" t="s">
        <v>88</v>
      </c>
      <c r="AU1846" t="s">
        <v>268</v>
      </c>
      <c r="AV1846" s="14">
        <v>400</v>
      </c>
    </row>
    <row r="1847" spans="26:48">
      <c r="Z1847" s="3"/>
      <c r="AC1847"/>
      <c r="AE1847" s="3"/>
      <c r="AH1847" t="s">
        <v>1867</v>
      </c>
      <c r="AI1847" t="s">
        <v>68</v>
      </c>
      <c r="AJ1847" t="s">
        <v>98</v>
      </c>
      <c r="AK1847" s="3" t="s">
        <v>27</v>
      </c>
      <c r="AL1847" s="3">
        <v>23.808066157399999</v>
      </c>
      <c r="AS1847" t="s">
        <v>1965</v>
      </c>
      <c r="AT1847" t="s">
        <v>88</v>
      </c>
      <c r="AU1847" t="s">
        <v>269</v>
      </c>
      <c r="AV1847" s="14">
        <v>0</v>
      </c>
    </row>
    <row r="1848" spans="26:48">
      <c r="Z1848" s="3"/>
      <c r="AC1848"/>
      <c r="AE1848" s="3"/>
      <c r="AH1848" t="s">
        <v>1867</v>
      </c>
      <c r="AI1848" t="s">
        <v>68</v>
      </c>
      <c r="AJ1848" t="s">
        <v>66</v>
      </c>
      <c r="AK1848" s="3" t="s">
        <v>114</v>
      </c>
      <c r="AL1848" s="3">
        <v>5467</v>
      </c>
      <c r="AS1848" t="s">
        <v>1965</v>
      </c>
      <c r="AT1848" t="s">
        <v>88</v>
      </c>
      <c r="AU1848" t="s">
        <v>270</v>
      </c>
      <c r="AV1848" s="14">
        <v>0</v>
      </c>
    </row>
    <row r="1849" spans="26:48">
      <c r="Z1849" s="3"/>
      <c r="AC1849"/>
      <c r="AE1849" s="3"/>
      <c r="AH1849" t="s">
        <v>1867</v>
      </c>
      <c r="AI1849" t="s">
        <v>68</v>
      </c>
      <c r="AJ1849" t="s">
        <v>98</v>
      </c>
      <c r="AK1849" s="3" t="s">
        <v>114</v>
      </c>
      <c r="AL1849" s="3">
        <v>-325.95327191780001</v>
      </c>
      <c r="AS1849" t="s">
        <v>1965</v>
      </c>
      <c r="AT1849" t="s">
        <v>88</v>
      </c>
      <c r="AU1849" t="s">
        <v>271</v>
      </c>
      <c r="AV1849" s="14">
        <v>2430</v>
      </c>
    </row>
    <row r="1850" spans="26:48">
      <c r="Z1850" s="3"/>
      <c r="AC1850"/>
      <c r="AE1850" s="3"/>
      <c r="AH1850" t="s">
        <v>1867</v>
      </c>
      <c r="AI1850" t="s">
        <v>68</v>
      </c>
      <c r="AJ1850" t="s">
        <v>66</v>
      </c>
      <c r="AK1850" s="3" t="s">
        <v>115</v>
      </c>
      <c r="AL1850" s="3">
        <v>10445.5</v>
      </c>
      <c r="AS1850" t="s">
        <v>1965</v>
      </c>
      <c r="AT1850" t="s">
        <v>88</v>
      </c>
      <c r="AU1850" t="s">
        <v>272</v>
      </c>
      <c r="AV1850" s="14">
        <v>0</v>
      </c>
    </row>
    <row r="1851" spans="26:48">
      <c r="Z1851" s="3"/>
      <c r="AC1851"/>
      <c r="AE1851" s="3"/>
      <c r="AH1851" t="s">
        <v>1867</v>
      </c>
      <c r="AI1851" t="s">
        <v>68</v>
      </c>
      <c r="AJ1851" t="s">
        <v>98</v>
      </c>
      <c r="AK1851" s="3" t="s">
        <v>115</v>
      </c>
      <c r="AL1851" s="3">
        <v>-349.7613380752</v>
      </c>
      <c r="AS1851" t="s">
        <v>1965</v>
      </c>
      <c r="AT1851" t="s">
        <v>88</v>
      </c>
      <c r="AU1851" t="s">
        <v>273</v>
      </c>
      <c r="AV1851" s="14">
        <v>0</v>
      </c>
    </row>
    <row r="1852" spans="26:48">
      <c r="Z1852" s="3"/>
      <c r="AC1852"/>
      <c r="AE1852" s="3"/>
      <c r="AH1852" t="s">
        <v>1868</v>
      </c>
      <c r="AI1852" t="s">
        <v>65</v>
      </c>
      <c r="AJ1852" t="s">
        <v>66</v>
      </c>
      <c r="AK1852" s="3" t="s">
        <v>27</v>
      </c>
      <c r="AL1852" s="3">
        <v>35585.699999999997</v>
      </c>
      <c r="AS1852" t="s">
        <v>1966</v>
      </c>
      <c r="AT1852" t="s">
        <v>88</v>
      </c>
      <c r="AU1852" t="s">
        <v>109</v>
      </c>
      <c r="AV1852" s="14">
        <v>22160.313300000002</v>
      </c>
    </row>
    <row r="1853" spans="26:48">
      <c r="Z1853" s="3"/>
      <c r="AC1853"/>
      <c r="AE1853" s="3"/>
      <c r="AH1853" t="s">
        <v>1868</v>
      </c>
      <c r="AI1853" t="s">
        <v>65</v>
      </c>
      <c r="AJ1853" t="s">
        <v>72</v>
      </c>
      <c r="AK1853" s="3" t="s">
        <v>27</v>
      </c>
      <c r="AL1853" s="3">
        <v>36249.27276</v>
      </c>
      <c r="AS1853" t="s">
        <v>1966</v>
      </c>
      <c r="AT1853" t="s">
        <v>88</v>
      </c>
      <c r="AU1853" t="s">
        <v>110</v>
      </c>
      <c r="AV1853" s="14">
        <v>397.61059999999998</v>
      </c>
    </row>
    <row r="1854" spans="26:48">
      <c r="Z1854" s="3"/>
      <c r="AC1854"/>
      <c r="AE1854" s="3"/>
      <c r="AH1854" t="s">
        <v>1868</v>
      </c>
      <c r="AI1854" t="s">
        <v>65</v>
      </c>
      <c r="AJ1854" t="s">
        <v>113</v>
      </c>
      <c r="AK1854" s="3" t="s">
        <v>27</v>
      </c>
      <c r="AL1854" s="3">
        <v>1985.5039673481001</v>
      </c>
      <c r="AS1854" t="s">
        <v>1966</v>
      </c>
      <c r="AT1854" t="s">
        <v>88</v>
      </c>
      <c r="AU1854" t="s">
        <v>111</v>
      </c>
      <c r="AV1854" s="14">
        <v>9500</v>
      </c>
    </row>
    <row r="1855" spans="26:48">
      <c r="Z1855" s="3"/>
      <c r="AC1855"/>
      <c r="AE1855" s="3"/>
      <c r="AH1855" t="s">
        <v>1868</v>
      </c>
      <c r="AI1855" t="s">
        <v>65</v>
      </c>
      <c r="AJ1855" t="s">
        <v>108</v>
      </c>
      <c r="AK1855" s="3" t="s">
        <v>27</v>
      </c>
      <c r="AL1855" s="3">
        <v>-1321.9312073481001</v>
      </c>
      <c r="AS1855" t="s">
        <v>1966</v>
      </c>
      <c r="AT1855" t="s">
        <v>88</v>
      </c>
      <c r="AU1855" t="s">
        <v>268</v>
      </c>
      <c r="AV1855" s="14">
        <v>420</v>
      </c>
    </row>
    <row r="1856" spans="26:48">
      <c r="Z1856" s="3"/>
      <c r="AC1856"/>
      <c r="AE1856" s="3"/>
      <c r="AH1856" t="s">
        <v>1868</v>
      </c>
      <c r="AI1856" t="s">
        <v>65</v>
      </c>
      <c r="AJ1856" t="s">
        <v>98</v>
      </c>
      <c r="AK1856" s="3" t="s">
        <v>27</v>
      </c>
      <c r="AL1856" s="3">
        <v>-1321.9312073481001</v>
      </c>
      <c r="AS1856" t="s">
        <v>1966</v>
      </c>
      <c r="AT1856" t="s">
        <v>88</v>
      </c>
      <c r="AU1856" t="s">
        <v>269</v>
      </c>
      <c r="AV1856" s="14">
        <v>0</v>
      </c>
    </row>
    <row r="1857" spans="26:48">
      <c r="Z1857" s="3"/>
      <c r="AC1857"/>
      <c r="AE1857" s="3"/>
      <c r="AH1857" t="s">
        <v>1868</v>
      </c>
      <c r="AI1857" t="s">
        <v>67</v>
      </c>
      <c r="AJ1857" t="s">
        <v>66</v>
      </c>
      <c r="AK1857" s="3" t="s">
        <v>27</v>
      </c>
      <c r="AL1857" s="3">
        <v>-18945.2</v>
      </c>
      <c r="AS1857" t="s">
        <v>1966</v>
      </c>
      <c r="AT1857" t="s">
        <v>88</v>
      </c>
      <c r="AU1857" t="s">
        <v>270</v>
      </c>
      <c r="AV1857" s="14">
        <v>0</v>
      </c>
    </row>
    <row r="1858" spans="26:48">
      <c r="Z1858" s="3"/>
      <c r="AC1858"/>
      <c r="AE1858" s="3"/>
      <c r="AH1858" t="s">
        <v>1868</v>
      </c>
      <c r="AI1858" t="s">
        <v>67</v>
      </c>
      <c r="AJ1858" t="s">
        <v>72</v>
      </c>
      <c r="AK1858" s="3" t="s">
        <v>27</v>
      </c>
      <c r="AL1858" s="3">
        <v>-19697.085214999999</v>
      </c>
      <c r="AS1858" t="s">
        <v>1966</v>
      </c>
      <c r="AT1858" t="s">
        <v>88</v>
      </c>
      <c r="AU1858" t="s">
        <v>271</v>
      </c>
      <c r="AV1858" s="14">
        <v>2430</v>
      </c>
    </row>
    <row r="1859" spans="26:48">
      <c r="Z1859" s="3"/>
      <c r="AC1859"/>
      <c r="AE1859" s="3"/>
      <c r="AH1859" t="s">
        <v>1868</v>
      </c>
      <c r="AI1859" t="s">
        <v>67</v>
      </c>
      <c r="AJ1859" t="s">
        <v>113</v>
      </c>
      <c r="AK1859" s="3" t="s">
        <v>27</v>
      </c>
      <c r="AL1859" s="3">
        <v>-1177.2052813309001</v>
      </c>
      <c r="AS1859" t="s">
        <v>1966</v>
      </c>
      <c r="AT1859" t="s">
        <v>88</v>
      </c>
      <c r="AU1859" t="s">
        <v>272</v>
      </c>
      <c r="AV1859" s="14">
        <v>0</v>
      </c>
    </row>
    <row r="1860" spans="26:48">
      <c r="Z1860" s="3"/>
      <c r="AC1860"/>
      <c r="AE1860" s="3"/>
      <c r="AH1860" t="s">
        <v>1868</v>
      </c>
      <c r="AI1860" t="s">
        <v>67</v>
      </c>
      <c r="AJ1860" t="s">
        <v>108</v>
      </c>
      <c r="AK1860" s="3" t="s">
        <v>27</v>
      </c>
      <c r="AL1860" s="3">
        <v>425.32006633089998</v>
      </c>
      <c r="AS1860" t="s">
        <v>1966</v>
      </c>
      <c r="AT1860" t="s">
        <v>88</v>
      </c>
      <c r="AU1860" t="s">
        <v>273</v>
      </c>
      <c r="AV1860" s="14">
        <v>0</v>
      </c>
    </row>
    <row r="1861" spans="26:48">
      <c r="Z1861" s="3"/>
      <c r="AC1861"/>
      <c r="AE1861" s="3"/>
      <c r="AH1861" t="s">
        <v>1868</v>
      </c>
      <c r="AI1861" t="s">
        <v>67</v>
      </c>
      <c r="AJ1861" t="s">
        <v>98</v>
      </c>
      <c r="AK1861" s="3" t="s">
        <v>27</v>
      </c>
      <c r="AL1861" s="3">
        <v>425.32006633089998</v>
      </c>
      <c r="AS1861" t="s">
        <v>1967</v>
      </c>
      <c r="AT1861" t="s">
        <v>88</v>
      </c>
      <c r="AU1861" t="s">
        <v>109</v>
      </c>
      <c r="AV1861" s="14">
        <v>24590.313300000002</v>
      </c>
    </row>
    <row r="1862" spans="26:48">
      <c r="Z1862" s="3"/>
      <c r="AC1862"/>
      <c r="AE1862" s="3"/>
      <c r="AH1862" t="s">
        <v>1868</v>
      </c>
      <c r="AI1862" t="s">
        <v>67</v>
      </c>
      <c r="AJ1862" t="s">
        <v>66</v>
      </c>
      <c r="AK1862" s="3" t="s">
        <v>114</v>
      </c>
      <c r="AL1862" s="3">
        <v>0</v>
      </c>
      <c r="AS1862" t="s">
        <v>1967</v>
      </c>
      <c r="AT1862" t="s">
        <v>88</v>
      </c>
      <c r="AU1862" t="s">
        <v>110</v>
      </c>
      <c r="AV1862" s="14">
        <v>397.61059999999998</v>
      </c>
    </row>
    <row r="1863" spans="26:48">
      <c r="Z1863" s="3"/>
      <c r="AC1863"/>
      <c r="AE1863" s="3"/>
      <c r="AH1863" t="s">
        <v>1868</v>
      </c>
      <c r="AI1863" t="s">
        <v>67</v>
      </c>
      <c r="AJ1863" t="s">
        <v>98</v>
      </c>
      <c r="AK1863" s="3" t="s">
        <v>114</v>
      </c>
      <c r="AL1863" s="3">
        <v>0</v>
      </c>
      <c r="AS1863" t="s">
        <v>1967</v>
      </c>
      <c r="AT1863" t="s">
        <v>88</v>
      </c>
      <c r="AU1863" t="s">
        <v>111</v>
      </c>
      <c r="AV1863" s="14">
        <v>9000</v>
      </c>
    </row>
    <row r="1864" spans="26:48">
      <c r="Z1864" s="3"/>
      <c r="AC1864"/>
      <c r="AE1864" s="3"/>
      <c r="AH1864" t="s">
        <v>1868</v>
      </c>
      <c r="AI1864" t="s">
        <v>67</v>
      </c>
      <c r="AJ1864" t="s">
        <v>66</v>
      </c>
      <c r="AK1864" s="3" t="s">
        <v>115</v>
      </c>
      <c r="AL1864" s="3">
        <v>18945.2</v>
      </c>
      <c r="AS1864" t="s">
        <v>1967</v>
      </c>
      <c r="AT1864" t="s">
        <v>88</v>
      </c>
      <c r="AU1864" t="s">
        <v>268</v>
      </c>
      <c r="AV1864" s="14">
        <v>-2330</v>
      </c>
    </row>
    <row r="1865" spans="26:48">
      <c r="Z1865" s="3"/>
      <c r="AC1865"/>
      <c r="AE1865" s="3"/>
      <c r="AH1865" t="s">
        <v>1868</v>
      </c>
      <c r="AI1865" t="s">
        <v>67</v>
      </c>
      <c r="AJ1865" t="s">
        <v>98</v>
      </c>
      <c r="AK1865" s="3" t="s">
        <v>115</v>
      </c>
      <c r="AL1865" s="3">
        <v>-425.32006633089998</v>
      </c>
      <c r="AS1865" t="s">
        <v>1967</v>
      </c>
      <c r="AT1865" t="s">
        <v>88</v>
      </c>
      <c r="AU1865" t="s">
        <v>269</v>
      </c>
      <c r="AV1865" s="14">
        <v>0</v>
      </c>
    </row>
    <row r="1866" spans="26:48">
      <c r="Z1866" s="3"/>
      <c r="AC1866"/>
      <c r="AE1866" s="3"/>
      <c r="AH1866" t="s">
        <v>1868</v>
      </c>
      <c r="AI1866" t="s">
        <v>68</v>
      </c>
      <c r="AJ1866" t="s">
        <v>66</v>
      </c>
      <c r="AK1866" s="3" t="s">
        <v>27</v>
      </c>
      <c r="AL1866" s="3">
        <v>-5228.5</v>
      </c>
      <c r="AS1866" t="s">
        <v>1967</v>
      </c>
      <c r="AT1866" t="s">
        <v>88</v>
      </c>
      <c r="AU1866" t="s">
        <v>270</v>
      </c>
      <c r="AV1866" s="14">
        <v>0</v>
      </c>
    </row>
    <row r="1867" spans="26:48">
      <c r="Z1867" s="3"/>
      <c r="AC1867"/>
      <c r="AE1867" s="3"/>
      <c r="AH1867" t="s">
        <v>1868</v>
      </c>
      <c r="AI1867" t="s">
        <v>68</v>
      </c>
      <c r="AJ1867" t="s">
        <v>72</v>
      </c>
      <c r="AK1867" s="3" t="s">
        <v>27</v>
      </c>
      <c r="AL1867" s="3">
        <v>-5989.6888849999996</v>
      </c>
      <c r="AS1867" t="s">
        <v>1967</v>
      </c>
      <c r="AT1867" t="s">
        <v>88</v>
      </c>
      <c r="AU1867" t="s">
        <v>271</v>
      </c>
      <c r="AV1867" s="14">
        <v>2830</v>
      </c>
    </row>
    <row r="1868" spans="26:48">
      <c r="Z1868" s="3"/>
      <c r="AC1868"/>
      <c r="AE1868" s="3"/>
      <c r="AH1868" t="s">
        <v>1868</v>
      </c>
      <c r="AI1868" t="s">
        <v>68</v>
      </c>
      <c r="AJ1868" t="s">
        <v>113</v>
      </c>
      <c r="AK1868" s="3" t="s">
        <v>27</v>
      </c>
      <c r="AL1868" s="3">
        <v>-796.54606415600006</v>
      </c>
      <c r="AS1868" t="s">
        <v>1967</v>
      </c>
      <c r="AT1868" t="s">
        <v>88</v>
      </c>
      <c r="AU1868" t="s">
        <v>272</v>
      </c>
      <c r="AV1868" s="14">
        <v>0</v>
      </c>
    </row>
    <row r="1869" spans="26:48">
      <c r="Z1869" s="3"/>
      <c r="AC1869"/>
      <c r="AE1869" s="3"/>
      <c r="AH1869" t="s">
        <v>1868</v>
      </c>
      <c r="AI1869" t="s">
        <v>68</v>
      </c>
      <c r="AJ1869" t="s">
        <v>108</v>
      </c>
      <c r="AK1869" s="3" t="s">
        <v>27</v>
      </c>
      <c r="AL1869" s="3">
        <v>35.357179156000001</v>
      </c>
      <c r="AS1869" t="s">
        <v>1967</v>
      </c>
      <c r="AT1869" t="s">
        <v>88</v>
      </c>
      <c r="AU1869" t="s">
        <v>273</v>
      </c>
      <c r="AV1869" s="14">
        <v>0</v>
      </c>
    </row>
    <row r="1870" spans="26:48">
      <c r="Z1870" s="3"/>
      <c r="AC1870"/>
      <c r="AE1870" s="3"/>
      <c r="AH1870" t="s">
        <v>1868</v>
      </c>
      <c r="AI1870" t="s">
        <v>68</v>
      </c>
      <c r="AJ1870" t="s">
        <v>98</v>
      </c>
      <c r="AK1870" s="3" t="s">
        <v>27</v>
      </c>
      <c r="AL1870" s="3">
        <v>35.357179156000001</v>
      </c>
      <c r="AS1870" t="s">
        <v>1968</v>
      </c>
      <c r="AT1870" t="s">
        <v>88</v>
      </c>
      <c r="AU1870" t="s">
        <v>109</v>
      </c>
      <c r="AV1870" s="14">
        <v>28290.313300000002</v>
      </c>
    </row>
    <row r="1871" spans="26:48">
      <c r="Z1871" s="3"/>
      <c r="AC1871"/>
      <c r="AE1871" s="3"/>
      <c r="AH1871" t="s">
        <v>1868</v>
      </c>
      <c r="AI1871" t="s">
        <v>68</v>
      </c>
      <c r="AJ1871" t="s">
        <v>66</v>
      </c>
      <c r="AK1871" s="3" t="s">
        <v>114</v>
      </c>
      <c r="AL1871" s="3">
        <v>5857</v>
      </c>
      <c r="AS1871" t="s">
        <v>1968</v>
      </c>
      <c r="AT1871" t="s">
        <v>88</v>
      </c>
      <c r="AU1871" t="s">
        <v>110</v>
      </c>
      <c r="AV1871" s="14">
        <v>397.61059999999998</v>
      </c>
    </row>
    <row r="1872" spans="26:48">
      <c r="Z1872" s="3"/>
      <c r="AC1872"/>
      <c r="AE1872" s="3"/>
      <c r="AH1872" t="s">
        <v>1868</v>
      </c>
      <c r="AI1872" t="s">
        <v>68</v>
      </c>
      <c r="AJ1872" t="s">
        <v>98</v>
      </c>
      <c r="AK1872" s="3" t="s">
        <v>114</v>
      </c>
      <c r="AL1872" s="3">
        <v>-327.55736383559997</v>
      </c>
      <c r="AS1872" t="s">
        <v>1968</v>
      </c>
      <c r="AT1872" t="s">
        <v>88</v>
      </c>
      <c r="AU1872" t="s">
        <v>111</v>
      </c>
      <c r="AV1872" s="14">
        <v>9000</v>
      </c>
    </row>
    <row r="1873" spans="26:48">
      <c r="Z1873" s="3"/>
      <c r="AC1873"/>
      <c r="AE1873" s="3"/>
      <c r="AH1873" t="s">
        <v>1868</v>
      </c>
      <c r="AI1873" t="s">
        <v>68</v>
      </c>
      <c r="AJ1873" t="s">
        <v>66</v>
      </c>
      <c r="AK1873" s="3" t="s">
        <v>115</v>
      </c>
      <c r="AL1873" s="3">
        <v>11085.5</v>
      </c>
      <c r="AS1873" t="s">
        <v>1968</v>
      </c>
      <c r="AT1873" t="s">
        <v>88</v>
      </c>
      <c r="AU1873" t="s">
        <v>268</v>
      </c>
      <c r="AV1873" s="14">
        <v>-4330</v>
      </c>
    </row>
    <row r="1874" spans="26:48">
      <c r="Z1874" s="3"/>
      <c r="AC1874"/>
      <c r="AE1874" s="3"/>
      <c r="AH1874" t="s">
        <v>1868</v>
      </c>
      <c r="AI1874" t="s">
        <v>68</v>
      </c>
      <c r="AJ1874" t="s">
        <v>98</v>
      </c>
      <c r="AK1874" s="3" t="s">
        <v>115</v>
      </c>
      <c r="AL1874" s="3">
        <v>-362.9145429916</v>
      </c>
      <c r="AS1874" t="s">
        <v>1968</v>
      </c>
      <c r="AT1874" t="s">
        <v>88</v>
      </c>
      <c r="AU1874" t="s">
        <v>269</v>
      </c>
      <c r="AV1874" s="14">
        <v>0</v>
      </c>
    </row>
    <row r="1875" spans="26:48">
      <c r="Z1875" s="3"/>
      <c r="AC1875"/>
      <c r="AE1875" s="3"/>
      <c r="AH1875" t="s">
        <v>1868</v>
      </c>
      <c r="AI1875" t="s">
        <v>800</v>
      </c>
      <c r="AJ1875" t="s">
        <v>31</v>
      </c>
      <c r="AK1875" s="3" t="s">
        <v>27</v>
      </c>
      <c r="AL1875" s="3">
        <v>3.9901033513000002</v>
      </c>
      <c r="AS1875" t="s">
        <v>1968</v>
      </c>
      <c r="AT1875" t="s">
        <v>88</v>
      </c>
      <c r="AU1875" t="s">
        <v>270</v>
      </c>
      <c r="AV1875" s="14">
        <v>0</v>
      </c>
    </row>
    <row r="1876" spans="26:48">
      <c r="Z1876" s="3"/>
      <c r="AC1876"/>
      <c r="AE1876" s="3"/>
      <c r="AH1876" t="s">
        <v>1869</v>
      </c>
      <c r="AI1876" t="s">
        <v>65</v>
      </c>
      <c r="AJ1876" t="s">
        <v>66</v>
      </c>
      <c r="AK1876" s="3" t="s">
        <v>27</v>
      </c>
      <c r="AL1876" s="3">
        <v>35919.699999999997</v>
      </c>
      <c r="AS1876" t="s">
        <v>1968</v>
      </c>
      <c r="AT1876" t="s">
        <v>88</v>
      </c>
      <c r="AU1876" t="s">
        <v>271</v>
      </c>
      <c r="AV1876" s="14">
        <v>330</v>
      </c>
    </row>
    <row r="1877" spans="26:48">
      <c r="Z1877" s="3"/>
      <c r="AC1877"/>
      <c r="AE1877" s="3"/>
      <c r="AH1877" t="s">
        <v>1869</v>
      </c>
      <c r="AI1877" t="s">
        <v>65</v>
      </c>
      <c r="AJ1877" t="s">
        <v>72</v>
      </c>
      <c r="AK1877" s="3" t="s">
        <v>27</v>
      </c>
      <c r="AL1877" s="3">
        <v>36559.899442000002</v>
      </c>
      <c r="AS1877" t="s">
        <v>1968</v>
      </c>
      <c r="AT1877" t="s">
        <v>88</v>
      </c>
      <c r="AU1877" t="s">
        <v>272</v>
      </c>
      <c r="AV1877" s="14">
        <v>0</v>
      </c>
    </row>
    <row r="1878" spans="26:48">
      <c r="Z1878" s="3"/>
      <c r="AC1878"/>
      <c r="AE1878" s="3"/>
      <c r="AH1878" t="s">
        <v>1869</v>
      </c>
      <c r="AI1878" t="s">
        <v>65</v>
      </c>
      <c r="AJ1878" t="s">
        <v>113</v>
      </c>
      <c r="AK1878" s="3" t="s">
        <v>27</v>
      </c>
      <c r="AL1878" s="3">
        <v>1951.6821662888001</v>
      </c>
      <c r="AS1878" t="s">
        <v>1968</v>
      </c>
      <c r="AT1878" t="s">
        <v>88</v>
      </c>
      <c r="AU1878" t="s">
        <v>273</v>
      </c>
      <c r="AV1878" s="14">
        <v>0</v>
      </c>
    </row>
    <row r="1879" spans="26:48">
      <c r="Z1879" s="3"/>
      <c r="AC1879"/>
      <c r="AE1879" s="3"/>
      <c r="AH1879" t="s">
        <v>1869</v>
      </c>
      <c r="AI1879" t="s">
        <v>65</v>
      </c>
      <c r="AJ1879" t="s">
        <v>108</v>
      </c>
      <c r="AK1879" s="3" t="s">
        <v>27</v>
      </c>
      <c r="AL1879" s="3">
        <v>-1311.4827242888</v>
      </c>
      <c r="AS1879" t="s">
        <v>1969</v>
      </c>
      <c r="AT1879" t="s">
        <v>88</v>
      </c>
      <c r="AU1879" t="s">
        <v>109</v>
      </c>
      <c r="AV1879" s="14">
        <v>27790.313300000002</v>
      </c>
    </row>
    <row r="1880" spans="26:48">
      <c r="Z1880" s="3"/>
      <c r="AC1880"/>
      <c r="AE1880" s="3"/>
      <c r="AH1880" t="s">
        <v>1869</v>
      </c>
      <c r="AI1880" t="s">
        <v>65</v>
      </c>
      <c r="AJ1880" t="s">
        <v>98</v>
      </c>
      <c r="AK1880" s="3" t="s">
        <v>27</v>
      </c>
      <c r="AL1880" s="3">
        <v>-1311.4827242888</v>
      </c>
      <c r="AS1880" t="s">
        <v>1969</v>
      </c>
      <c r="AT1880" t="s">
        <v>88</v>
      </c>
      <c r="AU1880" t="s">
        <v>110</v>
      </c>
      <c r="AV1880" s="14">
        <v>397.61059999999998</v>
      </c>
    </row>
    <row r="1881" spans="26:48">
      <c r="Z1881" s="3"/>
      <c r="AC1881"/>
      <c r="AE1881" s="3"/>
      <c r="AH1881" t="s">
        <v>1869</v>
      </c>
      <c r="AI1881" t="s">
        <v>67</v>
      </c>
      <c r="AJ1881" t="s">
        <v>66</v>
      </c>
      <c r="AK1881" s="3" t="s">
        <v>27</v>
      </c>
      <c r="AL1881" s="3">
        <v>-18099.2</v>
      </c>
      <c r="AS1881" t="s">
        <v>1969</v>
      </c>
      <c r="AT1881" t="s">
        <v>88</v>
      </c>
      <c r="AU1881" t="s">
        <v>111</v>
      </c>
      <c r="AV1881" s="14">
        <v>9000</v>
      </c>
    </row>
    <row r="1882" spans="26:48">
      <c r="Z1882" s="3"/>
      <c r="AC1882"/>
      <c r="AE1882" s="3"/>
      <c r="AH1882" t="s">
        <v>1869</v>
      </c>
      <c r="AI1882" t="s">
        <v>67</v>
      </c>
      <c r="AJ1882" t="s">
        <v>72</v>
      </c>
      <c r="AK1882" s="3" t="s">
        <v>27</v>
      </c>
      <c r="AL1882" s="3">
        <v>-18936.028952000001</v>
      </c>
      <c r="AS1882" t="s">
        <v>1969</v>
      </c>
      <c r="AT1882" t="s">
        <v>88</v>
      </c>
      <c r="AU1882" t="s">
        <v>268</v>
      </c>
      <c r="AV1882" s="14">
        <v>-2500</v>
      </c>
    </row>
    <row r="1883" spans="26:48">
      <c r="Z1883" s="3"/>
      <c r="AC1883"/>
      <c r="AE1883" s="3"/>
      <c r="AH1883" t="s">
        <v>1869</v>
      </c>
      <c r="AI1883" t="s">
        <v>67</v>
      </c>
      <c r="AJ1883" t="s">
        <v>113</v>
      </c>
      <c r="AK1883" s="3" t="s">
        <v>27</v>
      </c>
      <c r="AL1883" s="3">
        <v>-1161.3649639461</v>
      </c>
      <c r="AS1883" t="s">
        <v>1969</v>
      </c>
      <c r="AT1883" t="s">
        <v>88</v>
      </c>
      <c r="AU1883" t="s">
        <v>269</v>
      </c>
      <c r="AV1883" s="14">
        <v>0</v>
      </c>
    </row>
    <row r="1884" spans="26:48">
      <c r="Z1884" s="3"/>
      <c r="AC1884"/>
      <c r="AE1884" s="3"/>
      <c r="AH1884" t="s">
        <v>1869</v>
      </c>
      <c r="AI1884" t="s">
        <v>67</v>
      </c>
      <c r="AJ1884" t="s">
        <v>108</v>
      </c>
      <c r="AK1884" s="3" t="s">
        <v>27</v>
      </c>
      <c r="AL1884" s="3">
        <v>324.53601194610002</v>
      </c>
      <c r="AS1884" t="s">
        <v>1969</v>
      </c>
      <c r="AT1884" t="s">
        <v>88</v>
      </c>
      <c r="AU1884" t="s">
        <v>270</v>
      </c>
      <c r="AV1884" s="14">
        <v>0</v>
      </c>
    </row>
    <row r="1885" spans="26:48">
      <c r="Z1885" s="3"/>
      <c r="AC1885"/>
      <c r="AE1885" s="3"/>
      <c r="AH1885" t="s">
        <v>1869</v>
      </c>
      <c r="AI1885" t="s">
        <v>67</v>
      </c>
      <c r="AJ1885" t="s">
        <v>98</v>
      </c>
      <c r="AK1885" s="3" t="s">
        <v>27</v>
      </c>
      <c r="AL1885" s="3">
        <v>324.53601194610002</v>
      </c>
      <c r="AS1885" t="s">
        <v>1969</v>
      </c>
      <c r="AT1885" t="s">
        <v>88</v>
      </c>
      <c r="AU1885" t="s">
        <v>271</v>
      </c>
      <c r="AV1885" s="14">
        <v>-1500</v>
      </c>
    </row>
    <row r="1886" spans="26:48">
      <c r="Z1886" s="3"/>
      <c r="AC1886"/>
      <c r="AE1886" s="3"/>
      <c r="AH1886" t="s">
        <v>1869</v>
      </c>
      <c r="AI1886" t="s">
        <v>67</v>
      </c>
      <c r="AJ1886" t="s">
        <v>66</v>
      </c>
      <c r="AK1886" s="3" t="s">
        <v>114</v>
      </c>
      <c r="AL1886" s="3">
        <v>1021</v>
      </c>
      <c r="AS1886" t="s">
        <v>1969</v>
      </c>
      <c r="AT1886" t="s">
        <v>88</v>
      </c>
      <c r="AU1886" t="s">
        <v>272</v>
      </c>
      <c r="AV1886" s="14">
        <v>0</v>
      </c>
    </row>
    <row r="1887" spans="26:48">
      <c r="Z1887" s="3"/>
      <c r="AC1887"/>
      <c r="AE1887" s="3"/>
      <c r="AH1887" t="s">
        <v>1869</v>
      </c>
      <c r="AI1887" t="s">
        <v>67</v>
      </c>
      <c r="AJ1887" t="s">
        <v>98</v>
      </c>
      <c r="AK1887" s="3" t="s">
        <v>114</v>
      </c>
      <c r="AL1887" s="3">
        <v>-53.822697123300003</v>
      </c>
      <c r="AS1887" t="s">
        <v>1969</v>
      </c>
      <c r="AT1887" t="s">
        <v>88</v>
      </c>
      <c r="AU1887" t="s">
        <v>273</v>
      </c>
      <c r="AV1887" s="14">
        <v>0</v>
      </c>
    </row>
    <row r="1888" spans="26:48">
      <c r="Z1888" s="3"/>
      <c r="AC1888"/>
      <c r="AE1888" s="3"/>
      <c r="AH1888" t="s">
        <v>1869</v>
      </c>
      <c r="AI1888" t="s">
        <v>67</v>
      </c>
      <c r="AJ1888" t="s">
        <v>66</v>
      </c>
      <c r="AK1888" s="3" t="s">
        <v>115</v>
      </c>
      <c r="AL1888" s="3">
        <v>19120.2</v>
      </c>
      <c r="AS1888" t="s">
        <v>1970</v>
      </c>
      <c r="AT1888" t="s">
        <v>88</v>
      </c>
      <c r="AU1888" t="s">
        <v>109</v>
      </c>
      <c r="AV1888" s="14">
        <v>30920.337</v>
      </c>
    </row>
    <row r="1889" spans="26:48">
      <c r="Z1889" s="3"/>
      <c r="AC1889"/>
      <c r="AE1889" s="3"/>
      <c r="AH1889" t="s">
        <v>1869</v>
      </c>
      <c r="AI1889" t="s">
        <v>67</v>
      </c>
      <c r="AJ1889" t="s">
        <v>98</v>
      </c>
      <c r="AK1889" s="3" t="s">
        <v>115</v>
      </c>
      <c r="AL1889" s="3">
        <v>-378.35870906930001</v>
      </c>
      <c r="AS1889" t="s">
        <v>1970</v>
      </c>
      <c r="AT1889" t="s">
        <v>88</v>
      </c>
      <c r="AU1889" t="s">
        <v>110</v>
      </c>
      <c r="AV1889" s="14">
        <v>0</v>
      </c>
    </row>
    <row r="1890" spans="26:48">
      <c r="Z1890" s="3"/>
      <c r="AC1890"/>
      <c r="AE1890" s="3"/>
      <c r="AH1890" t="s">
        <v>1869</v>
      </c>
      <c r="AI1890" t="s">
        <v>68</v>
      </c>
      <c r="AJ1890" t="s">
        <v>66</v>
      </c>
      <c r="AK1890" s="3" t="s">
        <v>27</v>
      </c>
      <c r="AL1890" s="3">
        <v>-6408.5</v>
      </c>
      <c r="AS1890" t="s">
        <v>1970</v>
      </c>
      <c r="AT1890" t="s">
        <v>88</v>
      </c>
      <c r="AU1890" t="s">
        <v>111</v>
      </c>
      <c r="AV1890" s="14">
        <v>9000</v>
      </c>
    </row>
    <row r="1891" spans="26:48">
      <c r="Z1891" s="3"/>
      <c r="AC1891"/>
      <c r="AE1891" s="3"/>
      <c r="AH1891" t="s">
        <v>1869</v>
      </c>
      <c r="AI1891" t="s">
        <v>68</v>
      </c>
      <c r="AJ1891" t="s">
        <v>72</v>
      </c>
      <c r="AK1891" s="3" t="s">
        <v>27</v>
      </c>
      <c r="AL1891" s="3">
        <v>-7061.8883900000001</v>
      </c>
      <c r="AS1891" t="s">
        <v>1970</v>
      </c>
      <c r="AT1891" t="s">
        <v>88</v>
      </c>
      <c r="AU1891" t="s">
        <v>268</v>
      </c>
      <c r="AV1891" s="14">
        <v>-3130.0237000000002</v>
      </c>
    </row>
    <row r="1892" spans="26:48">
      <c r="Z1892" s="3"/>
      <c r="AC1892"/>
      <c r="AE1892" s="3"/>
      <c r="AH1892" t="s">
        <v>1869</v>
      </c>
      <c r="AI1892" t="s">
        <v>68</v>
      </c>
      <c r="AJ1892" t="s">
        <v>113</v>
      </c>
      <c r="AK1892" s="3" t="s">
        <v>27</v>
      </c>
      <c r="AL1892" s="3">
        <v>-778.42347291399994</v>
      </c>
      <c r="AS1892" t="s">
        <v>1970</v>
      </c>
      <c r="AT1892" t="s">
        <v>88</v>
      </c>
      <c r="AU1892" t="s">
        <v>269</v>
      </c>
      <c r="AV1892" s="14">
        <v>397.61059999999998</v>
      </c>
    </row>
    <row r="1893" spans="26:48">
      <c r="Z1893" s="3"/>
      <c r="AC1893"/>
      <c r="AE1893" s="3"/>
      <c r="AH1893" t="s">
        <v>1869</v>
      </c>
      <c r="AI1893" t="s">
        <v>68</v>
      </c>
      <c r="AJ1893" t="s">
        <v>108</v>
      </c>
      <c r="AK1893" s="3" t="s">
        <v>27</v>
      </c>
      <c r="AL1893" s="3">
        <v>125.035082914</v>
      </c>
      <c r="AS1893" t="s">
        <v>1970</v>
      </c>
      <c r="AT1893" t="s">
        <v>88</v>
      </c>
      <c r="AU1893" t="s">
        <v>270</v>
      </c>
      <c r="AV1893" s="14">
        <v>0</v>
      </c>
    </row>
    <row r="1894" spans="26:48">
      <c r="Z1894" s="3"/>
      <c r="AC1894"/>
      <c r="AE1894" s="3"/>
      <c r="AH1894" t="s">
        <v>1869</v>
      </c>
      <c r="AI1894" t="s">
        <v>68</v>
      </c>
      <c r="AJ1894" t="s">
        <v>98</v>
      </c>
      <c r="AK1894" s="3" t="s">
        <v>27</v>
      </c>
      <c r="AL1894" s="3">
        <v>125.035082914</v>
      </c>
      <c r="AS1894" t="s">
        <v>1970</v>
      </c>
      <c r="AT1894" t="s">
        <v>88</v>
      </c>
      <c r="AU1894" t="s">
        <v>271</v>
      </c>
      <c r="AV1894" s="14">
        <v>-2500</v>
      </c>
    </row>
    <row r="1895" spans="26:48">
      <c r="Z1895" s="3"/>
      <c r="AC1895"/>
      <c r="AE1895" s="3"/>
      <c r="AH1895" t="s">
        <v>1869</v>
      </c>
      <c r="AI1895" t="s">
        <v>68</v>
      </c>
      <c r="AJ1895" t="s">
        <v>66</v>
      </c>
      <c r="AK1895" s="3" t="s">
        <v>114</v>
      </c>
      <c r="AL1895" s="3">
        <v>4546</v>
      </c>
      <c r="AS1895" t="s">
        <v>1970</v>
      </c>
      <c r="AT1895" t="s">
        <v>88</v>
      </c>
      <c r="AU1895" t="s">
        <v>272</v>
      </c>
      <c r="AV1895" s="14">
        <v>0</v>
      </c>
    </row>
    <row r="1896" spans="26:48">
      <c r="Z1896" s="3"/>
      <c r="AC1896"/>
      <c r="AE1896" s="3"/>
      <c r="AH1896" t="s">
        <v>1869</v>
      </c>
      <c r="AI1896" t="s">
        <v>68</v>
      </c>
      <c r="AJ1896" t="s">
        <v>98</v>
      </c>
      <c r="AK1896" s="3" t="s">
        <v>114</v>
      </c>
      <c r="AL1896" s="3">
        <v>-275.43466342469998</v>
      </c>
      <c r="AS1896" t="s">
        <v>1970</v>
      </c>
      <c r="AT1896" t="s">
        <v>88</v>
      </c>
      <c r="AU1896" t="s">
        <v>273</v>
      </c>
      <c r="AV1896" s="14">
        <v>0</v>
      </c>
    </row>
    <row r="1897" spans="26:48">
      <c r="Z1897" s="3"/>
      <c r="AC1897"/>
      <c r="AE1897" s="3"/>
      <c r="AH1897" t="s">
        <v>1869</v>
      </c>
      <c r="AI1897" t="s">
        <v>68</v>
      </c>
      <c r="AJ1897" t="s">
        <v>66</v>
      </c>
      <c r="AK1897" s="3" t="s">
        <v>115</v>
      </c>
      <c r="AL1897" s="3">
        <v>10954.5</v>
      </c>
      <c r="AS1897" t="s">
        <v>1971</v>
      </c>
      <c r="AT1897" t="s">
        <v>88</v>
      </c>
      <c r="AU1897" t="s">
        <v>109</v>
      </c>
      <c r="AV1897" s="14">
        <v>31415.337</v>
      </c>
    </row>
    <row r="1898" spans="26:48">
      <c r="Z1898" s="3"/>
      <c r="AC1898"/>
      <c r="AE1898" s="3"/>
      <c r="AH1898" t="s">
        <v>1869</v>
      </c>
      <c r="AI1898" t="s">
        <v>68</v>
      </c>
      <c r="AJ1898" t="s">
        <v>98</v>
      </c>
      <c r="AK1898" s="3" t="s">
        <v>115</v>
      </c>
      <c r="AL1898" s="3">
        <v>-400.46974633859998</v>
      </c>
      <c r="AS1898" t="s">
        <v>1971</v>
      </c>
      <c r="AT1898" t="s">
        <v>88</v>
      </c>
      <c r="AU1898" t="s">
        <v>110</v>
      </c>
      <c r="AV1898" s="14">
        <v>0</v>
      </c>
    </row>
    <row r="1899" spans="26:48">
      <c r="Z1899" s="3"/>
      <c r="AC1899"/>
      <c r="AE1899" s="3"/>
      <c r="AH1899" t="s">
        <v>1869</v>
      </c>
      <c r="AI1899" t="s">
        <v>800</v>
      </c>
      <c r="AJ1899" t="s">
        <v>31</v>
      </c>
      <c r="AK1899" s="3" t="s">
        <v>27</v>
      </c>
      <c r="AL1899" s="3">
        <v>4.0014759987000001</v>
      </c>
      <c r="AS1899" t="s">
        <v>1971</v>
      </c>
      <c r="AT1899" t="s">
        <v>88</v>
      </c>
      <c r="AU1899" t="s">
        <v>111</v>
      </c>
      <c r="AV1899" s="14">
        <v>9000</v>
      </c>
    </row>
    <row r="1900" spans="26:48">
      <c r="Z1900" s="3"/>
      <c r="AC1900"/>
      <c r="AE1900" s="3"/>
      <c r="AH1900" t="s">
        <v>1870</v>
      </c>
      <c r="AI1900" t="s">
        <v>65</v>
      </c>
      <c r="AJ1900" t="s">
        <v>66</v>
      </c>
      <c r="AK1900" s="3" t="s">
        <v>27</v>
      </c>
      <c r="AL1900" s="3">
        <v>34744.699999999997</v>
      </c>
      <c r="AS1900" t="s">
        <v>1971</v>
      </c>
      <c r="AT1900" t="s">
        <v>88</v>
      </c>
      <c r="AU1900" t="s">
        <v>268</v>
      </c>
      <c r="AV1900" s="14">
        <v>-2730.0237000000002</v>
      </c>
    </row>
    <row r="1901" spans="26:48">
      <c r="Z1901" s="3"/>
      <c r="AC1901"/>
      <c r="AE1901" s="3"/>
      <c r="AH1901" t="s">
        <v>1870</v>
      </c>
      <c r="AI1901" t="s">
        <v>65</v>
      </c>
      <c r="AJ1901" t="s">
        <v>72</v>
      </c>
      <c r="AK1901" s="3" t="s">
        <v>27</v>
      </c>
      <c r="AL1901" s="3">
        <v>35392.996049000001</v>
      </c>
      <c r="AS1901" t="s">
        <v>1971</v>
      </c>
      <c r="AT1901" t="s">
        <v>88</v>
      </c>
      <c r="AU1901" t="s">
        <v>269</v>
      </c>
      <c r="AV1901" s="14">
        <v>0</v>
      </c>
    </row>
    <row r="1902" spans="26:48">
      <c r="Z1902" s="3"/>
      <c r="AC1902"/>
      <c r="AE1902" s="3"/>
      <c r="AH1902" t="s">
        <v>1870</v>
      </c>
      <c r="AI1902" t="s">
        <v>65</v>
      </c>
      <c r="AJ1902" t="s">
        <v>113</v>
      </c>
      <c r="AK1902" s="3" t="s">
        <v>27</v>
      </c>
      <c r="AL1902" s="3">
        <v>1914.530131172</v>
      </c>
      <c r="AS1902" t="s">
        <v>1971</v>
      </c>
      <c r="AT1902" t="s">
        <v>88</v>
      </c>
      <c r="AU1902" t="s">
        <v>270</v>
      </c>
      <c r="AV1902" s="14">
        <v>0</v>
      </c>
    </row>
    <row r="1903" spans="26:48">
      <c r="Z1903" s="3"/>
      <c r="AC1903"/>
      <c r="AE1903" s="3"/>
      <c r="AH1903" t="s">
        <v>1870</v>
      </c>
      <c r="AI1903" t="s">
        <v>65</v>
      </c>
      <c r="AJ1903" t="s">
        <v>108</v>
      </c>
      <c r="AK1903" s="3" t="s">
        <v>27</v>
      </c>
      <c r="AL1903" s="3">
        <v>-1266.2340821719999</v>
      </c>
      <c r="AS1903" t="s">
        <v>1971</v>
      </c>
      <c r="AT1903" t="s">
        <v>88</v>
      </c>
      <c r="AU1903" t="s">
        <v>271</v>
      </c>
      <c r="AV1903" s="14">
        <v>-2500</v>
      </c>
    </row>
    <row r="1904" spans="26:48">
      <c r="Z1904" s="3"/>
      <c r="AC1904"/>
      <c r="AE1904" s="3"/>
      <c r="AH1904" t="s">
        <v>1870</v>
      </c>
      <c r="AI1904" t="s">
        <v>65</v>
      </c>
      <c r="AJ1904" t="s">
        <v>98</v>
      </c>
      <c r="AK1904" s="3" t="s">
        <v>27</v>
      </c>
      <c r="AL1904" s="3">
        <v>-1266.2340821719999</v>
      </c>
      <c r="AS1904" t="s">
        <v>1971</v>
      </c>
      <c r="AT1904" t="s">
        <v>88</v>
      </c>
      <c r="AU1904" t="s">
        <v>272</v>
      </c>
      <c r="AV1904" s="14">
        <v>0</v>
      </c>
    </row>
    <row r="1905" spans="26:48">
      <c r="Z1905" s="3"/>
      <c r="AC1905"/>
      <c r="AE1905" s="3"/>
      <c r="AH1905" t="s">
        <v>1870</v>
      </c>
      <c r="AI1905" t="s">
        <v>67</v>
      </c>
      <c r="AJ1905" t="s">
        <v>66</v>
      </c>
      <c r="AK1905" s="3" t="s">
        <v>27</v>
      </c>
      <c r="AL1905" s="3">
        <v>-16590.2</v>
      </c>
      <c r="AS1905" t="s">
        <v>1971</v>
      </c>
      <c r="AT1905" t="s">
        <v>88</v>
      </c>
      <c r="AU1905" t="s">
        <v>273</v>
      </c>
      <c r="AV1905" s="14">
        <v>0</v>
      </c>
    </row>
    <row r="1906" spans="26:48">
      <c r="Z1906" s="3"/>
      <c r="AC1906"/>
      <c r="AE1906" s="3"/>
      <c r="AH1906" t="s">
        <v>1870</v>
      </c>
      <c r="AI1906" t="s">
        <v>67</v>
      </c>
      <c r="AJ1906" t="s">
        <v>72</v>
      </c>
      <c r="AK1906" s="3" t="s">
        <v>27</v>
      </c>
      <c r="AL1906" s="3">
        <v>-17469.870534000001</v>
      </c>
      <c r="AS1906" t="s">
        <v>2054</v>
      </c>
      <c r="AT1906" t="s">
        <v>88</v>
      </c>
      <c r="AU1906" t="s">
        <v>109</v>
      </c>
      <c r="AV1906" s="14">
        <v>32215.337</v>
      </c>
    </row>
    <row r="1907" spans="26:48">
      <c r="Z1907" s="3"/>
      <c r="AC1907"/>
      <c r="AE1907" s="3"/>
      <c r="AH1907" t="s">
        <v>1870</v>
      </c>
      <c r="AI1907" t="s">
        <v>67</v>
      </c>
      <c r="AJ1907" t="s">
        <v>113</v>
      </c>
      <c r="AK1907" s="3" t="s">
        <v>27</v>
      </c>
      <c r="AL1907" s="3">
        <v>-1159.8337307904001</v>
      </c>
      <c r="AS1907" t="s">
        <v>2054</v>
      </c>
      <c r="AT1907" t="s">
        <v>88</v>
      </c>
      <c r="AU1907" t="s">
        <v>110</v>
      </c>
      <c r="AV1907" s="14">
        <v>0</v>
      </c>
    </row>
    <row r="1908" spans="26:48">
      <c r="Z1908" s="3"/>
      <c r="AC1908"/>
      <c r="AE1908" s="3"/>
      <c r="AH1908" t="s">
        <v>1870</v>
      </c>
      <c r="AI1908" t="s">
        <v>67</v>
      </c>
      <c r="AJ1908" t="s">
        <v>108</v>
      </c>
      <c r="AK1908" s="3" t="s">
        <v>27</v>
      </c>
      <c r="AL1908" s="3">
        <v>280.16319679039998</v>
      </c>
      <c r="AS1908" t="s">
        <v>2054</v>
      </c>
      <c r="AT1908" t="s">
        <v>88</v>
      </c>
      <c r="AU1908" t="s">
        <v>111</v>
      </c>
      <c r="AV1908" s="14">
        <v>9000</v>
      </c>
    </row>
    <row r="1909" spans="26:48">
      <c r="Z1909" s="3"/>
      <c r="AC1909"/>
      <c r="AE1909" s="3"/>
      <c r="AH1909" t="s">
        <v>1870</v>
      </c>
      <c r="AI1909" t="s">
        <v>67</v>
      </c>
      <c r="AJ1909" t="s">
        <v>98</v>
      </c>
      <c r="AK1909" s="3" t="s">
        <v>27</v>
      </c>
      <c r="AL1909" s="3">
        <v>280.16319679039998</v>
      </c>
      <c r="AS1909" t="s">
        <v>2054</v>
      </c>
      <c r="AT1909" t="s">
        <v>88</v>
      </c>
      <c r="AU1909" t="s">
        <v>268</v>
      </c>
      <c r="AV1909" s="14">
        <v>-3230.0237000000002</v>
      </c>
    </row>
    <row r="1910" spans="26:48">
      <c r="Z1910" s="3"/>
      <c r="AC1910"/>
      <c r="AE1910" s="3"/>
      <c r="AH1910" t="s">
        <v>1870</v>
      </c>
      <c r="AI1910" t="s">
        <v>67</v>
      </c>
      <c r="AJ1910" t="s">
        <v>66</v>
      </c>
      <c r="AK1910" s="3" t="s">
        <v>114</v>
      </c>
      <c r="AL1910" s="3">
        <v>1775</v>
      </c>
      <c r="AS1910" t="s">
        <v>2054</v>
      </c>
      <c r="AT1910" t="s">
        <v>88</v>
      </c>
      <c r="AU1910" t="s">
        <v>269</v>
      </c>
      <c r="AV1910" s="14">
        <v>0</v>
      </c>
    </row>
    <row r="1911" spans="26:48">
      <c r="Z1911" s="3"/>
      <c r="AC1911"/>
      <c r="AE1911" s="3"/>
      <c r="AH1911" t="s">
        <v>1870</v>
      </c>
      <c r="AI1911" t="s">
        <v>67</v>
      </c>
      <c r="AJ1911" t="s">
        <v>98</v>
      </c>
      <c r="AK1911" s="3" t="s">
        <v>114</v>
      </c>
      <c r="AL1911" s="3">
        <v>-90.297213698600004</v>
      </c>
      <c r="AS1911" t="s">
        <v>2054</v>
      </c>
      <c r="AT1911" t="s">
        <v>88</v>
      </c>
      <c r="AU1911" t="s">
        <v>270</v>
      </c>
      <c r="AV1911" s="14">
        <v>0</v>
      </c>
    </row>
    <row r="1912" spans="26:48">
      <c r="Z1912" s="3"/>
      <c r="AC1912"/>
      <c r="AE1912" s="3"/>
      <c r="AH1912" t="s">
        <v>1870</v>
      </c>
      <c r="AI1912" t="s">
        <v>67</v>
      </c>
      <c r="AJ1912" t="s">
        <v>66</v>
      </c>
      <c r="AK1912" s="3" t="s">
        <v>115</v>
      </c>
      <c r="AL1912" s="3">
        <v>18365.2</v>
      </c>
      <c r="AS1912" t="s">
        <v>2054</v>
      </c>
      <c r="AT1912" t="s">
        <v>88</v>
      </c>
      <c r="AU1912" t="s">
        <v>271</v>
      </c>
      <c r="AV1912" s="14">
        <v>-2500</v>
      </c>
    </row>
    <row r="1913" spans="26:48">
      <c r="Z1913" s="3"/>
      <c r="AC1913"/>
      <c r="AE1913" s="3"/>
      <c r="AH1913" t="s">
        <v>1870</v>
      </c>
      <c r="AI1913" t="s">
        <v>67</v>
      </c>
      <c r="AJ1913" t="s">
        <v>98</v>
      </c>
      <c r="AK1913" s="3" t="s">
        <v>115</v>
      </c>
      <c r="AL1913" s="3">
        <v>-370.46041048900003</v>
      </c>
      <c r="AS1913" t="s">
        <v>2054</v>
      </c>
      <c r="AT1913" t="s">
        <v>88</v>
      </c>
      <c r="AU1913" t="s">
        <v>272</v>
      </c>
      <c r="AV1913" s="14">
        <v>0</v>
      </c>
    </row>
    <row r="1914" spans="26:48">
      <c r="Z1914" s="3"/>
      <c r="AC1914"/>
      <c r="AE1914" s="3"/>
      <c r="AH1914" t="s">
        <v>1870</v>
      </c>
      <c r="AI1914" t="s">
        <v>68</v>
      </c>
      <c r="AJ1914" t="s">
        <v>66</v>
      </c>
      <c r="AK1914" s="3" t="s">
        <v>27</v>
      </c>
      <c r="AL1914" s="3">
        <v>-6742.5</v>
      </c>
      <c r="AS1914" t="s">
        <v>2054</v>
      </c>
      <c r="AT1914" t="s">
        <v>88</v>
      </c>
      <c r="AU1914" t="s">
        <v>273</v>
      </c>
      <c r="AV1914" s="14">
        <v>0</v>
      </c>
    </row>
    <row r="1915" spans="26:48">
      <c r="Z1915" s="3"/>
      <c r="AC1915"/>
      <c r="AE1915" s="3"/>
      <c r="AH1915" t="s">
        <v>1870</v>
      </c>
      <c r="AI1915" t="s">
        <v>68</v>
      </c>
      <c r="AJ1915" t="s">
        <v>72</v>
      </c>
      <c r="AK1915" s="3" t="s">
        <v>27</v>
      </c>
      <c r="AL1915" s="3">
        <v>-7361.356135</v>
      </c>
      <c r="AS1915" t="s">
        <v>2055</v>
      </c>
      <c r="AT1915" t="s">
        <v>88</v>
      </c>
      <c r="AU1915" t="s">
        <v>109</v>
      </c>
      <c r="AV1915" s="14">
        <v>32635.337</v>
      </c>
    </row>
    <row r="1916" spans="26:48">
      <c r="Z1916" s="3"/>
      <c r="AC1916"/>
      <c r="AE1916" s="3"/>
      <c r="AH1916" t="s">
        <v>1870</v>
      </c>
      <c r="AI1916" t="s">
        <v>68</v>
      </c>
      <c r="AJ1916" t="s">
        <v>113</v>
      </c>
      <c r="AK1916" s="3" t="s">
        <v>27</v>
      </c>
      <c r="AL1916" s="3">
        <v>-742.77764669780004</v>
      </c>
      <c r="AS1916" t="s">
        <v>2055</v>
      </c>
      <c r="AT1916" t="s">
        <v>88</v>
      </c>
      <c r="AU1916" t="s">
        <v>110</v>
      </c>
      <c r="AV1916" s="14">
        <v>500</v>
      </c>
    </row>
    <row r="1917" spans="26:48">
      <c r="Z1917" s="3"/>
      <c r="AC1917"/>
      <c r="AE1917" s="3"/>
      <c r="AH1917" t="s">
        <v>1870</v>
      </c>
      <c r="AI1917" t="s">
        <v>68</v>
      </c>
      <c r="AJ1917" t="s">
        <v>108</v>
      </c>
      <c r="AK1917" s="3" t="s">
        <v>27</v>
      </c>
      <c r="AL1917" s="3">
        <v>123.9215116978</v>
      </c>
      <c r="AS1917" t="s">
        <v>2055</v>
      </c>
      <c r="AT1917" t="s">
        <v>88</v>
      </c>
      <c r="AU1917" t="s">
        <v>111</v>
      </c>
      <c r="AV1917" s="14">
        <v>9000</v>
      </c>
    </row>
    <row r="1918" spans="26:48">
      <c r="Z1918" s="3"/>
      <c r="AC1918"/>
      <c r="AE1918" s="3"/>
      <c r="AH1918" t="s">
        <v>1870</v>
      </c>
      <c r="AI1918" t="s">
        <v>68</v>
      </c>
      <c r="AJ1918" t="s">
        <v>98</v>
      </c>
      <c r="AK1918" s="3" t="s">
        <v>27</v>
      </c>
      <c r="AL1918" s="3">
        <v>123.9215116978</v>
      </c>
      <c r="AS1918" t="s">
        <v>2055</v>
      </c>
      <c r="AT1918" t="s">
        <v>88</v>
      </c>
      <c r="AU1918" t="s">
        <v>268</v>
      </c>
      <c r="AV1918" s="14">
        <v>-420</v>
      </c>
    </row>
    <row r="1919" spans="26:48">
      <c r="Z1919" s="3"/>
      <c r="AC1919"/>
      <c r="AE1919" s="3"/>
      <c r="AH1919" t="s">
        <v>1870</v>
      </c>
      <c r="AI1919" t="s">
        <v>68</v>
      </c>
      <c r="AJ1919" t="s">
        <v>66</v>
      </c>
      <c r="AK1919" s="3" t="s">
        <v>114</v>
      </c>
      <c r="AL1919" s="3">
        <v>5567</v>
      </c>
      <c r="AS1919" t="s">
        <v>2055</v>
      </c>
      <c r="AT1919" t="s">
        <v>88</v>
      </c>
      <c r="AU1919" t="s">
        <v>269</v>
      </c>
      <c r="AV1919" s="14">
        <v>0</v>
      </c>
    </row>
    <row r="1920" spans="26:48">
      <c r="Z1920" s="3"/>
      <c r="AC1920"/>
      <c r="AE1920" s="3"/>
      <c r="AH1920" t="s">
        <v>1870</v>
      </c>
      <c r="AI1920" t="s">
        <v>68</v>
      </c>
      <c r="AJ1920" t="s">
        <v>98</v>
      </c>
      <c r="AK1920" s="3" t="s">
        <v>114</v>
      </c>
      <c r="AL1920" s="3">
        <v>-329.31865054790001</v>
      </c>
      <c r="AS1920" t="s">
        <v>2055</v>
      </c>
      <c r="AT1920" t="s">
        <v>88</v>
      </c>
      <c r="AU1920" t="s">
        <v>270</v>
      </c>
      <c r="AV1920" s="14">
        <v>0</v>
      </c>
    </row>
    <row r="1921" spans="26:48">
      <c r="Z1921" s="3"/>
      <c r="AC1921"/>
      <c r="AE1921" s="3"/>
      <c r="AH1921" t="s">
        <v>1870</v>
      </c>
      <c r="AI1921" t="s">
        <v>68</v>
      </c>
      <c r="AJ1921" t="s">
        <v>66</v>
      </c>
      <c r="AK1921" s="3" t="s">
        <v>115</v>
      </c>
      <c r="AL1921" s="3">
        <v>12309.5</v>
      </c>
      <c r="AS1921" t="s">
        <v>2055</v>
      </c>
      <c r="AT1921" t="s">
        <v>88</v>
      </c>
      <c r="AU1921" t="s">
        <v>271</v>
      </c>
      <c r="AV1921" s="14">
        <v>-5183.0360000000001</v>
      </c>
    </row>
    <row r="1922" spans="26:48">
      <c r="Z1922" s="3"/>
      <c r="AC1922"/>
      <c r="AE1922" s="3"/>
      <c r="AH1922" t="s">
        <v>1870</v>
      </c>
      <c r="AI1922" t="s">
        <v>68</v>
      </c>
      <c r="AJ1922" t="s">
        <v>98</v>
      </c>
      <c r="AK1922" s="3" t="s">
        <v>115</v>
      </c>
      <c r="AL1922" s="3">
        <v>-453.24016224569999</v>
      </c>
      <c r="AS1922" t="s">
        <v>2055</v>
      </c>
      <c r="AT1922" t="s">
        <v>88</v>
      </c>
      <c r="AU1922" t="s">
        <v>272</v>
      </c>
      <c r="AV1922" s="14">
        <v>0</v>
      </c>
    </row>
    <row r="1923" spans="26:48">
      <c r="Z1923" s="3"/>
      <c r="AC1923"/>
      <c r="AE1923" s="3"/>
      <c r="AH1923" t="s">
        <v>1870</v>
      </c>
      <c r="AI1923" t="s">
        <v>800</v>
      </c>
      <c r="AJ1923" t="s">
        <v>31</v>
      </c>
      <c r="AK1923" s="3" t="s">
        <v>27</v>
      </c>
      <c r="AL1923" s="3">
        <v>3.9964354687000001</v>
      </c>
      <c r="AS1923" t="s">
        <v>2055</v>
      </c>
      <c r="AT1923" t="s">
        <v>88</v>
      </c>
      <c r="AU1923" t="s">
        <v>273</v>
      </c>
      <c r="AV1923" s="14">
        <v>0</v>
      </c>
    </row>
    <row r="1924" spans="26:48">
      <c r="Z1924" s="3"/>
      <c r="AC1924"/>
      <c r="AE1924" s="3"/>
      <c r="AH1924" t="s">
        <v>1871</v>
      </c>
      <c r="AI1924" t="s">
        <v>65</v>
      </c>
      <c r="AJ1924" t="s">
        <v>66</v>
      </c>
      <c r="AK1924" s="3" t="s">
        <v>27</v>
      </c>
      <c r="AL1924" s="3">
        <v>35244.699999999997</v>
      </c>
      <c r="AS1924" t="s">
        <v>2056</v>
      </c>
      <c r="AT1924" t="s">
        <v>88</v>
      </c>
      <c r="AU1924" t="s">
        <v>109</v>
      </c>
      <c r="AV1924" s="14">
        <v>33448.758800000003</v>
      </c>
    </row>
    <row r="1925" spans="26:48">
      <c r="Z1925" s="3"/>
      <c r="AC1925"/>
      <c r="AE1925" s="3"/>
      <c r="AH1925" t="s">
        <v>1871</v>
      </c>
      <c r="AI1925" t="s">
        <v>65</v>
      </c>
      <c r="AJ1925" t="s">
        <v>72</v>
      </c>
      <c r="AK1925" s="3" t="s">
        <v>27</v>
      </c>
      <c r="AL1925" s="3">
        <v>36075.673209</v>
      </c>
      <c r="AS1925" t="s">
        <v>2056</v>
      </c>
      <c r="AT1925" t="s">
        <v>88</v>
      </c>
      <c r="AU1925" t="s">
        <v>110</v>
      </c>
      <c r="AV1925" s="14">
        <v>500</v>
      </c>
    </row>
    <row r="1926" spans="26:48">
      <c r="Z1926" s="3"/>
      <c r="AC1926"/>
      <c r="AE1926" s="3"/>
      <c r="AH1926" t="s">
        <v>1871</v>
      </c>
      <c r="AI1926" t="s">
        <v>65</v>
      </c>
      <c r="AJ1926" t="s">
        <v>113</v>
      </c>
      <c r="AK1926" s="3" t="s">
        <v>27</v>
      </c>
      <c r="AL1926" s="3">
        <v>2094.1562723071002</v>
      </c>
      <c r="AS1926" t="s">
        <v>2056</v>
      </c>
      <c r="AT1926" t="s">
        <v>88</v>
      </c>
      <c r="AU1926" t="s">
        <v>111</v>
      </c>
      <c r="AV1926" s="14">
        <v>9000</v>
      </c>
    </row>
    <row r="1927" spans="26:48">
      <c r="Z1927" s="3"/>
      <c r="AC1927"/>
      <c r="AE1927" s="3"/>
      <c r="AH1927" t="s">
        <v>1871</v>
      </c>
      <c r="AI1927" t="s">
        <v>65</v>
      </c>
      <c r="AJ1927" t="s">
        <v>108</v>
      </c>
      <c r="AK1927" s="3" t="s">
        <v>27</v>
      </c>
      <c r="AL1927" s="3">
        <v>-1263.1830633070999</v>
      </c>
      <c r="AS1927" t="s">
        <v>2056</v>
      </c>
      <c r="AT1927" t="s">
        <v>88</v>
      </c>
      <c r="AU1927" t="s">
        <v>268</v>
      </c>
      <c r="AV1927" s="14">
        <v>-1300</v>
      </c>
    </row>
    <row r="1928" spans="26:48">
      <c r="Z1928" s="3"/>
      <c r="AC1928"/>
      <c r="AE1928" s="3"/>
      <c r="AH1928" t="s">
        <v>1871</v>
      </c>
      <c r="AI1928" t="s">
        <v>65</v>
      </c>
      <c r="AJ1928" t="s">
        <v>98</v>
      </c>
      <c r="AK1928" s="3" t="s">
        <v>27</v>
      </c>
      <c r="AL1928" s="3">
        <v>-1263.1830633070999</v>
      </c>
      <c r="AS1928" t="s">
        <v>2056</v>
      </c>
      <c r="AT1928" t="s">
        <v>88</v>
      </c>
      <c r="AU1928" t="s">
        <v>269</v>
      </c>
      <c r="AV1928" s="14">
        <v>0</v>
      </c>
    </row>
    <row r="1929" spans="26:48">
      <c r="Z1929" s="3"/>
      <c r="AC1929"/>
      <c r="AE1929" s="3"/>
      <c r="AH1929" t="s">
        <v>1871</v>
      </c>
      <c r="AI1929" t="s">
        <v>67</v>
      </c>
      <c r="AJ1929" t="s">
        <v>66</v>
      </c>
      <c r="AK1929" s="3" t="s">
        <v>27</v>
      </c>
      <c r="AL1929" s="3">
        <v>-18265.2</v>
      </c>
      <c r="AS1929" t="s">
        <v>2056</v>
      </c>
      <c r="AT1929" t="s">
        <v>88</v>
      </c>
      <c r="AU1929" t="s">
        <v>270</v>
      </c>
      <c r="AV1929" s="14">
        <v>0</v>
      </c>
    </row>
    <row r="1930" spans="26:48">
      <c r="Z1930" s="3"/>
      <c r="AC1930"/>
      <c r="AE1930" s="3"/>
      <c r="AH1930" t="s">
        <v>1871</v>
      </c>
      <c r="AI1930" t="s">
        <v>67</v>
      </c>
      <c r="AJ1930" t="s">
        <v>72</v>
      </c>
      <c r="AK1930" s="3" t="s">
        <v>27</v>
      </c>
      <c r="AL1930" s="3">
        <v>-19316.287369000001</v>
      </c>
      <c r="AS1930" t="s">
        <v>2056</v>
      </c>
      <c r="AT1930" t="s">
        <v>88</v>
      </c>
      <c r="AU1930" t="s">
        <v>271</v>
      </c>
      <c r="AV1930" s="14">
        <v>-5183.0360000000001</v>
      </c>
    </row>
    <row r="1931" spans="26:48">
      <c r="Z1931" s="3"/>
      <c r="AC1931"/>
      <c r="AE1931" s="3"/>
      <c r="AH1931" t="s">
        <v>1871</v>
      </c>
      <c r="AI1931" t="s">
        <v>67</v>
      </c>
      <c r="AJ1931" t="s">
        <v>113</v>
      </c>
      <c r="AK1931" s="3" t="s">
        <v>27</v>
      </c>
      <c r="AL1931" s="3">
        <v>-1377.0092703347</v>
      </c>
      <c r="AS1931" t="s">
        <v>2056</v>
      </c>
      <c r="AT1931" t="s">
        <v>88</v>
      </c>
      <c r="AU1931" t="s">
        <v>272</v>
      </c>
      <c r="AV1931" s="14">
        <v>0</v>
      </c>
    </row>
    <row r="1932" spans="26:48">
      <c r="Z1932" s="3"/>
      <c r="AC1932"/>
      <c r="AE1932" s="3"/>
      <c r="AH1932" t="s">
        <v>1871</v>
      </c>
      <c r="AI1932" t="s">
        <v>67</v>
      </c>
      <c r="AJ1932" t="s">
        <v>108</v>
      </c>
      <c r="AK1932" s="3" t="s">
        <v>27</v>
      </c>
      <c r="AL1932" s="3">
        <v>325.92190133460002</v>
      </c>
      <c r="AS1932" t="s">
        <v>2056</v>
      </c>
      <c r="AT1932" t="s">
        <v>88</v>
      </c>
      <c r="AU1932" t="s">
        <v>273</v>
      </c>
      <c r="AV1932" s="14">
        <v>0</v>
      </c>
    </row>
    <row r="1933" spans="26:48">
      <c r="Z1933" s="3"/>
      <c r="AC1933"/>
      <c r="AE1933" s="3"/>
      <c r="AH1933" t="s">
        <v>1871</v>
      </c>
      <c r="AI1933" t="s">
        <v>67</v>
      </c>
      <c r="AJ1933" t="s">
        <v>98</v>
      </c>
      <c r="AK1933" s="3" t="s">
        <v>27</v>
      </c>
      <c r="AL1933" s="3">
        <v>325.92190133460002</v>
      </c>
      <c r="AS1933" t="s">
        <v>2057</v>
      </c>
      <c r="AT1933" t="s">
        <v>88</v>
      </c>
      <c r="AU1933" t="s">
        <v>109</v>
      </c>
      <c r="AV1933" s="14">
        <v>30588.7588</v>
      </c>
    </row>
    <row r="1934" spans="26:48">
      <c r="Z1934" s="3"/>
      <c r="AC1934"/>
      <c r="AE1934" s="3"/>
      <c r="AH1934" t="s">
        <v>1871</v>
      </c>
      <c r="AI1934" t="s">
        <v>67</v>
      </c>
      <c r="AJ1934" t="s">
        <v>66</v>
      </c>
      <c r="AK1934" s="3" t="s">
        <v>114</v>
      </c>
      <c r="AL1934" s="3">
        <v>600</v>
      </c>
      <c r="AS1934" t="s">
        <v>2057</v>
      </c>
      <c r="AT1934" t="s">
        <v>88</v>
      </c>
      <c r="AU1934" t="s">
        <v>110</v>
      </c>
      <c r="AV1934" s="14">
        <v>500</v>
      </c>
    </row>
    <row r="1935" spans="26:48">
      <c r="Z1935" s="3"/>
      <c r="AC1935"/>
      <c r="AE1935" s="3"/>
      <c r="AH1935" t="s">
        <v>1871</v>
      </c>
      <c r="AI1935" t="s">
        <v>67</v>
      </c>
      <c r="AJ1935" t="s">
        <v>98</v>
      </c>
      <c r="AK1935" s="3" t="s">
        <v>114</v>
      </c>
      <c r="AL1935" s="3">
        <v>-44.782431506800002</v>
      </c>
      <c r="AS1935" t="s">
        <v>2057</v>
      </c>
      <c r="AT1935" t="s">
        <v>88</v>
      </c>
      <c r="AU1935" t="s">
        <v>111</v>
      </c>
      <c r="AV1935" s="14">
        <v>9000</v>
      </c>
    </row>
    <row r="1936" spans="26:48">
      <c r="Z1936" s="3"/>
      <c r="AC1936"/>
      <c r="AE1936" s="3"/>
      <c r="AH1936" t="s">
        <v>1871</v>
      </c>
      <c r="AI1936" t="s">
        <v>67</v>
      </c>
      <c r="AJ1936" t="s">
        <v>66</v>
      </c>
      <c r="AK1936" s="3" t="s">
        <v>115</v>
      </c>
      <c r="AL1936" s="3">
        <v>18865.2</v>
      </c>
      <c r="AS1936" t="s">
        <v>2057</v>
      </c>
      <c r="AT1936" t="s">
        <v>88</v>
      </c>
      <c r="AU1936" t="s">
        <v>268</v>
      </c>
      <c r="AV1936" s="14">
        <v>-3840</v>
      </c>
    </row>
    <row r="1937" spans="26:48">
      <c r="Z1937" s="3"/>
      <c r="AC1937"/>
      <c r="AE1937" s="3"/>
      <c r="AH1937" t="s">
        <v>1871</v>
      </c>
      <c r="AI1937" t="s">
        <v>67</v>
      </c>
      <c r="AJ1937" t="s">
        <v>98</v>
      </c>
      <c r="AK1937" s="3" t="s">
        <v>115</v>
      </c>
      <c r="AL1937" s="3">
        <v>-370.70433284149999</v>
      </c>
      <c r="AS1937" t="s">
        <v>2057</v>
      </c>
      <c r="AT1937" t="s">
        <v>88</v>
      </c>
      <c r="AU1937" t="s">
        <v>269</v>
      </c>
      <c r="AV1937" s="14">
        <v>0</v>
      </c>
    </row>
    <row r="1938" spans="26:48">
      <c r="Z1938" s="3"/>
      <c r="AC1938"/>
      <c r="AE1938" s="3"/>
      <c r="AH1938" t="s">
        <v>1871</v>
      </c>
      <c r="AI1938" t="s">
        <v>68</v>
      </c>
      <c r="AJ1938" t="s">
        <v>66</v>
      </c>
      <c r="AK1938" s="3" t="s">
        <v>27</v>
      </c>
      <c r="AL1938" s="3">
        <v>-10817.5</v>
      </c>
      <c r="AS1938" t="s">
        <v>2057</v>
      </c>
      <c r="AT1938" t="s">
        <v>88</v>
      </c>
      <c r="AU1938" t="s">
        <v>270</v>
      </c>
      <c r="AV1938" s="14">
        <v>0</v>
      </c>
    </row>
    <row r="1939" spans="26:48">
      <c r="Z1939" s="3"/>
      <c r="AC1939"/>
      <c r="AE1939" s="3"/>
      <c r="AH1939" t="s">
        <v>1871</v>
      </c>
      <c r="AI1939" t="s">
        <v>68</v>
      </c>
      <c r="AJ1939" t="s">
        <v>72</v>
      </c>
      <c r="AK1939" s="3" t="s">
        <v>27</v>
      </c>
      <c r="AL1939" s="3">
        <v>-11025.33142</v>
      </c>
      <c r="AS1939" t="s">
        <v>2057</v>
      </c>
      <c r="AT1939" t="s">
        <v>88</v>
      </c>
      <c r="AU1939" t="s">
        <v>271</v>
      </c>
      <c r="AV1939" s="14">
        <v>-5183.0360000000001</v>
      </c>
    </row>
    <row r="1940" spans="26:48">
      <c r="Z1940" s="3"/>
      <c r="AC1940"/>
      <c r="AE1940" s="3"/>
      <c r="AH1940" t="s">
        <v>1871</v>
      </c>
      <c r="AI1940" t="s">
        <v>68</v>
      </c>
      <c r="AJ1940" t="s">
        <v>113</v>
      </c>
      <c r="AK1940" s="3" t="s">
        <v>27</v>
      </c>
      <c r="AL1940" s="3">
        <v>-681.97263764180002</v>
      </c>
      <c r="AS1940" t="s">
        <v>2057</v>
      </c>
      <c r="AT1940" t="s">
        <v>88</v>
      </c>
      <c r="AU1940" t="s">
        <v>272</v>
      </c>
      <c r="AV1940" s="14">
        <v>0</v>
      </c>
    </row>
    <row r="1941" spans="26:48">
      <c r="Z1941" s="3"/>
      <c r="AC1941"/>
      <c r="AE1941" s="3"/>
      <c r="AH1941" t="s">
        <v>1871</v>
      </c>
      <c r="AI1941" t="s">
        <v>68</v>
      </c>
      <c r="AJ1941" t="s">
        <v>108</v>
      </c>
      <c r="AK1941" s="3" t="s">
        <v>27</v>
      </c>
      <c r="AL1941" s="3">
        <v>474.14121764179998</v>
      </c>
      <c r="AS1941" t="s">
        <v>2057</v>
      </c>
      <c r="AT1941" t="s">
        <v>88</v>
      </c>
      <c r="AU1941" t="s">
        <v>273</v>
      </c>
      <c r="AV1941" s="14">
        <v>0</v>
      </c>
    </row>
    <row r="1942" spans="26:48">
      <c r="Z1942" s="3"/>
      <c r="AC1942"/>
      <c r="AE1942" s="3"/>
      <c r="AH1942" t="s">
        <v>1871</v>
      </c>
      <c r="AI1942" t="s">
        <v>68</v>
      </c>
      <c r="AJ1942" t="s">
        <v>98</v>
      </c>
      <c r="AK1942" s="3" t="s">
        <v>27</v>
      </c>
      <c r="AL1942" s="3">
        <v>474.14121764179998</v>
      </c>
      <c r="AS1942" t="s">
        <v>2058</v>
      </c>
      <c r="AT1942" t="s">
        <v>88</v>
      </c>
      <c r="AU1942" t="s">
        <v>109</v>
      </c>
      <c r="AV1942" s="14">
        <v>31993.7588</v>
      </c>
    </row>
    <row r="1943" spans="26:48">
      <c r="Z1943" s="3"/>
      <c r="AC1943"/>
      <c r="AE1943" s="3"/>
      <c r="AH1943" t="s">
        <v>1871</v>
      </c>
      <c r="AI1943" t="s">
        <v>68</v>
      </c>
      <c r="AJ1943" t="s">
        <v>66</v>
      </c>
      <c r="AK1943" s="3" t="s">
        <v>114</v>
      </c>
      <c r="AL1943" s="3">
        <v>3431</v>
      </c>
      <c r="AS1943" t="s">
        <v>2058</v>
      </c>
      <c r="AT1943" t="s">
        <v>88</v>
      </c>
      <c r="AU1943" t="s">
        <v>110</v>
      </c>
      <c r="AV1943" s="14">
        <v>897.61059999999998</v>
      </c>
    </row>
    <row r="1944" spans="26:48">
      <c r="Z1944" s="3"/>
      <c r="AC1944"/>
      <c r="AE1944" s="3"/>
      <c r="AH1944" t="s">
        <v>1871</v>
      </c>
      <c r="AI1944" t="s">
        <v>68</v>
      </c>
      <c r="AJ1944" t="s">
        <v>98</v>
      </c>
      <c r="AK1944" s="3" t="s">
        <v>114</v>
      </c>
      <c r="AL1944" s="3">
        <v>-160.7496941096</v>
      </c>
      <c r="AS1944" t="s">
        <v>2058</v>
      </c>
      <c r="AT1944" t="s">
        <v>88</v>
      </c>
      <c r="AU1944" t="s">
        <v>111</v>
      </c>
      <c r="AV1944" s="14">
        <v>9500</v>
      </c>
    </row>
    <row r="1945" spans="26:48">
      <c r="Z1945" s="3"/>
      <c r="AC1945"/>
      <c r="AE1945" s="3"/>
      <c r="AH1945" t="s">
        <v>1871</v>
      </c>
      <c r="AI1945" t="s">
        <v>68</v>
      </c>
      <c r="AJ1945" t="s">
        <v>66</v>
      </c>
      <c r="AK1945" s="3" t="s">
        <v>115</v>
      </c>
      <c r="AL1945" s="3">
        <v>14248.5</v>
      </c>
      <c r="AS1945" t="s">
        <v>2058</v>
      </c>
      <c r="AT1945" t="s">
        <v>88</v>
      </c>
      <c r="AU1945" t="s">
        <v>268</v>
      </c>
      <c r="AV1945" s="14">
        <v>-4500</v>
      </c>
    </row>
    <row r="1946" spans="26:48">
      <c r="Z1946" s="3"/>
      <c r="AC1946"/>
      <c r="AE1946" s="3"/>
      <c r="AH1946" t="s">
        <v>1871</v>
      </c>
      <c r="AI1946" t="s">
        <v>68</v>
      </c>
      <c r="AJ1946" t="s">
        <v>98</v>
      </c>
      <c r="AK1946" s="3" t="s">
        <v>115</v>
      </c>
      <c r="AL1946" s="3">
        <v>-634.89091175140004</v>
      </c>
      <c r="AS1946" t="s">
        <v>2058</v>
      </c>
      <c r="AT1946" t="s">
        <v>88</v>
      </c>
      <c r="AU1946" t="s">
        <v>269</v>
      </c>
      <c r="AV1946" s="14">
        <v>-397.61059999999998</v>
      </c>
    </row>
    <row r="1947" spans="26:48">
      <c r="Z1947" s="3"/>
      <c r="AC1947"/>
      <c r="AE1947" s="3"/>
      <c r="AH1947" t="s">
        <v>1871</v>
      </c>
      <c r="AI1947" t="s">
        <v>800</v>
      </c>
      <c r="AJ1947" t="s">
        <v>31</v>
      </c>
      <c r="AK1947" s="3" t="s">
        <v>27</v>
      </c>
      <c r="AL1947" s="3">
        <v>4.0166153047000002</v>
      </c>
      <c r="AS1947" t="s">
        <v>2058</v>
      </c>
      <c r="AT1947" t="s">
        <v>88</v>
      </c>
      <c r="AU1947" t="s">
        <v>270</v>
      </c>
      <c r="AV1947" s="14">
        <v>-500</v>
      </c>
    </row>
    <row r="1948" spans="26:48">
      <c r="Z1948" s="3"/>
      <c r="AC1948"/>
      <c r="AE1948" s="3"/>
      <c r="AH1948" t="s">
        <v>1872</v>
      </c>
      <c r="AI1948" t="s">
        <v>65</v>
      </c>
      <c r="AJ1948" t="s">
        <v>66</v>
      </c>
      <c r="AK1948" s="3" t="s">
        <v>27</v>
      </c>
      <c r="AL1948" s="3">
        <v>33814.699999999997</v>
      </c>
      <c r="AS1948" t="s">
        <v>2058</v>
      </c>
      <c r="AT1948" t="s">
        <v>88</v>
      </c>
      <c r="AU1948" t="s">
        <v>271</v>
      </c>
      <c r="AV1948" s="14">
        <v>-3883.0360000000001</v>
      </c>
    </row>
    <row r="1949" spans="26:48">
      <c r="Z1949" s="3"/>
      <c r="AC1949"/>
      <c r="AE1949" s="3"/>
      <c r="AH1949" t="s">
        <v>1872</v>
      </c>
      <c r="AI1949" t="s">
        <v>65</v>
      </c>
      <c r="AJ1949" t="s">
        <v>72</v>
      </c>
      <c r="AK1949" s="3" t="s">
        <v>27</v>
      </c>
      <c r="AL1949" s="3">
        <v>34688.160773000003</v>
      </c>
      <c r="AS1949" t="s">
        <v>2058</v>
      </c>
      <c r="AT1949" t="s">
        <v>88</v>
      </c>
      <c r="AU1949" t="s">
        <v>272</v>
      </c>
      <c r="AV1949" s="14">
        <v>0</v>
      </c>
    </row>
    <row r="1950" spans="26:48">
      <c r="Z1950" s="3"/>
      <c r="AC1950"/>
      <c r="AE1950" s="3"/>
      <c r="AH1950" t="s">
        <v>1872</v>
      </c>
      <c r="AI1950" t="s">
        <v>65</v>
      </c>
      <c r="AJ1950" t="s">
        <v>113</v>
      </c>
      <c r="AK1950" s="3" t="s">
        <v>27</v>
      </c>
      <c r="AL1950" s="3">
        <v>1940.4175918884</v>
      </c>
      <c r="AS1950" t="s">
        <v>2058</v>
      </c>
      <c r="AT1950" t="s">
        <v>88</v>
      </c>
      <c r="AU1950" t="s">
        <v>273</v>
      </c>
      <c r="AV1950" s="14">
        <v>0</v>
      </c>
    </row>
    <row r="1951" spans="26:48">
      <c r="Z1951" s="3"/>
      <c r="AC1951"/>
      <c r="AE1951" s="3"/>
      <c r="AH1951" t="s">
        <v>1872</v>
      </c>
      <c r="AI1951" t="s">
        <v>65</v>
      </c>
      <c r="AJ1951" t="s">
        <v>108</v>
      </c>
      <c r="AK1951" s="3" t="s">
        <v>27</v>
      </c>
      <c r="AL1951" s="3">
        <v>-1066.9568188884</v>
      </c>
      <c r="AS1951" t="s">
        <v>2059</v>
      </c>
      <c r="AT1951" t="s">
        <v>88</v>
      </c>
      <c r="AU1951" t="s">
        <v>109</v>
      </c>
      <c r="AV1951" s="14">
        <v>32393.7588</v>
      </c>
    </row>
    <row r="1952" spans="26:48">
      <c r="Z1952" s="3"/>
      <c r="AC1952"/>
      <c r="AE1952" s="3"/>
      <c r="AH1952" t="s">
        <v>1872</v>
      </c>
      <c r="AI1952" t="s">
        <v>65</v>
      </c>
      <c r="AJ1952" t="s">
        <v>98</v>
      </c>
      <c r="AK1952" s="3" t="s">
        <v>27</v>
      </c>
      <c r="AL1952" s="3">
        <v>-1066.9568188884</v>
      </c>
      <c r="AS1952" t="s">
        <v>2059</v>
      </c>
      <c r="AT1952" t="s">
        <v>88</v>
      </c>
      <c r="AU1952" t="s">
        <v>110</v>
      </c>
      <c r="AV1952" s="14">
        <v>897.61059999999998</v>
      </c>
    </row>
    <row r="1953" spans="26:48">
      <c r="Z1953" s="3"/>
      <c r="AC1953"/>
      <c r="AE1953" s="3"/>
      <c r="AH1953" t="s">
        <v>1872</v>
      </c>
      <c r="AI1953" t="s">
        <v>67</v>
      </c>
      <c r="AJ1953" t="s">
        <v>66</v>
      </c>
      <c r="AK1953" s="3" t="s">
        <v>27</v>
      </c>
      <c r="AL1953" s="3">
        <v>-16335.2</v>
      </c>
      <c r="AS1953" t="s">
        <v>2059</v>
      </c>
      <c r="AT1953" t="s">
        <v>88</v>
      </c>
      <c r="AU1953" t="s">
        <v>111</v>
      </c>
      <c r="AV1953" s="14">
        <v>9500</v>
      </c>
    </row>
    <row r="1954" spans="26:48">
      <c r="Z1954" s="3"/>
      <c r="AC1954"/>
      <c r="AE1954" s="3"/>
      <c r="AH1954" t="s">
        <v>1872</v>
      </c>
      <c r="AI1954" t="s">
        <v>67</v>
      </c>
      <c r="AJ1954" t="s">
        <v>72</v>
      </c>
      <c r="AK1954" s="3" t="s">
        <v>27</v>
      </c>
      <c r="AL1954" s="3">
        <v>-17210.997103000002</v>
      </c>
      <c r="AS1954" t="s">
        <v>2059</v>
      </c>
      <c r="AT1954" t="s">
        <v>88</v>
      </c>
      <c r="AU1954" t="s">
        <v>268</v>
      </c>
      <c r="AV1954" s="14">
        <v>-4000</v>
      </c>
    </row>
    <row r="1955" spans="26:48">
      <c r="Z1955" s="3"/>
      <c r="AC1955"/>
      <c r="AE1955" s="3"/>
      <c r="AH1955" t="s">
        <v>1872</v>
      </c>
      <c r="AI1955" t="s">
        <v>67</v>
      </c>
      <c r="AJ1955" t="s">
        <v>113</v>
      </c>
      <c r="AK1955" s="3" t="s">
        <v>27</v>
      </c>
      <c r="AL1955" s="3">
        <v>-1044.0005544733999</v>
      </c>
      <c r="AS1955" t="s">
        <v>2059</v>
      </c>
      <c r="AT1955" t="s">
        <v>88</v>
      </c>
      <c r="AU1955" t="s">
        <v>269</v>
      </c>
      <c r="AV1955" s="14">
        <v>0</v>
      </c>
    </row>
    <row r="1956" spans="26:48">
      <c r="Z1956" s="3"/>
      <c r="AC1956"/>
      <c r="AE1956" s="3"/>
      <c r="AH1956" t="s">
        <v>1872</v>
      </c>
      <c r="AI1956" t="s">
        <v>67</v>
      </c>
      <c r="AJ1956" t="s">
        <v>108</v>
      </c>
      <c r="AK1956" s="3" t="s">
        <v>27</v>
      </c>
      <c r="AL1956" s="3">
        <v>168.20345147340001</v>
      </c>
      <c r="AS1956" t="s">
        <v>2059</v>
      </c>
      <c r="AT1956" t="s">
        <v>88</v>
      </c>
      <c r="AU1956" t="s">
        <v>270</v>
      </c>
      <c r="AV1956" s="14">
        <v>-500</v>
      </c>
    </row>
    <row r="1957" spans="26:48">
      <c r="Z1957" s="3"/>
      <c r="AC1957"/>
      <c r="AE1957" s="3"/>
      <c r="AH1957" t="s">
        <v>1872</v>
      </c>
      <c r="AI1957" t="s">
        <v>67</v>
      </c>
      <c r="AJ1957" t="s">
        <v>98</v>
      </c>
      <c r="AK1957" s="3" t="s">
        <v>27</v>
      </c>
      <c r="AL1957" s="3">
        <v>168.20345147340001</v>
      </c>
      <c r="AS1957" t="s">
        <v>2059</v>
      </c>
      <c r="AT1957" t="s">
        <v>88</v>
      </c>
      <c r="AU1957" t="s">
        <v>271</v>
      </c>
      <c r="AV1957" s="14">
        <v>-2883.0360000000001</v>
      </c>
    </row>
    <row r="1958" spans="26:48">
      <c r="Z1958" s="3"/>
      <c r="AC1958"/>
      <c r="AE1958" s="3"/>
      <c r="AH1958" t="s">
        <v>1872</v>
      </c>
      <c r="AI1958" t="s">
        <v>67</v>
      </c>
      <c r="AJ1958" t="s">
        <v>66</v>
      </c>
      <c r="AK1958" s="3" t="s">
        <v>114</v>
      </c>
      <c r="AL1958" s="3">
        <v>1430</v>
      </c>
      <c r="AS1958" t="s">
        <v>2059</v>
      </c>
      <c r="AT1958" t="s">
        <v>88</v>
      </c>
      <c r="AU1958" t="s">
        <v>272</v>
      </c>
      <c r="AV1958" s="14">
        <v>0</v>
      </c>
    </row>
    <row r="1959" spans="26:48">
      <c r="Z1959" s="3"/>
      <c r="AC1959"/>
      <c r="AE1959" s="3"/>
      <c r="AH1959" t="s">
        <v>1872</v>
      </c>
      <c r="AI1959" t="s">
        <v>67</v>
      </c>
      <c r="AJ1959" t="s">
        <v>98</v>
      </c>
      <c r="AK1959" s="3" t="s">
        <v>114</v>
      </c>
      <c r="AL1959" s="3">
        <v>-62.019819178100001</v>
      </c>
      <c r="AS1959" t="s">
        <v>2059</v>
      </c>
      <c r="AT1959" t="s">
        <v>88</v>
      </c>
      <c r="AU1959" t="s">
        <v>273</v>
      </c>
      <c r="AV1959" s="14">
        <v>0</v>
      </c>
    </row>
    <row r="1960" spans="26:48">
      <c r="Z1960" s="3"/>
      <c r="AC1960"/>
      <c r="AE1960" s="3"/>
      <c r="AH1960" t="s">
        <v>1872</v>
      </c>
      <c r="AI1960" t="s">
        <v>67</v>
      </c>
      <c r="AJ1960" t="s">
        <v>66</v>
      </c>
      <c r="AK1960" s="3" t="s">
        <v>115</v>
      </c>
      <c r="AL1960" s="3">
        <v>17765.2</v>
      </c>
      <c r="AS1960" t="s">
        <v>2060</v>
      </c>
      <c r="AT1960" t="s">
        <v>88</v>
      </c>
      <c r="AU1960" t="s">
        <v>109</v>
      </c>
      <c r="AV1960" s="14">
        <v>29843.7588</v>
      </c>
    </row>
    <row r="1961" spans="26:48">
      <c r="Z1961" s="3"/>
      <c r="AC1961"/>
      <c r="AE1961" s="3"/>
      <c r="AH1961" t="s">
        <v>1872</v>
      </c>
      <c r="AI1961" t="s">
        <v>67</v>
      </c>
      <c r="AJ1961" t="s">
        <v>98</v>
      </c>
      <c r="AK1961" s="3" t="s">
        <v>115</v>
      </c>
      <c r="AL1961" s="3">
        <v>-230.2232706515</v>
      </c>
      <c r="AS1961" t="s">
        <v>2060</v>
      </c>
      <c r="AT1961" t="s">
        <v>88</v>
      </c>
      <c r="AU1961" t="s">
        <v>110</v>
      </c>
      <c r="AV1961" s="14">
        <v>500</v>
      </c>
    </row>
    <row r="1962" spans="26:48">
      <c r="Z1962" s="3"/>
      <c r="AC1962"/>
      <c r="AE1962" s="3"/>
      <c r="AH1962" t="s">
        <v>1872</v>
      </c>
      <c r="AI1962" t="s">
        <v>68</v>
      </c>
      <c r="AJ1962" t="s">
        <v>66</v>
      </c>
      <c r="AK1962" s="3" t="s">
        <v>27</v>
      </c>
      <c r="AL1962" s="3">
        <v>-11317.5</v>
      </c>
      <c r="AS1962" t="s">
        <v>2060</v>
      </c>
      <c r="AT1962" t="s">
        <v>88</v>
      </c>
      <c r="AU1962" t="s">
        <v>111</v>
      </c>
      <c r="AV1962" s="14">
        <v>9500</v>
      </c>
    </row>
    <row r="1963" spans="26:48">
      <c r="Z1963" s="3"/>
      <c r="AC1963"/>
      <c r="AE1963" s="3"/>
      <c r="AH1963" t="s">
        <v>1872</v>
      </c>
      <c r="AI1963" t="s">
        <v>68</v>
      </c>
      <c r="AJ1963" t="s">
        <v>72</v>
      </c>
      <c r="AK1963" s="3" t="s">
        <v>27</v>
      </c>
      <c r="AL1963" s="3">
        <v>-11742.86081</v>
      </c>
      <c r="AS1963" t="s">
        <v>2060</v>
      </c>
      <c r="AT1963" t="s">
        <v>88</v>
      </c>
      <c r="AU1963" t="s">
        <v>268</v>
      </c>
      <c r="AV1963" s="14">
        <v>-3000</v>
      </c>
    </row>
    <row r="1964" spans="26:48">
      <c r="Z1964" s="3"/>
      <c r="AC1964"/>
      <c r="AE1964" s="3"/>
      <c r="AH1964" t="s">
        <v>1872</v>
      </c>
      <c r="AI1964" t="s">
        <v>68</v>
      </c>
      <c r="AJ1964" t="s">
        <v>113</v>
      </c>
      <c r="AK1964" s="3" t="s">
        <v>27</v>
      </c>
      <c r="AL1964" s="3">
        <v>-861.21320176530003</v>
      </c>
      <c r="AS1964" t="s">
        <v>2060</v>
      </c>
      <c r="AT1964" t="s">
        <v>88</v>
      </c>
      <c r="AU1964" t="s">
        <v>269</v>
      </c>
      <c r="AV1964" s="14">
        <v>397.61059999999998</v>
      </c>
    </row>
    <row r="1965" spans="26:48">
      <c r="Z1965" s="3"/>
      <c r="AC1965"/>
      <c r="AE1965" s="3"/>
      <c r="AH1965" t="s">
        <v>1872</v>
      </c>
      <c r="AI1965" t="s">
        <v>68</v>
      </c>
      <c r="AJ1965" t="s">
        <v>108</v>
      </c>
      <c r="AK1965" s="3" t="s">
        <v>27</v>
      </c>
      <c r="AL1965" s="3">
        <v>435.85239176530001</v>
      </c>
      <c r="AS1965" t="s">
        <v>2060</v>
      </c>
      <c r="AT1965" t="s">
        <v>88</v>
      </c>
      <c r="AU1965" t="s">
        <v>270</v>
      </c>
      <c r="AV1965" s="14">
        <v>0</v>
      </c>
    </row>
    <row r="1966" spans="26:48">
      <c r="Z1966" s="3"/>
      <c r="AC1966"/>
      <c r="AE1966" s="3"/>
      <c r="AH1966" t="s">
        <v>1872</v>
      </c>
      <c r="AI1966" t="s">
        <v>68</v>
      </c>
      <c r="AJ1966" t="s">
        <v>98</v>
      </c>
      <c r="AK1966" s="3" t="s">
        <v>27</v>
      </c>
      <c r="AL1966" s="3">
        <v>435.85239176530001</v>
      </c>
      <c r="AS1966" t="s">
        <v>2060</v>
      </c>
      <c r="AT1966" t="s">
        <v>88</v>
      </c>
      <c r="AU1966" t="s">
        <v>271</v>
      </c>
      <c r="AV1966" s="14">
        <v>-2883.0360000000001</v>
      </c>
    </row>
    <row r="1967" spans="26:48">
      <c r="Z1967" s="3"/>
      <c r="AC1967"/>
      <c r="AE1967" s="3"/>
      <c r="AH1967" t="s">
        <v>1872</v>
      </c>
      <c r="AI1967" t="s">
        <v>68</v>
      </c>
      <c r="AJ1967" t="s">
        <v>66</v>
      </c>
      <c r="AK1967" s="3" t="s">
        <v>114</v>
      </c>
      <c r="AL1967" s="3">
        <v>3581</v>
      </c>
      <c r="AS1967" t="s">
        <v>2060</v>
      </c>
      <c r="AT1967" t="s">
        <v>88</v>
      </c>
      <c r="AU1967" t="s">
        <v>272</v>
      </c>
      <c r="AV1967" s="14">
        <v>0</v>
      </c>
    </row>
    <row r="1968" spans="26:48">
      <c r="Z1968" s="3"/>
      <c r="AC1968"/>
      <c r="AE1968" s="3"/>
      <c r="AH1968" t="s">
        <v>1872</v>
      </c>
      <c r="AI1968" t="s">
        <v>68</v>
      </c>
      <c r="AJ1968" t="s">
        <v>98</v>
      </c>
      <c r="AK1968" s="3" t="s">
        <v>114</v>
      </c>
      <c r="AL1968" s="3">
        <v>-158.04139986300001</v>
      </c>
      <c r="AS1968" t="s">
        <v>2060</v>
      </c>
      <c r="AT1968" t="s">
        <v>88</v>
      </c>
      <c r="AU1968" t="s">
        <v>273</v>
      </c>
      <c r="AV1968" s="14">
        <v>0</v>
      </c>
    </row>
    <row r="1969" spans="26:48">
      <c r="Z1969" s="3"/>
      <c r="AC1969"/>
      <c r="AE1969" s="3"/>
      <c r="AH1969" t="s">
        <v>1872</v>
      </c>
      <c r="AI1969" t="s">
        <v>68</v>
      </c>
      <c r="AJ1969" t="s">
        <v>66</v>
      </c>
      <c r="AK1969" s="3" t="s">
        <v>115</v>
      </c>
      <c r="AL1969" s="3">
        <v>14898.5</v>
      </c>
      <c r="AS1969" t="s">
        <v>2061</v>
      </c>
      <c r="AT1969" t="s">
        <v>88</v>
      </c>
      <c r="AU1969" t="s">
        <v>109</v>
      </c>
      <c r="AV1969" s="14">
        <v>29193.7588</v>
      </c>
    </row>
    <row r="1970" spans="26:48">
      <c r="Z1970" s="3"/>
      <c r="AC1970"/>
      <c r="AE1970" s="3"/>
      <c r="AH1970" t="s">
        <v>1872</v>
      </c>
      <c r="AI1970" t="s">
        <v>68</v>
      </c>
      <c r="AJ1970" t="s">
        <v>98</v>
      </c>
      <c r="AK1970" s="3" t="s">
        <v>115</v>
      </c>
      <c r="AL1970" s="3">
        <v>-593.89379162839998</v>
      </c>
      <c r="AS1970" t="s">
        <v>2061</v>
      </c>
      <c r="AT1970" t="s">
        <v>88</v>
      </c>
      <c r="AU1970" t="s">
        <v>110</v>
      </c>
      <c r="AV1970" s="14">
        <v>500</v>
      </c>
    </row>
    <row r="1971" spans="26:48">
      <c r="Z1971" s="3"/>
      <c r="AC1971"/>
      <c r="AE1971" s="3"/>
      <c r="AH1971" t="s">
        <v>1872</v>
      </c>
      <c r="AI1971" t="s">
        <v>800</v>
      </c>
      <c r="AJ1971" t="s">
        <v>31</v>
      </c>
      <c r="AK1971" s="3" t="s">
        <v>27</v>
      </c>
      <c r="AL1971" s="3">
        <v>4.0155920777</v>
      </c>
      <c r="AS1971" t="s">
        <v>2061</v>
      </c>
      <c r="AT1971" t="s">
        <v>88</v>
      </c>
      <c r="AU1971" t="s">
        <v>111</v>
      </c>
      <c r="AV1971" s="14">
        <v>9500</v>
      </c>
    </row>
    <row r="1972" spans="26:48">
      <c r="Z1972" s="3"/>
      <c r="AC1972"/>
      <c r="AE1972" s="3"/>
      <c r="AH1972" t="s">
        <v>1873</v>
      </c>
      <c r="AI1972" t="s">
        <v>800</v>
      </c>
      <c r="AJ1972" t="s">
        <v>31</v>
      </c>
      <c r="AK1972" s="3" t="s">
        <v>27</v>
      </c>
      <c r="AL1972" s="3">
        <v>4.0077169390999998</v>
      </c>
      <c r="AS1972" t="s">
        <v>2061</v>
      </c>
      <c r="AT1972" t="s">
        <v>88</v>
      </c>
      <c r="AU1972" t="s">
        <v>268</v>
      </c>
      <c r="AV1972" s="14">
        <v>-2000</v>
      </c>
    </row>
    <row r="1973" spans="26:48">
      <c r="Z1973" s="3"/>
      <c r="AC1973"/>
      <c r="AE1973" s="3"/>
      <c r="AH1973" t="s">
        <v>1873</v>
      </c>
      <c r="AI1973" t="s">
        <v>65</v>
      </c>
      <c r="AJ1973" t="s">
        <v>66</v>
      </c>
      <c r="AK1973" s="3" t="s">
        <v>27</v>
      </c>
      <c r="AL1973" s="3">
        <v>34118.699999999997</v>
      </c>
      <c r="AS1973" t="s">
        <v>2061</v>
      </c>
      <c r="AT1973" t="s">
        <v>88</v>
      </c>
      <c r="AU1973" t="s">
        <v>269</v>
      </c>
      <c r="AV1973" s="14">
        <v>0</v>
      </c>
    </row>
    <row r="1974" spans="26:48">
      <c r="Z1974" s="3"/>
      <c r="AC1974"/>
      <c r="AE1974" s="3"/>
      <c r="AH1974" t="s">
        <v>1873</v>
      </c>
      <c r="AI1974" t="s">
        <v>65</v>
      </c>
      <c r="AJ1974" t="s">
        <v>72</v>
      </c>
      <c r="AK1974" s="3" t="s">
        <v>27</v>
      </c>
      <c r="AL1974" s="3">
        <v>35022.522908999999</v>
      </c>
      <c r="AS1974" t="s">
        <v>2061</v>
      </c>
      <c r="AT1974" t="s">
        <v>88</v>
      </c>
      <c r="AU1974" t="s">
        <v>270</v>
      </c>
      <c r="AV1974" s="14">
        <v>0</v>
      </c>
    </row>
    <row r="1975" spans="26:48">
      <c r="Z1975" s="3"/>
      <c r="AC1975"/>
      <c r="AE1975" s="3"/>
      <c r="AH1975" t="s">
        <v>1873</v>
      </c>
      <c r="AI1975" t="s">
        <v>65</v>
      </c>
      <c r="AJ1975" t="s">
        <v>113</v>
      </c>
      <c r="AK1975" s="3" t="s">
        <v>27</v>
      </c>
      <c r="AL1975" s="3">
        <v>1958.3711242661</v>
      </c>
      <c r="AS1975" t="s">
        <v>2061</v>
      </c>
      <c r="AT1975" t="s">
        <v>88</v>
      </c>
      <c r="AU1975" t="s">
        <v>271</v>
      </c>
      <c r="AV1975" s="14">
        <v>-1683.0360000000001</v>
      </c>
    </row>
    <row r="1976" spans="26:48">
      <c r="Z1976" s="3"/>
      <c r="AC1976"/>
      <c r="AE1976" s="3"/>
      <c r="AH1976" t="s">
        <v>1873</v>
      </c>
      <c r="AI1976" t="s">
        <v>65</v>
      </c>
      <c r="AJ1976" t="s">
        <v>108</v>
      </c>
      <c r="AK1976" s="3" t="s">
        <v>27</v>
      </c>
      <c r="AL1976" s="3">
        <v>-1054.5482152661</v>
      </c>
      <c r="AS1976" t="s">
        <v>2061</v>
      </c>
      <c r="AT1976" t="s">
        <v>88</v>
      </c>
      <c r="AU1976" t="s">
        <v>272</v>
      </c>
      <c r="AV1976" s="14">
        <v>0</v>
      </c>
    </row>
    <row r="1977" spans="26:48">
      <c r="Z1977" s="3"/>
      <c r="AC1977"/>
      <c r="AE1977" s="3"/>
      <c r="AH1977" t="s">
        <v>1873</v>
      </c>
      <c r="AI1977" t="s">
        <v>65</v>
      </c>
      <c r="AJ1977" t="s">
        <v>98</v>
      </c>
      <c r="AK1977" s="3" t="s">
        <v>27</v>
      </c>
      <c r="AL1977" s="3">
        <v>-1054.5482152661</v>
      </c>
      <c r="AS1977" t="s">
        <v>2061</v>
      </c>
      <c r="AT1977" t="s">
        <v>88</v>
      </c>
      <c r="AU1977" t="s">
        <v>273</v>
      </c>
      <c r="AV1977" s="14">
        <v>0</v>
      </c>
    </row>
    <row r="1978" spans="26:48">
      <c r="Z1978" s="3"/>
      <c r="AC1978"/>
      <c r="AE1978" s="3"/>
      <c r="AH1978" t="s">
        <v>1873</v>
      </c>
      <c r="AI1978" t="s">
        <v>67</v>
      </c>
      <c r="AJ1978" t="s">
        <v>66</v>
      </c>
      <c r="AK1978" s="3" t="s">
        <v>27</v>
      </c>
      <c r="AL1978" s="3">
        <v>-18069.2</v>
      </c>
      <c r="AS1978" t="s">
        <v>2062</v>
      </c>
      <c r="AT1978" t="s">
        <v>88</v>
      </c>
      <c r="AU1978" t="s">
        <v>109</v>
      </c>
      <c r="AV1978" s="14">
        <v>29543.7588</v>
      </c>
    </row>
    <row r="1979" spans="26:48">
      <c r="Z1979" s="3"/>
      <c r="AC1979"/>
      <c r="AE1979" s="3"/>
      <c r="AH1979" t="s">
        <v>1873</v>
      </c>
      <c r="AI1979" t="s">
        <v>67</v>
      </c>
      <c r="AJ1979" t="s">
        <v>72</v>
      </c>
      <c r="AK1979" s="3" t="s">
        <v>27</v>
      </c>
      <c r="AL1979" s="3">
        <v>-19052.737934000001</v>
      </c>
      <c r="AS1979" t="s">
        <v>2062</v>
      </c>
      <c r="AT1979" t="s">
        <v>88</v>
      </c>
      <c r="AU1979" t="s">
        <v>110</v>
      </c>
      <c r="AV1979" s="14">
        <v>500</v>
      </c>
    </row>
    <row r="1980" spans="26:48">
      <c r="Z1980" s="3"/>
      <c r="AC1980"/>
      <c r="AE1980" s="3"/>
      <c r="AH1980" t="s">
        <v>1873</v>
      </c>
      <c r="AI1980" t="s">
        <v>67</v>
      </c>
      <c r="AJ1980" t="s">
        <v>113</v>
      </c>
      <c r="AK1980" s="3" t="s">
        <v>27</v>
      </c>
      <c r="AL1980" s="3">
        <v>-1216.3514565534001</v>
      </c>
      <c r="AS1980" t="s">
        <v>2062</v>
      </c>
      <c r="AT1980" t="s">
        <v>88</v>
      </c>
      <c r="AU1980" t="s">
        <v>111</v>
      </c>
      <c r="AV1980" s="14">
        <v>9500</v>
      </c>
    </row>
    <row r="1981" spans="26:48">
      <c r="Z1981" s="3"/>
      <c r="AC1981"/>
      <c r="AE1981" s="3"/>
      <c r="AH1981" t="s">
        <v>1873</v>
      </c>
      <c r="AI1981" t="s">
        <v>67</v>
      </c>
      <c r="AJ1981" t="s">
        <v>108</v>
      </c>
      <c r="AK1981" s="3" t="s">
        <v>27</v>
      </c>
      <c r="AL1981" s="3">
        <v>232.81352255339999</v>
      </c>
      <c r="AS1981" t="s">
        <v>2062</v>
      </c>
      <c r="AT1981" t="s">
        <v>88</v>
      </c>
      <c r="AU1981" t="s">
        <v>268</v>
      </c>
      <c r="AV1981" s="14">
        <v>-2800</v>
      </c>
    </row>
    <row r="1982" spans="26:48">
      <c r="Z1982" s="3"/>
      <c r="AC1982"/>
      <c r="AE1982" s="3"/>
      <c r="AH1982" t="s">
        <v>1873</v>
      </c>
      <c r="AI1982" t="s">
        <v>67</v>
      </c>
      <c r="AJ1982" t="s">
        <v>98</v>
      </c>
      <c r="AK1982" s="3" t="s">
        <v>27</v>
      </c>
      <c r="AL1982" s="3">
        <v>232.81352255339999</v>
      </c>
      <c r="AS1982" t="s">
        <v>2062</v>
      </c>
      <c r="AT1982" t="s">
        <v>88</v>
      </c>
      <c r="AU1982" t="s">
        <v>269</v>
      </c>
      <c r="AV1982" s="14">
        <v>0</v>
      </c>
    </row>
    <row r="1983" spans="26:48">
      <c r="Z1983" s="3"/>
      <c r="AC1983"/>
      <c r="AE1983" s="3"/>
      <c r="AH1983" t="s">
        <v>1873</v>
      </c>
      <c r="AI1983" t="s">
        <v>67</v>
      </c>
      <c r="AJ1983" t="s">
        <v>66</v>
      </c>
      <c r="AK1983" s="3" t="s">
        <v>114</v>
      </c>
      <c r="AL1983" s="3">
        <v>811</v>
      </c>
      <c r="AS1983" t="s">
        <v>2062</v>
      </c>
      <c r="AT1983" t="s">
        <v>88</v>
      </c>
      <c r="AU1983" t="s">
        <v>270</v>
      </c>
      <c r="AV1983" s="14">
        <v>0</v>
      </c>
    </row>
    <row r="1984" spans="26:48">
      <c r="Z1984" s="3"/>
      <c r="AC1984"/>
      <c r="AE1984" s="3"/>
      <c r="AH1984" t="s">
        <v>1873</v>
      </c>
      <c r="AI1984" t="s">
        <v>67</v>
      </c>
      <c r="AJ1984" t="s">
        <v>98</v>
      </c>
      <c r="AK1984" s="3" t="s">
        <v>114</v>
      </c>
      <c r="AL1984" s="3">
        <v>12.852232191800001</v>
      </c>
      <c r="AS1984" t="s">
        <v>2062</v>
      </c>
      <c r="AT1984" t="s">
        <v>88</v>
      </c>
      <c r="AU1984" t="s">
        <v>271</v>
      </c>
      <c r="AV1984" s="14">
        <v>-2083.0360000000001</v>
      </c>
    </row>
    <row r="1985" spans="26:48">
      <c r="Z1985" s="3"/>
      <c r="AC1985"/>
      <c r="AE1985" s="3"/>
      <c r="AH1985" t="s">
        <v>1873</v>
      </c>
      <c r="AI1985" t="s">
        <v>67</v>
      </c>
      <c r="AJ1985" t="s">
        <v>66</v>
      </c>
      <c r="AK1985" s="3" t="s">
        <v>115</v>
      </c>
      <c r="AL1985" s="3">
        <v>18880.2</v>
      </c>
      <c r="AS1985" t="s">
        <v>2062</v>
      </c>
      <c r="AT1985" t="s">
        <v>88</v>
      </c>
      <c r="AU1985" t="s">
        <v>272</v>
      </c>
      <c r="AV1985" s="14">
        <v>0</v>
      </c>
    </row>
    <row r="1986" spans="26:48">
      <c r="Z1986" s="3"/>
      <c r="AC1986"/>
      <c r="AE1986" s="3"/>
      <c r="AH1986" t="s">
        <v>1873</v>
      </c>
      <c r="AI1986" t="s">
        <v>67</v>
      </c>
      <c r="AJ1986" t="s">
        <v>98</v>
      </c>
      <c r="AK1986" s="3" t="s">
        <v>115</v>
      </c>
      <c r="AL1986" s="3">
        <v>-219.96129036159999</v>
      </c>
      <c r="AS1986" t="s">
        <v>2062</v>
      </c>
      <c r="AT1986" t="s">
        <v>88</v>
      </c>
      <c r="AU1986" t="s">
        <v>273</v>
      </c>
      <c r="AV1986" s="14">
        <v>0</v>
      </c>
    </row>
    <row r="1987" spans="26:48">
      <c r="Z1987" s="3"/>
      <c r="AC1987"/>
      <c r="AE1987" s="3"/>
      <c r="AH1987" t="s">
        <v>1873</v>
      </c>
      <c r="AI1987" t="s">
        <v>68</v>
      </c>
      <c r="AJ1987" t="s">
        <v>66</v>
      </c>
      <c r="AK1987" s="3" t="s">
        <v>27</v>
      </c>
      <c r="AL1987" s="3">
        <v>-9887.5</v>
      </c>
      <c r="AS1987" t="s">
        <v>2063</v>
      </c>
      <c r="AT1987" t="s">
        <v>88</v>
      </c>
      <c r="AU1987" t="s">
        <v>109</v>
      </c>
      <c r="AV1987" s="14">
        <v>29482.852200000001</v>
      </c>
    </row>
    <row r="1988" spans="26:48">
      <c r="Z1988" s="3"/>
      <c r="AC1988"/>
      <c r="AE1988" s="3"/>
      <c r="AH1988" t="s">
        <v>1873</v>
      </c>
      <c r="AI1988" t="s">
        <v>68</v>
      </c>
      <c r="AJ1988" t="s">
        <v>72</v>
      </c>
      <c r="AK1988" s="3" t="s">
        <v>27</v>
      </c>
      <c r="AL1988" s="3">
        <v>-10235.461815000001</v>
      </c>
      <c r="AS1988" t="s">
        <v>2063</v>
      </c>
      <c r="AT1988" t="s">
        <v>88</v>
      </c>
      <c r="AU1988" t="s">
        <v>110</v>
      </c>
      <c r="AV1988" s="14">
        <v>500</v>
      </c>
    </row>
    <row r="1989" spans="26:48">
      <c r="Z1989" s="3"/>
      <c r="AC1989"/>
      <c r="AE1989" s="3"/>
      <c r="AH1989" t="s">
        <v>1873</v>
      </c>
      <c r="AI1989" t="s">
        <v>68</v>
      </c>
      <c r="AJ1989" t="s">
        <v>113</v>
      </c>
      <c r="AK1989" s="3" t="s">
        <v>27</v>
      </c>
      <c r="AL1989" s="3">
        <v>-706.78636074389999</v>
      </c>
      <c r="AS1989" t="s">
        <v>2063</v>
      </c>
      <c r="AT1989" t="s">
        <v>88</v>
      </c>
      <c r="AU1989" t="s">
        <v>111</v>
      </c>
      <c r="AV1989" s="14">
        <v>9500</v>
      </c>
    </row>
    <row r="1990" spans="26:48">
      <c r="Z1990" s="3"/>
      <c r="AC1990"/>
      <c r="AE1990" s="3"/>
      <c r="AH1990" t="s">
        <v>1873</v>
      </c>
      <c r="AI1990" t="s">
        <v>68</v>
      </c>
      <c r="AJ1990" t="s">
        <v>108</v>
      </c>
      <c r="AK1990" s="3" t="s">
        <v>27</v>
      </c>
      <c r="AL1990" s="3">
        <v>358.82454574389999</v>
      </c>
      <c r="AS1990" t="s">
        <v>2063</v>
      </c>
      <c r="AT1990" t="s">
        <v>88</v>
      </c>
      <c r="AU1990" t="s">
        <v>268</v>
      </c>
      <c r="AV1990" s="14">
        <v>-739.09339999999997</v>
      </c>
    </row>
    <row r="1991" spans="26:48">
      <c r="Z1991" s="3"/>
      <c r="AC1991"/>
      <c r="AE1991" s="3"/>
      <c r="AH1991" t="s">
        <v>1873</v>
      </c>
      <c r="AI1991" t="s">
        <v>68</v>
      </c>
      <c r="AJ1991" t="s">
        <v>98</v>
      </c>
      <c r="AK1991" s="3" t="s">
        <v>27</v>
      </c>
      <c r="AL1991" s="3">
        <v>358.82454574389999</v>
      </c>
      <c r="AS1991" t="s">
        <v>2063</v>
      </c>
      <c r="AT1991" t="s">
        <v>88</v>
      </c>
      <c r="AU1991" t="s">
        <v>269</v>
      </c>
      <c r="AV1991" s="14">
        <v>0</v>
      </c>
    </row>
    <row r="1992" spans="26:48">
      <c r="Z1992" s="3"/>
      <c r="AC1992"/>
      <c r="AE1992" s="3"/>
      <c r="AH1992" t="s">
        <v>1873</v>
      </c>
      <c r="AI1992" t="s">
        <v>68</v>
      </c>
      <c r="AJ1992" t="s">
        <v>66</v>
      </c>
      <c r="AK1992" s="3" t="s">
        <v>114</v>
      </c>
      <c r="AL1992" s="3">
        <v>4311</v>
      </c>
      <c r="AS1992" t="s">
        <v>2063</v>
      </c>
      <c r="AT1992" t="s">
        <v>88</v>
      </c>
      <c r="AU1992" t="s">
        <v>270</v>
      </c>
      <c r="AV1992" s="14">
        <v>0</v>
      </c>
    </row>
    <row r="1993" spans="26:48">
      <c r="Z1993" s="3"/>
      <c r="AC1993"/>
      <c r="AE1993" s="3"/>
      <c r="AH1993" t="s">
        <v>1873</v>
      </c>
      <c r="AI1993" t="s">
        <v>68</v>
      </c>
      <c r="AJ1993" t="s">
        <v>98</v>
      </c>
      <c r="AK1993" s="3" t="s">
        <v>114</v>
      </c>
      <c r="AL1993" s="3">
        <v>-194.16114958899999</v>
      </c>
      <c r="AS1993" t="s">
        <v>2063</v>
      </c>
      <c r="AT1993" t="s">
        <v>88</v>
      </c>
      <c r="AU1993" t="s">
        <v>271</v>
      </c>
      <c r="AV1993" s="14">
        <v>-2083.0360000000001</v>
      </c>
    </row>
    <row r="1994" spans="26:48">
      <c r="Z1994" s="3"/>
      <c r="AC1994"/>
      <c r="AE1994" s="3"/>
      <c r="AH1994" t="s">
        <v>1873</v>
      </c>
      <c r="AI1994" t="s">
        <v>68</v>
      </c>
      <c r="AJ1994" t="s">
        <v>66</v>
      </c>
      <c r="AK1994" s="3" t="s">
        <v>115</v>
      </c>
      <c r="AL1994" s="3">
        <v>14198.5</v>
      </c>
      <c r="AS1994" t="s">
        <v>2063</v>
      </c>
      <c r="AT1994" t="s">
        <v>88</v>
      </c>
      <c r="AU1994" t="s">
        <v>272</v>
      </c>
      <c r="AV1994" s="14">
        <v>0</v>
      </c>
    </row>
    <row r="1995" spans="26:48">
      <c r="Z1995" s="3"/>
      <c r="AC1995"/>
      <c r="AE1995" s="3"/>
      <c r="AH1995" t="s">
        <v>1873</v>
      </c>
      <c r="AI1995" t="s">
        <v>68</v>
      </c>
      <c r="AJ1995" t="s">
        <v>98</v>
      </c>
      <c r="AK1995" s="3" t="s">
        <v>115</v>
      </c>
      <c r="AL1995" s="3">
        <v>-552.98569533290004</v>
      </c>
      <c r="AS1995" t="s">
        <v>2063</v>
      </c>
      <c r="AT1995" t="s">
        <v>88</v>
      </c>
      <c r="AU1995" t="s">
        <v>273</v>
      </c>
      <c r="AV1995" s="14">
        <v>0</v>
      </c>
    </row>
    <row r="1996" spans="26:48">
      <c r="Z1996" s="3"/>
      <c r="AC1996"/>
      <c r="AE1996" s="3"/>
      <c r="AH1996" t="s">
        <v>1874</v>
      </c>
      <c r="AI1996" t="s">
        <v>65</v>
      </c>
      <c r="AJ1996" t="s">
        <v>66</v>
      </c>
      <c r="AK1996" s="3" t="s">
        <v>27</v>
      </c>
      <c r="AL1996" s="3">
        <v>34368.699999999997</v>
      </c>
      <c r="AS1996" t="s">
        <v>2064</v>
      </c>
      <c r="AT1996" t="s">
        <v>88</v>
      </c>
      <c r="AU1996" t="s">
        <v>109</v>
      </c>
      <c r="AV1996" s="14">
        <v>30040.450199999999</v>
      </c>
    </row>
    <row r="1997" spans="26:48">
      <c r="Z1997" s="3"/>
      <c r="AC1997"/>
      <c r="AE1997" s="3"/>
      <c r="AH1997" t="s">
        <v>1874</v>
      </c>
      <c r="AI1997" t="s">
        <v>65</v>
      </c>
      <c r="AJ1997" t="s">
        <v>72</v>
      </c>
      <c r="AK1997" s="3" t="s">
        <v>27</v>
      </c>
      <c r="AL1997" s="3">
        <v>35256.957297000001</v>
      </c>
      <c r="AS1997" t="s">
        <v>2064</v>
      </c>
      <c r="AT1997" t="s">
        <v>88</v>
      </c>
      <c r="AU1997" t="s">
        <v>110</v>
      </c>
      <c r="AV1997" s="14">
        <v>500</v>
      </c>
    </row>
    <row r="1998" spans="26:48">
      <c r="Z1998" s="3"/>
      <c r="AC1998"/>
      <c r="AE1998" s="3"/>
      <c r="AH1998" t="s">
        <v>1874</v>
      </c>
      <c r="AI1998" t="s">
        <v>65</v>
      </c>
      <c r="AJ1998" t="s">
        <v>113</v>
      </c>
      <c r="AK1998" s="3" t="s">
        <v>27</v>
      </c>
      <c r="AL1998" s="3">
        <v>1899.0794451864001</v>
      </c>
      <c r="AS1998" t="s">
        <v>2064</v>
      </c>
      <c r="AT1998" t="s">
        <v>88</v>
      </c>
      <c r="AU1998" t="s">
        <v>111</v>
      </c>
      <c r="AV1998" s="14">
        <v>9500</v>
      </c>
    </row>
    <row r="1999" spans="26:48">
      <c r="Z1999" s="3"/>
      <c r="AC1999"/>
      <c r="AE1999" s="3"/>
      <c r="AH1999" t="s">
        <v>1874</v>
      </c>
      <c r="AI1999" t="s">
        <v>65</v>
      </c>
      <c r="AJ1999" t="s">
        <v>108</v>
      </c>
      <c r="AK1999" s="3" t="s">
        <v>27</v>
      </c>
      <c r="AL1999" s="3">
        <v>-1010.8221481864</v>
      </c>
      <c r="AS1999" t="s">
        <v>2064</v>
      </c>
      <c r="AT1999" t="s">
        <v>88</v>
      </c>
      <c r="AU1999" t="s">
        <v>268</v>
      </c>
      <c r="AV1999" s="14">
        <v>-500</v>
      </c>
    </row>
    <row r="2000" spans="26:48">
      <c r="Z2000" s="3"/>
      <c r="AC2000"/>
      <c r="AE2000" s="3"/>
      <c r="AH2000" t="s">
        <v>1874</v>
      </c>
      <c r="AI2000" t="s">
        <v>65</v>
      </c>
      <c r="AJ2000" t="s">
        <v>98</v>
      </c>
      <c r="AK2000" s="3" t="s">
        <v>27</v>
      </c>
      <c r="AL2000" s="3">
        <v>1.6580658000000002E-2</v>
      </c>
      <c r="AS2000" t="s">
        <v>2064</v>
      </c>
      <c r="AT2000" t="s">
        <v>88</v>
      </c>
      <c r="AU2000" t="s">
        <v>269</v>
      </c>
      <c r="AV2000" s="14">
        <v>0</v>
      </c>
    </row>
    <row r="2001" spans="26:48">
      <c r="Z2001" s="3"/>
      <c r="AC2001"/>
      <c r="AE2001" s="3"/>
      <c r="AH2001" t="s">
        <v>1874</v>
      </c>
      <c r="AI2001" t="s">
        <v>67</v>
      </c>
      <c r="AJ2001" t="s">
        <v>66</v>
      </c>
      <c r="AK2001" s="3" t="s">
        <v>27</v>
      </c>
      <c r="AL2001" s="3">
        <v>-17204.2</v>
      </c>
      <c r="AS2001" t="s">
        <v>2064</v>
      </c>
      <c r="AT2001" t="s">
        <v>88</v>
      </c>
      <c r="AU2001" t="s">
        <v>270</v>
      </c>
      <c r="AV2001" s="14">
        <v>0</v>
      </c>
    </row>
    <row r="2002" spans="26:48">
      <c r="Z2002" s="3"/>
      <c r="AC2002"/>
      <c r="AE2002" s="3"/>
      <c r="AH2002" t="s">
        <v>1874</v>
      </c>
      <c r="AI2002" t="s">
        <v>67</v>
      </c>
      <c r="AJ2002" t="s">
        <v>72</v>
      </c>
      <c r="AK2002" s="3" t="s">
        <v>27</v>
      </c>
      <c r="AL2002" s="3">
        <v>-18211.379851999998</v>
      </c>
      <c r="AS2002" t="s">
        <v>2064</v>
      </c>
      <c r="AT2002" t="s">
        <v>88</v>
      </c>
      <c r="AU2002" t="s">
        <v>271</v>
      </c>
      <c r="AV2002" s="14">
        <v>-1914.0558000000001</v>
      </c>
    </row>
    <row r="2003" spans="26:48">
      <c r="Z2003" s="3"/>
      <c r="AC2003"/>
      <c r="AE2003" s="3"/>
      <c r="AH2003" t="s">
        <v>1874</v>
      </c>
      <c r="AI2003" t="s">
        <v>67</v>
      </c>
      <c r="AJ2003" t="s">
        <v>113</v>
      </c>
      <c r="AK2003" s="3" t="s">
        <v>27</v>
      </c>
      <c r="AL2003" s="3">
        <v>-1182.2212427743</v>
      </c>
      <c r="AS2003" t="s">
        <v>2064</v>
      </c>
      <c r="AT2003" t="s">
        <v>88</v>
      </c>
      <c r="AU2003" t="s">
        <v>272</v>
      </c>
      <c r="AV2003" s="14">
        <v>0</v>
      </c>
    </row>
    <row r="2004" spans="26:48">
      <c r="Z2004" s="3"/>
      <c r="AC2004"/>
      <c r="AE2004" s="3"/>
      <c r="AH2004" t="s">
        <v>1874</v>
      </c>
      <c r="AI2004" t="s">
        <v>67</v>
      </c>
      <c r="AJ2004" t="s">
        <v>108</v>
      </c>
      <c r="AK2004" s="3" t="s">
        <v>27</v>
      </c>
      <c r="AL2004" s="3">
        <v>175.0413907743</v>
      </c>
      <c r="AS2004" t="s">
        <v>2064</v>
      </c>
      <c r="AT2004" t="s">
        <v>88</v>
      </c>
      <c r="AU2004" t="s">
        <v>273</v>
      </c>
      <c r="AV2004" s="14">
        <v>0</v>
      </c>
    </row>
    <row r="2005" spans="26:48">
      <c r="Z2005" s="3"/>
      <c r="AC2005"/>
      <c r="AE2005" s="3"/>
      <c r="AH2005" t="s">
        <v>1874</v>
      </c>
      <c r="AI2005" t="s">
        <v>67</v>
      </c>
      <c r="AJ2005" t="s">
        <v>98</v>
      </c>
      <c r="AK2005" s="3" t="s">
        <v>27</v>
      </c>
      <c r="AL2005" s="3">
        <v>175.0413907743</v>
      </c>
      <c r="AS2005" t="s">
        <v>2065</v>
      </c>
      <c r="AT2005" t="s">
        <v>88</v>
      </c>
      <c r="AU2005" t="s">
        <v>109</v>
      </c>
      <c r="AV2005" s="14">
        <v>30909.430400000001</v>
      </c>
    </row>
    <row r="2006" spans="26:48">
      <c r="Z2006" s="3"/>
      <c r="AC2006"/>
      <c r="AE2006" s="3"/>
      <c r="AH2006" t="s">
        <v>1874</v>
      </c>
      <c r="AI2006" t="s">
        <v>67</v>
      </c>
      <c r="AJ2006" t="s">
        <v>66</v>
      </c>
      <c r="AK2006" s="3" t="s">
        <v>114</v>
      </c>
      <c r="AL2006" s="3">
        <v>0</v>
      </c>
      <c r="AS2006" t="s">
        <v>2065</v>
      </c>
      <c r="AT2006" t="s">
        <v>88</v>
      </c>
      <c r="AU2006" t="s">
        <v>110</v>
      </c>
      <c r="AV2006" s="14">
        <v>500</v>
      </c>
    </row>
    <row r="2007" spans="26:48">
      <c r="Z2007" s="3"/>
      <c r="AC2007"/>
      <c r="AE2007" s="3"/>
      <c r="AH2007" t="s">
        <v>1874</v>
      </c>
      <c r="AI2007" t="s">
        <v>67</v>
      </c>
      <c r="AJ2007" t="s">
        <v>98</v>
      </c>
      <c r="AK2007" s="3" t="s">
        <v>114</v>
      </c>
      <c r="AL2007" s="3">
        <v>0</v>
      </c>
      <c r="AS2007" t="s">
        <v>2065</v>
      </c>
      <c r="AT2007" t="s">
        <v>88</v>
      </c>
      <c r="AU2007" t="s">
        <v>111</v>
      </c>
      <c r="AV2007" s="14">
        <v>9500</v>
      </c>
    </row>
    <row r="2008" spans="26:48">
      <c r="Z2008" s="3"/>
      <c r="AC2008"/>
      <c r="AE2008" s="3"/>
      <c r="AH2008" t="s">
        <v>1874</v>
      </c>
      <c r="AI2008" t="s">
        <v>67</v>
      </c>
      <c r="AJ2008" t="s">
        <v>66</v>
      </c>
      <c r="AK2008" s="3" t="s">
        <v>115</v>
      </c>
      <c r="AL2008" s="3">
        <v>17204.2</v>
      </c>
      <c r="AS2008" t="s">
        <v>2065</v>
      </c>
      <c r="AT2008" t="s">
        <v>88</v>
      </c>
      <c r="AU2008" t="s">
        <v>268</v>
      </c>
      <c r="AV2008" s="14">
        <v>-2000</v>
      </c>
    </row>
    <row r="2009" spans="26:48">
      <c r="Z2009" s="3"/>
      <c r="AC2009"/>
      <c r="AE2009" s="3"/>
      <c r="AH2009" t="s">
        <v>1874</v>
      </c>
      <c r="AI2009" t="s">
        <v>67</v>
      </c>
      <c r="AJ2009" t="s">
        <v>98</v>
      </c>
      <c r="AK2009" s="3" t="s">
        <v>115</v>
      </c>
      <c r="AL2009" s="3">
        <v>-175.0413907743</v>
      </c>
      <c r="AS2009" t="s">
        <v>2065</v>
      </c>
      <c r="AT2009" t="s">
        <v>88</v>
      </c>
      <c r="AU2009" t="s">
        <v>269</v>
      </c>
      <c r="AV2009" s="14">
        <v>0</v>
      </c>
    </row>
    <row r="2010" spans="26:48">
      <c r="Z2010" s="3"/>
      <c r="AC2010"/>
      <c r="AE2010" s="3"/>
      <c r="AH2010" t="s">
        <v>1874</v>
      </c>
      <c r="AI2010" t="s">
        <v>68</v>
      </c>
      <c r="AJ2010" t="s">
        <v>66</v>
      </c>
      <c r="AK2010" s="3" t="s">
        <v>27</v>
      </c>
      <c r="AL2010" s="3">
        <v>-11002.5</v>
      </c>
      <c r="AS2010" t="s">
        <v>2065</v>
      </c>
      <c r="AT2010" t="s">
        <v>88</v>
      </c>
      <c r="AU2010" t="s">
        <v>270</v>
      </c>
      <c r="AV2010" s="14">
        <v>0</v>
      </c>
    </row>
    <row r="2011" spans="26:48">
      <c r="Z2011" s="3"/>
      <c r="AC2011"/>
      <c r="AE2011" s="3"/>
      <c r="AH2011" t="s">
        <v>1874</v>
      </c>
      <c r="AI2011" t="s">
        <v>68</v>
      </c>
      <c r="AJ2011" t="s">
        <v>72</v>
      </c>
      <c r="AK2011" s="3" t="s">
        <v>27</v>
      </c>
      <c r="AL2011" s="3">
        <v>-11310.368474999999</v>
      </c>
      <c r="AS2011" t="s">
        <v>2065</v>
      </c>
      <c r="AT2011" t="s">
        <v>88</v>
      </c>
      <c r="AU2011" t="s">
        <v>271</v>
      </c>
      <c r="AV2011" s="14">
        <v>-1183.0360000000001</v>
      </c>
    </row>
    <row r="2012" spans="26:48">
      <c r="Z2012" s="3"/>
      <c r="AC2012"/>
      <c r="AE2012" s="3"/>
      <c r="AH2012" t="s">
        <v>1874</v>
      </c>
      <c r="AI2012" t="s">
        <v>68</v>
      </c>
      <c r="AJ2012" t="s">
        <v>113</v>
      </c>
      <c r="AK2012" s="3" t="s">
        <v>27</v>
      </c>
      <c r="AL2012" s="3">
        <v>-680.50114411209995</v>
      </c>
      <c r="AS2012" t="s">
        <v>2065</v>
      </c>
      <c r="AT2012" t="s">
        <v>88</v>
      </c>
      <c r="AU2012" t="s">
        <v>272</v>
      </c>
      <c r="AV2012" s="14">
        <v>0</v>
      </c>
    </row>
    <row r="2013" spans="26:48">
      <c r="Z2013" s="3"/>
      <c r="AC2013"/>
      <c r="AE2013" s="3"/>
      <c r="AH2013" t="s">
        <v>1874</v>
      </c>
      <c r="AI2013" t="s">
        <v>68</v>
      </c>
      <c r="AJ2013" t="s">
        <v>108</v>
      </c>
      <c r="AK2013" s="3" t="s">
        <v>27</v>
      </c>
      <c r="AL2013" s="3">
        <v>372.63266911210002</v>
      </c>
      <c r="AS2013" t="s">
        <v>2065</v>
      </c>
      <c r="AT2013" t="s">
        <v>88</v>
      </c>
      <c r="AU2013" t="s">
        <v>273</v>
      </c>
      <c r="AV2013" s="14">
        <v>0</v>
      </c>
    </row>
    <row r="2014" spans="26:48">
      <c r="Z2014" s="3"/>
      <c r="AC2014"/>
      <c r="AE2014" s="3"/>
      <c r="AH2014" t="s">
        <v>1874</v>
      </c>
      <c r="AI2014" t="s">
        <v>68</v>
      </c>
      <c r="AJ2014" t="s">
        <v>98</v>
      </c>
      <c r="AK2014" s="3" t="s">
        <v>27</v>
      </c>
      <c r="AL2014" s="3">
        <v>372.63266911210002</v>
      </c>
      <c r="AS2014" t="s">
        <v>2066</v>
      </c>
      <c r="AT2014" t="s">
        <v>88</v>
      </c>
      <c r="AU2014" t="s">
        <v>109</v>
      </c>
      <c r="AV2014" s="14">
        <v>32259.430400000001</v>
      </c>
    </row>
    <row r="2015" spans="26:48">
      <c r="Z2015" s="3"/>
      <c r="AC2015"/>
      <c r="AE2015" s="3"/>
      <c r="AH2015" t="s">
        <v>1874</v>
      </c>
      <c r="AI2015" t="s">
        <v>68</v>
      </c>
      <c r="AJ2015" t="s">
        <v>66</v>
      </c>
      <c r="AK2015" s="3" t="s">
        <v>114</v>
      </c>
      <c r="AL2015" s="3">
        <v>3711</v>
      </c>
      <c r="AS2015" t="s">
        <v>2066</v>
      </c>
      <c r="AT2015" t="s">
        <v>88</v>
      </c>
      <c r="AU2015" t="s">
        <v>110</v>
      </c>
      <c r="AV2015" s="14">
        <v>500</v>
      </c>
    </row>
    <row r="2016" spans="26:48">
      <c r="Z2016" s="3"/>
      <c r="AC2016"/>
      <c r="AE2016" s="3"/>
      <c r="AH2016" t="s">
        <v>1874</v>
      </c>
      <c r="AI2016" t="s">
        <v>68</v>
      </c>
      <c r="AJ2016" t="s">
        <v>98</v>
      </c>
      <c r="AK2016" s="3" t="s">
        <v>114</v>
      </c>
      <c r="AL2016" s="3">
        <v>-155.48662150679999</v>
      </c>
      <c r="AS2016" t="s">
        <v>2066</v>
      </c>
      <c r="AT2016" t="s">
        <v>88</v>
      </c>
      <c r="AU2016" t="s">
        <v>111</v>
      </c>
      <c r="AV2016" s="14">
        <v>9100</v>
      </c>
    </row>
    <row r="2017" spans="26:48">
      <c r="Z2017" s="3"/>
      <c r="AC2017"/>
      <c r="AE2017" s="3"/>
      <c r="AH2017" t="s">
        <v>1874</v>
      </c>
      <c r="AI2017" t="s">
        <v>68</v>
      </c>
      <c r="AJ2017" t="s">
        <v>66</v>
      </c>
      <c r="AK2017" s="3" t="s">
        <v>115</v>
      </c>
      <c r="AL2017" s="3">
        <v>14713.5</v>
      </c>
      <c r="AS2017" t="s">
        <v>2066</v>
      </c>
      <c r="AT2017" t="s">
        <v>88</v>
      </c>
      <c r="AU2017" t="s">
        <v>268</v>
      </c>
      <c r="AV2017" s="14">
        <v>-1800</v>
      </c>
    </row>
    <row r="2018" spans="26:48">
      <c r="Z2018" s="3"/>
      <c r="AC2018"/>
      <c r="AE2018" s="3"/>
      <c r="AH2018" t="s">
        <v>1874</v>
      </c>
      <c r="AI2018" t="s">
        <v>68</v>
      </c>
      <c r="AJ2018" t="s">
        <v>98</v>
      </c>
      <c r="AK2018" s="3" t="s">
        <v>115</v>
      </c>
      <c r="AL2018" s="3">
        <v>-528.11929061900003</v>
      </c>
      <c r="AS2018" t="s">
        <v>2066</v>
      </c>
      <c r="AT2018" t="s">
        <v>88</v>
      </c>
      <c r="AU2018" t="s">
        <v>269</v>
      </c>
      <c r="AV2018" s="14">
        <v>0</v>
      </c>
    </row>
    <row r="2019" spans="26:48">
      <c r="Z2019" s="3"/>
      <c r="AC2019"/>
      <c r="AE2019" s="3"/>
      <c r="AH2019" t="s">
        <v>1874</v>
      </c>
      <c r="AI2019" t="s">
        <v>800</v>
      </c>
      <c r="AJ2019" t="s">
        <v>31</v>
      </c>
      <c r="AK2019" s="3" t="s">
        <v>27</v>
      </c>
      <c r="AL2019" s="3">
        <v>4.010212546</v>
      </c>
      <c r="AS2019" t="s">
        <v>2066</v>
      </c>
      <c r="AT2019" t="s">
        <v>88</v>
      </c>
      <c r="AU2019" t="s">
        <v>270</v>
      </c>
      <c r="AV2019" s="14">
        <v>0</v>
      </c>
    </row>
    <row r="2020" spans="26:48">
      <c r="Z2020" s="3"/>
      <c r="AC2020"/>
      <c r="AE2020" s="3"/>
      <c r="AH2020" t="s">
        <v>1874</v>
      </c>
      <c r="AI2020" t="s">
        <v>800</v>
      </c>
      <c r="AJ2020" t="s">
        <v>31</v>
      </c>
      <c r="AK2020" s="3" t="s">
        <v>27</v>
      </c>
      <c r="AL2020" s="3">
        <v>4.01</v>
      </c>
      <c r="AS2020" t="s">
        <v>2066</v>
      </c>
      <c r="AT2020" t="s">
        <v>88</v>
      </c>
      <c r="AU2020" t="s">
        <v>271</v>
      </c>
      <c r="AV2020" s="14">
        <v>-1433.0360000000001</v>
      </c>
    </row>
    <row r="2021" spans="26:48">
      <c r="Z2021" s="3"/>
      <c r="AC2021"/>
      <c r="AE2021" s="3"/>
      <c r="AH2021" t="s">
        <v>1875</v>
      </c>
      <c r="AI2021" t="s">
        <v>800</v>
      </c>
      <c r="AJ2021" t="s">
        <v>31</v>
      </c>
      <c r="AK2021" s="3" t="s">
        <v>27</v>
      </c>
      <c r="AL2021" s="3">
        <v>4.0042687734999998</v>
      </c>
      <c r="AS2021" t="s">
        <v>2066</v>
      </c>
      <c r="AT2021" t="s">
        <v>88</v>
      </c>
      <c r="AU2021" t="s">
        <v>272</v>
      </c>
      <c r="AV2021" s="14">
        <v>0</v>
      </c>
    </row>
    <row r="2022" spans="26:48">
      <c r="Z2022" s="3"/>
      <c r="AC2022"/>
      <c r="AE2022" s="3"/>
      <c r="AH2022" t="s">
        <v>1875</v>
      </c>
      <c r="AI2022" t="s">
        <v>65</v>
      </c>
      <c r="AJ2022" t="s">
        <v>66</v>
      </c>
      <c r="AK2022" s="3" t="s">
        <v>27</v>
      </c>
      <c r="AL2022" s="3">
        <v>33853.699999999997</v>
      </c>
      <c r="AS2022" t="s">
        <v>2066</v>
      </c>
      <c r="AT2022" t="s">
        <v>88</v>
      </c>
      <c r="AU2022" t="s">
        <v>273</v>
      </c>
      <c r="AV2022" s="14">
        <v>0</v>
      </c>
    </row>
    <row r="2023" spans="26:48">
      <c r="Z2023" s="3"/>
      <c r="AC2023"/>
      <c r="AE2023" s="3"/>
      <c r="AH2023" t="s">
        <v>1875</v>
      </c>
      <c r="AI2023" t="s">
        <v>65</v>
      </c>
      <c r="AJ2023" t="s">
        <v>72</v>
      </c>
      <c r="AK2023" s="3" t="s">
        <v>27</v>
      </c>
      <c r="AL2023" s="3">
        <v>34987.105286999998</v>
      </c>
      <c r="AS2023" t="s">
        <v>2067</v>
      </c>
      <c r="AT2023" t="s">
        <v>88</v>
      </c>
      <c r="AU2023" t="s">
        <v>109</v>
      </c>
      <c r="AV2023" s="14">
        <v>32159.430400000001</v>
      </c>
    </row>
    <row r="2024" spans="26:48">
      <c r="Z2024" s="3"/>
      <c r="AC2024"/>
      <c r="AE2024" s="3"/>
      <c r="AH2024" t="s">
        <v>1875</v>
      </c>
      <c r="AI2024" t="s">
        <v>65</v>
      </c>
      <c r="AJ2024" t="s">
        <v>113</v>
      </c>
      <c r="AK2024" s="3" t="s">
        <v>27</v>
      </c>
      <c r="AL2024" s="3">
        <v>2027.4184530478001</v>
      </c>
      <c r="AS2024" t="s">
        <v>2067</v>
      </c>
      <c r="AT2024" t="s">
        <v>88</v>
      </c>
      <c r="AU2024" t="s">
        <v>110</v>
      </c>
      <c r="AV2024" s="14">
        <v>500</v>
      </c>
    </row>
    <row r="2025" spans="26:48">
      <c r="Z2025" s="3"/>
      <c r="AC2025"/>
      <c r="AE2025" s="3"/>
      <c r="AH2025" t="s">
        <v>1875</v>
      </c>
      <c r="AI2025" t="s">
        <v>65</v>
      </c>
      <c r="AJ2025" t="s">
        <v>108</v>
      </c>
      <c r="AK2025" s="3" t="s">
        <v>27</v>
      </c>
      <c r="AL2025" s="3">
        <v>-894.01316604780004</v>
      </c>
      <c r="AS2025" t="s">
        <v>2067</v>
      </c>
      <c r="AT2025" t="s">
        <v>88</v>
      </c>
      <c r="AU2025" t="s">
        <v>111</v>
      </c>
      <c r="AV2025" s="14">
        <v>9500</v>
      </c>
    </row>
    <row r="2026" spans="26:48">
      <c r="Z2026" s="3"/>
      <c r="AC2026"/>
      <c r="AE2026" s="3"/>
      <c r="AH2026" t="s">
        <v>1875</v>
      </c>
      <c r="AI2026" t="s">
        <v>65</v>
      </c>
      <c r="AJ2026" t="s">
        <v>98</v>
      </c>
      <c r="AK2026" s="3" t="s">
        <v>27</v>
      </c>
      <c r="AL2026" s="3">
        <v>-894.01316604780004</v>
      </c>
      <c r="AS2026" t="s">
        <v>2067</v>
      </c>
      <c r="AT2026" t="s">
        <v>88</v>
      </c>
      <c r="AU2026" t="s">
        <v>268</v>
      </c>
      <c r="AV2026" s="14">
        <v>-1300</v>
      </c>
    </row>
    <row r="2027" spans="26:48">
      <c r="Z2027" s="3"/>
      <c r="AC2027"/>
      <c r="AE2027" s="3"/>
      <c r="AH2027" t="s">
        <v>1875</v>
      </c>
      <c r="AI2027" t="s">
        <v>67</v>
      </c>
      <c r="AJ2027" t="s">
        <v>66</v>
      </c>
      <c r="AK2027" s="3" t="s">
        <v>27</v>
      </c>
      <c r="AL2027" s="3">
        <v>-16439.2</v>
      </c>
      <c r="AS2027" t="s">
        <v>2067</v>
      </c>
      <c r="AT2027" t="s">
        <v>88</v>
      </c>
      <c r="AU2027" t="s">
        <v>269</v>
      </c>
      <c r="AV2027" s="14">
        <v>0</v>
      </c>
    </row>
    <row r="2028" spans="26:48">
      <c r="Z2028" s="3"/>
      <c r="AC2028"/>
      <c r="AE2028" s="3"/>
      <c r="AH2028" t="s">
        <v>1875</v>
      </c>
      <c r="AI2028" t="s">
        <v>67</v>
      </c>
      <c r="AJ2028" t="s">
        <v>72</v>
      </c>
      <c r="AK2028" s="3" t="s">
        <v>27</v>
      </c>
      <c r="AL2028" s="3">
        <v>-17722.791522</v>
      </c>
      <c r="AS2028" t="s">
        <v>2067</v>
      </c>
      <c r="AT2028" t="s">
        <v>88</v>
      </c>
      <c r="AU2028" t="s">
        <v>270</v>
      </c>
      <c r="AV2028" s="14">
        <v>-400</v>
      </c>
    </row>
    <row r="2029" spans="26:48">
      <c r="Z2029" s="3"/>
      <c r="AC2029"/>
      <c r="AE2029" s="3"/>
      <c r="AH2029" t="s">
        <v>1875</v>
      </c>
      <c r="AI2029" t="s">
        <v>67</v>
      </c>
      <c r="AJ2029" t="s">
        <v>113</v>
      </c>
      <c r="AK2029" s="3" t="s">
        <v>27</v>
      </c>
      <c r="AL2029" s="3">
        <v>-1360.8913393769999</v>
      </c>
      <c r="AS2029" t="s">
        <v>2067</v>
      </c>
      <c r="AT2029" t="s">
        <v>88</v>
      </c>
      <c r="AU2029" t="s">
        <v>271</v>
      </c>
      <c r="AV2029" s="14">
        <v>-1683.0360000000001</v>
      </c>
    </row>
    <row r="2030" spans="26:48">
      <c r="Z2030" s="3"/>
      <c r="AC2030"/>
      <c r="AE2030" s="3"/>
      <c r="AH2030" t="s">
        <v>1875</v>
      </c>
      <c r="AI2030" t="s">
        <v>67</v>
      </c>
      <c r="AJ2030" t="s">
        <v>108</v>
      </c>
      <c r="AK2030" s="3" t="s">
        <v>27</v>
      </c>
      <c r="AL2030" s="3">
        <v>77.299817376999997</v>
      </c>
      <c r="AS2030" t="s">
        <v>2067</v>
      </c>
      <c r="AT2030" t="s">
        <v>88</v>
      </c>
      <c r="AU2030" t="s">
        <v>272</v>
      </c>
      <c r="AV2030" s="14">
        <v>0</v>
      </c>
    </row>
    <row r="2031" spans="26:48">
      <c r="Z2031" s="3"/>
      <c r="AC2031"/>
      <c r="AE2031" s="3"/>
      <c r="AH2031" t="s">
        <v>1875</v>
      </c>
      <c r="AI2031" t="s">
        <v>67</v>
      </c>
      <c r="AJ2031" t="s">
        <v>98</v>
      </c>
      <c r="AK2031" s="3" t="s">
        <v>27</v>
      </c>
      <c r="AL2031" s="3">
        <v>77.299817376999997</v>
      </c>
      <c r="AS2031" t="s">
        <v>2067</v>
      </c>
      <c r="AT2031" t="s">
        <v>88</v>
      </c>
      <c r="AU2031" t="s">
        <v>273</v>
      </c>
      <c r="AV2031" s="14">
        <v>0</v>
      </c>
    </row>
    <row r="2032" spans="26:48">
      <c r="Z2032" s="3"/>
      <c r="AC2032"/>
      <c r="AE2032" s="3"/>
      <c r="AH2032" t="s">
        <v>1875</v>
      </c>
      <c r="AI2032" t="s">
        <v>67</v>
      </c>
      <c r="AJ2032" t="s">
        <v>66</v>
      </c>
      <c r="AK2032" s="3" t="s">
        <v>114</v>
      </c>
      <c r="AL2032" s="3">
        <v>615</v>
      </c>
      <c r="AS2032" t="s">
        <v>2068</v>
      </c>
      <c r="AT2032" t="s">
        <v>88</v>
      </c>
      <c r="AU2032" t="s">
        <v>109</v>
      </c>
      <c r="AV2032" s="14">
        <v>32454.430400000001</v>
      </c>
    </row>
    <row r="2033" spans="26:48">
      <c r="Z2033" s="3"/>
      <c r="AC2033"/>
      <c r="AE2033" s="3"/>
      <c r="AH2033" t="s">
        <v>1875</v>
      </c>
      <c r="AI2033" t="s">
        <v>67</v>
      </c>
      <c r="AJ2033" t="s">
        <v>98</v>
      </c>
      <c r="AK2033" s="3" t="s">
        <v>114</v>
      </c>
      <c r="AL2033" s="3">
        <v>-8.8521520547999994</v>
      </c>
      <c r="AS2033" t="s">
        <v>2068</v>
      </c>
      <c r="AT2033" t="s">
        <v>88</v>
      </c>
      <c r="AU2033" t="s">
        <v>110</v>
      </c>
      <c r="AV2033" s="14">
        <v>500</v>
      </c>
    </row>
    <row r="2034" spans="26:48">
      <c r="Z2034" s="3"/>
      <c r="AC2034"/>
      <c r="AE2034" s="3"/>
      <c r="AH2034" t="s">
        <v>1875</v>
      </c>
      <c r="AI2034" t="s">
        <v>67</v>
      </c>
      <c r="AJ2034" t="s">
        <v>66</v>
      </c>
      <c r="AK2034" s="3" t="s">
        <v>115</v>
      </c>
      <c r="AL2034" s="3">
        <v>17054.2</v>
      </c>
      <c r="AS2034" t="s">
        <v>2068</v>
      </c>
      <c r="AT2034" t="s">
        <v>88</v>
      </c>
      <c r="AU2034" t="s">
        <v>111</v>
      </c>
      <c r="AV2034" s="14">
        <v>9500</v>
      </c>
    </row>
    <row r="2035" spans="26:48">
      <c r="Z2035" s="3"/>
      <c r="AC2035"/>
      <c r="AF2035" s="3"/>
      <c r="AH2035" t="s">
        <v>1875</v>
      </c>
      <c r="AI2035" t="s">
        <v>67</v>
      </c>
      <c r="AJ2035" t="s">
        <v>98</v>
      </c>
      <c r="AK2035" s="3" t="s">
        <v>115</v>
      </c>
      <c r="AL2035" s="3">
        <v>-86.151969431799998</v>
      </c>
      <c r="AS2035" t="s">
        <v>2068</v>
      </c>
      <c r="AT2035" t="s">
        <v>88</v>
      </c>
      <c r="AU2035" t="s">
        <v>268</v>
      </c>
      <c r="AV2035" s="14">
        <v>-1795</v>
      </c>
    </row>
    <row r="2036" spans="26:48">
      <c r="Z2036" s="3"/>
      <c r="AC2036"/>
      <c r="AF2036" s="3"/>
      <c r="AH2036" t="s">
        <v>1875</v>
      </c>
      <c r="AI2036" t="s">
        <v>68</v>
      </c>
      <c r="AJ2036" t="s">
        <v>66</v>
      </c>
      <c r="AK2036" s="3" t="s">
        <v>27</v>
      </c>
      <c r="AL2036" s="3">
        <v>-11252.5</v>
      </c>
      <c r="AS2036" t="s">
        <v>2068</v>
      </c>
      <c r="AT2036" t="s">
        <v>88</v>
      </c>
      <c r="AU2036" t="s">
        <v>269</v>
      </c>
      <c r="AV2036" s="14">
        <v>0</v>
      </c>
    </row>
    <row r="2037" spans="26:48">
      <c r="Z2037" s="3"/>
      <c r="AC2037"/>
      <c r="AF2037" s="3"/>
      <c r="AH2037" t="s">
        <v>1875</v>
      </c>
      <c r="AI2037" t="s">
        <v>68</v>
      </c>
      <c r="AJ2037" t="s">
        <v>72</v>
      </c>
      <c r="AK2037" s="3" t="s">
        <v>27</v>
      </c>
      <c r="AL2037" s="3">
        <v>-11527.753554999999</v>
      </c>
      <c r="AS2037" t="s">
        <v>2068</v>
      </c>
      <c r="AT2037" t="s">
        <v>88</v>
      </c>
      <c r="AU2037" t="s">
        <v>270</v>
      </c>
      <c r="AV2037" s="14">
        <v>-400</v>
      </c>
    </row>
    <row r="2038" spans="26:48">
      <c r="Z2038" s="3"/>
      <c r="AC2038"/>
      <c r="AF2038" s="3"/>
      <c r="AH2038" t="s">
        <v>1875</v>
      </c>
      <c r="AI2038" t="s">
        <v>68</v>
      </c>
      <c r="AJ2038" t="s">
        <v>113</v>
      </c>
      <c r="AK2038" s="3" t="s">
        <v>27</v>
      </c>
      <c r="AL2038" s="3">
        <v>-631.17592142570004</v>
      </c>
      <c r="AS2038" t="s">
        <v>2068</v>
      </c>
      <c r="AT2038" t="s">
        <v>88</v>
      </c>
      <c r="AU2038" t="s">
        <v>271</v>
      </c>
      <c r="AV2038" s="14">
        <v>-1183.0360000000001</v>
      </c>
    </row>
    <row r="2039" spans="26:48">
      <c r="Z2039" s="3"/>
      <c r="AC2039"/>
      <c r="AF2039" s="3"/>
      <c r="AH2039" t="s">
        <v>1875</v>
      </c>
      <c r="AI2039" t="s">
        <v>68</v>
      </c>
      <c r="AJ2039" t="s">
        <v>108</v>
      </c>
      <c r="AK2039" s="3" t="s">
        <v>27</v>
      </c>
      <c r="AL2039" s="3">
        <v>355.92236642569998</v>
      </c>
      <c r="AS2039" t="s">
        <v>2068</v>
      </c>
      <c r="AT2039" t="s">
        <v>88</v>
      </c>
      <c r="AU2039" t="s">
        <v>272</v>
      </c>
      <c r="AV2039" s="14">
        <v>0</v>
      </c>
    </row>
    <row r="2040" spans="26:48">
      <c r="Z2040" s="3"/>
      <c r="AC2040"/>
      <c r="AF2040" s="3"/>
      <c r="AH2040" t="s">
        <v>1875</v>
      </c>
      <c r="AI2040" t="s">
        <v>68</v>
      </c>
      <c r="AJ2040" t="s">
        <v>98</v>
      </c>
      <c r="AK2040" s="3" t="s">
        <v>27</v>
      </c>
      <c r="AL2040" s="3">
        <v>355.92236642569998</v>
      </c>
      <c r="AS2040" t="s">
        <v>2068</v>
      </c>
      <c r="AT2040" t="s">
        <v>88</v>
      </c>
      <c r="AU2040" t="s">
        <v>273</v>
      </c>
      <c r="AV2040" s="14">
        <v>0</v>
      </c>
    </row>
    <row r="2041" spans="26:48">
      <c r="Z2041" s="3"/>
      <c r="AC2041"/>
      <c r="AF2041" s="3"/>
      <c r="AH2041" t="s">
        <v>1875</v>
      </c>
      <c r="AI2041" t="s">
        <v>68</v>
      </c>
      <c r="AJ2041" t="s">
        <v>66</v>
      </c>
      <c r="AK2041" s="3" t="s">
        <v>114</v>
      </c>
      <c r="AL2041" s="3">
        <v>2761</v>
      </c>
      <c r="AS2041" t="s">
        <v>2069</v>
      </c>
      <c r="AT2041" t="s">
        <v>88</v>
      </c>
      <c r="AU2041" t="s">
        <v>109</v>
      </c>
      <c r="AV2041" s="14">
        <v>33354.430399999997</v>
      </c>
    </row>
    <row r="2042" spans="26:48">
      <c r="Z2042" s="3"/>
      <c r="AC2042"/>
      <c r="AF2042" s="3"/>
      <c r="AH2042" t="s">
        <v>1875</v>
      </c>
      <c r="AI2042" t="s">
        <v>68</v>
      </c>
      <c r="AJ2042" t="s">
        <v>98</v>
      </c>
      <c r="AK2042" s="3" t="s">
        <v>114</v>
      </c>
      <c r="AL2042" s="3">
        <v>-114.4009245205</v>
      </c>
      <c r="AS2042" t="s">
        <v>2069</v>
      </c>
      <c r="AT2042" t="s">
        <v>88</v>
      </c>
      <c r="AU2042" t="s">
        <v>110</v>
      </c>
      <c r="AV2042" s="14">
        <v>500</v>
      </c>
    </row>
    <row r="2043" spans="26:48">
      <c r="Z2043" s="3"/>
      <c r="AC2043"/>
      <c r="AF2043" s="3"/>
      <c r="AH2043" t="s">
        <v>1875</v>
      </c>
      <c r="AI2043" t="s">
        <v>68</v>
      </c>
      <c r="AJ2043" t="s">
        <v>66</v>
      </c>
      <c r="AK2043" s="3" t="s">
        <v>115</v>
      </c>
      <c r="AL2043" s="3">
        <v>14013.5</v>
      </c>
      <c r="AS2043" t="s">
        <v>2069</v>
      </c>
      <c r="AT2043" t="s">
        <v>88</v>
      </c>
      <c r="AU2043" t="s">
        <v>111</v>
      </c>
      <c r="AV2043" s="14">
        <v>9500</v>
      </c>
    </row>
    <row r="2044" spans="26:48">
      <c r="Z2044" s="3"/>
      <c r="AC2044"/>
      <c r="AF2044" s="3"/>
      <c r="AH2044" t="s">
        <v>1875</v>
      </c>
      <c r="AI2044" t="s">
        <v>68</v>
      </c>
      <c r="AJ2044" t="s">
        <v>98</v>
      </c>
      <c r="AK2044" s="3" t="s">
        <v>115</v>
      </c>
      <c r="AL2044" s="3">
        <v>-470.32329094630001</v>
      </c>
      <c r="AS2044" t="s">
        <v>2069</v>
      </c>
      <c r="AT2044" t="s">
        <v>88</v>
      </c>
      <c r="AU2044" t="s">
        <v>268</v>
      </c>
      <c r="AV2044" s="14">
        <v>-1200</v>
      </c>
    </row>
    <row r="2045" spans="26:48">
      <c r="Z2045" s="3"/>
      <c r="AC2045"/>
      <c r="AF2045" s="3"/>
      <c r="AH2045" t="s">
        <v>1876</v>
      </c>
      <c r="AI2045" t="s">
        <v>65</v>
      </c>
      <c r="AJ2045" t="s">
        <v>66</v>
      </c>
      <c r="AK2045" s="3" t="s">
        <v>27</v>
      </c>
      <c r="AL2045" s="3">
        <v>34368.699999999997</v>
      </c>
      <c r="AS2045" t="s">
        <v>2069</v>
      </c>
      <c r="AT2045" t="s">
        <v>88</v>
      </c>
      <c r="AU2045" t="s">
        <v>269</v>
      </c>
      <c r="AV2045" s="14">
        <v>0</v>
      </c>
    </row>
    <row r="2046" spans="26:48">
      <c r="Z2046" s="3"/>
      <c r="AC2046"/>
      <c r="AF2046" s="3"/>
      <c r="AH2046" t="s">
        <v>1876</v>
      </c>
      <c r="AI2046" t="s">
        <v>65</v>
      </c>
      <c r="AJ2046" t="s">
        <v>72</v>
      </c>
      <c r="AK2046" s="3" t="s">
        <v>27</v>
      </c>
      <c r="AL2046" s="3">
        <v>35477.606486999997</v>
      </c>
      <c r="AS2046" t="s">
        <v>2069</v>
      </c>
      <c r="AT2046" t="s">
        <v>88</v>
      </c>
      <c r="AU2046" t="s">
        <v>270</v>
      </c>
      <c r="AV2046" s="14">
        <v>0</v>
      </c>
    </row>
    <row r="2047" spans="26:48">
      <c r="Z2047" s="3"/>
      <c r="AC2047"/>
      <c r="AF2047" s="3"/>
      <c r="AH2047" t="s">
        <v>1876</v>
      </c>
      <c r="AI2047" t="s">
        <v>65</v>
      </c>
      <c r="AJ2047" t="s">
        <v>113</v>
      </c>
      <c r="AK2047" s="3" t="s">
        <v>27</v>
      </c>
      <c r="AL2047" s="3">
        <v>1899.2773700224</v>
      </c>
      <c r="AS2047" t="s">
        <v>2069</v>
      </c>
      <c r="AT2047" t="s">
        <v>88</v>
      </c>
      <c r="AU2047" t="s">
        <v>271</v>
      </c>
      <c r="AV2047" s="14">
        <v>-2683.0360000000001</v>
      </c>
    </row>
    <row r="2048" spans="26:48">
      <c r="Z2048" s="3"/>
      <c r="AC2048"/>
      <c r="AF2048" s="3"/>
      <c r="AH2048" t="s">
        <v>1876</v>
      </c>
      <c r="AI2048" t="s">
        <v>65</v>
      </c>
      <c r="AJ2048" t="s">
        <v>108</v>
      </c>
      <c r="AK2048" s="3" t="s">
        <v>27</v>
      </c>
      <c r="AL2048" s="3">
        <v>-790.37088302239999</v>
      </c>
      <c r="AS2048" t="s">
        <v>2069</v>
      </c>
      <c r="AT2048" t="s">
        <v>88</v>
      </c>
      <c r="AU2048" t="s">
        <v>272</v>
      </c>
      <c r="AV2048" s="14">
        <v>0</v>
      </c>
    </row>
    <row r="2049" spans="26:48">
      <c r="Z2049" s="3"/>
      <c r="AC2049"/>
      <c r="AF2049" s="3"/>
      <c r="AH2049" t="s">
        <v>1876</v>
      </c>
      <c r="AI2049" t="s">
        <v>65</v>
      </c>
      <c r="AJ2049" t="s">
        <v>98</v>
      </c>
      <c r="AK2049" s="3" t="s">
        <v>27</v>
      </c>
      <c r="AL2049" s="3">
        <v>-790.37088302239999</v>
      </c>
      <c r="AS2049" t="s">
        <v>2069</v>
      </c>
      <c r="AT2049" t="s">
        <v>88</v>
      </c>
      <c r="AU2049" t="s">
        <v>273</v>
      </c>
      <c r="AV2049" s="14">
        <v>0</v>
      </c>
    </row>
    <row r="2050" spans="26:48">
      <c r="Z2050" s="3"/>
      <c r="AC2050"/>
      <c r="AF2050" s="3"/>
      <c r="AH2050" t="s">
        <v>1876</v>
      </c>
      <c r="AI2050" t="s">
        <v>67</v>
      </c>
      <c r="AJ2050" t="s">
        <v>66</v>
      </c>
      <c r="AK2050" s="3" t="s">
        <v>27</v>
      </c>
      <c r="AL2050" s="3">
        <v>-17569.2</v>
      </c>
      <c r="AS2050" t="s">
        <v>2070</v>
      </c>
      <c r="AT2050" t="s">
        <v>88</v>
      </c>
      <c r="AU2050" t="s">
        <v>109</v>
      </c>
      <c r="AV2050" s="14">
        <v>33804.430399999997</v>
      </c>
    </row>
    <row r="2051" spans="26:48">
      <c r="Z2051" s="3"/>
      <c r="AC2051"/>
      <c r="AF2051" s="3"/>
      <c r="AH2051" t="s">
        <v>1876</v>
      </c>
      <c r="AI2051" t="s">
        <v>67</v>
      </c>
      <c r="AJ2051" t="s">
        <v>72</v>
      </c>
      <c r="AK2051" s="3" t="s">
        <v>27</v>
      </c>
      <c r="AL2051" s="3">
        <v>-18622.343857</v>
      </c>
      <c r="AS2051" t="s">
        <v>2070</v>
      </c>
      <c r="AT2051" t="s">
        <v>88</v>
      </c>
      <c r="AU2051" t="s">
        <v>110</v>
      </c>
      <c r="AV2051" s="14">
        <v>500</v>
      </c>
    </row>
    <row r="2052" spans="26:48">
      <c r="Z2052" s="3"/>
      <c r="AC2052"/>
      <c r="AF2052" s="3"/>
      <c r="AH2052" t="s">
        <v>1876</v>
      </c>
      <c r="AI2052" t="s">
        <v>67</v>
      </c>
      <c r="AJ2052" t="s">
        <v>113</v>
      </c>
      <c r="AK2052" s="3" t="s">
        <v>27</v>
      </c>
      <c r="AL2052" s="3">
        <v>-1093.9808275401001</v>
      </c>
      <c r="AS2052" t="s">
        <v>2070</v>
      </c>
      <c r="AT2052" t="s">
        <v>88</v>
      </c>
      <c r="AU2052" t="s">
        <v>111</v>
      </c>
      <c r="AV2052" s="14">
        <v>9500</v>
      </c>
    </row>
    <row r="2053" spans="26:48">
      <c r="Z2053" s="3"/>
      <c r="AC2053"/>
      <c r="AF2053" s="3"/>
      <c r="AH2053" t="s">
        <v>1876</v>
      </c>
      <c r="AI2053" t="s">
        <v>67</v>
      </c>
      <c r="AJ2053" t="s">
        <v>108</v>
      </c>
      <c r="AK2053" s="3" t="s">
        <v>27</v>
      </c>
      <c r="AL2053" s="3">
        <v>40.836970540099998</v>
      </c>
      <c r="AS2053" t="s">
        <v>2070</v>
      </c>
      <c r="AT2053" t="s">
        <v>88</v>
      </c>
      <c r="AU2053" t="s">
        <v>268</v>
      </c>
      <c r="AV2053" s="14">
        <v>-2800</v>
      </c>
    </row>
    <row r="2054" spans="26:48">
      <c r="Z2054" s="3"/>
      <c r="AC2054"/>
      <c r="AF2054" s="3"/>
      <c r="AH2054" t="s">
        <v>1876</v>
      </c>
      <c r="AI2054" t="s">
        <v>67</v>
      </c>
      <c r="AJ2054" t="s">
        <v>98</v>
      </c>
      <c r="AK2054" s="3" t="s">
        <v>27</v>
      </c>
      <c r="AL2054" s="3">
        <v>40.836970540099998</v>
      </c>
      <c r="AS2054" t="s">
        <v>2070</v>
      </c>
      <c r="AT2054" t="s">
        <v>88</v>
      </c>
      <c r="AU2054" t="s">
        <v>269</v>
      </c>
      <c r="AV2054" s="14">
        <v>0</v>
      </c>
    </row>
    <row r="2055" spans="26:48">
      <c r="Z2055" s="3"/>
      <c r="AC2055"/>
      <c r="AF2055" s="3"/>
      <c r="AH2055" t="s">
        <v>1876</v>
      </c>
      <c r="AI2055" t="s">
        <v>67</v>
      </c>
      <c r="AJ2055" t="s">
        <v>66</v>
      </c>
      <c r="AK2055" s="3" t="s">
        <v>114</v>
      </c>
      <c r="AL2055" s="3">
        <v>100</v>
      </c>
      <c r="AS2055" t="s">
        <v>2070</v>
      </c>
      <c r="AT2055" t="s">
        <v>88</v>
      </c>
      <c r="AU2055" t="s">
        <v>270</v>
      </c>
      <c r="AV2055" s="14">
        <v>0</v>
      </c>
    </row>
    <row r="2056" spans="26:48">
      <c r="Z2056" s="3"/>
      <c r="AC2056"/>
      <c r="AF2056" s="3"/>
      <c r="AH2056" t="s">
        <v>1876</v>
      </c>
      <c r="AI2056" t="s">
        <v>67</v>
      </c>
      <c r="AJ2056" t="s">
        <v>98</v>
      </c>
      <c r="AK2056" s="3" t="s">
        <v>114</v>
      </c>
      <c r="AL2056" s="3">
        <v>0.37806849320000002</v>
      </c>
      <c r="AS2056" t="s">
        <v>2070</v>
      </c>
      <c r="AT2056" t="s">
        <v>88</v>
      </c>
      <c r="AU2056" t="s">
        <v>271</v>
      </c>
      <c r="AV2056" s="14">
        <v>-2683.0360000000001</v>
      </c>
    </row>
    <row r="2057" spans="26:48">
      <c r="Z2057" s="3"/>
      <c r="AC2057"/>
      <c r="AF2057" s="3"/>
      <c r="AH2057" t="s">
        <v>1876</v>
      </c>
      <c r="AI2057" t="s">
        <v>67</v>
      </c>
      <c r="AJ2057" t="s">
        <v>66</v>
      </c>
      <c r="AK2057" s="3" t="s">
        <v>115</v>
      </c>
      <c r="AL2057" s="3">
        <v>17669.2</v>
      </c>
      <c r="AS2057" t="s">
        <v>2070</v>
      </c>
      <c r="AT2057" t="s">
        <v>88</v>
      </c>
      <c r="AU2057" t="s">
        <v>272</v>
      </c>
      <c r="AV2057" s="14">
        <v>0</v>
      </c>
    </row>
    <row r="2058" spans="26:48">
      <c r="Z2058" s="3"/>
      <c r="AC2058"/>
      <c r="AF2058" s="3"/>
      <c r="AH2058" t="s">
        <v>1876</v>
      </c>
      <c r="AI2058" t="s">
        <v>67</v>
      </c>
      <c r="AJ2058" t="s">
        <v>98</v>
      </c>
      <c r="AK2058" s="3" t="s">
        <v>115</v>
      </c>
      <c r="AL2058" s="3">
        <v>-40.458902047000002</v>
      </c>
      <c r="AS2058" t="s">
        <v>2070</v>
      </c>
      <c r="AT2058" t="s">
        <v>88</v>
      </c>
      <c r="AU2058" t="s">
        <v>273</v>
      </c>
      <c r="AV2058" s="14">
        <v>0</v>
      </c>
    </row>
    <row r="2059" spans="26:48">
      <c r="Z2059" s="3"/>
      <c r="AC2059"/>
      <c r="AF2059" s="3"/>
      <c r="AH2059" t="s">
        <v>1876</v>
      </c>
      <c r="AI2059" t="s">
        <v>68</v>
      </c>
      <c r="AJ2059" t="s">
        <v>66</v>
      </c>
      <c r="AK2059" s="3" t="s">
        <v>27</v>
      </c>
      <c r="AL2059" s="3">
        <v>-10437.5</v>
      </c>
      <c r="AS2059" t="s">
        <v>2071</v>
      </c>
      <c r="AT2059" t="s">
        <v>88</v>
      </c>
      <c r="AU2059" t="s">
        <v>109</v>
      </c>
      <c r="AV2059" s="14">
        <v>30459.101200000001</v>
      </c>
    </row>
    <row r="2060" spans="26:48">
      <c r="Z2060" s="3"/>
      <c r="AC2060"/>
      <c r="AF2060" s="3"/>
      <c r="AH2060" t="s">
        <v>1876</v>
      </c>
      <c r="AI2060" t="s">
        <v>68</v>
      </c>
      <c r="AJ2060" t="s">
        <v>72</v>
      </c>
      <c r="AK2060" s="3" t="s">
        <v>27</v>
      </c>
      <c r="AL2060" s="3">
        <v>-10891.25526</v>
      </c>
      <c r="AS2060" t="s">
        <v>2071</v>
      </c>
      <c r="AT2060" t="s">
        <v>88</v>
      </c>
      <c r="AU2060" t="s">
        <v>110</v>
      </c>
      <c r="AV2060" s="14">
        <v>500</v>
      </c>
    </row>
    <row r="2061" spans="26:48">
      <c r="Z2061" s="3"/>
      <c r="AC2061"/>
      <c r="AF2061" s="3"/>
      <c r="AH2061" t="s">
        <v>1876</v>
      </c>
      <c r="AI2061" t="s">
        <v>68</v>
      </c>
      <c r="AJ2061" t="s">
        <v>113</v>
      </c>
      <c r="AK2061" s="3" t="s">
        <v>27</v>
      </c>
      <c r="AL2061" s="3">
        <v>-748.99562531289996</v>
      </c>
      <c r="AS2061" t="s">
        <v>2071</v>
      </c>
      <c r="AT2061" t="s">
        <v>88</v>
      </c>
      <c r="AU2061" t="s">
        <v>111</v>
      </c>
      <c r="AV2061" s="14">
        <v>9500</v>
      </c>
    </row>
    <row r="2062" spans="26:48">
      <c r="Z2062" s="3"/>
      <c r="AC2062"/>
      <c r="AF2062" s="3"/>
      <c r="AH2062" t="s">
        <v>1876</v>
      </c>
      <c r="AI2062" t="s">
        <v>68</v>
      </c>
      <c r="AJ2062" t="s">
        <v>108</v>
      </c>
      <c r="AK2062" s="3" t="s">
        <v>27</v>
      </c>
      <c r="AL2062" s="3">
        <v>295.2403653129</v>
      </c>
      <c r="AS2062" t="s">
        <v>2071</v>
      </c>
      <c r="AT2062" t="s">
        <v>88</v>
      </c>
      <c r="AU2062" t="s">
        <v>268</v>
      </c>
      <c r="AV2062" s="14">
        <v>-50</v>
      </c>
    </row>
    <row r="2063" spans="26:48">
      <c r="Z2063" s="3"/>
      <c r="AC2063"/>
      <c r="AF2063" s="3"/>
      <c r="AH2063" t="s">
        <v>1876</v>
      </c>
      <c r="AI2063" t="s">
        <v>68</v>
      </c>
      <c r="AJ2063" t="s">
        <v>98</v>
      </c>
      <c r="AK2063" s="3" t="s">
        <v>27</v>
      </c>
      <c r="AL2063" s="3">
        <v>295.2403653129</v>
      </c>
      <c r="AS2063" t="s">
        <v>2071</v>
      </c>
      <c r="AT2063" t="s">
        <v>88</v>
      </c>
      <c r="AU2063" t="s">
        <v>269</v>
      </c>
      <c r="AV2063" s="14">
        <v>0</v>
      </c>
    </row>
    <row r="2064" spans="26:48">
      <c r="Z2064" s="3"/>
      <c r="AC2064"/>
      <c r="AF2064" s="3"/>
      <c r="AH2064" t="s">
        <v>1876</v>
      </c>
      <c r="AI2064" t="s">
        <v>68</v>
      </c>
      <c r="AJ2064" t="s">
        <v>66</v>
      </c>
      <c r="AK2064" s="3" t="s">
        <v>114</v>
      </c>
      <c r="AL2064" s="3">
        <v>3376</v>
      </c>
      <c r="AS2064" t="s">
        <v>2071</v>
      </c>
      <c r="AT2064" t="s">
        <v>88</v>
      </c>
      <c r="AU2064" t="s">
        <v>270</v>
      </c>
      <c r="AV2064" s="14">
        <v>0</v>
      </c>
    </row>
    <row r="2065" spans="26:48">
      <c r="Z2065" s="3"/>
      <c r="AC2065"/>
      <c r="AH2065" t="s">
        <v>1876</v>
      </c>
      <c r="AI2065" t="s">
        <v>68</v>
      </c>
      <c r="AJ2065" t="s">
        <v>98</v>
      </c>
      <c r="AK2065" s="3" t="s">
        <v>114</v>
      </c>
      <c r="AL2065" s="3">
        <v>-115.54599657529999</v>
      </c>
      <c r="AS2065" t="s">
        <v>2071</v>
      </c>
      <c r="AT2065" t="s">
        <v>88</v>
      </c>
      <c r="AU2065" t="s">
        <v>271</v>
      </c>
      <c r="AV2065" s="14">
        <v>-1514.0558000000001</v>
      </c>
    </row>
    <row r="2066" spans="26:48">
      <c r="Z2066" s="3"/>
      <c r="AC2066"/>
      <c r="AH2066" t="s">
        <v>1876</v>
      </c>
      <c r="AI2066" t="s">
        <v>68</v>
      </c>
      <c r="AJ2066" t="s">
        <v>66</v>
      </c>
      <c r="AK2066" s="3" t="s">
        <v>115</v>
      </c>
      <c r="AL2066" s="3">
        <v>13813.5</v>
      </c>
      <c r="AS2066" t="s">
        <v>2071</v>
      </c>
      <c r="AT2066" t="s">
        <v>88</v>
      </c>
      <c r="AU2066" t="s">
        <v>272</v>
      </c>
      <c r="AV2066" s="14">
        <v>0</v>
      </c>
    </row>
    <row r="2067" spans="26:48">
      <c r="Z2067" s="3"/>
      <c r="AC2067"/>
      <c r="AH2067" t="s">
        <v>1876</v>
      </c>
      <c r="AI2067" t="s">
        <v>68</v>
      </c>
      <c r="AJ2067" t="s">
        <v>98</v>
      </c>
      <c r="AK2067" s="3" t="s">
        <v>115</v>
      </c>
      <c r="AL2067" s="3">
        <v>-410.78636188820002</v>
      </c>
      <c r="AS2067" t="s">
        <v>2071</v>
      </c>
      <c r="AT2067" t="s">
        <v>88</v>
      </c>
      <c r="AU2067" t="s">
        <v>273</v>
      </c>
      <c r="AV2067" s="14">
        <v>0</v>
      </c>
    </row>
    <row r="2068" spans="26:48">
      <c r="Z2068" s="3"/>
      <c r="AC2068"/>
      <c r="AH2068" t="s">
        <v>1876</v>
      </c>
      <c r="AI2068" t="s">
        <v>800</v>
      </c>
      <c r="AJ2068" t="s">
        <v>31</v>
      </c>
      <c r="AK2068" s="3" t="s">
        <v>27</v>
      </c>
      <c r="AL2068" s="3">
        <v>4.0104385364999997</v>
      </c>
      <c r="AS2068" t="s">
        <v>2072</v>
      </c>
      <c r="AT2068" t="s">
        <v>88</v>
      </c>
      <c r="AU2068" t="s">
        <v>109</v>
      </c>
      <c r="AV2068" s="14">
        <v>27921.4774</v>
      </c>
    </row>
    <row r="2069" spans="26:48">
      <c r="Z2069" s="3"/>
      <c r="AC2069"/>
      <c r="AH2069" t="s">
        <v>1877</v>
      </c>
      <c r="AI2069" t="s">
        <v>65</v>
      </c>
      <c r="AJ2069" t="s">
        <v>66</v>
      </c>
      <c r="AK2069" s="3" t="s">
        <v>27</v>
      </c>
      <c r="AL2069" s="3">
        <v>34023.699999999997</v>
      </c>
      <c r="AS2069" t="s">
        <v>2072</v>
      </c>
      <c r="AT2069" t="s">
        <v>88</v>
      </c>
      <c r="AU2069" t="s">
        <v>110</v>
      </c>
      <c r="AV2069" s="14">
        <v>897.61059999999998</v>
      </c>
    </row>
    <row r="2070" spans="26:48">
      <c r="Z2070" s="3"/>
      <c r="AC2070"/>
      <c r="AH2070" t="s">
        <v>1877</v>
      </c>
      <c r="AI2070" t="s">
        <v>65</v>
      </c>
      <c r="AJ2070" t="s">
        <v>72</v>
      </c>
      <c r="AK2070" s="3" t="s">
        <v>27</v>
      </c>
      <c r="AL2070" s="3">
        <v>35216.572322</v>
      </c>
      <c r="AS2070" t="s">
        <v>2072</v>
      </c>
      <c r="AT2070" t="s">
        <v>88</v>
      </c>
      <c r="AU2070" t="s">
        <v>111</v>
      </c>
      <c r="AV2070" s="14">
        <v>9500</v>
      </c>
    </row>
    <row r="2071" spans="26:48">
      <c r="Z2071" s="3"/>
      <c r="AC2071"/>
      <c r="AH2071" t="s">
        <v>1877</v>
      </c>
      <c r="AI2071" t="s">
        <v>65</v>
      </c>
      <c r="AJ2071" t="s">
        <v>113</v>
      </c>
      <c r="AK2071" s="3" t="s">
        <v>27</v>
      </c>
      <c r="AL2071" s="3">
        <v>1978.1466807361001</v>
      </c>
      <c r="AS2071" t="s">
        <v>2072</v>
      </c>
      <c r="AT2071" t="s">
        <v>88</v>
      </c>
      <c r="AU2071" t="s">
        <v>268</v>
      </c>
      <c r="AV2071" s="14">
        <v>97.623800000000003</v>
      </c>
    </row>
    <row r="2072" spans="26:48">
      <c r="Z2072" s="3"/>
      <c r="AC2072"/>
      <c r="AH2072" t="s">
        <v>1877</v>
      </c>
      <c r="AI2072" t="s">
        <v>65</v>
      </c>
      <c r="AJ2072" t="s">
        <v>108</v>
      </c>
      <c r="AK2072" s="3" t="s">
        <v>27</v>
      </c>
      <c r="AL2072" s="3">
        <v>-785.2743587361</v>
      </c>
      <c r="AS2072" t="s">
        <v>2072</v>
      </c>
      <c r="AT2072" t="s">
        <v>88</v>
      </c>
      <c r="AU2072" t="s">
        <v>269</v>
      </c>
      <c r="AV2072" s="14">
        <v>-397.61059999999998</v>
      </c>
    </row>
    <row r="2073" spans="26:48">
      <c r="Z2073" s="3"/>
      <c r="AC2073"/>
      <c r="AH2073" t="s">
        <v>1877</v>
      </c>
      <c r="AI2073" t="s">
        <v>65</v>
      </c>
      <c r="AJ2073" t="s">
        <v>98</v>
      </c>
      <c r="AK2073" s="3" t="s">
        <v>27</v>
      </c>
      <c r="AL2073" s="3">
        <v>-785.2743587361</v>
      </c>
      <c r="AS2073" t="s">
        <v>2072</v>
      </c>
      <c r="AT2073" t="s">
        <v>88</v>
      </c>
      <c r="AU2073" t="s">
        <v>270</v>
      </c>
      <c r="AV2073" s="14">
        <v>0</v>
      </c>
    </row>
    <row r="2074" spans="26:48">
      <c r="Z2074" s="3"/>
      <c r="AC2074"/>
      <c r="AH2074" t="s">
        <v>1877</v>
      </c>
      <c r="AI2074" t="s">
        <v>67</v>
      </c>
      <c r="AJ2074" t="s">
        <v>66</v>
      </c>
      <c r="AK2074" s="3" t="s">
        <v>27</v>
      </c>
      <c r="AL2074" s="3">
        <v>-16609.2</v>
      </c>
      <c r="AS2074" t="s">
        <v>2072</v>
      </c>
      <c r="AT2074" t="s">
        <v>88</v>
      </c>
      <c r="AU2074" t="s">
        <v>271</v>
      </c>
      <c r="AV2074" s="14">
        <v>0</v>
      </c>
    </row>
    <row r="2075" spans="26:48">
      <c r="Z2075" s="3"/>
      <c r="AC2075"/>
      <c r="AH2075" t="s">
        <v>1877</v>
      </c>
      <c r="AI2075" t="s">
        <v>67</v>
      </c>
      <c r="AJ2075" t="s">
        <v>72</v>
      </c>
      <c r="AK2075" s="3" t="s">
        <v>27</v>
      </c>
      <c r="AL2075" s="3">
        <v>-17890.992757</v>
      </c>
      <c r="AS2075" t="s">
        <v>2072</v>
      </c>
      <c r="AT2075" t="s">
        <v>88</v>
      </c>
      <c r="AU2075" t="s">
        <v>272</v>
      </c>
      <c r="AV2075" s="14">
        <v>0</v>
      </c>
    </row>
    <row r="2076" spans="26:48">
      <c r="Z2076" s="3"/>
      <c r="AC2076"/>
      <c r="AH2076" t="s">
        <v>1877</v>
      </c>
      <c r="AI2076" t="s">
        <v>67</v>
      </c>
      <c r="AJ2076" t="s">
        <v>113</v>
      </c>
      <c r="AK2076" s="3" t="s">
        <v>27</v>
      </c>
      <c r="AL2076" s="3">
        <v>-1311.1736106077999</v>
      </c>
      <c r="AS2076" t="s">
        <v>2072</v>
      </c>
      <c r="AT2076" t="s">
        <v>88</v>
      </c>
      <c r="AU2076" t="s">
        <v>273</v>
      </c>
      <c r="AV2076" s="14">
        <v>0</v>
      </c>
    </row>
    <row r="2077" spans="26:48">
      <c r="Z2077" s="3"/>
      <c r="AC2077"/>
      <c r="AH2077" t="s">
        <v>1877</v>
      </c>
      <c r="AI2077" t="s">
        <v>67</v>
      </c>
      <c r="AJ2077" t="s">
        <v>108</v>
      </c>
      <c r="AK2077" s="3" t="s">
        <v>27</v>
      </c>
      <c r="AL2077" s="3">
        <v>29.380853607799999</v>
      </c>
      <c r="AS2077" t="s">
        <v>2073</v>
      </c>
      <c r="AT2077" t="s">
        <v>88</v>
      </c>
      <c r="AU2077" t="s">
        <v>109</v>
      </c>
      <c r="AV2077" s="14">
        <v>26871.4774</v>
      </c>
    </row>
    <row r="2078" spans="26:48">
      <c r="Z2078" s="3"/>
      <c r="AC2078"/>
      <c r="AH2078" t="s">
        <v>1877</v>
      </c>
      <c r="AI2078" t="s">
        <v>67</v>
      </c>
      <c r="AJ2078" t="s">
        <v>98</v>
      </c>
      <c r="AK2078" s="3" t="s">
        <v>27</v>
      </c>
      <c r="AL2078" s="3">
        <v>29.380853607799999</v>
      </c>
      <c r="AS2078" t="s">
        <v>2073</v>
      </c>
      <c r="AT2078" t="s">
        <v>88</v>
      </c>
      <c r="AU2078" t="s">
        <v>110</v>
      </c>
      <c r="AV2078" s="14">
        <v>897.61059999999998</v>
      </c>
    </row>
    <row r="2079" spans="26:48">
      <c r="Z2079" s="3"/>
      <c r="AC2079"/>
      <c r="AH2079" t="s">
        <v>1877</v>
      </c>
      <c r="AI2079" t="s">
        <v>67</v>
      </c>
      <c r="AJ2079" t="s">
        <v>66</v>
      </c>
      <c r="AK2079" s="3" t="s">
        <v>114</v>
      </c>
      <c r="AL2079" s="3">
        <v>445</v>
      </c>
      <c r="AS2079" t="s">
        <v>2073</v>
      </c>
      <c r="AT2079" t="s">
        <v>88</v>
      </c>
      <c r="AU2079" t="s">
        <v>111</v>
      </c>
      <c r="AV2079" s="14">
        <v>9500</v>
      </c>
    </row>
    <row r="2080" spans="26:48">
      <c r="Z2080" s="3"/>
      <c r="AC2080"/>
      <c r="AH2080" t="s">
        <v>1877</v>
      </c>
      <c r="AI2080" t="s">
        <v>67</v>
      </c>
      <c r="AJ2080" t="s">
        <v>98</v>
      </c>
      <c r="AK2080" s="3" t="s">
        <v>114</v>
      </c>
      <c r="AL2080" s="3">
        <v>-2.7894458904000001</v>
      </c>
      <c r="AS2080" t="s">
        <v>2073</v>
      </c>
      <c r="AT2080" t="s">
        <v>88</v>
      </c>
      <c r="AU2080" t="s">
        <v>268</v>
      </c>
      <c r="AV2080" s="14">
        <v>1397.6238000000001</v>
      </c>
    </row>
    <row r="2081" spans="26:48">
      <c r="Z2081" s="3"/>
      <c r="AC2081"/>
      <c r="AH2081" t="s">
        <v>1877</v>
      </c>
      <c r="AI2081" t="s">
        <v>67</v>
      </c>
      <c r="AJ2081" t="s">
        <v>66</v>
      </c>
      <c r="AK2081" s="3" t="s">
        <v>115</v>
      </c>
      <c r="AL2081" s="3">
        <v>17054.2</v>
      </c>
      <c r="AS2081" t="s">
        <v>2073</v>
      </c>
      <c r="AT2081" t="s">
        <v>88</v>
      </c>
      <c r="AU2081" t="s">
        <v>269</v>
      </c>
      <c r="AV2081" s="14">
        <v>0</v>
      </c>
    </row>
    <row r="2082" spans="26:48">
      <c r="Z2082" s="3"/>
      <c r="AC2082"/>
      <c r="AH2082" t="s">
        <v>1877</v>
      </c>
      <c r="AI2082" t="s">
        <v>67</v>
      </c>
      <c r="AJ2082" t="s">
        <v>98</v>
      </c>
      <c r="AK2082" s="3" t="s">
        <v>115</v>
      </c>
      <c r="AL2082" s="3">
        <v>-32.170299498200002</v>
      </c>
      <c r="AS2082" t="s">
        <v>2073</v>
      </c>
      <c r="AT2082" t="s">
        <v>88</v>
      </c>
      <c r="AU2082" t="s">
        <v>270</v>
      </c>
      <c r="AV2082" s="14">
        <v>0</v>
      </c>
    </row>
    <row r="2083" spans="26:48">
      <c r="Z2083" s="3"/>
      <c r="AC2083"/>
      <c r="AH2083" t="s">
        <v>1877</v>
      </c>
      <c r="AI2083" t="s">
        <v>68</v>
      </c>
      <c r="AJ2083" t="s">
        <v>66</v>
      </c>
      <c r="AK2083" s="3" t="s">
        <v>27</v>
      </c>
      <c r="AL2083" s="3">
        <v>-11052.5</v>
      </c>
      <c r="AS2083" t="s">
        <v>2073</v>
      </c>
      <c r="AT2083" t="s">
        <v>88</v>
      </c>
      <c r="AU2083" t="s">
        <v>271</v>
      </c>
      <c r="AV2083" s="14">
        <v>-1000</v>
      </c>
    </row>
    <row r="2084" spans="26:48">
      <c r="Z2084" s="3"/>
      <c r="AC2084"/>
      <c r="AH2084" t="s">
        <v>1877</v>
      </c>
      <c r="AI2084" t="s">
        <v>68</v>
      </c>
      <c r="AJ2084" t="s">
        <v>72</v>
      </c>
      <c r="AK2084" s="3" t="s">
        <v>27</v>
      </c>
      <c r="AL2084" s="3">
        <v>-11360.787605</v>
      </c>
      <c r="AS2084" t="s">
        <v>2073</v>
      </c>
      <c r="AT2084" t="s">
        <v>88</v>
      </c>
      <c r="AU2084" t="s">
        <v>272</v>
      </c>
      <c r="AV2084" s="14">
        <v>-397.61059999999998</v>
      </c>
    </row>
    <row r="2085" spans="26:48">
      <c r="Z2085" s="3"/>
      <c r="AC2085"/>
      <c r="AH2085" t="s">
        <v>1877</v>
      </c>
      <c r="AI2085" t="s">
        <v>68</v>
      </c>
      <c r="AJ2085" t="s">
        <v>113</v>
      </c>
      <c r="AK2085" s="3" t="s">
        <v>27</v>
      </c>
      <c r="AL2085" s="3">
        <v>-608.49009686160002</v>
      </c>
      <c r="AS2085" t="s">
        <v>2073</v>
      </c>
      <c r="AT2085" t="s">
        <v>88</v>
      </c>
      <c r="AU2085" t="s">
        <v>273</v>
      </c>
      <c r="AV2085" s="14">
        <v>0</v>
      </c>
    </row>
    <row r="2086" spans="26:48">
      <c r="Z2086" s="3"/>
      <c r="AC2086"/>
      <c r="AH2086" t="s">
        <v>1877</v>
      </c>
      <c r="AI2086" t="s">
        <v>68</v>
      </c>
      <c r="AJ2086" t="s">
        <v>108</v>
      </c>
      <c r="AK2086" s="3" t="s">
        <v>27</v>
      </c>
      <c r="AL2086" s="3">
        <v>300.20249186159998</v>
      </c>
      <c r="AS2086" t="s">
        <v>2074</v>
      </c>
      <c r="AT2086" t="s">
        <v>88</v>
      </c>
      <c r="AU2086" t="s">
        <v>109</v>
      </c>
      <c r="AV2086" s="14">
        <v>25121.4774</v>
      </c>
    </row>
    <row r="2087" spans="26:48">
      <c r="Z2087" s="3"/>
      <c r="AC2087"/>
      <c r="AH2087" t="s">
        <v>1877</v>
      </c>
      <c r="AI2087" t="s">
        <v>68</v>
      </c>
      <c r="AJ2087" t="s">
        <v>98</v>
      </c>
      <c r="AK2087" s="3" t="s">
        <v>27</v>
      </c>
      <c r="AL2087" s="3">
        <v>300.20249186159998</v>
      </c>
      <c r="AS2087" t="s">
        <v>2074</v>
      </c>
      <c r="AT2087" t="s">
        <v>88</v>
      </c>
      <c r="AU2087" t="s">
        <v>110</v>
      </c>
      <c r="AV2087" s="14">
        <v>897.61059999999998</v>
      </c>
    </row>
    <row r="2088" spans="26:48">
      <c r="Z2088" s="3"/>
      <c r="AC2088"/>
      <c r="AH2088" t="s">
        <v>1877</v>
      </c>
      <c r="AI2088" t="s">
        <v>68</v>
      </c>
      <c r="AJ2088" t="s">
        <v>66</v>
      </c>
      <c r="AK2088" s="3" t="s">
        <v>114</v>
      </c>
      <c r="AL2088" s="3">
        <v>3211</v>
      </c>
      <c r="AS2088" t="s">
        <v>2074</v>
      </c>
      <c r="AT2088" t="s">
        <v>88</v>
      </c>
      <c r="AU2088" t="s">
        <v>111</v>
      </c>
      <c r="AV2088" s="14">
        <v>9500</v>
      </c>
    </row>
    <row r="2089" spans="26:48">
      <c r="Z2089" s="3"/>
      <c r="AC2089"/>
      <c r="AH2089" t="s">
        <v>1877</v>
      </c>
      <c r="AI2089" t="s">
        <v>68</v>
      </c>
      <c r="AJ2089" t="s">
        <v>98</v>
      </c>
      <c r="AK2089" s="3" t="s">
        <v>114</v>
      </c>
      <c r="AL2089" s="3">
        <v>-116.2630463014</v>
      </c>
      <c r="AS2089" t="s">
        <v>2074</v>
      </c>
      <c r="AT2089" t="s">
        <v>88</v>
      </c>
      <c r="AU2089" t="s">
        <v>268</v>
      </c>
      <c r="AV2089" s="14">
        <v>900</v>
      </c>
    </row>
    <row r="2090" spans="26:48">
      <c r="Z2090" s="3"/>
      <c r="AC2090"/>
      <c r="AH2090" t="s">
        <v>1877</v>
      </c>
      <c r="AI2090" t="s">
        <v>68</v>
      </c>
      <c r="AJ2090" t="s">
        <v>66</v>
      </c>
      <c r="AK2090" s="3" t="s">
        <v>115</v>
      </c>
      <c r="AL2090" s="3">
        <v>14263.5</v>
      </c>
      <c r="AS2090" t="s">
        <v>2074</v>
      </c>
      <c r="AT2090" t="s">
        <v>88</v>
      </c>
      <c r="AU2090" t="s">
        <v>269</v>
      </c>
      <c r="AV2090" s="14">
        <v>0</v>
      </c>
    </row>
    <row r="2091" spans="26:48">
      <c r="Z2091" s="3"/>
      <c r="AC2091"/>
      <c r="AH2091" t="s">
        <v>1877</v>
      </c>
      <c r="AI2091" t="s">
        <v>68</v>
      </c>
      <c r="AJ2091" t="s">
        <v>98</v>
      </c>
      <c r="AK2091" s="3" t="s">
        <v>115</v>
      </c>
      <c r="AL2091" s="3">
        <v>-416.46553816300002</v>
      </c>
      <c r="AS2091" t="s">
        <v>2074</v>
      </c>
      <c r="AT2091" t="s">
        <v>88</v>
      </c>
      <c r="AU2091" t="s">
        <v>270</v>
      </c>
      <c r="AV2091" s="14">
        <v>0</v>
      </c>
    </row>
    <row r="2092" spans="26:48">
      <c r="Z2092" s="3"/>
      <c r="AC2092"/>
      <c r="AH2092" t="s">
        <v>1877</v>
      </c>
      <c r="AI2092" t="s">
        <v>800</v>
      </c>
      <c r="AJ2092" t="s">
        <v>31</v>
      </c>
      <c r="AK2092" s="3" t="s">
        <v>27</v>
      </c>
      <c r="AL2092" s="3">
        <v>4.0068659326000002</v>
      </c>
      <c r="AS2092" t="s">
        <v>2074</v>
      </c>
      <c r="AT2092" t="s">
        <v>88</v>
      </c>
      <c r="AU2092" t="s">
        <v>271</v>
      </c>
      <c r="AV2092" s="14">
        <v>0</v>
      </c>
    </row>
    <row r="2093" spans="26:48">
      <c r="Z2093" s="3"/>
      <c r="AC2093"/>
      <c r="AH2093" t="s">
        <v>1878</v>
      </c>
      <c r="AI2093" t="s">
        <v>800</v>
      </c>
      <c r="AJ2093" t="s">
        <v>31</v>
      </c>
      <c r="AK2093" s="3" t="s">
        <v>27</v>
      </c>
      <c r="AL2093" s="3">
        <v>4.0108126015999996</v>
      </c>
      <c r="AS2093" t="s">
        <v>2074</v>
      </c>
      <c r="AT2093" t="s">
        <v>88</v>
      </c>
      <c r="AU2093" t="s">
        <v>272</v>
      </c>
      <c r="AV2093" s="14">
        <v>0</v>
      </c>
    </row>
    <row r="2094" spans="26:48">
      <c r="Z2094" s="3"/>
      <c r="AC2094"/>
      <c r="AH2094" t="s">
        <v>1878</v>
      </c>
      <c r="AI2094" t="s">
        <v>65</v>
      </c>
      <c r="AJ2094" t="s">
        <v>72</v>
      </c>
      <c r="AK2094" s="3" t="s">
        <v>27</v>
      </c>
      <c r="AL2094" s="3">
        <v>35434.218715000003</v>
      </c>
      <c r="AS2094" t="s">
        <v>2074</v>
      </c>
      <c r="AT2094" t="s">
        <v>88</v>
      </c>
      <c r="AU2094" t="s">
        <v>273</v>
      </c>
      <c r="AV2094" s="14">
        <v>0</v>
      </c>
    </row>
    <row r="2095" spans="26:48">
      <c r="Z2095" s="3"/>
      <c r="AC2095"/>
      <c r="AH2095" t="s">
        <v>1878</v>
      </c>
      <c r="AI2095" t="s">
        <v>65</v>
      </c>
      <c r="AJ2095" t="s">
        <v>113</v>
      </c>
      <c r="AK2095" s="3" t="s">
        <v>27</v>
      </c>
      <c r="AL2095" s="3">
        <v>1902.1429407629</v>
      </c>
      <c r="AS2095" t="s">
        <v>2075</v>
      </c>
      <c r="AT2095" t="s">
        <v>88</v>
      </c>
      <c r="AU2095" t="s">
        <v>109</v>
      </c>
      <c r="AV2095" s="14">
        <v>26421.4774</v>
      </c>
    </row>
    <row r="2096" spans="26:48">
      <c r="Z2096" s="3"/>
      <c r="AC2096"/>
      <c r="AH2096" t="s">
        <v>1878</v>
      </c>
      <c r="AI2096" t="s">
        <v>65</v>
      </c>
      <c r="AJ2096" t="s">
        <v>108</v>
      </c>
      <c r="AK2096" s="3" t="s">
        <v>27</v>
      </c>
      <c r="AL2096" s="3">
        <v>-786.62422576289998</v>
      </c>
      <c r="AS2096" t="s">
        <v>2075</v>
      </c>
      <c r="AT2096" t="s">
        <v>88</v>
      </c>
      <c r="AU2096" t="s">
        <v>110</v>
      </c>
      <c r="AV2096" s="14">
        <v>897.61059999999998</v>
      </c>
    </row>
    <row r="2097" spans="26:48">
      <c r="Z2097" s="3"/>
      <c r="AC2097"/>
      <c r="AH2097" t="s">
        <v>1878</v>
      </c>
      <c r="AI2097" t="s">
        <v>65</v>
      </c>
      <c r="AJ2097" t="s">
        <v>98</v>
      </c>
      <c r="AK2097" s="3" t="s">
        <v>27</v>
      </c>
      <c r="AL2097" s="3">
        <v>-786.62422576289998</v>
      </c>
      <c r="AS2097" t="s">
        <v>2075</v>
      </c>
      <c r="AT2097" t="s">
        <v>88</v>
      </c>
      <c r="AU2097" t="s">
        <v>111</v>
      </c>
      <c r="AV2097" s="14">
        <v>9500</v>
      </c>
    </row>
    <row r="2098" spans="26:48">
      <c r="Z2098" s="3"/>
      <c r="AC2098"/>
      <c r="AH2098" t="s">
        <v>1878</v>
      </c>
      <c r="AI2098" t="s">
        <v>67</v>
      </c>
      <c r="AJ2098" t="s">
        <v>66</v>
      </c>
      <c r="AK2098" s="3" t="s">
        <v>27</v>
      </c>
      <c r="AL2098" s="3">
        <v>-17149.2</v>
      </c>
      <c r="AS2098" t="s">
        <v>2075</v>
      </c>
      <c r="AT2098" t="s">
        <v>88</v>
      </c>
      <c r="AU2098" t="s">
        <v>268</v>
      </c>
      <c r="AV2098" s="14">
        <v>-1000</v>
      </c>
    </row>
    <row r="2099" spans="26:48">
      <c r="Z2099" s="3"/>
      <c r="AC2099"/>
      <c r="AH2099" t="s">
        <v>1878</v>
      </c>
      <c r="AI2099" t="s">
        <v>67</v>
      </c>
      <c r="AJ2099" t="s">
        <v>72</v>
      </c>
      <c r="AK2099" s="3" t="s">
        <v>27</v>
      </c>
      <c r="AL2099" s="3">
        <v>-18281.682085</v>
      </c>
      <c r="AS2099" t="s">
        <v>2075</v>
      </c>
      <c r="AT2099" t="s">
        <v>88</v>
      </c>
      <c r="AU2099" t="s">
        <v>269</v>
      </c>
      <c r="AV2099" s="14">
        <v>0</v>
      </c>
    </row>
    <row r="2100" spans="26:48">
      <c r="Z2100" s="3"/>
      <c r="AC2100"/>
      <c r="AH2100" t="s">
        <v>1878</v>
      </c>
      <c r="AI2100" t="s">
        <v>67</v>
      </c>
      <c r="AJ2100" t="s">
        <v>113</v>
      </c>
      <c r="AK2100" s="3" t="s">
        <v>27</v>
      </c>
      <c r="AL2100" s="3">
        <v>-1166.4645206199</v>
      </c>
      <c r="AS2100" t="s">
        <v>2075</v>
      </c>
      <c r="AT2100" t="s">
        <v>88</v>
      </c>
      <c r="AU2100" t="s">
        <v>270</v>
      </c>
      <c r="AV2100" s="14">
        <v>0</v>
      </c>
    </row>
    <row r="2101" spans="26:48">
      <c r="Z2101" s="3"/>
      <c r="AC2101"/>
      <c r="AH2101" t="s">
        <v>1878</v>
      </c>
      <c r="AI2101" t="s">
        <v>67</v>
      </c>
      <c r="AJ2101" t="s">
        <v>108</v>
      </c>
      <c r="AK2101" s="3" t="s">
        <v>27</v>
      </c>
      <c r="AL2101" s="3">
        <v>33.982435619900002</v>
      </c>
      <c r="AS2101" t="s">
        <v>2075</v>
      </c>
      <c r="AT2101" t="s">
        <v>88</v>
      </c>
      <c r="AU2101" t="s">
        <v>271</v>
      </c>
      <c r="AV2101" s="14">
        <v>0</v>
      </c>
    </row>
    <row r="2102" spans="26:48">
      <c r="Z2102" s="3"/>
      <c r="AC2102"/>
      <c r="AH2102" t="s">
        <v>1878</v>
      </c>
      <c r="AI2102" t="s">
        <v>67</v>
      </c>
      <c r="AJ2102" t="s">
        <v>98</v>
      </c>
      <c r="AK2102" s="3" t="s">
        <v>27</v>
      </c>
      <c r="AL2102" s="3">
        <v>33.982435619900002</v>
      </c>
      <c r="AS2102" t="s">
        <v>2075</v>
      </c>
      <c r="AT2102" t="s">
        <v>88</v>
      </c>
      <c r="AU2102" t="s">
        <v>272</v>
      </c>
      <c r="AV2102" s="14">
        <v>0</v>
      </c>
    </row>
    <row r="2103" spans="26:48">
      <c r="Z2103" s="3"/>
      <c r="AC2103"/>
      <c r="AH2103" t="s">
        <v>1878</v>
      </c>
      <c r="AI2103" t="s">
        <v>67</v>
      </c>
      <c r="AJ2103" t="s">
        <v>66</v>
      </c>
      <c r="AK2103" s="3" t="s">
        <v>114</v>
      </c>
      <c r="AL2103" s="3">
        <v>100</v>
      </c>
      <c r="AS2103" t="s">
        <v>2075</v>
      </c>
      <c r="AT2103" t="s">
        <v>88</v>
      </c>
      <c r="AU2103" t="s">
        <v>273</v>
      </c>
      <c r="AV2103" s="14">
        <v>0</v>
      </c>
    </row>
    <row r="2104" spans="26:48">
      <c r="Z2104" s="3"/>
      <c r="AC2104"/>
      <c r="AH2104" t="s">
        <v>1878</v>
      </c>
      <c r="AI2104" t="s">
        <v>67</v>
      </c>
      <c r="AJ2104" t="s">
        <v>98</v>
      </c>
      <c r="AK2104" s="3" t="s">
        <v>114</v>
      </c>
      <c r="AL2104" s="3">
        <v>0.38906849319999998</v>
      </c>
      <c r="AS2104" t="s">
        <v>2076</v>
      </c>
      <c r="AT2104" t="s">
        <v>88</v>
      </c>
      <c r="AU2104" t="s">
        <v>109</v>
      </c>
      <c r="AV2104" s="14">
        <v>24321.4774</v>
      </c>
    </row>
    <row r="2105" spans="26:48">
      <c r="Z2105" s="3"/>
      <c r="AC2105"/>
      <c r="AH2105" t="s">
        <v>1878</v>
      </c>
      <c r="AI2105" t="s">
        <v>67</v>
      </c>
      <c r="AJ2105" t="s">
        <v>66</v>
      </c>
      <c r="AK2105" s="3" t="s">
        <v>115</v>
      </c>
      <c r="AL2105" s="3">
        <v>17249.2</v>
      </c>
      <c r="AS2105" t="s">
        <v>2076</v>
      </c>
      <c r="AT2105" t="s">
        <v>88</v>
      </c>
      <c r="AU2105" t="s">
        <v>110</v>
      </c>
      <c r="AV2105" s="14">
        <v>897.61059999999998</v>
      </c>
    </row>
    <row r="2106" spans="26:48">
      <c r="Z2106" s="3"/>
      <c r="AC2106"/>
      <c r="AH2106" t="s">
        <v>1878</v>
      </c>
      <c r="AI2106" t="s">
        <v>67</v>
      </c>
      <c r="AJ2106" t="s">
        <v>98</v>
      </c>
      <c r="AK2106" s="3" t="s">
        <v>115</v>
      </c>
      <c r="AL2106" s="3">
        <v>-33.593367126700002</v>
      </c>
      <c r="AS2106" t="s">
        <v>2076</v>
      </c>
      <c r="AT2106" t="s">
        <v>88</v>
      </c>
      <c r="AU2106" t="s">
        <v>111</v>
      </c>
      <c r="AV2106" s="14">
        <v>9500</v>
      </c>
    </row>
    <row r="2107" spans="26:48">
      <c r="Z2107" s="3"/>
      <c r="AC2107"/>
      <c r="AH2107" t="s">
        <v>1878</v>
      </c>
      <c r="AI2107" t="s">
        <v>68</v>
      </c>
      <c r="AJ2107" t="s">
        <v>66</v>
      </c>
      <c r="AK2107" s="3" t="s">
        <v>27</v>
      </c>
      <c r="AL2107" s="3">
        <v>-10807.5</v>
      </c>
      <c r="AS2107" t="s">
        <v>2076</v>
      </c>
      <c r="AT2107" t="s">
        <v>88</v>
      </c>
      <c r="AU2107" t="s">
        <v>268</v>
      </c>
      <c r="AV2107" s="14">
        <v>1100</v>
      </c>
    </row>
    <row r="2108" spans="26:48">
      <c r="Z2108" s="3"/>
      <c r="AC2108"/>
      <c r="AH2108" t="s">
        <v>1878</v>
      </c>
      <c r="AI2108" t="s">
        <v>68</v>
      </c>
      <c r="AJ2108" t="s">
        <v>72</v>
      </c>
      <c r="AK2108" s="3" t="s">
        <v>27</v>
      </c>
      <c r="AL2108" s="3">
        <v>-11187.87509</v>
      </c>
      <c r="AS2108" t="s">
        <v>2076</v>
      </c>
      <c r="AT2108" t="s">
        <v>88</v>
      </c>
      <c r="AU2108" t="s">
        <v>269</v>
      </c>
      <c r="AV2108" s="14">
        <v>0</v>
      </c>
    </row>
    <row r="2109" spans="26:48">
      <c r="Z2109" s="3"/>
      <c r="AC2109"/>
      <c r="AH2109" t="s">
        <v>1878</v>
      </c>
      <c r="AI2109" t="s">
        <v>68</v>
      </c>
      <c r="AJ2109" t="s">
        <v>113</v>
      </c>
      <c r="AK2109" s="3" t="s">
        <v>27</v>
      </c>
      <c r="AL2109" s="3">
        <v>-677.15630951690002</v>
      </c>
      <c r="AS2109" t="s">
        <v>2076</v>
      </c>
      <c r="AT2109" t="s">
        <v>88</v>
      </c>
      <c r="AU2109" t="s">
        <v>270</v>
      </c>
      <c r="AV2109" s="14">
        <v>0</v>
      </c>
    </row>
    <row r="2110" spans="26:48">
      <c r="Z2110" s="3"/>
      <c r="AC2110"/>
      <c r="AH2110" t="s">
        <v>1878</v>
      </c>
      <c r="AI2110" t="s">
        <v>68</v>
      </c>
      <c r="AJ2110" t="s">
        <v>108</v>
      </c>
      <c r="AK2110" s="3" t="s">
        <v>27</v>
      </c>
      <c r="AL2110" s="3">
        <v>296.78121951690002</v>
      </c>
      <c r="AS2110" t="s">
        <v>2076</v>
      </c>
      <c r="AT2110" t="s">
        <v>88</v>
      </c>
      <c r="AU2110" t="s">
        <v>271</v>
      </c>
      <c r="AV2110" s="14">
        <v>400</v>
      </c>
    </row>
    <row r="2111" spans="26:48">
      <c r="Z2111" s="3"/>
      <c r="AC2111"/>
      <c r="AH2111" t="s">
        <v>1878</v>
      </c>
      <c r="AI2111" t="s">
        <v>68</v>
      </c>
      <c r="AJ2111" t="s">
        <v>98</v>
      </c>
      <c r="AK2111" s="3" t="s">
        <v>27</v>
      </c>
      <c r="AL2111" s="3">
        <v>296.78121951690002</v>
      </c>
      <c r="AS2111" t="s">
        <v>2076</v>
      </c>
      <c r="AT2111" t="s">
        <v>88</v>
      </c>
      <c r="AU2111" t="s">
        <v>272</v>
      </c>
      <c r="AV2111" s="14">
        <v>0</v>
      </c>
    </row>
    <row r="2112" spans="26:48">
      <c r="Z2112" s="3"/>
      <c r="AC2112"/>
      <c r="AH2112" t="s">
        <v>1878</v>
      </c>
      <c r="AI2112" t="s">
        <v>68</v>
      </c>
      <c r="AJ2112" t="s">
        <v>66</v>
      </c>
      <c r="AK2112" s="3" t="s">
        <v>114</v>
      </c>
      <c r="AL2112" s="3">
        <v>3556</v>
      </c>
      <c r="AS2112" t="s">
        <v>2076</v>
      </c>
      <c r="AT2112" t="s">
        <v>88</v>
      </c>
      <c r="AU2112" t="s">
        <v>273</v>
      </c>
      <c r="AV2112" s="14">
        <v>0</v>
      </c>
    </row>
    <row r="2113" spans="26:48">
      <c r="Z2113" s="3"/>
      <c r="AC2113"/>
      <c r="AH2113" t="s">
        <v>1878</v>
      </c>
      <c r="AI2113" t="s">
        <v>68</v>
      </c>
      <c r="AJ2113" t="s">
        <v>98</v>
      </c>
      <c r="AK2113" s="3" t="s">
        <v>114</v>
      </c>
      <c r="AL2113" s="3">
        <v>-119.4644506849</v>
      </c>
      <c r="AS2113" t="s">
        <v>2077</v>
      </c>
      <c r="AT2113" t="s">
        <v>88</v>
      </c>
      <c r="AU2113" t="s">
        <v>109</v>
      </c>
      <c r="AV2113" s="14">
        <v>21181.4774</v>
      </c>
    </row>
    <row r="2114" spans="26:48">
      <c r="Z2114" s="3"/>
      <c r="AC2114"/>
      <c r="AH2114" t="s">
        <v>1878</v>
      </c>
      <c r="AI2114" t="s">
        <v>68</v>
      </c>
      <c r="AJ2114" t="s">
        <v>66</v>
      </c>
      <c r="AK2114" s="3" t="s">
        <v>115</v>
      </c>
      <c r="AL2114" s="3">
        <v>14363.5</v>
      </c>
      <c r="AS2114" t="s">
        <v>2077</v>
      </c>
      <c r="AT2114" t="s">
        <v>88</v>
      </c>
      <c r="AU2114" t="s">
        <v>110</v>
      </c>
      <c r="AV2114" s="14">
        <v>897.61059999999998</v>
      </c>
    </row>
    <row r="2115" spans="26:48">
      <c r="Z2115" s="3"/>
      <c r="AC2115"/>
      <c r="AH2115" t="s">
        <v>1878</v>
      </c>
      <c r="AI2115" t="s">
        <v>68</v>
      </c>
      <c r="AJ2115" t="s">
        <v>98</v>
      </c>
      <c r="AK2115" s="3" t="s">
        <v>115</v>
      </c>
      <c r="AL2115" s="3">
        <v>-416.24567020180001</v>
      </c>
      <c r="AS2115" t="s">
        <v>2077</v>
      </c>
      <c r="AT2115" t="s">
        <v>88</v>
      </c>
      <c r="AU2115" t="s">
        <v>111</v>
      </c>
      <c r="AV2115" s="14">
        <v>10500</v>
      </c>
    </row>
    <row r="2116" spans="26:48">
      <c r="Z2116" s="3"/>
      <c r="AC2116"/>
      <c r="AH2116" t="s">
        <v>1878</v>
      </c>
      <c r="AI2116" t="s">
        <v>65</v>
      </c>
      <c r="AJ2116" t="s">
        <v>66</v>
      </c>
      <c r="AK2116" s="3" t="s">
        <v>27</v>
      </c>
      <c r="AL2116" s="3">
        <v>34318.699999999997</v>
      </c>
      <c r="AS2116" t="s">
        <v>2077</v>
      </c>
      <c r="AT2116" t="s">
        <v>88</v>
      </c>
      <c r="AU2116" t="s">
        <v>268</v>
      </c>
      <c r="AV2116" s="14">
        <v>1100</v>
      </c>
    </row>
    <row r="2117" spans="26:48">
      <c r="Z2117" s="3"/>
      <c r="AC2117"/>
      <c r="AH2117" t="s">
        <v>1879</v>
      </c>
      <c r="AI2117" t="s">
        <v>67</v>
      </c>
      <c r="AJ2117" t="s">
        <v>66</v>
      </c>
      <c r="AK2117" s="3" t="s">
        <v>114</v>
      </c>
      <c r="AL2117" s="3">
        <v>0</v>
      </c>
      <c r="AS2117" t="s">
        <v>2077</v>
      </c>
      <c r="AT2117" t="s">
        <v>88</v>
      </c>
      <c r="AU2117" t="s">
        <v>269</v>
      </c>
      <c r="AV2117" s="14">
        <v>0</v>
      </c>
    </row>
    <row r="2118" spans="26:48">
      <c r="Z2118" s="3"/>
      <c r="AC2118"/>
      <c r="AH2118" t="s">
        <v>1879</v>
      </c>
      <c r="AI2118" t="s">
        <v>65</v>
      </c>
      <c r="AJ2118" t="s">
        <v>66</v>
      </c>
      <c r="AK2118" s="3" t="s">
        <v>27</v>
      </c>
      <c r="AL2118" s="3">
        <v>35139.699999999997</v>
      </c>
      <c r="AS2118" t="s">
        <v>2077</v>
      </c>
      <c r="AT2118" t="s">
        <v>88</v>
      </c>
      <c r="AU2118" t="s">
        <v>270</v>
      </c>
      <c r="AV2118" s="14">
        <v>0</v>
      </c>
    </row>
    <row r="2119" spans="26:48">
      <c r="Z2119" s="3"/>
      <c r="AC2119"/>
      <c r="AH2119" t="s">
        <v>1879</v>
      </c>
      <c r="AI2119" t="s">
        <v>65</v>
      </c>
      <c r="AJ2119" t="s">
        <v>72</v>
      </c>
      <c r="AK2119" s="3" t="s">
        <v>27</v>
      </c>
      <c r="AL2119" s="3">
        <v>36247.79464</v>
      </c>
      <c r="AS2119" t="s">
        <v>2077</v>
      </c>
      <c r="AT2119" t="s">
        <v>88</v>
      </c>
      <c r="AU2119" t="s">
        <v>271</v>
      </c>
      <c r="AV2119" s="14">
        <v>400</v>
      </c>
    </row>
    <row r="2120" spans="26:48">
      <c r="Z2120" s="3"/>
      <c r="AC2120"/>
      <c r="AH2120" t="s">
        <v>1879</v>
      </c>
      <c r="AI2120" t="s">
        <v>65</v>
      </c>
      <c r="AJ2120" t="s">
        <v>113</v>
      </c>
      <c r="AK2120" s="3" t="s">
        <v>27</v>
      </c>
      <c r="AL2120" s="3">
        <v>1934.6251758906001</v>
      </c>
      <c r="AS2120" t="s">
        <v>2077</v>
      </c>
      <c r="AT2120" t="s">
        <v>88</v>
      </c>
      <c r="AU2120" t="s">
        <v>272</v>
      </c>
      <c r="AV2120" s="14">
        <v>0</v>
      </c>
    </row>
    <row r="2121" spans="26:48">
      <c r="Z2121" s="3"/>
      <c r="AC2121"/>
      <c r="AH2121" t="s">
        <v>1879</v>
      </c>
      <c r="AI2121" t="s">
        <v>65</v>
      </c>
      <c r="AJ2121" t="s">
        <v>108</v>
      </c>
      <c r="AK2121" s="3" t="s">
        <v>27</v>
      </c>
      <c r="AL2121" s="3">
        <v>-826.53053589060005</v>
      </c>
      <c r="AS2121" t="s">
        <v>2077</v>
      </c>
      <c r="AT2121" t="s">
        <v>88</v>
      </c>
      <c r="AU2121" t="s">
        <v>273</v>
      </c>
      <c r="AV2121" s="14">
        <v>0</v>
      </c>
    </row>
    <row r="2122" spans="26:48">
      <c r="Z2122" s="3"/>
      <c r="AC2122"/>
      <c r="AH2122" t="s">
        <v>1879</v>
      </c>
      <c r="AI2122" t="s">
        <v>65</v>
      </c>
      <c r="AJ2122" t="s">
        <v>98</v>
      </c>
      <c r="AK2122" s="3" t="s">
        <v>27</v>
      </c>
      <c r="AL2122" s="3">
        <v>-826.53053589060005</v>
      </c>
      <c r="AS2122" t="s">
        <v>2078</v>
      </c>
      <c r="AT2122" t="s">
        <v>88</v>
      </c>
      <c r="AU2122" t="s">
        <v>109</v>
      </c>
      <c r="AV2122" s="14">
        <v>22481.4774</v>
      </c>
    </row>
    <row r="2123" spans="26:48">
      <c r="Z2123" s="3"/>
      <c r="AC2123"/>
      <c r="AH2123" t="s">
        <v>1879</v>
      </c>
      <c r="AI2123" t="s">
        <v>67</v>
      </c>
      <c r="AJ2123" t="s">
        <v>66</v>
      </c>
      <c r="AK2123" s="3" t="s">
        <v>27</v>
      </c>
      <c r="AL2123" s="3">
        <v>-17775.2</v>
      </c>
      <c r="AS2123" t="s">
        <v>2078</v>
      </c>
      <c r="AT2123" t="s">
        <v>88</v>
      </c>
      <c r="AU2123" t="s">
        <v>110</v>
      </c>
      <c r="AV2123" s="14">
        <v>897.61059999999998</v>
      </c>
    </row>
    <row r="2124" spans="26:48">
      <c r="Z2124" s="3"/>
      <c r="AC2124"/>
      <c r="AH2124" t="s">
        <v>1879</v>
      </c>
      <c r="AI2124" t="s">
        <v>67</v>
      </c>
      <c r="AJ2124" t="s">
        <v>72</v>
      </c>
      <c r="AK2124" s="3" t="s">
        <v>27</v>
      </c>
      <c r="AL2124" s="3">
        <v>-18966.109815</v>
      </c>
      <c r="AS2124" t="s">
        <v>2078</v>
      </c>
      <c r="AT2124" t="s">
        <v>88</v>
      </c>
      <c r="AU2124" t="s">
        <v>111</v>
      </c>
      <c r="AV2124" s="14">
        <v>10500</v>
      </c>
    </row>
    <row r="2125" spans="26:48">
      <c r="Z2125" s="3"/>
      <c r="AC2125"/>
      <c r="AH2125" t="s">
        <v>1879</v>
      </c>
      <c r="AI2125" t="s">
        <v>67</v>
      </c>
      <c r="AJ2125" t="s">
        <v>113</v>
      </c>
      <c r="AK2125" s="3" t="s">
        <v>27</v>
      </c>
      <c r="AL2125" s="3">
        <v>-1264.9707845728999</v>
      </c>
      <c r="AS2125" t="s">
        <v>2078</v>
      </c>
      <c r="AT2125" t="s">
        <v>88</v>
      </c>
      <c r="AU2125" t="s">
        <v>268</v>
      </c>
      <c r="AV2125" s="14">
        <v>2700</v>
      </c>
    </row>
    <row r="2126" spans="26:48">
      <c r="Z2126" s="3"/>
      <c r="AC2126"/>
      <c r="AH2126" t="s">
        <v>1879</v>
      </c>
      <c r="AI2126" t="s">
        <v>67</v>
      </c>
      <c r="AJ2126" t="s">
        <v>108</v>
      </c>
      <c r="AK2126" s="3" t="s">
        <v>27</v>
      </c>
      <c r="AL2126" s="3">
        <v>74.060969572900007</v>
      </c>
      <c r="AS2126" t="s">
        <v>2078</v>
      </c>
      <c r="AT2126" t="s">
        <v>88</v>
      </c>
      <c r="AU2126" t="s">
        <v>269</v>
      </c>
      <c r="AV2126" s="14">
        <v>0</v>
      </c>
    </row>
    <row r="2127" spans="26:48">
      <c r="AC2127"/>
      <c r="AH2127" t="s">
        <v>1879</v>
      </c>
      <c r="AI2127" t="s">
        <v>67</v>
      </c>
      <c r="AJ2127" t="s">
        <v>98</v>
      </c>
      <c r="AK2127" s="3" t="s">
        <v>27</v>
      </c>
      <c r="AL2127" s="3">
        <v>74.060969572900007</v>
      </c>
      <c r="AS2127" t="s">
        <v>2078</v>
      </c>
      <c r="AT2127" t="s">
        <v>88</v>
      </c>
      <c r="AU2127" t="s">
        <v>270</v>
      </c>
      <c r="AV2127" s="14">
        <v>0</v>
      </c>
    </row>
    <row r="2128" spans="26:48">
      <c r="AC2128"/>
      <c r="AH2128" t="s">
        <v>1879</v>
      </c>
      <c r="AI2128" t="s">
        <v>67</v>
      </c>
      <c r="AJ2128" t="s">
        <v>98</v>
      </c>
      <c r="AK2128" s="3" t="s">
        <v>114</v>
      </c>
      <c r="AL2128" s="3">
        <v>0</v>
      </c>
      <c r="AS2128" t="s">
        <v>2078</v>
      </c>
      <c r="AT2128" t="s">
        <v>88</v>
      </c>
      <c r="AU2128" t="s">
        <v>271</v>
      </c>
      <c r="AV2128" s="14">
        <v>1500</v>
      </c>
    </row>
    <row r="2129" spans="29:48">
      <c r="AC2129"/>
      <c r="AH2129" t="s">
        <v>1879</v>
      </c>
      <c r="AI2129" t="s">
        <v>67</v>
      </c>
      <c r="AJ2129" t="s">
        <v>66</v>
      </c>
      <c r="AK2129" s="3" t="s">
        <v>115</v>
      </c>
      <c r="AL2129" s="3">
        <v>17775.2</v>
      </c>
      <c r="AS2129" t="s">
        <v>2078</v>
      </c>
      <c r="AT2129" t="s">
        <v>88</v>
      </c>
      <c r="AU2129" t="s">
        <v>272</v>
      </c>
      <c r="AV2129" s="14">
        <v>0</v>
      </c>
    </row>
    <row r="2130" spans="29:48">
      <c r="AC2130"/>
      <c r="AH2130" t="s">
        <v>1879</v>
      </c>
      <c r="AI2130" t="s">
        <v>67</v>
      </c>
      <c r="AJ2130" t="s">
        <v>98</v>
      </c>
      <c r="AK2130" s="3" t="s">
        <v>115</v>
      </c>
      <c r="AL2130" s="3">
        <v>-74.060969572900007</v>
      </c>
      <c r="AS2130" t="s">
        <v>2078</v>
      </c>
      <c r="AT2130" t="s">
        <v>88</v>
      </c>
      <c r="AU2130" t="s">
        <v>273</v>
      </c>
      <c r="AV2130" s="14">
        <v>0</v>
      </c>
    </row>
    <row r="2131" spans="29:48">
      <c r="AC2131"/>
      <c r="AH2131" t="s">
        <v>1879</v>
      </c>
      <c r="AI2131" t="s">
        <v>68</v>
      </c>
      <c r="AJ2131" t="s">
        <v>66</v>
      </c>
      <c r="AK2131" s="3" t="s">
        <v>27</v>
      </c>
      <c r="AL2131" s="3">
        <v>-11002.5</v>
      </c>
      <c r="AS2131" t="s">
        <v>2079</v>
      </c>
      <c r="AT2131" t="s">
        <v>88</v>
      </c>
      <c r="AU2131" t="s">
        <v>109</v>
      </c>
      <c r="AV2131" s="14">
        <v>21831.4774</v>
      </c>
    </row>
    <row r="2132" spans="29:48">
      <c r="AC2132"/>
      <c r="AH2132" t="s">
        <v>1879</v>
      </c>
      <c r="AI2132" t="s">
        <v>68</v>
      </c>
      <c r="AJ2132" t="s">
        <v>72</v>
      </c>
      <c r="AK2132" s="3" t="s">
        <v>27</v>
      </c>
      <c r="AL2132" s="3">
        <v>-11317.775734999999</v>
      </c>
      <c r="AS2132" t="s">
        <v>2079</v>
      </c>
      <c r="AT2132" t="s">
        <v>88</v>
      </c>
      <c r="AU2132" t="s">
        <v>110</v>
      </c>
      <c r="AV2132" s="14">
        <v>897.61059999999998</v>
      </c>
    </row>
    <row r="2133" spans="29:48">
      <c r="AC2133"/>
      <c r="AH2133" t="s">
        <v>1879</v>
      </c>
      <c r="AI2133" t="s">
        <v>68</v>
      </c>
      <c r="AJ2133" t="s">
        <v>113</v>
      </c>
      <c r="AK2133" s="3" t="s">
        <v>27</v>
      </c>
      <c r="AL2133" s="3">
        <v>-611.01486861319995</v>
      </c>
      <c r="AS2133" t="s">
        <v>2079</v>
      </c>
      <c r="AT2133" t="s">
        <v>88</v>
      </c>
      <c r="AU2133" t="s">
        <v>111</v>
      </c>
      <c r="AV2133" s="14">
        <v>10500</v>
      </c>
    </row>
    <row r="2134" spans="29:48">
      <c r="AC2134"/>
      <c r="AH2134" t="s">
        <v>1879</v>
      </c>
      <c r="AI2134" t="s">
        <v>68</v>
      </c>
      <c r="AJ2134" t="s">
        <v>108</v>
      </c>
      <c r="AK2134" s="3" t="s">
        <v>27</v>
      </c>
      <c r="AL2134" s="3">
        <v>295.73913361320001</v>
      </c>
      <c r="AS2134" t="s">
        <v>2079</v>
      </c>
      <c r="AT2134" t="s">
        <v>88</v>
      </c>
      <c r="AU2134" t="s">
        <v>268</v>
      </c>
      <c r="AV2134" s="14">
        <v>3100</v>
      </c>
    </row>
    <row r="2135" spans="29:48">
      <c r="AC2135"/>
      <c r="AH2135" t="s">
        <v>1879</v>
      </c>
      <c r="AI2135" t="s">
        <v>68</v>
      </c>
      <c r="AJ2135" t="s">
        <v>98</v>
      </c>
      <c r="AK2135" s="3" t="s">
        <v>27</v>
      </c>
      <c r="AL2135" s="3">
        <v>295.73913361320001</v>
      </c>
      <c r="AS2135" t="s">
        <v>2079</v>
      </c>
      <c r="AT2135" t="s">
        <v>88</v>
      </c>
      <c r="AU2135" t="s">
        <v>269</v>
      </c>
      <c r="AV2135" s="14">
        <v>0</v>
      </c>
    </row>
    <row r="2136" spans="29:48">
      <c r="AC2136"/>
      <c r="AH2136" t="s">
        <v>1879</v>
      </c>
      <c r="AI2136" t="s">
        <v>68</v>
      </c>
      <c r="AJ2136" t="s">
        <v>66</v>
      </c>
      <c r="AK2136" s="3" t="s">
        <v>114</v>
      </c>
      <c r="AL2136" s="3">
        <v>3306</v>
      </c>
      <c r="AS2136" t="s">
        <v>2079</v>
      </c>
      <c r="AT2136" t="s">
        <v>88</v>
      </c>
      <c r="AU2136" t="s">
        <v>270</v>
      </c>
      <c r="AV2136" s="14">
        <v>0</v>
      </c>
    </row>
    <row r="2137" spans="29:48">
      <c r="AC2137"/>
      <c r="AH2137" t="s">
        <v>1879</v>
      </c>
      <c r="AI2137" t="s">
        <v>68</v>
      </c>
      <c r="AJ2137" t="s">
        <v>98</v>
      </c>
      <c r="AK2137" s="3" t="s">
        <v>114</v>
      </c>
      <c r="AL2137" s="3">
        <v>-117.7089317808</v>
      </c>
      <c r="AS2137" t="s">
        <v>2079</v>
      </c>
      <c r="AT2137" t="s">
        <v>88</v>
      </c>
      <c r="AU2137" t="s">
        <v>271</v>
      </c>
      <c r="AV2137" s="14">
        <v>0</v>
      </c>
    </row>
    <row r="2138" spans="29:48">
      <c r="AC2138"/>
      <c r="AH2138" t="s">
        <v>1879</v>
      </c>
      <c r="AI2138" t="s">
        <v>68</v>
      </c>
      <c r="AJ2138" t="s">
        <v>66</v>
      </c>
      <c r="AK2138" s="3" t="s">
        <v>115</v>
      </c>
      <c r="AL2138" s="3">
        <v>14308.5</v>
      </c>
      <c r="AS2138" t="s">
        <v>2079</v>
      </c>
      <c r="AT2138" t="s">
        <v>88</v>
      </c>
      <c r="AU2138" t="s">
        <v>272</v>
      </c>
      <c r="AV2138" s="14">
        <v>0</v>
      </c>
    </row>
    <row r="2139" spans="29:48">
      <c r="AC2139"/>
      <c r="AH2139" t="s">
        <v>1879</v>
      </c>
      <c r="AI2139" t="s">
        <v>68</v>
      </c>
      <c r="AJ2139" t="s">
        <v>98</v>
      </c>
      <c r="AK2139" s="3" t="s">
        <v>115</v>
      </c>
      <c r="AL2139" s="3">
        <v>-413.44806539400003</v>
      </c>
      <c r="AS2139" t="s">
        <v>2079</v>
      </c>
      <c r="AT2139" t="s">
        <v>88</v>
      </c>
      <c r="AU2139" t="s">
        <v>273</v>
      </c>
      <c r="AV2139" s="14">
        <v>0</v>
      </c>
    </row>
    <row r="2140" spans="29:48">
      <c r="AC2140"/>
      <c r="AH2140" t="s">
        <v>1879</v>
      </c>
      <c r="AI2140" t="s">
        <v>800</v>
      </c>
      <c r="AJ2140" t="s">
        <v>31</v>
      </c>
      <c r="AK2140" s="3" t="s">
        <v>27</v>
      </c>
      <c r="AL2140" s="3">
        <v>3.9935125777999998</v>
      </c>
      <c r="AS2140" t="s">
        <v>2080</v>
      </c>
      <c r="AT2140" t="s">
        <v>88</v>
      </c>
      <c r="AU2140" t="s">
        <v>109</v>
      </c>
      <c r="AV2140" s="14">
        <v>21881.4774</v>
      </c>
    </row>
    <row r="2141" spans="29:48">
      <c r="AC2141"/>
      <c r="AH2141" t="s">
        <v>1880</v>
      </c>
      <c r="AI2141" t="s">
        <v>65</v>
      </c>
      <c r="AJ2141" t="s">
        <v>66</v>
      </c>
      <c r="AK2141" s="3" t="s">
        <v>27</v>
      </c>
      <c r="AL2141" s="3">
        <v>34949.699999999997</v>
      </c>
      <c r="AS2141" t="s">
        <v>2080</v>
      </c>
      <c r="AT2141" t="s">
        <v>88</v>
      </c>
      <c r="AU2141" t="s">
        <v>110</v>
      </c>
      <c r="AV2141" s="14">
        <v>897.61059999999998</v>
      </c>
    </row>
    <row r="2142" spans="29:48">
      <c r="AC2142"/>
      <c r="AH2142" t="s">
        <v>1880</v>
      </c>
      <c r="AI2142" t="s">
        <v>65</v>
      </c>
      <c r="AJ2142" t="s">
        <v>72</v>
      </c>
      <c r="AK2142" s="3" t="s">
        <v>27</v>
      </c>
      <c r="AL2142" s="3">
        <v>36055.348983000003</v>
      </c>
      <c r="AS2142" t="s">
        <v>2080</v>
      </c>
      <c r="AT2142" t="s">
        <v>88</v>
      </c>
      <c r="AU2142" t="s">
        <v>111</v>
      </c>
      <c r="AV2142" s="14">
        <v>10500</v>
      </c>
    </row>
    <row r="2143" spans="29:48">
      <c r="AC2143"/>
      <c r="AH2143" t="s">
        <v>1880</v>
      </c>
      <c r="AI2143" t="s">
        <v>65</v>
      </c>
      <c r="AJ2143" t="s">
        <v>113</v>
      </c>
      <c r="AK2143" s="3" t="s">
        <v>27</v>
      </c>
      <c r="AL2143" s="3">
        <v>1923.6433103866</v>
      </c>
      <c r="AS2143" t="s">
        <v>2080</v>
      </c>
      <c r="AT2143" t="s">
        <v>88</v>
      </c>
      <c r="AU2143" t="s">
        <v>268</v>
      </c>
      <c r="AV2143" s="14">
        <v>500</v>
      </c>
    </row>
    <row r="2144" spans="29:48">
      <c r="AC2144"/>
      <c r="AH2144" t="s">
        <v>1880</v>
      </c>
      <c r="AI2144" t="s">
        <v>65</v>
      </c>
      <c r="AJ2144" t="s">
        <v>108</v>
      </c>
      <c r="AK2144" s="3" t="s">
        <v>27</v>
      </c>
      <c r="AL2144" s="3">
        <v>-817.99432738660005</v>
      </c>
      <c r="AS2144" t="s">
        <v>2080</v>
      </c>
      <c r="AT2144" t="s">
        <v>88</v>
      </c>
      <c r="AU2144" t="s">
        <v>269</v>
      </c>
      <c r="AV2144" s="14">
        <v>0</v>
      </c>
    </row>
    <row r="2145" spans="29:48">
      <c r="AC2145"/>
      <c r="AH2145" t="s">
        <v>1880</v>
      </c>
      <c r="AI2145" t="s">
        <v>65</v>
      </c>
      <c r="AJ2145" t="s">
        <v>98</v>
      </c>
      <c r="AK2145" s="3" t="s">
        <v>27</v>
      </c>
      <c r="AL2145" s="3">
        <v>-817.99432738660005</v>
      </c>
      <c r="AS2145" t="s">
        <v>2080</v>
      </c>
      <c r="AT2145" t="s">
        <v>88</v>
      </c>
      <c r="AU2145" t="s">
        <v>270</v>
      </c>
      <c r="AV2145" s="14">
        <v>0</v>
      </c>
    </row>
    <row r="2146" spans="29:48">
      <c r="AC2146"/>
      <c r="AH2146" t="s">
        <v>1880</v>
      </c>
      <c r="AI2146" t="s">
        <v>67</v>
      </c>
      <c r="AJ2146" t="s">
        <v>66</v>
      </c>
      <c r="AK2146" s="3" t="s">
        <v>27</v>
      </c>
      <c r="AL2146" s="3">
        <v>-16764.2</v>
      </c>
      <c r="AS2146" t="s">
        <v>2080</v>
      </c>
      <c r="AT2146" t="s">
        <v>88</v>
      </c>
      <c r="AU2146" t="s">
        <v>271</v>
      </c>
      <c r="AV2146" s="14">
        <v>2000</v>
      </c>
    </row>
    <row r="2147" spans="29:48">
      <c r="AC2147"/>
      <c r="AH2147" t="s">
        <v>1880</v>
      </c>
      <c r="AI2147" t="s">
        <v>67</v>
      </c>
      <c r="AJ2147" t="s">
        <v>72</v>
      </c>
      <c r="AK2147" s="3" t="s">
        <v>27</v>
      </c>
      <c r="AL2147" s="3">
        <v>-17967.677283000001</v>
      </c>
      <c r="AS2147" t="s">
        <v>2080</v>
      </c>
      <c r="AT2147" t="s">
        <v>88</v>
      </c>
      <c r="AU2147" t="s">
        <v>272</v>
      </c>
      <c r="AV2147" s="14">
        <v>0</v>
      </c>
    </row>
    <row r="2148" spans="29:48">
      <c r="AC2148"/>
      <c r="AH2148" t="s">
        <v>1880</v>
      </c>
      <c r="AI2148" t="s">
        <v>67</v>
      </c>
      <c r="AJ2148" t="s">
        <v>113</v>
      </c>
      <c r="AK2148" s="3" t="s">
        <v>27</v>
      </c>
      <c r="AL2148" s="3">
        <v>-1223.2725199008</v>
      </c>
      <c r="AS2148" t="s">
        <v>2080</v>
      </c>
      <c r="AT2148" t="s">
        <v>88</v>
      </c>
      <c r="AU2148" t="s">
        <v>273</v>
      </c>
      <c r="AV2148" s="14">
        <v>0</v>
      </c>
    </row>
    <row r="2149" spans="29:48">
      <c r="AC2149"/>
      <c r="AH2149" t="s">
        <v>1880</v>
      </c>
      <c r="AI2149" t="s">
        <v>67</v>
      </c>
      <c r="AJ2149" t="s">
        <v>108</v>
      </c>
      <c r="AK2149" s="3" t="s">
        <v>27</v>
      </c>
      <c r="AL2149" s="3">
        <v>19.795236900799999</v>
      </c>
      <c r="AS2149" t="s">
        <v>2081</v>
      </c>
      <c r="AT2149" t="s">
        <v>88</v>
      </c>
      <c r="AU2149" t="s">
        <v>109</v>
      </c>
      <c r="AV2149" s="14">
        <v>21731.4774</v>
      </c>
    </row>
    <row r="2150" spans="29:48">
      <c r="AC2150"/>
      <c r="AH2150" t="s">
        <v>1880</v>
      </c>
      <c r="AI2150" t="s">
        <v>67</v>
      </c>
      <c r="AJ2150" t="s">
        <v>98</v>
      </c>
      <c r="AK2150" s="3" t="s">
        <v>27</v>
      </c>
      <c r="AL2150" s="3">
        <v>19.795236900799999</v>
      </c>
      <c r="AS2150" t="s">
        <v>2081</v>
      </c>
      <c r="AT2150" t="s">
        <v>88</v>
      </c>
      <c r="AU2150" t="s">
        <v>110</v>
      </c>
      <c r="AV2150" s="14">
        <v>897.61059999999998</v>
      </c>
    </row>
    <row r="2151" spans="29:48">
      <c r="AC2151"/>
      <c r="AH2151" t="s">
        <v>1880</v>
      </c>
      <c r="AI2151" t="s">
        <v>67</v>
      </c>
      <c r="AJ2151" t="s">
        <v>66</v>
      </c>
      <c r="AK2151" s="3" t="s">
        <v>114</v>
      </c>
      <c r="AL2151" s="3">
        <v>190</v>
      </c>
      <c r="AS2151" t="s">
        <v>2081</v>
      </c>
      <c r="AT2151" t="s">
        <v>88</v>
      </c>
      <c r="AU2151" t="s">
        <v>111</v>
      </c>
      <c r="AV2151" s="14">
        <v>10500</v>
      </c>
    </row>
    <row r="2152" spans="29:48">
      <c r="AC2152"/>
      <c r="AH2152" t="s">
        <v>1880</v>
      </c>
      <c r="AI2152" t="s">
        <v>67</v>
      </c>
      <c r="AJ2152" t="s">
        <v>98</v>
      </c>
      <c r="AK2152" s="3" t="s">
        <v>114</v>
      </c>
      <c r="AL2152" s="3">
        <v>-6.1437890410999998</v>
      </c>
      <c r="AS2152" t="s">
        <v>2081</v>
      </c>
      <c r="AT2152" t="s">
        <v>88</v>
      </c>
      <c r="AU2152" t="s">
        <v>268</v>
      </c>
      <c r="AV2152" s="14">
        <v>1150</v>
      </c>
    </row>
    <row r="2153" spans="29:48">
      <c r="AC2153"/>
      <c r="AH2153" t="s">
        <v>1880</v>
      </c>
      <c r="AI2153" t="s">
        <v>67</v>
      </c>
      <c r="AJ2153" t="s">
        <v>66</v>
      </c>
      <c r="AK2153" s="3" t="s">
        <v>115</v>
      </c>
      <c r="AL2153" s="3">
        <v>16954.2</v>
      </c>
      <c r="AS2153" t="s">
        <v>2081</v>
      </c>
      <c r="AT2153" t="s">
        <v>88</v>
      </c>
      <c r="AU2153" t="s">
        <v>269</v>
      </c>
      <c r="AV2153" s="14">
        <v>0</v>
      </c>
    </row>
    <row r="2154" spans="29:48">
      <c r="AC2154"/>
      <c r="AH2154" t="s">
        <v>1880</v>
      </c>
      <c r="AI2154" t="s">
        <v>67</v>
      </c>
      <c r="AJ2154" t="s">
        <v>98</v>
      </c>
      <c r="AK2154" s="3" t="s">
        <v>115</v>
      </c>
      <c r="AL2154" s="3">
        <v>-25.939025941899999</v>
      </c>
      <c r="AS2154" t="s">
        <v>2081</v>
      </c>
      <c r="AT2154" t="s">
        <v>88</v>
      </c>
      <c r="AU2154" t="s">
        <v>270</v>
      </c>
      <c r="AV2154" s="14">
        <v>0</v>
      </c>
    </row>
    <row r="2155" spans="29:48">
      <c r="AC2155"/>
      <c r="AH2155" t="s">
        <v>1880</v>
      </c>
      <c r="AI2155" t="s">
        <v>68</v>
      </c>
      <c r="AJ2155" t="s">
        <v>66</v>
      </c>
      <c r="AK2155" s="3" t="s">
        <v>27</v>
      </c>
      <c r="AL2155" s="3">
        <v>-11823.5</v>
      </c>
      <c r="AS2155" t="s">
        <v>2081</v>
      </c>
      <c r="AT2155" t="s">
        <v>88</v>
      </c>
      <c r="AU2155" t="s">
        <v>271</v>
      </c>
      <c r="AV2155" s="14">
        <v>2000</v>
      </c>
    </row>
    <row r="2156" spans="29:48">
      <c r="AC2156"/>
      <c r="AH2156" t="s">
        <v>1880</v>
      </c>
      <c r="AI2156" t="s">
        <v>68</v>
      </c>
      <c r="AJ2156" t="s">
        <v>72</v>
      </c>
      <c r="AK2156" s="3" t="s">
        <v>27</v>
      </c>
      <c r="AL2156" s="3">
        <v>-12123.32814</v>
      </c>
      <c r="AS2156" t="s">
        <v>2081</v>
      </c>
      <c r="AT2156" t="s">
        <v>88</v>
      </c>
      <c r="AU2156" t="s">
        <v>272</v>
      </c>
      <c r="AV2156" s="14">
        <v>0</v>
      </c>
    </row>
    <row r="2157" spans="29:48">
      <c r="AC2157"/>
      <c r="AH2157" t="s">
        <v>1880</v>
      </c>
      <c r="AI2157" t="s">
        <v>68</v>
      </c>
      <c r="AJ2157" t="s">
        <v>113</v>
      </c>
      <c r="AK2157" s="3" t="s">
        <v>27</v>
      </c>
      <c r="AL2157" s="3">
        <v>-641.69213042180002</v>
      </c>
      <c r="AS2157" t="s">
        <v>2081</v>
      </c>
      <c r="AT2157" t="s">
        <v>88</v>
      </c>
      <c r="AU2157" t="s">
        <v>273</v>
      </c>
      <c r="AV2157" s="14">
        <v>0</v>
      </c>
    </row>
    <row r="2158" spans="29:48">
      <c r="AC2158"/>
      <c r="AH2158" t="s">
        <v>1880</v>
      </c>
      <c r="AI2158" t="s">
        <v>68</v>
      </c>
      <c r="AJ2158" t="s">
        <v>108</v>
      </c>
      <c r="AK2158" s="3" t="s">
        <v>27</v>
      </c>
      <c r="AL2158" s="3">
        <v>341.8639904218</v>
      </c>
      <c r="AS2158" t="s">
        <v>2082</v>
      </c>
      <c r="AT2158" t="s">
        <v>88</v>
      </c>
      <c r="AU2158" t="s">
        <v>109</v>
      </c>
      <c r="AV2158" s="14">
        <v>21986.782899999998</v>
      </c>
    </row>
    <row r="2159" spans="29:48">
      <c r="AC2159"/>
      <c r="AH2159" t="s">
        <v>1880</v>
      </c>
      <c r="AI2159" t="s">
        <v>68</v>
      </c>
      <c r="AJ2159" t="s">
        <v>98</v>
      </c>
      <c r="AK2159" s="3" t="s">
        <v>27</v>
      </c>
      <c r="AL2159" s="3">
        <v>341.8639904218</v>
      </c>
      <c r="AS2159" t="s">
        <v>2082</v>
      </c>
      <c r="AT2159" t="s">
        <v>88</v>
      </c>
      <c r="AU2159" t="s">
        <v>110</v>
      </c>
      <c r="AV2159" s="14">
        <v>897.61059999999998</v>
      </c>
    </row>
    <row r="2160" spans="29:48">
      <c r="AC2160"/>
      <c r="AH2160" t="s">
        <v>1880</v>
      </c>
      <c r="AI2160" t="s">
        <v>68</v>
      </c>
      <c r="AJ2160" t="s">
        <v>66</v>
      </c>
      <c r="AK2160" s="3" t="s">
        <v>114</v>
      </c>
      <c r="AL2160" s="3">
        <v>3306</v>
      </c>
      <c r="AS2160" t="s">
        <v>2082</v>
      </c>
      <c r="AT2160" t="s">
        <v>88</v>
      </c>
      <c r="AU2160" t="s">
        <v>111</v>
      </c>
      <c r="AV2160" s="14">
        <v>10500</v>
      </c>
    </row>
    <row r="2161" spans="29:48">
      <c r="AC2161"/>
      <c r="AH2161" t="s">
        <v>1880</v>
      </c>
      <c r="AI2161" t="s">
        <v>68</v>
      </c>
      <c r="AJ2161" t="s">
        <v>98</v>
      </c>
      <c r="AK2161" s="3" t="s">
        <v>114</v>
      </c>
      <c r="AL2161" s="3">
        <v>-117.6165117808</v>
      </c>
      <c r="AS2161" t="s">
        <v>2082</v>
      </c>
      <c r="AT2161" t="s">
        <v>88</v>
      </c>
      <c r="AU2161" t="s">
        <v>268</v>
      </c>
      <c r="AV2161" s="14">
        <v>194.69450000000001</v>
      </c>
    </row>
    <row r="2162" spans="29:48">
      <c r="AC2162"/>
      <c r="AH2162" t="s">
        <v>1880</v>
      </c>
      <c r="AI2162" t="s">
        <v>68</v>
      </c>
      <c r="AJ2162" t="s">
        <v>66</v>
      </c>
      <c r="AK2162" s="3" t="s">
        <v>115</v>
      </c>
      <c r="AL2162" s="3">
        <v>15129.5</v>
      </c>
      <c r="AS2162" t="s">
        <v>2082</v>
      </c>
      <c r="AT2162" t="s">
        <v>88</v>
      </c>
      <c r="AU2162" t="s">
        <v>269</v>
      </c>
      <c r="AV2162" s="14">
        <v>0</v>
      </c>
    </row>
    <row r="2163" spans="29:48">
      <c r="AC2163"/>
      <c r="AH2163" t="s">
        <v>1880</v>
      </c>
      <c r="AI2163" t="s">
        <v>68</v>
      </c>
      <c r="AJ2163" t="s">
        <v>98</v>
      </c>
      <c r="AK2163" s="3" t="s">
        <v>115</v>
      </c>
      <c r="AL2163" s="3">
        <v>-459.48050220269999</v>
      </c>
      <c r="AS2163" t="s">
        <v>2082</v>
      </c>
      <c r="AT2163" t="s">
        <v>88</v>
      </c>
      <c r="AU2163" t="s">
        <v>270</v>
      </c>
      <c r="AV2163" s="14">
        <v>0</v>
      </c>
    </row>
    <row r="2164" spans="29:48">
      <c r="AC2164"/>
      <c r="AH2164" t="s">
        <v>1880</v>
      </c>
      <c r="AI2164" t="s">
        <v>800</v>
      </c>
      <c r="AJ2164" t="s">
        <v>31</v>
      </c>
      <c r="AK2164" s="3" t="s">
        <v>27</v>
      </c>
      <c r="AL2164" s="3">
        <v>3.9935465234</v>
      </c>
      <c r="AS2164" t="s">
        <v>2082</v>
      </c>
      <c r="AT2164" t="s">
        <v>88</v>
      </c>
      <c r="AU2164" t="s">
        <v>271</v>
      </c>
      <c r="AV2164" s="14">
        <v>0</v>
      </c>
    </row>
    <row r="2165" spans="29:48">
      <c r="AC2165"/>
      <c r="AH2165" t="s">
        <v>1881</v>
      </c>
      <c r="AI2165" t="s">
        <v>65</v>
      </c>
      <c r="AJ2165" t="s">
        <v>66</v>
      </c>
      <c r="AK2165" s="3" t="s">
        <v>27</v>
      </c>
      <c r="AL2165" s="3">
        <v>34468.699999999997</v>
      </c>
      <c r="AS2165" t="s">
        <v>2082</v>
      </c>
      <c r="AT2165" t="s">
        <v>88</v>
      </c>
      <c r="AU2165" t="s">
        <v>272</v>
      </c>
      <c r="AV2165" s="14">
        <v>0</v>
      </c>
    </row>
    <row r="2166" spans="29:48">
      <c r="AC2166"/>
      <c r="AH2166" t="s">
        <v>1881</v>
      </c>
      <c r="AI2166" t="s">
        <v>65</v>
      </c>
      <c r="AJ2166" t="s">
        <v>72</v>
      </c>
      <c r="AK2166" s="3" t="s">
        <v>27</v>
      </c>
      <c r="AL2166" s="3">
        <v>35594.468350000003</v>
      </c>
      <c r="AS2166" t="s">
        <v>2082</v>
      </c>
      <c r="AT2166" t="s">
        <v>88</v>
      </c>
      <c r="AU2166" t="s">
        <v>273</v>
      </c>
      <c r="AV2166" s="14">
        <v>0</v>
      </c>
    </row>
    <row r="2167" spans="29:48">
      <c r="AC2167"/>
      <c r="AH2167" t="s">
        <v>1881</v>
      </c>
      <c r="AI2167" t="s">
        <v>65</v>
      </c>
      <c r="AJ2167" t="s">
        <v>113</v>
      </c>
      <c r="AK2167" s="3" t="s">
        <v>27</v>
      </c>
      <c r="AL2167" s="3">
        <v>1891.6318041241</v>
      </c>
      <c r="AS2167" t="s">
        <v>2083</v>
      </c>
      <c r="AT2167" t="s">
        <v>88</v>
      </c>
      <c r="AU2167" t="s">
        <v>109</v>
      </c>
      <c r="AV2167" s="14">
        <v>20886.782899999998</v>
      </c>
    </row>
    <row r="2168" spans="29:48">
      <c r="AC2168"/>
      <c r="AH2168" t="s">
        <v>1881</v>
      </c>
      <c r="AI2168" t="s">
        <v>65</v>
      </c>
      <c r="AJ2168" t="s">
        <v>108</v>
      </c>
      <c r="AK2168" s="3" t="s">
        <v>27</v>
      </c>
      <c r="AL2168" s="3">
        <v>-765.86345412410003</v>
      </c>
      <c r="AS2168" t="s">
        <v>2083</v>
      </c>
      <c r="AT2168" t="s">
        <v>88</v>
      </c>
      <c r="AU2168" t="s">
        <v>110</v>
      </c>
      <c r="AV2168" s="14">
        <v>897.61059999999998</v>
      </c>
    </row>
    <row r="2169" spans="29:48">
      <c r="AC2169"/>
      <c r="AH2169" t="s">
        <v>1881</v>
      </c>
      <c r="AI2169" t="s">
        <v>65</v>
      </c>
      <c r="AJ2169" t="s">
        <v>98</v>
      </c>
      <c r="AK2169" s="3" t="s">
        <v>27</v>
      </c>
      <c r="AL2169" s="3">
        <v>-765.86345412410003</v>
      </c>
      <c r="AS2169" t="s">
        <v>2083</v>
      </c>
      <c r="AT2169" t="s">
        <v>88</v>
      </c>
      <c r="AU2169" t="s">
        <v>111</v>
      </c>
      <c r="AV2169" s="14">
        <v>10500</v>
      </c>
    </row>
    <row r="2170" spans="29:48">
      <c r="AC2170"/>
      <c r="AH2170" t="s">
        <v>1881</v>
      </c>
      <c r="AI2170" t="s">
        <v>67</v>
      </c>
      <c r="AJ2170" t="s">
        <v>66</v>
      </c>
      <c r="AK2170" s="3" t="s">
        <v>27</v>
      </c>
      <c r="AL2170" s="3">
        <v>-16473.2</v>
      </c>
      <c r="AS2170" t="s">
        <v>2083</v>
      </c>
      <c r="AT2170" t="s">
        <v>88</v>
      </c>
      <c r="AU2170" t="s">
        <v>268</v>
      </c>
      <c r="AV2170" s="14">
        <v>1660</v>
      </c>
    </row>
    <row r="2171" spans="29:48">
      <c r="AC2171"/>
      <c r="AH2171" t="s">
        <v>1881</v>
      </c>
      <c r="AI2171" t="s">
        <v>67</v>
      </c>
      <c r="AJ2171" t="s">
        <v>72</v>
      </c>
      <c r="AK2171" s="3" t="s">
        <v>27</v>
      </c>
      <c r="AL2171" s="3">
        <v>-17696.727494999999</v>
      </c>
      <c r="AS2171" t="s">
        <v>2083</v>
      </c>
      <c r="AT2171" t="s">
        <v>88</v>
      </c>
      <c r="AU2171" t="s">
        <v>269</v>
      </c>
      <c r="AV2171" s="14">
        <v>0</v>
      </c>
    </row>
    <row r="2172" spans="29:48">
      <c r="AC2172"/>
      <c r="AH2172" t="s">
        <v>1881</v>
      </c>
      <c r="AI2172" t="s">
        <v>67</v>
      </c>
      <c r="AJ2172" t="s">
        <v>113</v>
      </c>
      <c r="AK2172" s="3" t="s">
        <v>27</v>
      </c>
      <c r="AL2172" s="3">
        <v>-1202.6433470919001</v>
      </c>
      <c r="AS2172" t="s">
        <v>2083</v>
      </c>
      <c r="AT2172" t="s">
        <v>88</v>
      </c>
      <c r="AU2172" t="s">
        <v>270</v>
      </c>
      <c r="AV2172" s="14">
        <v>0</v>
      </c>
    </row>
    <row r="2173" spans="29:48">
      <c r="AC2173"/>
      <c r="AH2173" t="s">
        <v>1881</v>
      </c>
      <c r="AI2173" t="s">
        <v>67</v>
      </c>
      <c r="AJ2173" t="s">
        <v>108</v>
      </c>
      <c r="AK2173" s="3" t="s">
        <v>27</v>
      </c>
      <c r="AL2173" s="3">
        <v>-20.884147908100001</v>
      </c>
      <c r="AS2173" t="s">
        <v>2083</v>
      </c>
      <c r="AT2173" t="s">
        <v>88</v>
      </c>
      <c r="AU2173" t="s">
        <v>271</v>
      </c>
      <c r="AV2173" s="14">
        <v>927.89530000000002</v>
      </c>
    </row>
    <row r="2174" spans="29:48">
      <c r="AC2174"/>
      <c r="AH2174" t="s">
        <v>1881</v>
      </c>
      <c r="AI2174" t="s">
        <v>67</v>
      </c>
      <c r="AJ2174" t="s">
        <v>98</v>
      </c>
      <c r="AK2174" s="3" t="s">
        <v>27</v>
      </c>
      <c r="AL2174" s="3">
        <v>-20.884147908100001</v>
      </c>
      <c r="AS2174" t="s">
        <v>2083</v>
      </c>
      <c r="AT2174" t="s">
        <v>88</v>
      </c>
      <c r="AU2174" t="s">
        <v>272</v>
      </c>
      <c r="AV2174" s="14">
        <v>0</v>
      </c>
    </row>
    <row r="2175" spans="29:48">
      <c r="AC2175"/>
      <c r="AH2175" t="s">
        <v>1881</v>
      </c>
      <c r="AI2175" t="s">
        <v>67</v>
      </c>
      <c r="AJ2175" t="s">
        <v>66</v>
      </c>
      <c r="AK2175" s="3" t="s">
        <v>114</v>
      </c>
      <c r="AL2175" s="3">
        <v>481</v>
      </c>
      <c r="AS2175" t="s">
        <v>2083</v>
      </c>
      <c r="AT2175" t="s">
        <v>88</v>
      </c>
      <c r="AU2175" t="s">
        <v>273</v>
      </c>
      <c r="AV2175" s="14">
        <v>0</v>
      </c>
    </row>
    <row r="2176" spans="29:48">
      <c r="AC2176"/>
      <c r="AH2176" t="s">
        <v>1881</v>
      </c>
      <c r="AI2176" t="s">
        <v>67</v>
      </c>
      <c r="AJ2176" t="s">
        <v>98</v>
      </c>
      <c r="AK2176" s="3" t="s">
        <v>114</v>
      </c>
      <c r="AL2176" s="3">
        <v>-38.3320110959</v>
      </c>
      <c r="AS2176" t="s">
        <v>2084</v>
      </c>
      <c r="AT2176" t="s">
        <v>88</v>
      </c>
      <c r="AU2176" t="s">
        <v>109</v>
      </c>
      <c r="AV2176" s="14">
        <v>25036.782899999998</v>
      </c>
    </row>
    <row r="2177" spans="29:48">
      <c r="AC2177"/>
      <c r="AH2177" t="s">
        <v>1881</v>
      </c>
      <c r="AI2177" t="s">
        <v>67</v>
      </c>
      <c r="AJ2177" t="s">
        <v>66</v>
      </c>
      <c r="AK2177" s="3" t="s">
        <v>115</v>
      </c>
      <c r="AL2177" s="3">
        <v>16954.2</v>
      </c>
      <c r="AS2177" t="s">
        <v>2084</v>
      </c>
      <c r="AT2177" t="s">
        <v>88</v>
      </c>
      <c r="AU2177" t="s">
        <v>110</v>
      </c>
      <c r="AV2177" s="14">
        <v>897.61059999999998</v>
      </c>
    </row>
    <row r="2178" spans="29:48">
      <c r="AC2178"/>
      <c r="AH2178" t="s">
        <v>1881</v>
      </c>
      <c r="AI2178" t="s">
        <v>67</v>
      </c>
      <c r="AJ2178" t="s">
        <v>98</v>
      </c>
      <c r="AK2178" s="3" t="s">
        <v>115</v>
      </c>
      <c r="AL2178" s="3">
        <v>-17.447863187700001</v>
      </c>
      <c r="AS2178" t="s">
        <v>2084</v>
      </c>
      <c r="AT2178" t="s">
        <v>88</v>
      </c>
      <c r="AU2178" t="s">
        <v>111</v>
      </c>
      <c r="AV2178" s="14">
        <v>10500</v>
      </c>
    </row>
    <row r="2179" spans="29:48">
      <c r="AC2179"/>
      <c r="AH2179" t="s">
        <v>1881</v>
      </c>
      <c r="AI2179" t="s">
        <v>68</v>
      </c>
      <c r="AJ2179" t="s">
        <v>66</v>
      </c>
      <c r="AK2179" s="3" t="s">
        <v>27</v>
      </c>
      <c r="AL2179" s="3">
        <v>-11633.5</v>
      </c>
      <c r="AS2179" t="s">
        <v>2084</v>
      </c>
      <c r="AT2179" t="s">
        <v>88</v>
      </c>
      <c r="AU2179" t="s">
        <v>268</v>
      </c>
      <c r="AV2179" s="14">
        <v>-2750</v>
      </c>
    </row>
    <row r="2180" spans="29:48">
      <c r="AC2180"/>
      <c r="AH2180" t="s">
        <v>1881</v>
      </c>
      <c r="AI2180" t="s">
        <v>68</v>
      </c>
      <c r="AJ2180" t="s">
        <v>72</v>
      </c>
      <c r="AK2180" s="3" t="s">
        <v>27</v>
      </c>
      <c r="AL2180" s="3">
        <v>-11932.505805000001</v>
      </c>
      <c r="AS2180" t="s">
        <v>2084</v>
      </c>
      <c r="AT2180" t="s">
        <v>88</v>
      </c>
      <c r="AU2180" t="s">
        <v>269</v>
      </c>
      <c r="AV2180" s="14">
        <v>0</v>
      </c>
    </row>
    <row r="2181" spans="29:48">
      <c r="AC2181"/>
      <c r="AH2181" t="s">
        <v>1881</v>
      </c>
      <c r="AI2181" t="s">
        <v>68</v>
      </c>
      <c r="AJ2181" t="s">
        <v>113</v>
      </c>
      <c r="AK2181" s="3" t="s">
        <v>27</v>
      </c>
      <c r="AL2181" s="3">
        <v>-630.27065960890002</v>
      </c>
      <c r="AS2181" t="s">
        <v>2084</v>
      </c>
      <c r="AT2181" t="s">
        <v>88</v>
      </c>
      <c r="AU2181" t="s">
        <v>270</v>
      </c>
      <c r="AV2181" s="14">
        <v>0</v>
      </c>
    </row>
    <row r="2182" spans="29:48">
      <c r="AC2182"/>
      <c r="AH2182" t="s">
        <v>1881</v>
      </c>
      <c r="AI2182" t="s">
        <v>68</v>
      </c>
      <c r="AJ2182" t="s">
        <v>108</v>
      </c>
      <c r="AK2182" s="3" t="s">
        <v>27</v>
      </c>
      <c r="AL2182" s="3">
        <v>331.26485460890001</v>
      </c>
      <c r="AS2182" t="s">
        <v>2084</v>
      </c>
      <c r="AT2182" t="s">
        <v>88</v>
      </c>
      <c r="AU2182" t="s">
        <v>271</v>
      </c>
      <c r="AV2182" s="14">
        <v>0</v>
      </c>
    </row>
    <row r="2183" spans="29:48">
      <c r="AC2183"/>
      <c r="AH2183" t="s">
        <v>1881</v>
      </c>
      <c r="AI2183" t="s">
        <v>68</v>
      </c>
      <c r="AJ2183" t="s">
        <v>98</v>
      </c>
      <c r="AK2183" s="3" t="s">
        <v>27</v>
      </c>
      <c r="AL2183" s="3">
        <v>331.26485460890001</v>
      </c>
      <c r="AS2183" t="s">
        <v>2084</v>
      </c>
      <c r="AT2183" t="s">
        <v>88</v>
      </c>
      <c r="AU2183" t="s">
        <v>272</v>
      </c>
      <c r="AV2183" s="14">
        <v>0</v>
      </c>
    </row>
    <row r="2184" spans="29:48">
      <c r="AC2184"/>
      <c r="AH2184" t="s">
        <v>1881</v>
      </c>
      <c r="AI2184" t="s">
        <v>68</v>
      </c>
      <c r="AJ2184" t="s">
        <v>66</v>
      </c>
      <c r="AK2184" s="3" t="s">
        <v>114</v>
      </c>
      <c r="AL2184" s="3">
        <v>3251</v>
      </c>
      <c r="AS2184" t="s">
        <v>2084</v>
      </c>
      <c r="AT2184" t="s">
        <v>88</v>
      </c>
      <c r="AU2184" t="s">
        <v>273</v>
      </c>
      <c r="AV2184" s="14">
        <v>0</v>
      </c>
    </row>
    <row r="2185" spans="29:48">
      <c r="AC2185"/>
      <c r="AH2185" t="s">
        <v>1881</v>
      </c>
      <c r="AI2185" t="s">
        <v>68</v>
      </c>
      <c r="AJ2185" t="s">
        <v>98</v>
      </c>
      <c r="AK2185" s="3" t="s">
        <v>114</v>
      </c>
      <c r="AL2185" s="3">
        <v>-123.6189453425</v>
      </c>
      <c r="AS2185" t="s">
        <v>2085</v>
      </c>
      <c r="AT2185" t="s">
        <v>88</v>
      </c>
      <c r="AU2185" t="s">
        <v>109</v>
      </c>
      <c r="AV2185" s="14">
        <v>25836.782899999998</v>
      </c>
    </row>
    <row r="2186" spans="29:48">
      <c r="AC2186"/>
      <c r="AH2186" t="s">
        <v>1881</v>
      </c>
      <c r="AI2186" t="s">
        <v>68</v>
      </c>
      <c r="AJ2186" t="s">
        <v>66</v>
      </c>
      <c r="AK2186" s="3" t="s">
        <v>115</v>
      </c>
      <c r="AL2186" s="3">
        <v>14884.5</v>
      </c>
      <c r="AS2186" t="s">
        <v>2085</v>
      </c>
      <c r="AT2186" t="s">
        <v>88</v>
      </c>
      <c r="AU2186" t="s">
        <v>110</v>
      </c>
      <c r="AV2186" s="14">
        <v>897.61059999999998</v>
      </c>
    </row>
    <row r="2187" spans="29:48">
      <c r="AC2187"/>
      <c r="AH2187" t="s">
        <v>1881</v>
      </c>
      <c r="AI2187" t="s">
        <v>68</v>
      </c>
      <c r="AJ2187" t="s">
        <v>98</v>
      </c>
      <c r="AK2187" s="3" t="s">
        <v>115</v>
      </c>
      <c r="AL2187" s="3">
        <v>-454.88379995129998</v>
      </c>
      <c r="AS2187" t="s">
        <v>2085</v>
      </c>
      <c r="AT2187" t="s">
        <v>88</v>
      </c>
      <c r="AU2187" t="s">
        <v>111</v>
      </c>
      <c r="AV2187" s="14">
        <v>10500</v>
      </c>
    </row>
    <row r="2188" spans="29:48">
      <c r="AC2188"/>
      <c r="AH2188" t="s">
        <v>1881</v>
      </c>
      <c r="AI2188" t="s">
        <v>800</v>
      </c>
      <c r="AJ2188" t="s">
        <v>31</v>
      </c>
      <c r="AK2188" s="3" t="s">
        <v>27</v>
      </c>
      <c r="AL2188" s="3">
        <v>4.0082642927999999</v>
      </c>
      <c r="AS2188" t="s">
        <v>2085</v>
      </c>
      <c r="AT2188" t="s">
        <v>88</v>
      </c>
      <c r="AU2188" t="s">
        <v>268</v>
      </c>
      <c r="AV2188" s="14">
        <v>-4250</v>
      </c>
    </row>
    <row r="2189" spans="29:48">
      <c r="AC2189"/>
      <c r="AH2189" t="s">
        <v>1882</v>
      </c>
      <c r="AI2189" t="s">
        <v>800</v>
      </c>
      <c r="AJ2189" t="s">
        <v>31</v>
      </c>
      <c r="AK2189" s="3" t="s">
        <v>27</v>
      </c>
      <c r="AL2189" s="3">
        <v>4.0087045739000002</v>
      </c>
      <c r="AS2189" t="s">
        <v>2085</v>
      </c>
      <c r="AT2189" t="s">
        <v>88</v>
      </c>
      <c r="AU2189" t="s">
        <v>269</v>
      </c>
      <c r="AV2189" s="14">
        <v>0</v>
      </c>
    </row>
    <row r="2190" spans="29:48">
      <c r="AC2190"/>
      <c r="AH2190" t="s">
        <v>1882</v>
      </c>
      <c r="AI2190" t="s">
        <v>65</v>
      </c>
      <c r="AJ2190" t="s">
        <v>66</v>
      </c>
      <c r="AK2190" s="3" t="s">
        <v>27</v>
      </c>
      <c r="AL2190" s="3">
        <v>34268.699999999997</v>
      </c>
      <c r="AS2190" t="s">
        <v>2085</v>
      </c>
      <c r="AT2190" t="s">
        <v>88</v>
      </c>
      <c r="AU2190" t="s">
        <v>270</v>
      </c>
      <c r="AV2190" s="14">
        <v>0</v>
      </c>
    </row>
    <row r="2191" spans="29:48">
      <c r="AC2191"/>
      <c r="AH2191" t="s">
        <v>1882</v>
      </c>
      <c r="AI2191" t="s">
        <v>65</v>
      </c>
      <c r="AJ2191" t="s">
        <v>72</v>
      </c>
      <c r="AK2191" s="3" t="s">
        <v>27</v>
      </c>
      <c r="AL2191" s="3">
        <v>35430.446248</v>
      </c>
      <c r="AS2191" t="s">
        <v>2085</v>
      </c>
      <c r="AT2191" t="s">
        <v>88</v>
      </c>
      <c r="AU2191" t="s">
        <v>271</v>
      </c>
      <c r="AV2191" s="14">
        <v>0</v>
      </c>
    </row>
    <row r="2192" spans="29:48">
      <c r="AC2192"/>
      <c r="AH2192" t="s">
        <v>1882</v>
      </c>
      <c r="AI2192" t="s">
        <v>65</v>
      </c>
      <c r="AJ2192" t="s">
        <v>113</v>
      </c>
      <c r="AK2192" s="3" t="s">
        <v>27</v>
      </c>
      <c r="AL2192" s="3">
        <v>1870.7827121434</v>
      </c>
      <c r="AS2192" t="s">
        <v>2085</v>
      </c>
      <c r="AT2192" t="s">
        <v>88</v>
      </c>
      <c r="AU2192" t="s">
        <v>272</v>
      </c>
      <c r="AV2192" s="14">
        <v>0</v>
      </c>
    </row>
    <row r="2193" spans="29:48">
      <c r="AC2193"/>
      <c r="AH2193" t="s">
        <v>1882</v>
      </c>
      <c r="AI2193" t="s">
        <v>65</v>
      </c>
      <c r="AJ2193" t="s">
        <v>108</v>
      </c>
      <c r="AK2193" s="3" t="s">
        <v>27</v>
      </c>
      <c r="AL2193" s="3">
        <v>-709.03646414340005</v>
      </c>
      <c r="AS2193" t="s">
        <v>2085</v>
      </c>
      <c r="AT2193" t="s">
        <v>88</v>
      </c>
      <c r="AU2193" t="s">
        <v>273</v>
      </c>
      <c r="AV2193" s="14">
        <v>0</v>
      </c>
    </row>
    <row r="2194" spans="29:48">
      <c r="AC2194"/>
      <c r="AH2194" t="s">
        <v>1882</v>
      </c>
      <c r="AI2194" t="s">
        <v>65</v>
      </c>
      <c r="AJ2194" t="s">
        <v>98</v>
      </c>
      <c r="AK2194" s="3" t="s">
        <v>27</v>
      </c>
      <c r="AL2194" s="3">
        <v>-709.03646414340005</v>
      </c>
      <c r="AS2194" t="s">
        <v>2086</v>
      </c>
      <c r="AT2194" t="s">
        <v>88</v>
      </c>
      <c r="AU2194" t="s">
        <v>109</v>
      </c>
      <c r="AV2194" s="14">
        <v>26036.782899999998</v>
      </c>
    </row>
    <row r="2195" spans="29:48">
      <c r="AC2195"/>
      <c r="AH2195" t="s">
        <v>1882</v>
      </c>
      <c r="AI2195" t="s">
        <v>67</v>
      </c>
      <c r="AJ2195" t="s">
        <v>66</v>
      </c>
      <c r="AK2195" s="3" t="s">
        <v>27</v>
      </c>
      <c r="AL2195" s="3">
        <v>-16754.2</v>
      </c>
      <c r="AS2195" t="s">
        <v>2086</v>
      </c>
      <c r="AT2195" t="s">
        <v>88</v>
      </c>
      <c r="AU2195" t="s">
        <v>110</v>
      </c>
      <c r="AV2195" s="14">
        <v>897.61059999999998</v>
      </c>
    </row>
    <row r="2196" spans="29:48">
      <c r="AC2196"/>
      <c r="AH2196" t="s">
        <v>1882</v>
      </c>
      <c r="AI2196" t="s">
        <v>67</v>
      </c>
      <c r="AJ2196" t="s">
        <v>72</v>
      </c>
      <c r="AK2196" s="3" t="s">
        <v>27</v>
      </c>
      <c r="AL2196" s="3">
        <v>-17990.615872999999</v>
      </c>
      <c r="AS2196" t="s">
        <v>2086</v>
      </c>
      <c r="AT2196" t="s">
        <v>88</v>
      </c>
      <c r="AU2196" t="s">
        <v>111</v>
      </c>
      <c r="AV2196" s="14">
        <v>10500</v>
      </c>
    </row>
    <row r="2197" spans="29:48">
      <c r="AC2197"/>
      <c r="AH2197" t="s">
        <v>1882</v>
      </c>
      <c r="AI2197" t="s">
        <v>67</v>
      </c>
      <c r="AJ2197" t="s">
        <v>113</v>
      </c>
      <c r="AK2197" s="3" t="s">
        <v>27</v>
      </c>
      <c r="AL2197" s="3">
        <v>-1209.6050531081</v>
      </c>
      <c r="AS2197" t="s">
        <v>2086</v>
      </c>
      <c r="AT2197" t="s">
        <v>88</v>
      </c>
      <c r="AU2197" t="s">
        <v>268</v>
      </c>
      <c r="AV2197" s="14">
        <v>-2150</v>
      </c>
    </row>
    <row r="2198" spans="29:48">
      <c r="AC2198"/>
      <c r="AH2198" t="s">
        <v>1882</v>
      </c>
      <c r="AI2198" t="s">
        <v>67</v>
      </c>
      <c r="AJ2198" t="s">
        <v>108</v>
      </c>
      <c r="AK2198" s="3" t="s">
        <v>27</v>
      </c>
      <c r="AL2198" s="3">
        <v>-26.8108198919</v>
      </c>
      <c r="AS2198" t="s">
        <v>2086</v>
      </c>
      <c r="AT2198" t="s">
        <v>88</v>
      </c>
      <c r="AU2198" t="s">
        <v>269</v>
      </c>
      <c r="AV2198" s="14">
        <v>0</v>
      </c>
    </row>
    <row r="2199" spans="29:48">
      <c r="AC2199"/>
      <c r="AH2199" t="s">
        <v>1882</v>
      </c>
      <c r="AI2199" t="s">
        <v>67</v>
      </c>
      <c r="AJ2199" t="s">
        <v>98</v>
      </c>
      <c r="AK2199" s="3" t="s">
        <v>27</v>
      </c>
      <c r="AL2199" s="3">
        <v>-26.8108198919</v>
      </c>
      <c r="AS2199" t="s">
        <v>2086</v>
      </c>
      <c r="AT2199" t="s">
        <v>88</v>
      </c>
      <c r="AU2199" t="s">
        <v>270</v>
      </c>
      <c r="AV2199" s="14">
        <v>0</v>
      </c>
    </row>
    <row r="2200" spans="29:48">
      <c r="AC2200"/>
      <c r="AH2200" t="s">
        <v>1882</v>
      </c>
      <c r="AI2200" t="s">
        <v>67</v>
      </c>
      <c r="AJ2200" t="s">
        <v>66</v>
      </c>
      <c r="AK2200" s="3" t="s">
        <v>114</v>
      </c>
      <c r="AL2200" s="3">
        <v>200</v>
      </c>
      <c r="AS2200" t="s">
        <v>2086</v>
      </c>
      <c r="AT2200" t="s">
        <v>88</v>
      </c>
      <c r="AU2200" t="s">
        <v>271</v>
      </c>
      <c r="AV2200" s="14">
        <v>0</v>
      </c>
    </row>
    <row r="2201" spans="29:48">
      <c r="AC2201"/>
      <c r="AH2201" t="s">
        <v>1882</v>
      </c>
      <c r="AI2201" t="s">
        <v>67</v>
      </c>
      <c r="AJ2201" t="s">
        <v>98</v>
      </c>
      <c r="AK2201" s="3" t="s">
        <v>114</v>
      </c>
      <c r="AL2201" s="3">
        <v>-9.2777123287999999</v>
      </c>
      <c r="AS2201" t="s">
        <v>2086</v>
      </c>
      <c r="AT2201" t="s">
        <v>88</v>
      </c>
      <c r="AU2201" t="s">
        <v>272</v>
      </c>
      <c r="AV2201" s="14">
        <v>0</v>
      </c>
    </row>
    <row r="2202" spans="29:48">
      <c r="AC2202"/>
      <c r="AH2202" t="s">
        <v>1882</v>
      </c>
      <c r="AI2202" t="s">
        <v>67</v>
      </c>
      <c r="AJ2202" t="s">
        <v>66</v>
      </c>
      <c r="AK2202" s="3" t="s">
        <v>115</v>
      </c>
      <c r="AL2202" s="3">
        <v>16954.2</v>
      </c>
      <c r="AS2202" t="s">
        <v>2086</v>
      </c>
      <c r="AT2202" t="s">
        <v>88</v>
      </c>
      <c r="AU2202" t="s">
        <v>273</v>
      </c>
      <c r="AV2202" s="14">
        <v>0</v>
      </c>
    </row>
    <row r="2203" spans="29:48">
      <c r="AC2203"/>
      <c r="AH2203" t="s">
        <v>1882</v>
      </c>
      <c r="AI2203" t="s">
        <v>67</v>
      </c>
      <c r="AJ2203" t="s">
        <v>98</v>
      </c>
      <c r="AK2203" s="3" t="s">
        <v>115</v>
      </c>
      <c r="AL2203" s="3">
        <v>17.533107563200002</v>
      </c>
      <c r="AS2203" t="s">
        <v>2087</v>
      </c>
      <c r="AT2203" t="s">
        <v>88</v>
      </c>
      <c r="AU2203" t="s">
        <v>109</v>
      </c>
      <c r="AV2203" s="14">
        <v>26436.782899999998</v>
      </c>
    </row>
    <row r="2204" spans="29:48">
      <c r="AC2204"/>
      <c r="AH2204" t="s">
        <v>1882</v>
      </c>
      <c r="AI2204" t="s">
        <v>68</v>
      </c>
      <c r="AJ2204" t="s">
        <v>66</v>
      </c>
      <c r="AK2204" s="3" t="s">
        <v>27</v>
      </c>
      <c r="AL2204" s="3">
        <v>-10902.5</v>
      </c>
      <c r="AS2204" t="s">
        <v>2087</v>
      </c>
      <c r="AT2204" t="s">
        <v>88</v>
      </c>
      <c r="AU2204" t="s">
        <v>110</v>
      </c>
      <c r="AV2204" s="14">
        <v>897.61059999999998</v>
      </c>
    </row>
    <row r="2205" spans="29:48">
      <c r="AC2205"/>
      <c r="AH2205" t="s">
        <v>1882</v>
      </c>
      <c r="AI2205" t="s">
        <v>68</v>
      </c>
      <c r="AJ2205" t="s">
        <v>72</v>
      </c>
      <c r="AK2205" s="3" t="s">
        <v>27</v>
      </c>
      <c r="AL2205" s="3">
        <v>-11249.713084999999</v>
      </c>
      <c r="AS2205" t="s">
        <v>2087</v>
      </c>
      <c r="AT2205" t="s">
        <v>88</v>
      </c>
      <c r="AU2205" t="s">
        <v>111</v>
      </c>
      <c r="AV2205" s="14">
        <v>10500</v>
      </c>
    </row>
    <row r="2206" spans="29:48">
      <c r="AC2206"/>
      <c r="AH2206" t="s">
        <v>1882</v>
      </c>
      <c r="AI2206" t="s">
        <v>68</v>
      </c>
      <c r="AJ2206" t="s">
        <v>113</v>
      </c>
      <c r="AK2206" s="3" t="s">
        <v>27</v>
      </c>
      <c r="AL2206" s="3">
        <v>-609.12682709019998</v>
      </c>
      <c r="AS2206" t="s">
        <v>2087</v>
      </c>
      <c r="AT2206" t="s">
        <v>88</v>
      </c>
      <c r="AU2206" t="s">
        <v>268</v>
      </c>
      <c r="AV2206" s="14">
        <v>-1800</v>
      </c>
    </row>
    <row r="2207" spans="29:48">
      <c r="AC2207"/>
      <c r="AH2207" t="s">
        <v>1882</v>
      </c>
      <c r="AI2207" t="s">
        <v>68</v>
      </c>
      <c r="AJ2207" t="s">
        <v>108</v>
      </c>
      <c r="AK2207" s="3" t="s">
        <v>27</v>
      </c>
      <c r="AL2207" s="3">
        <v>261.9137420902</v>
      </c>
      <c r="AS2207" t="s">
        <v>2087</v>
      </c>
      <c r="AT2207" t="s">
        <v>88</v>
      </c>
      <c r="AU2207" t="s">
        <v>269</v>
      </c>
      <c r="AV2207" s="14">
        <v>0</v>
      </c>
    </row>
    <row r="2208" spans="29:48">
      <c r="AC2208"/>
      <c r="AH2208" t="s">
        <v>1882</v>
      </c>
      <c r="AI2208" t="s">
        <v>68</v>
      </c>
      <c r="AJ2208" t="s">
        <v>98</v>
      </c>
      <c r="AK2208" s="3" t="s">
        <v>27</v>
      </c>
      <c r="AL2208" s="3">
        <v>261.9137420902</v>
      </c>
      <c r="AS2208" t="s">
        <v>2087</v>
      </c>
      <c r="AT2208" t="s">
        <v>88</v>
      </c>
      <c r="AU2208" t="s">
        <v>270</v>
      </c>
      <c r="AV2208" s="14">
        <v>0</v>
      </c>
    </row>
    <row r="2209" spans="29:48">
      <c r="AC2209"/>
      <c r="AH2209" t="s">
        <v>1882</v>
      </c>
      <c r="AI2209" t="s">
        <v>68</v>
      </c>
      <c r="AJ2209" t="s">
        <v>66</v>
      </c>
      <c r="AK2209" s="3" t="s">
        <v>114</v>
      </c>
      <c r="AL2209" s="3">
        <v>2871</v>
      </c>
      <c r="AS2209" t="s">
        <v>2087</v>
      </c>
      <c r="AT2209" t="s">
        <v>88</v>
      </c>
      <c r="AU2209" t="s">
        <v>271</v>
      </c>
      <c r="AV2209" s="14">
        <v>-50</v>
      </c>
    </row>
    <row r="2210" spans="29:48">
      <c r="AC2210"/>
      <c r="AH2210" t="s">
        <v>1882</v>
      </c>
      <c r="AI2210" t="s">
        <v>68</v>
      </c>
      <c r="AJ2210" t="s">
        <v>98</v>
      </c>
      <c r="AK2210" s="3" t="s">
        <v>114</v>
      </c>
      <c r="AL2210" s="3">
        <v>-130.23082438360001</v>
      </c>
      <c r="AS2210" t="s">
        <v>2087</v>
      </c>
      <c r="AT2210" t="s">
        <v>88</v>
      </c>
      <c r="AU2210" t="s">
        <v>272</v>
      </c>
      <c r="AV2210" s="14">
        <v>0</v>
      </c>
    </row>
    <row r="2211" spans="29:48">
      <c r="AC2211"/>
      <c r="AH2211" t="s">
        <v>1882</v>
      </c>
      <c r="AI2211" t="s">
        <v>68</v>
      </c>
      <c r="AJ2211" t="s">
        <v>66</v>
      </c>
      <c r="AK2211" s="3" t="s">
        <v>115</v>
      </c>
      <c r="AL2211" s="3">
        <v>13773.5</v>
      </c>
      <c r="AS2211" t="s">
        <v>2087</v>
      </c>
      <c r="AT2211" t="s">
        <v>88</v>
      </c>
      <c r="AU2211" t="s">
        <v>273</v>
      </c>
      <c r="AV2211" s="14">
        <v>0</v>
      </c>
    </row>
    <row r="2212" spans="29:48">
      <c r="AC2212"/>
      <c r="AH2212" t="s">
        <v>1882</v>
      </c>
      <c r="AI2212" t="s">
        <v>68</v>
      </c>
      <c r="AJ2212" t="s">
        <v>98</v>
      </c>
      <c r="AK2212" s="3" t="s">
        <v>115</v>
      </c>
      <c r="AL2212" s="3">
        <v>-392.14456647380001</v>
      </c>
      <c r="AS2212" t="s">
        <v>2088</v>
      </c>
      <c r="AT2212" t="s">
        <v>88</v>
      </c>
      <c r="AU2212" t="s">
        <v>109</v>
      </c>
      <c r="AV2212" s="14">
        <v>25136.782899999998</v>
      </c>
    </row>
    <row r="2213" spans="29:48">
      <c r="AC2213"/>
      <c r="AH2213" t="s">
        <v>1883</v>
      </c>
      <c r="AI2213" t="s">
        <v>65</v>
      </c>
      <c r="AJ2213" t="s">
        <v>66</v>
      </c>
      <c r="AK2213" s="3" t="s">
        <v>27</v>
      </c>
      <c r="AL2213" s="3">
        <v>34658.699999999997</v>
      </c>
      <c r="AS2213" t="s">
        <v>2088</v>
      </c>
      <c r="AT2213" t="s">
        <v>88</v>
      </c>
      <c r="AU2213" t="s">
        <v>110</v>
      </c>
      <c r="AV2213" s="14">
        <v>897.61059999999998</v>
      </c>
    </row>
    <row r="2214" spans="29:48">
      <c r="AC2214"/>
      <c r="AH2214" t="s">
        <v>1883</v>
      </c>
      <c r="AI2214" t="s">
        <v>65</v>
      </c>
      <c r="AJ2214" t="s">
        <v>72</v>
      </c>
      <c r="AK2214" s="3" t="s">
        <v>27</v>
      </c>
      <c r="AL2214" s="3">
        <v>35839.057715000003</v>
      </c>
      <c r="AS2214" t="s">
        <v>2088</v>
      </c>
      <c r="AT2214" t="s">
        <v>88</v>
      </c>
      <c r="AU2214" t="s">
        <v>111</v>
      </c>
      <c r="AV2214" s="14">
        <v>10500</v>
      </c>
    </row>
    <row r="2215" spans="29:48">
      <c r="AC2215"/>
      <c r="AH2215" t="s">
        <v>1883</v>
      </c>
      <c r="AI2215" t="s">
        <v>800</v>
      </c>
      <c r="AJ2215" t="s">
        <v>31</v>
      </c>
      <c r="AK2215" s="3" t="s">
        <v>27</v>
      </c>
      <c r="AL2215" s="3">
        <v>4.0098850918000002</v>
      </c>
      <c r="AS2215" t="s">
        <v>2088</v>
      </c>
      <c r="AT2215" t="s">
        <v>88</v>
      </c>
      <c r="AU2215" t="s">
        <v>268</v>
      </c>
      <c r="AV2215" s="14">
        <v>200</v>
      </c>
    </row>
    <row r="2216" spans="29:48">
      <c r="AC2216"/>
      <c r="AH2216" t="s">
        <v>1883</v>
      </c>
      <c r="AI2216" t="s">
        <v>65</v>
      </c>
      <c r="AJ2216" t="s">
        <v>113</v>
      </c>
      <c r="AK2216" s="3" t="s">
        <v>27</v>
      </c>
      <c r="AL2216" s="3">
        <v>1895.2702818472001</v>
      </c>
      <c r="AS2216" t="s">
        <v>2088</v>
      </c>
      <c r="AT2216" t="s">
        <v>88</v>
      </c>
      <c r="AU2216" t="s">
        <v>269</v>
      </c>
      <c r="AV2216" s="14">
        <v>0</v>
      </c>
    </row>
    <row r="2217" spans="29:48">
      <c r="AC2217"/>
      <c r="AH2217" t="s">
        <v>1883</v>
      </c>
      <c r="AI2217" t="s">
        <v>65</v>
      </c>
      <c r="AJ2217" t="s">
        <v>108</v>
      </c>
      <c r="AK2217" s="3" t="s">
        <v>27</v>
      </c>
      <c r="AL2217" s="3">
        <v>-714.91256684719997</v>
      </c>
      <c r="AS2217" t="s">
        <v>2088</v>
      </c>
      <c r="AT2217" t="s">
        <v>88</v>
      </c>
      <c r="AU2217" t="s">
        <v>270</v>
      </c>
      <c r="AV2217" s="14">
        <v>0</v>
      </c>
    </row>
    <row r="2218" spans="29:48">
      <c r="AC2218"/>
      <c r="AH2218" t="s">
        <v>1883</v>
      </c>
      <c r="AI2218" t="s">
        <v>65</v>
      </c>
      <c r="AJ2218" t="s">
        <v>98</v>
      </c>
      <c r="AK2218" s="3" t="s">
        <v>27</v>
      </c>
      <c r="AL2218" s="3">
        <v>-714.91256684719997</v>
      </c>
      <c r="AS2218" t="s">
        <v>2088</v>
      </c>
      <c r="AT2218" t="s">
        <v>88</v>
      </c>
      <c r="AU2218" t="s">
        <v>271</v>
      </c>
      <c r="AV2218" s="14">
        <v>150</v>
      </c>
    </row>
    <row r="2219" spans="29:48">
      <c r="AC2219"/>
      <c r="AH2219" t="s">
        <v>1883</v>
      </c>
      <c r="AI2219" t="s">
        <v>67</v>
      </c>
      <c r="AJ2219" t="s">
        <v>66</v>
      </c>
      <c r="AK2219" s="3" t="s">
        <v>27</v>
      </c>
      <c r="AL2219" s="3">
        <v>-17344.2</v>
      </c>
      <c r="AS2219" t="s">
        <v>2088</v>
      </c>
      <c r="AT2219" t="s">
        <v>88</v>
      </c>
      <c r="AU2219" t="s">
        <v>272</v>
      </c>
      <c r="AV2219" s="14">
        <v>0</v>
      </c>
    </row>
    <row r="2220" spans="29:48">
      <c r="AC2220"/>
      <c r="AH2220" t="s">
        <v>1883</v>
      </c>
      <c r="AI2220" t="s">
        <v>67</v>
      </c>
      <c r="AJ2220" t="s">
        <v>72</v>
      </c>
      <c r="AK2220" s="3" t="s">
        <v>27</v>
      </c>
      <c r="AL2220" s="3">
        <v>-18611.482599999999</v>
      </c>
      <c r="AS2220" t="s">
        <v>2088</v>
      </c>
      <c r="AT2220" t="s">
        <v>88</v>
      </c>
      <c r="AU2220" t="s">
        <v>273</v>
      </c>
      <c r="AV2220" s="14">
        <v>0</v>
      </c>
    </row>
    <row r="2221" spans="29:48">
      <c r="AC2221"/>
      <c r="AH2221" t="s">
        <v>1883</v>
      </c>
      <c r="AI2221" t="s">
        <v>67</v>
      </c>
      <c r="AJ2221" t="s">
        <v>113</v>
      </c>
      <c r="AK2221" s="3" t="s">
        <v>27</v>
      </c>
      <c r="AL2221" s="3">
        <v>-1249.8594546904001</v>
      </c>
      <c r="AS2221" t="s">
        <v>2089</v>
      </c>
      <c r="AT2221" t="s">
        <v>88</v>
      </c>
      <c r="AU2221" t="s">
        <v>109</v>
      </c>
      <c r="AV2221" s="14">
        <v>22136.782899999998</v>
      </c>
    </row>
    <row r="2222" spans="29:48">
      <c r="AC2222"/>
      <c r="AH2222" t="s">
        <v>1883</v>
      </c>
      <c r="AI2222" t="s">
        <v>67</v>
      </c>
      <c r="AJ2222" t="s">
        <v>108</v>
      </c>
      <c r="AK2222" s="3" t="s">
        <v>27</v>
      </c>
      <c r="AL2222" s="3">
        <v>-17.423145309599999</v>
      </c>
      <c r="AS2222" t="s">
        <v>2089</v>
      </c>
      <c r="AT2222" t="s">
        <v>88</v>
      </c>
      <c r="AU2222" t="s">
        <v>110</v>
      </c>
      <c r="AV2222" s="14">
        <v>897.61059999999998</v>
      </c>
    </row>
    <row r="2223" spans="29:48">
      <c r="AC2223"/>
      <c r="AH2223" t="s">
        <v>1883</v>
      </c>
      <c r="AI2223" t="s">
        <v>67</v>
      </c>
      <c r="AJ2223" t="s">
        <v>98</v>
      </c>
      <c r="AK2223" s="3" t="s">
        <v>27</v>
      </c>
      <c r="AL2223" s="3">
        <v>-17.423145309599999</v>
      </c>
      <c r="AS2223" t="s">
        <v>2089</v>
      </c>
      <c r="AT2223" t="s">
        <v>88</v>
      </c>
      <c r="AU2223" t="s">
        <v>111</v>
      </c>
      <c r="AV2223" s="14">
        <v>10500</v>
      </c>
    </row>
    <row r="2224" spans="29:48">
      <c r="AC2224"/>
      <c r="AH2224" t="s">
        <v>1883</v>
      </c>
      <c r="AI2224" t="s">
        <v>67</v>
      </c>
      <c r="AJ2224" t="s">
        <v>66</v>
      </c>
      <c r="AK2224" s="3" t="s">
        <v>114</v>
      </c>
      <c r="AL2224" s="3">
        <v>0</v>
      </c>
      <c r="AS2224" t="s">
        <v>2089</v>
      </c>
      <c r="AT2224" t="s">
        <v>88</v>
      </c>
      <c r="AU2224" t="s">
        <v>268</v>
      </c>
      <c r="AV2224" s="14">
        <v>-3600</v>
      </c>
    </row>
    <row r="2225" spans="29:48">
      <c r="AC2225"/>
      <c r="AH2225" t="s">
        <v>1883</v>
      </c>
      <c r="AI2225" t="s">
        <v>67</v>
      </c>
      <c r="AJ2225" t="s">
        <v>98</v>
      </c>
      <c r="AK2225" s="3" t="s">
        <v>114</v>
      </c>
      <c r="AL2225" s="3">
        <v>0</v>
      </c>
      <c r="AS2225" t="s">
        <v>2089</v>
      </c>
      <c r="AT2225" t="s">
        <v>88</v>
      </c>
      <c r="AU2225" t="s">
        <v>269</v>
      </c>
      <c r="AV2225" s="14">
        <v>0</v>
      </c>
    </row>
    <row r="2226" spans="29:48">
      <c r="AC2226"/>
      <c r="AH2226" t="s">
        <v>1883</v>
      </c>
      <c r="AI2226" t="s">
        <v>67</v>
      </c>
      <c r="AJ2226" t="s">
        <v>66</v>
      </c>
      <c r="AK2226" s="3" t="s">
        <v>115</v>
      </c>
      <c r="AL2226" s="3">
        <v>17344.2</v>
      </c>
      <c r="AS2226" t="s">
        <v>2089</v>
      </c>
      <c r="AT2226" t="s">
        <v>88</v>
      </c>
      <c r="AU2226" t="s">
        <v>270</v>
      </c>
      <c r="AV2226" s="14">
        <v>0</v>
      </c>
    </row>
    <row r="2227" spans="29:48">
      <c r="AC2227"/>
      <c r="AH2227" t="s">
        <v>1883</v>
      </c>
      <c r="AI2227" t="s">
        <v>67</v>
      </c>
      <c r="AJ2227" t="s">
        <v>98</v>
      </c>
      <c r="AK2227" s="3" t="s">
        <v>115</v>
      </c>
      <c r="AL2227" s="3">
        <v>17.423145309599999</v>
      </c>
      <c r="AS2227" t="s">
        <v>2089</v>
      </c>
      <c r="AT2227" t="s">
        <v>88</v>
      </c>
      <c r="AU2227" t="s">
        <v>271</v>
      </c>
      <c r="AV2227" s="14">
        <v>-200</v>
      </c>
    </row>
    <row r="2228" spans="29:48">
      <c r="AC2228"/>
      <c r="AH2228" t="s">
        <v>1883</v>
      </c>
      <c r="AI2228" t="s">
        <v>68</v>
      </c>
      <c r="AJ2228" t="s">
        <v>66</v>
      </c>
      <c r="AK2228" s="3" t="s">
        <v>27</v>
      </c>
      <c r="AL2228" s="3">
        <v>-10702.5</v>
      </c>
      <c r="AS2228" t="s">
        <v>2089</v>
      </c>
      <c r="AT2228" t="s">
        <v>88</v>
      </c>
      <c r="AU2228" t="s">
        <v>272</v>
      </c>
      <c r="AV2228" s="14">
        <v>0</v>
      </c>
    </row>
    <row r="2229" spans="29:48">
      <c r="AC2229"/>
      <c r="AH2229" t="s">
        <v>1883</v>
      </c>
      <c r="AI2229" t="s">
        <v>68</v>
      </c>
      <c r="AJ2229" t="s">
        <v>72</v>
      </c>
      <c r="AK2229" s="3" t="s">
        <v>27</v>
      </c>
      <c r="AL2229" s="3">
        <v>-11037.774574999999</v>
      </c>
      <c r="AS2229" t="s">
        <v>2089</v>
      </c>
      <c r="AT2229" t="s">
        <v>88</v>
      </c>
      <c r="AU2229" t="s">
        <v>273</v>
      </c>
      <c r="AV2229" s="14">
        <v>0</v>
      </c>
    </row>
    <row r="2230" spans="29:48">
      <c r="AC2230"/>
      <c r="AH2230" t="s">
        <v>1883</v>
      </c>
      <c r="AI2230" t="s">
        <v>68</v>
      </c>
      <c r="AJ2230" t="s">
        <v>113</v>
      </c>
      <c r="AK2230" s="3" t="s">
        <v>27</v>
      </c>
      <c r="AL2230" s="3">
        <v>-593.32234888599999</v>
      </c>
      <c r="AS2230" t="s">
        <v>2090</v>
      </c>
      <c r="AT2230" t="s">
        <v>88</v>
      </c>
      <c r="AU2230" t="s">
        <v>109</v>
      </c>
      <c r="AV2230" s="14">
        <v>21941.453699999998</v>
      </c>
    </row>
    <row r="2231" spans="29:48">
      <c r="AC2231"/>
      <c r="AH2231" t="s">
        <v>1883</v>
      </c>
      <c r="AI2231" t="s">
        <v>68</v>
      </c>
      <c r="AJ2231" t="s">
        <v>108</v>
      </c>
      <c r="AK2231" s="3" t="s">
        <v>27</v>
      </c>
      <c r="AL2231" s="3">
        <v>258.04777388600002</v>
      </c>
      <c r="AS2231" t="s">
        <v>2090</v>
      </c>
      <c r="AT2231" t="s">
        <v>88</v>
      </c>
      <c r="AU2231" t="s">
        <v>110</v>
      </c>
      <c r="AV2231" s="14">
        <v>897.61059999999998</v>
      </c>
    </row>
    <row r="2232" spans="29:48">
      <c r="AC2232"/>
      <c r="AH2232" t="s">
        <v>1883</v>
      </c>
      <c r="AI2232" t="s">
        <v>68</v>
      </c>
      <c r="AJ2232" t="s">
        <v>98</v>
      </c>
      <c r="AK2232" s="3" t="s">
        <v>27</v>
      </c>
      <c r="AL2232" s="3">
        <v>258.04777388600002</v>
      </c>
      <c r="AS2232" t="s">
        <v>2090</v>
      </c>
      <c r="AT2232" t="s">
        <v>88</v>
      </c>
      <c r="AU2232" t="s">
        <v>111</v>
      </c>
      <c r="AV2232" s="14">
        <v>10500</v>
      </c>
    </row>
    <row r="2233" spans="29:48">
      <c r="AC2233"/>
      <c r="AH2233" t="s">
        <v>1883</v>
      </c>
      <c r="AI2233" t="s">
        <v>68</v>
      </c>
      <c r="AJ2233" t="s">
        <v>66</v>
      </c>
      <c r="AK2233" s="3" t="s">
        <v>114</v>
      </c>
      <c r="AL2233" s="3">
        <v>2696</v>
      </c>
      <c r="AS2233" t="s">
        <v>2090</v>
      </c>
      <c r="AT2233" t="s">
        <v>88</v>
      </c>
      <c r="AU2233" t="s">
        <v>268</v>
      </c>
      <c r="AV2233" s="14">
        <v>-2604.6707999999999</v>
      </c>
    </row>
    <row r="2234" spans="29:48">
      <c r="AC2234"/>
      <c r="AH2234" t="s">
        <v>1883</v>
      </c>
      <c r="AI2234" t="s">
        <v>68</v>
      </c>
      <c r="AJ2234" t="s">
        <v>98</v>
      </c>
      <c r="AK2234" s="3" t="s">
        <v>114</v>
      </c>
      <c r="AL2234" s="3">
        <v>-129.10814904110001</v>
      </c>
      <c r="AS2234" t="s">
        <v>2090</v>
      </c>
      <c r="AT2234" t="s">
        <v>88</v>
      </c>
      <c r="AU2234" t="s">
        <v>269</v>
      </c>
      <c r="AV2234" s="14">
        <v>0</v>
      </c>
    </row>
    <row r="2235" spans="29:48">
      <c r="AC2235"/>
      <c r="AH2235" t="s">
        <v>1883</v>
      </c>
      <c r="AI2235" t="s">
        <v>68</v>
      </c>
      <c r="AJ2235" t="s">
        <v>66</v>
      </c>
      <c r="AK2235" s="3" t="s">
        <v>115</v>
      </c>
      <c r="AL2235" s="3">
        <v>13398.5</v>
      </c>
      <c r="AS2235" t="s">
        <v>2090</v>
      </c>
      <c r="AT2235" t="s">
        <v>88</v>
      </c>
      <c r="AU2235" t="s">
        <v>270</v>
      </c>
      <c r="AV2235" s="14">
        <v>0</v>
      </c>
    </row>
    <row r="2236" spans="29:48">
      <c r="AC2236"/>
      <c r="AH2236" t="s">
        <v>1883</v>
      </c>
      <c r="AI2236" t="s">
        <v>68</v>
      </c>
      <c r="AJ2236" t="s">
        <v>98</v>
      </c>
      <c r="AK2236" s="3" t="s">
        <v>115</v>
      </c>
      <c r="AL2236" s="3">
        <v>-387.15592292709999</v>
      </c>
      <c r="AS2236" t="s">
        <v>2090</v>
      </c>
      <c r="AT2236" t="s">
        <v>88</v>
      </c>
      <c r="AU2236" t="s">
        <v>271</v>
      </c>
      <c r="AV2236" s="14">
        <v>0</v>
      </c>
    </row>
    <row r="2237" spans="29:48">
      <c r="AC2237"/>
      <c r="AH2237" t="s">
        <v>1884</v>
      </c>
      <c r="AI2237" t="s">
        <v>65</v>
      </c>
      <c r="AJ2237" t="s">
        <v>66</v>
      </c>
      <c r="AK2237" s="3" t="s">
        <v>27</v>
      </c>
      <c r="AL2237" s="3">
        <v>35239.699999999997</v>
      </c>
      <c r="AS2237" t="s">
        <v>2090</v>
      </c>
      <c r="AT2237" t="s">
        <v>88</v>
      </c>
      <c r="AU2237" t="s">
        <v>272</v>
      </c>
      <c r="AV2237" s="14">
        <v>0</v>
      </c>
    </row>
    <row r="2238" spans="29:48">
      <c r="AC2238"/>
      <c r="AH2238" t="s">
        <v>1884</v>
      </c>
      <c r="AI2238" t="s">
        <v>65</v>
      </c>
      <c r="AJ2238" t="s">
        <v>72</v>
      </c>
      <c r="AK2238" s="3" t="s">
        <v>27</v>
      </c>
      <c r="AL2238" s="3">
        <v>36415.199501000003</v>
      </c>
      <c r="AS2238" t="s">
        <v>2090</v>
      </c>
      <c r="AT2238" t="s">
        <v>88</v>
      </c>
      <c r="AU2238" t="s">
        <v>273</v>
      </c>
      <c r="AV2238" s="14">
        <v>0</v>
      </c>
    </row>
    <row r="2239" spans="29:48">
      <c r="AC2239"/>
      <c r="AH2239" t="s">
        <v>1884</v>
      </c>
      <c r="AI2239" t="s">
        <v>65</v>
      </c>
      <c r="AJ2239" t="s">
        <v>113</v>
      </c>
      <c r="AK2239" s="3" t="s">
        <v>27</v>
      </c>
      <c r="AL2239" s="3">
        <v>1929.2826879108</v>
      </c>
      <c r="AS2239" t="s">
        <v>2091</v>
      </c>
      <c r="AT2239" t="s">
        <v>88</v>
      </c>
      <c r="AU2239" t="s">
        <v>109</v>
      </c>
      <c r="AV2239" s="14">
        <v>20541.453699999998</v>
      </c>
    </row>
    <row r="2240" spans="29:48">
      <c r="AC2240"/>
      <c r="AH2240" t="s">
        <v>1884</v>
      </c>
      <c r="AI2240" t="s">
        <v>65</v>
      </c>
      <c r="AJ2240" t="s">
        <v>108</v>
      </c>
      <c r="AK2240" s="3" t="s">
        <v>27</v>
      </c>
      <c r="AL2240" s="3">
        <v>-753.78318691080005</v>
      </c>
      <c r="AS2240" t="s">
        <v>2091</v>
      </c>
      <c r="AT2240" t="s">
        <v>88</v>
      </c>
      <c r="AU2240" t="s">
        <v>110</v>
      </c>
      <c r="AV2240" s="14">
        <v>897.61059999999998</v>
      </c>
    </row>
    <row r="2241" spans="29:48">
      <c r="AC2241"/>
      <c r="AH2241" t="s">
        <v>1884</v>
      </c>
      <c r="AI2241" t="s">
        <v>65</v>
      </c>
      <c r="AJ2241" t="s">
        <v>98</v>
      </c>
      <c r="AK2241" s="3" t="s">
        <v>27</v>
      </c>
      <c r="AL2241" s="3">
        <v>-753.78318691080005</v>
      </c>
      <c r="AS2241" t="s">
        <v>2091</v>
      </c>
      <c r="AT2241" t="s">
        <v>88</v>
      </c>
      <c r="AU2241" t="s">
        <v>111</v>
      </c>
      <c r="AV2241" s="14">
        <v>10500</v>
      </c>
    </row>
    <row r="2242" spans="29:48">
      <c r="AC2242"/>
      <c r="AH2242" t="s">
        <v>1884</v>
      </c>
      <c r="AI2242" t="s">
        <v>67</v>
      </c>
      <c r="AJ2242" t="s">
        <v>66</v>
      </c>
      <c r="AK2242" s="3" t="s">
        <v>27</v>
      </c>
      <c r="AL2242" s="3">
        <v>-17535.2</v>
      </c>
      <c r="AS2242" t="s">
        <v>2091</v>
      </c>
      <c r="AT2242" t="s">
        <v>88</v>
      </c>
      <c r="AU2242" t="s">
        <v>268</v>
      </c>
      <c r="AV2242" s="14">
        <v>995.32920000000001</v>
      </c>
    </row>
    <row r="2243" spans="29:48">
      <c r="AC2243"/>
      <c r="AH2243" t="s">
        <v>1884</v>
      </c>
      <c r="AI2243" t="s">
        <v>67</v>
      </c>
      <c r="AJ2243" t="s">
        <v>72</v>
      </c>
      <c r="AK2243" s="3" t="s">
        <v>27</v>
      </c>
      <c r="AL2243" s="3">
        <v>-18779.000536</v>
      </c>
      <c r="AS2243" t="s">
        <v>2091</v>
      </c>
      <c r="AT2243" t="s">
        <v>88</v>
      </c>
      <c r="AU2243" t="s">
        <v>269</v>
      </c>
      <c r="AV2243" s="14">
        <v>0</v>
      </c>
    </row>
    <row r="2244" spans="29:48">
      <c r="AC2244"/>
      <c r="AH2244" t="s">
        <v>1884</v>
      </c>
      <c r="AI2244" t="s">
        <v>67</v>
      </c>
      <c r="AJ2244" t="s">
        <v>113</v>
      </c>
      <c r="AK2244" s="3" t="s">
        <v>27</v>
      </c>
      <c r="AL2244" s="3">
        <v>-1259.1544567195001</v>
      </c>
      <c r="AS2244" t="s">
        <v>2091</v>
      </c>
      <c r="AT2244" t="s">
        <v>88</v>
      </c>
      <c r="AU2244" t="s">
        <v>270</v>
      </c>
      <c r="AV2244" s="14">
        <v>0</v>
      </c>
    </row>
    <row r="2245" spans="29:48">
      <c r="AC2245"/>
      <c r="AH2245" t="s">
        <v>1884</v>
      </c>
      <c r="AI2245" t="s">
        <v>67</v>
      </c>
      <c r="AJ2245" t="s">
        <v>108</v>
      </c>
      <c r="AK2245" s="3" t="s">
        <v>27</v>
      </c>
      <c r="AL2245" s="3">
        <v>15.3539207195</v>
      </c>
      <c r="AS2245" t="s">
        <v>2091</v>
      </c>
      <c r="AT2245" t="s">
        <v>88</v>
      </c>
      <c r="AU2245" t="s">
        <v>271</v>
      </c>
      <c r="AV2245" s="14">
        <v>0</v>
      </c>
    </row>
    <row r="2246" spans="29:48">
      <c r="AC2246"/>
      <c r="AH2246" t="s">
        <v>1884</v>
      </c>
      <c r="AI2246" t="s">
        <v>67</v>
      </c>
      <c r="AJ2246" t="s">
        <v>98</v>
      </c>
      <c r="AK2246" s="3" t="s">
        <v>27</v>
      </c>
      <c r="AL2246" s="3">
        <v>15.3539207195</v>
      </c>
      <c r="AS2246" t="s">
        <v>2091</v>
      </c>
      <c r="AT2246" t="s">
        <v>88</v>
      </c>
      <c r="AU2246" t="s">
        <v>272</v>
      </c>
      <c r="AV2246" s="14">
        <v>0</v>
      </c>
    </row>
    <row r="2247" spans="29:48">
      <c r="AC2247"/>
      <c r="AH2247" t="s">
        <v>1884</v>
      </c>
      <c r="AI2247" t="s">
        <v>67</v>
      </c>
      <c r="AJ2247" t="s">
        <v>66</v>
      </c>
      <c r="AK2247" s="3" t="s">
        <v>114</v>
      </c>
      <c r="AL2247" s="3">
        <v>0</v>
      </c>
      <c r="AS2247" t="s">
        <v>2091</v>
      </c>
      <c r="AT2247" t="s">
        <v>88</v>
      </c>
      <c r="AU2247" t="s">
        <v>273</v>
      </c>
      <c r="AV2247" s="14">
        <v>0</v>
      </c>
    </row>
    <row r="2248" spans="29:48">
      <c r="AC2248"/>
      <c r="AH2248" t="s">
        <v>1884</v>
      </c>
      <c r="AI2248" t="s">
        <v>67</v>
      </c>
      <c r="AJ2248" t="s">
        <v>98</v>
      </c>
      <c r="AK2248" s="3" t="s">
        <v>114</v>
      </c>
      <c r="AL2248" s="3">
        <v>0</v>
      </c>
      <c r="AS2248" t="s">
        <v>2092</v>
      </c>
      <c r="AT2248" t="s">
        <v>88</v>
      </c>
      <c r="AU2248" t="s">
        <v>109</v>
      </c>
      <c r="AV2248" s="14">
        <v>21041.453699999998</v>
      </c>
    </row>
    <row r="2249" spans="29:48">
      <c r="AC2249"/>
      <c r="AH2249" t="s">
        <v>1884</v>
      </c>
      <c r="AI2249" t="s">
        <v>67</v>
      </c>
      <c r="AJ2249" t="s">
        <v>66</v>
      </c>
      <c r="AK2249" s="3" t="s">
        <v>115</v>
      </c>
      <c r="AL2249" s="3">
        <v>17535.2</v>
      </c>
      <c r="AS2249" t="s">
        <v>2092</v>
      </c>
      <c r="AT2249" t="s">
        <v>88</v>
      </c>
      <c r="AU2249" t="s">
        <v>110</v>
      </c>
      <c r="AV2249" s="14">
        <v>897.61059999999998</v>
      </c>
    </row>
    <row r="2250" spans="29:48">
      <c r="AC2250"/>
      <c r="AH2250" t="s">
        <v>1884</v>
      </c>
      <c r="AI2250" t="s">
        <v>67</v>
      </c>
      <c r="AJ2250" t="s">
        <v>98</v>
      </c>
      <c r="AK2250" s="3" t="s">
        <v>115</v>
      </c>
      <c r="AL2250" s="3">
        <v>-15.3539207195</v>
      </c>
      <c r="AS2250" t="s">
        <v>2092</v>
      </c>
      <c r="AT2250" t="s">
        <v>88</v>
      </c>
      <c r="AU2250" t="s">
        <v>111</v>
      </c>
      <c r="AV2250" s="14">
        <v>10500</v>
      </c>
    </row>
    <row r="2251" spans="29:48">
      <c r="AC2251"/>
      <c r="AH2251" t="s">
        <v>1884</v>
      </c>
      <c r="AI2251" t="s">
        <v>68</v>
      </c>
      <c r="AJ2251" t="s">
        <v>66</v>
      </c>
      <c r="AK2251" s="3" t="s">
        <v>27</v>
      </c>
      <c r="AL2251" s="3">
        <v>-11092.5</v>
      </c>
      <c r="AS2251" t="s">
        <v>2092</v>
      </c>
      <c r="AT2251" t="s">
        <v>88</v>
      </c>
      <c r="AU2251" t="s">
        <v>268</v>
      </c>
      <c r="AV2251" s="14">
        <v>-300</v>
      </c>
    </row>
    <row r="2252" spans="29:48">
      <c r="AC2252"/>
      <c r="AH2252" t="s">
        <v>1884</v>
      </c>
      <c r="AI2252" t="s">
        <v>68</v>
      </c>
      <c r="AJ2252" t="s">
        <v>72</v>
      </c>
      <c r="AK2252" s="3" t="s">
        <v>27</v>
      </c>
      <c r="AL2252" s="3">
        <v>-11446.485105</v>
      </c>
      <c r="AS2252" t="s">
        <v>2092</v>
      </c>
      <c r="AT2252" t="s">
        <v>88</v>
      </c>
      <c r="AU2252" t="s">
        <v>269</v>
      </c>
      <c r="AV2252" s="14">
        <v>0</v>
      </c>
    </row>
    <row r="2253" spans="29:48">
      <c r="AC2253"/>
      <c r="AH2253" t="s">
        <v>1884</v>
      </c>
      <c r="AI2253" t="s">
        <v>68</v>
      </c>
      <c r="AJ2253" t="s">
        <v>113</v>
      </c>
      <c r="AK2253" s="3" t="s">
        <v>27</v>
      </c>
      <c r="AL2253" s="3">
        <v>-617.92681394340002</v>
      </c>
      <c r="AS2253" t="s">
        <v>2092</v>
      </c>
      <c r="AT2253" t="s">
        <v>88</v>
      </c>
      <c r="AU2253" t="s">
        <v>270</v>
      </c>
      <c r="AV2253" s="14">
        <v>0</v>
      </c>
    </row>
    <row r="2254" spans="29:48">
      <c r="AC2254"/>
      <c r="AH2254" t="s">
        <v>1884</v>
      </c>
      <c r="AI2254" t="s">
        <v>68</v>
      </c>
      <c r="AJ2254" t="s">
        <v>108</v>
      </c>
      <c r="AK2254" s="3" t="s">
        <v>27</v>
      </c>
      <c r="AL2254" s="3">
        <v>263.94170894339999</v>
      </c>
      <c r="AS2254" t="s">
        <v>2092</v>
      </c>
      <c r="AT2254" t="s">
        <v>88</v>
      </c>
      <c r="AU2254" t="s">
        <v>271</v>
      </c>
      <c r="AV2254" s="14">
        <v>0</v>
      </c>
    </row>
    <row r="2255" spans="29:48">
      <c r="AC2255"/>
      <c r="AH2255" t="s">
        <v>1884</v>
      </c>
      <c r="AI2255" t="s">
        <v>68</v>
      </c>
      <c r="AJ2255" t="s">
        <v>98</v>
      </c>
      <c r="AK2255" s="3" t="s">
        <v>27</v>
      </c>
      <c r="AL2255" s="3">
        <v>263.94170894339999</v>
      </c>
      <c r="AS2255" t="s">
        <v>2092</v>
      </c>
      <c r="AT2255" t="s">
        <v>88</v>
      </c>
      <c r="AU2255" t="s">
        <v>272</v>
      </c>
      <c r="AV2255" s="14">
        <v>0</v>
      </c>
    </row>
    <row r="2256" spans="29:48">
      <c r="AC2256"/>
      <c r="AH2256" t="s">
        <v>1884</v>
      </c>
      <c r="AI2256" t="s">
        <v>68</v>
      </c>
      <c r="AJ2256" t="s">
        <v>66</v>
      </c>
      <c r="AK2256" s="3" t="s">
        <v>114</v>
      </c>
      <c r="AL2256" s="3">
        <v>1161</v>
      </c>
      <c r="AS2256" t="s">
        <v>2092</v>
      </c>
      <c r="AT2256" t="s">
        <v>88</v>
      </c>
      <c r="AU2256" t="s">
        <v>273</v>
      </c>
      <c r="AV2256" s="14">
        <v>0</v>
      </c>
    </row>
    <row r="2257" spans="29:48">
      <c r="AC2257"/>
      <c r="AH2257" t="s">
        <v>1884</v>
      </c>
      <c r="AI2257" t="s">
        <v>68</v>
      </c>
      <c r="AJ2257" t="s">
        <v>98</v>
      </c>
      <c r="AK2257" s="3" t="s">
        <v>114</v>
      </c>
      <c r="AL2257" s="3">
        <v>-57.764636438399997</v>
      </c>
      <c r="AS2257" t="s">
        <v>2093</v>
      </c>
      <c r="AT2257" t="s">
        <v>88</v>
      </c>
      <c r="AU2257" t="s">
        <v>109</v>
      </c>
      <c r="AV2257" s="14">
        <v>20741.453699999998</v>
      </c>
    </row>
    <row r="2258" spans="29:48">
      <c r="AC2258"/>
      <c r="AH2258" t="s">
        <v>1884</v>
      </c>
      <c r="AI2258" t="s">
        <v>68</v>
      </c>
      <c r="AJ2258" t="s">
        <v>66</v>
      </c>
      <c r="AK2258" s="3" t="s">
        <v>115</v>
      </c>
      <c r="AL2258" s="3">
        <v>12253.5</v>
      </c>
      <c r="AS2258" t="s">
        <v>2093</v>
      </c>
      <c r="AT2258" t="s">
        <v>88</v>
      </c>
      <c r="AU2258" t="s">
        <v>110</v>
      </c>
      <c r="AV2258" s="14">
        <v>897.61059999999998</v>
      </c>
    </row>
    <row r="2259" spans="29:48">
      <c r="AC2259"/>
      <c r="AH2259" t="s">
        <v>1884</v>
      </c>
      <c r="AI2259" t="s">
        <v>68</v>
      </c>
      <c r="AJ2259" t="s">
        <v>98</v>
      </c>
      <c r="AK2259" s="3" t="s">
        <v>115</v>
      </c>
      <c r="AL2259" s="3">
        <v>-321.70634538180002</v>
      </c>
      <c r="AS2259" t="s">
        <v>2093</v>
      </c>
      <c r="AT2259" t="s">
        <v>88</v>
      </c>
      <c r="AU2259" t="s">
        <v>111</v>
      </c>
      <c r="AV2259" s="14">
        <v>10500</v>
      </c>
    </row>
    <row r="2260" spans="29:48">
      <c r="AC2260"/>
      <c r="AH2260" t="s">
        <v>1884</v>
      </c>
      <c r="AI2260" t="s">
        <v>800</v>
      </c>
      <c r="AJ2260" t="s">
        <v>31</v>
      </c>
      <c r="AK2260" s="3" t="s">
        <v>27</v>
      </c>
      <c r="AL2260" s="3">
        <v>3.9957693732999999</v>
      </c>
      <c r="AS2260" t="s">
        <v>2093</v>
      </c>
      <c r="AT2260" t="s">
        <v>88</v>
      </c>
      <c r="AU2260" t="s">
        <v>268</v>
      </c>
      <c r="AV2260" s="14">
        <v>600</v>
      </c>
    </row>
    <row r="2261" spans="29:48">
      <c r="AC2261"/>
      <c r="AH2261" t="s">
        <v>1885</v>
      </c>
      <c r="AI2261" t="s">
        <v>65</v>
      </c>
      <c r="AJ2261" t="s">
        <v>66</v>
      </c>
      <c r="AK2261" s="3" t="s">
        <v>27</v>
      </c>
      <c r="AL2261" s="3">
        <v>35088.699999999997</v>
      </c>
      <c r="AS2261" t="s">
        <v>2093</v>
      </c>
      <c r="AT2261" t="s">
        <v>88</v>
      </c>
      <c r="AU2261" t="s">
        <v>269</v>
      </c>
      <c r="AV2261" s="14">
        <v>0</v>
      </c>
    </row>
    <row r="2262" spans="29:48">
      <c r="AC2262"/>
      <c r="AH2262" t="s">
        <v>1885</v>
      </c>
      <c r="AI2262" t="s">
        <v>65</v>
      </c>
      <c r="AJ2262" t="s">
        <v>72</v>
      </c>
      <c r="AK2262" s="3" t="s">
        <v>27</v>
      </c>
      <c r="AL2262" s="3">
        <v>36268.564947999999</v>
      </c>
      <c r="AS2262" t="s">
        <v>2093</v>
      </c>
      <c r="AT2262" t="s">
        <v>88</v>
      </c>
      <c r="AU2262" t="s">
        <v>270</v>
      </c>
      <c r="AV2262" s="14">
        <v>0</v>
      </c>
    </row>
    <row r="2263" spans="29:48">
      <c r="AC2263"/>
      <c r="AH2263" t="s">
        <v>1885</v>
      </c>
      <c r="AI2263" t="s">
        <v>65</v>
      </c>
      <c r="AJ2263" t="s">
        <v>113</v>
      </c>
      <c r="AK2263" s="3" t="s">
        <v>27</v>
      </c>
      <c r="AL2263" s="3">
        <v>1925.6766591620999</v>
      </c>
      <c r="AS2263" t="s">
        <v>2093</v>
      </c>
      <c r="AT2263" t="s">
        <v>88</v>
      </c>
      <c r="AU2263" t="s">
        <v>271</v>
      </c>
      <c r="AV2263" s="14">
        <v>0</v>
      </c>
    </row>
    <row r="2264" spans="29:48">
      <c r="AC2264"/>
      <c r="AH2264" t="s">
        <v>1885</v>
      </c>
      <c r="AI2264" t="s">
        <v>65</v>
      </c>
      <c r="AJ2264" t="s">
        <v>108</v>
      </c>
      <c r="AK2264" s="3" t="s">
        <v>27</v>
      </c>
      <c r="AL2264" s="3">
        <v>-745.81171116209998</v>
      </c>
      <c r="AS2264" t="s">
        <v>2093</v>
      </c>
      <c r="AT2264" t="s">
        <v>88</v>
      </c>
      <c r="AU2264" t="s">
        <v>272</v>
      </c>
      <c r="AV2264" s="14">
        <v>0</v>
      </c>
    </row>
    <row r="2265" spans="29:48">
      <c r="AC2265"/>
      <c r="AH2265" t="s">
        <v>1885</v>
      </c>
      <c r="AI2265" t="s">
        <v>65</v>
      </c>
      <c r="AJ2265" t="s">
        <v>98</v>
      </c>
      <c r="AK2265" s="3" t="s">
        <v>27</v>
      </c>
      <c r="AL2265" s="3">
        <v>-745.81171116209998</v>
      </c>
      <c r="AS2265" t="s">
        <v>2093</v>
      </c>
      <c r="AT2265" t="s">
        <v>88</v>
      </c>
      <c r="AU2265" t="s">
        <v>273</v>
      </c>
      <c r="AV2265" s="14">
        <v>0</v>
      </c>
    </row>
    <row r="2266" spans="29:48">
      <c r="AC2266"/>
      <c r="AH2266" t="s">
        <v>1885</v>
      </c>
      <c r="AI2266" t="s">
        <v>67</v>
      </c>
      <c r="AJ2266" t="s">
        <v>66</v>
      </c>
      <c r="AK2266" s="3" t="s">
        <v>27</v>
      </c>
      <c r="AL2266" s="3">
        <v>-16803.2</v>
      </c>
      <c r="AS2266" t="s">
        <v>2094</v>
      </c>
      <c r="AT2266" t="s">
        <v>88</v>
      </c>
      <c r="AU2266" t="s">
        <v>109</v>
      </c>
      <c r="AV2266" s="14">
        <v>20941.453699999998</v>
      </c>
    </row>
    <row r="2267" spans="29:48">
      <c r="AC2267"/>
      <c r="AH2267" t="s">
        <v>1885</v>
      </c>
      <c r="AI2267" t="s">
        <v>67</v>
      </c>
      <c r="AJ2267" t="s">
        <v>72</v>
      </c>
      <c r="AK2267" s="3" t="s">
        <v>27</v>
      </c>
      <c r="AL2267" s="3">
        <v>-18058.273223</v>
      </c>
      <c r="AS2267" t="s">
        <v>2094</v>
      </c>
      <c r="AT2267" t="s">
        <v>88</v>
      </c>
      <c r="AU2267" t="s">
        <v>110</v>
      </c>
      <c r="AV2267" s="14">
        <v>897.61059999999998</v>
      </c>
    </row>
    <row r="2268" spans="29:48">
      <c r="AC2268"/>
      <c r="AH2268" t="s">
        <v>1885</v>
      </c>
      <c r="AI2268" t="s">
        <v>67</v>
      </c>
      <c r="AJ2268" t="s">
        <v>113</v>
      </c>
      <c r="AK2268" s="3" t="s">
        <v>27</v>
      </c>
      <c r="AL2268" s="3">
        <v>-1223.3128694395</v>
      </c>
      <c r="AS2268" t="s">
        <v>2094</v>
      </c>
      <c r="AT2268" t="s">
        <v>88</v>
      </c>
      <c r="AU2268" t="s">
        <v>111</v>
      </c>
      <c r="AV2268" s="14">
        <v>10500</v>
      </c>
    </row>
    <row r="2269" spans="29:48">
      <c r="AC2269"/>
      <c r="AH2269" t="s">
        <v>1885</v>
      </c>
      <c r="AI2269" t="s">
        <v>67</v>
      </c>
      <c r="AJ2269" t="s">
        <v>108</v>
      </c>
      <c r="AK2269" s="3" t="s">
        <v>27</v>
      </c>
      <c r="AL2269" s="3">
        <v>-31.7603535605</v>
      </c>
      <c r="AS2269" t="s">
        <v>2094</v>
      </c>
      <c r="AT2269" t="s">
        <v>88</v>
      </c>
      <c r="AU2269" t="s">
        <v>268</v>
      </c>
      <c r="AV2269" s="14">
        <v>800</v>
      </c>
    </row>
    <row r="2270" spans="29:48">
      <c r="AC2270"/>
      <c r="AH2270" t="s">
        <v>1885</v>
      </c>
      <c r="AI2270" t="s">
        <v>67</v>
      </c>
      <c r="AJ2270" t="s">
        <v>98</v>
      </c>
      <c r="AK2270" s="3" t="s">
        <v>27</v>
      </c>
      <c r="AL2270" s="3">
        <v>-31.7603535605</v>
      </c>
      <c r="AS2270" t="s">
        <v>2094</v>
      </c>
      <c r="AT2270" t="s">
        <v>88</v>
      </c>
      <c r="AU2270" t="s">
        <v>269</v>
      </c>
      <c r="AV2270" s="14">
        <v>0</v>
      </c>
    </row>
    <row r="2271" spans="29:48">
      <c r="AC2271"/>
      <c r="AH2271" t="s">
        <v>1885</v>
      </c>
      <c r="AI2271" t="s">
        <v>67</v>
      </c>
      <c r="AJ2271" t="s">
        <v>66</v>
      </c>
      <c r="AK2271" s="3" t="s">
        <v>114</v>
      </c>
      <c r="AL2271" s="3">
        <v>151</v>
      </c>
      <c r="AS2271" t="s">
        <v>2094</v>
      </c>
      <c r="AT2271" t="s">
        <v>88</v>
      </c>
      <c r="AU2271" t="s">
        <v>270</v>
      </c>
      <c r="AV2271" s="14">
        <v>0</v>
      </c>
    </row>
    <row r="2272" spans="29:48">
      <c r="AC2272"/>
      <c r="AH2272" t="s">
        <v>1885</v>
      </c>
      <c r="AI2272" t="s">
        <v>67</v>
      </c>
      <c r="AJ2272" t="s">
        <v>98</v>
      </c>
      <c r="AK2272" s="3" t="s">
        <v>114</v>
      </c>
      <c r="AL2272" s="3">
        <v>-8.9431017807999993</v>
      </c>
      <c r="AS2272" t="s">
        <v>2094</v>
      </c>
      <c r="AT2272" t="s">
        <v>88</v>
      </c>
      <c r="AU2272" t="s">
        <v>271</v>
      </c>
      <c r="AV2272" s="14">
        <v>0</v>
      </c>
    </row>
    <row r="2273" spans="29:48">
      <c r="AC2273"/>
      <c r="AH2273" t="s">
        <v>1885</v>
      </c>
      <c r="AI2273" t="s">
        <v>67</v>
      </c>
      <c r="AJ2273" t="s">
        <v>66</v>
      </c>
      <c r="AK2273" s="3" t="s">
        <v>115</v>
      </c>
      <c r="AL2273" s="3">
        <v>16954.2</v>
      </c>
      <c r="AS2273" t="s">
        <v>2094</v>
      </c>
      <c r="AT2273" t="s">
        <v>88</v>
      </c>
      <c r="AU2273" t="s">
        <v>272</v>
      </c>
      <c r="AV2273" s="14">
        <v>0</v>
      </c>
    </row>
    <row r="2274" spans="29:48">
      <c r="AC2274"/>
      <c r="AH2274" t="s">
        <v>1885</v>
      </c>
      <c r="AI2274" t="s">
        <v>67</v>
      </c>
      <c r="AJ2274" t="s">
        <v>98</v>
      </c>
      <c r="AK2274" s="3" t="s">
        <v>115</v>
      </c>
      <c r="AL2274" s="3">
        <v>22.817251779700001</v>
      </c>
      <c r="AS2274" t="s">
        <v>2094</v>
      </c>
      <c r="AT2274" t="s">
        <v>88</v>
      </c>
      <c r="AU2274" t="s">
        <v>273</v>
      </c>
      <c r="AV2274" s="14">
        <v>0</v>
      </c>
    </row>
    <row r="2275" spans="29:48">
      <c r="AC2275"/>
      <c r="AH2275" t="s">
        <v>1885</v>
      </c>
      <c r="AI2275" t="s">
        <v>68</v>
      </c>
      <c r="AJ2275" t="s">
        <v>66</v>
      </c>
      <c r="AK2275" s="3" t="s">
        <v>27</v>
      </c>
      <c r="AL2275" s="3">
        <v>-11673.5</v>
      </c>
      <c r="AS2275" t="s">
        <v>2095</v>
      </c>
      <c r="AT2275" t="s">
        <v>88</v>
      </c>
      <c r="AU2275" t="s">
        <v>109</v>
      </c>
      <c r="AV2275" s="14">
        <v>18741.453699999998</v>
      </c>
    </row>
    <row r="2276" spans="29:48">
      <c r="AC2276"/>
      <c r="AH2276" t="s">
        <v>1885</v>
      </c>
      <c r="AI2276" t="s">
        <v>68</v>
      </c>
      <c r="AJ2276" t="s">
        <v>72</v>
      </c>
      <c r="AK2276" s="3" t="s">
        <v>27</v>
      </c>
      <c r="AL2276" s="3">
        <v>-12020.923605</v>
      </c>
      <c r="AS2276" t="s">
        <v>2095</v>
      </c>
      <c r="AT2276" t="s">
        <v>88</v>
      </c>
      <c r="AU2276" t="s">
        <v>110</v>
      </c>
      <c r="AV2276" s="14">
        <v>897.61059999999998</v>
      </c>
    </row>
    <row r="2277" spans="29:48">
      <c r="AC2277"/>
      <c r="AH2277" t="s">
        <v>1885</v>
      </c>
      <c r="AI2277" t="s">
        <v>68</v>
      </c>
      <c r="AJ2277" t="s">
        <v>113</v>
      </c>
      <c r="AK2277" s="3" t="s">
        <v>27</v>
      </c>
      <c r="AL2277" s="3">
        <v>-650.12472614900003</v>
      </c>
      <c r="AS2277" t="s">
        <v>2095</v>
      </c>
      <c r="AT2277" t="s">
        <v>88</v>
      </c>
      <c r="AU2277" t="s">
        <v>111</v>
      </c>
      <c r="AV2277" s="14">
        <v>10500</v>
      </c>
    </row>
    <row r="2278" spans="29:48">
      <c r="AC2278"/>
      <c r="AH2278" t="s">
        <v>1885</v>
      </c>
      <c r="AI2278" t="s">
        <v>68</v>
      </c>
      <c r="AJ2278" t="s">
        <v>108</v>
      </c>
      <c r="AK2278" s="3" t="s">
        <v>27</v>
      </c>
      <c r="AL2278" s="3">
        <v>302.70112114900002</v>
      </c>
      <c r="AS2278" t="s">
        <v>2095</v>
      </c>
      <c r="AT2278" t="s">
        <v>88</v>
      </c>
      <c r="AU2278" t="s">
        <v>268</v>
      </c>
      <c r="AV2278" s="14">
        <v>-300</v>
      </c>
    </row>
    <row r="2279" spans="29:48">
      <c r="AC2279"/>
      <c r="AH2279" t="s">
        <v>1885</v>
      </c>
      <c r="AI2279" t="s">
        <v>68</v>
      </c>
      <c r="AJ2279" t="s">
        <v>98</v>
      </c>
      <c r="AK2279" s="3" t="s">
        <v>27</v>
      </c>
      <c r="AL2279" s="3">
        <v>302.70112114900002</v>
      </c>
      <c r="AS2279" t="s">
        <v>2095</v>
      </c>
      <c r="AT2279" t="s">
        <v>88</v>
      </c>
      <c r="AU2279" t="s">
        <v>269</v>
      </c>
      <c r="AV2279" s="14">
        <v>0</v>
      </c>
    </row>
    <row r="2280" spans="29:48">
      <c r="AC2280"/>
      <c r="AH2280" t="s">
        <v>1885</v>
      </c>
      <c r="AI2280" t="s">
        <v>68</v>
      </c>
      <c r="AJ2280" t="s">
        <v>66</v>
      </c>
      <c r="AK2280" s="3" t="s">
        <v>114</v>
      </c>
      <c r="AL2280" s="3">
        <v>1161</v>
      </c>
      <c r="AS2280" t="s">
        <v>2095</v>
      </c>
      <c r="AT2280" t="s">
        <v>88</v>
      </c>
      <c r="AU2280" t="s">
        <v>270</v>
      </c>
      <c r="AV2280" s="14">
        <v>0</v>
      </c>
    </row>
    <row r="2281" spans="29:48">
      <c r="AC2281"/>
      <c r="AH2281" t="s">
        <v>1885</v>
      </c>
      <c r="AI2281" t="s">
        <v>68</v>
      </c>
      <c r="AJ2281" t="s">
        <v>98</v>
      </c>
      <c r="AK2281" s="3" t="s">
        <v>114</v>
      </c>
      <c r="AL2281" s="3">
        <v>-57.728736438399999</v>
      </c>
      <c r="AS2281" t="s">
        <v>2095</v>
      </c>
      <c r="AT2281" t="s">
        <v>88</v>
      </c>
      <c r="AU2281" t="s">
        <v>271</v>
      </c>
      <c r="AV2281" s="14">
        <v>2500</v>
      </c>
    </row>
    <row r="2282" spans="29:48">
      <c r="AC2282"/>
      <c r="AH2282" t="s">
        <v>1885</v>
      </c>
      <c r="AI2282" t="s">
        <v>68</v>
      </c>
      <c r="AJ2282" t="s">
        <v>66</v>
      </c>
      <c r="AK2282" s="3" t="s">
        <v>115</v>
      </c>
      <c r="AL2282" s="3">
        <v>12834.5</v>
      </c>
      <c r="AS2282" t="s">
        <v>2095</v>
      </c>
      <c r="AT2282" t="s">
        <v>88</v>
      </c>
      <c r="AU2282" t="s">
        <v>272</v>
      </c>
      <c r="AV2282" s="14">
        <v>0</v>
      </c>
    </row>
    <row r="2283" spans="29:48">
      <c r="AC2283"/>
      <c r="AH2283" t="s">
        <v>1885</v>
      </c>
      <c r="AI2283" t="s">
        <v>68</v>
      </c>
      <c r="AJ2283" t="s">
        <v>98</v>
      </c>
      <c r="AK2283" s="3" t="s">
        <v>115</v>
      </c>
      <c r="AL2283" s="3">
        <v>-360.42985758740002</v>
      </c>
      <c r="AS2283" t="s">
        <v>2095</v>
      </c>
      <c r="AT2283" t="s">
        <v>88</v>
      </c>
      <c r="AU2283" t="s">
        <v>273</v>
      </c>
      <c r="AV2283" s="14">
        <v>0</v>
      </c>
    </row>
    <row r="2284" spans="29:48">
      <c r="AC2284"/>
      <c r="AH2284" t="s">
        <v>1885</v>
      </c>
      <c r="AI2284" t="s">
        <v>800</v>
      </c>
      <c r="AJ2284" t="s">
        <v>31</v>
      </c>
      <c r="AK2284" s="3" t="s">
        <v>27</v>
      </c>
      <c r="AL2284" s="3">
        <v>3.9962374485000001</v>
      </c>
      <c r="AS2284" t="s">
        <v>2096</v>
      </c>
      <c r="AT2284" t="s">
        <v>88</v>
      </c>
      <c r="AU2284" t="s">
        <v>109</v>
      </c>
      <c r="AV2284" s="14">
        <v>17941.453699999998</v>
      </c>
    </row>
    <row r="2285" spans="29:48">
      <c r="AC2285"/>
      <c r="AH2285" t="s">
        <v>1886</v>
      </c>
      <c r="AI2285" t="s">
        <v>65</v>
      </c>
      <c r="AJ2285" t="s">
        <v>66</v>
      </c>
      <c r="AK2285" s="3" t="s">
        <v>27</v>
      </c>
      <c r="AL2285" s="3">
        <v>34488.699999999997</v>
      </c>
      <c r="AS2285" t="s">
        <v>2096</v>
      </c>
      <c r="AT2285" t="s">
        <v>88</v>
      </c>
      <c r="AU2285" t="s">
        <v>110</v>
      </c>
      <c r="AV2285" s="14">
        <v>897.61059999999998</v>
      </c>
    </row>
    <row r="2286" spans="29:48">
      <c r="AC2286"/>
      <c r="AH2286" t="s">
        <v>1886</v>
      </c>
      <c r="AI2286" t="s">
        <v>65</v>
      </c>
      <c r="AJ2286" t="s">
        <v>72</v>
      </c>
      <c r="AK2286" s="3" t="s">
        <v>27</v>
      </c>
      <c r="AL2286" s="3">
        <v>35744.816537999999</v>
      </c>
      <c r="AS2286" t="s">
        <v>2096</v>
      </c>
      <c r="AT2286" t="s">
        <v>88</v>
      </c>
      <c r="AU2286" t="s">
        <v>111</v>
      </c>
      <c r="AV2286" s="14">
        <v>10025</v>
      </c>
    </row>
    <row r="2287" spans="29:48">
      <c r="AC2287"/>
      <c r="AH2287" t="s">
        <v>1886</v>
      </c>
      <c r="AI2287" t="s">
        <v>65</v>
      </c>
      <c r="AJ2287" t="s">
        <v>113</v>
      </c>
      <c r="AK2287" s="3" t="s">
        <v>27</v>
      </c>
      <c r="AL2287" s="3">
        <v>1942.4251412061001</v>
      </c>
      <c r="AS2287" t="s">
        <v>2096</v>
      </c>
      <c r="AT2287" t="s">
        <v>88</v>
      </c>
      <c r="AU2287" t="s">
        <v>268</v>
      </c>
      <c r="AV2287" s="14">
        <v>200</v>
      </c>
    </row>
    <row r="2288" spans="29:48">
      <c r="AC2288"/>
      <c r="AH2288" t="s">
        <v>1886</v>
      </c>
      <c r="AI2288" t="s">
        <v>65</v>
      </c>
      <c r="AJ2288" t="s">
        <v>108</v>
      </c>
      <c r="AK2288" s="3" t="s">
        <v>27</v>
      </c>
      <c r="AL2288" s="3">
        <v>-686.30860320609997</v>
      </c>
      <c r="AS2288" t="s">
        <v>2096</v>
      </c>
      <c r="AT2288" t="s">
        <v>88</v>
      </c>
      <c r="AU2288" t="s">
        <v>269</v>
      </c>
      <c r="AV2288" s="14">
        <v>0</v>
      </c>
    </row>
    <row r="2289" spans="29:48">
      <c r="AC2289"/>
      <c r="AH2289" t="s">
        <v>1886</v>
      </c>
      <c r="AI2289" t="s">
        <v>65</v>
      </c>
      <c r="AJ2289" t="s">
        <v>98</v>
      </c>
      <c r="AK2289" s="3" t="s">
        <v>27</v>
      </c>
      <c r="AL2289" s="3">
        <v>-686.30860320609997</v>
      </c>
      <c r="AS2289" t="s">
        <v>2096</v>
      </c>
      <c r="AT2289" t="s">
        <v>88</v>
      </c>
      <c r="AU2289" t="s">
        <v>270</v>
      </c>
      <c r="AV2289" s="14">
        <v>0</v>
      </c>
    </row>
    <row r="2290" spans="29:48">
      <c r="AC2290"/>
      <c r="AH2290" t="s">
        <v>1886</v>
      </c>
      <c r="AI2290" t="s">
        <v>67</v>
      </c>
      <c r="AJ2290" t="s">
        <v>66</v>
      </c>
      <c r="AK2290" s="3" t="s">
        <v>27</v>
      </c>
      <c r="AL2290" s="3">
        <v>-16354.2</v>
      </c>
      <c r="AS2290" t="s">
        <v>2096</v>
      </c>
      <c r="AT2290" t="s">
        <v>88</v>
      </c>
      <c r="AU2290" t="s">
        <v>271</v>
      </c>
      <c r="AV2290" s="14">
        <v>800</v>
      </c>
    </row>
    <row r="2291" spans="29:48">
      <c r="AC2291"/>
      <c r="AH2291" t="s">
        <v>1886</v>
      </c>
      <c r="AI2291" t="s">
        <v>67</v>
      </c>
      <c r="AJ2291" t="s">
        <v>72</v>
      </c>
      <c r="AK2291" s="3" t="s">
        <v>27</v>
      </c>
      <c r="AL2291" s="3">
        <v>-17674.051098</v>
      </c>
      <c r="AS2291" t="s">
        <v>2096</v>
      </c>
      <c r="AT2291" t="s">
        <v>88</v>
      </c>
      <c r="AU2291" t="s">
        <v>272</v>
      </c>
      <c r="AV2291" s="14">
        <v>0</v>
      </c>
    </row>
    <row r="2292" spans="29:48">
      <c r="AC2292"/>
      <c r="AH2292" t="s">
        <v>1886</v>
      </c>
      <c r="AI2292" t="s">
        <v>67</v>
      </c>
      <c r="AJ2292" t="s">
        <v>113</v>
      </c>
      <c r="AK2292" s="3" t="s">
        <v>27</v>
      </c>
      <c r="AL2292" s="3">
        <v>-1234.6463752971999</v>
      </c>
      <c r="AS2292" t="s">
        <v>2096</v>
      </c>
      <c r="AT2292" t="s">
        <v>88</v>
      </c>
      <c r="AU2292" t="s">
        <v>273</v>
      </c>
      <c r="AV2292" s="14">
        <v>0</v>
      </c>
    </row>
    <row r="2293" spans="29:48">
      <c r="AC2293"/>
      <c r="AH2293" t="s">
        <v>1886</v>
      </c>
      <c r="AI2293" t="s">
        <v>67</v>
      </c>
      <c r="AJ2293" t="s">
        <v>108</v>
      </c>
      <c r="AK2293" s="3" t="s">
        <v>27</v>
      </c>
      <c r="AL2293" s="3">
        <v>-85.204722702799998</v>
      </c>
      <c r="AS2293" t="s">
        <v>2097</v>
      </c>
      <c r="AT2293" t="s">
        <v>88</v>
      </c>
      <c r="AU2293" t="s">
        <v>109</v>
      </c>
      <c r="AV2293" s="14">
        <v>17991.453699999998</v>
      </c>
    </row>
    <row r="2294" spans="29:48">
      <c r="AC2294"/>
      <c r="AH2294" t="s">
        <v>1886</v>
      </c>
      <c r="AI2294" t="s">
        <v>67</v>
      </c>
      <c r="AJ2294" t="s">
        <v>98</v>
      </c>
      <c r="AK2294" s="3" t="s">
        <v>27</v>
      </c>
      <c r="AL2294" s="3">
        <v>-85.204722702799998</v>
      </c>
      <c r="AS2294" t="s">
        <v>2097</v>
      </c>
      <c r="AT2294" t="s">
        <v>88</v>
      </c>
      <c r="AU2294" t="s">
        <v>110</v>
      </c>
      <c r="AV2294" s="14">
        <v>897.61059999999998</v>
      </c>
    </row>
    <row r="2295" spans="29:48">
      <c r="AC2295"/>
      <c r="AH2295" t="s">
        <v>1886</v>
      </c>
      <c r="AI2295" t="s">
        <v>67</v>
      </c>
      <c r="AJ2295" t="s">
        <v>66</v>
      </c>
      <c r="AK2295" s="3" t="s">
        <v>114</v>
      </c>
      <c r="AL2295" s="3">
        <v>600</v>
      </c>
      <c r="AS2295" t="s">
        <v>2097</v>
      </c>
      <c r="AT2295" t="s">
        <v>88</v>
      </c>
      <c r="AU2295" t="s">
        <v>111</v>
      </c>
      <c r="AV2295" s="14">
        <v>8125</v>
      </c>
    </row>
    <row r="2296" spans="29:48">
      <c r="AC2296"/>
      <c r="AH2296" t="s">
        <v>1886</v>
      </c>
      <c r="AI2296" t="s">
        <v>67</v>
      </c>
      <c r="AJ2296" t="s">
        <v>98</v>
      </c>
      <c r="AK2296" s="3" t="s">
        <v>114</v>
      </c>
      <c r="AL2296" s="3">
        <v>-42.6845205479</v>
      </c>
      <c r="AS2296" t="s">
        <v>2097</v>
      </c>
      <c r="AT2296" t="s">
        <v>88</v>
      </c>
      <c r="AU2296" t="s">
        <v>268</v>
      </c>
      <c r="AV2296" s="14">
        <v>-250</v>
      </c>
    </row>
    <row r="2297" spans="29:48">
      <c r="AC2297"/>
      <c r="AH2297" t="s">
        <v>1886</v>
      </c>
      <c r="AI2297" t="s">
        <v>67</v>
      </c>
      <c r="AJ2297" t="s">
        <v>66</v>
      </c>
      <c r="AK2297" s="3" t="s">
        <v>115</v>
      </c>
      <c r="AL2297" s="3">
        <v>16954.2</v>
      </c>
      <c r="AS2297" t="s">
        <v>2097</v>
      </c>
      <c r="AT2297" t="s">
        <v>88</v>
      </c>
      <c r="AU2297" t="s">
        <v>269</v>
      </c>
      <c r="AV2297" s="14">
        <v>0</v>
      </c>
    </row>
    <row r="2298" spans="29:48">
      <c r="AC2298"/>
      <c r="AH2298" t="s">
        <v>1886</v>
      </c>
      <c r="AI2298" t="s">
        <v>67</v>
      </c>
      <c r="AJ2298" t="s">
        <v>98</v>
      </c>
      <c r="AK2298" s="3" t="s">
        <v>115</v>
      </c>
      <c r="AL2298" s="3">
        <v>42.520202154800003</v>
      </c>
      <c r="AS2298" t="s">
        <v>2097</v>
      </c>
      <c r="AT2298" t="s">
        <v>88</v>
      </c>
      <c r="AU2298" t="s">
        <v>270</v>
      </c>
      <c r="AV2298" s="14">
        <v>0</v>
      </c>
    </row>
    <row r="2299" spans="29:48">
      <c r="AC2299"/>
      <c r="AH2299" t="s">
        <v>1886</v>
      </c>
      <c r="AI2299" t="s">
        <v>68</v>
      </c>
      <c r="AJ2299" t="s">
        <v>66</v>
      </c>
      <c r="AK2299" s="3" t="s">
        <v>27</v>
      </c>
      <c r="AL2299" s="3">
        <v>-11522.5</v>
      </c>
      <c r="AS2299" t="s">
        <v>2097</v>
      </c>
      <c r="AT2299" t="s">
        <v>88</v>
      </c>
      <c r="AU2299" t="s">
        <v>271</v>
      </c>
      <c r="AV2299" s="14">
        <v>500</v>
      </c>
    </row>
    <row r="2300" spans="29:48">
      <c r="AC2300"/>
      <c r="AH2300" t="s">
        <v>1886</v>
      </c>
      <c r="AI2300" t="s">
        <v>68</v>
      </c>
      <c r="AJ2300" t="s">
        <v>72</v>
      </c>
      <c r="AK2300" s="3" t="s">
        <v>27</v>
      </c>
      <c r="AL2300" s="3">
        <v>-11880.23092</v>
      </c>
      <c r="AS2300" t="s">
        <v>2097</v>
      </c>
      <c r="AT2300" t="s">
        <v>88</v>
      </c>
      <c r="AU2300" t="s">
        <v>272</v>
      </c>
      <c r="AV2300" s="14">
        <v>0</v>
      </c>
    </row>
    <row r="2301" spans="29:48">
      <c r="AC2301"/>
      <c r="AH2301" t="s">
        <v>1886</v>
      </c>
      <c r="AI2301" t="s">
        <v>68</v>
      </c>
      <c r="AJ2301" t="s">
        <v>113</v>
      </c>
      <c r="AK2301" s="3" t="s">
        <v>27</v>
      </c>
      <c r="AL2301" s="3">
        <v>-655.50205600959998</v>
      </c>
      <c r="AS2301" t="s">
        <v>2097</v>
      </c>
      <c r="AT2301" t="s">
        <v>88</v>
      </c>
      <c r="AU2301" t="s">
        <v>273</v>
      </c>
      <c r="AV2301" s="14">
        <v>0</v>
      </c>
    </row>
    <row r="2302" spans="29:48">
      <c r="AC2302"/>
      <c r="AH2302" t="s">
        <v>1886</v>
      </c>
      <c r="AI2302" t="s">
        <v>68</v>
      </c>
      <c r="AJ2302" t="s">
        <v>108</v>
      </c>
      <c r="AK2302" s="3" t="s">
        <v>27</v>
      </c>
      <c r="AL2302" s="3">
        <v>297.77113600960001</v>
      </c>
      <c r="AS2302" t="s">
        <v>2098</v>
      </c>
      <c r="AT2302" t="s">
        <v>88</v>
      </c>
      <c r="AU2302" t="s">
        <v>109</v>
      </c>
      <c r="AV2302" s="14">
        <v>20991.453699999998</v>
      </c>
    </row>
    <row r="2303" spans="29:48">
      <c r="AC2303"/>
      <c r="AH2303" t="s">
        <v>1886</v>
      </c>
      <c r="AI2303" t="s">
        <v>68</v>
      </c>
      <c r="AJ2303" t="s">
        <v>98</v>
      </c>
      <c r="AK2303" s="3" t="s">
        <v>27</v>
      </c>
      <c r="AL2303" s="3">
        <v>297.77113600960001</v>
      </c>
      <c r="AS2303" t="s">
        <v>2098</v>
      </c>
      <c r="AT2303" t="s">
        <v>88</v>
      </c>
      <c r="AU2303" t="s">
        <v>110</v>
      </c>
      <c r="AV2303" s="14">
        <v>897.61059999999998</v>
      </c>
    </row>
    <row r="2304" spans="29:48">
      <c r="AC2304"/>
      <c r="AH2304" t="s">
        <v>1886</v>
      </c>
      <c r="AI2304" t="s">
        <v>68</v>
      </c>
      <c r="AJ2304" t="s">
        <v>66</v>
      </c>
      <c r="AK2304" s="3" t="s">
        <v>114</v>
      </c>
      <c r="AL2304" s="3">
        <v>1122</v>
      </c>
      <c r="AS2304" t="s">
        <v>2098</v>
      </c>
      <c r="AT2304" t="s">
        <v>88</v>
      </c>
      <c r="AU2304" t="s">
        <v>111</v>
      </c>
      <c r="AV2304" s="14">
        <v>8125</v>
      </c>
    </row>
    <row r="2305" spans="29:48">
      <c r="AC2305"/>
      <c r="AH2305" t="s">
        <v>1886</v>
      </c>
      <c r="AI2305" t="s">
        <v>68</v>
      </c>
      <c r="AJ2305" t="s">
        <v>98</v>
      </c>
      <c r="AK2305" s="3" t="s">
        <v>114</v>
      </c>
      <c r="AL2305" s="3">
        <v>-60.269669178100003</v>
      </c>
      <c r="AS2305" t="s">
        <v>2098</v>
      </c>
      <c r="AT2305" t="s">
        <v>88</v>
      </c>
      <c r="AU2305" t="s">
        <v>268</v>
      </c>
      <c r="AV2305" s="14">
        <v>-3000</v>
      </c>
    </row>
    <row r="2306" spans="29:48">
      <c r="AC2306"/>
      <c r="AH2306" t="s">
        <v>1886</v>
      </c>
      <c r="AI2306" t="s">
        <v>68</v>
      </c>
      <c r="AJ2306" t="s">
        <v>66</v>
      </c>
      <c r="AK2306" s="3" t="s">
        <v>115</v>
      </c>
      <c r="AL2306" s="3">
        <v>12644.5</v>
      </c>
      <c r="AS2306" t="s">
        <v>2098</v>
      </c>
      <c r="AT2306" t="s">
        <v>88</v>
      </c>
      <c r="AU2306" t="s">
        <v>269</v>
      </c>
      <c r="AV2306" s="14">
        <v>0</v>
      </c>
    </row>
    <row r="2307" spans="29:48">
      <c r="AC2307"/>
      <c r="AH2307" t="s">
        <v>1886</v>
      </c>
      <c r="AI2307" t="s">
        <v>68</v>
      </c>
      <c r="AJ2307" t="s">
        <v>98</v>
      </c>
      <c r="AK2307" s="3" t="s">
        <v>115</v>
      </c>
      <c r="AL2307" s="3">
        <v>-358.04080518770002</v>
      </c>
      <c r="AS2307" t="s">
        <v>2098</v>
      </c>
      <c r="AT2307" t="s">
        <v>88</v>
      </c>
      <c r="AU2307" t="s">
        <v>270</v>
      </c>
      <c r="AV2307" s="14">
        <v>0</v>
      </c>
    </row>
    <row r="2308" spans="29:48">
      <c r="AC2308"/>
      <c r="AH2308" t="s">
        <v>1886</v>
      </c>
      <c r="AI2308" t="s">
        <v>800</v>
      </c>
      <c r="AJ2308" t="s">
        <v>31</v>
      </c>
      <c r="AK2308" s="3" t="s">
        <v>27</v>
      </c>
      <c r="AL2308" s="3">
        <v>4.0060779161999998</v>
      </c>
      <c r="AS2308" t="s">
        <v>2098</v>
      </c>
      <c r="AT2308" t="s">
        <v>88</v>
      </c>
      <c r="AU2308" t="s">
        <v>271</v>
      </c>
      <c r="AV2308" s="14">
        <v>0</v>
      </c>
    </row>
    <row r="2309" spans="29:48">
      <c r="AC2309"/>
      <c r="AH2309" t="s">
        <v>1887</v>
      </c>
      <c r="AI2309" t="s">
        <v>65</v>
      </c>
      <c r="AJ2309" t="s">
        <v>66</v>
      </c>
      <c r="AK2309" s="3" t="s">
        <v>27</v>
      </c>
      <c r="AL2309" s="3">
        <v>34457.699999999997</v>
      </c>
      <c r="AS2309" t="s">
        <v>2098</v>
      </c>
      <c r="AT2309" t="s">
        <v>88</v>
      </c>
      <c r="AU2309" t="s">
        <v>272</v>
      </c>
      <c r="AV2309" s="14">
        <v>0</v>
      </c>
    </row>
    <row r="2310" spans="29:48">
      <c r="AC2310"/>
      <c r="AH2310" t="s">
        <v>1887</v>
      </c>
      <c r="AI2310" t="s">
        <v>65</v>
      </c>
      <c r="AJ2310" t="s">
        <v>72</v>
      </c>
      <c r="AK2310" s="3" t="s">
        <v>27</v>
      </c>
      <c r="AL2310" s="3">
        <v>35697.224473000002</v>
      </c>
      <c r="AS2310" t="s">
        <v>2098</v>
      </c>
      <c r="AT2310" t="s">
        <v>88</v>
      </c>
      <c r="AU2310" t="s">
        <v>273</v>
      </c>
      <c r="AV2310" s="14">
        <v>0</v>
      </c>
    </row>
    <row r="2311" spans="29:48">
      <c r="AC2311"/>
      <c r="AH2311" t="s">
        <v>1887</v>
      </c>
      <c r="AI2311" t="s">
        <v>65</v>
      </c>
      <c r="AJ2311" t="s">
        <v>113</v>
      </c>
      <c r="AK2311" s="3" t="s">
        <v>27</v>
      </c>
      <c r="AL2311" s="3">
        <v>1953.9100903751</v>
      </c>
      <c r="AS2311" t="s">
        <v>2099</v>
      </c>
      <c r="AT2311" t="s">
        <v>88</v>
      </c>
      <c r="AU2311" t="s">
        <v>109</v>
      </c>
      <c r="AV2311" s="14">
        <v>21491.453699999998</v>
      </c>
    </row>
    <row r="2312" spans="29:48">
      <c r="AC2312"/>
      <c r="AH2312" t="s">
        <v>1887</v>
      </c>
      <c r="AI2312" t="s">
        <v>65</v>
      </c>
      <c r="AJ2312" t="s">
        <v>108</v>
      </c>
      <c r="AK2312" s="3" t="s">
        <v>27</v>
      </c>
      <c r="AL2312" s="3">
        <v>-714.38561737509997</v>
      </c>
      <c r="AS2312" t="s">
        <v>2099</v>
      </c>
      <c r="AT2312" t="s">
        <v>88</v>
      </c>
      <c r="AU2312" t="s">
        <v>110</v>
      </c>
      <c r="AV2312" s="14">
        <v>897.61059999999998</v>
      </c>
    </row>
    <row r="2313" spans="29:48">
      <c r="AC2313"/>
      <c r="AH2313" t="s">
        <v>1887</v>
      </c>
      <c r="AI2313" t="s">
        <v>65</v>
      </c>
      <c r="AJ2313" t="s">
        <v>98</v>
      </c>
      <c r="AK2313" s="3" t="s">
        <v>27</v>
      </c>
      <c r="AL2313" s="3">
        <v>-714.38561737509997</v>
      </c>
      <c r="AS2313" t="s">
        <v>2099</v>
      </c>
      <c r="AT2313" t="s">
        <v>88</v>
      </c>
      <c r="AU2313" t="s">
        <v>111</v>
      </c>
      <c r="AV2313" s="14">
        <v>8125</v>
      </c>
    </row>
    <row r="2314" spans="29:48">
      <c r="AC2314"/>
      <c r="AH2314" t="s">
        <v>1887</v>
      </c>
      <c r="AI2314" t="s">
        <v>67</v>
      </c>
      <c r="AJ2314" t="s">
        <v>66</v>
      </c>
      <c r="AK2314" s="3" t="s">
        <v>27</v>
      </c>
      <c r="AL2314" s="3">
        <v>-16923.2</v>
      </c>
      <c r="AS2314" t="s">
        <v>2099</v>
      </c>
      <c r="AT2314" t="s">
        <v>88</v>
      </c>
      <c r="AU2314" t="s">
        <v>268</v>
      </c>
      <c r="AV2314" s="14">
        <v>-4300</v>
      </c>
    </row>
    <row r="2315" spans="29:48">
      <c r="AC2315"/>
      <c r="AH2315" t="s">
        <v>1887</v>
      </c>
      <c r="AI2315" t="s">
        <v>67</v>
      </c>
      <c r="AJ2315" t="s">
        <v>72</v>
      </c>
      <c r="AK2315" s="3" t="s">
        <v>27</v>
      </c>
      <c r="AL2315" s="3">
        <v>-18167.634452999999</v>
      </c>
      <c r="AS2315" t="s">
        <v>2099</v>
      </c>
      <c r="AT2315" t="s">
        <v>88</v>
      </c>
      <c r="AU2315" t="s">
        <v>269</v>
      </c>
      <c r="AV2315" s="14">
        <v>0</v>
      </c>
    </row>
    <row r="2316" spans="29:48">
      <c r="AC2316"/>
      <c r="AH2316" t="s">
        <v>1887</v>
      </c>
      <c r="AI2316" t="s">
        <v>67</v>
      </c>
      <c r="AJ2316" t="s">
        <v>113</v>
      </c>
      <c r="AK2316" s="3" t="s">
        <v>27</v>
      </c>
      <c r="AL2316" s="3">
        <v>-1229.7772680091</v>
      </c>
      <c r="AS2316" t="s">
        <v>2099</v>
      </c>
      <c r="AT2316" t="s">
        <v>88</v>
      </c>
      <c r="AU2316" t="s">
        <v>270</v>
      </c>
      <c r="AV2316" s="14">
        <v>0</v>
      </c>
    </row>
    <row r="2317" spans="29:48">
      <c r="AC2317"/>
      <c r="AH2317" t="s">
        <v>1887</v>
      </c>
      <c r="AI2317" t="s">
        <v>67</v>
      </c>
      <c r="AJ2317" t="s">
        <v>108</v>
      </c>
      <c r="AK2317" s="3" t="s">
        <v>27</v>
      </c>
      <c r="AL2317" s="3">
        <v>-14.657184990899999</v>
      </c>
      <c r="AS2317" t="s">
        <v>2099</v>
      </c>
      <c r="AT2317" t="s">
        <v>88</v>
      </c>
      <c r="AU2317" t="s">
        <v>271</v>
      </c>
      <c r="AV2317" s="14">
        <v>500</v>
      </c>
    </row>
    <row r="2318" spans="29:48">
      <c r="AC2318"/>
      <c r="AH2318" t="s">
        <v>1887</v>
      </c>
      <c r="AI2318" t="s">
        <v>67</v>
      </c>
      <c r="AJ2318" t="s">
        <v>98</v>
      </c>
      <c r="AK2318" s="3" t="s">
        <v>27</v>
      </c>
      <c r="AL2318" s="3">
        <v>-14.657184990899999</v>
      </c>
      <c r="AS2318" t="s">
        <v>2099</v>
      </c>
      <c r="AT2318" t="s">
        <v>88</v>
      </c>
      <c r="AU2318" t="s">
        <v>272</v>
      </c>
      <c r="AV2318" s="14">
        <v>0</v>
      </c>
    </row>
    <row r="2319" spans="29:48">
      <c r="AC2319"/>
      <c r="AH2319" t="s">
        <v>1887</v>
      </c>
      <c r="AI2319" t="s">
        <v>67</v>
      </c>
      <c r="AJ2319" t="s">
        <v>66</v>
      </c>
      <c r="AK2319" s="3" t="s">
        <v>114</v>
      </c>
      <c r="AL2319" s="3">
        <v>531</v>
      </c>
      <c r="AS2319" t="s">
        <v>2099</v>
      </c>
      <c r="AT2319" t="s">
        <v>88</v>
      </c>
      <c r="AU2319" t="s">
        <v>273</v>
      </c>
      <c r="AV2319" s="14">
        <v>0</v>
      </c>
    </row>
    <row r="2320" spans="29:48">
      <c r="AC2320"/>
      <c r="AH2320" t="s">
        <v>1887</v>
      </c>
      <c r="AI2320" t="s">
        <v>67</v>
      </c>
      <c r="AJ2320" t="s">
        <v>98</v>
      </c>
      <c r="AK2320" s="3" t="s">
        <v>114</v>
      </c>
      <c r="AL2320" s="3">
        <v>-14.2897324658</v>
      </c>
      <c r="AS2320" t="s">
        <v>2100</v>
      </c>
      <c r="AT2320" t="s">
        <v>88</v>
      </c>
      <c r="AU2320" t="s">
        <v>109</v>
      </c>
      <c r="AV2320" s="14">
        <v>22876.782899999998</v>
      </c>
    </row>
    <row r="2321" spans="29:48">
      <c r="AC2321"/>
      <c r="AH2321" t="s">
        <v>1887</v>
      </c>
      <c r="AI2321" t="s">
        <v>67</v>
      </c>
      <c r="AJ2321" t="s">
        <v>66</v>
      </c>
      <c r="AK2321" s="3" t="s">
        <v>115</v>
      </c>
      <c r="AL2321" s="3">
        <v>17454.2</v>
      </c>
      <c r="AS2321" t="s">
        <v>2100</v>
      </c>
      <c r="AT2321" t="s">
        <v>88</v>
      </c>
      <c r="AU2321" t="s">
        <v>110</v>
      </c>
      <c r="AV2321" s="14">
        <v>897.61059999999998</v>
      </c>
    </row>
    <row r="2322" spans="29:48">
      <c r="AC2322"/>
      <c r="AH2322" t="s">
        <v>1887</v>
      </c>
      <c r="AI2322" t="s">
        <v>67</v>
      </c>
      <c r="AJ2322" t="s">
        <v>98</v>
      </c>
      <c r="AK2322" s="3" t="s">
        <v>115</v>
      </c>
      <c r="AL2322" s="3">
        <v>0.36745252509999998</v>
      </c>
      <c r="AS2322" t="s">
        <v>2100</v>
      </c>
      <c r="AT2322" t="s">
        <v>88</v>
      </c>
      <c r="AU2322" t="s">
        <v>111</v>
      </c>
      <c r="AV2322" s="14">
        <v>8125</v>
      </c>
    </row>
    <row r="2323" spans="29:48">
      <c r="AC2323"/>
      <c r="AH2323" t="s">
        <v>1887</v>
      </c>
      <c r="AI2323" t="s">
        <v>68</v>
      </c>
      <c r="AJ2323" t="s">
        <v>66</v>
      </c>
      <c r="AK2323" s="3" t="s">
        <v>27</v>
      </c>
      <c r="AL2323" s="3">
        <v>-10922.5</v>
      </c>
      <c r="AS2323" t="s">
        <v>2100</v>
      </c>
      <c r="AT2323" t="s">
        <v>88</v>
      </c>
      <c r="AU2323" t="s">
        <v>268</v>
      </c>
      <c r="AV2323" s="14">
        <v>-4285.3292000000001</v>
      </c>
    </row>
    <row r="2324" spans="29:48">
      <c r="AC2324"/>
      <c r="AH2324" t="s">
        <v>1887</v>
      </c>
      <c r="AI2324" t="s">
        <v>68</v>
      </c>
      <c r="AJ2324" t="s">
        <v>72</v>
      </c>
      <c r="AK2324" s="3" t="s">
        <v>27</v>
      </c>
      <c r="AL2324" s="3">
        <v>-11339.072120000001</v>
      </c>
      <c r="AS2324" t="s">
        <v>2100</v>
      </c>
      <c r="AT2324" t="s">
        <v>88</v>
      </c>
      <c r="AU2324" t="s">
        <v>269</v>
      </c>
      <c r="AV2324" s="14">
        <v>0</v>
      </c>
    </row>
    <row r="2325" spans="29:48">
      <c r="AC2325"/>
      <c r="AH2325" t="s">
        <v>1887</v>
      </c>
      <c r="AI2325" t="s">
        <v>68</v>
      </c>
      <c r="AJ2325" t="s">
        <v>113</v>
      </c>
      <c r="AK2325" s="3" t="s">
        <v>27</v>
      </c>
      <c r="AL2325" s="3">
        <v>-671.81846614100004</v>
      </c>
      <c r="AS2325" t="s">
        <v>2100</v>
      </c>
      <c r="AT2325" t="s">
        <v>88</v>
      </c>
      <c r="AU2325" t="s">
        <v>270</v>
      </c>
      <c r="AV2325" s="14">
        <v>0</v>
      </c>
    </row>
    <row r="2326" spans="29:48">
      <c r="AC2326"/>
      <c r="AH2326" t="s">
        <v>1887</v>
      </c>
      <c r="AI2326" t="s">
        <v>68</v>
      </c>
      <c r="AJ2326" t="s">
        <v>108</v>
      </c>
      <c r="AK2326" s="3" t="s">
        <v>27</v>
      </c>
      <c r="AL2326" s="3">
        <v>255.246346141</v>
      </c>
      <c r="AS2326" t="s">
        <v>2100</v>
      </c>
      <c r="AT2326" t="s">
        <v>88</v>
      </c>
      <c r="AU2326" t="s">
        <v>271</v>
      </c>
      <c r="AV2326" s="14">
        <v>500</v>
      </c>
    </row>
    <row r="2327" spans="29:48">
      <c r="AC2327"/>
      <c r="AH2327" t="s">
        <v>1887</v>
      </c>
      <c r="AI2327" t="s">
        <v>68</v>
      </c>
      <c r="AJ2327" t="s">
        <v>98</v>
      </c>
      <c r="AK2327" s="3" t="s">
        <v>27</v>
      </c>
      <c r="AL2327" s="3">
        <v>255.246346141</v>
      </c>
      <c r="AS2327" t="s">
        <v>2100</v>
      </c>
      <c r="AT2327" t="s">
        <v>88</v>
      </c>
      <c r="AU2327" t="s">
        <v>272</v>
      </c>
      <c r="AV2327" s="14">
        <v>0</v>
      </c>
    </row>
    <row r="2328" spans="29:48">
      <c r="AC2328"/>
      <c r="AH2328" t="s">
        <v>1887</v>
      </c>
      <c r="AI2328" t="s">
        <v>68</v>
      </c>
      <c r="AJ2328" t="s">
        <v>66</v>
      </c>
      <c r="AK2328" s="3" t="s">
        <v>114</v>
      </c>
      <c r="AL2328" s="3">
        <v>1022</v>
      </c>
      <c r="AS2328" t="s">
        <v>2100</v>
      </c>
      <c r="AT2328" t="s">
        <v>88</v>
      </c>
      <c r="AU2328" t="s">
        <v>273</v>
      </c>
      <c r="AV2328" s="14">
        <v>0</v>
      </c>
    </row>
    <row r="2329" spans="29:48">
      <c r="AC2329"/>
      <c r="AH2329" t="s">
        <v>1887</v>
      </c>
      <c r="AI2329" t="s">
        <v>68</v>
      </c>
      <c r="AJ2329" t="s">
        <v>98</v>
      </c>
      <c r="AK2329" s="3" t="s">
        <v>114</v>
      </c>
      <c r="AL2329" s="3">
        <v>-58.387200137000001</v>
      </c>
      <c r="AS2329" t="s">
        <v>2101</v>
      </c>
      <c r="AT2329" t="s">
        <v>88</v>
      </c>
      <c r="AU2329" t="s">
        <v>109</v>
      </c>
      <c r="AV2329" s="14">
        <v>23776.782899999998</v>
      </c>
    </row>
    <row r="2330" spans="29:48">
      <c r="AC2330"/>
      <c r="AH2330" t="s">
        <v>1887</v>
      </c>
      <c r="AI2330" t="s">
        <v>68</v>
      </c>
      <c r="AJ2330" t="s">
        <v>66</v>
      </c>
      <c r="AK2330" s="3" t="s">
        <v>115</v>
      </c>
      <c r="AL2330" s="3">
        <v>11944.5</v>
      </c>
      <c r="AS2330" t="s">
        <v>2101</v>
      </c>
      <c r="AT2330" t="s">
        <v>88</v>
      </c>
      <c r="AU2330" t="s">
        <v>110</v>
      </c>
      <c r="AV2330" s="14">
        <v>897.61059999999998</v>
      </c>
    </row>
    <row r="2331" spans="29:48">
      <c r="AC2331"/>
      <c r="AH2331" t="s">
        <v>1887</v>
      </c>
      <c r="AI2331" t="s">
        <v>68</v>
      </c>
      <c r="AJ2331" t="s">
        <v>98</v>
      </c>
      <c r="AK2331" s="3" t="s">
        <v>115</v>
      </c>
      <c r="AL2331" s="3">
        <v>-313.6335462779</v>
      </c>
      <c r="AS2331" t="s">
        <v>2101</v>
      </c>
      <c r="AT2331" t="s">
        <v>88</v>
      </c>
      <c r="AU2331" t="s">
        <v>111</v>
      </c>
      <c r="AV2331" s="14">
        <v>8125</v>
      </c>
    </row>
    <row r="2332" spans="29:48">
      <c r="AC2332"/>
      <c r="AH2332" t="s">
        <v>1887</v>
      </c>
      <c r="AI2332" t="s">
        <v>800</v>
      </c>
      <c r="AJ2332" t="s">
        <v>31</v>
      </c>
      <c r="AK2332" s="3" t="s">
        <v>27</v>
      </c>
      <c r="AL2332" s="3">
        <v>3.9934039860000001</v>
      </c>
      <c r="AS2332" t="s">
        <v>2101</v>
      </c>
      <c r="AT2332" t="s">
        <v>88</v>
      </c>
      <c r="AU2332" t="s">
        <v>268</v>
      </c>
      <c r="AV2332" s="14">
        <v>-2390</v>
      </c>
    </row>
    <row r="2333" spans="29:48">
      <c r="AC2333"/>
      <c r="AH2333" t="s">
        <v>1888</v>
      </c>
      <c r="AI2333" t="s">
        <v>65</v>
      </c>
      <c r="AJ2333" t="s">
        <v>66</v>
      </c>
      <c r="AK2333" s="3" t="s">
        <v>27</v>
      </c>
      <c r="AL2333" s="3">
        <v>34929.699999999997</v>
      </c>
      <c r="AS2333" t="s">
        <v>2101</v>
      </c>
      <c r="AT2333" t="s">
        <v>88</v>
      </c>
      <c r="AU2333" t="s">
        <v>269</v>
      </c>
      <c r="AV2333" s="14">
        <v>0</v>
      </c>
    </row>
    <row r="2334" spans="29:48">
      <c r="AC2334"/>
      <c r="AH2334" t="s">
        <v>1888</v>
      </c>
      <c r="AI2334" t="s">
        <v>65</v>
      </c>
      <c r="AJ2334" t="s">
        <v>72</v>
      </c>
      <c r="AK2334" s="3" t="s">
        <v>27</v>
      </c>
      <c r="AL2334" s="3">
        <v>36135.120791000001</v>
      </c>
      <c r="AS2334" t="s">
        <v>2101</v>
      </c>
      <c r="AT2334" t="s">
        <v>88</v>
      </c>
      <c r="AU2334" t="s">
        <v>270</v>
      </c>
      <c r="AV2334" s="14">
        <v>0</v>
      </c>
    </row>
    <row r="2335" spans="29:48">
      <c r="AC2335"/>
      <c r="AH2335" t="s">
        <v>1888</v>
      </c>
      <c r="AI2335" t="s">
        <v>65</v>
      </c>
      <c r="AJ2335" t="s">
        <v>113</v>
      </c>
      <c r="AK2335" s="3" t="s">
        <v>27</v>
      </c>
      <c r="AL2335" s="3">
        <v>1928.0740811655</v>
      </c>
      <c r="AS2335" t="s">
        <v>2101</v>
      </c>
      <c r="AT2335" t="s">
        <v>88</v>
      </c>
      <c r="AU2335" t="s">
        <v>271</v>
      </c>
      <c r="AV2335" s="14">
        <v>0</v>
      </c>
    </row>
    <row r="2336" spans="29:48">
      <c r="AC2336"/>
      <c r="AH2336" t="s">
        <v>1888</v>
      </c>
      <c r="AI2336" t="s">
        <v>65</v>
      </c>
      <c r="AJ2336" t="s">
        <v>108</v>
      </c>
      <c r="AK2336" s="3" t="s">
        <v>27</v>
      </c>
      <c r="AL2336" s="3">
        <v>-722.65329016550004</v>
      </c>
      <c r="AS2336" t="s">
        <v>2101</v>
      </c>
      <c r="AT2336" t="s">
        <v>88</v>
      </c>
      <c r="AU2336" t="s">
        <v>272</v>
      </c>
      <c r="AV2336" s="14">
        <v>0</v>
      </c>
    </row>
    <row r="2337" spans="29:48">
      <c r="AC2337"/>
      <c r="AH2337" t="s">
        <v>1888</v>
      </c>
      <c r="AI2337" t="s">
        <v>65</v>
      </c>
      <c r="AJ2337" t="s">
        <v>98</v>
      </c>
      <c r="AK2337" s="3" t="s">
        <v>27</v>
      </c>
      <c r="AL2337" s="3">
        <v>-722.65329016550004</v>
      </c>
      <c r="AS2337" t="s">
        <v>2101</v>
      </c>
      <c r="AT2337" t="s">
        <v>88</v>
      </c>
      <c r="AU2337" t="s">
        <v>273</v>
      </c>
      <c r="AV2337" s="14">
        <v>0</v>
      </c>
    </row>
    <row r="2338" spans="29:48">
      <c r="AC2338"/>
      <c r="AH2338" t="s">
        <v>1888</v>
      </c>
      <c r="AI2338" t="s">
        <v>67</v>
      </c>
      <c r="AJ2338" t="s">
        <v>66</v>
      </c>
      <c r="AK2338" s="3" t="s">
        <v>27</v>
      </c>
      <c r="AL2338" s="3">
        <v>-17426.2</v>
      </c>
      <c r="AS2338" t="s">
        <v>2102</v>
      </c>
      <c r="AT2338" t="s">
        <v>88</v>
      </c>
      <c r="AU2338" t="s">
        <v>109</v>
      </c>
      <c r="AV2338" s="14">
        <v>23926.782899999998</v>
      </c>
    </row>
    <row r="2339" spans="29:48">
      <c r="AC2339"/>
      <c r="AH2339" t="s">
        <v>1888</v>
      </c>
      <c r="AI2339" t="s">
        <v>67</v>
      </c>
      <c r="AJ2339" t="s">
        <v>72</v>
      </c>
      <c r="AK2339" s="3" t="s">
        <v>27</v>
      </c>
      <c r="AL2339" s="3">
        <v>-18653.276576</v>
      </c>
      <c r="AS2339" t="s">
        <v>2102</v>
      </c>
      <c r="AT2339" t="s">
        <v>88</v>
      </c>
      <c r="AU2339" t="s">
        <v>110</v>
      </c>
      <c r="AV2339" s="14">
        <v>897.61059999999998</v>
      </c>
    </row>
    <row r="2340" spans="29:48">
      <c r="AC2340"/>
      <c r="AH2340" t="s">
        <v>1888</v>
      </c>
      <c r="AI2340" t="s">
        <v>67</v>
      </c>
      <c r="AJ2340" t="s">
        <v>113</v>
      </c>
      <c r="AK2340" s="3" t="s">
        <v>27</v>
      </c>
      <c r="AL2340" s="3">
        <v>-1192.8647436583001</v>
      </c>
      <c r="AS2340" t="s">
        <v>2102</v>
      </c>
      <c r="AT2340" t="s">
        <v>88</v>
      </c>
      <c r="AU2340" t="s">
        <v>111</v>
      </c>
      <c r="AV2340" s="14">
        <v>8125</v>
      </c>
    </row>
    <row r="2341" spans="29:48">
      <c r="AC2341"/>
      <c r="AH2341" t="s">
        <v>1888</v>
      </c>
      <c r="AI2341" t="s">
        <v>67</v>
      </c>
      <c r="AJ2341" t="s">
        <v>108</v>
      </c>
      <c r="AK2341" s="3" t="s">
        <v>27</v>
      </c>
      <c r="AL2341" s="3">
        <v>-34.211832341700003</v>
      </c>
      <c r="AS2341" t="s">
        <v>2102</v>
      </c>
      <c r="AT2341" t="s">
        <v>88</v>
      </c>
      <c r="AU2341" t="s">
        <v>268</v>
      </c>
      <c r="AV2341" s="14">
        <v>-1740</v>
      </c>
    </row>
    <row r="2342" spans="29:48">
      <c r="AC2342"/>
      <c r="AH2342" t="s">
        <v>1888</v>
      </c>
      <c r="AI2342" t="s">
        <v>67</v>
      </c>
      <c r="AJ2342" t="s">
        <v>98</v>
      </c>
      <c r="AK2342" s="3" t="s">
        <v>27</v>
      </c>
      <c r="AL2342" s="3">
        <v>-34.211832341700003</v>
      </c>
      <c r="AS2342" t="s">
        <v>2102</v>
      </c>
      <c r="AT2342" t="s">
        <v>88</v>
      </c>
      <c r="AU2342" t="s">
        <v>269</v>
      </c>
      <c r="AV2342" s="14">
        <v>0</v>
      </c>
    </row>
    <row r="2343" spans="29:48">
      <c r="AC2343"/>
      <c r="AH2343" t="s">
        <v>1888</v>
      </c>
      <c r="AI2343" t="s">
        <v>67</v>
      </c>
      <c r="AJ2343" t="s">
        <v>66</v>
      </c>
      <c r="AK2343" s="3" t="s">
        <v>114</v>
      </c>
      <c r="AL2343" s="3">
        <v>310</v>
      </c>
      <c r="AS2343" t="s">
        <v>2102</v>
      </c>
      <c r="AT2343" t="s">
        <v>88</v>
      </c>
      <c r="AU2343" t="s">
        <v>270</v>
      </c>
      <c r="AV2343" s="14">
        <v>0</v>
      </c>
    </row>
    <row r="2344" spans="29:48">
      <c r="AC2344"/>
      <c r="AH2344" t="s">
        <v>1888</v>
      </c>
      <c r="AI2344" t="s">
        <v>67</v>
      </c>
      <c r="AJ2344" t="s">
        <v>98</v>
      </c>
      <c r="AK2344" s="3" t="s">
        <v>114</v>
      </c>
      <c r="AL2344" s="3">
        <v>-13.509569862999999</v>
      </c>
      <c r="AS2344" t="s">
        <v>2102</v>
      </c>
      <c r="AT2344" t="s">
        <v>88</v>
      </c>
      <c r="AU2344" t="s">
        <v>271</v>
      </c>
      <c r="AV2344" s="14">
        <v>0</v>
      </c>
    </row>
    <row r="2345" spans="29:48">
      <c r="AC2345"/>
      <c r="AH2345" t="s">
        <v>1888</v>
      </c>
      <c r="AI2345" t="s">
        <v>67</v>
      </c>
      <c r="AJ2345" t="s">
        <v>66</v>
      </c>
      <c r="AK2345" s="3" t="s">
        <v>115</v>
      </c>
      <c r="AL2345" s="3">
        <v>17736.2</v>
      </c>
      <c r="AS2345" t="s">
        <v>2102</v>
      </c>
      <c r="AT2345" t="s">
        <v>88</v>
      </c>
      <c r="AU2345" t="s">
        <v>272</v>
      </c>
      <c r="AV2345" s="14">
        <v>0</v>
      </c>
    </row>
    <row r="2346" spans="29:48">
      <c r="AC2346"/>
      <c r="AH2346" t="s">
        <v>1888</v>
      </c>
      <c r="AI2346" t="s">
        <v>67</v>
      </c>
      <c r="AJ2346" t="s">
        <v>98</v>
      </c>
      <c r="AK2346" s="3" t="s">
        <v>115</v>
      </c>
      <c r="AL2346" s="3">
        <v>20.7022624787</v>
      </c>
      <c r="AS2346" t="s">
        <v>2102</v>
      </c>
      <c r="AT2346" t="s">
        <v>88</v>
      </c>
      <c r="AU2346" t="s">
        <v>273</v>
      </c>
      <c r="AV2346" s="14">
        <v>0</v>
      </c>
    </row>
    <row r="2347" spans="29:48">
      <c r="AC2347"/>
      <c r="AH2347" t="s">
        <v>1888</v>
      </c>
      <c r="AI2347" t="s">
        <v>68</v>
      </c>
      <c r="AJ2347" t="s">
        <v>66</v>
      </c>
      <c r="AK2347" s="3" t="s">
        <v>27</v>
      </c>
      <c r="AL2347" s="3">
        <v>-10991.5</v>
      </c>
      <c r="AS2347" t="s">
        <v>2103</v>
      </c>
      <c r="AT2347" t="s">
        <v>88</v>
      </c>
      <c r="AU2347" t="s">
        <v>109</v>
      </c>
      <c r="AV2347" s="14">
        <v>29476.782899999998</v>
      </c>
    </row>
    <row r="2348" spans="29:48">
      <c r="AC2348"/>
      <c r="AH2348" t="s">
        <v>1888</v>
      </c>
      <c r="AI2348" t="s">
        <v>68</v>
      </c>
      <c r="AJ2348" t="s">
        <v>72</v>
      </c>
      <c r="AK2348" s="3" t="s">
        <v>27</v>
      </c>
      <c r="AL2348" s="3">
        <v>-11381.146955</v>
      </c>
      <c r="AS2348" t="s">
        <v>2103</v>
      </c>
      <c r="AT2348" t="s">
        <v>88</v>
      </c>
      <c r="AU2348" t="s">
        <v>110</v>
      </c>
      <c r="AV2348" s="14">
        <v>897.61059999999998</v>
      </c>
    </row>
    <row r="2349" spans="29:48">
      <c r="AC2349"/>
      <c r="AH2349" t="s">
        <v>1888</v>
      </c>
      <c r="AI2349" t="s">
        <v>68</v>
      </c>
      <c r="AJ2349" t="s">
        <v>113</v>
      </c>
      <c r="AK2349" s="3" t="s">
        <v>27</v>
      </c>
      <c r="AL2349" s="3">
        <v>-680.70037605239997</v>
      </c>
      <c r="AS2349" t="s">
        <v>2103</v>
      </c>
      <c r="AT2349" t="s">
        <v>88</v>
      </c>
      <c r="AU2349" t="s">
        <v>111</v>
      </c>
      <c r="AV2349" s="14">
        <v>8125</v>
      </c>
    </row>
    <row r="2350" spans="29:48">
      <c r="AC2350"/>
      <c r="AH2350" t="s">
        <v>1888</v>
      </c>
      <c r="AI2350" t="s">
        <v>68</v>
      </c>
      <c r="AJ2350" t="s">
        <v>108</v>
      </c>
      <c r="AK2350" s="3" t="s">
        <v>27</v>
      </c>
      <c r="AL2350" s="3">
        <v>291.05342105239998</v>
      </c>
      <c r="AS2350" t="s">
        <v>2103</v>
      </c>
      <c r="AT2350" t="s">
        <v>88</v>
      </c>
      <c r="AU2350" t="s">
        <v>268</v>
      </c>
      <c r="AV2350" s="14">
        <v>200</v>
      </c>
    </row>
    <row r="2351" spans="29:48">
      <c r="AC2351"/>
      <c r="AH2351" t="s">
        <v>1888</v>
      </c>
      <c r="AI2351" t="s">
        <v>68</v>
      </c>
      <c r="AJ2351" t="s">
        <v>98</v>
      </c>
      <c r="AK2351" s="3" t="s">
        <v>27</v>
      </c>
      <c r="AL2351" s="3">
        <v>291.05342105239998</v>
      </c>
      <c r="AS2351" t="s">
        <v>2103</v>
      </c>
      <c r="AT2351" t="s">
        <v>88</v>
      </c>
      <c r="AU2351" t="s">
        <v>269</v>
      </c>
      <c r="AV2351" s="14">
        <v>0</v>
      </c>
    </row>
    <row r="2352" spans="29:48">
      <c r="AC2352"/>
      <c r="AH2352" t="s">
        <v>1888</v>
      </c>
      <c r="AI2352" t="s">
        <v>68</v>
      </c>
      <c r="AJ2352" t="s">
        <v>66</v>
      </c>
      <c r="AK2352" s="3" t="s">
        <v>114</v>
      </c>
      <c r="AL2352" s="3">
        <v>1372</v>
      </c>
      <c r="AS2352" t="s">
        <v>2103</v>
      </c>
      <c r="AT2352" t="s">
        <v>88</v>
      </c>
      <c r="AU2352" t="s">
        <v>270</v>
      </c>
      <c r="AV2352" s="14">
        <v>0</v>
      </c>
    </row>
    <row r="2353" spans="29:48">
      <c r="AC2353"/>
      <c r="AH2353" t="s">
        <v>1888</v>
      </c>
      <c r="AI2353" t="s">
        <v>68</v>
      </c>
      <c r="AJ2353" t="s">
        <v>98</v>
      </c>
      <c r="AK2353" s="3" t="s">
        <v>114</v>
      </c>
      <c r="AL2353" s="3">
        <v>-60.337884520499998</v>
      </c>
      <c r="AS2353" t="s">
        <v>2103</v>
      </c>
      <c r="AT2353" t="s">
        <v>88</v>
      </c>
      <c r="AU2353" t="s">
        <v>271</v>
      </c>
      <c r="AV2353" s="14">
        <v>0</v>
      </c>
    </row>
    <row r="2354" spans="29:48">
      <c r="AC2354"/>
      <c r="AH2354" t="s">
        <v>1888</v>
      </c>
      <c r="AI2354" t="s">
        <v>68</v>
      </c>
      <c r="AJ2354" t="s">
        <v>66</v>
      </c>
      <c r="AK2354" s="3" t="s">
        <v>115</v>
      </c>
      <c r="AL2354" s="3">
        <v>12363.5</v>
      </c>
      <c r="AS2354" t="s">
        <v>2103</v>
      </c>
      <c r="AT2354" t="s">
        <v>88</v>
      </c>
      <c r="AU2354" t="s">
        <v>272</v>
      </c>
      <c r="AV2354" s="14">
        <v>0</v>
      </c>
    </row>
    <row r="2355" spans="29:48">
      <c r="AC2355"/>
      <c r="AH2355" t="s">
        <v>1888</v>
      </c>
      <c r="AI2355" t="s">
        <v>68</v>
      </c>
      <c r="AJ2355" t="s">
        <v>98</v>
      </c>
      <c r="AK2355" s="3" t="s">
        <v>115</v>
      </c>
      <c r="AL2355" s="3">
        <v>-351.39130557290002</v>
      </c>
      <c r="AS2355" t="s">
        <v>2103</v>
      </c>
      <c r="AT2355" t="s">
        <v>88</v>
      </c>
      <c r="AU2355" t="s">
        <v>273</v>
      </c>
      <c r="AV2355" s="14">
        <v>0</v>
      </c>
    </row>
    <row r="2356" spans="29:48">
      <c r="AC2356"/>
      <c r="AH2356" t="s">
        <v>1888</v>
      </c>
      <c r="AI2356" t="s">
        <v>800</v>
      </c>
      <c r="AJ2356" t="s">
        <v>31</v>
      </c>
      <c r="AK2356" s="3" t="s">
        <v>27</v>
      </c>
      <c r="AL2356" s="3">
        <v>3.997726669</v>
      </c>
      <c r="AS2356" t="s">
        <v>2104</v>
      </c>
      <c r="AT2356" t="s">
        <v>88</v>
      </c>
      <c r="AU2356" t="s">
        <v>109</v>
      </c>
      <c r="AV2356" s="14">
        <v>20726.782899999998</v>
      </c>
    </row>
    <row r="2357" spans="29:48">
      <c r="AC2357"/>
      <c r="AH2357" t="s">
        <v>1889</v>
      </c>
      <c r="AI2357" t="s">
        <v>65</v>
      </c>
      <c r="AJ2357" t="s">
        <v>66</v>
      </c>
      <c r="AK2357" s="3" t="s">
        <v>27</v>
      </c>
      <c r="AL2357" s="3">
        <v>36410.699999999997</v>
      </c>
      <c r="AS2357" t="s">
        <v>2104</v>
      </c>
      <c r="AT2357" t="s">
        <v>88</v>
      </c>
      <c r="AU2357" t="s">
        <v>110</v>
      </c>
      <c r="AV2357" s="14">
        <v>897.61059999999998</v>
      </c>
    </row>
    <row r="2358" spans="29:48">
      <c r="AC2358"/>
      <c r="AH2358" t="s">
        <v>1889</v>
      </c>
      <c r="AI2358" t="s">
        <v>65</v>
      </c>
      <c r="AJ2358" t="s">
        <v>72</v>
      </c>
      <c r="AK2358" s="3" t="s">
        <v>27</v>
      </c>
      <c r="AL2358" s="3">
        <v>37561.283238999997</v>
      </c>
      <c r="AS2358" t="s">
        <v>2104</v>
      </c>
      <c r="AT2358" t="s">
        <v>88</v>
      </c>
      <c r="AU2358" t="s">
        <v>111</v>
      </c>
      <c r="AV2358" s="14">
        <v>8125</v>
      </c>
    </row>
    <row r="2359" spans="29:48">
      <c r="AC2359"/>
      <c r="AH2359" t="s">
        <v>1889</v>
      </c>
      <c r="AI2359" t="s">
        <v>65</v>
      </c>
      <c r="AJ2359" t="s">
        <v>113</v>
      </c>
      <c r="AK2359" s="3" t="s">
        <v>27</v>
      </c>
      <c r="AL2359" s="3">
        <v>1971.2288111206999</v>
      </c>
      <c r="AS2359" t="s">
        <v>2104</v>
      </c>
      <c r="AT2359" t="s">
        <v>88</v>
      </c>
      <c r="AU2359" t="s">
        <v>268</v>
      </c>
      <c r="AV2359" s="14">
        <v>5600</v>
      </c>
    </row>
    <row r="2360" spans="29:48">
      <c r="AC2360"/>
      <c r="AH2360" t="s">
        <v>1889</v>
      </c>
      <c r="AI2360" t="s">
        <v>65</v>
      </c>
      <c r="AJ2360" t="s">
        <v>108</v>
      </c>
      <c r="AK2360" s="3" t="s">
        <v>27</v>
      </c>
      <c r="AL2360" s="3">
        <v>-820.64557212069997</v>
      </c>
      <c r="AS2360" t="s">
        <v>2104</v>
      </c>
      <c r="AT2360" t="s">
        <v>88</v>
      </c>
      <c r="AU2360" t="s">
        <v>269</v>
      </c>
      <c r="AV2360" s="14">
        <v>0</v>
      </c>
    </row>
    <row r="2361" spans="29:48">
      <c r="AC2361"/>
      <c r="AH2361" t="s">
        <v>1889</v>
      </c>
      <c r="AI2361" t="s">
        <v>65</v>
      </c>
      <c r="AJ2361" t="s">
        <v>98</v>
      </c>
      <c r="AK2361" s="3" t="s">
        <v>27</v>
      </c>
      <c r="AL2361" s="3">
        <v>-820.64557212069997</v>
      </c>
      <c r="AS2361" t="s">
        <v>2104</v>
      </c>
      <c r="AT2361" t="s">
        <v>88</v>
      </c>
      <c r="AU2361" t="s">
        <v>270</v>
      </c>
      <c r="AV2361" s="14">
        <v>0</v>
      </c>
    </row>
    <row r="2362" spans="29:48">
      <c r="AC2362"/>
      <c r="AH2362" t="s">
        <v>1889</v>
      </c>
      <c r="AI2362" t="s">
        <v>67</v>
      </c>
      <c r="AJ2362" t="s">
        <v>66</v>
      </c>
      <c r="AK2362" s="3" t="s">
        <v>27</v>
      </c>
      <c r="AL2362" s="3">
        <v>-18535.2</v>
      </c>
      <c r="AS2362" t="s">
        <v>2104</v>
      </c>
      <c r="AT2362" t="s">
        <v>88</v>
      </c>
      <c r="AU2362" t="s">
        <v>271</v>
      </c>
      <c r="AV2362" s="14">
        <v>0</v>
      </c>
    </row>
    <row r="2363" spans="29:48">
      <c r="AC2363"/>
      <c r="AH2363" t="s">
        <v>1889</v>
      </c>
      <c r="AI2363" t="s">
        <v>67</v>
      </c>
      <c r="AJ2363" t="s">
        <v>72</v>
      </c>
      <c r="AK2363" s="3" t="s">
        <v>27</v>
      </c>
      <c r="AL2363" s="3">
        <v>-19741.850479000001</v>
      </c>
      <c r="AS2363" t="s">
        <v>2104</v>
      </c>
      <c r="AT2363" t="s">
        <v>88</v>
      </c>
      <c r="AU2363" t="s">
        <v>272</v>
      </c>
      <c r="AV2363" s="14">
        <v>0</v>
      </c>
    </row>
    <row r="2364" spans="29:48">
      <c r="AC2364"/>
      <c r="AH2364" t="s">
        <v>1889</v>
      </c>
      <c r="AI2364" t="s">
        <v>67</v>
      </c>
      <c r="AJ2364" t="s">
        <v>113</v>
      </c>
      <c r="AK2364" s="3" t="s">
        <v>27</v>
      </c>
      <c r="AL2364" s="3">
        <v>-1261.3677742939001</v>
      </c>
      <c r="AS2364" t="s">
        <v>2104</v>
      </c>
      <c r="AT2364" t="s">
        <v>88</v>
      </c>
      <c r="AU2364" t="s">
        <v>273</v>
      </c>
      <c r="AV2364" s="14">
        <v>0</v>
      </c>
    </row>
    <row r="2365" spans="29:48">
      <c r="AC2365"/>
      <c r="AH2365" t="s">
        <v>1889</v>
      </c>
      <c r="AI2365" t="s">
        <v>67</v>
      </c>
      <c r="AJ2365" t="s">
        <v>108</v>
      </c>
      <c r="AK2365" s="3" t="s">
        <v>27</v>
      </c>
      <c r="AL2365" s="3">
        <v>54.717295293900001</v>
      </c>
      <c r="AS2365" t="s">
        <v>2105</v>
      </c>
      <c r="AT2365" t="s">
        <v>88</v>
      </c>
      <c r="AU2365" t="s">
        <v>109</v>
      </c>
      <c r="AV2365" s="14">
        <v>26626.782899999998</v>
      </c>
    </row>
    <row r="2366" spans="29:48">
      <c r="AC2366"/>
      <c r="AH2366" t="s">
        <v>1889</v>
      </c>
      <c r="AI2366" t="s">
        <v>67</v>
      </c>
      <c r="AJ2366" t="s">
        <v>98</v>
      </c>
      <c r="AK2366" s="3" t="s">
        <v>27</v>
      </c>
      <c r="AL2366" s="3">
        <v>54.717295293900001</v>
      </c>
      <c r="AS2366" t="s">
        <v>2105</v>
      </c>
      <c r="AT2366" t="s">
        <v>88</v>
      </c>
      <c r="AU2366" t="s">
        <v>110</v>
      </c>
      <c r="AV2366" s="14">
        <v>897.61059999999998</v>
      </c>
    </row>
    <row r="2367" spans="29:48">
      <c r="AC2367"/>
      <c r="AH2367" t="s">
        <v>1889</v>
      </c>
      <c r="AI2367" t="s">
        <v>67</v>
      </c>
      <c r="AJ2367" t="s">
        <v>66</v>
      </c>
      <c r="AK2367" s="3" t="s">
        <v>114</v>
      </c>
      <c r="AL2367" s="3">
        <v>300</v>
      </c>
      <c r="AS2367" t="s">
        <v>2105</v>
      </c>
      <c r="AT2367" t="s">
        <v>88</v>
      </c>
      <c r="AU2367" t="s">
        <v>111</v>
      </c>
      <c r="AV2367" s="14">
        <v>8125</v>
      </c>
    </row>
    <row r="2368" spans="29:48">
      <c r="AC2368"/>
      <c r="AH2368" t="s">
        <v>1889</v>
      </c>
      <c r="AI2368" t="s">
        <v>67</v>
      </c>
      <c r="AJ2368" t="s">
        <v>98</v>
      </c>
      <c r="AK2368" s="3" t="s">
        <v>114</v>
      </c>
      <c r="AL2368" s="3">
        <v>-19.871917808199999</v>
      </c>
      <c r="AS2368" t="s">
        <v>2105</v>
      </c>
      <c r="AT2368" t="s">
        <v>88</v>
      </c>
      <c r="AU2368" t="s">
        <v>268</v>
      </c>
      <c r="AV2368" s="14">
        <v>3800</v>
      </c>
    </row>
    <row r="2369" spans="29:48">
      <c r="AC2369"/>
      <c r="AH2369" t="s">
        <v>1889</v>
      </c>
      <c r="AI2369" t="s">
        <v>67</v>
      </c>
      <c r="AJ2369" t="s">
        <v>66</v>
      </c>
      <c r="AK2369" s="3" t="s">
        <v>115</v>
      </c>
      <c r="AL2369" s="3">
        <v>18835.2</v>
      </c>
      <c r="AS2369" t="s">
        <v>2105</v>
      </c>
      <c r="AT2369" t="s">
        <v>88</v>
      </c>
      <c r="AU2369" t="s">
        <v>269</v>
      </c>
      <c r="AV2369" s="14">
        <v>0</v>
      </c>
    </row>
    <row r="2370" spans="29:48">
      <c r="AC2370"/>
      <c r="AH2370" t="s">
        <v>1889</v>
      </c>
      <c r="AI2370" t="s">
        <v>67</v>
      </c>
      <c r="AJ2370" t="s">
        <v>98</v>
      </c>
      <c r="AK2370" s="3" t="s">
        <v>115</v>
      </c>
      <c r="AL2370" s="3">
        <v>-74.589213102100004</v>
      </c>
      <c r="AS2370" t="s">
        <v>2105</v>
      </c>
      <c r="AT2370" t="s">
        <v>88</v>
      </c>
      <c r="AU2370" t="s">
        <v>270</v>
      </c>
      <c r="AV2370" s="14">
        <v>0</v>
      </c>
    </row>
    <row r="2371" spans="29:48">
      <c r="AC2371"/>
      <c r="AH2371" t="s">
        <v>1889</v>
      </c>
      <c r="AI2371" t="s">
        <v>68</v>
      </c>
      <c r="AJ2371" t="s">
        <v>66</v>
      </c>
      <c r="AK2371" s="3" t="s">
        <v>27</v>
      </c>
      <c r="AL2371" s="3">
        <v>-11363.5</v>
      </c>
      <c r="AS2371" t="s">
        <v>2105</v>
      </c>
      <c r="AT2371" t="s">
        <v>88</v>
      </c>
      <c r="AU2371" t="s">
        <v>271</v>
      </c>
      <c r="AV2371" s="14">
        <v>0</v>
      </c>
    </row>
    <row r="2372" spans="29:48">
      <c r="AC2372"/>
      <c r="AH2372" t="s">
        <v>1889</v>
      </c>
      <c r="AI2372" t="s">
        <v>68</v>
      </c>
      <c r="AJ2372" t="s">
        <v>72</v>
      </c>
      <c r="AK2372" s="3" t="s">
        <v>27</v>
      </c>
      <c r="AL2372" s="3">
        <v>-11719.37962</v>
      </c>
      <c r="AS2372" t="s">
        <v>2105</v>
      </c>
      <c r="AT2372" t="s">
        <v>88</v>
      </c>
      <c r="AU2372" t="s">
        <v>272</v>
      </c>
      <c r="AV2372" s="14">
        <v>0</v>
      </c>
    </row>
    <row r="2373" spans="29:48">
      <c r="AC2373"/>
      <c r="AH2373" t="s">
        <v>1889</v>
      </c>
      <c r="AI2373" t="s">
        <v>68</v>
      </c>
      <c r="AJ2373" t="s">
        <v>113</v>
      </c>
      <c r="AK2373" s="3" t="s">
        <v>27</v>
      </c>
      <c r="AL2373" s="3">
        <v>-655.24248022070003</v>
      </c>
      <c r="AS2373" t="s">
        <v>2105</v>
      </c>
      <c r="AT2373" t="s">
        <v>88</v>
      </c>
      <c r="AU2373" t="s">
        <v>273</v>
      </c>
      <c r="AV2373" s="14">
        <v>0</v>
      </c>
    </row>
    <row r="2374" spans="29:48">
      <c r="AC2374"/>
      <c r="AH2374" t="s">
        <v>1889</v>
      </c>
      <c r="AI2374" t="s">
        <v>68</v>
      </c>
      <c r="AJ2374" t="s">
        <v>108</v>
      </c>
      <c r="AK2374" s="3" t="s">
        <v>27</v>
      </c>
      <c r="AL2374" s="3">
        <v>299.36286022069999</v>
      </c>
      <c r="AS2374" t="s">
        <v>2106</v>
      </c>
      <c r="AT2374" t="s">
        <v>88</v>
      </c>
      <c r="AU2374" t="s">
        <v>109</v>
      </c>
      <c r="AV2374" s="14">
        <v>25871.782899999998</v>
      </c>
    </row>
    <row r="2375" spans="29:48">
      <c r="AC2375"/>
      <c r="AH2375" t="s">
        <v>1889</v>
      </c>
      <c r="AI2375" t="s">
        <v>68</v>
      </c>
      <c r="AJ2375" t="s">
        <v>98</v>
      </c>
      <c r="AK2375" s="3" t="s">
        <v>27</v>
      </c>
      <c r="AL2375" s="3">
        <v>299.36286022069999</v>
      </c>
      <c r="AS2375" t="s">
        <v>2106</v>
      </c>
      <c r="AT2375" t="s">
        <v>88</v>
      </c>
      <c r="AU2375" t="s">
        <v>110</v>
      </c>
      <c r="AV2375" s="14">
        <v>897.61059999999998</v>
      </c>
    </row>
    <row r="2376" spans="29:48">
      <c r="AC2376"/>
      <c r="AH2376" t="s">
        <v>1889</v>
      </c>
      <c r="AI2376" t="s">
        <v>68</v>
      </c>
      <c r="AJ2376" t="s">
        <v>66</v>
      </c>
      <c r="AK2376" s="3" t="s">
        <v>114</v>
      </c>
      <c r="AL2376" s="3">
        <v>1582</v>
      </c>
      <c r="AS2376" t="s">
        <v>2106</v>
      </c>
      <c r="AT2376" t="s">
        <v>88</v>
      </c>
      <c r="AU2376" t="s">
        <v>111</v>
      </c>
      <c r="AV2376" s="14">
        <v>8125</v>
      </c>
    </row>
    <row r="2377" spans="29:48">
      <c r="AC2377"/>
      <c r="AH2377" t="s">
        <v>1889</v>
      </c>
      <c r="AI2377" t="s">
        <v>68</v>
      </c>
      <c r="AJ2377" t="s">
        <v>98</v>
      </c>
      <c r="AK2377" s="3" t="s">
        <v>114</v>
      </c>
      <c r="AL2377" s="3">
        <v>-66.5601610959</v>
      </c>
      <c r="AS2377" t="s">
        <v>2106</v>
      </c>
      <c r="AT2377" t="s">
        <v>88</v>
      </c>
      <c r="AU2377" t="s">
        <v>268</v>
      </c>
      <c r="AV2377" s="14">
        <v>1970</v>
      </c>
    </row>
    <row r="2378" spans="29:48">
      <c r="AC2378"/>
      <c r="AH2378" t="s">
        <v>1889</v>
      </c>
      <c r="AI2378" t="s">
        <v>68</v>
      </c>
      <c r="AJ2378" t="s">
        <v>66</v>
      </c>
      <c r="AK2378" s="3" t="s">
        <v>115</v>
      </c>
      <c r="AL2378" s="3">
        <v>12945.5</v>
      </c>
      <c r="AS2378" t="s">
        <v>2106</v>
      </c>
      <c r="AT2378" t="s">
        <v>88</v>
      </c>
      <c r="AU2378" t="s">
        <v>269</v>
      </c>
      <c r="AV2378" s="14">
        <v>0</v>
      </c>
    </row>
    <row r="2379" spans="29:48">
      <c r="AC2379"/>
      <c r="AH2379" t="s">
        <v>1889</v>
      </c>
      <c r="AI2379" t="s">
        <v>68</v>
      </c>
      <c r="AJ2379" t="s">
        <v>98</v>
      </c>
      <c r="AK2379" s="3" t="s">
        <v>115</v>
      </c>
      <c r="AL2379" s="3">
        <v>-365.9230213166</v>
      </c>
      <c r="AS2379" t="s">
        <v>2106</v>
      </c>
      <c r="AT2379" t="s">
        <v>88</v>
      </c>
      <c r="AU2379" t="s">
        <v>270</v>
      </c>
      <c r="AV2379" s="14">
        <v>0</v>
      </c>
    </row>
    <row r="2380" spans="29:48">
      <c r="AC2380"/>
      <c r="AH2380" t="s">
        <v>1889</v>
      </c>
      <c r="AI2380" t="s">
        <v>800</v>
      </c>
      <c r="AJ2380" t="s">
        <v>31</v>
      </c>
      <c r="AK2380" s="3" t="s">
        <v>27</v>
      </c>
      <c r="AL2380" s="3">
        <v>3.9705010980000002</v>
      </c>
      <c r="AS2380" t="s">
        <v>2106</v>
      </c>
      <c r="AT2380" t="s">
        <v>88</v>
      </c>
      <c r="AU2380" t="s">
        <v>271</v>
      </c>
      <c r="AV2380" s="14">
        <v>185</v>
      </c>
    </row>
    <row r="2381" spans="29:48">
      <c r="AC2381"/>
      <c r="AH2381" t="s">
        <v>1890</v>
      </c>
      <c r="AI2381" t="s">
        <v>65</v>
      </c>
      <c r="AJ2381" t="s">
        <v>66</v>
      </c>
      <c r="AK2381" s="3" t="s">
        <v>27</v>
      </c>
      <c r="AL2381" s="3">
        <v>35959.699999999997</v>
      </c>
      <c r="AS2381" t="s">
        <v>2106</v>
      </c>
      <c r="AT2381" t="s">
        <v>88</v>
      </c>
      <c r="AU2381" t="s">
        <v>272</v>
      </c>
      <c r="AV2381" s="14">
        <v>0</v>
      </c>
    </row>
    <row r="2382" spans="29:48">
      <c r="AC2382"/>
      <c r="AH2382" t="s">
        <v>1890</v>
      </c>
      <c r="AI2382" t="s">
        <v>65</v>
      </c>
      <c r="AJ2382" t="s">
        <v>72</v>
      </c>
      <c r="AK2382" s="3" t="s">
        <v>27</v>
      </c>
      <c r="AL2382" s="3">
        <v>37154.581403999997</v>
      </c>
      <c r="AS2382" t="s">
        <v>2106</v>
      </c>
      <c r="AT2382" t="s">
        <v>88</v>
      </c>
      <c r="AU2382" t="s">
        <v>273</v>
      </c>
      <c r="AV2382" s="14">
        <v>0</v>
      </c>
    </row>
    <row r="2383" spans="29:48">
      <c r="AC2383"/>
      <c r="AH2383" t="s">
        <v>1890</v>
      </c>
      <c r="AI2383" t="s">
        <v>65</v>
      </c>
      <c r="AJ2383" t="s">
        <v>113</v>
      </c>
      <c r="AK2383" s="3" t="s">
        <v>27</v>
      </c>
      <c r="AL2383" s="3">
        <v>1980.9280628639999</v>
      </c>
      <c r="AS2383" t="s">
        <v>2107</v>
      </c>
      <c r="AT2383" t="s">
        <v>88</v>
      </c>
      <c r="AU2383" t="s">
        <v>109</v>
      </c>
      <c r="AV2383" s="14">
        <v>23991.782899999998</v>
      </c>
    </row>
    <row r="2384" spans="29:48">
      <c r="AC2384"/>
      <c r="AH2384" t="s">
        <v>1890</v>
      </c>
      <c r="AI2384" t="s">
        <v>65</v>
      </c>
      <c r="AJ2384" t="s">
        <v>108</v>
      </c>
      <c r="AK2384" s="3" t="s">
        <v>27</v>
      </c>
      <c r="AL2384" s="3">
        <v>-786.04665886400005</v>
      </c>
      <c r="AS2384" t="s">
        <v>2107</v>
      </c>
      <c r="AT2384" t="s">
        <v>88</v>
      </c>
      <c r="AU2384" t="s">
        <v>110</v>
      </c>
      <c r="AV2384" s="14">
        <v>897.61059999999998</v>
      </c>
    </row>
    <row r="2385" spans="29:48">
      <c r="AC2385"/>
      <c r="AH2385" t="s">
        <v>1890</v>
      </c>
      <c r="AI2385" t="s">
        <v>65</v>
      </c>
      <c r="AJ2385" t="s">
        <v>98</v>
      </c>
      <c r="AK2385" s="3" t="s">
        <v>27</v>
      </c>
      <c r="AL2385" s="3">
        <v>-786.04665886400005</v>
      </c>
      <c r="AS2385" t="s">
        <v>2107</v>
      </c>
      <c r="AT2385" t="s">
        <v>88</v>
      </c>
      <c r="AU2385" t="s">
        <v>111</v>
      </c>
      <c r="AV2385" s="14">
        <v>8125</v>
      </c>
    </row>
    <row r="2386" spans="29:48">
      <c r="AC2386"/>
      <c r="AH2386" t="s">
        <v>1890</v>
      </c>
      <c r="AI2386" t="s">
        <v>67</v>
      </c>
      <c r="AJ2386" t="s">
        <v>66</v>
      </c>
      <c r="AK2386" s="3" t="s">
        <v>27</v>
      </c>
      <c r="AL2386" s="3">
        <v>-16503.2</v>
      </c>
      <c r="AS2386" t="s">
        <v>2107</v>
      </c>
      <c r="AT2386" t="s">
        <v>88</v>
      </c>
      <c r="AU2386" t="s">
        <v>268</v>
      </c>
      <c r="AV2386" s="14">
        <v>4250</v>
      </c>
    </row>
    <row r="2387" spans="29:48">
      <c r="AC2387"/>
      <c r="AH2387" t="s">
        <v>1890</v>
      </c>
      <c r="AI2387" t="s">
        <v>67</v>
      </c>
      <c r="AJ2387" t="s">
        <v>72</v>
      </c>
      <c r="AK2387" s="3" t="s">
        <v>27</v>
      </c>
      <c r="AL2387" s="3">
        <v>-17805.212544000002</v>
      </c>
      <c r="AS2387" t="s">
        <v>2107</v>
      </c>
      <c r="AT2387" t="s">
        <v>88</v>
      </c>
      <c r="AU2387" t="s">
        <v>269</v>
      </c>
      <c r="AV2387" s="14">
        <v>0</v>
      </c>
    </row>
    <row r="2388" spans="29:48">
      <c r="AC2388"/>
      <c r="AH2388" t="s">
        <v>1890</v>
      </c>
      <c r="AI2388" t="s">
        <v>67</v>
      </c>
      <c r="AJ2388" t="s">
        <v>113</v>
      </c>
      <c r="AK2388" s="3" t="s">
        <v>27</v>
      </c>
      <c r="AL2388" s="3">
        <v>-1229.9877507947001</v>
      </c>
      <c r="AS2388" t="s">
        <v>2107</v>
      </c>
      <c r="AT2388" t="s">
        <v>88</v>
      </c>
      <c r="AU2388" t="s">
        <v>270</v>
      </c>
      <c r="AV2388" s="14">
        <v>0</v>
      </c>
    </row>
    <row r="2389" spans="29:48">
      <c r="AC2389"/>
      <c r="AH2389" t="s">
        <v>1890</v>
      </c>
      <c r="AI2389" t="s">
        <v>67</v>
      </c>
      <c r="AJ2389" t="s">
        <v>108</v>
      </c>
      <c r="AK2389" s="3" t="s">
        <v>27</v>
      </c>
      <c r="AL2389" s="3">
        <v>-72.0247932053</v>
      </c>
      <c r="AS2389" t="s">
        <v>2107</v>
      </c>
      <c r="AT2389" t="s">
        <v>88</v>
      </c>
      <c r="AU2389" t="s">
        <v>271</v>
      </c>
      <c r="AV2389" s="14">
        <v>-400</v>
      </c>
    </row>
    <row r="2390" spans="29:48">
      <c r="AC2390"/>
      <c r="AH2390" t="s">
        <v>1890</v>
      </c>
      <c r="AI2390" t="s">
        <v>67</v>
      </c>
      <c r="AJ2390" t="s">
        <v>98</v>
      </c>
      <c r="AK2390" s="3" t="s">
        <v>27</v>
      </c>
      <c r="AL2390" s="3">
        <v>-72.0247932053</v>
      </c>
      <c r="AS2390" t="s">
        <v>2107</v>
      </c>
      <c r="AT2390" t="s">
        <v>88</v>
      </c>
      <c r="AU2390" t="s">
        <v>272</v>
      </c>
      <c r="AV2390" s="14">
        <v>0</v>
      </c>
    </row>
    <row r="2391" spans="29:48">
      <c r="AC2391"/>
      <c r="AH2391" t="s">
        <v>1890</v>
      </c>
      <c r="AI2391" t="s">
        <v>67</v>
      </c>
      <c r="AJ2391" t="s">
        <v>66</v>
      </c>
      <c r="AK2391" s="3" t="s">
        <v>114</v>
      </c>
      <c r="AL2391" s="3">
        <v>1351</v>
      </c>
      <c r="AS2391" t="s">
        <v>2107</v>
      </c>
      <c r="AT2391" t="s">
        <v>88</v>
      </c>
      <c r="AU2391" t="s">
        <v>273</v>
      </c>
      <c r="AV2391" s="14">
        <v>0</v>
      </c>
    </row>
    <row r="2392" spans="29:48">
      <c r="AC2392"/>
      <c r="AH2392" t="s">
        <v>1890</v>
      </c>
      <c r="AI2392" t="s">
        <v>67</v>
      </c>
      <c r="AJ2392" t="s">
        <v>98</v>
      </c>
      <c r="AK2392" s="3" t="s">
        <v>114</v>
      </c>
      <c r="AL2392" s="3">
        <v>-83.937876849299997</v>
      </c>
      <c r="AS2392" t="s">
        <v>2108</v>
      </c>
      <c r="AT2392" t="s">
        <v>88</v>
      </c>
      <c r="AU2392" t="s">
        <v>109</v>
      </c>
      <c r="AV2392" s="14">
        <v>23591.782899999998</v>
      </c>
    </row>
    <row r="2393" spans="29:48">
      <c r="AC2393"/>
      <c r="AH2393" t="s">
        <v>1890</v>
      </c>
      <c r="AI2393" t="s">
        <v>67</v>
      </c>
      <c r="AJ2393" t="s">
        <v>66</v>
      </c>
      <c r="AK2393" s="3" t="s">
        <v>115</v>
      </c>
      <c r="AL2393" s="3">
        <v>17854.2</v>
      </c>
      <c r="AS2393" t="s">
        <v>2108</v>
      </c>
      <c r="AT2393" t="s">
        <v>88</v>
      </c>
      <c r="AU2393" t="s">
        <v>110</v>
      </c>
      <c r="AV2393" s="14">
        <v>897.61059999999998</v>
      </c>
    </row>
    <row r="2394" spans="29:48">
      <c r="AC2394"/>
      <c r="AH2394" t="s">
        <v>1890</v>
      </c>
      <c r="AI2394" t="s">
        <v>67</v>
      </c>
      <c r="AJ2394" t="s">
        <v>98</v>
      </c>
      <c r="AK2394" s="3" t="s">
        <v>115</v>
      </c>
      <c r="AL2394" s="3">
        <v>-11.9130836441</v>
      </c>
      <c r="AS2394" t="s">
        <v>2108</v>
      </c>
      <c r="AT2394" t="s">
        <v>88</v>
      </c>
      <c r="AU2394" t="s">
        <v>111</v>
      </c>
      <c r="AV2394" s="14">
        <v>8125</v>
      </c>
    </row>
    <row r="2395" spans="29:48">
      <c r="AC2395"/>
      <c r="AH2395" t="s">
        <v>1890</v>
      </c>
      <c r="AI2395" t="s">
        <v>68</v>
      </c>
      <c r="AJ2395" t="s">
        <v>66</v>
      </c>
      <c r="AK2395" s="3" t="s">
        <v>27</v>
      </c>
      <c r="AL2395" s="3">
        <v>-12944.5</v>
      </c>
      <c r="AS2395" t="s">
        <v>2108</v>
      </c>
      <c r="AT2395" t="s">
        <v>88</v>
      </c>
      <c r="AU2395" t="s">
        <v>268</v>
      </c>
      <c r="AV2395" s="14">
        <v>4280</v>
      </c>
    </row>
    <row r="2396" spans="29:48">
      <c r="AC2396"/>
      <c r="AH2396" t="s">
        <v>1890</v>
      </c>
      <c r="AI2396" t="s">
        <v>68</v>
      </c>
      <c r="AJ2396" t="s">
        <v>72</v>
      </c>
      <c r="AK2396" s="3" t="s">
        <v>27</v>
      </c>
      <c r="AL2396" s="3">
        <v>-13249.0555</v>
      </c>
      <c r="AS2396" t="s">
        <v>2108</v>
      </c>
      <c r="AT2396" t="s">
        <v>88</v>
      </c>
      <c r="AU2396" t="s">
        <v>269</v>
      </c>
      <c r="AV2396" s="14">
        <v>0</v>
      </c>
    </row>
    <row r="2397" spans="29:48">
      <c r="AC2397"/>
      <c r="AH2397" t="s">
        <v>1890</v>
      </c>
      <c r="AI2397" t="s">
        <v>68</v>
      </c>
      <c r="AJ2397" t="s">
        <v>113</v>
      </c>
      <c r="AK2397" s="3" t="s">
        <v>27</v>
      </c>
      <c r="AL2397" s="3">
        <v>-696.28341307610003</v>
      </c>
      <c r="AS2397" t="s">
        <v>2108</v>
      </c>
      <c r="AT2397" t="s">
        <v>88</v>
      </c>
      <c r="AU2397" t="s">
        <v>270</v>
      </c>
      <c r="AV2397" s="14">
        <v>0</v>
      </c>
    </row>
    <row r="2398" spans="29:48">
      <c r="AC2398"/>
      <c r="AH2398" t="s">
        <v>1890</v>
      </c>
      <c r="AI2398" t="s">
        <v>68</v>
      </c>
      <c r="AJ2398" t="s">
        <v>108</v>
      </c>
      <c r="AK2398" s="3" t="s">
        <v>27</v>
      </c>
      <c r="AL2398" s="3">
        <v>391.72791307609998</v>
      </c>
      <c r="AS2398" t="s">
        <v>2108</v>
      </c>
      <c r="AT2398" t="s">
        <v>88</v>
      </c>
      <c r="AU2398" t="s">
        <v>271</v>
      </c>
      <c r="AV2398" s="14">
        <v>-500</v>
      </c>
    </row>
    <row r="2399" spans="29:48">
      <c r="AC2399"/>
      <c r="AH2399" t="s">
        <v>1890</v>
      </c>
      <c r="AI2399" t="s">
        <v>68</v>
      </c>
      <c r="AJ2399" t="s">
        <v>98</v>
      </c>
      <c r="AK2399" s="3" t="s">
        <v>27</v>
      </c>
      <c r="AL2399" s="3">
        <v>391.72791307609998</v>
      </c>
      <c r="AS2399" t="s">
        <v>2108</v>
      </c>
      <c r="AT2399" t="s">
        <v>88</v>
      </c>
      <c r="AU2399" t="s">
        <v>272</v>
      </c>
      <c r="AV2399" s="14">
        <v>0</v>
      </c>
    </row>
    <row r="2400" spans="29:48">
      <c r="AC2400"/>
      <c r="AH2400" t="s">
        <v>1890</v>
      </c>
      <c r="AI2400" t="s">
        <v>68</v>
      </c>
      <c r="AJ2400" t="s">
        <v>66</v>
      </c>
      <c r="AK2400" s="3" t="s">
        <v>114</v>
      </c>
      <c r="AL2400" s="3">
        <v>1882</v>
      </c>
      <c r="AS2400" t="s">
        <v>2108</v>
      </c>
      <c r="AT2400" t="s">
        <v>88</v>
      </c>
      <c r="AU2400" t="s">
        <v>273</v>
      </c>
      <c r="AV2400" s="14">
        <v>0</v>
      </c>
    </row>
    <row r="2401" spans="29:48">
      <c r="AC2401"/>
      <c r="AH2401" t="s">
        <v>1890</v>
      </c>
      <c r="AI2401" t="s">
        <v>68</v>
      </c>
      <c r="AJ2401" t="s">
        <v>98</v>
      </c>
      <c r="AK2401" s="3" t="s">
        <v>114</v>
      </c>
      <c r="AL2401" s="3">
        <v>-85.539658904099994</v>
      </c>
      <c r="AS2401" t="s">
        <v>2109</v>
      </c>
      <c r="AT2401" t="s">
        <v>88</v>
      </c>
      <c r="AU2401" t="s">
        <v>109</v>
      </c>
      <c r="AV2401" s="14">
        <v>22291.782899999998</v>
      </c>
    </row>
    <row r="2402" spans="29:48">
      <c r="AC2402"/>
      <c r="AH2402" t="s">
        <v>1890</v>
      </c>
      <c r="AI2402" t="s">
        <v>68</v>
      </c>
      <c r="AJ2402" t="s">
        <v>66</v>
      </c>
      <c r="AK2402" s="3" t="s">
        <v>115</v>
      </c>
      <c r="AL2402" s="3">
        <v>14826.5</v>
      </c>
      <c r="AS2402" t="s">
        <v>2109</v>
      </c>
      <c r="AT2402" t="s">
        <v>88</v>
      </c>
      <c r="AU2402" t="s">
        <v>110</v>
      </c>
      <c r="AV2402" s="14">
        <v>897.61059999999998</v>
      </c>
    </row>
    <row r="2403" spans="29:48">
      <c r="AC2403"/>
      <c r="AH2403" t="s">
        <v>1890</v>
      </c>
      <c r="AI2403" t="s">
        <v>68</v>
      </c>
      <c r="AJ2403" t="s">
        <v>98</v>
      </c>
      <c r="AK2403" s="3" t="s">
        <v>115</v>
      </c>
      <c r="AL2403" s="3">
        <v>-477.26757198019999</v>
      </c>
      <c r="AS2403" t="s">
        <v>2109</v>
      </c>
      <c r="AT2403" t="s">
        <v>88</v>
      </c>
      <c r="AU2403" t="s">
        <v>111</v>
      </c>
      <c r="AV2403" s="14">
        <v>8125</v>
      </c>
    </row>
    <row r="2404" spans="29:48">
      <c r="AC2404"/>
      <c r="AH2404" t="s">
        <v>1890</v>
      </c>
      <c r="AI2404" t="s">
        <v>800</v>
      </c>
      <c r="AJ2404" t="s">
        <v>31</v>
      </c>
      <c r="AK2404" s="3" t="s">
        <v>27</v>
      </c>
      <c r="AL2404" s="3">
        <v>3.9735421911</v>
      </c>
      <c r="AS2404" t="s">
        <v>2109</v>
      </c>
      <c r="AT2404" t="s">
        <v>88</v>
      </c>
      <c r="AU2404" t="s">
        <v>268</v>
      </c>
      <c r="AV2404" s="14">
        <v>2300</v>
      </c>
    </row>
    <row r="2405" spans="29:48">
      <c r="AC2405"/>
      <c r="AH2405" t="s">
        <v>1891</v>
      </c>
      <c r="AI2405" t="s">
        <v>65</v>
      </c>
      <c r="AJ2405" t="s">
        <v>66</v>
      </c>
      <c r="AK2405" s="3" t="s">
        <v>27</v>
      </c>
      <c r="AL2405" s="3">
        <v>33779.699999999997</v>
      </c>
      <c r="AS2405" t="s">
        <v>2109</v>
      </c>
      <c r="AT2405" t="s">
        <v>88</v>
      </c>
      <c r="AU2405" t="s">
        <v>269</v>
      </c>
      <c r="AV2405" s="14">
        <v>0</v>
      </c>
    </row>
    <row r="2406" spans="29:48">
      <c r="AC2406"/>
      <c r="AH2406" t="s">
        <v>1891</v>
      </c>
      <c r="AI2406" t="s">
        <v>65</v>
      </c>
      <c r="AJ2406" t="s">
        <v>72</v>
      </c>
      <c r="AK2406" s="3" t="s">
        <v>27</v>
      </c>
      <c r="AL2406" s="3">
        <v>34940.921686000002</v>
      </c>
      <c r="AS2406" t="s">
        <v>2109</v>
      </c>
      <c r="AT2406" t="s">
        <v>88</v>
      </c>
      <c r="AU2406" t="s">
        <v>270</v>
      </c>
      <c r="AV2406" s="14">
        <v>0</v>
      </c>
    </row>
    <row r="2407" spans="29:48">
      <c r="AC2407"/>
      <c r="AH2407" t="s">
        <v>1891</v>
      </c>
      <c r="AI2407" t="s">
        <v>65</v>
      </c>
      <c r="AJ2407" t="s">
        <v>113</v>
      </c>
      <c r="AK2407" s="3" t="s">
        <v>27</v>
      </c>
      <c r="AL2407" s="3">
        <v>1821.2221027186999</v>
      </c>
      <c r="AS2407" t="s">
        <v>2109</v>
      </c>
      <c r="AT2407" t="s">
        <v>88</v>
      </c>
      <c r="AU2407" t="s">
        <v>271</v>
      </c>
      <c r="AV2407" s="14">
        <v>-500</v>
      </c>
    </row>
    <row r="2408" spans="29:48">
      <c r="AC2408"/>
      <c r="AH2408" t="s">
        <v>1891</v>
      </c>
      <c r="AI2408" t="s">
        <v>65</v>
      </c>
      <c r="AJ2408" t="s">
        <v>108</v>
      </c>
      <c r="AK2408" s="3" t="s">
        <v>27</v>
      </c>
      <c r="AL2408" s="3">
        <v>-660.00041671860004</v>
      </c>
      <c r="AS2408" t="s">
        <v>2109</v>
      </c>
      <c r="AT2408" t="s">
        <v>88</v>
      </c>
      <c r="AU2408" t="s">
        <v>272</v>
      </c>
      <c r="AV2408" s="14">
        <v>0</v>
      </c>
    </row>
    <row r="2409" spans="29:48">
      <c r="AC2409"/>
      <c r="AH2409" t="s">
        <v>1891</v>
      </c>
      <c r="AI2409" t="s">
        <v>65</v>
      </c>
      <c r="AJ2409" t="s">
        <v>98</v>
      </c>
      <c r="AK2409" s="3" t="s">
        <v>27</v>
      </c>
      <c r="AL2409" s="3">
        <v>-660.00041671860004</v>
      </c>
      <c r="AS2409" t="s">
        <v>2109</v>
      </c>
      <c r="AT2409" t="s">
        <v>88</v>
      </c>
      <c r="AU2409" t="s">
        <v>273</v>
      </c>
      <c r="AV2409" s="14">
        <v>0</v>
      </c>
    </row>
    <row r="2410" spans="29:48">
      <c r="AC2410"/>
      <c r="AH2410" t="s">
        <v>1891</v>
      </c>
      <c r="AI2410" t="s">
        <v>67</v>
      </c>
      <c r="AJ2410" t="s">
        <v>66</v>
      </c>
      <c r="AK2410" s="3" t="s">
        <v>27</v>
      </c>
      <c r="AL2410" s="3">
        <v>-14774.2</v>
      </c>
      <c r="AS2410" t="s">
        <v>2110</v>
      </c>
      <c r="AT2410" t="s">
        <v>88</v>
      </c>
      <c r="AU2410" t="s">
        <v>109</v>
      </c>
      <c r="AV2410" s="14">
        <v>22791.782899999998</v>
      </c>
    </row>
    <row r="2411" spans="29:48">
      <c r="AC2411"/>
      <c r="AH2411" t="s">
        <v>1891</v>
      </c>
      <c r="AI2411" t="s">
        <v>67</v>
      </c>
      <c r="AJ2411" t="s">
        <v>72</v>
      </c>
      <c r="AK2411" s="3" t="s">
        <v>27</v>
      </c>
      <c r="AL2411" s="3">
        <v>-16012.742951</v>
      </c>
      <c r="AS2411" t="s">
        <v>2110</v>
      </c>
      <c r="AT2411" t="s">
        <v>88</v>
      </c>
      <c r="AU2411" t="s">
        <v>110</v>
      </c>
      <c r="AV2411" s="14">
        <v>897.61059999999998</v>
      </c>
    </row>
    <row r="2412" spans="29:48">
      <c r="AC2412"/>
      <c r="AH2412" t="s">
        <v>1891</v>
      </c>
      <c r="AI2412" t="s">
        <v>67</v>
      </c>
      <c r="AJ2412" t="s">
        <v>113</v>
      </c>
      <c r="AK2412" s="3" t="s">
        <v>27</v>
      </c>
      <c r="AL2412" s="3">
        <v>-1060.9724404581</v>
      </c>
      <c r="AS2412" t="s">
        <v>2110</v>
      </c>
      <c r="AT2412" t="s">
        <v>88</v>
      </c>
      <c r="AU2412" t="s">
        <v>111</v>
      </c>
      <c r="AV2412" s="14">
        <v>8125</v>
      </c>
    </row>
    <row r="2413" spans="29:48">
      <c r="AC2413"/>
      <c r="AH2413" t="s">
        <v>1891</v>
      </c>
      <c r="AI2413" t="s">
        <v>67</v>
      </c>
      <c r="AJ2413" t="s">
        <v>108</v>
      </c>
      <c r="AK2413" s="3" t="s">
        <v>27</v>
      </c>
      <c r="AL2413" s="3">
        <v>-177.57051054190001</v>
      </c>
      <c r="AS2413" t="s">
        <v>2110</v>
      </c>
      <c r="AT2413" t="s">
        <v>88</v>
      </c>
      <c r="AU2413" t="s">
        <v>268</v>
      </c>
      <c r="AV2413" s="14">
        <v>1800</v>
      </c>
    </row>
    <row r="2414" spans="29:48">
      <c r="AC2414"/>
      <c r="AH2414" t="s">
        <v>1891</v>
      </c>
      <c r="AI2414" t="s">
        <v>67</v>
      </c>
      <c r="AJ2414" t="s">
        <v>98</v>
      </c>
      <c r="AK2414" s="3" t="s">
        <v>27</v>
      </c>
      <c r="AL2414" s="3">
        <v>-177.57051054190001</v>
      </c>
      <c r="AS2414" t="s">
        <v>2110</v>
      </c>
      <c r="AT2414" t="s">
        <v>88</v>
      </c>
      <c r="AU2414" t="s">
        <v>269</v>
      </c>
      <c r="AV2414" s="14">
        <v>0</v>
      </c>
    </row>
    <row r="2415" spans="29:48">
      <c r="AC2415"/>
      <c r="AH2415" t="s">
        <v>1891</v>
      </c>
      <c r="AI2415" t="s">
        <v>67</v>
      </c>
      <c r="AJ2415" t="s">
        <v>66</v>
      </c>
      <c r="AK2415" s="3" t="s">
        <v>114</v>
      </c>
      <c r="AL2415" s="3">
        <v>3111</v>
      </c>
      <c r="AS2415" t="s">
        <v>2110</v>
      </c>
      <c r="AT2415" t="s">
        <v>88</v>
      </c>
      <c r="AU2415" t="s">
        <v>270</v>
      </c>
      <c r="AV2415" s="14">
        <v>0</v>
      </c>
    </row>
    <row r="2416" spans="29:48">
      <c r="AC2416"/>
      <c r="AH2416" t="s">
        <v>1891</v>
      </c>
      <c r="AI2416" t="s">
        <v>67</v>
      </c>
      <c r="AJ2416" t="s">
        <v>98</v>
      </c>
      <c r="AK2416" s="3" t="s">
        <v>114</v>
      </c>
      <c r="AL2416" s="3">
        <v>-180.27231739729999</v>
      </c>
      <c r="AS2416" t="s">
        <v>2110</v>
      </c>
      <c r="AT2416" t="s">
        <v>88</v>
      </c>
      <c r="AU2416" t="s">
        <v>271</v>
      </c>
      <c r="AV2416" s="14">
        <v>-800</v>
      </c>
    </row>
    <row r="2417" spans="29:48">
      <c r="AC2417"/>
      <c r="AH2417" t="s">
        <v>1891</v>
      </c>
      <c r="AI2417" t="s">
        <v>67</v>
      </c>
      <c r="AJ2417" t="s">
        <v>66</v>
      </c>
      <c r="AK2417" s="3" t="s">
        <v>115</v>
      </c>
      <c r="AL2417" s="3">
        <v>17885.2</v>
      </c>
      <c r="AS2417" t="s">
        <v>2110</v>
      </c>
      <c r="AT2417" t="s">
        <v>88</v>
      </c>
      <c r="AU2417" t="s">
        <v>272</v>
      </c>
      <c r="AV2417" s="14">
        <v>0</v>
      </c>
    </row>
    <row r="2418" spans="29:48">
      <c r="AC2418"/>
      <c r="AH2418" t="s">
        <v>1891</v>
      </c>
      <c r="AI2418" t="s">
        <v>67</v>
      </c>
      <c r="AJ2418" t="s">
        <v>98</v>
      </c>
      <c r="AK2418" s="3" t="s">
        <v>115</v>
      </c>
      <c r="AL2418" s="3">
        <v>-2.7018068553000001</v>
      </c>
      <c r="AS2418" t="s">
        <v>2110</v>
      </c>
      <c r="AT2418" t="s">
        <v>88</v>
      </c>
      <c r="AU2418" t="s">
        <v>273</v>
      </c>
      <c r="AV2418" s="14">
        <v>0</v>
      </c>
    </row>
    <row r="2419" spans="29:48">
      <c r="AC2419"/>
      <c r="AH2419" t="s">
        <v>1891</v>
      </c>
      <c r="AI2419" t="s">
        <v>68</v>
      </c>
      <c r="AJ2419" t="s">
        <v>66</v>
      </c>
      <c r="AK2419" s="3" t="s">
        <v>27</v>
      </c>
      <c r="AL2419" s="3">
        <v>-12393.5</v>
      </c>
      <c r="AS2419" t="s">
        <v>2111</v>
      </c>
      <c r="AT2419" t="s">
        <v>88</v>
      </c>
      <c r="AU2419" t="s">
        <v>109</v>
      </c>
      <c r="AV2419" s="14">
        <v>20862.6895</v>
      </c>
    </row>
    <row r="2420" spans="29:48">
      <c r="AC2420"/>
      <c r="AH2420" t="s">
        <v>1891</v>
      </c>
      <c r="AI2420" t="s">
        <v>68</v>
      </c>
      <c r="AJ2420" t="s">
        <v>72</v>
      </c>
      <c r="AK2420" s="3" t="s">
        <v>27</v>
      </c>
      <c r="AL2420" s="3">
        <v>-12729.960975</v>
      </c>
      <c r="AS2420" t="s">
        <v>2111</v>
      </c>
      <c r="AT2420" t="s">
        <v>88</v>
      </c>
      <c r="AU2420" t="s">
        <v>110</v>
      </c>
      <c r="AV2420" s="14">
        <v>897.61059999999998</v>
      </c>
    </row>
    <row r="2421" spans="29:48">
      <c r="AC2421"/>
      <c r="AH2421" t="s">
        <v>1891</v>
      </c>
      <c r="AI2421" t="s">
        <v>68</v>
      </c>
      <c r="AJ2421" t="s">
        <v>113</v>
      </c>
      <c r="AK2421" s="3" t="s">
        <v>27</v>
      </c>
      <c r="AL2421" s="3">
        <v>-705.80990073459998</v>
      </c>
      <c r="AS2421" t="s">
        <v>2111</v>
      </c>
      <c r="AT2421" t="s">
        <v>88</v>
      </c>
      <c r="AU2421" t="s">
        <v>111</v>
      </c>
      <c r="AV2421" s="14">
        <v>8125</v>
      </c>
    </row>
    <row r="2422" spans="29:48">
      <c r="AC2422"/>
      <c r="AH2422" t="s">
        <v>1891</v>
      </c>
      <c r="AI2422" t="s">
        <v>68</v>
      </c>
      <c r="AJ2422" t="s">
        <v>108</v>
      </c>
      <c r="AK2422" s="3" t="s">
        <v>27</v>
      </c>
      <c r="AL2422" s="3">
        <v>369.34892573460002</v>
      </c>
      <c r="AS2422" t="s">
        <v>2111</v>
      </c>
      <c r="AT2422" t="s">
        <v>88</v>
      </c>
      <c r="AU2422" t="s">
        <v>268</v>
      </c>
      <c r="AV2422" s="14">
        <v>1829.0934</v>
      </c>
    </row>
    <row r="2423" spans="29:48">
      <c r="AC2423"/>
      <c r="AH2423" t="s">
        <v>1891</v>
      </c>
      <c r="AI2423" t="s">
        <v>68</v>
      </c>
      <c r="AJ2423" t="s">
        <v>98</v>
      </c>
      <c r="AK2423" s="3" t="s">
        <v>27</v>
      </c>
      <c r="AL2423" s="3">
        <v>369.34892573460002</v>
      </c>
      <c r="AS2423" t="s">
        <v>2111</v>
      </c>
      <c r="AT2423" t="s">
        <v>88</v>
      </c>
      <c r="AU2423" t="s">
        <v>269</v>
      </c>
      <c r="AV2423" s="14">
        <v>0</v>
      </c>
    </row>
    <row r="2424" spans="29:48">
      <c r="AC2424"/>
      <c r="AH2424" t="s">
        <v>1891</v>
      </c>
      <c r="AI2424" t="s">
        <v>68</v>
      </c>
      <c r="AJ2424" t="s">
        <v>66</v>
      </c>
      <c r="AK2424" s="3" t="s">
        <v>114</v>
      </c>
      <c r="AL2424" s="3">
        <v>2822</v>
      </c>
      <c r="AS2424" t="s">
        <v>2111</v>
      </c>
      <c r="AT2424" t="s">
        <v>88</v>
      </c>
      <c r="AU2424" t="s">
        <v>270</v>
      </c>
      <c r="AV2424" s="14">
        <v>0</v>
      </c>
    </row>
    <row r="2425" spans="29:48">
      <c r="AC2425"/>
      <c r="AH2425" t="s">
        <v>1891</v>
      </c>
      <c r="AI2425" t="s">
        <v>68</v>
      </c>
      <c r="AJ2425" t="s">
        <v>98</v>
      </c>
      <c r="AK2425" s="3" t="s">
        <v>114</v>
      </c>
      <c r="AL2425" s="3">
        <v>-159.982980274</v>
      </c>
      <c r="AS2425" t="s">
        <v>2111</v>
      </c>
      <c r="AT2425" t="s">
        <v>88</v>
      </c>
      <c r="AU2425" t="s">
        <v>271</v>
      </c>
      <c r="AV2425" s="14">
        <v>-300</v>
      </c>
    </row>
    <row r="2426" spans="29:48">
      <c r="AC2426"/>
      <c r="AH2426" t="s">
        <v>1891</v>
      </c>
      <c r="AI2426" t="s">
        <v>68</v>
      </c>
      <c r="AJ2426" t="s">
        <v>66</v>
      </c>
      <c r="AK2426" s="3" t="s">
        <v>115</v>
      </c>
      <c r="AL2426" s="3">
        <v>15215.5</v>
      </c>
      <c r="AS2426" t="s">
        <v>2111</v>
      </c>
      <c r="AT2426" t="s">
        <v>88</v>
      </c>
      <c r="AU2426" t="s">
        <v>272</v>
      </c>
      <c r="AV2426" s="14">
        <v>0</v>
      </c>
    </row>
    <row r="2427" spans="29:48">
      <c r="AC2427"/>
      <c r="AH2427" t="s">
        <v>1891</v>
      </c>
      <c r="AI2427" t="s">
        <v>68</v>
      </c>
      <c r="AJ2427" t="s">
        <v>98</v>
      </c>
      <c r="AK2427" s="3" t="s">
        <v>115</v>
      </c>
      <c r="AL2427" s="3">
        <v>-529.33190600859996</v>
      </c>
      <c r="AS2427" t="s">
        <v>2111</v>
      </c>
      <c r="AT2427" t="s">
        <v>88</v>
      </c>
      <c r="AU2427" t="s">
        <v>273</v>
      </c>
      <c r="AV2427" s="14">
        <v>0</v>
      </c>
    </row>
    <row r="2428" spans="29:48">
      <c r="AC2428"/>
      <c r="AH2428" t="s">
        <v>1891</v>
      </c>
      <c r="AI2428" t="s">
        <v>800</v>
      </c>
      <c r="AJ2428" t="s">
        <v>31</v>
      </c>
      <c r="AK2428" s="3" t="s">
        <v>27</v>
      </c>
      <c r="AL2428" s="3">
        <v>4.0120071265000004</v>
      </c>
      <c r="AS2428" t="s">
        <v>2112</v>
      </c>
      <c r="AT2428" t="s">
        <v>88</v>
      </c>
      <c r="AU2428" t="s">
        <v>109</v>
      </c>
      <c r="AV2428" s="14">
        <v>20812.6895</v>
      </c>
    </row>
    <row r="2429" spans="29:48">
      <c r="AC2429"/>
      <c r="AH2429" t="s">
        <v>1892</v>
      </c>
      <c r="AI2429" t="s">
        <v>65</v>
      </c>
      <c r="AJ2429" t="s">
        <v>66</v>
      </c>
      <c r="AK2429" s="3" t="s">
        <v>27</v>
      </c>
      <c r="AL2429" s="3">
        <v>32711.7</v>
      </c>
      <c r="AS2429" t="s">
        <v>2112</v>
      </c>
      <c r="AT2429" t="s">
        <v>88</v>
      </c>
      <c r="AU2429" t="s">
        <v>110</v>
      </c>
      <c r="AV2429" s="14">
        <v>897.61059999999998</v>
      </c>
    </row>
    <row r="2430" spans="29:48">
      <c r="AC2430"/>
      <c r="AH2430" t="s">
        <v>1892</v>
      </c>
      <c r="AI2430" t="s">
        <v>65</v>
      </c>
      <c r="AJ2430" t="s">
        <v>72</v>
      </c>
      <c r="AK2430" s="3" t="s">
        <v>27</v>
      </c>
      <c r="AL2430" s="3">
        <v>33916.792734000002</v>
      </c>
      <c r="AS2430" t="s">
        <v>2112</v>
      </c>
      <c r="AT2430" t="s">
        <v>88</v>
      </c>
      <c r="AU2430" t="s">
        <v>111</v>
      </c>
      <c r="AV2430" s="14">
        <v>8125</v>
      </c>
    </row>
    <row r="2431" spans="29:48">
      <c r="AC2431"/>
      <c r="AH2431" t="s">
        <v>1892</v>
      </c>
      <c r="AI2431" t="s">
        <v>65</v>
      </c>
      <c r="AJ2431" t="s">
        <v>113</v>
      </c>
      <c r="AK2431" s="3" t="s">
        <v>27</v>
      </c>
      <c r="AL2431" s="3">
        <v>1796.6256180029</v>
      </c>
      <c r="AS2431" t="s">
        <v>2112</v>
      </c>
      <c r="AT2431" t="s">
        <v>88</v>
      </c>
      <c r="AU2431" t="s">
        <v>268</v>
      </c>
      <c r="AV2431" s="14">
        <v>1229.0934</v>
      </c>
    </row>
    <row r="2432" spans="29:48">
      <c r="AC2432"/>
      <c r="AH2432" t="s">
        <v>1892</v>
      </c>
      <c r="AI2432" t="s">
        <v>65</v>
      </c>
      <c r="AJ2432" t="s">
        <v>108</v>
      </c>
      <c r="AK2432" s="3" t="s">
        <v>27</v>
      </c>
      <c r="AL2432" s="3">
        <v>-591.5328840029</v>
      </c>
      <c r="AS2432" t="s">
        <v>2112</v>
      </c>
      <c r="AT2432" t="s">
        <v>88</v>
      </c>
      <c r="AU2432" t="s">
        <v>269</v>
      </c>
      <c r="AV2432" s="14">
        <v>0</v>
      </c>
    </row>
    <row r="2433" spans="29:48">
      <c r="AC2433"/>
      <c r="AH2433" t="s">
        <v>1892</v>
      </c>
      <c r="AI2433" t="s">
        <v>65</v>
      </c>
      <c r="AJ2433" t="s">
        <v>98</v>
      </c>
      <c r="AK2433" s="3" t="s">
        <v>27</v>
      </c>
      <c r="AL2433" s="3">
        <v>-591.5328840029</v>
      </c>
      <c r="AS2433" t="s">
        <v>2112</v>
      </c>
      <c r="AT2433" t="s">
        <v>88</v>
      </c>
      <c r="AU2433" t="s">
        <v>270</v>
      </c>
      <c r="AV2433" s="14">
        <v>0</v>
      </c>
    </row>
    <row r="2434" spans="29:48">
      <c r="AC2434"/>
      <c r="AH2434" t="s">
        <v>1892</v>
      </c>
      <c r="AI2434" t="s">
        <v>67</v>
      </c>
      <c r="AJ2434" t="s">
        <v>66</v>
      </c>
      <c r="AK2434" s="3" t="s">
        <v>27</v>
      </c>
      <c r="AL2434" s="3">
        <v>-15886.2</v>
      </c>
      <c r="AS2434" t="s">
        <v>2112</v>
      </c>
      <c r="AT2434" t="s">
        <v>88</v>
      </c>
      <c r="AU2434" t="s">
        <v>271</v>
      </c>
      <c r="AV2434" s="14">
        <v>-600</v>
      </c>
    </row>
    <row r="2435" spans="29:48">
      <c r="AC2435"/>
      <c r="AH2435" t="s">
        <v>1892</v>
      </c>
      <c r="AI2435" t="s">
        <v>67</v>
      </c>
      <c r="AJ2435" t="s">
        <v>72</v>
      </c>
      <c r="AK2435" s="3" t="s">
        <v>27</v>
      </c>
      <c r="AL2435" s="3">
        <v>-17200.637394000001</v>
      </c>
      <c r="AS2435" t="s">
        <v>2112</v>
      </c>
      <c r="AT2435" t="s">
        <v>88</v>
      </c>
      <c r="AU2435" t="s">
        <v>272</v>
      </c>
      <c r="AV2435" s="14">
        <v>0</v>
      </c>
    </row>
    <row r="2436" spans="29:48">
      <c r="AC2436"/>
      <c r="AH2436" t="s">
        <v>1892</v>
      </c>
      <c r="AI2436" t="s">
        <v>67</v>
      </c>
      <c r="AJ2436" t="s">
        <v>113</v>
      </c>
      <c r="AK2436" s="3" t="s">
        <v>27</v>
      </c>
      <c r="AL2436" s="3">
        <v>-1191.9608551975</v>
      </c>
      <c r="AS2436" t="s">
        <v>2112</v>
      </c>
      <c r="AT2436" t="s">
        <v>88</v>
      </c>
      <c r="AU2436" t="s">
        <v>273</v>
      </c>
      <c r="AV2436" s="14">
        <v>0</v>
      </c>
    </row>
    <row r="2437" spans="29:48">
      <c r="AC2437"/>
      <c r="AH2437" t="s">
        <v>1892</v>
      </c>
      <c r="AI2437" t="s">
        <v>67</v>
      </c>
      <c r="AJ2437" t="s">
        <v>108</v>
      </c>
      <c r="AK2437" s="3" t="s">
        <v>27</v>
      </c>
      <c r="AL2437" s="3">
        <v>-122.4765388025</v>
      </c>
      <c r="AS2437" t="s">
        <v>2113</v>
      </c>
      <c r="AT2437" t="s">
        <v>88</v>
      </c>
      <c r="AU2437" t="s">
        <v>109</v>
      </c>
      <c r="AV2437" s="14">
        <v>21712.6895</v>
      </c>
    </row>
    <row r="2438" spans="29:48">
      <c r="AC2438"/>
      <c r="AH2438" t="s">
        <v>1892</v>
      </c>
      <c r="AI2438" t="s">
        <v>67</v>
      </c>
      <c r="AJ2438" t="s">
        <v>98</v>
      </c>
      <c r="AK2438" s="3" t="s">
        <v>27</v>
      </c>
      <c r="AL2438" s="3">
        <v>-122.4765388025</v>
      </c>
      <c r="AS2438" t="s">
        <v>2113</v>
      </c>
      <c r="AT2438" t="s">
        <v>88</v>
      </c>
      <c r="AU2438" t="s">
        <v>110</v>
      </c>
      <c r="AV2438" s="14">
        <v>897.61059999999998</v>
      </c>
    </row>
    <row r="2439" spans="29:48">
      <c r="AC2439"/>
      <c r="AH2439" t="s">
        <v>1892</v>
      </c>
      <c r="AI2439" t="s">
        <v>67</v>
      </c>
      <c r="AJ2439" t="s">
        <v>66</v>
      </c>
      <c r="AK2439" s="3" t="s">
        <v>114</v>
      </c>
      <c r="AL2439" s="3">
        <v>1481</v>
      </c>
      <c r="AS2439" t="s">
        <v>2113</v>
      </c>
      <c r="AT2439" t="s">
        <v>88</v>
      </c>
      <c r="AU2439" t="s">
        <v>111</v>
      </c>
      <c r="AV2439" s="14">
        <v>8125</v>
      </c>
    </row>
    <row r="2440" spans="29:48">
      <c r="AC2440"/>
      <c r="AH2440" t="s">
        <v>1892</v>
      </c>
      <c r="AI2440" t="s">
        <v>67</v>
      </c>
      <c r="AJ2440" t="s">
        <v>98</v>
      </c>
      <c r="AK2440" s="3" t="s">
        <v>114</v>
      </c>
      <c r="AL2440" s="3">
        <v>-87.512108630100002</v>
      </c>
      <c r="AS2440" t="s">
        <v>2113</v>
      </c>
      <c r="AT2440" t="s">
        <v>88</v>
      </c>
      <c r="AU2440" t="s">
        <v>268</v>
      </c>
      <c r="AV2440" s="14">
        <v>-100</v>
      </c>
    </row>
    <row r="2441" spans="29:48">
      <c r="AC2441"/>
      <c r="AH2441" t="s">
        <v>1892</v>
      </c>
      <c r="AI2441" t="s">
        <v>67</v>
      </c>
      <c r="AJ2441" t="s">
        <v>66</v>
      </c>
      <c r="AK2441" s="3" t="s">
        <v>115</v>
      </c>
      <c r="AL2441" s="3">
        <v>17367.2</v>
      </c>
      <c r="AS2441" t="s">
        <v>2113</v>
      </c>
      <c r="AT2441" t="s">
        <v>88</v>
      </c>
      <c r="AU2441" t="s">
        <v>269</v>
      </c>
      <c r="AV2441" s="14">
        <v>0</v>
      </c>
    </row>
    <row r="2442" spans="29:48">
      <c r="AC2442"/>
      <c r="AH2442" t="s">
        <v>1892</v>
      </c>
      <c r="AI2442" t="s">
        <v>67</v>
      </c>
      <c r="AJ2442" t="s">
        <v>98</v>
      </c>
      <c r="AK2442" s="3" t="s">
        <v>115</v>
      </c>
      <c r="AL2442" s="3">
        <v>34.9644301724</v>
      </c>
      <c r="AS2442" t="s">
        <v>2113</v>
      </c>
      <c r="AT2442" t="s">
        <v>88</v>
      </c>
      <c r="AU2442" t="s">
        <v>270</v>
      </c>
      <c r="AV2442" s="14">
        <v>0</v>
      </c>
    </row>
    <row r="2443" spans="29:48">
      <c r="AC2443"/>
      <c r="AH2443" t="s">
        <v>1892</v>
      </c>
      <c r="AI2443" t="s">
        <v>68</v>
      </c>
      <c r="AJ2443" t="s">
        <v>66</v>
      </c>
      <c r="AK2443" s="3" t="s">
        <v>27</v>
      </c>
      <c r="AL2443" s="3">
        <v>-10213.5</v>
      </c>
      <c r="AS2443" t="s">
        <v>2113</v>
      </c>
      <c r="AT2443" t="s">
        <v>88</v>
      </c>
      <c r="AU2443" t="s">
        <v>271</v>
      </c>
      <c r="AV2443" s="14">
        <v>0</v>
      </c>
    </row>
    <row r="2444" spans="29:48">
      <c r="AC2444"/>
      <c r="AH2444" t="s">
        <v>1892</v>
      </c>
      <c r="AI2444" t="s">
        <v>68</v>
      </c>
      <c r="AJ2444" t="s">
        <v>72</v>
      </c>
      <c r="AK2444" s="3" t="s">
        <v>27</v>
      </c>
      <c r="AL2444" s="3">
        <v>-10540.45052</v>
      </c>
      <c r="AS2444" t="s">
        <v>2113</v>
      </c>
      <c r="AT2444" t="s">
        <v>88</v>
      </c>
      <c r="AU2444" t="s">
        <v>272</v>
      </c>
      <c r="AV2444" s="14">
        <v>0</v>
      </c>
    </row>
    <row r="2445" spans="29:48">
      <c r="AC2445"/>
      <c r="AH2445" t="s">
        <v>1892</v>
      </c>
      <c r="AI2445" t="s">
        <v>68</v>
      </c>
      <c r="AJ2445" t="s">
        <v>113</v>
      </c>
      <c r="AK2445" s="3" t="s">
        <v>27</v>
      </c>
      <c r="AL2445" s="3">
        <v>-566.68033305799997</v>
      </c>
      <c r="AS2445" t="s">
        <v>2113</v>
      </c>
      <c r="AT2445" t="s">
        <v>88</v>
      </c>
      <c r="AU2445" t="s">
        <v>273</v>
      </c>
      <c r="AV2445" s="14">
        <v>0</v>
      </c>
    </row>
    <row r="2446" spans="29:48">
      <c r="AC2446"/>
      <c r="AH2446" t="s">
        <v>1892</v>
      </c>
      <c r="AI2446" t="s">
        <v>68</v>
      </c>
      <c r="AJ2446" t="s">
        <v>108</v>
      </c>
      <c r="AK2446" s="3" t="s">
        <v>27</v>
      </c>
      <c r="AL2446" s="3">
        <v>239.72981305799999</v>
      </c>
      <c r="AS2446" t="s">
        <v>2114</v>
      </c>
      <c r="AT2446" t="s">
        <v>88</v>
      </c>
      <c r="AU2446" t="s">
        <v>109</v>
      </c>
      <c r="AV2446" s="14">
        <v>19912.6895</v>
      </c>
    </row>
    <row r="2447" spans="29:48">
      <c r="AC2447"/>
      <c r="AH2447" t="s">
        <v>1892</v>
      </c>
      <c r="AI2447" t="s">
        <v>68</v>
      </c>
      <c r="AJ2447" t="s">
        <v>98</v>
      </c>
      <c r="AK2447" s="3" t="s">
        <v>27</v>
      </c>
      <c r="AL2447" s="3">
        <v>242.2411103183</v>
      </c>
      <c r="AS2447" t="s">
        <v>2114</v>
      </c>
      <c r="AT2447" t="s">
        <v>88</v>
      </c>
      <c r="AU2447" t="s">
        <v>110</v>
      </c>
      <c r="AV2447" s="14">
        <v>897.61059999999998</v>
      </c>
    </row>
    <row r="2448" spans="29:48">
      <c r="AC2448"/>
      <c r="AH2448" t="s">
        <v>1892</v>
      </c>
      <c r="AI2448" t="s">
        <v>68</v>
      </c>
      <c r="AJ2448" t="s">
        <v>66</v>
      </c>
      <c r="AK2448" s="3" t="s">
        <v>114</v>
      </c>
      <c r="AL2448" s="3">
        <v>3011</v>
      </c>
      <c r="AS2448" t="s">
        <v>2114</v>
      </c>
      <c r="AT2448" t="s">
        <v>88</v>
      </c>
      <c r="AU2448" t="s">
        <v>111</v>
      </c>
      <c r="AV2448" s="14">
        <v>8125</v>
      </c>
    </row>
    <row r="2449" spans="29:48">
      <c r="AC2449"/>
      <c r="AH2449" t="s">
        <v>1892</v>
      </c>
      <c r="AI2449" t="s">
        <v>68</v>
      </c>
      <c r="AJ2449" t="s">
        <v>98</v>
      </c>
      <c r="AK2449" s="3" t="s">
        <v>114</v>
      </c>
      <c r="AL2449" s="3">
        <v>-161.29662602740001</v>
      </c>
      <c r="AS2449" t="s">
        <v>2114</v>
      </c>
      <c r="AT2449" t="s">
        <v>88</v>
      </c>
      <c r="AU2449" t="s">
        <v>268</v>
      </c>
      <c r="AV2449" s="14">
        <v>800</v>
      </c>
    </row>
    <row r="2450" spans="29:48">
      <c r="AC2450"/>
      <c r="AH2450" t="s">
        <v>1892</v>
      </c>
      <c r="AI2450" t="s">
        <v>68</v>
      </c>
      <c r="AJ2450" t="s">
        <v>66</v>
      </c>
      <c r="AK2450" s="3" t="s">
        <v>115</v>
      </c>
      <c r="AL2450" s="3">
        <v>13224.5</v>
      </c>
      <c r="AS2450" t="s">
        <v>2114</v>
      </c>
      <c r="AT2450" t="s">
        <v>88</v>
      </c>
      <c r="AU2450" t="s">
        <v>269</v>
      </c>
      <c r="AV2450" s="14">
        <v>0</v>
      </c>
    </row>
    <row r="2451" spans="29:48">
      <c r="AC2451"/>
      <c r="AH2451" t="s">
        <v>1892</v>
      </c>
      <c r="AI2451" t="s">
        <v>68</v>
      </c>
      <c r="AJ2451" t="s">
        <v>98</v>
      </c>
      <c r="AK2451" s="3" t="s">
        <v>115</v>
      </c>
      <c r="AL2451" s="3">
        <v>-403.53773634570001</v>
      </c>
      <c r="AS2451" t="s">
        <v>2114</v>
      </c>
      <c r="AT2451" t="s">
        <v>88</v>
      </c>
      <c r="AU2451" t="s">
        <v>270</v>
      </c>
      <c r="AV2451" s="14">
        <v>0</v>
      </c>
    </row>
    <row r="2452" spans="29:48">
      <c r="AC2452"/>
      <c r="AH2452" t="s">
        <v>1892</v>
      </c>
      <c r="AI2452" t="s">
        <v>800</v>
      </c>
      <c r="AJ2452" t="s">
        <v>31</v>
      </c>
      <c r="AK2452" s="3" t="s">
        <v>27</v>
      </c>
      <c r="AL2452" s="3">
        <v>4.0432554538999996</v>
      </c>
      <c r="AS2452" t="s">
        <v>2114</v>
      </c>
      <c r="AT2452" t="s">
        <v>88</v>
      </c>
      <c r="AU2452" t="s">
        <v>271</v>
      </c>
      <c r="AV2452" s="14">
        <v>300</v>
      </c>
    </row>
    <row r="2453" spans="29:48">
      <c r="AC2453"/>
      <c r="AH2453" t="s">
        <v>1893</v>
      </c>
      <c r="AI2453" t="s">
        <v>800</v>
      </c>
      <c r="AJ2453" t="s">
        <v>31</v>
      </c>
      <c r="AK2453" s="3" t="s">
        <v>27</v>
      </c>
      <c r="AL2453" s="3">
        <v>3.9710811149</v>
      </c>
      <c r="AS2453" t="s">
        <v>2114</v>
      </c>
      <c r="AT2453" t="s">
        <v>88</v>
      </c>
      <c r="AU2453" t="s">
        <v>272</v>
      </c>
      <c r="AV2453" s="14">
        <v>0</v>
      </c>
    </row>
    <row r="2454" spans="29:48">
      <c r="AC2454"/>
      <c r="AH2454" t="s">
        <v>1893</v>
      </c>
      <c r="AI2454" t="s">
        <v>65</v>
      </c>
      <c r="AJ2454" t="s">
        <v>66</v>
      </c>
      <c r="AK2454" s="3" t="s">
        <v>27</v>
      </c>
      <c r="AL2454" s="3">
        <v>35871.699999999997</v>
      </c>
      <c r="AS2454" t="s">
        <v>2114</v>
      </c>
      <c r="AT2454" t="s">
        <v>88</v>
      </c>
      <c r="AU2454" t="s">
        <v>273</v>
      </c>
      <c r="AV2454" s="14">
        <v>0</v>
      </c>
    </row>
    <row r="2455" spans="29:48">
      <c r="AC2455"/>
      <c r="AH2455" t="s">
        <v>1893</v>
      </c>
      <c r="AI2455" t="s">
        <v>65</v>
      </c>
      <c r="AJ2455" t="s">
        <v>72</v>
      </c>
      <c r="AK2455" s="3" t="s">
        <v>27</v>
      </c>
      <c r="AL2455" s="3">
        <v>36961.026968999999</v>
      </c>
      <c r="AS2455" t="s">
        <v>2115</v>
      </c>
      <c r="AT2455" t="s">
        <v>88</v>
      </c>
      <c r="AU2455" t="s">
        <v>109</v>
      </c>
      <c r="AV2455" s="14">
        <v>19612.6895</v>
      </c>
    </row>
    <row r="2456" spans="29:48">
      <c r="AC2456"/>
      <c r="AH2456" t="s">
        <v>1893</v>
      </c>
      <c r="AI2456" t="s">
        <v>65</v>
      </c>
      <c r="AJ2456" t="s">
        <v>113</v>
      </c>
      <c r="AK2456" s="3" t="s">
        <v>27</v>
      </c>
      <c r="AL2456" s="3">
        <v>1874.4104895302</v>
      </c>
      <c r="AS2456" t="s">
        <v>2115</v>
      </c>
      <c r="AT2456" t="s">
        <v>88</v>
      </c>
      <c r="AU2456" t="s">
        <v>110</v>
      </c>
      <c r="AV2456" s="14">
        <v>647.61059999999998</v>
      </c>
    </row>
    <row r="2457" spans="29:48">
      <c r="AC2457"/>
      <c r="AH2457" t="s">
        <v>1893</v>
      </c>
      <c r="AI2457" t="s">
        <v>65</v>
      </c>
      <c r="AJ2457" t="s">
        <v>108</v>
      </c>
      <c r="AK2457" s="3" t="s">
        <v>27</v>
      </c>
      <c r="AL2457" s="3">
        <v>-785.08352053019996</v>
      </c>
      <c r="AS2457" t="s">
        <v>2115</v>
      </c>
      <c r="AT2457" t="s">
        <v>88</v>
      </c>
      <c r="AU2457" t="s">
        <v>111</v>
      </c>
      <c r="AV2457" s="14">
        <v>8125</v>
      </c>
    </row>
    <row r="2458" spans="29:48">
      <c r="AC2458"/>
      <c r="AH2458" t="s">
        <v>1893</v>
      </c>
      <c r="AI2458" t="s">
        <v>65</v>
      </c>
      <c r="AJ2458" t="s">
        <v>98</v>
      </c>
      <c r="AK2458" s="3" t="s">
        <v>27</v>
      </c>
      <c r="AL2458" s="3">
        <v>-785.08352053019996</v>
      </c>
      <c r="AS2458" t="s">
        <v>2115</v>
      </c>
      <c r="AT2458" t="s">
        <v>88</v>
      </c>
      <c r="AU2458" t="s">
        <v>268</v>
      </c>
      <c r="AV2458" s="14">
        <v>2300</v>
      </c>
    </row>
    <row r="2459" spans="29:48">
      <c r="AC2459"/>
      <c r="AH2459" t="s">
        <v>1893</v>
      </c>
      <c r="AI2459" t="s">
        <v>67</v>
      </c>
      <c r="AJ2459" t="s">
        <v>66</v>
      </c>
      <c r="AK2459" s="3" t="s">
        <v>27</v>
      </c>
      <c r="AL2459" s="3">
        <v>-20114.2</v>
      </c>
      <c r="AS2459" t="s">
        <v>2115</v>
      </c>
      <c r="AT2459" t="s">
        <v>88</v>
      </c>
      <c r="AU2459" t="s">
        <v>269</v>
      </c>
      <c r="AV2459" s="14">
        <v>250</v>
      </c>
    </row>
    <row r="2460" spans="29:48">
      <c r="AC2460"/>
      <c r="AH2460" t="s">
        <v>1893</v>
      </c>
      <c r="AI2460" t="s">
        <v>67</v>
      </c>
      <c r="AJ2460" t="s">
        <v>72</v>
      </c>
      <c r="AK2460" s="3" t="s">
        <v>27</v>
      </c>
      <c r="AL2460" s="3">
        <v>-21274.358973999999</v>
      </c>
      <c r="AS2460" t="s">
        <v>2115</v>
      </c>
      <c r="AT2460" t="s">
        <v>88</v>
      </c>
      <c r="AU2460" t="s">
        <v>270</v>
      </c>
      <c r="AV2460" s="14">
        <v>0</v>
      </c>
    </row>
    <row r="2461" spans="29:48">
      <c r="AC2461"/>
      <c r="AH2461" t="s">
        <v>1893</v>
      </c>
      <c r="AI2461" t="s">
        <v>67</v>
      </c>
      <c r="AJ2461" t="s">
        <v>113</v>
      </c>
      <c r="AK2461" s="3" t="s">
        <v>27</v>
      </c>
      <c r="AL2461" s="3">
        <v>-1294.7210795840001</v>
      </c>
      <c r="AS2461" t="s">
        <v>2115</v>
      </c>
      <c r="AT2461" t="s">
        <v>88</v>
      </c>
      <c r="AU2461" t="s">
        <v>271</v>
      </c>
      <c r="AV2461" s="14">
        <v>500</v>
      </c>
    </row>
    <row r="2462" spans="29:48">
      <c r="AC2462"/>
      <c r="AH2462" t="s">
        <v>1893</v>
      </c>
      <c r="AI2462" t="s">
        <v>67</v>
      </c>
      <c r="AJ2462" t="s">
        <v>108</v>
      </c>
      <c r="AK2462" s="3" t="s">
        <v>27</v>
      </c>
      <c r="AL2462" s="3">
        <v>134.56210558399999</v>
      </c>
      <c r="AS2462" t="s">
        <v>2115</v>
      </c>
      <c r="AT2462" t="s">
        <v>88</v>
      </c>
      <c r="AU2462" t="s">
        <v>272</v>
      </c>
      <c r="AV2462" s="14">
        <v>0</v>
      </c>
    </row>
    <row r="2463" spans="29:48">
      <c r="AC2463"/>
      <c r="AH2463" t="s">
        <v>1893</v>
      </c>
      <c r="AI2463" t="s">
        <v>67</v>
      </c>
      <c r="AJ2463" t="s">
        <v>98</v>
      </c>
      <c r="AK2463" s="3" t="s">
        <v>27</v>
      </c>
      <c r="AL2463" s="3">
        <v>134.56210558399999</v>
      </c>
      <c r="AS2463" t="s">
        <v>2115</v>
      </c>
      <c r="AT2463" t="s">
        <v>88</v>
      </c>
      <c r="AU2463" t="s">
        <v>273</v>
      </c>
      <c r="AV2463" s="14">
        <v>0</v>
      </c>
    </row>
    <row r="2464" spans="29:48">
      <c r="AC2464"/>
      <c r="AH2464" t="s">
        <v>1893</v>
      </c>
      <c r="AI2464" t="s">
        <v>67</v>
      </c>
      <c r="AJ2464" t="s">
        <v>66</v>
      </c>
      <c r="AK2464" s="3" t="s">
        <v>114</v>
      </c>
      <c r="AL2464" s="3">
        <v>0</v>
      </c>
      <c r="AS2464" t="s">
        <v>2116</v>
      </c>
      <c r="AT2464" t="s">
        <v>88</v>
      </c>
      <c r="AU2464" t="s">
        <v>109</v>
      </c>
      <c r="AV2464" s="14">
        <v>20612.6895</v>
      </c>
    </row>
    <row r="2465" spans="29:48">
      <c r="AC2465"/>
      <c r="AH2465" t="s">
        <v>1893</v>
      </c>
      <c r="AI2465" t="s">
        <v>67</v>
      </c>
      <c r="AJ2465" t="s">
        <v>98</v>
      </c>
      <c r="AK2465" s="3" t="s">
        <v>114</v>
      </c>
      <c r="AL2465" s="3">
        <v>0</v>
      </c>
      <c r="AS2465" t="s">
        <v>2116</v>
      </c>
      <c r="AT2465" t="s">
        <v>88</v>
      </c>
      <c r="AU2465" t="s">
        <v>110</v>
      </c>
      <c r="AV2465" s="14">
        <v>647.61059999999998</v>
      </c>
    </row>
    <row r="2466" spans="29:48">
      <c r="AC2466"/>
      <c r="AH2466" t="s">
        <v>1893</v>
      </c>
      <c r="AI2466" t="s">
        <v>67</v>
      </c>
      <c r="AJ2466" t="s">
        <v>66</v>
      </c>
      <c r="AK2466" s="3" t="s">
        <v>115</v>
      </c>
      <c r="AL2466" s="3">
        <v>20114.2</v>
      </c>
      <c r="AS2466" t="s">
        <v>2116</v>
      </c>
      <c r="AT2466" t="s">
        <v>88</v>
      </c>
      <c r="AU2466" t="s">
        <v>111</v>
      </c>
      <c r="AV2466" s="14">
        <v>8125</v>
      </c>
    </row>
    <row r="2467" spans="29:48">
      <c r="AC2467"/>
      <c r="AH2467" t="s">
        <v>1893</v>
      </c>
      <c r="AI2467" t="s">
        <v>67</v>
      </c>
      <c r="AJ2467" t="s">
        <v>98</v>
      </c>
      <c r="AK2467" s="3" t="s">
        <v>115</v>
      </c>
      <c r="AL2467" s="3">
        <v>-134.56210558399999</v>
      </c>
      <c r="AS2467" t="s">
        <v>2116</v>
      </c>
      <c r="AT2467" t="s">
        <v>88</v>
      </c>
      <c r="AU2467" t="s">
        <v>268</v>
      </c>
      <c r="AV2467" s="14">
        <v>2200</v>
      </c>
    </row>
    <row r="2468" spans="29:48">
      <c r="AC2468"/>
      <c r="AH2468" t="s">
        <v>1893</v>
      </c>
      <c r="AI2468" t="s">
        <v>68</v>
      </c>
      <c r="AJ2468" t="s">
        <v>66</v>
      </c>
      <c r="AK2468" s="3" t="s">
        <v>27</v>
      </c>
      <c r="AL2468" s="3">
        <v>-9295.5</v>
      </c>
      <c r="AS2468" t="s">
        <v>2116</v>
      </c>
      <c r="AT2468" t="s">
        <v>88</v>
      </c>
      <c r="AU2468" t="s">
        <v>269</v>
      </c>
      <c r="AV2468" s="14">
        <v>0</v>
      </c>
    </row>
    <row r="2469" spans="29:48">
      <c r="AC2469"/>
      <c r="AH2469" t="s">
        <v>1893</v>
      </c>
      <c r="AI2469" t="s">
        <v>68</v>
      </c>
      <c r="AJ2469" t="s">
        <v>72</v>
      </c>
      <c r="AK2469" s="3" t="s">
        <v>27</v>
      </c>
      <c r="AL2469" s="3">
        <v>-9651.0777749999997</v>
      </c>
      <c r="AS2469" t="s">
        <v>2116</v>
      </c>
      <c r="AT2469" t="s">
        <v>88</v>
      </c>
      <c r="AU2469" t="s">
        <v>270</v>
      </c>
      <c r="AV2469" s="14">
        <v>0</v>
      </c>
    </row>
    <row r="2470" spans="29:48">
      <c r="AC2470"/>
      <c r="AH2470" t="s">
        <v>1893</v>
      </c>
      <c r="AI2470" t="s">
        <v>68</v>
      </c>
      <c r="AJ2470" t="s">
        <v>113</v>
      </c>
      <c r="AK2470" s="3" t="s">
        <v>27</v>
      </c>
      <c r="AL2470" s="3">
        <v>-542.06185436689998</v>
      </c>
      <c r="AS2470" t="s">
        <v>2116</v>
      </c>
      <c r="AT2470" t="s">
        <v>88</v>
      </c>
      <c r="AU2470" t="s">
        <v>271</v>
      </c>
      <c r="AV2470" s="14">
        <v>-1000</v>
      </c>
    </row>
    <row r="2471" spans="29:48">
      <c r="AC2471"/>
      <c r="AH2471" t="s">
        <v>1893</v>
      </c>
      <c r="AI2471" t="s">
        <v>68</v>
      </c>
      <c r="AJ2471" t="s">
        <v>108</v>
      </c>
      <c r="AK2471" s="3" t="s">
        <v>27</v>
      </c>
      <c r="AL2471" s="3">
        <v>186.4840793669</v>
      </c>
      <c r="AS2471" t="s">
        <v>2116</v>
      </c>
      <c r="AT2471" t="s">
        <v>88</v>
      </c>
      <c r="AU2471" t="s">
        <v>272</v>
      </c>
      <c r="AV2471" s="14">
        <v>0</v>
      </c>
    </row>
    <row r="2472" spans="29:48">
      <c r="AC2472"/>
      <c r="AH2472" t="s">
        <v>1893</v>
      </c>
      <c r="AI2472" t="s">
        <v>68</v>
      </c>
      <c r="AJ2472" t="s">
        <v>98</v>
      </c>
      <c r="AK2472" s="3" t="s">
        <v>27</v>
      </c>
      <c r="AL2472" s="3">
        <v>186.4840793669</v>
      </c>
      <c r="AS2472" t="s">
        <v>2116</v>
      </c>
      <c r="AT2472" t="s">
        <v>88</v>
      </c>
      <c r="AU2472" t="s">
        <v>273</v>
      </c>
      <c r="AV2472" s="14">
        <v>0</v>
      </c>
    </row>
    <row r="2473" spans="29:48">
      <c r="AC2473"/>
      <c r="AH2473" t="s">
        <v>1893</v>
      </c>
      <c r="AI2473" t="s">
        <v>68</v>
      </c>
      <c r="AJ2473" t="s">
        <v>66</v>
      </c>
      <c r="AK2473" s="3" t="s">
        <v>114</v>
      </c>
      <c r="AL2473" s="3">
        <v>4192</v>
      </c>
      <c r="AS2473" t="s">
        <v>2117</v>
      </c>
      <c r="AT2473" t="s">
        <v>88</v>
      </c>
      <c r="AU2473" t="s">
        <v>109</v>
      </c>
      <c r="AV2473" s="14">
        <v>20412.6895</v>
      </c>
    </row>
    <row r="2474" spans="29:48">
      <c r="AC2474"/>
      <c r="AH2474" t="s">
        <v>1893</v>
      </c>
      <c r="AI2474" t="s">
        <v>68</v>
      </c>
      <c r="AJ2474" t="s">
        <v>98</v>
      </c>
      <c r="AK2474" s="3" t="s">
        <v>114</v>
      </c>
      <c r="AL2474" s="3">
        <v>-230.90708246579999</v>
      </c>
      <c r="AS2474" t="s">
        <v>2117</v>
      </c>
      <c r="AT2474" t="s">
        <v>88</v>
      </c>
      <c r="AU2474" t="s">
        <v>110</v>
      </c>
      <c r="AV2474" s="14">
        <v>647.61059999999998</v>
      </c>
    </row>
    <row r="2475" spans="29:48">
      <c r="AC2475"/>
      <c r="AH2475" t="s">
        <v>1893</v>
      </c>
      <c r="AI2475" t="s">
        <v>68</v>
      </c>
      <c r="AJ2475" t="s">
        <v>66</v>
      </c>
      <c r="AK2475" s="3" t="s">
        <v>115</v>
      </c>
      <c r="AL2475" s="3">
        <v>13487.5</v>
      </c>
      <c r="AS2475" t="s">
        <v>2117</v>
      </c>
      <c r="AT2475" t="s">
        <v>88</v>
      </c>
      <c r="AU2475" t="s">
        <v>111</v>
      </c>
      <c r="AV2475" s="14">
        <v>8125</v>
      </c>
    </row>
    <row r="2476" spans="29:48">
      <c r="AC2476"/>
      <c r="AH2476" t="s">
        <v>1893</v>
      </c>
      <c r="AI2476" t="s">
        <v>68</v>
      </c>
      <c r="AJ2476" t="s">
        <v>98</v>
      </c>
      <c r="AK2476" s="3" t="s">
        <v>115</v>
      </c>
      <c r="AL2476" s="3">
        <v>-417.39116183260001</v>
      </c>
      <c r="AS2476" t="s">
        <v>2117</v>
      </c>
      <c r="AT2476" t="s">
        <v>88</v>
      </c>
      <c r="AU2476" t="s">
        <v>268</v>
      </c>
      <c r="AV2476" s="14">
        <v>2400</v>
      </c>
    </row>
    <row r="2477" spans="29:48">
      <c r="AC2477"/>
      <c r="AH2477" t="s">
        <v>1894</v>
      </c>
      <c r="AI2477" t="s">
        <v>65</v>
      </c>
      <c r="AJ2477" t="s">
        <v>66</v>
      </c>
      <c r="AK2477" s="3" t="s">
        <v>27</v>
      </c>
      <c r="AL2477" s="3">
        <v>35981.699999999997</v>
      </c>
      <c r="AS2477" t="s">
        <v>2117</v>
      </c>
      <c r="AT2477" t="s">
        <v>88</v>
      </c>
      <c r="AU2477" t="s">
        <v>269</v>
      </c>
      <c r="AV2477" s="14">
        <v>0</v>
      </c>
    </row>
    <row r="2478" spans="29:48">
      <c r="AC2478"/>
      <c r="AH2478" t="s">
        <v>1894</v>
      </c>
      <c r="AI2478" t="s">
        <v>65</v>
      </c>
      <c r="AJ2478" t="s">
        <v>72</v>
      </c>
      <c r="AK2478" s="3" t="s">
        <v>27</v>
      </c>
      <c r="AL2478" s="3">
        <v>37056.068607000001</v>
      </c>
      <c r="AS2478" t="s">
        <v>2117</v>
      </c>
      <c r="AT2478" t="s">
        <v>88</v>
      </c>
      <c r="AU2478" t="s">
        <v>270</v>
      </c>
      <c r="AV2478" s="14">
        <v>0</v>
      </c>
    </row>
    <row r="2479" spans="29:48">
      <c r="AC2479"/>
      <c r="AH2479" t="s">
        <v>1894</v>
      </c>
      <c r="AI2479" t="s">
        <v>65</v>
      </c>
      <c r="AJ2479" t="s">
        <v>113</v>
      </c>
      <c r="AK2479" s="3" t="s">
        <v>27</v>
      </c>
      <c r="AL2479" s="3">
        <v>1867.0088114570999</v>
      </c>
      <c r="AS2479" t="s">
        <v>2117</v>
      </c>
      <c r="AT2479" t="s">
        <v>88</v>
      </c>
      <c r="AU2479" t="s">
        <v>271</v>
      </c>
      <c r="AV2479" s="14">
        <v>0</v>
      </c>
    </row>
    <row r="2480" spans="29:48">
      <c r="AC2480"/>
      <c r="AH2480" t="s">
        <v>1894</v>
      </c>
      <c r="AI2480" t="s">
        <v>65</v>
      </c>
      <c r="AJ2480" t="s">
        <v>108</v>
      </c>
      <c r="AK2480" s="3" t="s">
        <v>27</v>
      </c>
      <c r="AL2480" s="3">
        <v>-792.64020445710003</v>
      </c>
      <c r="AS2480" t="s">
        <v>2117</v>
      </c>
      <c r="AT2480" t="s">
        <v>88</v>
      </c>
      <c r="AU2480" t="s">
        <v>272</v>
      </c>
      <c r="AV2480" s="14">
        <v>0</v>
      </c>
    </row>
    <row r="2481" spans="29:48">
      <c r="AC2481"/>
      <c r="AH2481" t="s">
        <v>1894</v>
      </c>
      <c r="AI2481" t="s">
        <v>65</v>
      </c>
      <c r="AJ2481" t="s">
        <v>98</v>
      </c>
      <c r="AK2481" s="3" t="s">
        <v>27</v>
      </c>
      <c r="AL2481" s="3">
        <v>-792.64020445710003</v>
      </c>
      <c r="AS2481" t="s">
        <v>2117</v>
      </c>
      <c r="AT2481" t="s">
        <v>88</v>
      </c>
      <c r="AU2481" t="s">
        <v>273</v>
      </c>
      <c r="AV2481" s="14">
        <v>0</v>
      </c>
    </row>
    <row r="2482" spans="29:48">
      <c r="AC2482"/>
      <c r="AH2482" t="s">
        <v>1894</v>
      </c>
      <c r="AI2482" t="s">
        <v>67</v>
      </c>
      <c r="AJ2482" t="s">
        <v>66</v>
      </c>
      <c r="AK2482" s="3" t="s">
        <v>27</v>
      </c>
      <c r="AL2482" s="3">
        <v>-17064.2</v>
      </c>
      <c r="AS2482" t="s">
        <v>2118</v>
      </c>
      <c r="AT2482" t="s">
        <v>88</v>
      </c>
      <c r="AU2482" t="s">
        <v>109</v>
      </c>
      <c r="AV2482" s="14">
        <v>21547.6895</v>
      </c>
    </row>
    <row r="2483" spans="29:48">
      <c r="AC2483"/>
      <c r="AH2483" t="s">
        <v>1894</v>
      </c>
      <c r="AI2483" t="s">
        <v>67</v>
      </c>
      <c r="AJ2483" t="s">
        <v>72</v>
      </c>
      <c r="AK2483" s="3" t="s">
        <v>27</v>
      </c>
      <c r="AL2483" s="3">
        <v>-18317.182371999999</v>
      </c>
      <c r="AS2483" t="s">
        <v>2118</v>
      </c>
      <c r="AT2483" t="s">
        <v>88</v>
      </c>
      <c r="AU2483" t="s">
        <v>110</v>
      </c>
      <c r="AV2483" s="14">
        <v>647.61059999999998</v>
      </c>
    </row>
    <row r="2484" spans="29:48">
      <c r="AC2484"/>
      <c r="AH2484" t="s">
        <v>1894</v>
      </c>
      <c r="AI2484" t="s">
        <v>67</v>
      </c>
      <c r="AJ2484" t="s">
        <v>113</v>
      </c>
      <c r="AK2484" s="3" t="s">
        <v>27</v>
      </c>
      <c r="AL2484" s="3">
        <v>-1208.6671286584001</v>
      </c>
      <c r="AS2484" t="s">
        <v>2118</v>
      </c>
      <c r="AT2484" t="s">
        <v>88</v>
      </c>
      <c r="AU2484" t="s">
        <v>111</v>
      </c>
      <c r="AV2484" s="14">
        <v>8125</v>
      </c>
    </row>
    <row r="2485" spans="29:48">
      <c r="AC2485"/>
      <c r="AH2485" t="s">
        <v>1894</v>
      </c>
      <c r="AI2485" t="s">
        <v>67</v>
      </c>
      <c r="AJ2485" t="s">
        <v>108</v>
      </c>
      <c r="AK2485" s="3" t="s">
        <v>27</v>
      </c>
      <c r="AL2485" s="3">
        <v>-44.315243341600002</v>
      </c>
      <c r="AS2485" t="s">
        <v>2118</v>
      </c>
      <c r="AT2485" t="s">
        <v>88</v>
      </c>
      <c r="AU2485" t="s">
        <v>268</v>
      </c>
      <c r="AV2485" s="14">
        <v>2200</v>
      </c>
    </row>
    <row r="2486" spans="29:48">
      <c r="AC2486"/>
      <c r="AH2486" t="s">
        <v>1894</v>
      </c>
      <c r="AI2486" t="s">
        <v>67</v>
      </c>
      <c r="AJ2486" t="s">
        <v>98</v>
      </c>
      <c r="AK2486" s="3" t="s">
        <v>27</v>
      </c>
      <c r="AL2486" s="3">
        <v>-44.315243341600002</v>
      </c>
      <c r="AS2486" t="s">
        <v>2118</v>
      </c>
      <c r="AT2486" t="s">
        <v>88</v>
      </c>
      <c r="AU2486" t="s">
        <v>269</v>
      </c>
      <c r="AV2486" s="14">
        <v>0</v>
      </c>
    </row>
    <row r="2487" spans="29:48">
      <c r="AC2487"/>
      <c r="AH2487" t="s">
        <v>1894</v>
      </c>
      <c r="AI2487" t="s">
        <v>67</v>
      </c>
      <c r="AJ2487" t="s">
        <v>66</v>
      </c>
      <c r="AK2487" s="3" t="s">
        <v>114</v>
      </c>
      <c r="AL2487" s="3">
        <v>0</v>
      </c>
      <c r="AS2487" t="s">
        <v>2118</v>
      </c>
      <c r="AT2487" t="s">
        <v>88</v>
      </c>
      <c r="AU2487" t="s">
        <v>270</v>
      </c>
      <c r="AV2487" s="14">
        <v>0</v>
      </c>
    </row>
    <row r="2488" spans="29:48">
      <c r="AC2488"/>
      <c r="AH2488" t="s">
        <v>1894</v>
      </c>
      <c r="AI2488" t="s">
        <v>67</v>
      </c>
      <c r="AJ2488" t="s">
        <v>98</v>
      </c>
      <c r="AK2488" s="3" t="s">
        <v>114</v>
      </c>
      <c r="AL2488" s="3">
        <v>0</v>
      </c>
      <c r="AS2488" t="s">
        <v>2118</v>
      </c>
      <c r="AT2488" t="s">
        <v>88</v>
      </c>
      <c r="AU2488" t="s">
        <v>271</v>
      </c>
      <c r="AV2488" s="14">
        <v>-535</v>
      </c>
    </row>
    <row r="2489" spans="29:48">
      <c r="AC2489"/>
      <c r="AH2489" t="s">
        <v>1894</v>
      </c>
      <c r="AI2489" t="s">
        <v>67</v>
      </c>
      <c r="AJ2489" t="s">
        <v>66</v>
      </c>
      <c r="AK2489" s="3" t="s">
        <v>115</v>
      </c>
      <c r="AL2489" s="3">
        <v>17064.2</v>
      </c>
      <c r="AS2489" t="s">
        <v>2118</v>
      </c>
      <c r="AT2489" t="s">
        <v>88</v>
      </c>
      <c r="AU2489" t="s">
        <v>272</v>
      </c>
      <c r="AV2489" s="14">
        <v>0</v>
      </c>
    </row>
    <row r="2490" spans="29:48">
      <c r="AC2490"/>
      <c r="AH2490" t="s">
        <v>1894</v>
      </c>
      <c r="AI2490" t="s">
        <v>67</v>
      </c>
      <c r="AJ2490" t="s">
        <v>98</v>
      </c>
      <c r="AK2490" s="3" t="s">
        <v>115</v>
      </c>
      <c r="AL2490" s="3">
        <v>44.315243341600002</v>
      </c>
      <c r="AS2490" t="s">
        <v>2118</v>
      </c>
      <c r="AT2490" t="s">
        <v>88</v>
      </c>
      <c r="AU2490" t="s">
        <v>273</v>
      </c>
      <c r="AV2490" s="14">
        <v>0</v>
      </c>
    </row>
    <row r="2491" spans="29:48">
      <c r="AC2491"/>
      <c r="AH2491" t="s">
        <v>1894</v>
      </c>
      <c r="AI2491" t="s">
        <v>68</v>
      </c>
      <c r="AJ2491" t="s">
        <v>66</v>
      </c>
      <c r="AK2491" s="3" t="s">
        <v>27</v>
      </c>
      <c r="AL2491" s="3">
        <v>-12455.5</v>
      </c>
      <c r="AS2491" t="s">
        <v>2119</v>
      </c>
      <c r="AT2491" t="s">
        <v>88</v>
      </c>
      <c r="AU2491" t="s">
        <v>109</v>
      </c>
      <c r="AV2491" s="14">
        <v>21848.212899999999</v>
      </c>
    </row>
    <row r="2492" spans="29:48">
      <c r="AC2492"/>
      <c r="AH2492" t="s">
        <v>1894</v>
      </c>
      <c r="AI2492" t="s">
        <v>68</v>
      </c>
      <c r="AJ2492" t="s">
        <v>72</v>
      </c>
      <c r="AK2492" s="3" t="s">
        <v>27</v>
      </c>
      <c r="AL2492" s="3">
        <v>-12705.617415000001</v>
      </c>
      <c r="AS2492" t="s">
        <v>2119</v>
      </c>
      <c r="AT2492" t="s">
        <v>88</v>
      </c>
      <c r="AU2492" t="s">
        <v>110</v>
      </c>
      <c r="AV2492" s="14">
        <v>647.61059999999998</v>
      </c>
    </row>
    <row r="2493" spans="29:48">
      <c r="AC2493"/>
      <c r="AH2493" t="s">
        <v>1894</v>
      </c>
      <c r="AI2493" t="s">
        <v>68</v>
      </c>
      <c r="AJ2493" t="s">
        <v>113</v>
      </c>
      <c r="AK2493" s="3" t="s">
        <v>27</v>
      </c>
      <c r="AL2493" s="3">
        <v>-620.5041007991</v>
      </c>
      <c r="AS2493" t="s">
        <v>2119</v>
      </c>
      <c r="AT2493" t="s">
        <v>88</v>
      </c>
      <c r="AU2493" t="s">
        <v>111</v>
      </c>
      <c r="AV2493" s="14">
        <v>8125</v>
      </c>
    </row>
    <row r="2494" spans="29:48">
      <c r="AC2494"/>
      <c r="AH2494" t="s">
        <v>1894</v>
      </c>
      <c r="AI2494" t="s">
        <v>68</v>
      </c>
      <c r="AJ2494" t="s">
        <v>108</v>
      </c>
      <c r="AK2494" s="3" t="s">
        <v>27</v>
      </c>
      <c r="AL2494" s="3">
        <v>370.38668579910001</v>
      </c>
      <c r="AS2494" t="s">
        <v>2119</v>
      </c>
      <c r="AT2494" t="s">
        <v>88</v>
      </c>
      <c r="AU2494" t="s">
        <v>268</v>
      </c>
      <c r="AV2494" s="14">
        <v>999.47659999999996</v>
      </c>
    </row>
    <row r="2495" spans="29:48">
      <c r="AC2495"/>
      <c r="AH2495" t="s">
        <v>1894</v>
      </c>
      <c r="AI2495" t="s">
        <v>68</v>
      </c>
      <c r="AJ2495" t="s">
        <v>98</v>
      </c>
      <c r="AK2495" s="3" t="s">
        <v>27</v>
      </c>
      <c r="AL2495" s="3">
        <v>370.38668579910001</v>
      </c>
      <c r="AS2495" t="s">
        <v>2119</v>
      </c>
      <c r="AT2495" t="s">
        <v>88</v>
      </c>
      <c r="AU2495" t="s">
        <v>269</v>
      </c>
      <c r="AV2495" s="14">
        <v>0</v>
      </c>
    </row>
    <row r="2496" spans="29:48">
      <c r="AC2496"/>
      <c r="AH2496" t="s">
        <v>1894</v>
      </c>
      <c r="AI2496" t="s">
        <v>68</v>
      </c>
      <c r="AJ2496" t="s">
        <v>66</v>
      </c>
      <c r="AK2496" s="3" t="s">
        <v>114</v>
      </c>
      <c r="AL2496" s="3">
        <v>4192</v>
      </c>
      <c r="AS2496" t="s">
        <v>2119</v>
      </c>
      <c r="AT2496" t="s">
        <v>88</v>
      </c>
      <c r="AU2496" t="s">
        <v>270</v>
      </c>
      <c r="AV2496" s="14">
        <v>0</v>
      </c>
    </row>
    <row r="2497" spans="29:48">
      <c r="AC2497"/>
      <c r="AH2497" t="s">
        <v>1894</v>
      </c>
      <c r="AI2497" t="s">
        <v>68</v>
      </c>
      <c r="AJ2497" t="s">
        <v>98</v>
      </c>
      <c r="AK2497" s="3" t="s">
        <v>114</v>
      </c>
      <c r="AL2497" s="3">
        <v>-231.8380024658</v>
      </c>
      <c r="AS2497" t="s">
        <v>2119</v>
      </c>
      <c r="AT2497" t="s">
        <v>88</v>
      </c>
      <c r="AU2497" t="s">
        <v>271</v>
      </c>
      <c r="AV2497" s="14">
        <v>250</v>
      </c>
    </row>
    <row r="2498" spans="29:48">
      <c r="AC2498"/>
      <c r="AH2498" t="s">
        <v>1894</v>
      </c>
      <c r="AI2498" t="s">
        <v>68</v>
      </c>
      <c r="AJ2498" t="s">
        <v>66</v>
      </c>
      <c r="AK2498" s="3" t="s">
        <v>115</v>
      </c>
      <c r="AL2498" s="3">
        <v>16647.5</v>
      </c>
      <c r="AS2498" t="s">
        <v>2119</v>
      </c>
      <c r="AT2498" t="s">
        <v>88</v>
      </c>
      <c r="AU2498" t="s">
        <v>272</v>
      </c>
      <c r="AV2498" s="14">
        <v>0</v>
      </c>
    </row>
    <row r="2499" spans="29:48">
      <c r="AC2499"/>
      <c r="AH2499" t="s">
        <v>1894</v>
      </c>
      <c r="AI2499" t="s">
        <v>68</v>
      </c>
      <c r="AJ2499" t="s">
        <v>98</v>
      </c>
      <c r="AK2499" s="3" t="s">
        <v>115</v>
      </c>
      <c r="AL2499" s="3">
        <v>-602.22468826490001</v>
      </c>
      <c r="AS2499" t="s">
        <v>2119</v>
      </c>
      <c r="AT2499" t="s">
        <v>88</v>
      </c>
      <c r="AU2499" t="s">
        <v>273</v>
      </c>
      <c r="AV2499" s="14">
        <v>0</v>
      </c>
    </row>
    <row r="2500" spans="29:48">
      <c r="AC2500"/>
      <c r="AH2500" t="s">
        <v>1894</v>
      </c>
      <c r="AI2500" t="s">
        <v>800</v>
      </c>
      <c r="AJ2500" t="s">
        <v>31</v>
      </c>
      <c r="AK2500" s="3" t="s">
        <v>27</v>
      </c>
      <c r="AL2500" s="3">
        <v>3.9726522213000002</v>
      </c>
      <c r="AS2500" t="s">
        <v>2120</v>
      </c>
      <c r="AT2500" t="s">
        <v>88</v>
      </c>
      <c r="AU2500" t="s">
        <v>109</v>
      </c>
      <c r="AV2500" s="14">
        <v>19498.212899999999</v>
      </c>
    </row>
    <row r="2501" spans="29:48">
      <c r="AC2501"/>
      <c r="AH2501" t="s">
        <v>1894</v>
      </c>
      <c r="AI2501" t="s">
        <v>800</v>
      </c>
      <c r="AJ2501" t="s">
        <v>31</v>
      </c>
      <c r="AK2501" s="3" t="s">
        <v>27</v>
      </c>
      <c r="AL2501" s="3">
        <v>3.9729999999999999</v>
      </c>
      <c r="AS2501" t="s">
        <v>2120</v>
      </c>
      <c r="AT2501" t="s">
        <v>88</v>
      </c>
      <c r="AU2501" t="s">
        <v>110</v>
      </c>
      <c r="AV2501" s="14">
        <v>897.61059999999998</v>
      </c>
    </row>
    <row r="2502" spans="29:48">
      <c r="AC2502"/>
      <c r="AH2502" t="s">
        <v>1895</v>
      </c>
      <c r="AI2502" t="s">
        <v>65</v>
      </c>
      <c r="AJ2502" t="s">
        <v>66</v>
      </c>
      <c r="AK2502" s="3" t="s">
        <v>27</v>
      </c>
      <c r="AL2502" s="3">
        <v>34271.699999999997</v>
      </c>
      <c r="AS2502" t="s">
        <v>2120</v>
      </c>
      <c r="AT2502" t="s">
        <v>88</v>
      </c>
      <c r="AU2502" t="s">
        <v>111</v>
      </c>
      <c r="AV2502" s="14">
        <v>8125</v>
      </c>
    </row>
    <row r="2503" spans="29:48">
      <c r="AC2503"/>
      <c r="AH2503" t="s">
        <v>1895</v>
      </c>
      <c r="AI2503" t="s">
        <v>65</v>
      </c>
      <c r="AJ2503" t="s">
        <v>72</v>
      </c>
      <c r="AK2503" s="3" t="s">
        <v>27</v>
      </c>
      <c r="AL2503" s="3">
        <v>35466.921999999999</v>
      </c>
      <c r="AS2503" t="s">
        <v>2120</v>
      </c>
      <c r="AT2503" t="s">
        <v>88</v>
      </c>
      <c r="AU2503" t="s">
        <v>268</v>
      </c>
      <c r="AV2503" s="14">
        <v>999.47659999999996</v>
      </c>
    </row>
    <row r="2504" spans="29:48">
      <c r="AC2504"/>
      <c r="AH2504" t="s">
        <v>1895</v>
      </c>
      <c r="AI2504" t="s">
        <v>65</v>
      </c>
      <c r="AJ2504" t="s">
        <v>113</v>
      </c>
      <c r="AK2504" s="3" t="s">
        <v>27</v>
      </c>
      <c r="AL2504" s="3">
        <v>1945.1162369893</v>
      </c>
      <c r="AS2504" t="s">
        <v>2120</v>
      </c>
      <c r="AT2504" t="s">
        <v>88</v>
      </c>
      <c r="AU2504" t="s">
        <v>269</v>
      </c>
      <c r="AV2504" s="14">
        <v>-250</v>
      </c>
    </row>
    <row r="2505" spans="29:48">
      <c r="AC2505"/>
      <c r="AH2505" t="s">
        <v>1895</v>
      </c>
      <c r="AI2505" t="s">
        <v>65</v>
      </c>
      <c r="AJ2505" t="s">
        <v>108</v>
      </c>
      <c r="AK2505" s="3" t="s">
        <v>27</v>
      </c>
      <c r="AL2505" s="3">
        <v>-749.8942369893</v>
      </c>
      <c r="AS2505" t="s">
        <v>2120</v>
      </c>
      <c r="AT2505" t="s">
        <v>88</v>
      </c>
      <c r="AU2505" t="s">
        <v>270</v>
      </c>
      <c r="AV2505" s="14">
        <v>0</v>
      </c>
    </row>
    <row r="2506" spans="29:48">
      <c r="AC2506"/>
      <c r="AH2506" t="s">
        <v>1895</v>
      </c>
      <c r="AI2506" t="s">
        <v>65</v>
      </c>
      <c r="AJ2506" t="s">
        <v>98</v>
      </c>
      <c r="AK2506" s="3" t="s">
        <v>27</v>
      </c>
      <c r="AL2506" s="3">
        <v>-749.8942369893</v>
      </c>
      <c r="AS2506" t="s">
        <v>2120</v>
      </c>
      <c r="AT2506" t="s">
        <v>88</v>
      </c>
      <c r="AU2506" t="s">
        <v>271</v>
      </c>
      <c r="AV2506" s="14">
        <v>1250</v>
      </c>
    </row>
    <row r="2507" spans="29:48">
      <c r="AC2507"/>
      <c r="AH2507" t="s">
        <v>1895</v>
      </c>
      <c r="AI2507" t="s">
        <v>67</v>
      </c>
      <c r="AJ2507" t="s">
        <v>66</v>
      </c>
      <c r="AK2507" s="3" t="s">
        <v>27</v>
      </c>
      <c r="AL2507" s="3">
        <v>-15244.2</v>
      </c>
      <c r="AS2507" t="s">
        <v>2120</v>
      </c>
      <c r="AT2507" t="s">
        <v>88</v>
      </c>
      <c r="AU2507" t="s">
        <v>272</v>
      </c>
      <c r="AV2507" s="14">
        <v>0</v>
      </c>
    </row>
    <row r="2508" spans="29:48">
      <c r="AC2508"/>
      <c r="AH2508" t="s">
        <v>1895</v>
      </c>
      <c r="AI2508" t="s">
        <v>67</v>
      </c>
      <c r="AJ2508" t="s">
        <v>72</v>
      </c>
      <c r="AK2508" s="3" t="s">
        <v>27</v>
      </c>
      <c r="AL2508" s="3">
        <v>-16626.338404999999</v>
      </c>
      <c r="AS2508" t="s">
        <v>2120</v>
      </c>
      <c r="AT2508" t="s">
        <v>88</v>
      </c>
      <c r="AU2508" t="s">
        <v>273</v>
      </c>
      <c r="AV2508" s="14">
        <v>0</v>
      </c>
    </row>
    <row r="2509" spans="29:48">
      <c r="AC2509"/>
      <c r="AH2509" t="s">
        <v>1895</v>
      </c>
      <c r="AI2509" t="s">
        <v>67</v>
      </c>
      <c r="AJ2509" t="s">
        <v>113</v>
      </c>
      <c r="AK2509" s="3" t="s">
        <v>27</v>
      </c>
      <c r="AL2509" s="3">
        <v>-1293.4290619025001</v>
      </c>
      <c r="AS2509" t="s">
        <v>2121</v>
      </c>
      <c r="AT2509" t="s">
        <v>88</v>
      </c>
      <c r="AU2509" t="s">
        <v>109</v>
      </c>
      <c r="AV2509" s="14">
        <v>18498.212899999999</v>
      </c>
    </row>
    <row r="2510" spans="29:48">
      <c r="AC2510"/>
      <c r="AH2510" t="s">
        <v>1895</v>
      </c>
      <c r="AI2510" t="s">
        <v>67</v>
      </c>
      <c r="AJ2510" t="s">
        <v>108</v>
      </c>
      <c r="AK2510" s="3" t="s">
        <v>27</v>
      </c>
      <c r="AL2510" s="3">
        <v>-88.709343097499996</v>
      </c>
      <c r="AS2510" t="s">
        <v>2121</v>
      </c>
      <c r="AT2510" t="s">
        <v>88</v>
      </c>
      <c r="AU2510" t="s">
        <v>110</v>
      </c>
      <c r="AV2510" s="14">
        <v>897.61059999999998</v>
      </c>
    </row>
    <row r="2511" spans="29:48">
      <c r="AC2511"/>
      <c r="AH2511" t="s">
        <v>1895</v>
      </c>
      <c r="AI2511" t="s">
        <v>67</v>
      </c>
      <c r="AJ2511" t="s">
        <v>98</v>
      </c>
      <c r="AK2511" s="3" t="s">
        <v>27</v>
      </c>
      <c r="AL2511" s="3">
        <v>-88.709343097499996</v>
      </c>
      <c r="AS2511" t="s">
        <v>2121</v>
      </c>
      <c r="AT2511" t="s">
        <v>88</v>
      </c>
      <c r="AU2511" t="s">
        <v>111</v>
      </c>
      <c r="AV2511" s="14">
        <v>8125</v>
      </c>
    </row>
    <row r="2512" spans="29:48">
      <c r="AC2512"/>
      <c r="AH2512" t="s">
        <v>1895</v>
      </c>
      <c r="AI2512" t="s">
        <v>67</v>
      </c>
      <c r="AJ2512" t="s">
        <v>66</v>
      </c>
      <c r="AK2512" s="3" t="s">
        <v>114</v>
      </c>
      <c r="AL2512" s="3">
        <v>1710</v>
      </c>
      <c r="AS2512" t="s">
        <v>2121</v>
      </c>
      <c r="AT2512" t="s">
        <v>88</v>
      </c>
      <c r="AU2512" t="s">
        <v>268</v>
      </c>
      <c r="AV2512" s="14">
        <v>2000</v>
      </c>
    </row>
    <row r="2513" spans="29:48">
      <c r="AC2513"/>
      <c r="AH2513" t="s">
        <v>1895</v>
      </c>
      <c r="AI2513" t="s">
        <v>67</v>
      </c>
      <c r="AJ2513" t="s">
        <v>98</v>
      </c>
      <c r="AK2513" s="3" t="s">
        <v>114</v>
      </c>
      <c r="AL2513" s="3">
        <v>-39.494583561600002</v>
      </c>
      <c r="AS2513" t="s">
        <v>2121</v>
      </c>
      <c r="AT2513" t="s">
        <v>88</v>
      </c>
      <c r="AU2513" t="s">
        <v>269</v>
      </c>
      <c r="AV2513" s="14">
        <v>0</v>
      </c>
    </row>
    <row r="2514" spans="29:48">
      <c r="AC2514"/>
      <c r="AH2514" t="s">
        <v>1895</v>
      </c>
      <c r="AI2514" t="s">
        <v>67</v>
      </c>
      <c r="AJ2514" t="s">
        <v>66</v>
      </c>
      <c r="AK2514" s="3" t="s">
        <v>115</v>
      </c>
      <c r="AL2514" s="3">
        <v>16954.2</v>
      </c>
      <c r="AS2514" t="s">
        <v>2121</v>
      </c>
      <c r="AT2514" t="s">
        <v>88</v>
      </c>
      <c r="AU2514" t="s">
        <v>270</v>
      </c>
      <c r="AV2514" s="14">
        <v>0</v>
      </c>
    </row>
    <row r="2515" spans="29:48">
      <c r="AC2515"/>
      <c r="AH2515" t="s">
        <v>1895</v>
      </c>
      <c r="AI2515" t="s">
        <v>67</v>
      </c>
      <c r="AJ2515" t="s">
        <v>98</v>
      </c>
      <c r="AK2515" s="3" t="s">
        <v>115</v>
      </c>
      <c r="AL2515" s="3">
        <v>49.214759535799999</v>
      </c>
      <c r="AS2515" t="s">
        <v>2121</v>
      </c>
      <c r="AT2515" t="s">
        <v>88</v>
      </c>
      <c r="AU2515" t="s">
        <v>271</v>
      </c>
      <c r="AV2515" s="14">
        <v>-600</v>
      </c>
    </row>
    <row r="2516" spans="29:48">
      <c r="AC2516"/>
      <c r="AH2516" t="s">
        <v>1895</v>
      </c>
      <c r="AI2516" t="s">
        <v>68</v>
      </c>
      <c r="AJ2516" t="s">
        <v>66</v>
      </c>
      <c r="AK2516" s="3" t="s">
        <v>27</v>
      </c>
      <c r="AL2516" s="3">
        <v>-12615.5</v>
      </c>
      <c r="AS2516" t="s">
        <v>2121</v>
      </c>
      <c r="AT2516" t="s">
        <v>88</v>
      </c>
      <c r="AU2516" t="s">
        <v>272</v>
      </c>
      <c r="AV2516" s="14">
        <v>-250</v>
      </c>
    </row>
    <row r="2517" spans="29:48">
      <c r="AC2517"/>
      <c r="AH2517" t="s">
        <v>1895</v>
      </c>
      <c r="AI2517" t="s">
        <v>68</v>
      </c>
      <c r="AJ2517" t="s">
        <v>72</v>
      </c>
      <c r="AK2517" s="3" t="s">
        <v>27</v>
      </c>
      <c r="AL2517" s="3">
        <v>-12852.576405</v>
      </c>
      <c r="AS2517" t="s">
        <v>2121</v>
      </c>
      <c r="AT2517" t="s">
        <v>88</v>
      </c>
      <c r="AU2517" t="s">
        <v>273</v>
      </c>
      <c r="AV2517" s="14">
        <v>0</v>
      </c>
    </row>
    <row r="2518" spans="29:48">
      <c r="AC2518"/>
      <c r="AH2518" t="s">
        <v>1895</v>
      </c>
      <c r="AI2518" t="s">
        <v>68</v>
      </c>
      <c r="AJ2518" t="s">
        <v>113</v>
      </c>
      <c r="AK2518" s="3" t="s">
        <v>27</v>
      </c>
      <c r="AL2518" s="3">
        <v>-605.2744204265</v>
      </c>
      <c r="AS2518" t="s">
        <v>2122</v>
      </c>
      <c r="AT2518" t="s">
        <v>88</v>
      </c>
      <c r="AU2518" t="s">
        <v>109</v>
      </c>
      <c r="AV2518" s="14">
        <v>18498.212899999999</v>
      </c>
    </row>
    <row r="2519" spans="29:48">
      <c r="AC2519"/>
      <c r="AH2519" t="s">
        <v>1895</v>
      </c>
      <c r="AI2519" t="s">
        <v>68</v>
      </c>
      <c r="AJ2519" t="s">
        <v>108</v>
      </c>
      <c r="AK2519" s="3" t="s">
        <v>27</v>
      </c>
      <c r="AL2519" s="3">
        <v>368.19801542649998</v>
      </c>
      <c r="AS2519" t="s">
        <v>2122</v>
      </c>
      <c r="AT2519" t="s">
        <v>88</v>
      </c>
      <c r="AU2519" t="s">
        <v>110</v>
      </c>
      <c r="AV2519" s="14">
        <v>897.61059999999998</v>
      </c>
    </row>
    <row r="2520" spans="29:48">
      <c r="AC2520"/>
      <c r="AH2520" t="s">
        <v>1895</v>
      </c>
      <c r="AI2520" t="s">
        <v>68</v>
      </c>
      <c r="AJ2520" t="s">
        <v>98</v>
      </c>
      <c r="AK2520" s="3" t="s">
        <v>27</v>
      </c>
      <c r="AL2520" s="3">
        <v>368.19801542649998</v>
      </c>
      <c r="AS2520" t="s">
        <v>2122</v>
      </c>
      <c r="AT2520" t="s">
        <v>88</v>
      </c>
      <c r="AU2520" t="s">
        <v>111</v>
      </c>
      <c r="AV2520" s="14">
        <v>8125</v>
      </c>
    </row>
    <row r="2521" spans="29:48">
      <c r="AC2521"/>
      <c r="AH2521" t="s">
        <v>1895</v>
      </c>
      <c r="AI2521" t="s">
        <v>68</v>
      </c>
      <c r="AJ2521" t="s">
        <v>66</v>
      </c>
      <c r="AK2521" s="3" t="s">
        <v>114</v>
      </c>
      <c r="AL2521" s="3">
        <v>3042</v>
      </c>
      <c r="AS2521" t="s">
        <v>2122</v>
      </c>
      <c r="AT2521" t="s">
        <v>88</v>
      </c>
      <c r="AU2521" t="s">
        <v>268</v>
      </c>
      <c r="AV2521" s="14">
        <v>2000</v>
      </c>
    </row>
    <row r="2522" spans="29:48">
      <c r="AC2522"/>
      <c r="AH2522" t="s">
        <v>1895</v>
      </c>
      <c r="AI2522" t="s">
        <v>68</v>
      </c>
      <c r="AJ2522" t="s">
        <v>98</v>
      </c>
      <c r="AK2522" s="3" t="s">
        <v>114</v>
      </c>
      <c r="AL2522" s="3">
        <v>-157.9894890411</v>
      </c>
      <c r="AS2522" t="s">
        <v>2122</v>
      </c>
      <c r="AT2522" t="s">
        <v>88</v>
      </c>
      <c r="AU2522" t="s">
        <v>269</v>
      </c>
      <c r="AV2522" s="14">
        <v>0</v>
      </c>
    </row>
    <row r="2523" spans="29:48">
      <c r="AC2523"/>
      <c r="AH2523" t="s">
        <v>1895</v>
      </c>
      <c r="AI2523" t="s">
        <v>68</v>
      </c>
      <c r="AJ2523" t="s">
        <v>66</v>
      </c>
      <c r="AK2523" s="3" t="s">
        <v>115</v>
      </c>
      <c r="AL2523" s="3">
        <v>15657.5</v>
      </c>
      <c r="AS2523" t="s">
        <v>2122</v>
      </c>
      <c r="AT2523" t="s">
        <v>88</v>
      </c>
      <c r="AU2523" t="s">
        <v>270</v>
      </c>
      <c r="AV2523" s="14">
        <v>0</v>
      </c>
    </row>
    <row r="2524" spans="29:48">
      <c r="AC2524"/>
      <c r="AH2524" t="s">
        <v>1895</v>
      </c>
      <c r="AI2524" t="s">
        <v>68</v>
      </c>
      <c r="AJ2524" t="s">
        <v>98</v>
      </c>
      <c r="AK2524" s="3" t="s">
        <v>115</v>
      </c>
      <c r="AL2524" s="3">
        <v>-526.18750446759998</v>
      </c>
      <c r="AS2524" t="s">
        <v>2122</v>
      </c>
      <c r="AT2524" t="s">
        <v>88</v>
      </c>
      <c r="AU2524" t="s">
        <v>271</v>
      </c>
      <c r="AV2524" s="14">
        <v>600</v>
      </c>
    </row>
    <row r="2525" spans="29:48">
      <c r="AC2525"/>
      <c r="AH2525" t="s">
        <v>1895</v>
      </c>
      <c r="AI2525" t="s">
        <v>800</v>
      </c>
      <c r="AJ2525" t="s">
        <v>31</v>
      </c>
      <c r="AK2525" s="3" t="s">
        <v>27</v>
      </c>
      <c r="AL2525" s="3">
        <v>3.9779479987999999</v>
      </c>
      <c r="AS2525" t="s">
        <v>2122</v>
      </c>
      <c r="AT2525" t="s">
        <v>88</v>
      </c>
      <c r="AU2525" t="s">
        <v>272</v>
      </c>
      <c r="AV2525" s="14">
        <v>0</v>
      </c>
    </row>
    <row r="2526" spans="29:48">
      <c r="AC2526"/>
      <c r="AH2526" t="s">
        <v>1896</v>
      </c>
      <c r="AI2526" t="s">
        <v>65</v>
      </c>
      <c r="AJ2526" t="s">
        <v>66</v>
      </c>
      <c r="AK2526" s="3" t="s">
        <v>27</v>
      </c>
      <c r="AL2526" s="3">
        <v>34247.699999999997</v>
      </c>
      <c r="AS2526" t="s">
        <v>2122</v>
      </c>
      <c r="AT2526" t="s">
        <v>88</v>
      </c>
      <c r="AU2526" t="s">
        <v>273</v>
      </c>
      <c r="AV2526" s="14">
        <v>0</v>
      </c>
    </row>
    <row r="2527" spans="29:48">
      <c r="AC2527"/>
      <c r="AH2527" t="s">
        <v>1896</v>
      </c>
      <c r="AI2527" t="s">
        <v>65</v>
      </c>
      <c r="AJ2527" t="s">
        <v>72</v>
      </c>
      <c r="AK2527" s="3" t="s">
        <v>27</v>
      </c>
      <c r="AL2527" s="3">
        <v>35545.074716000003</v>
      </c>
      <c r="AS2527" t="s">
        <v>2123</v>
      </c>
      <c r="AT2527" t="s">
        <v>88</v>
      </c>
      <c r="AU2527" t="s">
        <v>109</v>
      </c>
      <c r="AV2527" s="14">
        <v>18298.212899999999</v>
      </c>
    </row>
    <row r="2528" spans="29:48">
      <c r="AC2528"/>
      <c r="AH2528" t="s">
        <v>1896</v>
      </c>
      <c r="AI2528" t="s">
        <v>65</v>
      </c>
      <c r="AJ2528" t="s">
        <v>113</v>
      </c>
      <c r="AK2528" s="3" t="s">
        <v>27</v>
      </c>
      <c r="AL2528" s="3">
        <v>2064.9254971280002</v>
      </c>
      <c r="AS2528" t="s">
        <v>2123</v>
      </c>
      <c r="AT2528" t="s">
        <v>88</v>
      </c>
      <c r="AU2528" t="s">
        <v>110</v>
      </c>
      <c r="AV2528" s="14">
        <v>897.61059999999998</v>
      </c>
    </row>
    <row r="2529" spans="29:48">
      <c r="AC2529"/>
      <c r="AH2529" t="s">
        <v>1896</v>
      </c>
      <c r="AI2529" t="s">
        <v>65</v>
      </c>
      <c r="AJ2529" t="s">
        <v>108</v>
      </c>
      <c r="AK2529" s="3" t="s">
        <v>27</v>
      </c>
      <c r="AL2529" s="3">
        <v>-767.5507811279</v>
      </c>
      <c r="AS2529" t="s">
        <v>2123</v>
      </c>
      <c r="AT2529" t="s">
        <v>88</v>
      </c>
      <c r="AU2529" t="s">
        <v>111</v>
      </c>
      <c r="AV2529" s="14">
        <v>8125</v>
      </c>
    </row>
    <row r="2530" spans="29:48">
      <c r="AC2530"/>
      <c r="AH2530" t="s">
        <v>1896</v>
      </c>
      <c r="AI2530" t="s">
        <v>65</v>
      </c>
      <c r="AJ2530" t="s">
        <v>98</v>
      </c>
      <c r="AK2530" s="3" t="s">
        <v>27</v>
      </c>
      <c r="AL2530" s="3">
        <v>-767.5507811279</v>
      </c>
      <c r="AS2530" t="s">
        <v>2123</v>
      </c>
      <c r="AT2530" t="s">
        <v>88</v>
      </c>
      <c r="AU2530" t="s">
        <v>268</v>
      </c>
      <c r="AV2530" s="14">
        <v>1200</v>
      </c>
    </row>
    <row r="2531" spans="29:48">
      <c r="AC2531"/>
      <c r="AH2531" t="s">
        <v>1896</v>
      </c>
      <c r="AI2531" t="s">
        <v>67</v>
      </c>
      <c r="AJ2531" t="s">
        <v>66</v>
      </c>
      <c r="AK2531" s="3" t="s">
        <v>27</v>
      </c>
      <c r="AL2531" s="3">
        <v>-16930.2</v>
      </c>
      <c r="AS2531" t="s">
        <v>2123</v>
      </c>
      <c r="AT2531" t="s">
        <v>88</v>
      </c>
      <c r="AU2531" t="s">
        <v>269</v>
      </c>
      <c r="AV2531" s="14">
        <v>0</v>
      </c>
    </row>
    <row r="2532" spans="29:48">
      <c r="AC2532"/>
      <c r="AH2532" t="s">
        <v>1896</v>
      </c>
      <c r="AI2532" t="s">
        <v>67</v>
      </c>
      <c r="AJ2532" t="s">
        <v>72</v>
      </c>
      <c r="AK2532" s="3" t="s">
        <v>27</v>
      </c>
      <c r="AL2532" s="3">
        <v>-18298.073466000002</v>
      </c>
      <c r="AS2532" t="s">
        <v>2123</v>
      </c>
      <c r="AT2532" t="s">
        <v>88</v>
      </c>
      <c r="AU2532" t="s">
        <v>270</v>
      </c>
      <c r="AV2532" s="14">
        <v>0</v>
      </c>
    </row>
    <row r="2533" spans="29:48">
      <c r="AC2533"/>
      <c r="AH2533" t="s">
        <v>1896</v>
      </c>
      <c r="AI2533" t="s">
        <v>67</v>
      </c>
      <c r="AJ2533" t="s">
        <v>113</v>
      </c>
      <c r="AK2533" s="3" t="s">
        <v>27</v>
      </c>
      <c r="AL2533" s="3">
        <v>-1325.9880247295</v>
      </c>
      <c r="AS2533" t="s">
        <v>2123</v>
      </c>
      <c r="AT2533" t="s">
        <v>88</v>
      </c>
      <c r="AU2533" t="s">
        <v>271</v>
      </c>
      <c r="AV2533" s="14">
        <v>600</v>
      </c>
    </row>
    <row r="2534" spans="29:48">
      <c r="AC2534"/>
      <c r="AH2534" t="s">
        <v>1896</v>
      </c>
      <c r="AI2534" t="s">
        <v>67</v>
      </c>
      <c r="AJ2534" t="s">
        <v>108</v>
      </c>
      <c r="AK2534" s="3" t="s">
        <v>27</v>
      </c>
      <c r="AL2534" s="3">
        <v>-41.885441270500003</v>
      </c>
      <c r="AS2534" t="s">
        <v>2123</v>
      </c>
      <c r="AT2534" t="s">
        <v>88</v>
      </c>
      <c r="AU2534" t="s">
        <v>272</v>
      </c>
      <c r="AV2534" s="14">
        <v>0</v>
      </c>
    </row>
    <row r="2535" spans="29:48">
      <c r="AC2535"/>
      <c r="AH2535" t="s">
        <v>1896</v>
      </c>
      <c r="AI2535" t="s">
        <v>67</v>
      </c>
      <c r="AJ2535" t="s">
        <v>98</v>
      </c>
      <c r="AK2535" s="3" t="s">
        <v>27</v>
      </c>
      <c r="AL2535" s="3">
        <v>-41.885441270500003</v>
      </c>
      <c r="AS2535" t="s">
        <v>2123</v>
      </c>
      <c r="AT2535" t="s">
        <v>88</v>
      </c>
      <c r="AU2535" t="s">
        <v>273</v>
      </c>
      <c r="AV2535" s="14">
        <v>0</v>
      </c>
    </row>
    <row r="2536" spans="29:48">
      <c r="AC2536"/>
      <c r="AH2536" t="s">
        <v>1896</v>
      </c>
      <c r="AI2536" t="s">
        <v>67</v>
      </c>
      <c r="AJ2536" t="s">
        <v>66</v>
      </c>
      <c r="AK2536" s="3" t="s">
        <v>114</v>
      </c>
      <c r="AL2536" s="3">
        <v>624</v>
      </c>
      <c r="AS2536" t="s">
        <v>2124</v>
      </c>
      <c r="AT2536" t="s">
        <v>88</v>
      </c>
      <c r="AU2536" t="s">
        <v>109</v>
      </c>
      <c r="AV2536" s="14">
        <v>16048.2129</v>
      </c>
    </row>
    <row r="2537" spans="29:48">
      <c r="AC2537"/>
      <c r="AH2537" t="s">
        <v>1896</v>
      </c>
      <c r="AI2537" t="s">
        <v>67</v>
      </c>
      <c r="AJ2537" t="s">
        <v>98</v>
      </c>
      <c r="AK2537" s="3" t="s">
        <v>114</v>
      </c>
      <c r="AL2537" s="3">
        <v>-24.176960547899998</v>
      </c>
      <c r="AS2537" t="s">
        <v>2124</v>
      </c>
      <c r="AT2537" t="s">
        <v>88</v>
      </c>
      <c r="AU2537" t="s">
        <v>110</v>
      </c>
      <c r="AV2537" s="14">
        <v>897.61059999999998</v>
      </c>
    </row>
    <row r="2538" spans="29:48">
      <c r="AC2538"/>
      <c r="AH2538" t="s">
        <v>1896</v>
      </c>
      <c r="AI2538" t="s">
        <v>67</v>
      </c>
      <c r="AJ2538" t="s">
        <v>66</v>
      </c>
      <c r="AK2538" s="3" t="s">
        <v>115</v>
      </c>
      <c r="AL2538" s="3">
        <v>17554.2</v>
      </c>
      <c r="AS2538" t="s">
        <v>2124</v>
      </c>
      <c r="AT2538" t="s">
        <v>88</v>
      </c>
      <c r="AU2538" t="s">
        <v>111</v>
      </c>
      <c r="AV2538" s="14">
        <v>8125</v>
      </c>
    </row>
    <row r="2539" spans="29:48">
      <c r="AC2539"/>
      <c r="AH2539" t="s">
        <v>1896</v>
      </c>
      <c r="AI2539" t="s">
        <v>67</v>
      </c>
      <c r="AJ2539" t="s">
        <v>98</v>
      </c>
      <c r="AK2539" s="3" t="s">
        <v>115</v>
      </c>
      <c r="AL2539" s="3">
        <v>17.708480722499999</v>
      </c>
      <c r="AS2539" t="s">
        <v>2124</v>
      </c>
      <c r="AT2539" t="s">
        <v>88</v>
      </c>
      <c r="AU2539" t="s">
        <v>268</v>
      </c>
      <c r="AV2539" s="14">
        <v>2200</v>
      </c>
    </row>
    <row r="2540" spans="29:48">
      <c r="AC2540"/>
      <c r="AH2540" t="s">
        <v>1896</v>
      </c>
      <c r="AI2540" t="s">
        <v>68</v>
      </c>
      <c r="AJ2540" t="s">
        <v>66</v>
      </c>
      <c r="AK2540" s="3" t="s">
        <v>27</v>
      </c>
      <c r="AL2540" s="3">
        <v>-10905.5</v>
      </c>
      <c r="AS2540" t="s">
        <v>2124</v>
      </c>
      <c r="AT2540" t="s">
        <v>88</v>
      </c>
      <c r="AU2540" t="s">
        <v>269</v>
      </c>
      <c r="AV2540" s="14">
        <v>0</v>
      </c>
    </row>
    <row r="2541" spans="29:48">
      <c r="AC2541"/>
      <c r="AH2541" t="s">
        <v>1896</v>
      </c>
      <c r="AI2541" t="s">
        <v>68</v>
      </c>
      <c r="AJ2541" t="s">
        <v>72</v>
      </c>
      <c r="AK2541" s="3" t="s">
        <v>27</v>
      </c>
      <c r="AL2541" s="3">
        <v>-11259.66079</v>
      </c>
      <c r="AS2541" t="s">
        <v>2124</v>
      </c>
      <c r="AT2541" t="s">
        <v>88</v>
      </c>
      <c r="AU2541" t="s">
        <v>270</v>
      </c>
      <c r="AV2541" s="14">
        <v>0</v>
      </c>
    </row>
    <row r="2542" spans="29:48">
      <c r="AC2542"/>
      <c r="AH2542" t="s">
        <v>1896</v>
      </c>
      <c r="AI2542" t="s">
        <v>68</v>
      </c>
      <c r="AJ2542" t="s">
        <v>113</v>
      </c>
      <c r="AK2542" s="3" t="s">
        <v>27</v>
      </c>
      <c r="AL2542" s="3">
        <v>-692.30224663939998</v>
      </c>
      <c r="AS2542" t="s">
        <v>2124</v>
      </c>
      <c r="AT2542" t="s">
        <v>88</v>
      </c>
      <c r="AU2542" t="s">
        <v>271</v>
      </c>
      <c r="AV2542" s="14">
        <v>-300</v>
      </c>
    </row>
    <row r="2543" spans="29:48">
      <c r="AC2543"/>
      <c r="AH2543" t="s">
        <v>1896</v>
      </c>
      <c r="AI2543" t="s">
        <v>68</v>
      </c>
      <c r="AJ2543" t="s">
        <v>108</v>
      </c>
      <c r="AK2543" s="3" t="s">
        <v>27</v>
      </c>
      <c r="AL2543" s="3">
        <v>338.14145663940002</v>
      </c>
      <c r="AS2543" t="s">
        <v>2124</v>
      </c>
      <c r="AT2543" t="s">
        <v>88</v>
      </c>
      <c r="AU2543" t="s">
        <v>272</v>
      </c>
      <c r="AV2543" s="14">
        <v>0</v>
      </c>
    </row>
    <row r="2544" spans="29:48">
      <c r="AC2544"/>
      <c r="AH2544" t="s">
        <v>1896</v>
      </c>
      <c r="AI2544" t="s">
        <v>68</v>
      </c>
      <c r="AJ2544" t="s">
        <v>98</v>
      </c>
      <c r="AK2544" s="3" t="s">
        <v>27</v>
      </c>
      <c r="AL2544" s="3">
        <v>338.14145663940002</v>
      </c>
      <c r="AS2544" t="s">
        <v>2124</v>
      </c>
      <c r="AT2544" t="s">
        <v>88</v>
      </c>
      <c r="AU2544" t="s">
        <v>273</v>
      </c>
      <c r="AV2544" s="14">
        <v>0</v>
      </c>
    </row>
    <row r="2545" spans="29:48">
      <c r="AC2545"/>
      <c r="AH2545" t="s">
        <v>1896</v>
      </c>
      <c r="AI2545" t="s">
        <v>68</v>
      </c>
      <c r="AJ2545" t="s">
        <v>66</v>
      </c>
      <c r="AK2545" s="3" t="s">
        <v>114</v>
      </c>
      <c r="AL2545" s="3">
        <v>4252</v>
      </c>
      <c r="AS2545" t="s">
        <v>2125</v>
      </c>
      <c r="AT2545" t="s">
        <v>88</v>
      </c>
      <c r="AU2545" t="s">
        <v>109</v>
      </c>
      <c r="AV2545" s="14">
        <v>15748.2129</v>
      </c>
    </row>
    <row r="2546" spans="29:48">
      <c r="AC2546"/>
      <c r="AH2546" t="s">
        <v>1896</v>
      </c>
      <c r="AI2546" t="s">
        <v>68</v>
      </c>
      <c r="AJ2546" t="s">
        <v>98</v>
      </c>
      <c r="AK2546" s="3" t="s">
        <v>114</v>
      </c>
      <c r="AL2546" s="3">
        <v>-183.038519589</v>
      </c>
      <c r="AS2546" t="s">
        <v>2125</v>
      </c>
      <c r="AT2546" t="s">
        <v>88</v>
      </c>
      <c r="AU2546" t="s">
        <v>110</v>
      </c>
      <c r="AV2546" s="14">
        <v>897.61059999999998</v>
      </c>
    </row>
    <row r="2547" spans="29:48">
      <c r="AC2547"/>
      <c r="AH2547" t="s">
        <v>1896</v>
      </c>
      <c r="AI2547" t="s">
        <v>68</v>
      </c>
      <c r="AJ2547" t="s">
        <v>66</v>
      </c>
      <c r="AK2547" s="3" t="s">
        <v>115</v>
      </c>
      <c r="AL2547" s="3">
        <v>15157.5</v>
      </c>
      <c r="AS2547" t="s">
        <v>2125</v>
      </c>
      <c r="AT2547" t="s">
        <v>88</v>
      </c>
      <c r="AU2547" t="s">
        <v>111</v>
      </c>
      <c r="AV2547" s="14">
        <v>8125</v>
      </c>
    </row>
    <row r="2548" spans="29:48">
      <c r="AC2548"/>
      <c r="AH2548" t="s">
        <v>1896</v>
      </c>
      <c r="AI2548" t="s">
        <v>68</v>
      </c>
      <c r="AJ2548" t="s">
        <v>98</v>
      </c>
      <c r="AK2548" s="3" t="s">
        <v>115</v>
      </c>
      <c r="AL2548" s="3">
        <v>-521.17997622849998</v>
      </c>
      <c r="AS2548" t="s">
        <v>2125</v>
      </c>
      <c r="AT2548" t="s">
        <v>88</v>
      </c>
      <c r="AU2548" t="s">
        <v>268</v>
      </c>
      <c r="AV2548" s="14">
        <v>2000</v>
      </c>
    </row>
    <row r="2549" spans="29:48">
      <c r="AC2549"/>
      <c r="AH2549" t="s">
        <v>1896</v>
      </c>
      <c r="AI2549" t="s">
        <v>800</v>
      </c>
      <c r="AJ2549" t="s">
        <v>31</v>
      </c>
      <c r="AK2549" s="3" t="s">
        <v>27</v>
      </c>
      <c r="AL2549" s="3">
        <v>3.9648118451999999</v>
      </c>
      <c r="AS2549" t="s">
        <v>2125</v>
      </c>
      <c r="AT2549" t="s">
        <v>88</v>
      </c>
      <c r="AU2549" t="s">
        <v>269</v>
      </c>
      <c r="AV2549" s="14">
        <v>0</v>
      </c>
    </row>
    <row r="2550" spans="29:48">
      <c r="AC2550"/>
      <c r="AH2550" t="s">
        <v>1897</v>
      </c>
      <c r="AI2550" t="s">
        <v>65</v>
      </c>
      <c r="AJ2550" t="s">
        <v>66</v>
      </c>
      <c r="AK2550" s="3" t="s">
        <v>27</v>
      </c>
      <c r="AL2550" s="3">
        <v>33140.699999999997</v>
      </c>
      <c r="AS2550" t="s">
        <v>2125</v>
      </c>
      <c r="AT2550" t="s">
        <v>88</v>
      </c>
      <c r="AU2550" t="s">
        <v>270</v>
      </c>
      <c r="AV2550" s="14">
        <v>0</v>
      </c>
    </row>
    <row r="2551" spans="29:48">
      <c r="AC2551"/>
      <c r="AH2551" t="s">
        <v>1897</v>
      </c>
      <c r="AI2551" t="s">
        <v>65</v>
      </c>
      <c r="AJ2551" t="s">
        <v>72</v>
      </c>
      <c r="AK2551" s="3" t="s">
        <v>27</v>
      </c>
      <c r="AL2551" s="3">
        <v>33861.370831</v>
      </c>
      <c r="AS2551" t="s">
        <v>2125</v>
      </c>
      <c r="AT2551" t="s">
        <v>88</v>
      </c>
      <c r="AU2551" t="s">
        <v>271</v>
      </c>
      <c r="AV2551" s="14">
        <v>0</v>
      </c>
    </row>
    <row r="2552" spans="29:48">
      <c r="AC2552"/>
      <c r="AH2552" t="s">
        <v>1897</v>
      </c>
      <c r="AI2552" t="s">
        <v>65</v>
      </c>
      <c r="AJ2552" t="s">
        <v>113</v>
      </c>
      <c r="AK2552" s="3" t="s">
        <v>27</v>
      </c>
      <c r="AL2552" s="3">
        <v>1510.9677942834001</v>
      </c>
      <c r="AS2552" t="s">
        <v>2125</v>
      </c>
      <c r="AT2552" t="s">
        <v>88</v>
      </c>
      <c r="AU2552" t="s">
        <v>272</v>
      </c>
      <c r="AV2552" s="14">
        <v>0</v>
      </c>
    </row>
    <row r="2553" spans="29:48">
      <c r="AC2553"/>
      <c r="AH2553" t="s">
        <v>1897</v>
      </c>
      <c r="AI2553" t="s">
        <v>65</v>
      </c>
      <c r="AJ2553" t="s">
        <v>108</v>
      </c>
      <c r="AK2553" s="3" t="s">
        <v>27</v>
      </c>
      <c r="AL2553" s="3">
        <v>-790.29696328340003</v>
      </c>
      <c r="AS2553" t="s">
        <v>2125</v>
      </c>
      <c r="AT2553" t="s">
        <v>88</v>
      </c>
      <c r="AU2553" t="s">
        <v>273</v>
      </c>
      <c r="AV2553" s="14">
        <v>0</v>
      </c>
    </row>
    <row r="2554" spans="29:48">
      <c r="AC2554"/>
      <c r="AH2554" t="s">
        <v>1897</v>
      </c>
      <c r="AI2554" t="s">
        <v>65</v>
      </c>
      <c r="AJ2554" t="s">
        <v>98</v>
      </c>
      <c r="AK2554" s="3" t="s">
        <v>27</v>
      </c>
      <c r="AL2554" s="3">
        <v>-790.29696328340003</v>
      </c>
      <c r="AS2554" t="s">
        <v>2126</v>
      </c>
      <c r="AT2554" t="s">
        <v>88</v>
      </c>
      <c r="AU2554" t="s">
        <v>109</v>
      </c>
      <c r="AV2554" s="14">
        <v>19248.212899999999</v>
      </c>
    </row>
    <row r="2555" spans="29:48">
      <c r="AC2555"/>
      <c r="AH2555" t="s">
        <v>1897</v>
      </c>
      <c r="AI2555" t="s">
        <v>67</v>
      </c>
      <c r="AJ2555" t="s">
        <v>66</v>
      </c>
      <c r="AK2555" s="3" t="s">
        <v>27</v>
      </c>
      <c r="AL2555" s="3">
        <v>-15847.2</v>
      </c>
      <c r="AS2555" t="s">
        <v>2126</v>
      </c>
      <c r="AT2555" t="s">
        <v>88</v>
      </c>
      <c r="AU2555" t="s">
        <v>110</v>
      </c>
      <c r="AV2555" s="14">
        <v>897.61059999999998</v>
      </c>
    </row>
    <row r="2556" spans="29:48">
      <c r="AC2556"/>
      <c r="AH2556" t="s">
        <v>1897</v>
      </c>
      <c r="AI2556" t="s">
        <v>67</v>
      </c>
      <c r="AJ2556" t="s">
        <v>72</v>
      </c>
      <c r="AK2556" s="3" t="s">
        <v>27</v>
      </c>
      <c r="AL2556" s="3">
        <v>-16536.852535999999</v>
      </c>
      <c r="AS2556" t="s">
        <v>2126</v>
      </c>
      <c r="AT2556" t="s">
        <v>88</v>
      </c>
      <c r="AU2556" t="s">
        <v>111</v>
      </c>
      <c r="AV2556" s="14">
        <v>8625</v>
      </c>
    </row>
    <row r="2557" spans="29:48">
      <c r="AC2557"/>
      <c r="AH2557" t="s">
        <v>1897</v>
      </c>
      <c r="AI2557" t="s">
        <v>67</v>
      </c>
      <c r="AJ2557" t="s">
        <v>113</v>
      </c>
      <c r="AK2557" s="3" t="s">
        <v>27</v>
      </c>
      <c r="AL2557" s="3">
        <v>-650.7625174364</v>
      </c>
      <c r="AS2557" t="s">
        <v>2126</v>
      </c>
      <c r="AT2557" t="s">
        <v>88</v>
      </c>
      <c r="AU2557" t="s">
        <v>268</v>
      </c>
      <c r="AV2557" s="14">
        <v>-1500</v>
      </c>
    </row>
    <row r="2558" spans="29:48">
      <c r="AC2558"/>
      <c r="AH2558" t="s">
        <v>1897</v>
      </c>
      <c r="AI2558" t="s">
        <v>67</v>
      </c>
      <c r="AJ2558" t="s">
        <v>108</v>
      </c>
      <c r="AK2558" s="3" t="s">
        <v>27</v>
      </c>
      <c r="AL2558" s="3">
        <v>-38.890018563600002</v>
      </c>
      <c r="AS2558" t="s">
        <v>2126</v>
      </c>
      <c r="AT2558" t="s">
        <v>88</v>
      </c>
      <c r="AU2558" t="s">
        <v>269</v>
      </c>
      <c r="AV2558" s="14">
        <v>0</v>
      </c>
    </row>
    <row r="2559" spans="29:48">
      <c r="AC2559"/>
      <c r="AH2559" t="s">
        <v>1897</v>
      </c>
      <c r="AI2559" t="s">
        <v>67</v>
      </c>
      <c r="AJ2559" t="s">
        <v>98</v>
      </c>
      <c r="AK2559" s="3" t="s">
        <v>27</v>
      </c>
      <c r="AL2559" s="3">
        <v>-38.890018563600002</v>
      </c>
      <c r="AS2559" t="s">
        <v>2126</v>
      </c>
      <c r="AT2559" t="s">
        <v>88</v>
      </c>
      <c r="AU2559" t="s">
        <v>270</v>
      </c>
      <c r="AV2559" s="14">
        <v>0</v>
      </c>
    </row>
    <row r="2560" spans="29:48">
      <c r="AC2560"/>
      <c r="AH2560" t="s">
        <v>1897</v>
      </c>
      <c r="AI2560" t="s">
        <v>67</v>
      </c>
      <c r="AJ2560" t="s">
        <v>66</v>
      </c>
      <c r="AK2560" s="3" t="s">
        <v>114</v>
      </c>
      <c r="AL2560" s="3">
        <v>3361</v>
      </c>
      <c r="AS2560" t="s">
        <v>2126</v>
      </c>
      <c r="AT2560" t="s">
        <v>88</v>
      </c>
      <c r="AU2560" t="s">
        <v>271</v>
      </c>
      <c r="AV2560" s="14">
        <v>0</v>
      </c>
    </row>
    <row r="2561" spans="29:48">
      <c r="AC2561"/>
      <c r="AH2561" t="s">
        <v>1897</v>
      </c>
      <c r="AI2561" t="s">
        <v>67</v>
      </c>
      <c r="AJ2561" t="s">
        <v>98</v>
      </c>
      <c r="AK2561" s="3" t="s">
        <v>114</v>
      </c>
      <c r="AL2561" s="3">
        <v>-41.9607642466</v>
      </c>
      <c r="AS2561" t="s">
        <v>2126</v>
      </c>
      <c r="AT2561" t="s">
        <v>88</v>
      </c>
      <c r="AU2561" t="s">
        <v>272</v>
      </c>
      <c r="AV2561" s="14">
        <v>0</v>
      </c>
    </row>
    <row r="2562" spans="29:48">
      <c r="AC2562"/>
      <c r="AH2562" t="s">
        <v>1897</v>
      </c>
      <c r="AI2562" t="s">
        <v>67</v>
      </c>
      <c r="AJ2562" t="s">
        <v>66</v>
      </c>
      <c r="AK2562" s="3" t="s">
        <v>115</v>
      </c>
      <c r="AL2562" s="3">
        <v>19208.2</v>
      </c>
      <c r="AS2562" t="s">
        <v>2126</v>
      </c>
      <c r="AT2562" t="s">
        <v>88</v>
      </c>
      <c r="AU2562" t="s">
        <v>273</v>
      </c>
      <c r="AV2562" s="14">
        <v>0</v>
      </c>
    </row>
    <row r="2563" spans="29:48">
      <c r="AC2563"/>
      <c r="AH2563" t="s">
        <v>1897</v>
      </c>
      <c r="AI2563" t="s">
        <v>67</v>
      </c>
      <c r="AJ2563" t="s">
        <v>98</v>
      </c>
      <c r="AK2563" s="3" t="s">
        <v>115</v>
      </c>
      <c r="AL2563" s="3">
        <v>-3.0707456830000002</v>
      </c>
      <c r="AS2563" t="s">
        <v>2127</v>
      </c>
      <c r="AT2563" t="s">
        <v>88</v>
      </c>
      <c r="AU2563" t="s">
        <v>109</v>
      </c>
      <c r="AV2563" s="14">
        <v>19368.212899999999</v>
      </c>
    </row>
    <row r="2564" spans="29:48">
      <c r="AC2564"/>
      <c r="AH2564" t="s">
        <v>1897</v>
      </c>
      <c r="AI2564" t="s">
        <v>68</v>
      </c>
      <c r="AJ2564" t="s">
        <v>66</v>
      </c>
      <c r="AK2564" s="3" t="s">
        <v>27</v>
      </c>
      <c r="AL2564" s="3">
        <v>-10881.5</v>
      </c>
      <c r="AS2564" t="s">
        <v>2127</v>
      </c>
      <c r="AT2564" t="s">
        <v>88</v>
      </c>
      <c r="AU2564" t="s">
        <v>110</v>
      </c>
      <c r="AV2564" s="14">
        <v>897.61059999999998</v>
      </c>
    </row>
    <row r="2565" spans="29:48">
      <c r="AC2565"/>
      <c r="AH2565" t="s">
        <v>1897</v>
      </c>
      <c r="AI2565" t="s">
        <v>68</v>
      </c>
      <c r="AJ2565" t="s">
        <v>72</v>
      </c>
      <c r="AK2565" s="3" t="s">
        <v>27</v>
      </c>
      <c r="AL2565" s="3">
        <v>-11337.380605</v>
      </c>
      <c r="AS2565" t="s">
        <v>2127</v>
      </c>
      <c r="AT2565" t="s">
        <v>88</v>
      </c>
      <c r="AU2565" t="s">
        <v>111</v>
      </c>
      <c r="AV2565" s="14">
        <v>8625</v>
      </c>
    </row>
    <row r="2566" spans="29:48">
      <c r="AC2566"/>
      <c r="AH2566" t="s">
        <v>1897</v>
      </c>
      <c r="AI2566" t="s">
        <v>68</v>
      </c>
      <c r="AJ2566" t="s">
        <v>113</v>
      </c>
      <c r="AK2566" s="3" t="s">
        <v>27</v>
      </c>
      <c r="AL2566" s="3">
        <v>-813.52789539670005</v>
      </c>
      <c r="AS2566" t="s">
        <v>2127</v>
      </c>
      <c r="AT2566" t="s">
        <v>88</v>
      </c>
      <c r="AU2566" t="s">
        <v>268</v>
      </c>
      <c r="AV2566" s="14">
        <v>200</v>
      </c>
    </row>
    <row r="2567" spans="29:48">
      <c r="AC2567"/>
      <c r="AH2567" t="s">
        <v>1897</v>
      </c>
      <c r="AI2567" t="s">
        <v>68</v>
      </c>
      <c r="AJ2567" t="s">
        <v>108</v>
      </c>
      <c r="AK2567" s="3" t="s">
        <v>27</v>
      </c>
      <c r="AL2567" s="3">
        <v>357.64729039669999</v>
      </c>
      <c r="AS2567" t="s">
        <v>2127</v>
      </c>
      <c r="AT2567" t="s">
        <v>88</v>
      </c>
      <c r="AU2567" t="s">
        <v>269</v>
      </c>
      <c r="AV2567" s="14">
        <v>0</v>
      </c>
    </row>
    <row r="2568" spans="29:48">
      <c r="AC2568"/>
      <c r="AH2568" t="s">
        <v>1897</v>
      </c>
      <c r="AI2568" t="s">
        <v>68</v>
      </c>
      <c r="AJ2568" t="s">
        <v>98</v>
      </c>
      <c r="AK2568" s="3" t="s">
        <v>27</v>
      </c>
      <c r="AL2568" s="3">
        <v>357.64729039669999</v>
      </c>
      <c r="AS2568" t="s">
        <v>2127</v>
      </c>
      <c r="AT2568" t="s">
        <v>88</v>
      </c>
      <c r="AU2568" t="s">
        <v>270</v>
      </c>
      <c r="AV2568" s="14">
        <v>0</v>
      </c>
    </row>
    <row r="2569" spans="29:48">
      <c r="AC2569"/>
      <c r="AH2569" t="s">
        <v>1897</v>
      </c>
      <c r="AI2569" t="s">
        <v>68</v>
      </c>
      <c r="AJ2569" t="s">
        <v>66</v>
      </c>
      <c r="AK2569" s="3" t="s">
        <v>114</v>
      </c>
      <c r="AL2569" s="3">
        <v>4203</v>
      </c>
      <c r="AS2569" t="s">
        <v>2127</v>
      </c>
      <c r="AT2569" t="s">
        <v>88</v>
      </c>
      <c r="AU2569" t="s">
        <v>271</v>
      </c>
      <c r="AV2569" s="14">
        <v>-1500</v>
      </c>
    </row>
    <row r="2570" spans="29:48">
      <c r="AC2570"/>
      <c r="AH2570" t="s">
        <v>1897</v>
      </c>
      <c r="AI2570" t="s">
        <v>68</v>
      </c>
      <c r="AJ2570" t="s">
        <v>98</v>
      </c>
      <c r="AK2570" s="3" t="s">
        <v>114</v>
      </c>
      <c r="AL2570" s="3">
        <v>-180.43333479450001</v>
      </c>
      <c r="AS2570" t="s">
        <v>2127</v>
      </c>
      <c r="AT2570" t="s">
        <v>88</v>
      </c>
      <c r="AU2570" t="s">
        <v>272</v>
      </c>
      <c r="AV2570" s="14">
        <v>0</v>
      </c>
    </row>
    <row r="2571" spans="29:48">
      <c r="AC2571"/>
      <c r="AH2571" t="s">
        <v>1897</v>
      </c>
      <c r="AI2571" t="s">
        <v>68</v>
      </c>
      <c r="AJ2571" t="s">
        <v>66</v>
      </c>
      <c r="AK2571" s="3" t="s">
        <v>115</v>
      </c>
      <c r="AL2571" s="3">
        <v>15084.5</v>
      </c>
      <c r="AS2571" t="s">
        <v>2127</v>
      </c>
      <c r="AT2571" t="s">
        <v>88</v>
      </c>
      <c r="AU2571" t="s">
        <v>273</v>
      </c>
      <c r="AV2571" s="14">
        <v>0</v>
      </c>
    </row>
    <row r="2572" spans="29:48">
      <c r="AC2572"/>
      <c r="AH2572" t="s">
        <v>1897</v>
      </c>
      <c r="AI2572" t="s">
        <v>68</v>
      </c>
      <c r="AJ2572" t="s">
        <v>98</v>
      </c>
      <c r="AK2572" s="3" t="s">
        <v>115</v>
      </c>
      <c r="AL2572" s="3">
        <v>-538.08062519120006</v>
      </c>
      <c r="AS2572" t="s">
        <v>2128</v>
      </c>
      <c r="AT2572" t="s">
        <v>88</v>
      </c>
      <c r="AU2572" t="s">
        <v>109</v>
      </c>
      <c r="AV2572" s="14">
        <v>19765.8367</v>
      </c>
    </row>
    <row r="2573" spans="29:48">
      <c r="AC2573"/>
      <c r="AH2573" t="s">
        <v>1897</v>
      </c>
      <c r="AI2573" t="s">
        <v>800</v>
      </c>
      <c r="AJ2573" t="s">
        <v>31</v>
      </c>
      <c r="AK2573" s="3" t="s">
        <v>27</v>
      </c>
      <c r="AL2573" s="3">
        <v>3.9668145521999998</v>
      </c>
      <c r="AS2573" t="s">
        <v>2128</v>
      </c>
      <c r="AT2573" t="s">
        <v>88</v>
      </c>
      <c r="AU2573" t="s">
        <v>110</v>
      </c>
      <c r="AV2573" s="14">
        <v>897.61059999999998</v>
      </c>
    </row>
    <row r="2574" spans="29:48">
      <c r="AC2574"/>
      <c r="AH2574" t="s">
        <v>1898</v>
      </c>
      <c r="AI2574" t="s">
        <v>65</v>
      </c>
      <c r="AJ2574" t="s">
        <v>66</v>
      </c>
      <c r="AK2574" s="3" t="s">
        <v>27</v>
      </c>
      <c r="AL2574" s="3">
        <v>33340.699999999997</v>
      </c>
      <c r="AS2574" t="s">
        <v>2128</v>
      </c>
      <c r="AT2574" t="s">
        <v>88</v>
      </c>
      <c r="AU2574" t="s">
        <v>111</v>
      </c>
      <c r="AV2574" s="14">
        <v>8625</v>
      </c>
    </row>
    <row r="2575" spans="29:48">
      <c r="AC2575"/>
      <c r="AH2575" t="s">
        <v>1898</v>
      </c>
      <c r="AI2575" t="s">
        <v>65</v>
      </c>
      <c r="AJ2575" t="s">
        <v>72</v>
      </c>
      <c r="AK2575" s="3" t="s">
        <v>27</v>
      </c>
      <c r="AL2575" s="3">
        <v>34053.990376000002</v>
      </c>
      <c r="AS2575" t="s">
        <v>2128</v>
      </c>
      <c r="AT2575" t="s">
        <v>88</v>
      </c>
      <c r="AU2575" t="s">
        <v>268</v>
      </c>
      <c r="AV2575" s="14">
        <v>1000</v>
      </c>
    </row>
    <row r="2576" spans="29:48">
      <c r="AC2576"/>
      <c r="AH2576" t="s">
        <v>1898</v>
      </c>
      <c r="AI2576" t="s">
        <v>65</v>
      </c>
      <c r="AJ2576" t="s">
        <v>113</v>
      </c>
      <c r="AK2576" s="3" t="s">
        <v>27</v>
      </c>
      <c r="AL2576" s="3">
        <v>1546.1011132074</v>
      </c>
      <c r="AS2576" t="s">
        <v>2128</v>
      </c>
      <c r="AT2576" t="s">
        <v>88</v>
      </c>
      <c r="AU2576" t="s">
        <v>269</v>
      </c>
      <c r="AV2576" s="14">
        <v>0</v>
      </c>
    </row>
    <row r="2577" spans="29:48">
      <c r="AC2577"/>
      <c r="AH2577" t="s">
        <v>1898</v>
      </c>
      <c r="AI2577" t="s">
        <v>65</v>
      </c>
      <c r="AJ2577" t="s">
        <v>108</v>
      </c>
      <c r="AK2577" s="3" t="s">
        <v>27</v>
      </c>
      <c r="AL2577" s="3">
        <v>-832.81073720740005</v>
      </c>
      <c r="AS2577" t="s">
        <v>2128</v>
      </c>
      <c r="AT2577" t="s">
        <v>88</v>
      </c>
      <c r="AU2577" t="s">
        <v>270</v>
      </c>
      <c r="AV2577" s="14">
        <v>0</v>
      </c>
    </row>
    <row r="2578" spans="29:48">
      <c r="AC2578"/>
      <c r="AH2578" t="s">
        <v>1898</v>
      </c>
      <c r="AI2578" t="s">
        <v>65</v>
      </c>
      <c r="AJ2578" t="s">
        <v>98</v>
      </c>
      <c r="AK2578" s="3" t="s">
        <v>27</v>
      </c>
      <c r="AL2578" s="3">
        <v>-832.81073720740005</v>
      </c>
      <c r="AS2578" t="s">
        <v>2128</v>
      </c>
      <c r="AT2578" t="s">
        <v>88</v>
      </c>
      <c r="AU2578" t="s">
        <v>271</v>
      </c>
      <c r="AV2578" s="14">
        <v>-1397.6238000000001</v>
      </c>
    </row>
    <row r="2579" spans="29:48">
      <c r="AC2579"/>
      <c r="AH2579" t="s">
        <v>1898</v>
      </c>
      <c r="AI2579" t="s">
        <v>67</v>
      </c>
      <c r="AJ2579" t="s">
        <v>66</v>
      </c>
      <c r="AK2579" s="3" t="s">
        <v>27</v>
      </c>
      <c r="AL2579" s="3">
        <v>-15263.2</v>
      </c>
      <c r="AS2579" t="s">
        <v>2128</v>
      </c>
      <c r="AT2579" t="s">
        <v>88</v>
      </c>
      <c r="AU2579" t="s">
        <v>272</v>
      </c>
      <c r="AV2579" s="14">
        <v>0</v>
      </c>
    </row>
    <row r="2580" spans="29:48">
      <c r="AC2580"/>
      <c r="AH2580" t="s">
        <v>1898</v>
      </c>
      <c r="AI2580" t="s">
        <v>67</v>
      </c>
      <c r="AJ2580" t="s">
        <v>72</v>
      </c>
      <c r="AK2580" s="3" t="s">
        <v>27</v>
      </c>
      <c r="AL2580" s="3">
        <v>-16104.045641000001</v>
      </c>
      <c r="AS2580" t="s">
        <v>2128</v>
      </c>
      <c r="AT2580" t="s">
        <v>88</v>
      </c>
      <c r="AU2580" t="s">
        <v>273</v>
      </c>
      <c r="AV2580" s="14">
        <v>0</v>
      </c>
    </row>
    <row r="2581" spans="29:48">
      <c r="AC2581"/>
      <c r="AH2581" t="s">
        <v>1898</v>
      </c>
      <c r="AI2581" t="s">
        <v>67</v>
      </c>
      <c r="AJ2581" t="s">
        <v>113</v>
      </c>
      <c r="AK2581" s="3" t="s">
        <v>27</v>
      </c>
      <c r="AL2581" s="3">
        <v>-853.31207073040002</v>
      </c>
      <c r="AS2581" t="s">
        <v>2129</v>
      </c>
      <c r="AT2581" t="s">
        <v>88</v>
      </c>
      <c r="AU2581" t="s">
        <v>109</v>
      </c>
      <c r="AV2581" s="14">
        <v>19045.8367</v>
      </c>
    </row>
    <row r="2582" spans="29:48">
      <c r="AC2582"/>
      <c r="AH2582" t="s">
        <v>1898</v>
      </c>
      <c r="AI2582" t="s">
        <v>67</v>
      </c>
      <c r="AJ2582" t="s">
        <v>108</v>
      </c>
      <c r="AK2582" s="3" t="s">
        <v>27</v>
      </c>
      <c r="AL2582" s="3">
        <v>12.4664297304</v>
      </c>
      <c r="AS2582" t="s">
        <v>2129</v>
      </c>
      <c r="AT2582" t="s">
        <v>88</v>
      </c>
      <c r="AU2582" t="s">
        <v>110</v>
      </c>
      <c r="AV2582" s="14">
        <v>897.61059999999998</v>
      </c>
    </row>
    <row r="2583" spans="29:48">
      <c r="AC2583"/>
      <c r="AH2583" t="s">
        <v>1898</v>
      </c>
      <c r="AI2583" t="s">
        <v>67</v>
      </c>
      <c r="AJ2583" t="s">
        <v>98</v>
      </c>
      <c r="AK2583" s="3" t="s">
        <v>27</v>
      </c>
      <c r="AL2583" s="3">
        <v>12.4664297304</v>
      </c>
      <c r="AS2583" t="s">
        <v>2129</v>
      </c>
      <c r="AT2583" t="s">
        <v>88</v>
      </c>
      <c r="AU2583" t="s">
        <v>111</v>
      </c>
      <c r="AV2583" s="14">
        <v>8625</v>
      </c>
    </row>
    <row r="2584" spans="29:48">
      <c r="AC2584"/>
      <c r="AH2584" t="s">
        <v>1898</v>
      </c>
      <c r="AI2584" t="s">
        <v>67</v>
      </c>
      <c r="AJ2584" t="s">
        <v>66</v>
      </c>
      <c r="AK2584" s="3" t="s">
        <v>114</v>
      </c>
      <c r="AL2584" s="3">
        <v>870</v>
      </c>
      <c r="AS2584" t="s">
        <v>2129</v>
      </c>
      <c r="AT2584" t="s">
        <v>88</v>
      </c>
      <c r="AU2584" t="s">
        <v>268</v>
      </c>
      <c r="AV2584" s="14">
        <v>4000</v>
      </c>
    </row>
    <row r="2585" spans="29:48">
      <c r="AC2585"/>
      <c r="AH2585" t="s">
        <v>1898</v>
      </c>
      <c r="AI2585" t="s">
        <v>67</v>
      </c>
      <c r="AJ2585" t="s">
        <v>98</v>
      </c>
      <c r="AK2585" s="3" t="s">
        <v>114</v>
      </c>
      <c r="AL2585" s="3">
        <v>-10.712675342500001</v>
      </c>
      <c r="AS2585" t="s">
        <v>2129</v>
      </c>
      <c r="AT2585" t="s">
        <v>88</v>
      </c>
      <c r="AU2585" t="s">
        <v>269</v>
      </c>
      <c r="AV2585" s="14">
        <v>0</v>
      </c>
    </row>
    <row r="2586" spans="29:48">
      <c r="AC2586"/>
      <c r="AH2586" t="s">
        <v>1898</v>
      </c>
      <c r="AI2586" t="s">
        <v>67</v>
      </c>
      <c r="AJ2586" t="s">
        <v>66</v>
      </c>
      <c r="AK2586" s="3" t="s">
        <v>115</v>
      </c>
      <c r="AL2586" s="3">
        <v>16133.2</v>
      </c>
      <c r="AS2586" t="s">
        <v>2129</v>
      </c>
      <c r="AT2586" t="s">
        <v>88</v>
      </c>
      <c r="AU2586" t="s">
        <v>270</v>
      </c>
      <c r="AV2586" s="14">
        <v>0</v>
      </c>
    </row>
    <row r="2587" spans="29:48">
      <c r="AC2587"/>
      <c r="AH2587" t="s">
        <v>1898</v>
      </c>
      <c r="AI2587" t="s">
        <v>67</v>
      </c>
      <c r="AJ2587" t="s">
        <v>98</v>
      </c>
      <c r="AK2587" s="3" t="s">
        <v>115</v>
      </c>
      <c r="AL2587" s="3">
        <v>-23.179105072900001</v>
      </c>
      <c r="AS2587" t="s">
        <v>2129</v>
      </c>
      <c r="AT2587" t="s">
        <v>88</v>
      </c>
      <c r="AU2587" t="s">
        <v>271</v>
      </c>
      <c r="AV2587" s="14">
        <v>0</v>
      </c>
    </row>
    <row r="2588" spans="29:48">
      <c r="AC2588"/>
      <c r="AH2588" t="s">
        <v>1898</v>
      </c>
      <c r="AI2588" t="s">
        <v>68</v>
      </c>
      <c r="AJ2588" t="s">
        <v>66</v>
      </c>
      <c r="AK2588" s="3" t="s">
        <v>27</v>
      </c>
      <c r="AL2588" s="3">
        <v>-11886.5</v>
      </c>
      <c r="AS2588" t="s">
        <v>2129</v>
      </c>
      <c r="AT2588" t="s">
        <v>88</v>
      </c>
      <c r="AU2588" t="s">
        <v>272</v>
      </c>
      <c r="AV2588" s="14">
        <v>0</v>
      </c>
    </row>
    <row r="2589" spans="29:48">
      <c r="AC2589"/>
      <c r="AH2589" t="s">
        <v>1898</v>
      </c>
      <c r="AI2589" t="s">
        <v>68</v>
      </c>
      <c r="AJ2589" t="s">
        <v>72</v>
      </c>
      <c r="AK2589" s="3" t="s">
        <v>27</v>
      </c>
      <c r="AL2589" s="3">
        <v>-12167.193775</v>
      </c>
      <c r="AS2589" t="s">
        <v>2129</v>
      </c>
      <c r="AT2589" t="s">
        <v>88</v>
      </c>
      <c r="AU2589" t="s">
        <v>273</v>
      </c>
      <c r="AV2589" s="14">
        <v>0</v>
      </c>
    </row>
    <row r="2590" spans="29:48">
      <c r="AC2590"/>
      <c r="AH2590" t="s">
        <v>1898</v>
      </c>
      <c r="AI2590" t="s">
        <v>68</v>
      </c>
      <c r="AJ2590" t="s">
        <v>113</v>
      </c>
      <c r="AK2590" s="3" t="s">
        <v>27</v>
      </c>
      <c r="AL2590" s="3">
        <v>-628.94909912380001</v>
      </c>
      <c r="AS2590" t="s">
        <v>2130</v>
      </c>
      <c r="AT2590" t="s">
        <v>88</v>
      </c>
      <c r="AU2590" t="s">
        <v>109</v>
      </c>
      <c r="AV2590" s="14">
        <v>21545.8367</v>
      </c>
    </row>
    <row r="2591" spans="29:48">
      <c r="AC2591"/>
      <c r="AH2591" t="s">
        <v>1898</v>
      </c>
      <c r="AI2591" t="s">
        <v>68</v>
      </c>
      <c r="AJ2591" t="s">
        <v>108</v>
      </c>
      <c r="AK2591" s="3" t="s">
        <v>27</v>
      </c>
      <c r="AL2591" s="3">
        <v>348.25532412379999</v>
      </c>
      <c r="AS2591" t="s">
        <v>2130</v>
      </c>
      <c r="AT2591" t="s">
        <v>88</v>
      </c>
      <c r="AU2591" t="s">
        <v>110</v>
      </c>
      <c r="AV2591" s="14">
        <v>897.61059999999998</v>
      </c>
    </row>
    <row r="2592" spans="29:48">
      <c r="AC2592"/>
      <c r="AH2592" t="s">
        <v>1898</v>
      </c>
      <c r="AI2592" t="s">
        <v>68</v>
      </c>
      <c r="AJ2592" t="s">
        <v>98</v>
      </c>
      <c r="AK2592" s="3" t="s">
        <v>27</v>
      </c>
      <c r="AL2592" s="3">
        <v>348.25532412379999</v>
      </c>
      <c r="AS2592" t="s">
        <v>2130</v>
      </c>
      <c r="AT2592" t="s">
        <v>88</v>
      </c>
      <c r="AU2592" t="s">
        <v>111</v>
      </c>
      <c r="AV2592" s="14">
        <v>9100</v>
      </c>
    </row>
    <row r="2593" spans="29:48">
      <c r="AC2593"/>
      <c r="AH2593" t="s">
        <v>1898</v>
      </c>
      <c r="AI2593" t="s">
        <v>68</v>
      </c>
      <c r="AJ2593" t="s">
        <v>66</v>
      </c>
      <c r="AK2593" s="3" t="s">
        <v>114</v>
      </c>
      <c r="AL2593" s="3">
        <v>6314</v>
      </c>
      <c r="AS2593" t="s">
        <v>2130</v>
      </c>
      <c r="AT2593" t="s">
        <v>88</v>
      </c>
      <c r="AU2593" t="s">
        <v>268</v>
      </c>
      <c r="AV2593" s="14">
        <v>2000</v>
      </c>
    </row>
    <row r="2594" spans="29:48">
      <c r="AC2594"/>
      <c r="AH2594" t="s">
        <v>1898</v>
      </c>
      <c r="AI2594" t="s">
        <v>68</v>
      </c>
      <c r="AJ2594" t="s">
        <v>98</v>
      </c>
      <c r="AK2594" s="3" t="s">
        <v>114</v>
      </c>
      <c r="AL2594" s="3">
        <v>-155.37034315069999</v>
      </c>
      <c r="AS2594" t="s">
        <v>2130</v>
      </c>
      <c r="AT2594" t="s">
        <v>88</v>
      </c>
      <c r="AU2594" t="s">
        <v>269</v>
      </c>
      <c r="AV2594" s="14">
        <v>0</v>
      </c>
    </row>
    <row r="2595" spans="29:48">
      <c r="AC2595"/>
      <c r="AH2595" t="s">
        <v>1898</v>
      </c>
      <c r="AI2595" t="s">
        <v>68</v>
      </c>
      <c r="AJ2595" t="s">
        <v>66</v>
      </c>
      <c r="AK2595" s="3" t="s">
        <v>115</v>
      </c>
      <c r="AL2595" s="3">
        <v>18200.5</v>
      </c>
      <c r="AS2595" t="s">
        <v>2130</v>
      </c>
      <c r="AT2595" t="s">
        <v>88</v>
      </c>
      <c r="AU2595" t="s">
        <v>270</v>
      </c>
      <c r="AV2595" s="14">
        <v>-475</v>
      </c>
    </row>
    <row r="2596" spans="29:48">
      <c r="AC2596"/>
      <c r="AH2596" t="s">
        <v>1898</v>
      </c>
      <c r="AI2596" t="s">
        <v>68</v>
      </c>
      <c r="AJ2596" t="s">
        <v>98</v>
      </c>
      <c r="AK2596" s="3" t="s">
        <v>115</v>
      </c>
      <c r="AL2596" s="3">
        <v>-503.62566727450002</v>
      </c>
      <c r="AS2596" t="s">
        <v>2130</v>
      </c>
      <c r="AT2596" t="s">
        <v>88</v>
      </c>
      <c r="AU2596" t="s">
        <v>271</v>
      </c>
      <c r="AV2596" s="14">
        <v>0</v>
      </c>
    </row>
    <row r="2597" spans="29:48">
      <c r="AC2597"/>
      <c r="AH2597" t="s">
        <v>1898</v>
      </c>
      <c r="AI2597" t="s">
        <v>800</v>
      </c>
      <c r="AJ2597" t="s">
        <v>31</v>
      </c>
      <c r="AK2597" s="3" t="s">
        <v>27</v>
      </c>
      <c r="AL2597" s="3">
        <v>3.9495439516999999</v>
      </c>
      <c r="AS2597" t="s">
        <v>2130</v>
      </c>
      <c r="AT2597" t="s">
        <v>88</v>
      </c>
      <c r="AU2597" t="s">
        <v>272</v>
      </c>
      <c r="AV2597" s="14">
        <v>0</v>
      </c>
    </row>
    <row r="2598" spans="29:48">
      <c r="AC2598"/>
      <c r="AH2598" t="s">
        <v>1899</v>
      </c>
      <c r="AI2598" t="s">
        <v>65</v>
      </c>
      <c r="AJ2598" t="s">
        <v>66</v>
      </c>
      <c r="AK2598" s="3" t="s">
        <v>27</v>
      </c>
      <c r="AL2598" s="3">
        <v>33420.699999999997</v>
      </c>
      <c r="AS2598" t="s">
        <v>2130</v>
      </c>
      <c r="AT2598" t="s">
        <v>88</v>
      </c>
      <c r="AU2598" t="s">
        <v>273</v>
      </c>
      <c r="AV2598" s="14">
        <v>0</v>
      </c>
    </row>
    <row r="2599" spans="29:48">
      <c r="AC2599"/>
      <c r="AH2599" t="s">
        <v>1899</v>
      </c>
      <c r="AI2599" t="s">
        <v>65</v>
      </c>
      <c r="AJ2599" t="s">
        <v>72</v>
      </c>
      <c r="AK2599" s="3" t="s">
        <v>27</v>
      </c>
      <c r="AL2599" s="3">
        <v>34119.437897000003</v>
      </c>
      <c r="AS2599" t="s">
        <v>2131</v>
      </c>
      <c r="AT2599" t="s">
        <v>88</v>
      </c>
      <c r="AU2599" t="s">
        <v>109</v>
      </c>
      <c r="AV2599" s="14">
        <v>21245.8367</v>
      </c>
    </row>
    <row r="2600" spans="29:48">
      <c r="AC2600"/>
      <c r="AH2600" t="s">
        <v>1899</v>
      </c>
      <c r="AI2600" t="s">
        <v>65</v>
      </c>
      <c r="AJ2600" t="s">
        <v>113</v>
      </c>
      <c r="AK2600" s="3" t="s">
        <v>27</v>
      </c>
      <c r="AL2600" s="3">
        <v>1489.4313896527999</v>
      </c>
      <c r="AS2600" t="s">
        <v>2131</v>
      </c>
      <c r="AT2600" t="s">
        <v>88</v>
      </c>
      <c r="AU2600" t="s">
        <v>110</v>
      </c>
      <c r="AV2600" s="14">
        <v>897.61059999999998</v>
      </c>
    </row>
    <row r="2601" spans="29:48">
      <c r="AC2601"/>
      <c r="AH2601" t="s">
        <v>1899</v>
      </c>
      <c r="AI2601" t="s">
        <v>65</v>
      </c>
      <c r="AJ2601" t="s">
        <v>108</v>
      </c>
      <c r="AK2601" s="3" t="s">
        <v>27</v>
      </c>
      <c r="AL2601" s="3">
        <v>-790.69349265280005</v>
      </c>
      <c r="AS2601" t="s">
        <v>2131</v>
      </c>
      <c r="AT2601" t="s">
        <v>88</v>
      </c>
      <c r="AU2601" t="s">
        <v>111</v>
      </c>
      <c r="AV2601" s="14">
        <v>11000</v>
      </c>
    </row>
    <row r="2602" spans="29:48">
      <c r="AC2602"/>
      <c r="AH2602" t="s">
        <v>1899</v>
      </c>
      <c r="AI2602" t="s">
        <v>65</v>
      </c>
      <c r="AJ2602" t="s">
        <v>98</v>
      </c>
      <c r="AK2602" s="3" t="s">
        <v>27</v>
      </c>
      <c r="AL2602" s="3">
        <v>-790.69349265280005</v>
      </c>
      <c r="AS2602" t="s">
        <v>2131</v>
      </c>
      <c r="AT2602" t="s">
        <v>88</v>
      </c>
      <c r="AU2602" t="s">
        <v>268</v>
      </c>
      <c r="AV2602" s="14">
        <v>1500</v>
      </c>
    </row>
    <row r="2603" spans="29:48">
      <c r="AC2603"/>
      <c r="AH2603" t="s">
        <v>1899</v>
      </c>
      <c r="AI2603" t="s">
        <v>67</v>
      </c>
      <c r="AJ2603" t="s">
        <v>66</v>
      </c>
      <c r="AK2603" s="3" t="s">
        <v>27</v>
      </c>
      <c r="AL2603" s="3">
        <v>-15143.2</v>
      </c>
      <c r="AS2603" t="s">
        <v>2131</v>
      </c>
      <c r="AT2603" t="s">
        <v>88</v>
      </c>
      <c r="AU2603" t="s">
        <v>269</v>
      </c>
      <c r="AV2603" s="14">
        <v>0</v>
      </c>
    </row>
    <row r="2604" spans="29:48">
      <c r="AC2604"/>
      <c r="AH2604" t="s">
        <v>1899</v>
      </c>
      <c r="AI2604" t="s">
        <v>67</v>
      </c>
      <c r="AJ2604" t="s">
        <v>72</v>
      </c>
      <c r="AK2604" s="3" t="s">
        <v>27</v>
      </c>
      <c r="AL2604" s="3">
        <v>-15974.002882000001</v>
      </c>
      <c r="AS2604" t="s">
        <v>2131</v>
      </c>
      <c r="AT2604" t="s">
        <v>88</v>
      </c>
      <c r="AU2604" t="s">
        <v>270</v>
      </c>
      <c r="AV2604" s="14">
        <v>-2375</v>
      </c>
    </row>
    <row r="2605" spans="29:48">
      <c r="AC2605"/>
      <c r="AH2605" t="s">
        <v>1899</v>
      </c>
      <c r="AI2605" t="s">
        <v>67</v>
      </c>
      <c r="AJ2605" t="s">
        <v>113</v>
      </c>
      <c r="AK2605" s="3" t="s">
        <v>27</v>
      </c>
      <c r="AL2605" s="3">
        <v>-762.05520236929999</v>
      </c>
      <c r="AS2605" t="s">
        <v>2131</v>
      </c>
      <c r="AT2605" t="s">
        <v>88</v>
      </c>
      <c r="AU2605" t="s">
        <v>271</v>
      </c>
      <c r="AV2605" s="14">
        <v>0</v>
      </c>
    </row>
    <row r="2606" spans="29:48">
      <c r="AC2606"/>
      <c r="AH2606" t="s">
        <v>1899</v>
      </c>
      <c r="AI2606" t="s">
        <v>67</v>
      </c>
      <c r="AJ2606" t="s">
        <v>108</v>
      </c>
      <c r="AK2606" s="3" t="s">
        <v>27</v>
      </c>
      <c r="AL2606" s="3">
        <v>-68.747679630700006</v>
      </c>
      <c r="AS2606" t="s">
        <v>2131</v>
      </c>
      <c r="AT2606" t="s">
        <v>88</v>
      </c>
      <c r="AU2606" t="s">
        <v>272</v>
      </c>
      <c r="AV2606" s="14">
        <v>0</v>
      </c>
    </row>
    <row r="2607" spans="29:48">
      <c r="AC2607"/>
      <c r="AH2607" t="s">
        <v>1899</v>
      </c>
      <c r="AI2607" t="s">
        <v>67</v>
      </c>
      <c r="AJ2607" t="s">
        <v>98</v>
      </c>
      <c r="AK2607" s="3" t="s">
        <v>27</v>
      </c>
      <c r="AL2607" s="3">
        <v>-68.747679630700006</v>
      </c>
      <c r="AS2607" t="s">
        <v>2131</v>
      </c>
      <c r="AT2607" t="s">
        <v>88</v>
      </c>
      <c r="AU2607" t="s">
        <v>273</v>
      </c>
      <c r="AV2607" s="14">
        <v>0</v>
      </c>
    </row>
    <row r="2608" spans="29:48">
      <c r="AC2608"/>
      <c r="AH2608" t="s">
        <v>1899</v>
      </c>
      <c r="AI2608" t="s">
        <v>67</v>
      </c>
      <c r="AJ2608" t="s">
        <v>66</v>
      </c>
      <c r="AK2608" s="3" t="s">
        <v>114</v>
      </c>
      <c r="AL2608" s="3">
        <v>590</v>
      </c>
      <c r="AS2608" t="s">
        <v>2132</v>
      </c>
      <c r="AT2608" t="s">
        <v>88</v>
      </c>
      <c r="AU2608" t="s">
        <v>109</v>
      </c>
      <c r="AV2608" s="14">
        <v>20445.8367</v>
      </c>
    </row>
    <row r="2609" spans="29:48">
      <c r="AC2609"/>
      <c r="AH2609" t="s">
        <v>1899</v>
      </c>
      <c r="AI2609" t="s">
        <v>67</v>
      </c>
      <c r="AJ2609" t="s">
        <v>98</v>
      </c>
      <c r="AK2609" s="3" t="s">
        <v>114</v>
      </c>
      <c r="AL2609" s="3">
        <v>-31.486341095899999</v>
      </c>
      <c r="AS2609" t="s">
        <v>2132</v>
      </c>
      <c r="AT2609" t="s">
        <v>88</v>
      </c>
      <c r="AU2609" t="s">
        <v>110</v>
      </c>
      <c r="AV2609" s="14">
        <v>897.61059999999998</v>
      </c>
    </row>
    <row r="2610" spans="29:48">
      <c r="AC2610"/>
      <c r="AH2610" t="s">
        <v>1899</v>
      </c>
      <c r="AI2610" t="s">
        <v>67</v>
      </c>
      <c r="AJ2610" t="s">
        <v>66</v>
      </c>
      <c r="AK2610" s="3" t="s">
        <v>115</v>
      </c>
      <c r="AL2610" s="3">
        <v>15733.2</v>
      </c>
      <c r="AS2610" t="s">
        <v>2132</v>
      </c>
      <c r="AT2610" t="s">
        <v>88</v>
      </c>
      <c r="AU2610" t="s">
        <v>111</v>
      </c>
      <c r="AV2610" s="14">
        <v>11000</v>
      </c>
    </row>
    <row r="2611" spans="29:48">
      <c r="AC2611"/>
      <c r="AH2611" t="s">
        <v>1899</v>
      </c>
      <c r="AI2611" t="s">
        <v>67</v>
      </c>
      <c r="AJ2611" t="s">
        <v>98</v>
      </c>
      <c r="AK2611" s="3" t="s">
        <v>115</v>
      </c>
      <c r="AL2611" s="3">
        <v>37.261338534899998</v>
      </c>
      <c r="AS2611" t="s">
        <v>2132</v>
      </c>
      <c r="AT2611" t="s">
        <v>88</v>
      </c>
      <c r="AU2611" t="s">
        <v>268</v>
      </c>
      <c r="AV2611" s="14">
        <v>2300</v>
      </c>
    </row>
    <row r="2612" spans="29:48">
      <c r="AC2612"/>
      <c r="AH2612" t="s">
        <v>1899</v>
      </c>
      <c r="AI2612" t="s">
        <v>68</v>
      </c>
      <c r="AJ2612" t="s">
        <v>66</v>
      </c>
      <c r="AK2612" s="3" t="s">
        <v>27</v>
      </c>
      <c r="AL2612" s="3">
        <v>-12136.5</v>
      </c>
      <c r="AS2612" t="s">
        <v>2132</v>
      </c>
      <c r="AT2612" t="s">
        <v>88</v>
      </c>
      <c r="AU2612" t="s">
        <v>269</v>
      </c>
      <c r="AV2612" s="14">
        <v>0</v>
      </c>
    </row>
    <row r="2613" spans="29:48">
      <c r="AC2613"/>
      <c r="AH2613" t="s">
        <v>1899</v>
      </c>
      <c r="AI2613" t="s">
        <v>68</v>
      </c>
      <c r="AJ2613" t="s">
        <v>72</v>
      </c>
      <c r="AK2613" s="3" t="s">
        <v>27</v>
      </c>
      <c r="AL2613" s="3">
        <v>-12416.162925000001</v>
      </c>
      <c r="AS2613" t="s">
        <v>2132</v>
      </c>
      <c r="AT2613" t="s">
        <v>88</v>
      </c>
      <c r="AU2613" t="s">
        <v>270</v>
      </c>
      <c r="AV2613" s="14">
        <v>-2375</v>
      </c>
    </row>
    <row r="2614" spans="29:48">
      <c r="AC2614"/>
      <c r="AH2614" t="s">
        <v>1899</v>
      </c>
      <c r="AI2614" t="s">
        <v>68</v>
      </c>
      <c r="AJ2614" t="s">
        <v>113</v>
      </c>
      <c r="AK2614" s="3" t="s">
        <v>27</v>
      </c>
      <c r="AL2614" s="3">
        <v>-670.23196549039994</v>
      </c>
      <c r="AS2614" t="s">
        <v>2132</v>
      </c>
      <c r="AT2614" t="s">
        <v>88</v>
      </c>
      <c r="AU2614" t="s">
        <v>271</v>
      </c>
      <c r="AV2614" s="14">
        <v>0</v>
      </c>
    </row>
    <row r="2615" spans="29:48">
      <c r="AC2615"/>
      <c r="AH2615" t="s">
        <v>1899</v>
      </c>
      <c r="AI2615" t="s">
        <v>68</v>
      </c>
      <c r="AJ2615" t="s">
        <v>108</v>
      </c>
      <c r="AK2615" s="3" t="s">
        <v>27</v>
      </c>
      <c r="AL2615" s="3">
        <v>390.56904049040003</v>
      </c>
      <c r="AS2615" t="s">
        <v>2132</v>
      </c>
      <c r="AT2615" t="s">
        <v>88</v>
      </c>
      <c r="AU2615" t="s">
        <v>272</v>
      </c>
      <c r="AV2615" s="14">
        <v>0</v>
      </c>
    </row>
    <row r="2616" spans="29:48">
      <c r="AC2616"/>
      <c r="AH2616" t="s">
        <v>1899</v>
      </c>
      <c r="AI2616" t="s">
        <v>68</v>
      </c>
      <c r="AJ2616" t="s">
        <v>98</v>
      </c>
      <c r="AK2616" s="3" t="s">
        <v>27</v>
      </c>
      <c r="AL2616" s="3">
        <v>390.56904049040003</v>
      </c>
      <c r="AS2616" t="s">
        <v>2132</v>
      </c>
      <c r="AT2616" t="s">
        <v>88</v>
      </c>
      <c r="AU2616" t="s">
        <v>273</v>
      </c>
      <c r="AV2616" s="14">
        <v>0</v>
      </c>
    </row>
    <row r="2617" spans="29:48">
      <c r="AC2617"/>
      <c r="AH2617" t="s">
        <v>1899</v>
      </c>
      <c r="AI2617" t="s">
        <v>68</v>
      </c>
      <c r="AJ2617" t="s">
        <v>66</v>
      </c>
      <c r="AK2617" s="3" t="s">
        <v>114</v>
      </c>
      <c r="AL2617" s="3">
        <v>3683</v>
      </c>
      <c r="AS2617" t="s">
        <v>2133</v>
      </c>
      <c r="AT2617" t="s">
        <v>88</v>
      </c>
      <c r="AU2617" t="s">
        <v>270</v>
      </c>
      <c r="AV2617" s="14">
        <v>-475</v>
      </c>
    </row>
    <row r="2618" spans="29:48">
      <c r="AC2618"/>
      <c r="AH2618" t="s">
        <v>1899</v>
      </c>
      <c r="AI2618" t="s">
        <v>68</v>
      </c>
      <c r="AJ2618" t="s">
        <v>98</v>
      </c>
      <c r="AK2618" s="3" t="s">
        <v>114</v>
      </c>
      <c r="AL2618" s="3">
        <v>-83.838391643799994</v>
      </c>
      <c r="AS2618" t="s">
        <v>2133</v>
      </c>
      <c r="AT2618" t="s">
        <v>88</v>
      </c>
      <c r="AU2618" t="s">
        <v>271</v>
      </c>
      <c r="AV2618" s="14">
        <v>-250</v>
      </c>
    </row>
    <row r="2619" spans="29:48">
      <c r="AC2619"/>
      <c r="AH2619" t="s">
        <v>1899</v>
      </c>
      <c r="AI2619" t="s">
        <v>68</v>
      </c>
      <c r="AJ2619" t="s">
        <v>66</v>
      </c>
      <c r="AK2619" s="3" t="s">
        <v>115</v>
      </c>
      <c r="AL2619" s="3">
        <v>15819.5</v>
      </c>
      <c r="AS2619" t="s">
        <v>2133</v>
      </c>
      <c r="AT2619" t="s">
        <v>88</v>
      </c>
      <c r="AU2619" t="s">
        <v>272</v>
      </c>
      <c r="AV2619" s="14">
        <v>0</v>
      </c>
    </row>
    <row r="2620" spans="29:48">
      <c r="AC2620"/>
      <c r="AH2620" t="s">
        <v>1899</v>
      </c>
      <c r="AI2620" t="s">
        <v>68</v>
      </c>
      <c r="AJ2620" t="s">
        <v>98</v>
      </c>
      <c r="AK2620" s="3" t="s">
        <v>115</v>
      </c>
      <c r="AL2620" s="3">
        <v>-474.4074321343</v>
      </c>
      <c r="AS2620" t="s">
        <v>2133</v>
      </c>
      <c r="AT2620" t="s">
        <v>88</v>
      </c>
      <c r="AU2620" t="s">
        <v>273</v>
      </c>
      <c r="AV2620" s="14">
        <v>0</v>
      </c>
    </row>
    <row r="2621" spans="29:48">
      <c r="AC2621"/>
      <c r="AH2621" t="s">
        <v>1899</v>
      </c>
      <c r="AI2621" t="s">
        <v>800</v>
      </c>
      <c r="AJ2621" t="s">
        <v>31</v>
      </c>
      <c r="AK2621" s="3" t="s">
        <v>27</v>
      </c>
      <c r="AL2621" s="3">
        <v>3.9643716029</v>
      </c>
      <c r="AS2621" t="s">
        <v>2133</v>
      </c>
      <c r="AT2621" t="s">
        <v>88</v>
      </c>
      <c r="AU2621" t="s">
        <v>109</v>
      </c>
      <c r="AV2621" s="14">
        <v>20285.8367</v>
      </c>
    </row>
    <row r="2622" spans="29:48">
      <c r="AC2622"/>
      <c r="AH2622" t="s">
        <v>1900</v>
      </c>
      <c r="AI2622" t="s">
        <v>65</v>
      </c>
      <c r="AJ2622" t="s">
        <v>66</v>
      </c>
      <c r="AK2622" s="3" t="s">
        <v>27</v>
      </c>
      <c r="AL2622" s="3">
        <v>34410.699999999997</v>
      </c>
      <c r="AS2622" t="s">
        <v>2133</v>
      </c>
      <c r="AT2622" t="s">
        <v>88</v>
      </c>
      <c r="AU2622" t="s">
        <v>110</v>
      </c>
      <c r="AV2622" s="14">
        <v>897.61059999999998</v>
      </c>
    </row>
    <row r="2623" spans="29:48">
      <c r="AC2623"/>
      <c r="AH2623" t="s">
        <v>1900</v>
      </c>
      <c r="AI2623" t="s">
        <v>65</v>
      </c>
      <c r="AJ2623" t="s">
        <v>72</v>
      </c>
      <c r="AK2623" s="3" t="s">
        <v>27</v>
      </c>
      <c r="AL2623" s="3">
        <v>35030.760743999999</v>
      </c>
      <c r="AS2623" t="s">
        <v>2133</v>
      </c>
      <c r="AT2623" t="s">
        <v>88</v>
      </c>
      <c r="AU2623" t="s">
        <v>111</v>
      </c>
      <c r="AV2623" s="14">
        <v>11000</v>
      </c>
    </row>
    <row r="2624" spans="29:48">
      <c r="AC2624"/>
      <c r="AH2624" t="s">
        <v>1900</v>
      </c>
      <c r="AI2624" t="s">
        <v>65</v>
      </c>
      <c r="AJ2624" t="s">
        <v>113</v>
      </c>
      <c r="AK2624" s="3" t="s">
        <v>27</v>
      </c>
      <c r="AL2624" s="3">
        <v>1480.1477594623</v>
      </c>
      <c r="AS2624" t="s">
        <v>2133</v>
      </c>
      <c r="AT2624" t="s">
        <v>88</v>
      </c>
      <c r="AU2624" t="s">
        <v>268</v>
      </c>
      <c r="AV2624" s="14">
        <v>2710</v>
      </c>
    </row>
    <row r="2625" spans="29:48">
      <c r="AC2625"/>
      <c r="AH2625" t="s">
        <v>1900</v>
      </c>
      <c r="AI2625" t="s">
        <v>65</v>
      </c>
      <c r="AJ2625" t="s">
        <v>108</v>
      </c>
      <c r="AK2625" s="3" t="s">
        <v>27</v>
      </c>
      <c r="AL2625" s="3">
        <v>-860.08701546229997</v>
      </c>
      <c r="AS2625" t="s">
        <v>2133</v>
      </c>
      <c r="AT2625" t="s">
        <v>88</v>
      </c>
      <c r="AU2625" t="s">
        <v>269</v>
      </c>
      <c r="AV2625" s="14">
        <v>0</v>
      </c>
    </row>
    <row r="2626" spans="29:48">
      <c r="AC2626"/>
      <c r="AH2626" t="s">
        <v>1900</v>
      </c>
      <c r="AI2626" t="s">
        <v>65</v>
      </c>
      <c r="AJ2626" t="s">
        <v>98</v>
      </c>
      <c r="AK2626" s="3" t="s">
        <v>27</v>
      </c>
      <c r="AL2626" s="3">
        <v>-860.08701546229997</v>
      </c>
      <c r="AS2626" t="s">
        <v>2134</v>
      </c>
      <c r="AT2626" t="s">
        <v>88</v>
      </c>
      <c r="AU2626" t="s">
        <v>109</v>
      </c>
      <c r="AV2626" s="14">
        <v>19785.8367</v>
      </c>
    </row>
    <row r="2627" spans="29:48">
      <c r="AC2627"/>
      <c r="AH2627" t="s">
        <v>1900</v>
      </c>
      <c r="AI2627" t="s">
        <v>67</v>
      </c>
      <c r="AJ2627" t="s">
        <v>66</v>
      </c>
      <c r="AK2627" s="3" t="s">
        <v>27</v>
      </c>
      <c r="AL2627" s="3">
        <v>-16053.2</v>
      </c>
      <c r="AS2627" t="s">
        <v>2134</v>
      </c>
      <c r="AT2627" t="s">
        <v>88</v>
      </c>
      <c r="AU2627" t="s">
        <v>110</v>
      </c>
      <c r="AV2627" s="14">
        <v>897.61059999999998</v>
      </c>
    </row>
    <row r="2628" spans="29:48">
      <c r="AC2628"/>
      <c r="AH2628" t="s">
        <v>1900</v>
      </c>
      <c r="AI2628" t="s">
        <v>67</v>
      </c>
      <c r="AJ2628" t="s">
        <v>72</v>
      </c>
      <c r="AK2628" s="3" t="s">
        <v>27</v>
      </c>
      <c r="AL2628" s="3">
        <v>-16843.399003999999</v>
      </c>
      <c r="AS2628" t="s">
        <v>2134</v>
      </c>
      <c r="AT2628" t="s">
        <v>88</v>
      </c>
      <c r="AU2628" t="s">
        <v>111</v>
      </c>
      <c r="AV2628" s="14">
        <v>11000</v>
      </c>
    </row>
    <row r="2629" spans="29:48">
      <c r="AC2629"/>
      <c r="AH2629" t="s">
        <v>1900</v>
      </c>
      <c r="AI2629" t="s">
        <v>67</v>
      </c>
      <c r="AJ2629" t="s">
        <v>113</v>
      </c>
      <c r="AK2629" s="3" t="s">
        <v>27</v>
      </c>
      <c r="AL2629" s="3">
        <v>-809.68711239770005</v>
      </c>
      <c r="AS2629" t="s">
        <v>2134</v>
      </c>
      <c r="AT2629" t="s">
        <v>88</v>
      </c>
      <c r="AU2629" t="s">
        <v>268</v>
      </c>
      <c r="AV2629" s="14">
        <v>3100</v>
      </c>
    </row>
    <row r="2630" spans="29:48">
      <c r="AC2630"/>
      <c r="AH2630" t="s">
        <v>1900</v>
      </c>
      <c r="AI2630" t="s">
        <v>67</v>
      </c>
      <c r="AJ2630" t="s">
        <v>108</v>
      </c>
      <c r="AK2630" s="3" t="s">
        <v>27</v>
      </c>
      <c r="AL2630" s="3">
        <v>19.4881083977</v>
      </c>
      <c r="AS2630" t="s">
        <v>2134</v>
      </c>
      <c r="AT2630" t="s">
        <v>88</v>
      </c>
      <c r="AU2630" t="s">
        <v>269</v>
      </c>
      <c r="AV2630" s="14">
        <v>0</v>
      </c>
    </row>
    <row r="2631" spans="29:48">
      <c r="AC2631"/>
      <c r="AH2631" t="s">
        <v>1900</v>
      </c>
      <c r="AI2631" t="s">
        <v>67</v>
      </c>
      <c r="AJ2631" t="s">
        <v>98</v>
      </c>
      <c r="AK2631" s="3" t="s">
        <v>27</v>
      </c>
      <c r="AL2631" s="3">
        <v>19.4881083977</v>
      </c>
      <c r="AS2631" t="s">
        <v>2134</v>
      </c>
      <c r="AT2631" t="s">
        <v>88</v>
      </c>
      <c r="AU2631" t="s">
        <v>270</v>
      </c>
      <c r="AV2631" s="14">
        <v>0</v>
      </c>
    </row>
    <row r="2632" spans="29:48">
      <c r="AC2632"/>
      <c r="AH2632" t="s">
        <v>1900</v>
      </c>
      <c r="AI2632" t="s">
        <v>67</v>
      </c>
      <c r="AJ2632" t="s">
        <v>66</v>
      </c>
      <c r="AK2632" s="3" t="s">
        <v>114</v>
      </c>
      <c r="AL2632" s="3">
        <v>0</v>
      </c>
      <c r="AS2632" t="s">
        <v>2134</v>
      </c>
      <c r="AT2632" t="s">
        <v>88</v>
      </c>
      <c r="AU2632" t="s">
        <v>271</v>
      </c>
      <c r="AV2632" s="14">
        <v>-640</v>
      </c>
    </row>
    <row r="2633" spans="29:48">
      <c r="AC2633"/>
      <c r="AH2633" t="s">
        <v>1900</v>
      </c>
      <c r="AI2633" t="s">
        <v>67</v>
      </c>
      <c r="AJ2633" t="s">
        <v>98</v>
      </c>
      <c r="AK2633" s="3" t="s">
        <v>114</v>
      </c>
      <c r="AL2633" s="3">
        <v>0</v>
      </c>
      <c r="AS2633" t="s">
        <v>2134</v>
      </c>
      <c r="AT2633" t="s">
        <v>88</v>
      </c>
      <c r="AU2633" t="s">
        <v>272</v>
      </c>
      <c r="AV2633" s="14">
        <v>0</v>
      </c>
    </row>
    <row r="2634" spans="29:48">
      <c r="AC2634"/>
      <c r="AH2634" t="s">
        <v>1900</v>
      </c>
      <c r="AI2634" t="s">
        <v>67</v>
      </c>
      <c r="AJ2634" t="s">
        <v>66</v>
      </c>
      <c r="AK2634" s="3" t="s">
        <v>115</v>
      </c>
      <c r="AL2634" s="3">
        <v>16053.2</v>
      </c>
      <c r="AS2634" t="s">
        <v>2134</v>
      </c>
      <c r="AT2634" t="s">
        <v>88</v>
      </c>
      <c r="AU2634" t="s">
        <v>273</v>
      </c>
      <c r="AV2634" s="14">
        <v>0</v>
      </c>
    </row>
    <row r="2635" spans="29:48">
      <c r="AC2635"/>
      <c r="AH2635" t="s">
        <v>1900</v>
      </c>
      <c r="AI2635" t="s">
        <v>67</v>
      </c>
      <c r="AJ2635" t="s">
        <v>98</v>
      </c>
      <c r="AK2635" s="3" t="s">
        <v>115</v>
      </c>
      <c r="AL2635" s="3">
        <v>-19.4881083977</v>
      </c>
      <c r="AS2635" t="s">
        <v>2135</v>
      </c>
      <c r="AT2635" t="s">
        <v>88</v>
      </c>
      <c r="AU2635" t="s">
        <v>109</v>
      </c>
      <c r="AV2635" s="14">
        <v>19985.8367</v>
      </c>
    </row>
    <row r="2636" spans="29:48">
      <c r="AC2636"/>
      <c r="AH2636" t="s">
        <v>1900</v>
      </c>
      <c r="AI2636" t="s">
        <v>68</v>
      </c>
      <c r="AJ2636" t="s">
        <v>66</v>
      </c>
      <c r="AK2636" s="3" t="s">
        <v>27</v>
      </c>
      <c r="AL2636" s="3">
        <v>-12266.5</v>
      </c>
      <c r="AS2636" t="s">
        <v>2135</v>
      </c>
      <c r="AT2636" t="s">
        <v>88</v>
      </c>
      <c r="AU2636" t="s">
        <v>110</v>
      </c>
      <c r="AV2636" s="14">
        <v>897.61059999999998</v>
      </c>
    </row>
    <row r="2637" spans="29:48">
      <c r="AC2637"/>
      <c r="AH2637" t="s">
        <v>1900</v>
      </c>
      <c r="AI2637" t="s">
        <v>68</v>
      </c>
      <c r="AJ2637" t="s">
        <v>72</v>
      </c>
      <c r="AK2637" s="3" t="s">
        <v>27</v>
      </c>
      <c r="AL2637" s="3">
        <v>-12491.211450000001</v>
      </c>
      <c r="AS2637" t="s">
        <v>2135</v>
      </c>
      <c r="AT2637" t="s">
        <v>88</v>
      </c>
      <c r="AU2637" t="s">
        <v>111</v>
      </c>
      <c r="AV2637" s="14">
        <v>11000</v>
      </c>
    </row>
    <row r="2638" spans="29:48">
      <c r="AC2638"/>
      <c r="AH2638" t="s">
        <v>1900</v>
      </c>
      <c r="AI2638" t="s">
        <v>68</v>
      </c>
      <c r="AJ2638" t="s">
        <v>113</v>
      </c>
      <c r="AK2638" s="3" t="s">
        <v>27</v>
      </c>
      <c r="AL2638" s="3">
        <v>-599.60251199970003</v>
      </c>
      <c r="AS2638" t="s">
        <v>2135</v>
      </c>
      <c r="AT2638" t="s">
        <v>88</v>
      </c>
      <c r="AU2638" t="s">
        <v>268</v>
      </c>
      <c r="AV2638" s="14">
        <v>800</v>
      </c>
    </row>
    <row r="2639" spans="29:48">
      <c r="AC2639"/>
      <c r="AH2639" t="s">
        <v>1900</v>
      </c>
      <c r="AI2639" t="s">
        <v>68</v>
      </c>
      <c r="AJ2639" t="s">
        <v>108</v>
      </c>
      <c r="AK2639" s="3" t="s">
        <v>27</v>
      </c>
      <c r="AL2639" s="3">
        <v>374.89106199970001</v>
      </c>
      <c r="AS2639" t="s">
        <v>2135</v>
      </c>
      <c r="AT2639" t="s">
        <v>88</v>
      </c>
      <c r="AU2639" t="s">
        <v>269</v>
      </c>
      <c r="AV2639" s="14">
        <v>0</v>
      </c>
    </row>
    <row r="2640" spans="29:48">
      <c r="AC2640"/>
      <c r="AH2640" t="s">
        <v>1900</v>
      </c>
      <c r="AI2640" t="s">
        <v>68</v>
      </c>
      <c r="AJ2640" t="s">
        <v>98</v>
      </c>
      <c r="AK2640" s="3" t="s">
        <v>27</v>
      </c>
      <c r="AL2640" s="3">
        <v>374.89106199970001</v>
      </c>
      <c r="AS2640" t="s">
        <v>2135</v>
      </c>
      <c r="AT2640" t="s">
        <v>88</v>
      </c>
      <c r="AU2640" t="s">
        <v>270</v>
      </c>
      <c r="AV2640" s="14">
        <v>0</v>
      </c>
    </row>
    <row r="2641" spans="29:48">
      <c r="AC2641"/>
      <c r="AH2641" t="s">
        <v>1900</v>
      </c>
      <c r="AI2641" t="s">
        <v>68</v>
      </c>
      <c r="AJ2641" t="s">
        <v>66</v>
      </c>
      <c r="AK2641" s="3" t="s">
        <v>114</v>
      </c>
      <c r="AL2641" s="3">
        <v>2593</v>
      </c>
      <c r="AS2641" t="s">
        <v>2135</v>
      </c>
      <c r="AT2641" t="s">
        <v>88</v>
      </c>
      <c r="AU2641" t="s">
        <v>271</v>
      </c>
      <c r="AV2641" s="14">
        <v>0</v>
      </c>
    </row>
    <row r="2642" spans="29:48">
      <c r="AC2642"/>
      <c r="AH2642" t="s">
        <v>1900</v>
      </c>
      <c r="AI2642" t="s">
        <v>68</v>
      </c>
      <c r="AJ2642" t="s">
        <v>98</v>
      </c>
      <c r="AK2642" s="3" t="s">
        <v>114</v>
      </c>
      <c r="AL2642" s="3">
        <v>-93.033207123300002</v>
      </c>
      <c r="AS2642" t="s">
        <v>2135</v>
      </c>
      <c r="AT2642" t="s">
        <v>88</v>
      </c>
      <c r="AU2642" t="s">
        <v>272</v>
      </c>
      <c r="AV2642" s="14">
        <v>0</v>
      </c>
    </row>
    <row r="2643" spans="29:48">
      <c r="AC2643"/>
      <c r="AH2643" t="s">
        <v>1900</v>
      </c>
      <c r="AI2643" t="s">
        <v>68</v>
      </c>
      <c r="AJ2643" t="s">
        <v>66</v>
      </c>
      <c r="AK2643" s="3" t="s">
        <v>115</v>
      </c>
      <c r="AL2643" s="3">
        <v>14859.5</v>
      </c>
      <c r="AS2643" t="s">
        <v>2135</v>
      </c>
      <c r="AT2643" t="s">
        <v>88</v>
      </c>
      <c r="AU2643" t="s">
        <v>273</v>
      </c>
      <c r="AV2643" s="14">
        <v>0</v>
      </c>
    </row>
    <row r="2644" spans="29:48">
      <c r="AC2644"/>
      <c r="AH2644" t="s">
        <v>1900</v>
      </c>
      <c r="AI2644" t="s">
        <v>68</v>
      </c>
      <c r="AJ2644" t="s">
        <v>98</v>
      </c>
      <c r="AK2644" s="3" t="s">
        <v>115</v>
      </c>
      <c r="AL2644" s="3">
        <v>-467.92426912299999</v>
      </c>
      <c r="AS2644" t="s">
        <v>2136</v>
      </c>
      <c r="AT2644" t="s">
        <v>88</v>
      </c>
      <c r="AU2644" t="s">
        <v>109</v>
      </c>
      <c r="AV2644" s="14">
        <v>19985.8367</v>
      </c>
    </row>
    <row r="2645" spans="29:48">
      <c r="AC2645"/>
      <c r="AH2645" t="s">
        <v>1900</v>
      </c>
      <c r="AI2645" t="s">
        <v>800</v>
      </c>
      <c r="AJ2645" t="s">
        <v>31</v>
      </c>
      <c r="AK2645" s="3" t="s">
        <v>27</v>
      </c>
      <c r="AL2645" s="3">
        <v>3.9498378711000002</v>
      </c>
      <c r="AS2645" t="s">
        <v>2136</v>
      </c>
      <c r="AT2645" t="s">
        <v>88</v>
      </c>
      <c r="AU2645" t="s">
        <v>110</v>
      </c>
      <c r="AV2645" s="14">
        <v>897.61059999999998</v>
      </c>
    </row>
    <row r="2646" spans="29:48">
      <c r="AC2646"/>
      <c r="AH2646" t="s">
        <v>1901</v>
      </c>
      <c r="AI2646" t="s">
        <v>65</v>
      </c>
      <c r="AJ2646" t="s">
        <v>66</v>
      </c>
      <c r="AK2646" s="3" t="s">
        <v>27</v>
      </c>
      <c r="AL2646" s="3">
        <v>34603.699999999997</v>
      </c>
      <c r="AS2646" t="s">
        <v>2136</v>
      </c>
      <c r="AT2646" t="s">
        <v>88</v>
      </c>
      <c r="AU2646" t="s">
        <v>111</v>
      </c>
      <c r="AV2646" s="14">
        <v>11000</v>
      </c>
    </row>
    <row r="2647" spans="29:48">
      <c r="AC2647"/>
      <c r="AH2647" t="s">
        <v>1901</v>
      </c>
      <c r="AI2647" t="s">
        <v>65</v>
      </c>
      <c r="AJ2647" t="s">
        <v>72</v>
      </c>
      <c r="AK2647" s="3" t="s">
        <v>27</v>
      </c>
      <c r="AL2647" s="3">
        <v>35380.904537000002</v>
      </c>
      <c r="AS2647" t="s">
        <v>2136</v>
      </c>
      <c r="AT2647" t="s">
        <v>88</v>
      </c>
      <c r="AU2647" t="s">
        <v>268</v>
      </c>
      <c r="AV2647" s="14">
        <v>1300</v>
      </c>
    </row>
    <row r="2648" spans="29:48">
      <c r="AC2648"/>
      <c r="AH2648" t="s">
        <v>1901</v>
      </c>
      <c r="AI2648" t="s">
        <v>65</v>
      </c>
      <c r="AJ2648" t="s">
        <v>113</v>
      </c>
      <c r="AK2648" s="3" t="s">
        <v>27</v>
      </c>
      <c r="AL2648" s="3">
        <v>1615.2331837428001</v>
      </c>
      <c r="AS2648" t="s">
        <v>2136</v>
      </c>
      <c r="AT2648" t="s">
        <v>88</v>
      </c>
      <c r="AU2648" t="s">
        <v>269</v>
      </c>
      <c r="AV2648" s="14">
        <v>0</v>
      </c>
    </row>
    <row r="2649" spans="29:48">
      <c r="AC2649"/>
      <c r="AH2649" t="s">
        <v>1901</v>
      </c>
      <c r="AI2649" t="s">
        <v>65</v>
      </c>
      <c r="AJ2649" t="s">
        <v>108</v>
      </c>
      <c r="AK2649" s="3" t="s">
        <v>27</v>
      </c>
      <c r="AL2649" s="3">
        <v>-838.02864674279999</v>
      </c>
      <c r="AS2649" t="s">
        <v>2136</v>
      </c>
      <c r="AT2649" t="s">
        <v>88</v>
      </c>
      <c r="AU2649" t="s">
        <v>270</v>
      </c>
      <c r="AV2649" s="14">
        <v>0</v>
      </c>
    </row>
    <row r="2650" spans="29:48">
      <c r="AC2650"/>
      <c r="AH2650" t="s">
        <v>1901</v>
      </c>
      <c r="AI2650" t="s">
        <v>65</v>
      </c>
      <c r="AJ2650" t="s">
        <v>98</v>
      </c>
      <c r="AK2650" s="3" t="s">
        <v>27</v>
      </c>
      <c r="AL2650" s="3">
        <v>-838.02864674279999</v>
      </c>
      <c r="AS2650" t="s">
        <v>2136</v>
      </c>
      <c r="AT2650" t="s">
        <v>88</v>
      </c>
      <c r="AU2650" t="s">
        <v>271</v>
      </c>
      <c r="AV2650" s="14">
        <v>0</v>
      </c>
    </row>
    <row r="2651" spans="29:48">
      <c r="AC2651"/>
      <c r="AH2651" t="s">
        <v>1901</v>
      </c>
      <c r="AI2651" t="s">
        <v>67</v>
      </c>
      <c r="AJ2651" t="s">
        <v>66</v>
      </c>
      <c r="AK2651" s="3" t="s">
        <v>27</v>
      </c>
      <c r="AL2651" s="3">
        <v>-15256.2</v>
      </c>
      <c r="AS2651" t="s">
        <v>2136</v>
      </c>
      <c r="AT2651" t="s">
        <v>88</v>
      </c>
      <c r="AU2651" t="s">
        <v>272</v>
      </c>
      <c r="AV2651" s="14">
        <v>0</v>
      </c>
    </row>
    <row r="2652" spans="29:48">
      <c r="AC2652"/>
      <c r="AH2652" t="s">
        <v>1901</v>
      </c>
      <c r="AI2652" t="s">
        <v>67</v>
      </c>
      <c r="AJ2652" t="s">
        <v>72</v>
      </c>
      <c r="AK2652" s="3" t="s">
        <v>27</v>
      </c>
      <c r="AL2652" s="3">
        <v>-16252.636542</v>
      </c>
      <c r="AS2652" t="s">
        <v>2136</v>
      </c>
      <c r="AT2652" t="s">
        <v>88</v>
      </c>
      <c r="AU2652" t="s">
        <v>273</v>
      </c>
      <c r="AV2652" s="14">
        <v>0</v>
      </c>
    </row>
    <row r="2653" spans="29:48">
      <c r="AC2653"/>
      <c r="AH2653" t="s">
        <v>1901</v>
      </c>
      <c r="AI2653" t="s">
        <v>67</v>
      </c>
      <c r="AJ2653" t="s">
        <v>113</v>
      </c>
      <c r="AK2653" s="3" t="s">
        <v>27</v>
      </c>
      <c r="AL2653" s="3">
        <v>-953.57619274050001</v>
      </c>
      <c r="AS2653" t="s">
        <v>2137</v>
      </c>
      <c r="AT2653" t="s">
        <v>88</v>
      </c>
      <c r="AU2653" t="s">
        <v>109</v>
      </c>
      <c r="AV2653" s="14">
        <v>19985.8367</v>
      </c>
    </row>
    <row r="2654" spans="29:48">
      <c r="AC2654"/>
      <c r="AH2654" t="s">
        <v>1901</v>
      </c>
      <c r="AI2654" t="s">
        <v>67</v>
      </c>
      <c r="AJ2654" t="s">
        <v>108</v>
      </c>
      <c r="AK2654" s="3" t="s">
        <v>27</v>
      </c>
      <c r="AL2654" s="3">
        <v>-42.860349259499998</v>
      </c>
      <c r="AS2654" t="s">
        <v>2137</v>
      </c>
      <c r="AT2654" t="s">
        <v>88</v>
      </c>
      <c r="AU2654" t="s">
        <v>110</v>
      </c>
      <c r="AV2654" s="14">
        <v>897.61059999999998</v>
      </c>
    </row>
    <row r="2655" spans="29:48">
      <c r="AC2655"/>
      <c r="AH2655" t="s">
        <v>1901</v>
      </c>
      <c r="AI2655" t="s">
        <v>67</v>
      </c>
      <c r="AJ2655" t="s">
        <v>98</v>
      </c>
      <c r="AK2655" s="3" t="s">
        <v>27</v>
      </c>
      <c r="AL2655" s="3">
        <v>-42.860349259499998</v>
      </c>
      <c r="AS2655" t="s">
        <v>2137</v>
      </c>
      <c r="AT2655" t="s">
        <v>88</v>
      </c>
      <c r="AU2655" t="s">
        <v>111</v>
      </c>
      <c r="AV2655" s="14">
        <v>11000</v>
      </c>
    </row>
    <row r="2656" spans="29:48">
      <c r="AC2656"/>
      <c r="AH2656" t="s">
        <v>1901</v>
      </c>
      <c r="AI2656" t="s">
        <v>67</v>
      </c>
      <c r="AJ2656" t="s">
        <v>66</v>
      </c>
      <c r="AK2656" s="3" t="s">
        <v>114</v>
      </c>
      <c r="AL2656" s="3">
        <v>487</v>
      </c>
      <c r="AS2656" t="s">
        <v>2137</v>
      </c>
      <c r="AT2656" t="s">
        <v>88</v>
      </c>
      <c r="AU2656" t="s">
        <v>268</v>
      </c>
      <c r="AV2656" s="14">
        <v>-1000</v>
      </c>
    </row>
    <row r="2657" spans="29:48">
      <c r="AC2657"/>
      <c r="AH2657" t="s">
        <v>1901</v>
      </c>
      <c r="AI2657" t="s">
        <v>67</v>
      </c>
      <c r="AJ2657" t="s">
        <v>98</v>
      </c>
      <c r="AK2657" s="3" t="s">
        <v>114</v>
      </c>
      <c r="AL2657" s="3">
        <v>-29.643397671199999</v>
      </c>
      <c r="AS2657" t="s">
        <v>2137</v>
      </c>
      <c r="AT2657" t="s">
        <v>88</v>
      </c>
      <c r="AU2657" t="s">
        <v>269</v>
      </c>
      <c r="AV2657" s="14">
        <v>0</v>
      </c>
    </row>
    <row r="2658" spans="29:48">
      <c r="AC2658"/>
      <c r="AH2658" t="s">
        <v>1901</v>
      </c>
      <c r="AI2658" t="s">
        <v>67</v>
      </c>
      <c r="AJ2658" t="s">
        <v>66</v>
      </c>
      <c r="AK2658" s="3" t="s">
        <v>115</v>
      </c>
      <c r="AL2658" s="3">
        <v>15743.2</v>
      </c>
      <c r="AS2658" t="s">
        <v>2137</v>
      </c>
      <c r="AT2658" t="s">
        <v>88</v>
      </c>
      <c r="AU2658" t="s">
        <v>270</v>
      </c>
      <c r="AV2658" s="14">
        <v>0</v>
      </c>
    </row>
    <row r="2659" spans="29:48">
      <c r="AC2659"/>
      <c r="AH2659" t="s">
        <v>1901</v>
      </c>
      <c r="AI2659" t="s">
        <v>67</v>
      </c>
      <c r="AJ2659" t="s">
        <v>98</v>
      </c>
      <c r="AK2659" s="3" t="s">
        <v>115</v>
      </c>
      <c r="AL2659" s="3">
        <v>13.216951588300001</v>
      </c>
      <c r="AS2659" t="s">
        <v>2137</v>
      </c>
      <c r="AT2659" t="s">
        <v>88</v>
      </c>
      <c r="AU2659" t="s">
        <v>271</v>
      </c>
      <c r="AV2659" s="14">
        <v>0</v>
      </c>
    </row>
    <row r="2660" spans="29:48">
      <c r="AC2660"/>
      <c r="AH2660" t="s">
        <v>1901</v>
      </c>
      <c r="AI2660" t="s">
        <v>68</v>
      </c>
      <c r="AJ2660" t="s">
        <v>66</v>
      </c>
      <c r="AK2660" s="3" t="s">
        <v>27</v>
      </c>
      <c r="AL2660" s="3">
        <v>-13106.5</v>
      </c>
      <c r="AS2660" t="s">
        <v>2137</v>
      </c>
      <c r="AT2660" t="s">
        <v>88</v>
      </c>
      <c r="AU2660" t="s">
        <v>272</v>
      </c>
      <c r="AV2660" s="14">
        <v>0</v>
      </c>
    </row>
    <row r="2661" spans="29:48">
      <c r="AC2661"/>
      <c r="AH2661" t="s">
        <v>1901</v>
      </c>
      <c r="AI2661" t="s">
        <v>68</v>
      </c>
      <c r="AJ2661" t="s">
        <v>72</v>
      </c>
      <c r="AK2661" s="3" t="s">
        <v>27</v>
      </c>
      <c r="AL2661" s="3">
        <v>-13293.596175000001</v>
      </c>
      <c r="AS2661" t="s">
        <v>2137</v>
      </c>
      <c r="AT2661" t="s">
        <v>88</v>
      </c>
      <c r="AU2661" t="s">
        <v>273</v>
      </c>
      <c r="AV2661" s="14">
        <v>0</v>
      </c>
    </row>
    <row r="2662" spans="29:48">
      <c r="AC2662"/>
      <c r="AH2662" t="s">
        <v>1901</v>
      </c>
      <c r="AI2662" t="s">
        <v>68</v>
      </c>
      <c r="AJ2662" t="s">
        <v>113</v>
      </c>
      <c r="AK2662" s="3" t="s">
        <v>27</v>
      </c>
      <c r="AL2662" s="3">
        <v>-597.37762493460002</v>
      </c>
      <c r="AS2662" t="s">
        <v>2138</v>
      </c>
      <c r="AT2662" t="s">
        <v>88</v>
      </c>
      <c r="AU2662" t="s">
        <v>109</v>
      </c>
      <c r="AV2662" s="14">
        <v>19985.8367</v>
      </c>
    </row>
    <row r="2663" spans="29:48">
      <c r="AC2663"/>
      <c r="AH2663" t="s">
        <v>1901</v>
      </c>
      <c r="AI2663" t="s">
        <v>68</v>
      </c>
      <c r="AJ2663" t="s">
        <v>108</v>
      </c>
      <c r="AK2663" s="3" t="s">
        <v>27</v>
      </c>
      <c r="AL2663" s="3">
        <v>410.2814499346</v>
      </c>
      <c r="AS2663" t="s">
        <v>2138</v>
      </c>
      <c r="AT2663" t="s">
        <v>88</v>
      </c>
      <c r="AU2663" t="s">
        <v>110</v>
      </c>
      <c r="AV2663" s="14">
        <v>897.61059999999998</v>
      </c>
    </row>
    <row r="2664" spans="29:48">
      <c r="AC2664"/>
      <c r="AH2664" t="s">
        <v>1901</v>
      </c>
      <c r="AI2664" t="s">
        <v>68</v>
      </c>
      <c r="AJ2664" t="s">
        <v>98</v>
      </c>
      <c r="AK2664" s="3" t="s">
        <v>27</v>
      </c>
      <c r="AL2664" s="3">
        <v>410.2814499346</v>
      </c>
      <c r="AS2664" t="s">
        <v>2138</v>
      </c>
      <c r="AT2664" t="s">
        <v>88</v>
      </c>
      <c r="AU2664" t="s">
        <v>111</v>
      </c>
      <c r="AV2664" s="14">
        <v>11000</v>
      </c>
    </row>
    <row r="2665" spans="29:48">
      <c r="AC2665"/>
      <c r="AH2665" t="s">
        <v>1901</v>
      </c>
      <c r="AI2665" t="s">
        <v>68</v>
      </c>
      <c r="AJ2665" t="s">
        <v>66</v>
      </c>
      <c r="AK2665" s="3" t="s">
        <v>114</v>
      </c>
      <c r="AL2665" s="3">
        <v>2223</v>
      </c>
      <c r="AS2665" t="s">
        <v>2138</v>
      </c>
      <c r="AT2665" t="s">
        <v>88</v>
      </c>
      <c r="AU2665" t="s">
        <v>268</v>
      </c>
      <c r="AV2665" s="14">
        <v>0</v>
      </c>
    </row>
    <row r="2666" spans="29:48">
      <c r="AC2666"/>
      <c r="AH2666" t="s">
        <v>1901</v>
      </c>
      <c r="AI2666" t="s">
        <v>68</v>
      </c>
      <c r="AJ2666" t="s">
        <v>98</v>
      </c>
      <c r="AK2666" s="3" t="s">
        <v>114</v>
      </c>
      <c r="AL2666" s="3">
        <v>-68.287515342500001</v>
      </c>
      <c r="AS2666" t="s">
        <v>2138</v>
      </c>
      <c r="AT2666" t="s">
        <v>88</v>
      </c>
      <c r="AU2666" t="s">
        <v>269</v>
      </c>
      <c r="AV2666" s="14">
        <v>0</v>
      </c>
    </row>
    <row r="2667" spans="29:48">
      <c r="AC2667"/>
      <c r="AH2667" t="s">
        <v>1901</v>
      </c>
      <c r="AI2667" t="s">
        <v>68</v>
      </c>
      <c r="AJ2667" t="s">
        <v>66</v>
      </c>
      <c r="AK2667" s="3" t="s">
        <v>115</v>
      </c>
      <c r="AL2667" s="3">
        <v>15329.5</v>
      </c>
      <c r="AS2667" t="s">
        <v>2138</v>
      </c>
      <c r="AT2667" t="s">
        <v>88</v>
      </c>
      <c r="AU2667" t="s">
        <v>270</v>
      </c>
      <c r="AV2667" s="14">
        <v>0</v>
      </c>
    </row>
    <row r="2668" spans="29:48">
      <c r="AC2668"/>
      <c r="AH2668" t="s">
        <v>1901</v>
      </c>
      <c r="AI2668" t="s">
        <v>68</v>
      </c>
      <c r="AJ2668" t="s">
        <v>98</v>
      </c>
      <c r="AK2668" s="3" t="s">
        <v>115</v>
      </c>
      <c r="AL2668" s="3">
        <v>-478.56896527710001</v>
      </c>
      <c r="AS2668" t="s">
        <v>2138</v>
      </c>
      <c r="AT2668" t="s">
        <v>88</v>
      </c>
      <c r="AU2668" t="s">
        <v>271</v>
      </c>
      <c r="AV2668" s="14">
        <v>1000</v>
      </c>
    </row>
    <row r="2669" spans="29:48">
      <c r="AC2669"/>
      <c r="AH2669" t="s">
        <v>1901</v>
      </c>
      <c r="AI2669" t="s">
        <v>800</v>
      </c>
      <c r="AJ2669" t="s">
        <v>31</v>
      </c>
      <c r="AK2669" s="3" t="s">
        <v>27</v>
      </c>
      <c r="AL2669" s="3">
        <v>3.9498387464000002</v>
      </c>
      <c r="AS2669" t="s">
        <v>2138</v>
      </c>
      <c r="AT2669" t="s">
        <v>88</v>
      </c>
      <c r="AU2669" t="s">
        <v>272</v>
      </c>
      <c r="AV2669" s="14">
        <v>0</v>
      </c>
    </row>
    <row r="2670" spans="29:48">
      <c r="AC2670"/>
      <c r="AH2670" t="s">
        <v>1902</v>
      </c>
      <c r="AI2670" t="s">
        <v>65</v>
      </c>
      <c r="AJ2670" t="s">
        <v>66</v>
      </c>
      <c r="AK2670" s="3" t="s">
        <v>27</v>
      </c>
      <c r="AL2670" s="3">
        <v>33570.699999999997</v>
      </c>
      <c r="AS2670" t="s">
        <v>2138</v>
      </c>
      <c r="AT2670" t="s">
        <v>88</v>
      </c>
      <c r="AU2670" t="s">
        <v>273</v>
      </c>
      <c r="AV2670" s="14">
        <v>0</v>
      </c>
    </row>
    <row r="2671" spans="29:48">
      <c r="AC2671"/>
      <c r="AH2671" t="s">
        <v>1902</v>
      </c>
      <c r="AI2671" t="s">
        <v>65</v>
      </c>
      <c r="AJ2671" t="s">
        <v>72</v>
      </c>
      <c r="AK2671" s="3" t="s">
        <v>27</v>
      </c>
      <c r="AL2671" s="3">
        <v>34377.534434000001</v>
      </c>
      <c r="AS2671" t="s">
        <v>2139</v>
      </c>
      <c r="AT2671" t="s">
        <v>88</v>
      </c>
      <c r="AU2671" t="s">
        <v>109</v>
      </c>
      <c r="AV2671" s="14">
        <v>23035.8367</v>
      </c>
    </row>
    <row r="2672" spans="29:48">
      <c r="AC2672"/>
      <c r="AH2672" t="s">
        <v>1902</v>
      </c>
      <c r="AI2672" t="s">
        <v>65</v>
      </c>
      <c r="AJ2672" t="s">
        <v>113</v>
      </c>
      <c r="AK2672" s="3" t="s">
        <v>27</v>
      </c>
      <c r="AL2672" s="3">
        <v>1649.1959167872001</v>
      </c>
      <c r="AS2672" t="s">
        <v>2139</v>
      </c>
      <c r="AT2672" t="s">
        <v>88</v>
      </c>
      <c r="AU2672" t="s">
        <v>110</v>
      </c>
      <c r="AV2672" s="14">
        <v>897.61059999999998</v>
      </c>
    </row>
    <row r="2673" spans="29:48">
      <c r="AC2673"/>
      <c r="AH2673" t="s">
        <v>1902</v>
      </c>
      <c r="AI2673" t="s">
        <v>65</v>
      </c>
      <c r="AJ2673" t="s">
        <v>108</v>
      </c>
      <c r="AK2673" s="3" t="s">
        <v>27</v>
      </c>
      <c r="AL2673" s="3">
        <v>-842.36148278719998</v>
      </c>
      <c r="AS2673" t="s">
        <v>2139</v>
      </c>
      <c r="AT2673" t="s">
        <v>88</v>
      </c>
      <c r="AU2673" t="s">
        <v>111</v>
      </c>
      <c r="AV2673" s="14">
        <v>11000</v>
      </c>
    </row>
    <row r="2674" spans="29:48">
      <c r="AC2674"/>
      <c r="AH2674" t="s">
        <v>1902</v>
      </c>
      <c r="AI2674" t="s">
        <v>65</v>
      </c>
      <c r="AJ2674" t="s">
        <v>98</v>
      </c>
      <c r="AK2674" s="3" t="s">
        <v>27</v>
      </c>
      <c r="AL2674" s="3">
        <v>-842.36148278719998</v>
      </c>
      <c r="AS2674" t="s">
        <v>2139</v>
      </c>
      <c r="AT2674" t="s">
        <v>88</v>
      </c>
      <c r="AU2674" t="s">
        <v>268</v>
      </c>
      <c r="AV2674" s="14">
        <v>-2850</v>
      </c>
    </row>
    <row r="2675" spans="29:48">
      <c r="AC2675"/>
      <c r="AH2675" t="s">
        <v>1902</v>
      </c>
      <c r="AI2675" t="s">
        <v>67</v>
      </c>
      <c r="AJ2675" t="s">
        <v>66</v>
      </c>
      <c r="AK2675" s="3" t="s">
        <v>27</v>
      </c>
      <c r="AL2675" s="3">
        <v>-14030.2</v>
      </c>
      <c r="AS2675" t="s">
        <v>2139</v>
      </c>
      <c r="AT2675" t="s">
        <v>88</v>
      </c>
      <c r="AU2675" t="s">
        <v>269</v>
      </c>
      <c r="AV2675" s="14">
        <v>0</v>
      </c>
    </row>
    <row r="2676" spans="29:48">
      <c r="AC2676"/>
      <c r="AH2676" t="s">
        <v>1902</v>
      </c>
      <c r="AI2676" t="s">
        <v>67</v>
      </c>
      <c r="AJ2676" t="s">
        <v>72</v>
      </c>
      <c r="AK2676" s="3" t="s">
        <v>27</v>
      </c>
      <c r="AL2676" s="3">
        <v>-14916.444259</v>
      </c>
      <c r="AS2676" t="s">
        <v>2139</v>
      </c>
      <c r="AT2676" t="s">
        <v>88</v>
      </c>
      <c r="AU2676" t="s">
        <v>270</v>
      </c>
      <c r="AV2676" s="14">
        <v>0</v>
      </c>
    </row>
    <row r="2677" spans="29:48">
      <c r="AC2677"/>
      <c r="AH2677" t="s">
        <v>1902</v>
      </c>
      <c r="AI2677" t="s">
        <v>67</v>
      </c>
      <c r="AJ2677" t="s">
        <v>113</v>
      </c>
      <c r="AK2677" s="3" t="s">
        <v>27</v>
      </c>
      <c r="AL2677" s="3">
        <v>-853.73185454940005</v>
      </c>
      <c r="AS2677" t="s">
        <v>2139</v>
      </c>
      <c r="AT2677" t="s">
        <v>88</v>
      </c>
      <c r="AU2677" t="s">
        <v>271</v>
      </c>
      <c r="AV2677" s="14">
        <v>-900</v>
      </c>
    </row>
    <row r="2678" spans="29:48">
      <c r="AC2678"/>
      <c r="AH2678" t="s">
        <v>1902</v>
      </c>
      <c r="AI2678" t="s">
        <v>67</v>
      </c>
      <c r="AJ2678" t="s">
        <v>108</v>
      </c>
      <c r="AK2678" s="3" t="s">
        <v>27</v>
      </c>
      <c r="AL2678" s="3">
        <v>-32.512404450600002</v>
      </c>
      <c r="AS2678" t="s">
        <v>2139</v>
      </c>
      <c r="AT2678" t="s">
        <v>88</v>
      </c>
      <c r="AU2678" t="s">
        <v>272</v>
      </c>
      <c r="AV2678" s="14">
        <v>0</v>
      </c>
    </row>
    <row r="2679" spans="29:48">
      <c r="AC2679"/>
      <c r="AH2679" t="s">
        <v>1902</v>
      </c>
      <c r="AI2679" t="s">
        <v>67</v>
      </c>
      <c r="AJ2679" t="s">
        <v>98</v>
      </c>
      <c r="AK2679" s="3" t="s">
        <v>27</v>
      </c>
      <c r="AL2679" s="3">
        <v>-32.512404450600002</v>
      </c>
      <c r="AS2679" t="s">
        <v>2139</v>
      </c>
      <c r="AT2679" t="s">
        <v>88</v>
      </c>
      <c r="AU2679" t="s">
        <v>273</v>
      </c>
      <c r="AV2679" s="14">
        <v>0</v>
      </c>
    </row>
    <row r="2680" spans="29:48">
      <c r="AC2680"/>
      <c r="AH2680" t="s">
        <v>1902</v>
      </c>
      <c r="AI2680" t="s">
        <v>67</v>
      </c>
      <c r="AJ2680" t="s">
        <v>66</v>
      </c>
      <c r="AK2680" s="3" t="s">
        <v>114</v>
      </c>
      <c r="AL2680" s="3">
        <v>1520</v>
      </c>
      <c r="AS2680" t="s">
        <v>2140</v>
      </c>
      <c r="AT2680" t="s">
        <v>88</v>
      </c>
      <c r="AU2680" t="s">
        <v>109</v>
      </c>
      <c r="AV2680" s="14">
        <v>23035.8367</v>
      </c>
    </row>
    <row r="2681" spans="29:48">
      <c r="AC2681"/>
      <c r="AH2681" t="s">
        <v>1902</v>
      </c>
      <c r="AI2681" t="s">
        <v>67</v>
      </c>
      <c r="AJ2681" t="s">
        <v>98</v>
      </c>
      <c r="AK2681" s="3" t="s">
        <v>114</v>
      </c>
      <c r="AL2681" s="3">
        <v>-17.1700917808</v>
      </c>
      <c r="AS2681" t="s">
        <v>2140</v>
      </c>
      <c r="AT2681" t="s">
        <v>88</v>
      </c>
      <c r="AU2681" t="s">
        <v>110</v>
      </c>
      <c r="AV2681" s="14">
        <v>897.61059999999998</v>
      </c>
    </row>
    <row r="2682" spans="29:48">
      <c r="AC2682"/>
      <c r="AH2682" t="s">
        <v>1902</v>
      </c>
      <c r="AI2682" t="s">
        <v>67</v>
      </c>
      <c r="AJ2682" t="s">
        <v>66</v>
      </c>
      <c r="AK2682" s="3" t="s">
        <v>115</v>
      </c>
      <c r="AL2682" s="3">
        <v>15550.2</v>
      </c>
      <c r="AS2682" t="s">
        <v>2140</v>
      </c>
      <c r="AT2682" t="s">
        <v>88</v>
      </c>
      <c r="AU2682" t="s">
        <v>111</v>
      </c>
      <c r="AV2682" s="14">
        <v>11000</v>
      </c>
    </row>
    <row r="2683" spans="29:48">
      <c r="AC2683"/>
      <c r="AH2683" t="s">
        <v>1902</v>
      </c>
      <c r="AI2683" t="s">
        <v>67</v>
      </c>
      <c r="AJ2683" t="s">
        <v>98</v>
      </c>
      <c r="AK2683" s="3" t="s">
        <v>115</v>
      </c>
      <c r="AL2683" s="3">
        <v>15.3423126698</v>
      </c>
      <c r="AS2683" t="s">
        <v>2140</v>
      </c>
      <c r="AT2683" t="s">
        <v>88</v>
      </c>
      <c r="AU2683" t="s">
        <v>268</v>
      </c>
      <c r="AV2683" s="14">
        <v>-2850</v>
      </c>
    </row>
    <row r="2684" spans="29:48">
      <c r="AC2684"/>
      <c r="AH2684" t="s">
        <v>1902</v>
      </c>
      <c r="AI2684" t="s">
        <v>68</v>
      </c>
      <c r="AJ2684" t="s">
        <v>66</v>
      </c>
      <c r="AK2684" s="3" t="s">
        <v>27</v>
      </c>
      <c r="AL2684" s="3">
        <v>-13299.5</v>
      </c>
      <c r="AS2684" t="s">
        <v>2140</v>
      </c>
      <c r="AT2684" t="s">
        <v>88</v>
      </c>
      <c r="AU2684" t="s">
        <v>269</v>
      </c>
      <c r="AV2684" s="14">
        <v>0</v>
      </c>
    </row>
    <row r="2685" spans="29:48">
      <c r="AC2685"/>
      <c r="AH2685" t="s">
        <v>1902</v>
      </c>
      <c r="AI2685" t="s">
        <v>68</v>
      </c>
      <c r="AJ2685" t="s">
        <v>72</v>
      </c>
      <c r="AK2685" s="3" t="s">
        <v>27</v>
      </c>
      <c r="AL2685" s="3">
        <v>-13626.023724999999</v>
      </c>
      <c r="AS2685" t="s">
        <v>2140</v>
      </c>
      <c r="AT2685" t="s">
        <v>88</v>
      </c>
      <c r="AU2685" t="s">
        <v>270</v>
      </c>
      <c r="AV2685" s="14">
        <v>0</v>
      </c>
    </row>
    <row r="2686" spans="29:48">
      <c r="AC2686"/>
      <c r="AH2686" t="s">
        <v>1902</v>
      </c>
      <c r="AI2686" t="s">
        <v>68</v>
      </c>
      <c r="AJ2686" t="s">
        <v>113</v>
      </c>
      <c r="AK2686" s="3" t="s">
        <v>27</v>
      </c>
      <c r="AL2686" s="3">
        <v>-731.14179713789997</v>
      </c>
      <c r="AS2686" t="s">
        <v>2140</v>
      </c>
      <c r="AT2686" t="s">
        <v>88</v>
      </c>
      <c r="AU2686" t="s">
        <v>271</v>
      </c>
      <c r="AV2686" s="14">
        <v>-900</v>
      </c>
    </row>
    <row r="2687" spans="29:48">
      <c r="AC2687"/>
      <c r="AH2687" t="s">
        <v>1902</v>
      </c>
      <c r="AI2687" t="s">
        <v>68</v>
      </c>
      <c r="AJ2687" t="s">
        <v>108</v>
      </c>
      <c r="AK2687" s="3" t="s">
        <v>27</v>
      </c>
      <c r="AL2687" s="3">
        <v>404.61807213790001</v>
      </c>
      <c r="AS2687" t="s">
        <v>2140</v>
      </c>
      <c r="AT2687" t="s">
        <v>88</v>
      </c>
      <c r="AU2687" t="s">
        <v>272</v>
      </c>
      <c r="AV2687" s="14">
        <v>0</v>
      </c>
    </row>
    <row r="2688" spans="29:48">
      <c r="AC2688"/>
      <c r="AH2688" t="s">
        <v>1902</v>
      </c>
      <c r="AI2688" t="s">
        <v>68</v>
      </c>
      <c r="AJ2688" t="s">
        <v>98</v>
      </c>
      <c r="AK2688" s="3" t="s">
        <v>27</v>
      </c>
      <c r="AL2688" s="3">
        <v>404.61807213790001</v>
      </c>
      <c r="AS2688" t="s">
        <v>2140</v>
      </c>
      <c r="AT2688" t="s">
        <v>88</v>
      </c>
      <c r="AU2688" t="s">
        <v>273</v>
      </c>
      <c r="AV2688" s="14">
        <v>0</v>
      </c>
    </row>
    <row r="2689" spans="29:48">
      <c r="AC2689"/>
      <c r="AH2689" t="s">
        <v>1902</v>
      </c>
      <c r="AI2689" t="s">
        <v>68</v>
      </c>
      <c r="AJ2689" t="s">
        <v>66</v>
      </c>
      <c r="AK2689" s="3" t="s">
        <v>114</v>
      </c>
      <c r="AL2689" s="3">
        <v>2710</v>
      </c>
      <c r="AS2689" t="s">
        <v>2141</v>
      </c>
      <c r="AT2689" t="s">
        <v>88</v>
      </c>
      <c r="AU2689" t="s">
        <v>109</v>
      </c>
      <c r="AV2689" s="14">
        <v>25035.8367</v>
      </c>
    </row>
    <row r="2690" spans="29:48">
      <c r="AC2690"/>
      <c r="AH2690" t="s">
        <v>1902</v>
      </c>
      <c r="AI2690" t="s">
        <v>68</v>
      </c>
      <c r="AJ2690" t="s">
        <v>98</v>
      </c>
      <c r="AK2690" s="3" t="s">
        <v>114</v>
      </c>
      <c r="AL2690" s="3">
        <v>-97.4599030137</v>
      </c>
      <c r="AS2690" t="s">
        <v>2141</v>
      </c>
      <c r="AT2690" t="s">
        <v>88</v>
      </c>
      <c r="AU2690" t="s">
        <v>110</v>
      </c>
      <c r="AV2690" s="14">
        <v>897.61059999999998</v>
      </c>
    </row>
    <row r="2691" spans="29:48">
      <c r="AC2691"/>
      <c r="AH2691" t="s">
        <v>1902</v>
      </c>
      <c r="AI2691" t="s">
        <v>68</v>
      </c>
      <c r="AJ2691" t="s">
        <v>66</v>
      </c>
      <c r="AK2691" s="3" t="s">
        <v>115</v>
      </c>
      <c r="AL2691" s="3">
        <v>16009.5</v>
      </c>
      <c r="AS2691" t="s">
        <v>2141</v>
      </c>
      <c r="AT2691" t="s">
        <v>88</v>
      </c>
      <c r="AU2691" t="s">
        <v>111</v>
      </c>
      <c r="AV2691" s="14">
        <v>11000</v>
      </c>
    </row>
    <row r="2692" spans="29:48">
      <c r="AC2692"/>
      <c r="AH2692" t="s">
        <v>1902</v>
      </c>
      <c r="AI2692" t="s">
        <v>68</v>
      </c>
      <c r="AJ2692" t="s">
        <v>98</v>
      </c>
      <c r="AK2692" s="3" t="s">
        <v>115</v>
      </c>
      <c r="AL2692" s="3">
        <v>-502.07797515160001</v>
      </c>
      <c r="AS2692" t="s">
        <v>2141</v>
      </c>
      <c r="AT2692" t="s">
        <v>88</v>
      </c>
      <c r="AU2692" t="s">
        <v>268</v>
      </c>
      <c r="AV2692" s="14">
        <v>-2800</v>
      </c>
    </row>
    <row r="2693" spans="29:48">
      <c r="AC2693"/>
      <c r="AH2693" t="s">
        <v>1902</v>
      </c>
      <c r="AI2693" t="s">
        <v>800</v>
      </c>
      <c r="AJ2693" t="s">
        <v>31</v>
      </c>
      <c r="AK2693" s="3" t="s">
        <v>27</v>
      </c>
      <c r="AL2693" s="3">
        <v>3.9394753439999999</v>
      </c>
      <c r="AS2693" t="s">
        <v>2141</v>
      </c>
      <c r="AT2693" t="s">
        <v>88</v>
      </c>
      <c r="AU2693" t="s">
        <v>269</v>
      </c>
      <c r="AV2693" s="14">
        <v>0</v>
      </c>
    </row>
    <row r="2694" spans="29:48">
      <c r="AC2694"/>
      <c r="AH2694" t="s">
        <v>1903</v>
      </c>
      <c r="AI2694" t="s">
        <v>65</v>
      </c>
      <c r="AJ2694" t="s">
        <v>66</v>
      </c>
      <c r="AK2694" s="3" t="s">
        <v>27</v>
      </c>
      <c r="AL2694" s="3">
        <v>35841.699999999997</v>
      </c>
      <c r="AS2694" t="s">
        <v>2141</v>
      </c>
      <c r="AT2694" t="s">
        <v>88</v>
      </c>
      <c r="AU2694" t="s">
        <v>270</v>
      </c>
      <c r="AV2694" s="14">
        <v>0</v>
      </c>
    </row>
    <row r="2695" spans="29:48">
      <c r="AC2695"/>
      <c r="AH2695" t="s">
        <v>1903</v>
      </c>
      <c r="AI2695" t="s">
        <v>65</v>
      </c>
      <c r="AJ2695" t="s">
        <v>72</v>
      </c>
      <c r="AK2695" s="3" t="s">
        <v>27</v>
      </c>
      <c r="AL2695" s="3">
        <v>36767.467097000001</v>
      </c>
      <c r="AS2695" t="s">
        <v>2141</v>
      </c>
      <c r="AT2695" t="s">
        <v>88</v>
      </c>
      <c r="AU2695" t="s">
        <v>271</v>
      </c>
      <c r="AV2695" s="14">
        <v>-500</v>
      </c>
    </row>
    <row r="2696" spans="29:48">
      <c r="AC2696"/>
      <c r="AH2696" t="s">
        <v>1903</v>
      </c>
      <c r="AI2696" t="s">
        <v>65</v>
      </c>
      <c r="AJ2696" t="s">
        <v>113</v>
      </c>
      <c r="AK2696" s="3" t="s">
        <v>27</v>
      </c>
      <c r="AL2696" s="3">
        <v>1826.2144874605999</v>
      </c>
      <c r="AS2696" t="s">
        <v>2141</v>
      </c>
      <c r="AT2696" t="s">
        <v>88</v>
      </c>
      <c r="AU2696" t="s">
        <v>272</v>
      </c>
      <c r="AV2696" s="14">
        <v>0</v>
      </c>
    </row>
    <row r="2697" spans="29:48">
      <c r="AC2697"/>
      <c r="AH2697" t="s">
        <v>1903</v>
      </c>
      <c r="AI2697" t="s">
        <v>65</v>
      </c>
      <c r="AJ2697" t="s">
        <v>108</v>
      </c>
      <c r="AK2697" s="3" t="s">
        <v>27</v>
      </c>
      <c r="AL2697" s="3">
        <v>-900.44739046059999</v>
      </c>
      <c r="AS2697" t="s">
        <v>2141</v>
      </c>
      <c r="AT2697" t="s">
        <v>88</v>
      </c>
      <c r="AU2697" t="s">
        <v>273</v>
      </c>
      <c r="AV2697" s="14">
        <v>0</v>
      </c>
    </row>
    <row r="2698" spans="29:48">
      <c r="AC2698"/>
      <c r="AH2698" t="s">
        <v>1903</v>
      </c>
      <c r="AI2698" t="s">
        <v>65</v>
      </c>
      <c r="AJ2698" t="s">
        <v>98</v>
      </c>
      <c r="AK2698" s="3" t="s">
        <v>27</v>
      </c>
      <c r="AL2698" s="3">
        <v>-900.44739046059999</v>
      </c>
      <c r="AS2698" t="s">
        <v>2142</v>
      </c>
      <c r="AT2698" t="s">
        <v>88</v>
      </c>
      <c r="AU2698" t="s">
        <v>109</v>
      </c>
      <c r="AV2698" s="14">
        <v>25035.8367</v>
      </c>
    </row>
    <row r="2699" spans="29:48">
      <c r="AC2699"/>
      <c r="AH2699" t="s">
        <v>1903</v>
      </c>
      <c r="AI2699" t="s">
        <v>67</v>
      </c>
      <c r="AJ2699" t="s">
        <v>66</v>
      </c>
      <c r="AK2699" s="3" t="s">
        <v>27</v>
      </c>
      <c r="AL2699" s="3">
        <v>-17334.2</v>
      </c>
      <c r="AS2699" t="s">
        <v>2142</v>
      </c>
      <c r="AT2699" t="s">
        <v>88</v>
      </c>
      <c r="AU2699" t="s">
        <v>110</v>
      </c>
      <c r="AV2699" s="14">
        <v>897.61059999999998</v>
      </c>
    </row>
    <row r="2700" spans="29:48">
      <c r="AC2700"/>
      <c r="AH2700" t="s">
        <v>1903</v>
      </c>
      <c r="AI2700" t="s">
        <v>67</v>
      </c>
      <c r="AJ2700" t="s">
        <v>72</v>
      </c>
      <c r="AK2700" s="3" t="s">
        <v>27</v>
      </c>
      <c r="AL2700" s="3">
        <v>-18313.383502000001</v>
      </c>
      <c r="AS2700" t="s">
        <v>2142</v>
      </c>
      <c r="AT2700" t="s">
        <v>88</v>
      </c>
      <c r="AU2700" t="s">
        <v>111</v>
      </c>
      <c r="AV2700" s="14">
        <v>11000</v>
      </c>
    </row>
    <row r="2701" spans="29:48">
      <c r="AC2701"/>
      <c r="AH2701" t="s">
        <v>1903</v>
      </c>
      <c r="AI2701" t="s">
        <v>67</v>
      </c>
      <c r="AJ2701" t="s">
        <v>113</v>
      </c>
      <c r="AK2701" s="3" t="s">
        <v>27</v>
      </c>
      <c r="AL2701" s="3">
        <v>-990.93423202869997</v>
      </c>
      <c r="AS2701" t="s">
        <v>2142</v>
      </c>
      <c r="AT2701" t="s">
        <v>88</v>
      </c>
      <c r="AU2701" t="s">
        <v>268</v>
      </c>
      <c r="AV2701" s="14">
        <v>-3800</v>
      </c>
    </row>
    <row r="2702" spans="29:48">
      <c r="AC2702"/>
      <c r="AH2702" t="s">
        <v>1903</v>
      </c>
      <c r="AI2702" t="s">
        <v>67</v>
      </c>
      <c r="AJ2702" t="s">
        <v>108</v>
      </c>
      <c r="AK2702" s="3" t="s">
        <v>27</v>
      </c>
      <c r="AL2702" s="3">
        <v>11.7507300287</v>
      </c>
      <c r="AS2702" t="s">
        <v>2142</v>
      </c>
      <c r="AT2702" t="s">
        <v>88</v>
      </c>
      <c r="AU2702" t="s">
        <v>269</v>
      </c>
      <c r="AV2702" s="14">
        <v>0</v>
      </c>
    </row>
    <row r="2703" spans="29:48">
      <c r="AC2703"/>
      <c r="AH2703" t="s">
        <v>1903</v>
      </c>
      <c r="AI2703" t="s">
        <v>67</v>
      </c>
      <c r="AJ2703" t="s">
        <v>98</v>
      </c>
      <c r="AK2703" s="3" t="s">
        <v>27</v>
      </c>
      <c r="AL2703" s="3">
        <v>11.7507300287</v>
      </c>
      <c r="AS2703" t="s">
        <v>2142</v>
      </c>
      <c r="AT2703" t="s">
        <v>88</v>
      </c>
      <c r="AU2703" t="s">
        <v>270</v>
      </c>
      <c r="AV2703" s="14">
        <v>0</v>
      </c>
    </row>
    <row r="2704" spans="29:48">
      <c r="AC2704"/>
      <c r="AH2704" t="s">
        <v>1903</v>
      </c>
      <c r="AI2704" t="s">
        <v>67</v>
      </c>
      <c r="AJ2704" t="s">
        <v>66</v>
      </c>
      <c r="AK2704" s="3" t="s">
        <v>114</v>
      </c>
      <c r="AL2704" s="3">
        <v>370</v>
      </c>
      <c r="AS2704" t="s">
        <v>2142</v>
      </c>
      <c r="AT2704" t="s">
        <v>88</v>
      </c>
      <c r="AU2704" t="s">
        <v>271</v>
      </c>
      <c r="AV2704" s="14">
        <v>-1600</v>
      </c>
    </row>
    <row r="2705" spans="29:48">
      <c r="AC2705"/>
      <c r="AH2705" t="s">
        <v>1903</v>
      </c>
      <c r="AI2705" t="s">
        <v>67</v>
      </c>
      <c r="AJ2705" t="s">
        <v>98</v>
      </c>
      <c r="AK2705" s="3" t="s">
        <v>114</v>
      </c>
      <c r="AL2705" s="3">
        <v>-19.332820547899999</v>
      </c>
      <c r="AS2705" t="s">
        <v>2142</v>
      </c>
      <c r="AT2705" t="s">
        <v>88</v>
      </c>
      <c r="AU2705" t="s">
        <v>272</v>
      </c>
      <c r="AV2705" s="14">
        <v>0</v>
      </c>
    </row>
    <row r="2706" spans="29:48">
      <c r="AC2706"/>
      <c r="AH2706" t="s">
        <v>1903</v>
      </c>
      <c r="AI2706" t="s">
        <v>67</v>
      </c>
      <c r="AJ2706" t="s">
        <v>66</v>
      </c>
      <c r="AK2706" s="3" t="s">
        <v>115</v>
      </c>
      <c r="AL2706" s="3">
        <v>17704.2</v>
      </c>
      <c r="AS2706" t="s">
        <v>2142</v>
      </c>
      <c r="AT2706" t="s">
        <v>88</v>
      </c>
      <c r="AU2706" t="s">
        <v>273</v>
      </c>
      <c r="AV2706" s="14">
        <v>0</v>
      </c>
    </row>
    <row r="2707" spans="29:48">
      <c r="AC2707"/>
      <c r="AH2707" t="s">
        <v>1903</v>
      </c>
      <c r="AI2707" t="s">
        <v>67</v>
      </c>
      <c r="AJ2707" t="s">
        <v>98</v>
      </c>
      <c r="AK2707" s="3" t="s">
        <v>115</v>
      </c>
      <c r="AL2707" s="3">
        <v>-31.0835505766</v>
      </c>
      <c r="AS2707" t="s">
        <v>2143</v>
      </c>
      <c r="AT2707" t="s">
        <v>88</v>
      </c>
      <c r="AU2707" t="s">
        <v>109</v>
      </c>
      <c r="AV2707" s="14">
        <v>25024.930100000001</v>
      </c>
    </row>
    <row r="2708" spans="29:48">
      <c r="AC2708"/>
      <c r="AH2708" t="s">
        <v>1903</v>
      </c>
      <c r="AI2708" t="s">
        <v>68</v>
      </c>
      <c r="AJ2708" t="s">
        <v>66</v>
      </c>
      <c r="AK2708" s="3" t="s">
        <v>27</v>
      </c>
      <c r="AL2708" s="3">
        <v>-12416.5</v>
      </c>
      <c r="AS2708" t="s">
        <v>2143</v>
      </c>
      <c r="AT2708" t="s">
        <v>88</v>
      </c>
      <c r="AU2708" t="s">
        <v>110</v>
      </c>
      <c r="AV2708" s="14">
        <v>897.61059999999998</v>
      </c>
    </row>
    <row r="2709" spans="29:48">
      <c r="AC2709"/>
      <c r="AH2709" t="s">
        <v>1903</v>
      </c>
      <c r="AI2709" t="s">
        <v>68</v>
      </c>
      <c r="AJ2709" t="s">
        <v>72</v>
      </c>
      <c r="AK2709" s="3" t="s">
        <v>27</v>
      </c>
      <c r="AL2709" s="3">
        <v>-12754.178055</v>
      </c>
      <c r="AS2709" t="s">
        <v>2143</v>
      </c>
      <c r="AT2709" t="s">
        <v>88</v>
      </c>
      <c r="AU2709" t="s">
        <v>111</v>
      </c>
      <c r="AV2709" s="14">
        <v>11000</v>
      </c>
    </row>
    <row r="2710" spans="29:48">
      <c r="AC2710"/>
      <c r="AH2710" t="s">
        <v>1903</v>
      </c>
      <c r="AI2710" t="s">
        <v>68</v>
      </c>
      <c r="AJ2710" t="s">
        <v>113</v>
      </c>
      <c r="AK2710" s="3" t="s">
        <v>27</v>
      </c>
      <c r="AL2710" s="3">
        <v>-764.33958859430004</v>
      </c>
      <c r="AS2710" t="s">
        <v>2143</v>
      </c>
      <c r="AT2710" t="s">
        <v>88</v>
      </c>
      <c r="AU2710" t="s">
        <v>268</v>
      </c>
      <c r="AV2710" s="14">
        <v>700</v>
      </c>
    </row>
    <row r="2711" spans="29:48">
      <c r="AC2711"/>
      <c r="AH2711" t="s">
        <v>1903</v>
      </c>
      <c r="AI2711" t="s">
        <v>68</v>
      </c>
      <c r="AJ2711" t="s">
        <v>108</v>
      </c>
      <c r="AK2711" s="3" t="s">
        <v>27</v>
      </c>
      <c r="AL2711" s="3">
        <v>426.66153359430001</v>
      </c>
      <c r="AS2711" t="s">
        <v>2143</v>
      </c>
      <c r="AT2711" t="s">
        <v>88</v>
      </c>
      <c r="AU2711" t="s">
        <v>269</v>
      </c>
      <c r="AV2711" s="14">
        <v>0</v>
      </c>
    </row>
    <row r="2712" spans="29:48">
      <c r="AC2712"/>
      <c r="AH2712" t="s">
        <v>1903</v>
      </c>
      <c r="AI2712" t="s">
        <v>68</v>
      </c>
      <c r="AJ2712" t="s">
        <v>98</v>
      </c>
      <c r="AK2712" s="3" t="s">
        <v>27</v>
      </c>
      <c r="AL2712" s="3">
        <v>426.66153359430001</v>
      </c>
      <c r="AS2712" t="s">
        <v>2143</v>
      </c>
      <c r="AT2712" t="s">
        <v>88</v>
      </c>
      <c r="AU2712" t="s">
        <v>270</v>
      </c>
      <c r="AV2712" s="14">
        <v>0</v>
      </c>
    </row>
    <row r="2713" spans="29:48">
      <c r="AC2713"/>
      <c r="AH2713" t="s">
        <v>1903</v>
      </c>
      <c r="AI2713" t="s">
        <v>68</v>
      </c>
      <c r="AJ2713" t="s">
        <v>66</v>
      </c>
      <c r="AK2713" s="3" t="s">
        <v>114</v>
      </c>
      <c r="AL2713" s="3">
        <v>3710</v>
      </c>
      <c r="AS2713" t="s">
        <v>2143</v>
      </c>
      <c r="AT2713" t="s">
        <v>88</v>
      </c>
      <c r="AU2713" t="s">
        <v>271</v>
      </c>
      <c r="AV2713" s="14">
        <v>-6139.0933999999997</v>
      </c>
    </row>
    <row r="2714" spans="29:48">
      <c r="AC2714"/>
      <c r="AH2714" t="s">
        <v>1903</v>
      </c>
      <c r="AI2714" t="s">
        <v>68</v>
      </c>
      <c r="AJ2714" t="s">
        <v>98</v>
      </c>
      <c r="AK2714" s="3" t="s">
        <v>114</v>
      </c>
      <c r="AL2714" s="3">
        <v>-83.455017808199997</v>
      </c>
      <c r="AS2714" t="s">
        <v>2143</v>
      </c>
      <c r="AT2714" t="s">
        <v>88</v>
      </c>
      <c r="AU2714" t="s">
        <v>272</v>
      </c>
      <c r="AV2714" s="14">
        <v>0</v>
      </c>
    </row>
    <row r="2715" spans="29:48">
      <c r="AC2715"/>
      <c r="AH2715" t="s">
        <v>1903</v>
      </c>
      <c r="AI2715" t="s">
        <v>68</v>
      </c>
      <c r="AJ2715" t="s">
        <v>66</v>
      </c>
      <c r="AK2715" s="3" t="s">
        <v>115</v>
      </c>
      <c r="AL2715" s="3">
        <v>16126.5</v>
      </c>
      <c r="AS2715" t="s">
        <v>2143</v>
      </c>
      <c r="AT2715" t="s">
        <v>88</v>
      </c>
      <c r="AU2715" t="s">
        <v>273</v>
      </c>
      <c r="AV2715" s="14">
        <v>0</v>
      </c>
    </row>
    <row r="2716" spans="29:48">
      <c r="AC2716"/>
      <c r="AH2716" t="s">
        <v>1903</v>
      </c>
      <c r="AI2716" t="s">
        <v>68</v>
      </c>
      <c r="AJ2716" t="s">
        <v>98</v>
      </c>
      <c r="AK2716" s="3" t="s">
        <v>115</v>
      </c>
      <c r="AL2716" s="3">
        <v>-510.11655140260001</v>
      </c>
      <c r="AS2716" t="s">
        <v>2144</v>
      </c>
      <c r="AT2716" t="s">
        <v>88</v>
      </c>
      <c r="AU2716" t="s">
        <v>109</v>
      </c>
      <c r="AV2716" s="14">
        <v>24524.930100000001</v>
      </c>
    </row>
    <row r="2717" spans="29:48">
      <c r="AC2717"/>
      <c r="AH2717" t="s">
        <v>1903</v>
      </c>
      <c r="AI2717" t="s">
        <v>800</v>
      </c>
      <c r="AJ2717" t="s">
        <v>31</v>
      </c>
      <c r="AK2717" s="3" t="s">
        <v>27</v>
      </c>
      <c r="AL2717" s="3">
        <v>3.9441640555999999</v>
      </c>
      <c r="AS2717" t="s">
        <v>2144</v>
      </c>
      <c r="AT2717" t="s">
        <v>88</v>
      </c>
      <c r="AU2717" t="s">
        <v>110</v>
      </c>
      <c r="AV2717" s="14">
        <v>897.61059999999998</v>
      </c>
    </row>
    <row r="2718" spans="29:48">
      <c r="AC2718"/>
      <c r="AH2718" t="s">
        <v>1904</v>
      </c>
      <c r="AI2718" t="s">
        <v>65</v>
      </c>
      <c r="AJ2718" t="s">
        <v>66</v>
      </c>
      <c r="AK2718" s="3" t="s">
        <v>27</v>
      </c>
      <c r="AL2718" s="3">
        <v>35541.699999999997</v>
      </c>
      <c r="AS2718" t="s">
        <v>2144</v>
      </c>
      <c r="AT2718" t="s">
        <v>88</v>
      </c>
      <c r="AU2718" t="s">
        <v>111</v>
      </c>
      <c r="AV2718" s="14">
        <v>11000</v>
      </c>
    </row>
    <row r="2719" spans="29:48">
      <c r="AC2719"/>
      <c r="AH2719" t="s">
        <v>1904</v>
      </c>
      <c r="AI2719" t="s">
        <v>800</v>
      </c>
      <c r="AJ2719" t="s">
        <v>31</v>
      </c>
      <c r="AK2719" s="3" t="s">
        <v>27</v>
      </c>
      <c r="AL2719" s="3">
        <v>3.9442342327</v>
      </c>
      <c r="AS2719" t="s">
        <v>2144</v>
      </c>
      <c r="AT2719" t="s">
        <v>88</v>
      </c>
      <c r="AU2719" t="s">
        <v>268</v>
      </c>
      <c r="AV2719" s="14">
        <v>3050</v>
      </c>
    </row>
    <row r="2720" spans="29:48">
      <c r="AC2720"/>
      <c r="AH2720" t="s">
        <v>1904</v>
      </c>
      <c r="AI2720" t="s">
        <v>65</v>
      </c>
      <c r="AJ2720" t="s">
        <v>72</v>
      </c>
      <c r="AK2720" s="3" t="s">
        <v>27</v>
      </c>
      <c r="AL2720" s="3">
        <v>36505.623553999998</v>
      </c>
      <c r="AS2720" t="s">
        <v>2144</v>
      </c>
      <c r="AT2720" t="s">
        <v>88</v>
      </c>
      <c r="AU2720" t="s">
        <v>269</v>
      </c>
      <c r="AV2720" s="14">
        <v>0</v>
      </c>
    </row>
    <row r="2721" spans="29:48">
      <c r="AC2721"/>
      <c r="AH2721" t="s">
        <v>1904</v>
      </c>
      <c r="AI2721" t="s">
        <v>65</v>
      </c>
      <c r="AJ2721" t="s">
        <v>113</v>
      </c>
      <c r="AK2721" s="3" t="s">
        <v>27</v>
      </c>
      <c r="AL2721" s="3">
        <v>1859.1679730997</v>
      </c>
      <c r="AS2721" t="s">
        <v>2144</v>
      </c>
      <c r="AT2721" t="s">
        <v>88</v>
      </c>
      <c r="AU2721" t="s">
        <v>270</v>
      </c>
      <c r="AV2721" s="14">
        <v>0</v>
      </c>
    </row>
    <row r="2722" spans="29:48">
      <c r="AC2722"/>
      <c r="AH2722" t="s">
        <v>1904</v>
      </c>
      <c r="AI2722" t="s">
        <v>65</v>
      </c>
      <c r="AJ2722" t="s">
        <v>108</v>
      </c>
      <c r="AK2722" s="3" t="s">
        <v>27</v>
      </c>
      <c r="AL2722" s="3">
        <v>-895.24441909960001</v>
      </c>
      <c r="AS2722" t="s">
        <v>2144</v>
      </c>
      <c r="AT2722" t="s">
        <v>88</v>
      </c>
      <c r="AU2722" t="s">
        <v>271</v>
      </c>
      <c r="AV2722" s="14">
        <v>-5389.0933999999997</v>
      </c>
    </row>
    <row r="2723" spans="29:48">
      <c r="AC2723"/>
      <c r="AH2723" t="s">
        <v>1904</v>
      </c>
      <c r="AI2723" t="s">
        <v>65</v>
      </c>
      <c r="AJ2723" t="s">
        <v>98</v>
      </c>
      <c r="AK2723" s="3" t="s">
        <v>27</v>
      </c>
      <c r="AL2723" s="3">
        <v>-895.24441909970005</v>
      </c>
      <c r="AS2723" t="s">
        <v>2144</v>
      </c>
      <c r="AT2723" t="s">
        <v>88</v>
      </c>
      <c r="AU2723" t="s">
        <v>272</v>
      </c>
      <c r="AV2723" s="14">
        <v>0</v>
      </c>
    </row>
    <row r="2724" spans="29:48">
      <c r="AC2724"/>
      <c r="AH2724" t="s">
        <v>1904</v>
      </c>
      <c r="AI2724" t="s">
        <v>67</v>
      </c>
      <c r="AJ2724" t="s">
        <v>66</v>
      </c>
      <c r="AK2724" s="3" t="s">
        <v>27</v>
      </c>
      <c r="AL2724" s="3">
        <v>-14763.2</v>
      </c>
      <c r="AS2724" t="s">
        <v>2144</v>
      </c>
      <c r="AT2724" t="s">
        <v>88</v>
      </c>
      <c r="AU2724" t="s">
        <v>273</v>
      </c>
      <c r="AV2724" s="14">
        <v>0</v>
      </c>
    </row>
    <row r="2725" spans="29:48">
      <c r="AC2725"/>
      <c r="AH2725" t="s">
        <v>1904</v>
      </c>
      <c r="AI2725" t="s">
        <v>67</v>
      </c>
      <c r="AJ2725" t="s">
        <v>72</v>
      </c>
      <c r="AK2725" s="3" t="s">
        <v>27</v>
      </c>
      <c r="AL2725" s="3">
        <v>-15667.063174000001</v>
      </c>
      <c r="AS2725" t="s">
        <v>2145</v>
      </c>
      <c r="AT2725" t="s">
        <v>88</v>
      </c>
      <c r="AU2725" t="s">
        <v>109</v>
      </c>
      <c r="AV2725" s="14">
        <v>22574.930100000001</v>
      </c>
    </row>
    <row r="2726" spans="29:48">
      <c r="AC2726"/>
      <c r="AH2726" t="s">
        <v>1904</v>
      </c>
      <c r="AI2726" t="s">
        <v>67</v>
      </c>
      <c r="AJ2726" t="s">
        <v>113</v>
      </c>
      <c r="AK2726" s="3" t="s">
        <v>27</v>
      </c>
      <c r="AL2726" s="3">
        <v>-839.04363701429997</v>
      </c>
      <c r="AS2726" t="s">
        <v>2145</v>
      </c>
      <c r="AT2726" t="s">
        <v>88</v>
      </c>
      <c r="AU2726" t="s">
        <v>110</v>
      </c>
      <c r="AV2726" s="14">
        <v>897.61059999999998</v>
      </c>
    </row>
    <row r="2727" spans="29:48">
      <c r="AC2727"/>
      <c r="AH2727" t="s">
        <v>1904</v>
      </c>
      <c r="AI2727" t="s">
        <v>67</v>
      </c>
      <c r="AJ2727" t="s">
        <v>108</v>
      </c>
      <c r="AK2727" s="3" t="s">
        <v>27</v>
      </c>
      <c r="AL2727" s="3">
        <v>-64.819536985699997</v>
      </c>
      <c r="AS2727" t="s">
        <v>2145</v>
      </c>
      <c r="AT2727" t="s">
        <v>88</v>
      </c>
      <c r="AU2727" t="s">
        <v>111</v>
      </c>
      <c r="AV2727" s="14">
        <v>10500</v>
      </c>
    </row>
    <row r="2728" spans="29:48">
      <c r="AC2728"/>
      <c r="AH2728" t="s">
        <v>1904</v>
      </c>
      <c r="AI2728" t="s">
        <v>67</v>
      </c>
      <c r="AJ2728" t="s">
        <v>98</v>
      </c>
      <c r="AK2728" s="3" t="s">
        <v>27</v>
      </c>
      <c r="AL2728" s="3">
        <v>-64.819536985699997</v>
      </c>
      <c r="AS2728" t="s">
        <v>2145</v>
      </c>
      <c r="AT2728" t="s">
        <v>88</v>
      </c>
      <c r="AU2728" t="s">
        <v>268</v>
      </c>
      <c r="AV2728" s="14">
        <v>2950</v>
      </c>
    </row>
    <row r="2729" spans="29:48">
      <c r="AC2729"/>
      <c r="AH2729" t="s">
        <v>1904</v>
      </c>
      <c r="AI2729" t="s">
        <v>67</v>
      </c>
      <c r="AJ2729" t="s">
        <v>66</v>
      </c>
      <c r="AK2729" s="3" t="s">
        <v>114</v>
      </c>
      <c r="AL2729" s="3">
        <v>450</v>
      </c>
      <c r="AS2729" t="s">
        <v>2145</v>
      </c>
      <c r="AT2729" t="s">
        <v>88</v>
      </c>
      <c r="AU2729" t="s">
        <v>269</v>
      </c>
      <c r="AV2729" s="14">
        <v>0</v>
      </c>
    </row>
    <row r="2730" spans="29:48">
      <c r="AC2730"/>
      <c r="AH2730" t="s">
        <v>1904</v>
      </c>
      <c r="AI2730" t="s">
        <v>67</v>
      </c>
      <c r="AJ2730" t="s">
        <v>98</v>
      </c>
      <c r="AK2730" s="3" t="s">
        <v>114</v>
      </c>
      <c r="AL2730" s="3">
        <v>-21.057136986300002</v>
      </c>
      <c r="AS2730" t="s">
        <v>2145</v>
      </c>
      <c r="AT2730" t="s">
        <v>88</v>
      </c>
      <c r="AU2730" t="s">
        <v>270</v>
      </c>
      <c r="AV2730" s="14">
        <v>500</v>
      </c>
    </row>
    <row r="2731" spans="29:48">
      <c r="AC2731"/>
      <c r="AH2731" t="s">
        <v>1904</v>
      </c>
      <c r="AI2731" t="s">
        <v>67</v>
      </c>
      <c r="AJ2731" t="s">
        <v>66</v>
      </c>
      <c r="AK2731" s="3" t="s">
        <v>115</v>
      </c>
      <c r="AL2731" s="3">
        <v>15213.2</v>
      </c>
      <c r="AS2731" t="s">
        <v>2145</v>
      </c>
      <c r="AT2731" t="s">
        <v>88</v>
      </c>
      <c r="AU2731" t="s">
        <v>271</v>
      </c>
      <c r="AV2731" s="14">
        <v>-3889.0934000000002</v>
      </c>
    </row>
    <row r="2732" spans="29:48">
      <c r="AC2732"/>
      <c r="AH2732" t="s">
        <v>1904</v>
      </c>
      <c r="AI2732" t="s">
        <v>67</v>
      </c>
      <c r="AJ2732" t="s">
        <v>98</v>
      </c>
      <c r="AK2732" s="3" t="s">
        <v>115</v>
      </c>
      <c r="AL2732" s="3">
        <v>43.762399999400003</v>
      </c>
      <c r="AS2732" t="s">
        <v>2145</v>
      </c>
      <c r="AT2732" t="s">
        <v>88</v>
      </c>
      <c r="AU2732" t="s">
        <v>272</v>
      </c>
      <c r="AV2732" s="14">
        <v>0</v>
      </c>
    </row>
    <row r="2733" spans="29:48">
      <c r="AC2733"/>
      <c r="AH2733" t="s">
        <v>1904</v>
      </c>
      <c r="AI2733" t="s">
        <v>68</v>
      </c>
      <c r="AJ2733" t="s">
        <v>66</v>
      </c>
      <c r="AK2733" s="3" t="s">
        <v>27</v>
      </c>
      <c r="AL2733" s="3">
        <v>-14687.5</v>
      </c>
      <c r="AS2733" t="s">
        <v>2145</v>
      </c>
      <c r="AT2733" t="s">
        <v>88</v>
      </c>
      <c r="AU2733" t="s">
        <v>273</v>
      </c>
      <c r="AV2733" s="14">
        <v>0</v>
      </c>
    </row>
    <row r="2734" spans="29:48">
      <c r="AC2734"/>
      <c r="AH2734" t="s">
        <v>1904</v>
      </c>
      <c r="AI2734" t="s">
        <v>68</v>
      </c>
      <c r="AJ2734" t="s">
        <v>72</v>
      </c>
      <c r="AK2734" s="3" t="s">
        <v>27</v>
      </c>
      <c r="AL2734" s="3">
        <v>-15140.392180000001</v>
      </c>
      <c r="AS2734" t="s">
        <v>2146</v>
      </c>
      <c r="AT2734" t="s">
        <v>88</v>
      </c>
      <c r="AU2734" t="s">
        <v>109</v>
      </c>
      <c r="AV2734" s="14">
        <v>21574.930100000001</v>
      </c>
    </row>
    <row r="2735" spans="29:48">
      <c r="AC2735"/>
      <c r="AH2735" t="s">
        <v>1904</v>
      </c>
      <c r="AI2735" t="s">
        <v>68</v>
      </c>
      <c r="AJ2735" t="s">
        <v>113</v>
      </c>
      <c r="AK2735" s="3" t="s">
        <v>27</v>
      </c>
      <c r="AL2735" s="3">
        <v>-949.1387401129</v>
      </c>
      <c r="AS2735" t="s">
        <v>2146</v>
      </c>
      <c r="AT2735" t="s">
        <v>88</v>
      </c>
      <c r="AU2735" t="s">
        <v>110</v>
      </c>
      <c r="AV2735" s="14">
        <v>897.61059999999998</v>
      </c>
    </row>
    <row r="2736" spans="29:48">
      <c r="AC2736"/>
      <c r="AH2736" t="s">
        <v>1904</v>
      </c>
      <c r="AI2736" t="s">
        <v>68</v>
      </c>
      <c r="AJ2736" t="s">
        <v>108</v>
      </c>
      <c r="AK2736" s="3" t="s">
        <v>27</v>
      </c>
      <c r="AL2736" s="3">
        <v>496.2465601129</v>
      </c>
      <c r="AS2736" t="s">
        <v>2146</v>
      </c>
      <c r="AT2736" t="s">
        <v>88</v>
      </c>
      <c r="AU2736" t="s">
        <v>111</v>
      </c>
      <c r="AV2736" s="14">
        <v>10500</v>
      </c>
    </row>
    <row r="2737" spans="29:48">
      <c r="AC2737"/>
      <c r="AH2737" t="s">
        <v>1904</v>
      </c>
      <c r="AI2737" t="s">
        <v>68</v>
      </c>
      <c r="AJ2737" t="s">
        <v>98</v>
      </c>
      <c r="AK2737" s="3" t="s">
        <v>27</v>
      </c>
      <c r="AL2737" s="3">
        <v>496.2465601129</v>
      </c>
      <c r="AS2737" t="s">
        <v>2146</v>
      </c>
      <c r="AT2737" t="s">
        <v>88</v>
      </c>
      <c r="AU2737" t="s">
        <v>268</v>
      </c>
      <c r="AV2737" s="14">
        <v>3450</v>
      </c>
    </row>
    <row r="2738" spans="29:48">
      <c r="AC2738"/>
      <c r="AH2738" t="s">
        <v>1904</v>
      </c>
      <c r="AI2738" t="s">
        <v>68</v>
      </c>
      <c r="AJ2738" t="s">
        <v>66</v>
      </c>
      <c r="AK2738" s="3" t="s">
        <v>114</v>
      </c>
      <c r="AL2738" s="3">
        <v>2399</v>
      </c>
      <c r="AS2738" t="s">
        <v>2146</v>
      </c>
      <c r="AT2738" t="s">
        <v>88</v>
      </c>
      <c r="AU2738" t="s">
        <v>269</v>
      </c>
      <c r="AV2738" s="14">
        <v>0</v>
      </c>
    </row>
    <row r="2739" spans="29:48">
      <c r="AC2739"/>
      <c r="AH2739" t="s">
        <v>1904</v>
      </c>
      <c r="AI2739" t="s">
        <v>68</v>
      </c>
      <c r="AJ2739" t="s">
        <v>98</v>
      </c>
      <c r="AK2739" s="3" t="s">
        <v>114</v>
      </c>
      <c r="AL2739" s="3">
        <v>-53.522742602699999</v>
      </c>
      <c r="AS2739" t="s">
        <v>2146</v>
      </c>
      <c r="AT2739" t="s">
        <v>88</v>
      </c>
      <c r="AU2739" t="s">
        <v>270</v>
      </c>
      <c r="AV2739" s="14">
        <v>500</v>
      </c>
    </row>
    <row r="2740" spans="29:48">
      <c r="AC2740"/>
      <c r="AH2740" t="s">
        <v>1904</v>
      </c>
      <c r="AI2740" t="s">
        <v>68</v>
      </c>
      <c r="AJ2740" t="s">
        <v>66</v>
      </c>
      <c r="AK2740" s="3" t="s">
        <v>115</v>
      </c>
      <c r="AL2740" s="3">
        <v>17086.5</v>
      </c>
      <c r="AS2740" t="s">
        <v>2146</v>
      </c>
      <c r="AT2740" t="s">
        <v>88</v>
      </c>
      <c r="AU2740" t="s">
        <v>271</v>
      </c>
      <c r="AV2740" s="14">
        <v>-300</v>
      </c>
    </row>
    <row r="2741" spans="29:48">
      <c r="AC2741"/>
      <c r="AH2741" t="s">
        <v>1904</v>
      </c>
      <c r="AI2741" t="s">
        <v>68</v>
      </c>
      <c r="AJ2741" t="s">
        <v>98</v>
      </c>
      <c r="AK2741" s="3" t="s">
        <v>115</v>
      </c>
      <c r="AL2741" s="3">
        <v>-549.76930271560002</v>
      </c>
      <c r="AS2741" t="s">
        <v>2146</v>
      </c>
      <c r="AT2741" t="s">
        <v>88</v>
      </c>
      <c r="AU2741" t="s">
        <v>272</v>
      </c>
      <c r="AV2741" s="14">
        <v>0</v>
      </c>
    </row>
    <row r="2742" spans="29:48">
      <c r="AC2742"/>
      <c r="AH2742" t="s">
        <v>1905</v>
      </c>
      <c r="AI2742" t="s">
        <v>65</v>
      </c>
      <c r="AJ2742" t="s">
        <v>113</v>
      </c>
      <c r="AK2742" s="3" t="s">
        <v>27</v>
      </c>
      <c r="AL2742" s="3">
        <v>1344.6853444152</v>
      </c>
      <c r="AS2742" t="s">
        <v>2146</v>
      </c>
      <c r="AT2742" t="s">
        <v>88</v>
      </c>
      <c r="AU2742" t="s">
        <v>273</v>
      </c>
      <c r="AV2742" s="14">
        <v>0</v>
      </c>
    </row>
    <row r="2743" spans="29:48">
      <c r="AC2743"/>
      <c r="AH2743" t="s">
        <v>1905</v>
      </c>
      <c r="AI2743" t="s">
        <v>65</v>
      </c>
      <c r="AJ2743" t="s">
        <v>108</v>
      </c>
      <c r="AK2743" s="3" t="s">
        <v>27</v>
      </c>
      <c r="AL2743" s="3">
        <v>-904.6923274152</v>
      </c>
      <c r="AS2743" t="s">
        <v>2147</v>
      </c>
      <c r="AT2743" t="s">
        <v>88</v>
      </c>
      <c r="AU2743" t="s">
        <v>109</v>
      </c>
      <c r="AV2743" s="14">
        <v>19984.930100000001</v>
      </c>
    </row>
    <row r="2744" spans="29:48">
      <c r="AC2744"/>
      <c r="AH2744" t="s">
        <v>1905</v>
      </c>
      <c r="AI2744" t="s">
        <v>65</v>
      </c>
      <c r="AJ2744" t="s">
        <v>98</v>
      </c>
      <c r="AK2744" s="3" t="s">
        <v>27</v>
      </c>
      <c r="AL2744" s="3">
        <v>-904.6923274152</v>
      </c>
      <c r="AS2744" t="s">
        <v>2147</v>
      </c>
      <c r="AT2744" t="s">
        <v>88</v>
      </c>
      <c r="AU2744" t="s">
        <v>110</v>
      </c>
      <c r="AV2744" s="14">
        <v>897.61059999999998</v>
      </c>
    </row>
    <row r="2745" spans="29:48">
      <c r="AC2745"/>
      <c r="AH2745" t="s">
        <v>1905</v>
      </c>
      <c r="AI2745" t="s">
        <v>67</v>
      </c>
      <c r="AJ2745" t="s">
        <v>66</v>
      </c>
      <c r="AK2745" s="3" t="s">
        <v>27</v>
      </c>
      <c r="AL2745" s="3">
        <v>-13935.2</v>
      </c>
      <c r="AS2745" t="s">
        <v>2147</v>
      </c>
      <c r="AT2745" t="s">
        <v>88</v>
      </c>
      <c r="AU2745" t="s">
        <v>111</v>
      </c>
      <c r="AV2745" s="14">
        <v>10500</v>
      </c>
    </row>
    <row r="2746" spans="29:48">
      <c r="AC2746"/>
      <c r="AH2746" t="s">
        <v>1905</v>
      </c>
      <c r="AI2746" t="s">
        <v>67</v>
      </c>
      <c r="AJ2746" t="s">
        <v>72</v>
      </c>
      <c r="AK2746" s="3" t="s">
        <v>27</v>
      </c>
      <c r="AL2746" s="3">
        <v>-14274.486622</v>
      </c>
      <c r="AS2746" t="s">
        <v>2147</v>
      </c>
      <c r="AT2746" t="s">
        <v>88</v>
      </c>
      <c r="AU2746" t="s">
        <v>268</v>
      </c>
      <c r="AV2746" s="14">
        <v>2200</v>
      </c>
    </row>
    <row r="2747" spans="29:48">
      <c r="AC2747"/>
      <c r="AH2747" t="s">
        <v>1905</v>
      </c>
      <c r="AI2747" t="s">
        <v>67</v>
      </c>
      <c r="AJ2747" t="s">
        <v>113</v>
      </c>
      <c r="AK2747" s="3" t="s">
        <v>27</v>
      </c>
      <c r="AL2747" s="3">
        <v>-291.80794137010002</v>
      </c>
      <c r="AS2747" t="s">
        <v>2147</v>
      </c>
      <c r="AT2747" t="s">
        <v>88</v>
      </c>
      <c r="AU2747" t="s">
        <v>269</v>
      </c>
      <c r="AV2747" s="14">
        <v>0</v>
      </c>
    </row>
    <row r="2748" spans="29:48">
      <c r="AC2748"/>
      <c r="AH2748" t="s">
        <v>1905</v>
      </c>
      <c r="AI2748" t="s">
        <v>67</v>
      </c>
      <c r="AJ2748" t="s">
        <v>108</v>
      </c>
      <c r="AK2748" s="3" t="s">
        <v>27</v>
      </c>
      <c r="AL2748" s="3">
        <v>-47.478680629899998</v>
      </c>
      <c r="AS2748" t="s">
        <v>2147</v>
      </c>
      <c r="AT2748" t="s">
        <v>88</v>
      </c>
      <c r="AU2748" t="s">
        <v>270</v>
      </c>
      <c r="AV2748" s="14">
        <v>0</v>
      </c>
    </row>
    <row r="2749" spans="29:48">
      <c r="AC2749"/>
      <c r="AH2749" t="s">
        <v>1905</v>
      </c>
      <c r="AI2749" t="s">
        <v>67</v>
      </c>
      <c r="AJ2749" t="s">
        <v>98</v>
      </c>
      <c r="AK2749" s="3" t="s">
        <v>27</v>
      </c>
      <c r="AL2749" s="3">
        <v>-47.478680629899998</v>
      </c>
      <c r="AS2749" t="s">
        <v>2147</v>
      </c>
      <c r="AT2749" t="s">
        <v>88</v>
      </c>
      <c r="AU2749" t="s">
        <v>271</v>
      </c>
      <c r="AV2749" s="14">
        <v>1000</v>
      </c>
    </row>
    <row r="2750" spans="29:48">
      <c r="AC2750"/>
      <c r="AH2750" t="s">
        <v>1905</v>
      </c>
      <c r="AI2750" t="s">
        <v>67</v>
      </c>
      <c r="AJ2750" t="s">
        <v>66</v>
      </c>
      <c r="AK2750" s="3" t="s">
        <v>114</v>
      </c>
      <c r="AL2750" s="3">
        <v>1578</v>
      </c>
      <c r="AS2750" t="s">
        <v>2147</v>
      </c>
      <c r="AT2750" t="s">
        <v>88</v>
      </c>
      <c r="AU2750" t="s">
        <v>272</v>
      </c>
      <c r="AV2750" s="14">
        <v>0</v>
      </c>
    </row>
    <row r="2751" spans="29:48">
      <c r="AC2751"/>
      <c r="AH2751" t="s">
        <v>1905</v>
      </c>
      <c r="AI2751" t="s">
        <v>67</v>
      </c>
      <c r="AJ2751" t="s">
        <v>98</v>
      </c>
      <c r="AK2751" s="3" t="s">
        <v>114</v>
      </c>
      <c r="AL2751" s="3">
        <v>-8.6513364383999996</v>
      </c>
      <c r="AS2751" t="s">
        <v>2147</v>
      </c>
      <c r="AT2751" t="s">
        <v>88</v>
      </c>
      <c r="AU2751" t="s">
        <v>273</v>
      </c>
      <c r="AV2751" s="14">
        <v>0</v>
      </c>
    </row>
    <row r="2752" spans="29:48">
      <c r="AC2752"/>
      <c r="AH2752" t="s">
        <v>1905</v>
      </c>
      <c r="AI2752" t="s">
        <v>67</v>
      </c>
      <c r="AJ2752" t="s">
        <v>66</v>
      </c>
      <c r="AK2752" s="3" t="s">
        <v>115</v>
      </c>
      <c r="AL2752" s="3">
        <v>15513.2</v>
      </c>
      <c r="AS2752" t="s">
        <v>2148</v>
      </c>
      <c r="AT2752" t="s">
        <v>88</v>
      </c>
      <c r="AU2752" t="s">
        <v>109</v>
      </c>
      <c r="AV2752" s="14">
        <v>19984.930100000001</v>
      </c>
    </row>
    <row r="2753" spans="29:48">
      <c r="AC2753"/>
      <c r="AH2753" t="s">
        <v>1905</v>
      </c>
      <c r="AI2753" t="s">
        <v>65</v>
      </c>
      <c r="AJ2753" t="s">
        <v>66</v>
      </c>
      <c r="AK2753" s="3" t="s">
        <v>27</v>
      </c>
      <c r="AL2753" s="3">
        <v>34413.699999999997</v>
      </c>
      <c r="AS2753" t="s">
        <v>2148</v>
      </c>
      <c r="AT2753" t="s">
        <v>88</v>
      </c>
      <c r="AU2753" t="s">
        <v>110</v>
      </c>
      <c r="AV2753" s="14">
        <v>897.61059999999998</v>
      </c>
    </row>
    <row r="2754" spans="29:48">
      <c r="AC2754"/>
      <c r="AH2754" t="s">
        <v>1905</v>
      </c>
      <c r="AI2754" t="s">
        <v>65</v>
      </c>
      <c r="AJ2754" t="s">
        <v>72</v>
      </c>
      <c r="AK2754" s="3" t="s">
        <v>27</v>
      </c>
      <c r="AL2754" s="3">
        <v>34853.693016999998</v>
      </c>
      <c r="AS2754" t="s">
        <v>2148</v>
      </c>
      <c r="AT2754" t="s">
        <v>88</v>
      </c>
      <c r="AU2754" t="s">
        <v>111</v>
      </c>
      <c r="AV2754" s="14">
        <v>10500</v>
      </c>
    </row>
    <row r="2755" spans="29:48">
      <c r="AC2755"/>
      <c r="AH2755" t="s">
        <v>1905</v>
      </c>
      <c r="AI2755" t="s">
        <v>67</v>
      </c>
      <c r="AJ2755" t="s">
        <v>98</v>
      </c>
      <c r="AK2755" s="3" t="s">
        <v>115</v>
      </c>
      <c r="AL2755" s="3">
        <v>38.827344191599998</v>
      </c>
      <c r="AS2755" t="s">
        <v>2148</v>
      </c>
      <c r="AT2755" t="s">
        <v>88</v>
      </c>
      <c r="AU2755" t="s">
        <v>268</v>
      </c>
      <c r="AV2755" s="14">
        <v>2200</v>
      </c>
    </row>
    <row r="2756" spans="29:48">
      <c r="AC2756"/>
      <c r="AH2756" t="s">
        <v>1905</v>
      </c>
      <c r="AI2756" t="s">
        <v>68</v>
      </c>
      <c r="AJ2756" t="s">
        <v>66</v>
      </c>
      <c r="AK2756" s="3" t="s">
        <v>27</v>
      </c>
      <c r="AL2756" s="3">
        <v>-14387.5</v>
      </c>
      <c r="AS2756" t="s">
        <v>2148</v>
      </c>
      <c r="AT2756" t="s">
        <v>88</v>
      </c>
      <c r="AU2756" t="s">
        <v>269</v>
      </c>
      <c r="AV2756" s="14">
        <v>0</v>
      </c>
    </row>
    <row r="2757" spans="29:48">
      <c r="AC2757"/>
      <c r="AH2757" t="s">
        <v>1905</v>
      </c>
      <c r="AI2757" t="s">
        <v>68</v>
      </c>
      <c r="AJ2757" t="s">
        <v>72</v>
      </c>
      <c r="AK2757" s="3" t="s">
        <v>27</v>
      </c>
      <c r="AL2757" s="3">
        <v>-14881.856775</v>
      </c>
      <c r="AS2757" t="s">
        <v>2148</v>
      </c>
      <c r="AT2757" t="s">
        <v>88</v>
      </c>
      <c r="AU2757" t="s">
        <v>270</v>
      </c>
      <c r="AV2757" s="14">
        <v>0</v>
      </c>
    </row>
    <row r="2758" spans="29:48">
      <c r="AC2758"/>
      <c r="AH2758" t="s">
        <v>1905</v>
      </c>
      <c r="AI2758" t="s">
        <v>68</v>
      </c>
      <c r="AJ2758" t="s">
        <v>113</v>
      </c>
      <c r="AK2758" s="3" t="s">
        <v>27</v>
      </c>
      <c r="AL2758" s="3">
        <v>-981.84687793770001</v>
      </c>
      <c r="AS2758" t="s">
        <v>2148</v>
      </c>
      <c r="AT2758" t="s">
        <v>88</v>
      </c>
      <c r="AU2758" t="s">
        <v>271</v>
      </c>
      <c r="AV2758" s="14">
        <v>0</v>
      </c>
    </row>
    <row r="2759" spans="29:48">
      <c r="AC2759"/>
      <c r="AH2759" t="s">
        <v>1905</v>
      </c>
      <c r="AI2759" t="s">
        <v>68</v>
      </c>
      <c r="AJ2759" t="s">
        <v>108</v>
      </c>
      <c r="AK2759" s="3" t="s">
        <v>27</v>
      </c>
      <c r="AL2759" s="3">
        <v>487.49010293769999</v>
      </c>
      <c r="AS2759" t="s">
        <v>2148</v>
      </c>
      <c r="AT2759" t="s">
        <v>88</v>
      </c>
      <c r="AU2759" t="s">
        <v>272</v>
      </c>
      <c r="AV2759" s="14">
        <v>0</v>
      </c>
    </row>
    <row r="2760" spans="29:48">
      <c r="AC2760"/>
      <c r="AH2760" t="s">
        <v>1905</v>
      </c>
      <c r="AI2760" t="s">
        <v>68</v>
      </c>
      <c r="AJ2760" t="s">
        <v>98</v>
      </c>
      <c r="AK2760" s="3" t="s">
        <v>27</v>
      </c>
      <c r="AL2760" s="3">
        <v>487.49010293769999</v>
      </c>
      <c r="AS2760" t="s">
        <v>2148</v>
      </c>
      <c r="AT2760" t="s">
        <v>88</v>
      </c>
      <c r="AU2760" t="s">
        <v>273</v>
      </c>
      <c r="AV2760" s="14">
        <v>0</v>
      </c>
    </row>
    <row r="2761" spans="29:48">
      <c r="AC2761"/>
      <c r="AH2761" t="s">
        <v>1905</v>
      </c>
      <c r="AI2761" t="s">
        <v>68</v>
      </c>
      <c r="AJ2761" t="s">
        <v>66</v>
      </c>
      <c r="AK2761" s="3" t="s">
        <v>114</v>
      </c>
      <c r="AL2761" s="3">
        <v>1849</v>
      </c>
      <c r="AS2761" t="s">
        <v>2149</v>
      </c>
      <c r="AT2761" t="s">
        <v>88</v>
      </c>
      <c r="AU2761" t="s">
        <v>109</v>
      </c>
      <c r="AV2761" s="14">
        <v>18084.930100000001</v>
      </c>
    </row>
    <row r="2762" spans="29:48">
      <c r="AC2762"/>
      <c r="AH2762" t="s">
        <v>1905</v>
      </c>
      <c r="AI2762" t="s">
        <v>68</v>
      </c>
      <c r="AJ2762" t="s">
        <v>98</v>
      </c>
      <c r="AK2762" s="3" t="s">
        <v>114</v>
      </c>
      <c r="AL2762" s="3">
        <v>-69.008589315099996</v>
      </c>
      <c r="AS2762" t="s">
        <v>2149</v>
      </c>
      <c r="AT2762" t="s">
        <v>88</v>
      </c>
      <c r="AU2762" t="s">
        <v>110</v>
      </c>
      <c r="AV2762" s="14">
        <v>897.61059999999998</v>
      </c>
    </row>
    <row r="2763" spans="29:48">
      <c r="AC2763"/>
      <c r="AH2763" t="s">
        <v>1905</v>
      </c>
      <c r="AI2763" t="s">
        <v>68</v>
      </c>
      <c r="AJ2763" t="s">
        <v>66</v>
      </c>
      <c r="AK2763" s="3" t="s">
        <v>115</v>
      </c>
      <c r="AL2763" s="3">
        <v>16236.5</v>
      </c>
      <c r="AS2763" t="s">
        <v>2149</v>
      </c>
      <c r="AT2763" t="s">
        <v>88</v>
      </c>
      <c r="AU2763" t="s">
        <v>111</v>
      </c>
      <c r="AV2763" s="14">
        <v>10500</v>
      </c>
    </row>
    <row r="2764" spans="29:48">
      <c r="AC2764"/>
      <c r="AH2764" t="s">
        <v>1905</v>
      </c>
      <c r="AI2764" t="s">
        <v>68</v>
      </c>
      <c r="AJ2764" t="s">
        <v>98</v>
      </c>
      <c r="AK2764" s="3" t="s">
        <v>115</v>
      </c>
      <c r="AL2764" s="3">
        <v>-556.49869225279997</v>
      </c>
      <c r="AS2764" t="s">
        <v>2149</v>
      </c>
      <c r="AT2764" t="s">
        <v>88</v>
      </c>
      <c r="AU2764" t="s">
        <v>268</v>
      </c>
      <c r="AV2764" s="14">
        <v>3900</v>
      </c>
    </row>
    <row r="2765" spans="29:48">
      <c r="AC2765"/>
      <c r="AH2765" t="s">
        <v>1906</v>
      </c>
      <c r="AI2765" t="s">
        <v>65</v>
      </c>
      <c r="AJ2765" t="s">
        <v>66</v>
      </c>
      <c r="AK2765" s="3" t="s">
        <v>27</v>
      </c>
      <c r="AL2765" s="3">
        <v>34806.699999999997</v>
      </c>
      <c r="AS2765" t="s">
        <v>2149</v>
      </c>
      <c r="AT2765" t="s">
        <v>88</v>
      </c>
      <c r="AU2765" t="s">
        <v>269</v>
      </c>
      <c r="AV2765" s="14">
        <v>0</v>
      </c>
    </row>
    <row r="2766" spans="29:48">
      <c r="AC2766"/>
      <c r="AH2766" t="s">
        <v>1906</v>
      </c>
      <c r="AI2766" t="s">
        <v>65</v>
      </c>
      <c r="AJ2766" t="s">
        <v>72</v>
      </c>
      <c r="AK2766" s="3" t="s">
        <v>27</v>
      </c>
      <c r="AL2766" s="3">
        <v>35109.437567000001</v>
      </c>
      <c r="AS2766" t="s">
        <v>2149</v>
      </c>
      <c r="AT2766" t="s">
        <v>88</v>
      </c>
      <c r="AU2766" t="s">
        <v>270</v>
      </c>
      <c r="AV2766" s="14">
        <v>0</v>
      </c>
    </row>
    <row r="2767" spans="29:48">
      <c r="AC2767"/>
      <c r="AH2767" t="s">
        <v>1906</v>
      </c>
      <c r="AI2767" t="s">
        <v>65</v>
      </c>
      <c r="AJ2767" t="s">
        <v>113</v>
      </c>
      <c r="AK2767" s="3" t="s">
        <v>27</v>
      </c>
      <c r="AL2767" s="3">
        <v>1239.7463727352999</v>
      </c>
      <c r="AS2767" t="s">
        <v>2149</v>
      </c>
      <c r="AT2767" t="s">
        <v>88</v>
      </c>
      <c r="AU2767" t="s">
        <v>271</v>
      </c>
      <c r="AV2767" s="14">
        <v>0</v>
      </c>
    </row>
    <row r="2768" spans="29:48">
      <c r="AC2768"/>
      <c r="AH2768" t="s">
        <v>1906</v>
      </c>
      <c r="AI2768" t="s">
        <v>65</v>
      </c>
      <c r="AJ2768" t="s">
        <v>108</v>
      </c>
      <c r="AK2768" s="3" t="s">
        <v>27</v>
      </c>
      <c r="AL2768" s="3">
        <v>-937.00880573519999</v>
      </c>
      <c r="AS2768" t="s">
        <v>2149</v>
      </c>
      <c r="AT2768" t="s">
        <v>88</v>
      </c>
      <c r="AU2768" t="s">
        <v>272</v>
      </c>
      <c r="AV2768" s="14">
        <v>0</v>
      </c>
    </row>
    <row r="2769" spans="29:48">
      <c r="AC2769"/>
      <c r="AH2769" t="s">
        <v>1906</v>
      </c>
      <c r="AI2769" t="s">
        <v>65</v>
      </c>
      <c r="AJ2769" t="s">
        <v>98</v>
      </c>
      <c r="AK2769" s="3" t="s">
        <v>27</v>
      </c>
      <c r="AL2769" s="3">
        <v>-937.00880573530003</v>
      </c>
      <c r="AS2769" t="s">
        <v>2149</v>
      </c>
      <c r="AT2769" t="s">
        <v>88</v>
      </c>
      <c r="AU2769" t="s">
        <v>273</v>
      </c>
      <c r="AV2769" s="14">
        <v>0</v>
      </c>
    </row>
    <row r="2770" spans="29:48">
      <c r="AC2770"/>
      <c r="AH2770" t="s">
        <v>1906</v>
      </c>
      <c r="AI2770" t="s">
        <v>67</v>
      </c>
      <c r="AJ2770" t="s">
        <v>66</v>
      </c>
      <c r="AK2770" s="3" t="s">
        <v>27</v>
      </c>
      <c r="AL2770" s="3">
        <v>-14306.2</v>
      </c>
      <c r="AS2770" t="s">
        <v>2150</v>
      </c>
      <c r="AT2770" t="s">
        <v>88</v>
      </c>
      <c r="AU2770" t="s">
        <v>109</v>
      </c>
      <c r="AV2770" s="14">
        <v>17884.930100000001</v>
      </c>
    </row>
    <row r="2771" spans="29:48">
      <c r="AC2771"/>
      <c r="AH2771" t="s">
        <v>1906</v>
      </c>
      <c r="AI2771" t="s">
        <v>67</v>
      </c>
      <c r="AJ2771" t="s">
        <v>72</v>
      </c>
      <c r="AK2771" s="3" t="s">
        <v>27</v>
      </c>
      <c r="AL2771" s="3">
        <v>-14495.611717</v>
      </c>
      <c r="AS2771" t="s">
        <v>2150</v>
      </c>
      <c r="AT2771" t="s">
        <v>88</v>
      </c>
      <c r="AU2771" t="s">
        <v>110</v>
      </c>
      <c r="AV2771" s="14">
        <v>897.61059999999998</v>
      </c>
    </row>
    <row r="2772" spans="29:48">
      <c r="AC2772"/>
      <c r="AH2772" t="s">
        <v>1906</v>
      </c>
      <c r="AI2772" t="s">
        <v>67</v>
      </c>
      <c r="AJ2772" t="s">
        <v>113</v>
      </c>
      <c r="AK2772" s="3" t="s">
        <v>27</v>
      </c>
      <c r="AL2772" s="3">
        <v>-184.55905966509999</v>
      </c>
      <c r="AS2772" t="s">
        <v>2150</v>
      </c>
      <c r="AT2772" t="s">
        <v>88</v>
      </c>
      <c r="AU2772" t="s">
        <v>111</v>
      </c>
      <c r="AV2772" s="14">
        <v>10000</v>
      </c>
    </row>
    <row r="2773" spans="29:48">
      <c r="AC2773"/>
      <c r="AH2773" t="s">
        <v>1906</v>
      </c>
      <c r="AI2773" t="s">
        <v>67</v>
      </c>
      <c r="AJ2773" t="s">
        <v>108</v>
      </c>
      <c r="AK2773" s="3" t="s">
        <v>27</v>
      </c>
      <c r="AL2773" s="3">
        <v>-4.8526573349</v>
      </c>
      <c r="AS2773" t="s">
        <v>2150</v>
      </c>
      <c r="AT2773" t="s">
        <v>88</v>
      </c>
      <c r="AU2773" t="s">
        <v>268</v>
      </c>
      <c r="AV2773" s="14">
        <v>2500</v>
      </c>
    </row>
    <row r="2774" spans="29:48">
      <c r="AC2774"/>
      <c r="AH2774" t="s">
        <v>1906</v>
      </c>
      <c r="AI2774" t="s">
        <v>67</v>
      </c>
      <c r="AJ2774" t="s">
        <v>98</v>
      </c>
      <c r="AK2774" s="3" t="s">
        <v>27</v>
      </c>
      <c r="AL2774" s="3">
        <v>-4.8526573349</v>
      </c>
      <c r="AS2774" t="s">
        <v>2150</v>
      </c>
      <c r="AT2774" t="s">
        <v>88</v>
      </c>
      <c r="AU2774" t="s">
        <v>269</v>
      </c>
      <c r="AV2774" s="14">
        <v>0</v>
      </c>
    </row>
    <row r="2775" spans="29:48">
      <c r="AC2775"/>
      <c r="AH2775" t="s">
        <v>1906</v>
      </c>
      <c r="AI2775" t="s">
        <v>67</v>
      </c>
      <c r="AJ2775" t="s">
        <v>66</v>
      </c>
      <c r="AK2775" s="3" t="s">
        <v>114</v>
      </c>
      <c r="AL2775" s="3">
        <v>255</v>
      </c>
      <c r="AS2775" t="s">
        <v>2150</v>
      </c>
      <c r="AT2775" t="s">
        <v>88</v>
      </c>
      <c r="AU2775" t="s">
        <v>270</v>
      </c>
      <c r="AV2775" s="14">
        <v>0</v>
      </c>
    </row>
    <row r="2776" spans="29:48">
      <c r="AC2776"/>
      <c r="AH2776" t="s">
        <v>1906</v>
      </c>
      <c r="AI2776" t="s">
        <v>67</v>
      </c>
      <c r="AJ2776" t="s">
        <v>98</v>
      </c>
      <c r="AK2776" s="3" t="s">
        <v>114</v>
      </c>
      <c r="AL2776" s="3">
        <v>-13.318335616400001</v>
      </c>
      <c r="AS2776" t="s">
        <v>2150</v>
      </c>
      <c r="AT2776" t="s">
        <v>88</v>
      </c>
      <c r="AU2776" t="s">
        <v>271</v>
      </c>
      <c r="AV2776" s="14">
        <v>-300</v>
      </c>
    </row>
    <row r="2777" spans="29:48">
      <c r="AC2777"/>
      <c r="AH2777" t="s">
        <v>1906</v>
      </c>
      <c r="AI2777" t="s">
        <v>67</v>
      </c>
      <c r="AJ2777" t="s">
        <v>66</v>
      </c>
      <c r="AK2777" s="3" t="s">
        <v>115</v>
      </c>
      <c r="AL2777" s="3">
        <v>14561.2</v>
      </c>
      <c r="AS2777" t="s">
        <v>2150</v>
      </c>
      <c r="AT2777" t="s">
        <v>88</v>
      </c>
      <c r="AU2777" t="s">
        <v>272</v>
      </c>
      <c r="AV2777" s="14">
        <v>0</v>
      </c>
    </row>
    <row r="2778" spans="29:48">
      <c r="AC2778"/>
      <c r="AH2778" t="s">
        <v>1906</v>
      </c>
      <c r="AI2778" t="s">
        <v>67</v>
      </c>
      <c r="AJ2778" t="s">
        <v>98</v>
      </c>
      <c r="AK2778" s="3" t="s">
        <v>115</v>
      </c>
      <c r="AL2778" s="3">
        <v>-8.4656782815000007</v>
      </c>
      <c r="AS2778" t="s">
        <v>2150</v>
      </c>
      <c r="AT2778" t="s">
        <v>88</v>
      </c>
      <c r="AU2778" t="s">
        <v>273</v>
      </c>
      <c r="AV2778" s="14">
        <v>500</v>
      </c>
    </row>
    <row r="2779" spans="29:48">
      <c r="AC2779"/>
      <c r="AH2779" t="s">
        <v>1906</v>
      </c>
      <c r="AI2779" t="s">
        <v>68</v>
      </c>
      <c r="AJ2779" t="s">
        <v>66</v>
      </c>
      <c r="AK2779" s="3" t="s">
        <v>27</v>
      </c>
      <c r="AL2779" s="3">
        <v>-14409.5</v>
      </c>
      <c r="AS2779" t="s">
        <v>2151</v>
      </c>
      <c r="AT2779" t="s">
        <v>88</v>
      </c>
      <c r="AU2779" t="s">
        <v>109</v>
      </c>
      <c r="AV2779" s="14">
        <v>15434.9301</v>
      </c>
    </row>
    <row r="2780" spans="29:48">
      <c r="AC2780"/>
      <c r="AH2780" t="s">
        <v>1906</v>
      </c>
      <c r="AI2780" t="s">
        <v>68</v>
      </c>
      <c r="AJ2780" t="s">
        <v>72</v>
      </c>
      <c r="AK2780" s="3" t="s">
        <v>27</v>
      </c>
      <c r="AL2780" s="3">
        <v>-14917.5111</v>
      </c>
      <c r="AS2780" t="s">
        <v>2151</v>
      </c>
      <c r="AT2780" t="s">
        <v>88</v>
      </c>
      <c r="AU2780" t="s">
        <v>110</v>
      </c>
      <c r="AV2780" s="14">
        <v>1097.6106</v>
      </c>
    </row>
    <row r="2781" spans="29:48">
      <c r="AC2781"/>
      <c r="AH2781" t="s">
        <v>1906</v>
      </c>
      <c r="AI2781" t="s">
        <v>68</v>
      </c>
      <c r="AJ2781" t="s">
        <v>113</v>
      </c>
      <c r="AK2781" s="3" t="s">
        <v>27</v>
      </c>
      <c r="AL2781" s="3">
        <v>-984.02200055809999</v>
      </c>
      <c r="AS2781" t="s">
        <v>2151</v>
      </c>
      <c r="AT2781" t="s">
        <v>88</v>
      </c>
      <c r="AU2781" t="s">
        <v>111</v>
      </c>
      <c r="AV2781" s="14">
        <v>10000</v>
      </c>
    </row>
    <row r="2782" spans="29:48">
      <c r="AC2782"/>
      <c r="AH2782" t="s">
        <v>1906</v>
      </c>
      <c r="AI2782" t="s">
        <v>68</v>
      </c>
      <c r="AJ2782" t="s">
        <v>108</v>
      </c>
      <c r="AK2782" s="3" t="s">
        <v>27</v>
      </c>
      <c r="AL2782" s="3">
        <v>476.01090055809999</v>
      </c>
      <c r="AS2782" t="s">
        <v>2151</v>
      </c>
      <c r="AT2782" t="s">
        <v>88</v>
      </c>
      <c r="AU2782" t="s">
        <v>268</v>
      </c>
      <c r="AV2782" s="14">
        <v>5250</v>
      </c>
    </row>
    <row r="2783" spans="29:48">
      <c r="AC2783"/>
      <c r="AH2783" t="s">
        <v>1906</v>
      </c>
      <c r="AI2783" t="s">
        <v>68</v>
      </c>
      <c r="AJ2783" t="s">
        <v>98</v>
      </c>
      <c r="AK2783" s="3" t="s">
        <v>27</v>
      </c>
      <c r="AL2783" s="3">
        <v>476.01090055809999</v>
      </c>
      <c r="AS2783" t="s">
        <v>2151</v>
      </c>
      <c r="AT2783" t="s">
        <v>88</v>
      </c>
      <c r="AU2783" t="s">
        <v>269</v>
      </c>
      <c r="AV2783" s="14">
        <v>-200</v>
      </c>
    </row>
    <row r="2784" spans="29:48">
      <c r="AC2784"/>
      <c r="AH2784" t="s">
        <v>1906</v>
      </c>
      <c r="AI2784" t="s">
        <v>68</v>
      </c>
      <c r="AJ2784" t="s">
        <v>66</v>
      </c>
      <c r="AK2784" s="3" t="s">
        <v>114</v>
      </c>
      <c r="AL2784" s="3">
        <v>2517</v>
      </c>
      <c r="AS2784" t="s">
        <v>2151</v>
      </c>
      <c r="AT2784" t="s">
        <v>88</v>
      </c>
      <c r="AU2784" t="s">
        <v>270</v>
      </c>
      <c r="AV2784" s="14">
        <v>0</v>
      </c>
    </row>
    <row r="2785" spans="29:48">
      <c r="AC2785"/>
      <c r="AH2785" t="s">
        <v>1906</v>
      </c>
      <c r="AI2785" t="s">
        <v>68</v>
      </c>
      <c r="AJ2785" t="s">
        <v>98</v>
      </c>
      <c r="AK2785" s="3" t="s">
        <v>114</v>
      </c>
      <c r="AL2785" s="3">
        <v>-27.056283287700001</v>
      </c>
      <c r="AS2785" t="s">
        <v>2151</v>
      </c>
      <c r="AT2785" t="s">
        <v>88</v>
      </c>
      <c r="AU2785" t="s">
        <v>271</v>
      </c>
      <c r="AV2785" s="14">
        <v>-1100</v>
      </c>
    </row>
    <row r="2786" spans="29:48">
      <c r="AC2786"/>
      <c r="AH2786" t="s">
        <v>1906</v>
      </c>
      <c r="AI2786" t="s">
        <v>68</v>
      </c>
      <c r="AJ2786" t="s">
        <v>66</v>
      </c>
      <c r="AK2786" s="3" t="s">
        <v>115</v>
      </c>
      <c r="AL2786" s="3">
        <v>16926.5</v>
      </c>
      <c r="AS2786" t="s">
        <v>2151</v>
      </c>
      <c r="AT2786" t="s">
        <v>88</v>
      </c>
      <c r="AU2786" t="s">
        <v>272</v>
      </c>
      <c r="AV2786" s="14">
        <v>0</v>
      </c>
    </row>
    <row r="2787" spans="29:48">
      <c r="AC2787"/>
      <c r="AH2787" t="s">
        <v>1906</v>
      </c>
      <c r="AI2787" t="s">
        <v>68</v>
      </c>
      <c r="AJ2787" t="s">
        <v>98</v>
      </c>
      <c r="AK2787" s="3" t="s">
        <v>115</v>
      </c>
      <c r="AL2787" s="3">
        <v>-503.0671838458</v>
      </c>
      <c r="AS2787" t="s">
        <v>2151</v>
      </c>
      <c r="AT2787" t="s">
        <v>88</v>
      </c>
      <c r="AU2787" t="s">
        <v>273</v>
      </c>
      <c r="AV2787" s="14">
        <v>0</v>
      </c>
    </row>
    <row r="2788" spans="29:48">
      <c r="AC2788"/>
      <c r="AH2788" t="s">
        <v>1907</v>
      </c>
      <c r="AI2788" t="s">
        <v>65</v>
      </c>
      <c r="AJ2788" t="s">
        <v>66</v>
      </c>
      <c r="AK2788" s="3" t="s">
        <v>27</v>
      </c>
      <c r="AL2788" s="3">
        <v>34666.699999999997</v>
      </c>
      <c r="AS2788" t="s">
        <v>2152</v>
      </c>
      <c r="AT2788" t="s">
        <v>88</v>
      </c>
      <c r="AU2788" t="s">
        <v>109</v>
      </c>
      <c r="AV2788" s="14">
        <v>16234.4067</v>
      </c>
    </row>
    <row r="2789" spans="29:48">
      <c r="AC2789"/>
      <c r="AH2789" t="s">
        <v>1907</v>
      </c>
      <c r="AI2789" t="s">
        <v>65</v>
      </c>
      <c r="AJ2789" t="s">
        <v>72</v>
      </c>
      <c r="AK2789" s="3" t="s">
        <v>27</v>
      </c>
      <c r="AL2789" s="3">
        <v>35024.932835</v>
      </c>
      <c r="AS2789" t="s">
        <v>2152</v>
      </c>
      <c r="AT2789" t="s">
        <v>88</v>
      </c>
      <c r="AU2789" t="s">
        <v>110</v>
      </c>
      <c r="AV2789" s="14">
        <v>1097.6106</v>
      </c>
    </row>
    <row r="2790" spans="29:48">
      <c r="AC2790"/>
      <c r="AH2790" t="s">
        <v>1907</v>
      </c>
      <c r="AI2790" t="s">
        <v>65</v>
      </c>
      <c r="AJ2790" t="s">
        <v>113</v>
      </c>
      <c r="AK2790" s="3" t="s">
        <v>27</v>
      </c>
      <c r="AL2790" s="3">
        <v>1283.5814371725</v>
      </c>
      <c r="AS2790" t="s">
        <v>2152</v>
      </c>
      <c r="AT2790" t="s">
        <v>88</v>
      </c>
      <c r="AU2790" t="s">
        <v>111</v>
      </c>
      <c r="AV2790" s="14">
        <v>10000</v>
      </c>
    </row>
    <row r="2791" spans="29:48">
      <c r="AC2791"/>
      <c r="AH2791" t="s">
        <v>1907</v>
      </c>
      <c r="AI2791" t="s">
        <v>65</v>
      </c>
      <c r="AJ2791" t="s">
        <v>108</v>
      </c>
      <c r="AK2791" s="3" t="s">
        <v>27</v>
      </c>
      <c r="AL2791" s="3">
        <v>-925.34860217250002</v>
      </c>
      <c r="AS2791" t="s">
        <v>2152</v>
      </c>
      <c r="AT2791" t="s">
        <v>88</v>
      </c>
      <c r="AU2791" t="s">
        <v>268</v>
      </c>
      <c r="AV2791" s="14">
        <v>5250</v>
      </c>
    </row>
    <row r="2792" spans="29:48">
      <c r="AC2792"/>
      <c r="AH2792" t="s">
        <v>1907</v>
      </c>
      <c r="AI2792" t="s">
        <v>65</v>
      </c>
      <c r="AJ2792" t="s">
        <v>98</v>
      </c>
      <c r="AK2792" s="3" t="s">
        <v>27</v>
      </c>
      <c r="AL2792" s="3">
        <v>-925.34860217250002</v>
      </c>
      <c r="AS2792" t="s">
        <v>2152</v>
      </c>
      <c r="AT2792" t="s">
        <v>88</v>
      </c>
      <c r="AU2792" t="s">
        <v>269</v>
      </c>
      <c r="AV2792" s="14">
        <v>0</v>
      </c>
    </row>
    <row r="2793" spans="29:48">
      <c r="AC2793"/>
      <c r="AH2793" t="s">
        <v>1907</v>
      </c>
      <c r="AI2793" t="s">
        <v>67</v>
      </c>
      <c r="AJ2793" t="s">
        <v>66</v>
      </c>
      <c r="AK2793" s="3" t="s">
        <v>27</v>
      </c>
      <c r="AL2793" s="3">
        <v>-13773.2</v>
      </c>
      <c r="AS2793" t="s">
        <v>2152</v>
      </c>
      <c r="AT2793" t="s">
        <v>88</v>
      </c>
      <c r="AU2793" t="s">
        <v>270</v>
      </c>
      <c r="AV2793" s="14">
        <v>0</v>
      </c>
    </row>
    <row r="2794" spans="29:48">
      <c r="AC2794"/>
      <c r="AH2794" t="s">
        <v>1907</v>
      </c>
      <c r="AI2794" t="s">
        <v>67</v>
      </c>
      <c r="AJ2794" t="s">
        <v>72</v>
      </c>
      <c r="AK2794" s="3" t="s">
        <v>27</v>
      </c>
      <c r="AL2794" s="3">
        <v>-14149.780685</v>
      </c>
      <c r="AS2794" t="s">
        <v>2152</v>
      </c>
      <c r="AT2794" t="s">
        <v>88</v>
      </c>
      <c r="AU2794" t="s">
        <v>271</v>
      </c>
      <c r="AV2794" s="14">
        <v>-1099.4766</v>
      </c>
    </row>
    <row r="2795" spans="29:48">
      <c r="AC2795"/>
      <c r="AH2795" t="s">
        <v>1907</v>
      </c>
      <c r="AI2795" t="s">
        <v>67</v>
      </c>
      <c r="AJ2795" t="s">
        <v>113</v>
      </c>
      <c r="AK2795" s="3" t="s">
        <v>27</v>
      </c>
      <c r="AL2795" s="3">
        <v>-334.75261322099999</v>
      </c>
      <c r="AS2795" t="s">
        <v>2152</v>
      </c>
      <c r="AT2795" t="s">
        <v>88</v>
      </c>
      <c r="AU2795" t="s">
        <v>272</v>
      </c>
      <c r="AV2795" s="14">
        <v>-200</v>
      </c>
    </row>
    <row r="2796" spans="29:48">
      <c r="AC2796"/>
      <c r="AH2796" t="s">
        <v>1907</v>
      </c>
      <c r="AI2796" t="s">
        <v>67</v>
      </c>
      <c r="AJ2796" t="s">
        <v>108</v>
      </c>
      <c r="AK2796" s="3" t="s">
        <v>27</v>
      </c>
      <c r="AL2796" s="3">
        <v>-41.828071778999998</v>
      </c>
      <c r="AS2796" t="s">
        <v>2152</v>
      </c>
      <c r="AT2796" t="s">
        <v>88</v>
      </c>
      <c r="AU2796" t="s">
        <v>273</v>
      </c>
      <c r="AV2796" s="14">
        <v>0</v>
      </c>
    </row>
    <row r="2797" spans="29:48">
      <c r="AC2797"/>
      <c r="AH2797" t="s">
        <v>1907</v>
      </c>
      <c r="AI2797" t="s">
        <v>67</v>
      </c>
      <c r="AJ2797" t="s">
        <v>98</v>
      </c>
      <c r="AK2797" s="3" t="s">
        <v>27</v>
      </c>
      <c r="AL2797" s="3">
        <v>-41.828071778999998</v>
      </c>
      <c r="AS2797" t="s">
        <v>2153</v>
      </c>
      <c r="AT2797" t="s">
        <v>88</v>
      </c>
      <c r="AU2797" t="s">
        <v>109</v>
      </c>
      <c r="AV2797" s="14">
        <v>16034.4067</v>
      </c>
    </row>
    <row r="2798" spans="29:48">
      <c r="AC2798"/>
      <c r="AH2798" t="s">
        <v>1907</v>
      </c>
      <c r="AI2798" t="s">
        <v>67</v>
      </c>
      <c r="AJ2798" t="s">
        <v>66</v>
      </c>
      <c r="AK2798" s="3" t="s">
        <v>114</v>
      </c>
      <c r="AL2798" s="3">
        <v>395</v>
      </c>
      <c r="AS2798" t="s">
        <v>2153</v>
      </c>
      <c r="AT2798" t="s">
        <v>88</v>
      </c>
      <c r="AU2798" t="s">
        <v>110</v>
      </c>
      <c r="AV2798" s="14">
        <v>1097.6106</v>
      </c>
    </row>
    <row r="2799" spans="29:48">
      <c r="AC2799"/>
      <c r="AH2799" t="s">
        <v>1907</v>
      </c>
      <c r="AI2799" t="s">
        <v>67</v>
      </c>
      <c r="AJ2799" t="s">
        <v>98</v>
      </c>
      <c r="AK2799" s="3" t="s">
        <v>114</v>
      </c>
      <c r="AL2799" s="3">
        <v>-21.5075582192</v>
      </c>
      <c r="AS2799" t="s">
        <v>2153</v>
      </c>
      <c r="AT2799" t="s">
        <v>88</v>
      </c>
      <c r="AU2799" t="s">
        <v>111</v>
      </c>
      <c r="AV2799" s="14">
        <v>8000</v>
      </c>
    </row>
    <row r="2800" spans="29:48">
      <c r="AC2800"/>
      <c r="AH2800" t="s">
        <v>1907</v>
      </c>
      <c r="AI2800" t="s">
        <v>67</v>
      </c>
      <c r="AJ2800" t="s">
        <v>66</v>
      </c>
      <c r="AK2800" s="3" t="s">
        <v>115</v>
      </c>
      <c r="AL2800" s="3">
        <v>14168.2</v>
      </c>
      <c r="AS2800" t="s">
        <v>2153</v>
      </c>
      <c r="AT2800" t="s">
        <v>88</v>
      </c>
      <c r="AU2800" t="s">
        <v>268</v>
      </c>
      <c r="AV2800" s="14">
        <v>2200</v>
      </c>
    </row>
    <row r="2801" spans="29:48">
      <c r="AC2801"/>
      <c r="AH2801" t="s">
        <v>1907</v>
      </c>
      <c r="AI2801" t="s">
        <v>67</v>
      </c>
      <c r="AJ2801" t="s">
        <v>98</v>
      </c>
      <c r="AK2801" s="3" t="s">
        <v>115</v>
      </c>
      <c r="AL2801" s="3">
        <v>20.320513559799998</v>
      </c>
      <c r="AS2801" t="s">
        <v>2153</v>
      </c>
      <c r="AT2801" t="s">
        <v>88</v>
      </c>
      <c r="AU2801" t="s">
        <v>269</v>
      </c>
      <c r="AV2801" s="14">
        <v>0</v>
      </c>
    </row>
    <row r="2802" spans="29:48">
      <c r="AC2802"/>
      <c r="AH2802" t="s">
        <v>1907</v>
      </c>
      <c r="AI2802" t="s">
        <v>68</v>
      </c>
      <c r="AJ2802" t="s">
        <v>66</v>
      </c>
      <c r="AK2802" s="3" t="s">
        <v>27</v>
      </c>
      <c r="AL2802" s="3">
        <v>-14802.5</v>
      </c>
      <c r="AS2802" t="s">
        <v>2153</v>
      </c>
      <c r="AT2802" t="s">
        <v>88</v>
      </c>
      <c r="AU2802" t="s">
        <v>270</v>
      </c>
      <c r="AV2802" s="14">
        <v>0</v>
      </c>
    </row>
    <row r="2803" spans="29:48">
      <c r="AC2803"/>
      <c r="AH2803" t="s">
        <v>1907</v>
      </c>
      <c r="AI2803" t="s">
        <v>68</v>
      </c>
      <c r="AJ2803" t="s">
        <v>72</v>
      </c>
      <c r="AK2803" s="3" t="s">
        <v>27</v>
      </c>
      <c r="AL2803" s="3">
        <v>-15178.105299999999</v>
      </c>
      <c r="AS2803" t="s">
        <v>2153</v>
      </c>
      <c r="AT2803" t="s">
        <v>88</v>
      </c>
      <c r="AU2803" t="s">
        <v>271</v>
      </c>
      <c r="AV2803" s="14">
        <v>-1099.4766</v>
      </c>
    </row>
    <row r="2804" spans="29:48">
      <c r="AC2804"/>
      <c r="AH2804" t="s">
        <v>1907</v>
      </c>
      <c r="AI2804" t="s">
        <v>68</v>
      </c>
      <c r="AJ2804" t="s">
        <v>113</v>
      </c>
      <c r="AK2804" s="3" t="s">
        <v>27</v>
      </c>
      <c r="AL2804" s="3">
        <v>-877.61858230450002</v>
      </c>
      <c r="AS2804" t="s">
        <v>2153</v>
      </c>
      <c r="AT2804" t="s">
        <v>88</v>
      </c>
      <c r="AU2804" t="s">
        <v>272</v>
      </c>
      <c r="AV2804" s="14">
        <v>0</v>
      </c>
    </row>
    <row r="2805" spans="29:48">
      <c r="AC2805"/>
      <c r="AH2805" t="s">
        <v>1907</v>
      </c>
      <c r="AI2805" t="s">
        <v>68</v>
      </c>
      <c r="AJ2805" t="s">
        <v>108</v>
      </c>
      <c r="AK2805" s="3" t="s">
        <v>27</v>
      </c>
      <c r="AL2805" s="3">
        <v>502.01328230450002</v>
      </c>
      <c r="AS2805" t="s">
        <v>2153</v>
      </c>
      <c r="AT2805" t="s">
        <v>88</v>
      </c>
      <c r="AU2805" t="s">
        <v>273</v>
      </c>
      <c r="AV2805" s="14">
        <v>2000</v>
      </c>
    </row>
    <row r="2806" spans="29:48">
      <c r="AC2806"/>
      <c r="AH2806" t="s">
        <v>1907</v>
      </c>
      <c r="AI2806" t="s">
        <v>68</v>
      </c>
      <c r="AJ2806" t="s">
        <v>98</v>
      </c>
      <c r="AK2806" s="3" t="s">
        <v>27</v>
      </c>
      <c r="AL2806" s="3">
        <v>502.01328230450002</v>
      </c>
      <c r="AS2806" t="s">
        <v>2154</v>
      </c>
      <c r="AT2806" t="s">
        <v>88</v>
      </c>
      <c r="AU2806" t="s">
        <v>109</v>
      </c>
      <c r="AV2806" s="14">
        <v>16334.4067</v>
      </c>
    </row>
    <row r="2807" spans="29:48">
      <c r="AC2807"/>
      <c r="AH2807" t="s">
        <v>1907</v>
      </c>
      <c r="AI2807" t="s">
        <v>68</v>
      </c>
      <c r="AJ2807" t="s">
        <v>66</v>
      </c>
      <c r="AK2807" s="3" t="s">
        <v>114</v>
      </c>
      <c r="AL2807" s="3">
        <v>1332</v>
      </c>
      <c r="AS2807" t="s">
        <v>2154</v>
      </c>
      <c r="AT2807" t="s">
        <v>88</v>
      </c>
      <c r="AU2807" t="s">
        <v>110</v>
      </c>
      <c r="AV2807" s="14">
        <v>1097.6106</v>
      </c>
    </row>
    <row r="2808" spans="29:48">
      <c r="AC2808"/>
      <c r="AH2808" t="s">
        <v>1907</v>
      </c>
      <c r="AI2808" t="s">
        <v>68</v>
      </c>
      <c r="AJ2808" t="s">
        <v>98</v>
      </c>
      <c r="AK2808" s="3" t="s">
        <v>114</v>
      </c>
      <c r="AL2808" s="3">
        <v>-66.771622602700006</v>
      </c>
      <c r="AS2808" t="s">
        <v>2154</v>
      </c>
      <c r="AT2808" t="s">
        <v>88</v>
      </c>
      <c r="AU2808" t="s">
        <v>111</v>
      </c>
      <c r="AV2808" s="14">
        <v>8000</v>
      </c>
    </row>
    <row r="2809" spans="29:48">
      <c r="AC2809"/>
      <c r="AH2809" t="s">
        <v>1907</v>
      </c>
      <c r="AI2809" t="s">
        <v>68</v>
      </c>
      <c r="AJ2809" t="s">
        <v>66</v>
      </c>
      <c r="AK2809" s="3" t="s">
        <v>115</v>
      </c>
      <c r="AL2809" s="3">
        <v>16134.5</v>
      </c>
      <c r="AS2809" t="s">
        <v>2154</v>
      </c>
      <c r="AT2809" t="s">
        <v>88</v>
      </c>
      <c r="AU2809" t="s">
        <v>268</v>
      </c>
      <c r="AV2809" s="14">
        <v>3200</v>
      </c>
    </row>
    <row r="2810" spans="29:48">
      <c r="AC2810"/>
      <c r="AH2810" t="s">
        <v>1907</v>
      </c>
      <c r="AI2810" t="s">
        <v>68</v>
      </c>
      <c r="AJ2810" t="s">
        <v>98</v>
      </c>
      <c r="AK2810" s="3" t="s">
        <v>115</v>
      </c>
      <c r="AL2810" s="3">
        <v>-568.78490490720003</v>
      </c>
      <c r="AS2810" t="s">
        <v>2154</v>
      </c>
      <c r="AT2810" t="s">
        <v>88</v>
      </c>
      <c r="AU2810" t="s">
        <v>269</v>
      </c>
      <c r="AV2810" s="14">
        <v>0</v>
      </c>
    </row>
    <row r="2811" spans="29:48">
      <c r="AC2811"/>
      <c r="AH2811" t="s">
        <v>1908</v>
      </c>
      <c r="AI2811" t="s">
        <v>65</v>
      </c>
      <c r="AJ2811" t="s">
        <v>66</v>
      </c>
      <c r="AK2811" s="3" t="s">
        <v>27</v>
      </c>
      <c r="AL2811" s="3">
        <v>34295.699999999997</v>
      </c>
      <c r="AS2811" t="s">
        <v>2154</v>
      </c>
      <c r="AT2811" t="s">
        <v>88</v>
      </c>
      <c r="AU2811" t="s">
        <v>270</v>
      </c>
      <c r="AV2811" s="14">
        <v>0</v>
      </c>
    </row>
    <row r="2812" spans="29:48">
      <c r="AC2812"/>
      <c r="AH2812" t="s">
        <v>1908</v>
      </c>
      <c r="AI2812" t="s">
        <v>65</v>
      </c>
      <c r="AJ2812" t="s">
        <v>72</v>
      </c>
      <c r="AK2812" s="3" t="s">
        <v>27</v>
      </c>
      <c r="AL2812" s="3">
        <v>34592.076322000001</v>
      </c>
      <c r="AS2812" t="s">
        <v>2154</v>
      </c>
      <c r="AT2812" t="s">
        <v>88</v>
      </c>
      <c r="AU2812" t="s">
        <v>271</v>
      </c>
      <c r="AV2812" s="14">
        <v>-2300</v>
      </c>
    </row>
    <row r="2813" spans="29:48">
      <c r="AC2813"/>
      <c r="AH2813" t="s">
        <v>1908</v>
      </c>
      <c r="AI2813" t="s">
        <v>65</v>
      </c>
      <c r="AJ2813" t="s">
        <v>113</v>
      </c>
      <c r="AK2813" s="3" t="s">
        <v>27</v>
      </c>
      <c r="AL2813" s="3">
        <v>1192.1593739341999</v>
      </c>
      <c r="AS2813" t="s">
        <v>2154</v>
      </c>
      <c r="AT2813" t="s">
        <v>88</v>
      </c>
      <c r="AU2813" t="s">
        <v>272</v>
      </c>
      <c r="AV2813" s="14">
        <v>0</v>
      </c>
    </row>
    <row r="2814" spans="29:48">
      <c r="AC2814"/>
      <c r="AH2814" t="s">
        <v>1908</v>
      </c>
      <c r="AI2814" t="s">
        <v>65</v>
      </c>
      <c r="AJ2814" t="s">
        <v>108</v>
      </c>
      <c r="AK2814" s="3" t="s">
        <v>27</v>
      </c>
      <c r="AL2814" s="3">
        <v>-895.78305193419999</v>
      </c>
      <c r="AS2814" t="s">
        <v>2154</v>
      </c>
      <c r="AT2814" t="s">
        <v>88</v>
      </c>
      <c r="AU2814" t="s">
        <v>273</v>
      </c>
      <c r="AV2814" s="14">
        <v>2000</v>
      </c>
    </row>
    <row r="2815" spans="29:48">
      <c r="AC2815"/>
      <c r="AH2815" t="s">
        <v>1908</v>
      </c>
      <c r="AI2815" t="s">
        <v>65</v>
      </c>
      <c r="AJ2815" t="s">
        <v>98</v>
      </c>
      <c r="AK2815" s="3" t="s">
        <v>27</v>
      </c>
      <c r="AL2815" s="3">
        <v>-958.99241600000005</v>
      </c>
      <c r="AS2815" t="s">
        <v>2155</v>
      </c>
      <c r="AT2815" t="s">
        <v>88</v>
      </c>
      <c r="AU2815" t="s">
        <v>109</v>
      </c>
      <c r="AV2815" s="14">
        <v>16334.4067</v>
      </c>
    </row>
    <row r="2816" spans="29:48">
      <c r="AC2816"/>
      <c r="AH2816" t="s">
        <v>1908</v>
      </c>
      <c r="AI2816" t="s">
        <v>67</v>
      </c>
      <c r="AJ2816" t="s">
        <v>66</v>
      </c>
      <c r="AK2816" s="3" t="s">
        <v>27</v>
      </c>
      <c r="AL2816" s="3">
        <v>-13542.2</v>
      </c>
      <c r="AS2816" t="s">
        <v>2155</v>
      </c>
      <c r="AT2816" t="s">
        <v>88</v>
      </c>
      <c r="AU2816" t="s">
        <v>110</v>
      </c>
      <c r="AV2816" s="14">
        <v>1097.6106</v>
      </c>
    </row>
    <row r="2817" spans="29:48">
      <c r="AC2817"/>
      <c r="AH2817" t="s">
        <v>1908</v>
      </c>
      <c r="AI2817" t="s">
        <v>67</v>
      </c>
      <c r="AJ2817" t="s">
        <v>72</v>
      </c>
      <c r="AK2817" s="3" t="s">
        <v>27</v>
      </c>
      <c r="AL2817" s="3">
        <v>-13803.591211999999</v>
      </c>
      <c r="AS2817" t="s">
        <v>2155</v>
      </c>
      <c r="AT2817" t="s">
        <v>88</v>
      </c>
      <c r="AU2817" t="s">
        <v>111</v>
      </c>
      <c r="AV2817" s="14">
        <v>9000</v>
      </c>
    </row>
    <row r="2818" spans="29:48">
      <c r="AC2818"/>
      <c r="AH2818" t="s">
        <v>1908</v>
      </c>
      <c r="AI2818" t="s">
        <v>67</v>
      </c>
      <c r="AJ2818" t="s">
        <v>113</v>
      </c>
      <c r="AK2818" s="3" t="s">
        <v>27</v>
      </c>
      <c r="AL2818" s="3">
        <v>85.757139041100004</v>
      </c>
      <c r="AS2818" t="s">
        <v>2155</v>
      </c>
      <c r="AT2818" t="s">
        <v>88</v>
      </c>
      <c r="AU2818" t="s">
        <v>268</v>
      </c>
      <c r="AV2818" s="14">
        <v>2000</v>
      </c>
    </row>
    <row r="2819" spans="29:48">
      <c r="AC2819"/>
      <c r="AH2819" t="s">
        <v>1908</v>
      </c>
      <c r="AI2819" t="s">
        <v>67</v>
      </c>
      <c r="AJ2819" t="s">
        <v>108</v>
      </c>
      <c r="AK2819" s="3" t="s">
        <v>27</v>
      </c>
      <c r="AL2819" s="3">
        <v>-347.1483510411</v>
      </c>
      <c r="AS2819" t="s">
        <v>2155</v>
      </c>
      <c r="AT2819" t="s">
        <v>88</v>
      </c>
      <c r="AU2819" t="s">
        <v>269</v>
      </c>
      <c r="AV2819" s="14">
        <v>0</v>
      </c>
    </row>
    <row r="2820" spans="29:48">
      <c r="AC2820"/>
      <c r="AH2820" t="s">
        <v>1908</v>
      </c>
      <c r="AI2820" t="s">
        <v>67</v>
      </c>
      <c r="AJ2820" t="s">
        <v>98</v>
      </c>
      <c r="AK2820" s="3" t="s">
        <v>27</v>
      </c>
      <c r="AL2820" s="3">
        <v>-50.570574000000001</v>
      </c>
      <c r="AS2820" t="s">
        <v>2155</v>
      </c>
      <c r="AT2820" t="s">
        <v>88</v>
      </c>
      <c r="AU2820" t="s">
        <v>270</v>
      </c>
      <c r="AV2820" s="14">
        <v>0</v>
      </c>
    </row>
    <row r="2821" spans="29:48">
      <c r="AC2821"/>
      <c r="AH2821" t="s">
        <v>1908</v>
      </c>
      <c r="AI2821" t="s">
        <v>67</v>
      </c>
      <c r="AJ2821" t="s">
        <v>66</v>
      </c>
      <c r="AK2821" s="3" t="s">
        <v>114</v>
      </c>
      <c r="AL2821" s="3">
        <v>621</v>
      </c>
      <c r="AS2821" t="s">
        <v>2155</v>
      </c>
      <c r="AT2821" t="s">
        <v>88</v>
      </c>
      <c r="AU2821" t="s">
        <v>271</v>
      </c>
      <c r="AV2821" s="14">
        <v>-700</v>
      </c>
    </row>
    <row r="2822" spans="29:48">
      <c r="AC2822"/>
      <c r="AH2822" t="s">
        <v>1908</v>
      </c>
      <c r="AI2822" t="s">
        <v>67</v>
      </c>
      <c r="AJ2822" t="s">
        <v>98</v>
      </c>
      <c r="AK2822" s="3" t="s">
        <v>114</v>
      </c>
      <c r="AL2822" s="3">
        <v>-41.226199999999999</v>
      </c>
      <c r="AS2822" t="s">
        <v>2155</v>
      </c>
      <c r="AT2822" t="s">
        <v>88</v>
      </c>
      <c r="AU2822" t="s">
        <v>272</v>
      </c>
      <c r="AV2822" s="14">
        <v>0</v>
      </c>
    </row>
    <row r="2823" spans="29:48">
      <c r="AC2823"/>
      <c r="AH2823" t="s">
        <v>1908</v>
      </c>
      <c r="AI2823" t="s">
        <v>67</v>
      </c>
      <c r="AJ2823" t="s">
        <v>66</v>
      </c>
      <c r="AK2823" s="3" t="s">
        <v>115</v>
      </c>
      <c r="AL2823" s="3">
        <v>14163.2</v>
      </c>
      <c r="AS2823" t="s">
        <v>2155</v>
      </c>
      <c r="AT2823" t="s">
        <v>88</v>
      </c>
      <c r="AU2823" t="s">
        <v>273</v>
      </c>
      <c r="AV2823" s="14">
        <v>2000</v>
      </c>
    </row>
    <row r="2824" spans="29:48">
      <c r="AC2824"/>
      <c r="AH2824" t="s">
        <v>1908</v>
      </c>
      <c r="AI2824" t="s">
        <v>67</v>
      </c>
      <c r="AJ2824" t="s">
        <v>98</v>
      </c>
      <c r="AK2824" s="3" t="s">
        <v>115</v>
      </c>
      <c r="AL2824" s="3">
        <v>9.3443740000000002</v>
      </c>
      <c r="AS2824" t="s">
        <v>2156</v>
      </c>
      <c r="AT2824" t="s">
        <v>88</v>
      </c>
      <c r="AU2824" t="s">
        <v>109</v>
      </c>
      <c r="AV2824" s="14">
        <v>16334.4067</v>
      </c>
    </row>
    <row r="2825" spans="29:48">
      <c r="AC2825"/>
      <c r="AG2825" s="3"/>
      <c r="AH2825" t="s">
        <v>1908</v>
      </c>
      <c r="AI2825" t="s">
        <v>68</v>
      </c>
      <c r="AJ2825" t="s">
        <v>66</v>
      </c>
      <c r="AK2825" s="3" t="s">
        <v>27</v>
      </c>
      <c r="AL2825" s="3">
        <v>-14562.5</v>
      </c>
      <c r="AS2825" t="s">
        <v>2156</v>
      </c>
      <c r="AT2825" t="s">
        <v>88</v>
      </c>
      <c r="AU2825" t="s">
        <v>110</v>
      </c>
      <c r="AV2825" s="14">
        <v>1097.6106</v>
      </c>
    </row>
    <row r="2826" spans="29:48">
      <c r="AC2826"/>
      <c r="AG2826" s="3"/>
      <c r="AH2826" t="s">
        <v>1908</v>
      </c>
      <c r="AI2826" t="s">
        <v>68</v>
      </c>
      <c r="AJ2826" t="s">
        <v>72</v>
      </c>
      <c r="AK2826" s="3" t="s">
        <v>27</v>
      </c>
      <c r="AL2826" s="3">
        <v>-15000.231110000001</v>
      </c>
      <c r="AS2826" t="s">
        <v>2156</v>
      </c>
      <c r="AT2826" t="s">
        <v>88</v>
      </c>
      <c r="AU2826" t="s">
        <v>111</v>
      </c>
      <c r="AV2826" s="14">
        <v>9000</v>
      </c>
    </row>
    <row r="2827" spans="29:48">
      <c r="AC2827"/>
      <c r="AG2827" s="3"/>
      <c r="AH2827" t="s">
        <v>1908</v>
      </c>
      <c r="AI2827" t="s">
        <v>68</v>
      </c>
      <c r="AJ2827" t="s">
        <v>113</v>
      </c>
      <c r="AK2827" s="3" t="s">
        <v>27</v>
      </c>
      <c r="AL2827" s="3">
        <v>261.90806602740003</v>
      </c>
      <c r="AS2827" t="s">
        <v>2156</v>
      </c>
      <c r="AT2827" t="s">
        <v>88</v>
      </c>
      <c r="AU2827" t="s">
        <v>268</v>
      </c>
      <c r="AV2827" s="14">
        <v>2000</v>
      </c>
    </row>
    <row r="2828" spans="29:48">
      <c r="AC2828"/>
      <c r="AG2828" s="3"/>
      <c r="AH2828" t="s">
        <v>1908</v>
      </c>
      <c r="AI2828" t="s">
        <v>68</v>
      </c>
      <c r="AJ2828" t="s">
        <v>108</v>
      </c>
      <c r="AK2828" s="3" t="s">
        <v>27</v>
      </c>
      <c r="AL2828" s="3">
        <v>-437.73111</v>
      </c>
      <c r="AS2828" t="s">
        <v>2156</v>
      </c>
      <c r="AT2828" t="s">
        <v>88</v>
      </c>
      <c r="AU2828" t="s">
        <v>269</v>
      </c>
      <c r="AV2828" s="14">
        <v>0</v>
      </c>
    </row>
    <row r="2829" spans="29:48">
      <c r="AC2829"/>
      <c r="AG2829" s="3"/>
      <c r="AH2829" t="s">
        <v>1908</v>
      </c>
      <c r="AI2829" t="s">
        <v>68</v>
      </c>
      <c r="AJ2829" t="s">
        <v>98</v>
      </c>
      <c r="AK2829" s="3" t="s">
        <v>27</v>
      </c>
      <c r="AL2829" s="3">
        <v>515.06658000000004</v>
      </c>
      <c r="AS2829" t="s">
        <v>2156</v>
      </c>
      <c r="AT2829" t="s">
        <v>88</v>
      </c>
      <c r="AU2829" t="s">
        <v>270</v>
      </c>
      <c r="AV2829" s="14">
        <v>0</v>
      </c>
    </row>
    <row r="2830" spans="29:48">
      <c r="AC2830"/>
      <c r="AG2830" s="3"/>
      <c r="AH2830" t="s">
        <v>1908</v>
      </c>
      <c r="AI2830" t="s">
        <v>68</v>
      </c>
      <c r="AJ2830" t="s">
        <v>66</v>
      </c>
      <c r="AK2830" s="3" t="s">
        <v>114</v>
      </c>
      <c r="AL2830" s="3">
        <v>1129</v>
      </c>
      <c r="AS2830" t="s">
        <v>2156</v>
      </c>
      <c r="AT2830" t="s">
        <v>88</v>
      </c>
      <c r="AU2830" t="s">
        <v>271</v>
      </c>
      <c r="AV2830" s="14">
        <v>0</v>
      </c>
    </row>
    <row r="2831" spans="29:48">
      <c r="AC2831"/>
      <c r="AG2831" s="3"/>
      <c r="AH2831" t="s">
        <v>1908</v>
      </c>
      <c r="AI2831" t="s">
        <v>68</v>
      </c>
      <c r="AJ2831" t="s">
        <v>98</v>
      </c>
      <c r="AK2831" s="3" t="s">
        <v>114</v>
      </c>
      <c r="AL2831" s="3">
        <v>-56.087960000000002</v>
      </c>
      <c r="AS2831" t="s">
        <v>2156</v>
      </c>
      <c r="AT2831" t="s">
        <v>88</v>
      </c>
      <c r="AU2831" t="s">
        <v>272</v>
      </c>
      <c r="AV2831" s="14">
        <v>0</v>
      </c>
    </row>
    <row r="2832" spans="29:48">
      <c r="AC2832"/>
      <c r="AG2832" s="3"/>
      <c r="AH2832" t="s">
        <v>1908</v>
      </c>
      <c r="AI2832" t="s">
        <v>68</v>
      </c>
      <c r="AJ2832" t="s">
        <v>66</v>
      </c>
      <c r="AK2832" s="3" t="s">
        <v>115</v>
      </c>
      <c r="AL2832" s="3">
        <v>15691.5</v>
      </c>
      <c r="AS2832" t="s">
        <v>2156</v>
      </c>
      <c r="AT2832" t="s">
        <v>88</v>
      </c>
      <c r="AU2832" t="s">
        <v>273</v>
      </c>
      <c r="AV2832" s="14">
        <v>2000</v>
      </c>
    </row>
    <row r="2833" spans="29:48">
      <c r="AC2833"/>
      <c r="AG2833" s="3"/>
      <c r="AH2833" t="s">
        <v>1908</v>
      </c>
      <c r="AI2833" t="s">
        <v>68</v>
      </c>
      <c r="AJ2833" t="s">
        <v>98</v>
      </c>
      <c r="AK2833" s="3" t="s">
        <v>115</v>
      </c>
      <c r="AL2833" s="3">
        <v>-571.15454</v>
      </c>
      <c r="AS2833" t="s">
        <v>2157</v>
      </c>
      <c r="AT2833" t="s">
        <v>88</v>
      </c>
      <c r="AU2833" t="s">
        <v>109</v>
      </c>
      <c r="AV2833" s="14">
        <v>16924.4067</v>
      </c>
    </row>
    <row r="2834" spans="29:48">
      <c r="AC2834"/>
      <c r="AG2834" s="3"/>
      <c r="AH2834" t="s">
        <v>1909</v>
      </c>
      <c r="AI2834" t="s">
        <v>65</v>
      </c>
      <c r="AJ2834" t="s">
        <v>66</v>
      </c>
      <c r="AK2834" s="3" t="s">
        <v>27</v>
      </c>
      <c r="AL2834" s="3">
        <v>34616.699999999997</v>
      </c>
      <c r="AS2834" t="s">
        <v>2157</v>
      </c>
      <c r="AT2834" t="s">
        <v>88</v>
      </c>
      <c r="AU2834" t="s">
        <v>110</v>
      </c>
      <c r="AV2834" s="14">
        <v>1097.6106</v>
      </c>
    </row>
    <row r="2835" spans="29:48">
      <c r="AC2835"/>
      <c r="AG2835" s="3"/>
      <c r="AH2835" t="s">
        <v>1909</v>
      </c>
      <c r="AI2835" t="s">
        <v>65</v>
      </c>
      <c r="AJ2835" t="s">
        <v>72</v>
      </c>
      <c r="AK2835" s="3" t="s">
        <v>27</v>
      </c>
      <c r="AL2835" s="3">
        <v>34981.114320000001</v>
      </c>
      <c r="AS2835" t="s">
        <v>2157</v>
      </c>
      <c r="AT2835" t="s">
        <v>88</v>
      </c>
      <c r="AU2835" t="s">
        <v>111</v>
      </c>
      <c r="AV2835" s="14">
        <v>9000</v>
      </c>
    </row>
    <row r="2836" spans="29:48">
      <c r="AC2836"/>
      <c r="AG2836" s="3"/>
      <c r="AH2836" t="s">
        <v>1909</v>
      </c>
      <c r="AI2836" t="s">
        <v>65</v>
      </c>
      <c r="AJ2836" t="s">
        <v>113</v>
      </c>
      <c r="AK2836" s="3" t="s">
        <v>27</v>
      </c>
      <c r="AL2836" s="3">
        <v>1281.4747158816001</v>
      </c>
      <c r="AS2836" t="s">
        <v>2157</v>
      </c>
      <c r="AT2836" t="s">
        <v>88</v>
      </c>
      <c r="AU2836" t="s">
        <v>268</v>
      </c>
      <c r="AV2836" s="14">
        <v>2000</v>
      </c>
    </row>
    <row r="2837" spans="29:48">
      <c r="AC2837"/>
      <c r="AG2837" s="3"/>
      <c r="AH2837" t="s">
        <v>1909</v>
      </c>
      <c r="AI2837" t="s">
        <v>65</v>
      </c>
      <c r="AJ2837" t="s">
        <v>108</v>
      </c>
      <c r="AK2837" s="3" t="s">
        <v>27</v>
      </c>
      <c r="AL2837" s="3">
        <v>-917.06039588160002</v>
      </c>
      <c r="AS2837" t="s">
        <v>2157</v>
      </c>
      <c r="AT2837" t="s">
        <v>88</v>
      </c>
      <c r="AU2837" t="s">
        <v>269</v>
      </c>
      <c r="AV2837" s="14">
        <v>0</v>
      </c>
    </row>
    <row r="2838" spans="29:48">
      <c r="AC2838"/>
      <c r="AG2838" s="3"/>
      <c r="AH2838" t="s">
        <v>1909</v>
      </c>
      <c r="AI2838" t="s">
        <v>65</v>
      </c>
      <c r="AJ2838" t="s">
        <v>98</v>
      </c>
      <c r="AK2838" s="3" t="s">
        <v>27</v>
      </c>
      <c r="AL2838" s="3">
        <v>-979.69680800000003</v>
      </c>
      <c r="AS2838" t="s">
        <v>2157</v>
      </c>
      <c r="AT2838" t="s">
        <v>88</v>
      </c>
      <c r="AU2838" t="s">
        <v>270</v>
      </c>
      <c r="AV2838" s="14">
        <v>0</v>
      </c>
    </row>
    <row r="2839" spans="29:48">
      <c r="AC2839"/>
      <c r="AG2839" s="3"/>
      <c r="AH2839" t="s">
        <v>1909</v>
      </c>
      <c r="AI2839" t="s">
        <v>67</v>
      </c>
      <c r="AJ2839" t="s">
        <v>66</v>
      </c>
      <c r="AK2839" s="3" t="s">
        <v>27</v>
      </c>
      <c r="AL2839" s="3">
        <v>-14234.2</v>
      </c>
      <c r="AS2839" t="s">
        <v>2157</v>
      </c>
      <c r="AT2839" t="s">
        <v>88</v>
      </c>
      <c r="AU2839" t="s">
        <v>271</v>
      </c>
      <c r="AV2839" s="14">
        <v>-590</v>
      </c>
    </row>
    <row r="2840" spans="29:48">
      <c r="AC2840"/>
      <c r="AG2840" s="3"/>
      <c r="AH2840" t="s">
        <v>1909</v>
      </c>
      <c r="AI2840" t="s">
        <v>67</v>
      </c>
      <c r="AJ2840" t="s">
        <v>72</v>
      </c>
      <c r="AK2840" s="3" t="s">
        <v>27</v>
      </c>
      <c r="AL2840" s="3">
        <v>-14625.819035</v>
      </c>
      <c r="AS2840" t="s">
        <v>2157</v>
      </c>
      <c r="AT2840" t="s">
        <v>88</v>
      </c>
      <c r="AU2840" t="s">
        <v>272</v>
      </c>
      <c r="AV2840" s="14">
        <v>0</v>
      </c>
    </row>
    <row r="2841" spans="29:48">
      <c r="AC2841"/>
      <c r="AG2841" s="3"/>
      <c r="AH2841" t="s">
        <v>1909</v>
      </c>
      <c r="AI2841" t="s">
        <v>67</v>
      </c>
      <c r="AJ2841" t="s">
        <v>113</v>
      </c>
      <c r="AK2841" s="3" t="s">
        <v>27</v>
      </c>
      <c r="AL2841" s="3">
        <v>-10.0981643836</v>
      </c>
      <c r="AS2841" t="s">
        <v>2157</v>
      </c>
      <c r="AT2841" t="s">
        <v>88</v>
      </c>
      <c r="AU2841" t="s">
        <v>273</v>
      </c>
      <c r="AV2841" s="14">
        <v>2000</v>
      </c>
    </row>
    <row r="2842" spans="29:48">
      <c r="AC2842"/>
      <c r="AG2842" s="3"/>
      <c r="AH2842" t="s">
        <v>1909</v>
      </c>
      <c r="AI2842" t="s">
        <v>67</v>
      </c>
      <c r="AJ2842" t="s">
        <v>108</v>
      </c>
      <c r="AK2842" s="3" t="s">
        <v>27</v>
      </c>
      <c r="AL2842" s="3">
        <v>-381.52087061639998</v>
      </c>
      <c r="AS2842" t="s">
        <v>2158</v>
      </c>
      <c r="AT2842" t="s">
        <v>88</v>
      </c>
      <c r="AU2842" t="s">
        <v>271</v>
      </c>
      <c r="AV2842" s="14">
        <v>-2290</v>
      </c>
    </row>
    <row r="2843" spans="29:48">
      <c r="AC2843"/>
      <c r="AG2843" s="3"/>
      <c r="AH2843" t="s">
        <v>1909</v>
      </c>
      <c r="AI2843" t="s">
        <v>67</v>
      </c>
      <c r="AJ2843" t="s">
        <v>98</v>
      </c>
      <c r="AK2843" s="3" t="s">
        <v>27</v>
      </c>
      <c r="AL2843" s="3">
        <v>-2.2921269999999998</v>
      </c>
      <c r="AS2843" t="s">
        <v>2158</v>
      </c>
      <c r="AT2843" t="s">
        <v>88</v>
      </c>
      <c r="AU2843" t="s">
        <v>272</v>
      </c>
      <c r="AV2843" s="14">
        <v>0</v>
      </c>
    </row>
    <row r="2844" spans="29:48">
      <c r="AC2844"/>
      <c r="AG2844" s="3"/>
      <c r="AH2844" t="s">
        <v>1909</v>
      </c>
      <c r="AI2844" t="s">
        <v>67</v>
      </c>
      <c r="AJ2844" t="s">
        <v>66</v>
      </c>
      <c r="AK2844" s="3" t="s">
        <v>114</v>
      </c>
      <c r="AL2844" s="3">
        <v>300</v>
      </c>
      <c r="AS2844" t="s">
        <v>2158</v>
      </c>
      <c r="AT2844" t="s">
        <v>88</v>
      </c>
      <c r="AU2844" t="s">
        <v>273</v>
      </c>
      <c r="AV2844" s="14">
        <v>0</v>
      </c>
    </row>
    <row r="2845" spans="29:48">
      <c r="AC2845"/>
      <c r="AG2845" s="3"/>
      <c r="AH2845" t="s">
        <v>1909</v>
      </c>
      <c r="AI2845" t="s">
        <v>67</v>
      </c>
      <c r="AJ2845" t="s">
        <v>98</v>
      </c>
      <c r="AK2845" s="3" t="s">
        <v>114</v>
      </c>
      <c r="AL2845" s="3">
        <v>-15.525</v>
      </c>
      <c r="AS2845" t="s">
        <v>2158</v>
      </c>
      <c r="AT2845" t="s">
        <v>88</v>
      </c>
      <c r="AU2845" t="s">
        <v>109</v>
      </c>
      <c r="AV2845" s="14">
        <v>18424.4067</v>
      </c>
    </row>
    <row r="2846" spans="29:48">
      <c r="AC2846"/>
      <c r="AG2846" s="3"/>
      <c r="AH2846" t="s">
        <v>1909</v>
      </c>
      <c r="AI2846" t="s">
        <v>67</v>
      </c>
      <c r="AJ2846" t="s">
        <v>66</v>
      </c>
      <c r="AK2846" s="3" t="s">
        <v>115</v>
      </c>
      <c r="AL2846" s="3">
        <v>14534.2</v>
      </c>
      <c r="AS2846" t="s">
        <v>2158</v>
      </c>
      <c r="AT2846" t="s">
        <v>88</v>
      </c>
      <c r="AU2846" t="s">
        <v>110</v>
      </c>
      <c r="AV2846" s="14">
        <v>1097.6106</v>
      </c>
    </row>
    <row r="2847" spans="29:48">
      <c r="AC2847"/>
      <c r="AG2847" s="3"/>
      <c r="AH2847" t="s">
        <v>1909</v>
      </c>
      <c r="AI2847" t="s">
        <v>67</v>
      </c>
      <c r="AJ2847" t="s">
        <v>98</v>
      </c>
      <c r="AK2847" s="3" t="s">
        <v>115</v>
      </c>
      <c r="AL2847" s="3">
        <v>-13.232873</v>
      </c>
      <c r="AS2847" t="s">
        <v>2158</v>
      </c>
      <c r="AT2847" t="s">
        <v>88</v>
      </c>
      <c r="AU2847" t="s">
        <v>111</v>
      </c>
      <c r="AV2847" s="14">
        <v>9000</v>
      </c>
    </row>
    <row r="2848" spans="29:48">
      <c r="AC2848"/>
      <c r="AG2848" s="3"/>
      <c r="AH2848" t="s">
        <v>1909</v>
      </c>
      <c r="AI2848" t="s">
        <v>68</v>
      </c>
      <c r="AJ2848" t="s">
        <v>66</v>
      </c>
      <c r="AK2848" s="3" t="s">
        <v>27</v>
      </c>
      <c r="AL2848" s="3">
        <v>-14191.5</v>
      </c>
      <c r="AS2848" t="s">
        <v>2158</v>
      </c>
      <c r="AT2848" t="s">
        <v>88</v>
      </c>
      <c r="AU2848" t="s">
        <v>268</v>
      </c>
      <c r="AV2848" s="14">
        <v>2200</v>
      </c>
    </row>
    <row r="2849" spans="29:48">
      <c r="AC2849"/>
      <c r="AG2849" s="3"/>
      <c r="AH2849" t="s">
        <v>1909</v>
      </c>
      <c r="AI2849" t="s">
        <v>68</v>
      </c>
      <c r="AJ2849" t="s">
        <v>72</v>
      </c>
      <c r="AK2849" s="3" t="s">
        <v>27</v>
      </c>
      <c r="AL2849" s="3">
        <v>-14566.210985</v>
      </c>
      <c r="AS2849" t="s">
        <v>2158</v>
      </c>
      <c r="AT2849" t="s">
        <v>88</v>
      </c>
      <c r="AU2849" t="s">
        <v>269</v>
      </c>
      <c r="AV2849" s="14">
        <v>0</v>
      </c>
    </row>
    <row r="2850" spans="29:48">
      <c r="AC2850"/>
      <c r="AG2850" s="3"/>
      <c r="AH2850" t="s">
        <v>1909</v>
      </c>
      <c r="AI2850" t="s">
        <v>68</v>
      </c>
      <c r="AJ2850" t="s">
        <v>113</v>
      </c>
      <c r="AK2850" s="3" t="s">
        <v>27</v>
      </c>
      <c r="AL2850" s="3">
        <v>349.85352013699998</v>
      </c>
      <c r="AS2850" t="s">
        <v>2158</v>
      </c>
      <c r="AT2850" t="s">
        <v>88</v>
      </c>
      <c r="AU2850" t="s">
        <v>270</v>
      </c>
      <c r="AV2850" s="14">
        <v>0</v>
      </c>
    </row>
    <row r="2851" spans="29:48">
      <c r="AC2851"/>
      <c r="AG2851" s="3"/>
      <c r="AH2851" t="s">
        <v>1909</v>
      </c>
      <c r="AI2851" t="s">
        <v>68</v>
      </c>
      <c r="AJ2851" t="s">
        <v>108</v>
      </c>
      <c r="AK2851" s="3" t="s">
        <v>27</v>
      </c>
      <c r="AL2851" s="3">
        <v>-374.71098499999999</v>
      </c>
      <c r="AS2851" t="s">
        <v>2159</v>
      </c>
      <c r="AT2851" t="s">
        <v>88</v>
      </c>
      <c r="AU2851" t="s">
        <v>109</v>
      </c>
      <c r="AV2851" s="14">
        <v>18994.4067</v>
      </c>
    </row>
    <row r="2852" spans="29:48">
      <c r="AC2852"/>
      <c r="AG2852" s="3"/>
      <c r="AH2852" t="s">
        <v>1909</v>
      </c>
      <c r="AI2852" t="s">
        <v>68</v>
      </c>
      <c r="AJ2852" t="s">
        <v>98</v>
      </c>
      <c r="AK2852" s="3" t="s">
        <v>27</v>
      </c>
      <c r="AL2852" s="3">
        <v>488.32282500000002</v>
      </c>
      <c r="AS2852" t="s">
        <v>2159</v>
      </c>
      <c r="AT2852" t="s">
        <v>88</v>
      </c>
      <c r="AU2852" t="s">
        <v>110</v>
      </c>
      <c r="AV2852" s="14">
        <v>1097.6106</v>
      </c>
    </row>
    <row r="2853" spans="29:48">
      <c r="AC2853"/>
      <c r="AG2853" s="3"/>
      <c r="AH2853" t="s">
        <v>1909</v>
      </c>
      <c r="AI2853" t="s">
        <v>68</v>
      </c>
      <c r="AJ2853" t="s">
        <v>66</v>
      </c>
      <c r="AK2853" s="3" t="s">
        <v>114</v>
      </c>
      <c r="AL2853" s="3">
        <v>1680</v>
      </c>
      <c r="AS2853" t="s">
        <v>2159</v>
      </c>
      <c r="AT2853" t="s">
        <v>88</v>
      </c>
      <c r="AU2853" t="s">
        <v>111</v>
      </c>
      <c r="AV2853" s="14">
        <v>9000</v>
      </c>
    </row>
    <row r="2854" spans="29:48">
      <c r="AC2854"/>
      <c r="AG2854" s="3"/>
      <c r="AH2854" t="s">
        <v>1909</v>
      </c>
      <c r="AI2854" t="s">
        <v>68</v>
      </c>
      <c r="AJ2854" t="s">
        <v>98</v>
      </c>
      <c r="AK2854" s="3" t="s">
        <v>114</v>
      </c>
      <c r="AL2854" s="3">
        <v>-96.670109999999994</v>
      </c>
      <c r="AS2854" t="s">
        <v>2159</v>
      </c>
      <c r="AT2854" t="s">
        <v>88</v>
      </c>
      <c r="AU2854" t="s">
        <v>268</v>
      </c>
      <c r="AV2854" s="14">
        <v>1200</v>
      </c>
    </row>
    <row r="2855" spans="29:48">
      <c r="AC2855"/>
      <c r="AG2855" s="3"/>
      <c r="AH2855" t="s">
        <v>1909</v>
      </c>
      <c r="AI2855" t="s">
        <v>68</v>
      </c>
      <c r="AJ2855" t="s">
        <v>66</v>
      </c>
      <c r="AK2855" s="3" t="s">
        <v>115</v>
      </c>
      <c r="AL2855" s="3">
        <v>15871.5</v>
      </c>
      <c r="AS2855" t="s">
        <v>2159</v>
      </c>
      <c r="AT2855" t="s">
        <v>88</v>
      </c>
      <c r="AU2855" t="s">
        <v>269</v>
      </c>
      <c r="AV2855" s="14">
        <v>0</v>
      </c>
    </row>
    <row r="2856" spans="29:48">
      <c r="AC2856"/>
      <c r="AG2856" s="3"/>
      <c r="AH2856" t="s">
        <v>1909</v>
      </c>
      <c r="AI2856" t="s">
        <v>68</v>
      </c>
      <c r="AJ2856" t="s">
        <v>98</v>
      </c>
      <c r="AK2856" s="3" t="s">
        <v>115</v>
      </c>
      <c r="AL2856" s="3">
        <v>-584.99293499999999</v>
      </c>
      <c r="AS2856" t="s">
        <v>2159</v>
      </c>
      <c r="AT2856" t="s">
        <v>88</v>
      </c>
      <c r="AU2856" t="s">
        <v>270</v>
      </c>
      <c r="AV2856" s="14">
        <v>0</v>
      </c>
    </row>
    <row r="2857" spans="29:48">
      <c r="AC2857"/>
      <c r="AG2857" s="3"/>
      <c r="AH2857" t="s">
        <v>1910</v>
      </c>
      <c r="AI2857" t="s">
        <v>65</v>
      </c>
      <c r="AJ2857" t="s">
        <v>72</v>
      </c>
      <c r="AK2857" s="3" t="s">
        <v>27</v>
      </c>
      <c r="AL2857" s="3">
        <v>36202.072874999998</v>
      </c>
      <c r="AS2857" t="s">
        <v>2159</v>
      </c>
      <c r="AT2857" t="s">
        <v>88</v>
      </c>
      <c r="AU2857" t="s">
        <v>271</v>
      </c>
      <c r="AV2857" s="14">
        <v>-2700</v>
      </c>
    </row>
    <row r="2858" spans="29:48">
      <c r="AC2858"/>
      <c r="AG2858" s="3"/>
      <c r="AH2858" t="s">
        <v>1910</v>
      </c>
      <c r="AI2858" t="s">
        <v>65</v>
      </c>
      <c r="AJ2858" t="s">
        <v>113</v>
      </c>
      <c r="AK2858" s="3" t="s">
        <v>27</v>
      </c>
      <c r="AL2858" s="3">
        <v>1427.9247615201</v>
      </c>
      <c r="AS2858" t="s">
        <v>2159</v>
      </c>
      <c r="AT2858" t="s">
        <v>88</v>
      </c>
      <c r="AU2858" t="s">
        <v>272</v>
      </c>
      <c r="AV2858" s="14">
        <v>0</v>
      </c>
    </row>
    <row r="2859" spans="29:48">
      <c r="AC2859"/>
      <c r="AG2859" s="3"/>
      <c r="AH2859" t="s">
        <v>1910</v>
      </c>
      <c r="AI2859" t="s">
        <v>65</v>
      </c>
      <c r="AJ2859" t="s">
        <v>108</v>
      </c>
      <c r="AK2859" s="3" t="s">
        <v>27</v>
      </c>
      <c r="AL2859" s="3">
        <v>-965.55188652009997</v>
      </c>
      <c r="AS2859" t="s">
        <v>2159</v>
      </c>
      <c r="AT2859" t="s">
        <v>88</v>
      </c>
      <c r="AU2859" t="s">
        <v>273</v>
      </c>
      <c r="AV2859" s="14">
        <v>0</v>
      </c>
    </row>
    <row r="2860" spans="29:48">
      <c r="AC2860"/>
      <c r="AG2860" s="3"/>
      <c r="AH2860" t="s">
        <v>1910</v>
      </c>
      <c r="AI2860" t="s">
        <v>65</v>
      </c>
      <c r="AJ2860" t="s">
        <v>98</v>
      </c>
      <c r="AK2860" s="3" t="s">
        <v>27</v>
      </c>
      <c r="AL2860" s="3">
        <v>-1030.5666329999999</v>
      </c>
      <c r="AS2860" t="s">
        <v>2160</v>
      </c>
      <c r="AT2860" t="s">
        <v>88</v>
      </c>
      <c r="AU2860" t="s">
        <v>109</v>
      </c>
      <c r="AV2860" s="14">
        <v>17494.4067</v>
      </c>
    </row>
    <row r="2861" spans="29:48">
      <c r="AC2861"/>
      <c r="AG2861" s="3"/>
      <c r="AH2861" t="s">
        <v>1910</v>
      </c>
      <c r="AI2861" t="s">
        <v>67</v>
      </c>
      <c r="AJ2861" t="s">
        <v>66</v>
      </c>
      <c r="AK2861" s="3" t="s">
        <v>27</v>
      </c>
      <c r="AL2861" s="3">
        <v>-15036.2</v>
      </c>
      <c r="AS2861" t="s">
        <v>2160</v>
      </c>
      <c r="AT2861" t="s">
        <v>88</v>
      </c>
      <c r="AU2861" t="s">
        <v>110</v>
      </c>
      <c r="AV2861" s="14">
        <v>1097.6106</v>
      </c>
    </row>
    <row r="2862" spans="29:48">
      <c r="AC2862"/>
      <c r="AG2862" s="3"/>
      <c r="AH2862" t="s">
        <v>1910</v>
      </c>
      <c r="AI2862" t="s">
        <v>67</v>
      </c>
      <c r="AJ2862" t="s">
        <v>72</v>
      </c>
      <c r="AK2862" s="3" t="s">
        <v>27</v>
      </c>
      <c r="AL2862" s="3">
        <v>-15460.186814999999</v>
      </c>
      <c r="AS2862" t="s">
        <v>2160</v>
      </c>
      <c r="AT2862" t="s">
        <v>88</v>
      </c>
      <c r="AU2862" t="s">
        <v>111</v>
      </c>
      <c r="AV2862" s="14">
        <v>9000</v>
      </c>
    </row>
    <row r="2863" spans="29:48">
      <c r="AC2863"/>
      <c r="AG2863" s="3"/>
      <c r="AH2863" t="s">
        <v>1910</v>
      </c>
      <c r="AI2863" t="s">
        <v>67</v>
      </c>
      <c r="AJ2863" t="s">
        <v>113</v>
      </c>
      <c r="AK2863" s="3" t="s">
        <v>27</v>
      </c>
      <c r="AL2863" s="3">
        <v>0</v>
      </c>
      <c r="AS2863" t="s">
        <v>2160</v>
      </c>
      <c r="AT2863" t="s">
        <v>88</v>
      </c>
      <c r="AU2863" t="s">
        <v>268</v>
      </c>
      <c r="AV2863" s="14">
        <v>2700</v>
      </c>
    </row>
    <row r="2864" spans="29:48">
      <c r="AC2864"/>
      <c r="AG2864" s="3"/>
      <c r="AH2864" t="s">
        <v>1910</v>
      </c>
      <c r="AI2864" t="s">
        <v>67</v>
      </c>
      <c r="AJ2864" t="s">
        <v>108</v>
      </c>
      <c r="AK2864" s="3" t="s">
        <v>27</v>
      </c>
      <c r="AL2864" s="3">
        <v>-423.98681499999998</v>
      </c>
      <c r="AS2864" t="s">
        <v>2160</v>
      </c>
      <c r="AT2864" t="s">
        <v>88</v>
      </c>
      <c r="AU2864" t="s">
        <v>269</v>
      </c>
      <c r="AV2864" s="14">
        <v>0</v>
      </c>
    </row>
    <row r="2865" spans="29:48">
      <c r="AC2865"/>
      <c r="AG2865" s="3"/>
      <c r="AH2865" t="s">
        <v>1910</v>
      </c>
      <c r="AI2865" t="s">
        <v>67</v>
      </c>
      <c r="AJ2865" t="s">
        <v>98</v>
      </c>
      <c r="AK2865" s="3" t="s">
        <v>27</v>
      </c>
      <c r="AL2865" s="3">
        <v>25.426082999999998</v>
      </c>
      <c r="AS2865" t="s">
        <v>2160</v>
      </c>
      <c r="AT2865" t="s">
        <v>88</v>
      </c>
      <c r="AU2865" t="s">
        <v>270</v>
      </c>
      <c r="AV2865" s="14">
        <v>0</v>
      </c>
    </row>
    <row r="2866" spans="29:48">
      <c r="AC2866"/>
      <c r="AG2866" s="3"/>
      <c r="AH2866" t="s">
        <v>1910</v>
      </c>
      <c r="AI2866" t="s">
        <v>67</v>
      </c>
      <c r="AJ2866" t="s">
        <v>66</v>
      </c>
      <c r="AK2866" s="3" t="s">
        <v>114</v>
      </c>
      <c r="AL2866" s="3">
        <v>0</v>
      </c>
      <c r="AS2866" t="s">
        <v>2160</v>
      </c>
      <c r="AT2866" t="s">
        <v>88</v>
      </c>
      <c r="AU2866" t="s">
        <v>271</v>
      </c>
      <c r="AV2866" s="14">
        <v>0</v>
      </c>
    </row>
    <row r="2867" spans="29:48">
      <c r="AC2867"/>
      <c r="AG2867" s="3"/>
      <c r="AH2867" t="s">
        <v>1910</v>
      </c>
      <c r="AI2867" t="s">
        <v>67</v>
      </c>
      <c r="AJ2867" t="s">
        <v>98</v>
      </c>
      <c r="AK2867" s="3" t="s">
        <v>114</v>
      </c>
      <c r="AL2867" s="3">
        <v>0</v>
      </c>
      <c r="AS2867" t="s">
        <v>2160</v>
      </c>
      <c r="AT2867" t="s">
        <v>88</v>
      </c>
      <c r="AU2867" t="s">
        <v>272</v>
      </c>
      <c r="AV2867" s="14">
        <v>0</v>
      </c>
    </row>
    <row r="2868" spans="29:48">
      <c r="AC2868"/>
      <c r="AG2868" s="3"/>
      <c r="AH2868" t="s">
        <v>1910</v>
      </c>
      <c r="AI2868" t="s">
        <v>67</v>
      </c>
      <c r="AJ2868" t="s">
        <v>66</v>
      </c>
      <c r="AK2868" s="3" t="s">
        <v>115</v>
      </c>
      <c r="AL2868" s="3">
        <v>15036.2</v>
      </c>
      <c r="AS2868" t="s">
        <v>2160</v>
      </c>
      <c r="AT2868" t="s">
        <v>88</v>
      </c>
      <c r="AU2868" t="s">
        <v>273</v>
      </c>
      <c r="AV2868" s="14">
        <v>0</v>
      </c>
    </row>
    <row r="2869" spans="29:48">
      <c r="AC2869"/>
      <c r="AG2869" s="3"/>
      <c r="AH2869" t="s">
        <v>1910</v>
      </c>
      <c r="AI2869" t="s">
        <v>67</v>
      </c>
      <c r="AJ2869" t="s">
        <v>98</v>
      </c>
      <c r="AK2869" s="3" t="s">
        <v>115</v>
      </c>
      <c r="AL2869" s="3">
        <v>-25.426082999999998</v>
      </c>
      <c r="AS2869" t="s">
        <v>2161</v>
      </c>
      <c r="AT2869" t="s">
        <v>88</v>
      </c>
      <c r="AU2869" t="s">
        <v>109</v>
      </c>
      <c r="AV2869" s="14">
        <v>16594.4067</v>
      </c>
    </row>
    <row r="2870" spans="29:48">
      <c r="AC2870"/>
      <c r="AG2870" s="3"/>
      <c r="AH2870" t="s">
        <v>1910</v>
      </c>
      <c r="AI2870" t="s">
        <v>68</v>
      </c>
      <c r="AJ2870" t="s">
        <v>66</v>
      </c>
      <c r="AK2870" s="3" t="s">
        <v>27</v>
      </c>
      <c r="AL2870" s="3">
        <v>-14512.5</v>
      </c>
      <c r="AS2870" t="s">
        <v>2161</v>
      </c>
      <c r="AT2870" t="s">
        <v>88</v>
      </c>
      <c r="AU2870" t="s">
        <v>110</v>
      </c>
      <c r="AV2870" s="14">
        <v>1297.6106</v>
      </c>
    </row>
    <row r="2871" spans="29:48">
      <c r="AC2871"/>
      <c r="AG2871" s="3"/>
      <c r="AH2871" t="s">
        <v>1910</v>
      </c>
      <c r="AI2871" t="s">
        <v>68</v>
      </c>
      <c r="AJ2871" t="s">
        <v>72</v>
      </c>
      <c r="AK2871" s="3" t="s">
        <v>27</v>
      </c>
      <c r="AL2871" s="3">
        <v>-14952.82343</v>
      </c>
      <c r="AS2871" t="s">
        <v>2161</v>
      </c>
      <c r="AT2871" t="s">
        <v>88</v>
      </c>
      <c r="AU2871" t="s">
        <v>111</v>
      </c>
      <c r="AV2871" s="14">
        <v>9000</v>
      </c>
    </row>
    <row r="2872" spans="29:48">
      <c r="AC2872"/>
      <c r="AG2872" s="3"/>
      <c r="AH2872" t="s">
        <v>1910</v>
      </c>
      <c r="AI2872" t="s">
        <v>68</v>
      </c>
      <c r="AJ2872" t="s">
        <v>113</v>
      </c>
      <c r="AK2872" s="3" t="s">
        <v>27</v>
      </c>
      <c r="AL2872" s="3">
        <v>353.57598589039998</v>
      </c>
      <c r="AS2872" t="s">
        <v>2161</v>
      </c>
      <c r="AT2872" t="s">
        <v>88</v>
      </c>
      <c r="AU2872" t="s">
        <v>268</v>
      </c>
      <c r="AV2872" s="14">
        <v>2700</v>
      </c>
    </row>
    <row r="2873" spans="29:48">
      <c r="AC2873"/>
      <c r="AG2873" s="3"/>
      <c r="AH2873" t="s">
        <v>1910</v>
      </c>
      <c r="AI2873" t="s">
        <v>68</v>
      </c>
      <c r="AJ2873" t="s">
        <v>108</v>
      </c>
      <c r="AK2873" s="3" t="s">
        <v>27</v>
      </c>
      <c r="AL2873" s="3">
        <v>-440.32342999999997</v>
      </c>
      <c r="AS2873" t="s">
        <v>2161</v>
      </c>
      <c r="AT2873" t="s">
        <v>88</v>
      </c>
      <c r="AU2873" t="s">
        <v>269</v>
      </c>
      <c r="AV2873" s="14">
        <v>-200</v>
      </c>
    </row>
    <row r="2874" spans="29:48">
      <c r="AC2874"/>
      <c r="AG2874" s="3"/>
      <c r="AH2874" t="s">
        <v>1910</v>
      </c>
      <c r="AI2874" t="s">
        <v>68</v>
      </c>
      <c r="AJ2874" t="s">
        <v>98</v>
      </c>
      <c r="AK2874" s="3" t="s">
        <v>27</v>
      </c>
      <c r="AL2874" s="3">
        <v>511.40877</v>
      </c>
      <c r="AS2874" t="s">
        <v>2161</v>
      </c>
      <c r="AT2874" t="s">
        <v>88</v>
      </c>
      <c r="AU2874" t="s">
        <v>270</v>
      </c>
      <c r="AV2874" s="14">
        <v>0</v>
      </c>
    </row>
    <row r="2875" spans="29:48">
      <c r="AC2875"/>
      <c r="AG2875" s="3"/>
      <c r="AH2875" t="s">
        <v>1910</v>
      </c>
      <c r="AI2875" t="s">
        <v>68</v>
      </c>
      <c r="AJ2875" t="s">
        <v>66</v>
      </c>
      <c r="AK2875" s="3" t="s">
        <v>114</v>
      </c>
      <c r="AL2875" s="3">
        <v>1580</v>
      </c>
      <c r="AS2875" t="s">
        <v>2161</v>
      </c>
      <c r="AT2875" t="s">
        <v>88</v>
      </c>
      <c r="AU2875" t="s">
        <v>271</v>
      </c>
      <c r="AV2875" s="14">
        <v>0</v>
      </c>
    </row>
    <row r="2876" spans="29:48">
      <c r="AC2876"/>
      <c r="AG2876" s="3"/>
      <c r="AH2876" t="s">
        <v>1910</v>
      </c>
      <c r="AI2876" t="s">
        <v>68</v>
      </c>
      <c r="AJ2876" t="s">
        <v>98</v>
      </c>
      <c r="AK2876" s="3" t="s">
        <v>114</v>
      </c>
      <c r="AL2876" s="3">
        <v>-90.863519999999994</v>
      </c>
      <c r="AS2876" t="s">
        <v>2161</v>
      </c>
      <c r="AT2876" t="s">
        <v>88</v>
      </c>
      <c r="AU2876" t="s">
        <v>272</v>
      </c>
      <c r="AV2876" s="14">
        <v>0</v>
      </c>
    </row>
    <row r="2877" spans="29:48">
      <c r="AC2877"/>
      <c r="AG2877" s="3"/>
      <c r="AH2877" t="s">
        <v>1910</v>
      </c>
      <c r="AI2877" t="s">
        <v>68</v>
      </c>
      <c r="AJ2877" t="s">
        <v>66</v>
      </c>
      <c r="AK2877" s="3" t="s">
        <v>115</v>
      </c>
      <c r="AL2877" s="3">
        <v>16092.5</v>
      </c>
      <c r="AS2877" t="s">
        <v>2161</v>
      </c>
      <c r="AT2877" t="s">
        <v>88</v>
      </c>
      <c r="AU2877" t="s">
        <v>273</v>
      </c>
      <c r="AV2877" s="14">
        <v>0</v>
      </c>
    </row>
    <row r="2878" spans="29:48">
      <c r="AC2878"/>
      <c r="AG2878" s="3"/>
      <c r="AH2878" t="s">
        <v>1910</v>
      </c>
      <c r="AI2878" t="s">
        <v>68</v>
      </c>
      <c r="AJ2878" t="s">
        <v>98</v>
      </c>
      <c r="AK2878" s="3" t="s">
        <v>115</v>
      </c>
      <c r="AL2878" s="3">
        <v>-602.27229</v>
      </c>
      <c r="AS2878" t="s">
        <v>2162</v>
      </c>
      <c r="AT2878" t="s">
        <v>88</v>
      </c>
      <c r="AU2878" t="s">
        <v>109</v>
      </c>
      <c r="AV2878" s="14">
        <v>15794.4067</v>
      </c>
    </row>
    <row r="2879" spans="29:48">
      <c r="AC2879"/>
      <c r="AG2879" s="3"/>
      <c r="AH2879" t="s">
        <v>1910</v>
      </c>
      <c r="AI2879" t="s">
        <v>65</v>
      </c>
      <c r="AJ2879" t="s">
        <v>66</v>
      </c>
      <c r="AK2879" s="3" t="s">
        <v>27</v>
      </c>
      <c r="AL2879" s="3">
        <v>35739.699999999997</v>
      </c>
      <c r="AS2879" t="s">
        <v>2162</v>
      </c>
      <c r="AT2879" t="s">
        <v>88</v>
      </c>
      <c r="AU2879" t="s">
        <v>110</v>
      </c>
      <c r="AV2879" s="14">
        <v>1397.6106</v>
      </c>
    </row>
    <row r="2880" spans="29:48">
      <c r="AC2880"/>
      <c r="AG2880" s="3"/>
      <c r="AH2880" t="s">
        <v>1911</v>
      </c>
      <c r="AI2880" t="s">
        <v>65</v>
      </c>
      <c r="AJ2880" t="s">
        <v>66</v>
      </c>
      <c r="AK2880" s="3" t="s">
        <v>27</v>
      </c>
      <c r="AL2880" s="3">
        <v>35870.699999999997</v>
      </c>
      <c r="AS2880" t="s">
        <v>2162</v>
      </c>
      <c r="AT2880" t="s">
        <v>88</v>
      </c>
      <c r="AU2880" t="s">
        <v>111</v>
      </c>
      <c r="AV2880" s="14">
        <v>9000</v>
      </c>
    </row>
    <row r="2881" spans="29:48">
      <c r="AC2881"/>
      <c r="AG2881" s="3"/>
      <c r="AH2881" t="s">
        <v>1911</v>
      </c>
      <c r="AI2881" t="s">
        <v>65</v>
      </c>
      <c r="AJ2881" t="s">
        <v>72</v>
      </c>
      <c r="AK2881" s="3" t="s">
        <v>27</v>
      </c>
      <c r="AL2881" s="3">
        <v>36326.179141000001</v>
      </c>
      <c r="AS2881" t="s">
        <v>2162</v>
      </c>
      <c r="AT2881" t="s">
        <v>88</v>
      </c>
      <c r="AU2881" t="s">
        <v>268</v>
      </c>
      <c r="AV2881" s="14">
        <v>2200</v>
      </c>
    </row>
    <row r="2882" spans="29:48">
      <c r="AC2882"/>
      <c r="AG2882" s="3"/>
      <c r="AH2882" t="s">
        <v>1911</v>
      </c>
      <c r="AI2882" t="s">
        <v>65</v>
      </c>
      <c r="AJ2882" t="s">
        <v>113</v>
      </c>
      <c r="AK2882" s="3" t="s">
        <v>27</v>
      </c>
      <c r="AL2882" s="3">
        <v>1445.8471633178001</v>
      </c>
      <c r="AS2882" t="s">
        <v>2162</v>
      </c>
      <c r="AT2882" t="s">
        <v>88</v>
      </c>
      <c r="AU2882" t="s">
        <v>269</v>
      </c>
      <c r="AV2882" s="14">
        <v>-100</v>
      </c>
    </row>
    <row r="2883" spans="29:48">
      <c r="AC2883"/>
      <c r="AG2883" s="3"/>
      <c r="AH2883" t="s">
        <v>1911</v>
      </c>
      <c r="AI2883" t="s">
        <v>65</v>
      </c>
      <c r="AJ2883" t="s">
        <v>108</v>
      </c>
      <c r="AK2883" s="3" t="s">
        <v>27</v>
      </c>
      <c r="AL2883" s="3">
        <v>-990.36802231779996</v>
      </c>
      <c r="AS2883" t="s">
        <v>2162</v>
      </c>
      <c r="AT2883" t="s">
        <v>88</v>
      </c>
      <c r="AU2883" t="s">
        <v>270</v>
      </c>
      <c r="AV2883" s="14">
        <v>0</v>
      </c>
    </row>
    <row r="2884" spans="29:48">
      <c r="AC2884"/>
      <c r="AG2884" s="3"/>
      <c r="AH2884" t="s">
        <v>1911</v>
      </c>
      <c r="AI2884" t="s">
        <v>65</v>
      </c>
      <c r="AJ2884" t="s">
        <v>98</v>
      </c>
      <c r="AK2884" s="3" t="s">
        <v>27</v>
      </c>
      <c r="AL2884" s="3">
        <v>-1053.711697</v>
      </c>
      <c r="AS2884" t="s">
        <v>2162</v>
      </c>
      <c r="AT2884" t="s">
        <v>88</v>
      </c>
      <c r="AU2884" t="s">
        <v>271</v>
      </c>
      <c r="AV2884" s="14">
        <v>0</v>
      </c>
    </row>
    <row r="2885" spans="29:48">
      <c r="AC2885"/>
      <c r="AG2885" s="3"/>
      <c r="AH2885" t="s">
        <v>1911</v>
      </c>
      <c r="AI2885" t="s">
        <v>67</v>
      </c>
      <c r="AJ2885" t="s">
        <v>66</v>
      </c>
      <c r="AK2885" s="3" t="s">
        <v>27</v>
      </c>
      <c r="AL2885" s="3">
        <v>-14244.2</v>
      </c>
      <c r="AS2885" t="s">
        <v>2162</v>
      </c>
      <c r="AT2885" t="s">
        <v>88</v>
      </c>
      <c r="AU2885" t="s">
        <v>272</v>
      </c>
      <c r="AV2885" s="14">
        <v>-395</v>
      </c>
    </row>
    <row r="2886" spans="29:48">
      <c r="AC2886"/>
      <c r="AG2886" s="3"/>
      <c r="AH2886" t="s">
        <v>1911</v>
      </c>
      <c r="AI2886" t="s">
        <v>67</v>
      </c>
      <c r="AJ2886" t="s">
        <v>72</v>
      </c>
      <c r="AK2886" s="3" t="s">
        <v>27</v>
      </c>
      <c r="AL2886" s="3">
        <v>-14534.306916</v>
      </c>
      <c r="AS2886" t="s">
        <v>2162</v>
      </c>
      <c r="AT2886" t="s">
        <v>88</v>
      </c>
      <c r="AU2886" t="s">
        <v>273</v>
      </c>
      <c r="AV2886" s="14">
        <v>0</v>
      </c>
    </row>
    <row r="2887" spans="29:48">
      <c r="AC2887"/>
      <c r="AG2887" s="3"/>
      <c r="AH2887" t="s">
        <v>1911</v>
      </c>
      <c r="AI2887" t="s">
        <v>67</v>
      </c>
      <c r="AJ2887" t="s">
        <v>113</v>
      </c>
      <c r="AK2887" s="3" t="s">
        <v>27</v>
      </c>
      <c r="AL2887" s="3">
        <v>-30.361232876700001</v>
      </c>
      <c r="AS2887" t="s">
        <v>2163</v>
      </c>
      <c r="AT2887" t="s">
        <v>88</v>
      </c>
      <c r="AU2887" t="s">
        <v>109</v>
      </c>
      <c r="AV2887" s="14">
        <v>16794.4067</v>
      </c>
    </row>
    <row r="2888" spans="29:48">
      <c r="AC2888"/>
      <c r="AG2888" s="3"/>
      <c r="AH2888" t="s">
        <v>1911</v>
      </c>
      <c r="AI2888" t="s">
        <v>67</v>
      </c>
      <c r="AJ2888" t="s">
        <v>108</v>
      </c>
      <c r="AK2888" s="3" t="s">
        <v>27</v>
      </c>
      <c r="AL2888" s="3">
        <v>-259.74568312330001</v>
      </c>
      <c r="AS2888" t="s">
        <v>2163</v>
      </c>
      <c r="AT2888" t="s">
        <v>88</v>
      </c>
      <c r="AU2888" t="s">
        <v>110</v>
      </c>
      <c r="AV2888" s="14">
        <v>1397.6106</v>
      </c>
    </row>
    <row r="2889" spans="29:48">
      <c r="AC2889"/>
      <c r="AG2889" s="3"/>
      <c r="AH2889" t="s">
        <v>1911</v>
      </c>
      <c r="AI2889" t="s">
        <v>67</v>
      </c>
      <c r="AJ2889" t="s">
        <v>98</v>
      </c>
      <c r="AK2889" s="3" t="s">
        <v>27</v>
      </c>
      <c r="AL2889" s="3">
        <v>-0.99706799999999995</v>
      </c>
      <c r="AS2889" t="s">
        <v>2163</v>
      </c>
      <c r="AT2889" t="s">
        <v>88</v>
      </c>
      <c r="AU2889" t="s">
        <v>111</v>
      </c>
      <c r="AV2889" s="14">
        <v>9000</v>
      </c>
    </row>
    <row r="2890" spans="29:48">
      <c r="AC2890"/>
      <c r="AG2890" s="3"/>
      <c r="AH2890" t="s">
        <v>1911</v>
      </c>
      <c r="AI2890" t="s">
        <v>67</v>
      </c>
      <c r="AJ2890" t="s">
        <v>66</v>
      </c>
      <c r="AK2890" s="3" t="s">
        <v>114</v>
      </c>
      <c r="AL2890" s="3">
        <v>500</v>
      </c>
      <c r="AS2890" t="s">
        <v>2163</v>
      </c>
      <c r="AT2890" t="s">
        <v>88</v>
      </c>
      <c r="AU2890" t="s">
        <v>268</v>
      </c>
      <c r="AV2890" s="14">
        <v>1700</v>
      </c>
    </row>
    <row r="2891" spans="29:48">
      <c r="AC2891"/>
      <c r="AG2891" s="3"/>
      <c r="AH2891" t="s">
        <v>1911</v>
      </c>
      <c r="AI2891" t="s">
        <v>67</v>
      </c>
      <c r="AJ2891" t="s">
        <v>98</v>
      </c>
      <c r="AK2891" s="3" t="s">
        <v>114</v>
      </c>
      <c r="AL2891" s="3">
        <v>-15.728</v>
      </c>
      <c r="AS2891" t="s">
        <v>2163</v>
      </c>
      <c r="AT2891" t="s">
        <v>88</v>
      </c>
      <c r="AU2891" t="s">
        <v>269</v>
      </c>
      <c r="AV2891" s="14">
        <v>0</v>
      </c>
    </row>
    <row r="2892" spans="29:48">
      <c r="AC2892"/>
      <c r="AG2892" s="3"/>
      <c r="AH2892" t="s">
        <v>1911</v>
      </c>
      <c r="AI2892" t="s">
        <v>67</v>
      </c>
      <c r="AJ2892" t="s">
        <v>66</v>
      </c>
      <c r="AK2892" s="3" t="s">
        <v>115</v>
      </c>
      <c r="AL2892" s="3">
        <v>14744.2</v>
      </c>
      <c r="AS2892" t="s">
        <v>2163</v>
      </c>
      <c r="AT2892" t="s">
        <v>88</v>
      </c>
      <c r="AU2892" t="s">
        <v>270</v>
      </c>
      <c r="AV2892" s="14">
        <v>0</v>
      </c>
    </row>
    <row r="2893" spans="29:48">
      <c r="AC2893"/>
      <c r="AG2893" s="3"/>
      <c r="AH2893" t="s">
        <v>1911</v>
      </c>
      <c r="AI2893" t="s">
        <v>67</v>
      </c>
      <c r="AJ2893" t="s">
        <v>98</v>
      </c>
      <c r="AK2893" s="3" t="s">
        <v>115</v>
      </c>
      <c r="AL2893" s="3">
        <v>-14.730931999999999</v>
      </c>
      <c r="AS2893" t="s">
        <v>2163</v>
      </c>
      <c r="AT2893" t="s">
        <v>88</v>
      </c>
      <c r="AU2893" t="s">
        <v>271</v>
      </c>
      <c r="AV2893" s="14">
        <v>0</v>
      </c>
    </row>
    <row r="2894" spans="29:48">
      <c r="AC2894"/>
      <c r="AG2894" s="3"/>
      <c r="AH2894" t="s">
        <v>1911</v>
      </c>
      <c r="AI2894" t="s">
        <v>68</v>
      </c>
      <c r="AJ2894" t="s">
        <v>66</v>
      </c>
      <c r="AK2894" s="3" t="s">
        <v>27</v>
      </c>
      <c r="AL2894" s="3">
        <v>-15435.5</v>
      </c>
      <c r="AS2894" t="s">
        <v>2163</v>
      </c>
      <c r="AT2894" t="s">
        <v>88</v>
      </c>
      <c r="AU2894" t="s">
        <v>272</v>
      </c>
      <c r="AV2894" s="14">
        <v>0</v>
      </c>
    </row>
    <row r="2895" spans="29:48">
      <c r="AC2895"/>
      <c r="AG2895" s="3"/>
      <c r="AH2895" t="s">
        <v>1911</v>
      </c>
      <c r="AI2895" t="s">
        <v>68</v>
      </c>
      <c r="AJ2895" t="s">
        <v>72</v>
      </c>
      <c r="AK2895" s="3" t="s">
        <v>27</v>
      </c>
      <c r="AL2895" s="3">
        <v>-16001.782515000001</v>
      </c>
      <c r="AS2895" t="s">
        <v>2163</v>
      </c>
      <c r="AT2895" t="s">
        <v>88</v>
      </c>
      <c r="AU2895" t="s">
        <v>273</v>
      </c>
      <c r="AV2895" s="14">
        <v>0</v>
      </c>
    </row>
    <row r="2896" spans="29:48">
      <c r="AC2896"/>
      <c r="AG2896" s="3"/>
      <c r="AH2896" t="s">
        <v>1911</v>
      </c>
      <c r="AI2896" t="s">
        <v>68</v>
      </c>
      <c r="AJ2896" t="s">
        <v>113</v>
      </c>
      <c r="AK2896" s="3" t="s">
        <v>27</v>
      </c>
      <c r="AL2896" s="3">
        <v>563.43212164379997</v>
      </c>
      <c r="AS2896" t="s">
        <v>2164</v>
      </c>
      <c r="AT2896" t="s">
        <v>88</v>
      </c>
      <c r="AU2896" t="s">
        <v>109</v>
      </c>
      <c r="AV2896" s="14">
        <v>16984.4067</v>
      </c>
    </row>
    <row r="2897" spans="29:48">
      <c r="AC2897"/>
      <c r="AG2897" s="3"/>
      <c r="AH2897" t="s">
        <v>1911</v>
      </c>
      <c r="AI2897" t="s">
        <v>68</v>
      </c>
      <c r="AJ2897" t="s">
        <v>108</v>
      </c>
      <c r="AK2897" s="3" t="s">
        <v>27</v>
      </c>
      <c r="AL2897" s="3">
        <v>-566.28251499999999</v>
      </c>
      <c r="AS2897" t="s">
        <v>2164</v>
      </c>
      <c r="AT2897" t="s">
        <v>88</v>
      </c>
      <c r="AU2897" t="s">
        <v>110</v>
      </c>
      <c r="AV2897" s="14">
        <v>1397.6106</v>
      </c>
    </row>
    <row r="2898" spans="29:48">
      <c r="AC2898"/>
      <c r="AG2898" s="3"/>
      <c r="AH2898" t="s">
        <v>1911</v>
      </c>
      <c r="AI2898" t="s">
        <v>68</v>
      </c>
      <c r="AJ2898" t="s">
        <v>98</v>
      </c>
      <c r="AK2898" s="3" t="s">
        <v>27</v>
      </c>
      <c r="AL2898" s="3">
        <v>562.00406499999997</v>
      </c>
      <c r="AS2898" t="s">
        <v>2164</v>
      </c>
      <c r="AT2898" t="s">
        <v>88</v>
      </c>
      <c r="AU2898" t="s">
        <v>111</v>
      </c>
      <c r="AV2898" s="14">
        <v>9000</v>
      </c>
    </row>
    <row r="2899" spans="29:48">
      <c r="AC2899"/>
      <c r="AG2899" s="3"/>
      <c r="AH2899" t="s">
        <v>1911</v>
      </c>
      <c r="AI2899" t="s">
        <v>68</v>
      </c>
      <c r="AJ2899" t="s">
        <v>66</v>
      </c>
      <c r="AK2899" s="3" t="s">
        <v>114</v>
      </c>
      <c r="AL2899" s="3">
        <v>1476</v>
      </c>
      <c r="AS2899" t="s">
        <v>2164</v>
      </c>
      <c r="AT2899" t="s">
        <v>88</v>
      </c>
      <c r="AU2899" t="s">
        <v>268</v>
      </c>
      <c r="AV2899" s="14">
        <v>2650</v>
      </c>
    </row>
    <row r="2900" spans="29:48">
      <c r="AC2900"/>
      <c r="AG2900" s="3"/>
      <c r="AH2900" t="s">
        <v>1911</v>
      </c>
      <c r="AI2900" t="s">
        <v>68</v>
      </c>
      <c r="AJ2900" t="s">
        <v>98</v>
      </c>
      <c r="AK2900" s="3" t="s">
        <v>114</v>
      </c>
      <c r="AL2900" s="3">
        <v>7.5928899999999997</v>
      </c>
      <c r="AS2900" t="s">
        <v>2164</v>
      </c>
      <c r="AT2900" t="s">
        <v>88</v>
      </c>
      <c r="AU2900" t="s">
        <v>269</v>
      </c>
      <c r="AV2900" s="14">
        <v>0</v>
      </c>
    </row>
    <row r="2901" spans="29:48">
      <c r="AC2901"/>
      <c r="AG2901" s="3"/>
      <c r="AH2901" t="s">
        <v>1911</v>
      </c>
      <c r="AI2901" t="s">
        <v>68</v>
      </c>
      <c r="AJ2901" t="s">
        <v>66</v>
      </c>
      <c r="AK2901" s="3" t="s">
        <v>115</v>
      </c>
      <c r="AL2901" s="3">
        <v>16911.5</v>
      </c>
      <c r="AS2901" t="s">
        <v>2164</v>
      </c>
      <c r="AT2901" t="s">
        <v>88</v>
      </c>
      <c r="AU2901" t="s">
        <v>270</v>
      </c>
      <c r="AV2901" s="14">
        <v>0</v>
      </c>
    </row>
    <row r="2902" spans="29:48">
      <c r="AC2902"/>
      <c r="AG2902" s="3"/>
      <c r="AH2902" t="s">
        <v>1911</v>
      </c>
      <c r="AI2902" t="s">
        <v>68</v>
      </c>
      <c r="AJ2902" t="s">
        <v>98</v>
      </c>
      <c r="AK2902" s="3" t="s">
        <v>115</v>
      </c>
      <c r="AL2902" s="3">
        <v>-554.41117499999996</v>
      </c>
      <c r="AS2902" t="s">
        <v>2164</v>
      </c>
      <c r="AT2902" t="s">
        <v>88</v>
      </c>
      <c r="AU2902" t="s">
        <v>271</v>
      </c>
      <c r="AV2902" s="14">
        <v>0</v>
      </c>
    </row>
    <row r="2903" spans="29:48">
      <c r="AC2903"/>
      <c r="AG2903" s="3"/>
      <c r="AH2903" t="s">
        <v>1912</v>
      </c>
      <c r="AI2903" t="s">
        <v>65</v>
      </c>
      <c r="AJ2903" t="s">
        <v>66</v>
      </c>
      <c r="AK2903" s="3" t="s">
        <v>27</v>
      </c>
      <c r="AL2903" s="3">
        <v>35270.699999999997</v>
      </c>
      <c r="AS2903" t="s">
        <v>2164</v>
      </c>
      <c r="AT2903" t="s">
        <v>88</v>
      </c>
      <c r="AU2903" t="s">
        <v>272</v>
      </c>
      <c r="AV2903" s="14">
        <v>0</v>
      </c>
    </row>
    <row r="2904" spans="29:48">
      <c r="AC2904"/>
      <c r="AG2904" s="3"/>
      <c r="AH2904" t="s">
        <v>1912</v>
      </c>
      <c r="AI2904" t="s">
        <v>65</v>
      </c>
      <c r="AJ2904" t="s">
        <v>72</v>
      </c>
      <c r="AK2904" s="3" t="s">
        <v>27</v>
      </c>
      <c r="AL2904" s="3">
        <v>35800.396875999999</v>
      </c>
      <c r="AS2904" t="s">
        <v>2164</v>
      </c>
      <c r="AT2904" t="s">
        <v>88</v>
      </c>
      <c r="AU2904" t="s">
        <v>273</v>
      </c>
      <c r="AV2904" s="14">
        <v>0</v>
      </c>
    </row>
    <row r="2905" spans="29:48">
      <c r="AC2905"/>
      <c r="AG2905" s="3"/>
      <c r="AH2905" t="s">
        <v>1912</v>
      </c>
      <c r="AI2905" t="s">
        <v>65</v>
      </c>
      <c r="AJ2905" t="s">
        <v>113</v>
      </c>
      <c r="AK2905" s="3" t="s">
        <v>27</v>
      </c>
      <c r="AL2905" s="3">
        <v>1466.1486548889</v>
      </c>
      <c r="AS2905" t="s">
        <v>2165</v>
      </c>
      <c r="AT2905" t="s">
        <v>88</v>
      </c>
      <c r="AU2905" t="s">
        <v>109</v>
      </c>
      <c r="AV2905" s="14">
        <v>16984.4067</v>
      </c>
    </row>
    <row r="2906" spans="29:48">
      <c r="AC2906"/>
      <c r="AG2906" s="3"/>
      <c r="AH2906" t="s">
        <v>1912</v>
      </c>
      <c r="AI2906" t="s">
        <v>65</v>
      </c>
      <c r="AJ2906" t="s">
        <v>108</v>
      </c>
      <c r="AK2906" s="3" t="s">
        <v>27</v>
      </c>
      <c r="AL2906" s="3">
        <v>-936.45177888889998</v>
      </c>
      <c r="AS2906" t="s">
        <v>2165</v>
      </c>
      <c r="AT2906" t="s">
        <v>88</v>
      </c>
      <c r="AU2906" t="s">
        <v>110</v>
      </c>
      <c r="AV2906" s="14">
        <v>1397.6106</v>
      </c>
    </row>
    <row r="2907" spans="29:48">
      <c r="AC2907"/>
      <c r="AG2907" s="3"/>
      <c r="AH2907" t="s">
        <v>1912</v>
      </c>
      <c r="AI2907" t="s">
        <v>65</v>
      </c>
      <c r="AJ2907" t="s">
        <v>98</v>
      </c>
      <c r="AK2907" s="3" t="s">
        <v>27</v>
      </c>
      <c r="AL2907" s="3">
        <v>-999.22396200000003</v>
      </c>
      <c r="AS2907" t="s">
        <v>2165</v>
      </c>
      <c r="AT2907" t="s">
        <v>88</v>
      </c>
      <c r="AU2907" t="s">
        <v>111</v>
      </c>
      <c r="AV2907" s="14">
        <v>9000</v>
      </c>
    </row>
    <row r="2908" spans="29:48">
      <c r="AC2908"/>
      <c r="AG2908" s="3"/>
      <c r="AH2908" t="s">
        <v>1912</v>
      </c>
      <c r="AI2908" t="s">
        <v>67</v>
      </c>
      <c r="AJ2908" t="s">
        <v>66</v>
      </c>
      <c r="AK2908" s="3" t="s">
        <v>27</v>
      </c>
      <c r="AL2908" s="3">
        <v>-13313.2</v>
      </c>
      <c r="AS2908" t="s">
        <v>2165</v>
      </c>
      <c r="AT2908" t="s">
        <v>88</v>
      </c>
      <c r="AU2908" t="s">
        <v>268</v>
      </c>
      <c r="AV2908" s="14">
        <v>2650</v>
      </c>
    </row>
    <row r="2909" spans="29:48">
      <c r="AC2909"/>
      <c r="AG2909" s="3"/>
      <c r="AH2909" t="s">
        <v>1912</v>
      </c>
      <c r="AI2909" t="s">
        <v>67</v>
      </c>
      <c r="AJ2909" t="s">
        <v>72</v>
      </c>
      <c r="AK2909" s="3" t="s">
        <v>27</v>
      </c>
      <c r="AL2909" s="3">
        <v>-13713.248116000001</v>
      </c>
      <c r="AS2909" t="s">
        <v>2165</v>
      </c>
      <c r="AT2909" t="s">
        <v>88</v>
      </c>
      <c r="AU2909" t="s">
        <v>269</v>
      </c>
      <c r="AV2909" s="14">
        <v>0</v>
      </c>
    </row>
    <row r="2910" spans="29:48">
      <c r="AC2910"/>
      <c r="AG2910" s="3"/>
      <c r="AH2910" t="s">
        <v>1912</v>
      </c>
      <c r="AI2910" t="s">
        <v>67</v>
      </c>
      <c r="AJ2910" t="s">
        <v>113</v>
      </c>
      <c r="AK2910" s="3" t="s">
        <v>27</v>
      </c>
      <c r="AL2910" s="3">
        <v>-45.117095890400002</v>
      </c>
      <c r="AS2910" t="s">
        <v>2165</v>
      </c>
      <c r="AT2910" t="s">
        <v>88</v>
      </c>
      <c r="AU2910" t="s">
        <v>270</v>
      </c>
      <c r="AV2910" s="14">
        <v>0</v>
      </c>
    </row>
    <row r="2911" spans="29:48">
      <c r="AC2911"/>
      <c r="AG2911" s="3"/>
      <c r="AH2911" t="s">
        <v>1912</v>
      </c>
      <c r="AI2911" t="s">
        <v>67</v>
      </c>
      <c r="AJ2911" t="s">
        <v>108</v>
      </c>
      <c r="AK2911" s="3" t="s">
        <v>27</v>
      </c>
      <c r="AL2911" s="3">
        <v>-354.93102010960001</v>
      </c>
      <c r="AS2911" t="s">
        <v>2165</v>
      </c>
      <c r="AT2911" t="s">
        <v>88</v>
      </c>
      <c r="AU2911" t="s">
        <v>271</v>
      </c>
      <c r="AV2911" s="14">
        <v>0</v>
      </c>
    </row>
    <row r="2912" spans="29:48">
      <c r="AC2912"/>
      <c r="AG2912" s="3"/>
      <c r="AH2912" t="s">
        <v>1912</v>
      </c>
      <c r="AI2912" t="s">
        <v>67</v>
      </c>
      <c r="AJ2912" t="s">
        <v>98</v>
      </c>
      <c r="AK2912" s="3" t="s">
        <v>27</v>
      </c>
      <c r="AL2912" s="3">
        <v>-82.072597999999999</v>
      </c>
      <c r="AS2912" t="s">
        <v>2165</v>
      </c>
      <c r="AT2912" t="s">
        <v>88</v>
      </c>
      <c r="AU2912" t="s">
        <v>272</v>
      </c>
      <c r="AV2912" s="14">
        <v>0</v>
      </c>
    </row>
    <row r="2913" spans="29:48">
      <c r="AC2913"/>
      <c r="AG2913" s="3"/>
      <c r="AH2913" t="s">
        <v>1912</v>
      </c>
      <c r="AI2913" t="s">
        <v>67</v>
      </c>
      <c r="AJ2913" t="s">
        <v>66</v>
      </c>
      <c r="AK2913" s="3" t="s">
        <v>114</v>
      </c>
      <c r="AL2913" s="3">
        <v>800</v>
      </c>
      <c r="AS2913" t="s">
        <v>2165</v>
      </c>
      <c r="AT2913" t="s">
        <v>88</v>
      </c>
      <c r="AU2913" t="s">
        <v>273</v>
      </c>
      <c r="AV2913" s="14">
        <v>0</v>
      </c>
    </row>
    <row r="2914" spans="29:48">
      <c r="AC2914"/>
      <c r="AG2914" s="3"/>
      <c r="AH2914" t="s">
        <v>1912</v>
      </c>
      <c r="AI2914" t="s">
        <v>67</v>
      </c>
      <c r="AJ2914" t="s">
        <v>98</v>
      </c>
      <c r="AK2914" s="3" t="s">
        <v>114</v>
      </c>
      <c r="AL2914" s="3">
        <v>-49.817500000000003</v>
      </c>
      <c r="AS2914" t="s">
        <v>2166</v>
      </c>
      <c r="AT2914" t="s">
        <v>88</v>
      </c>
      <c r="AU2914" t="s">
        <v>109</v>
      </c>
      <c r="AV2914" s="14">
        <v>17334.4067</v>
      </c>
    </row>
    <row r="2915" spans="29:48">
      <c r="AC2915"/>
      <c r="AG2915" s="3"/>
      <c r="AH2915" t="s">
        <v>1912</v>
      </c>
      <c r="AI2915" t="s">
        <v>67</v>
      </c>
      <c r="AJ2915" t="s">
        <v>66</v>
      </c>
      <c r="AK2915" s="3" t="s">
        <v>115</v>
      </c>
      <c r="AL2915" s="3">
        <v>14113.2</v>
      </c>
      <c r="AS2915" t="s">
        <v>2166</v>
      </c>
      <c r="AT2915" t="s">
        <v>88</v>
      </c>
      <c r="AU2915" t="s">
        <v>110</v>
      </c>
      <c r="AV2915" s="14">
        <v>1397.6106</v>
      </c>
    </row>
    <row r="2916" spans="29:48">
      <c r="AC2916"/>
      <c r="AG2916" s="3"/>
      <c r="AH2916" t="s">
        <v>1912</v>
      </c>
      <c r="AI2916" t="s">
        <v>67</v>
      </c>
      <c r="AJ2916" t="s">
        <v>98</v>
      </c>
      <c r="AK2916" s="3" t="s">
        <v>115</v>
      </c>
      <c r="AL2916" s="3">
        <v>32.255097999999997</v>
      </c>
      <c r="AS2916" t="s">
        <v>2166</v>
      </c>
      <c r="AT2916" t="s">
        <v>88</v>
      </c>
      <c r="AU2916" t="s">
        <v>111</v>
      </c>
      <c r="AV2916" s="14">
        <v>9000</v>
      </c>
    </row>
    <row r="2917" spans="29:48">
      <c r="AC2917"/>
      <c r="AG2917" s="3"/>
      <c r="AH2917" t="s">
        <v>1912</v>
      </c>
      <c r="AI2917" t="s">
        <v>68</v>
      </c>
      <c r="AJ2917" t="s">
        <v>66</v>
      </c>
      <c r="AK2917" s="3" t="s">
        <v>27</v>
      </c>
      <c r="AL2917" s="3">
        <v>-15766.5</v>
      </c>
      <c r="AS2917" t="s">
        <v>2166</v>
      </c>
      <c r="AT2917" t="s">
        <v>88</v>
      </c>
      <c r="AU2917" t="s">
        <v>268</v>
      </c>
      <c r="AV2917" s="14">
        <v>3650</v>
      </c>
    </row>
    <row r="2918" spans="29:48">
      <c r="AC2918"/>
      <c r="AG2918" s="3"/>
      <c r="AH2918" t="s">
        <v>1912</v>
      </c>
      <c r="AI2918" t="s">
        <v>68</v>
      </c>
      <c r="AJ2918" t="s">
        <v>72</v>
      </c>
      <c r="AK2918" s="3" t="s">
        <v>27</v>
      </c>
      <c r="AL2918" s="3">
        <v>-16295.61715</v>
      </c>
      <c r="AS2918" t="s">
        <v>2166</v>
      </c>
      <c r="AT2918" t="s">
        <v>88</v>
      </c>
      <c r="AU2918" t="s">
        <v>269</v>
      </c>
      <c r="AV2918" s="14">
        <v>0</v>
      </c>
    </row>
    <row r="2919" spans="29:48">
      <c r="AC2919"/>
      <c r="AG2919" s="3"/>
      <c r="AH2919" t="s">
        <v>1912</v>
      </c>
      <c r="AI2919" t="s">
        <v>68</v>
      </c>
      <c r="AJ2919" t="s">
        <v>113</v>
      </c>
      <c r="AK2919" s="3" t="s">
        <v>27</v>
      </c>
      <c r="AL2919" s="3">
        <v>-2.3920639725999999</v>
      </c>
      <c r="AS2919" t="s">
        <v>2166</v>
      </c>
      <c r="AT2919" t="s">
        <v>88</v>
      </c>
      <c r="AU2919" t="s">
        <v>270</v>
      </c>
      <c r="AV2919" s="14">
        <v>0</v>
      </c>
    </row>
    <row r="2920" spans="29:48">
      <c r="AC2920"/>
      <c r="AG2920" s="3"/>
      <c r="AH2920" t="s">
        <v>1912</v>
      </c>
      <c r="AI2920" t="s">
        <v>68</v>
      </c>
      <c r="AJ2920" t="s">
        <v>108</v>
      </c>
      <c r="AK2920" s="3" t="s">
        <v>27</v>
      </c>
      <c r="AL2920" s="3">
        <v>-529.11715000000004</v>
      </c>
      <c r="AS2920" t="s">
        <v>2166</v>
      </c>
      <c r="AT2920" t="s">
        <v>88</v>
      </c>
      <c r="AU2920" t="s">
        <v>271</v>
      </c>
      <c r="AV2920" s="14">
        <v>-1350</v>
      </c>
    </row>
    <row r="2921" spans="29:48">
      <c r="AC2921"/>
      <c r="AG2921" s="3"/>
      <c r="AH2921" t="s">
        <v>1912</v>
      </c>
      <c r="AI2921" t="s">
        <v>68</v>
      </c>
      <c r="AJ2921" t="s">
        <v>98</v>
      </c>
      <c r="AK2921" s="3" t="s">
        <v>27</v>
      </c>
      <c r="AL2921" s="3">
        <v>590.03376000000003</v>
      </c>
      <c r="AS2921" t="s">
        <v>2166</v>
      </c>
      <c r="AT2921" t="s">
        <v>88</v>
      </c>
      <c r="AU2921" t="s">
        <v>272</v>
      </c>
      <c r="AV2921" s="14">
        <v>0</v>
      </c>
    </row>
    <row r="2922" spans="29:48">
      <c r="AC2922"/>
      <c r="AG2922" s="3"/>
      <c r="AH2922" t="s">
        <v>1912</v>
      </c>
      <c r="AI2922" t="s">
        <v>68</v>
      </c>
      <c r="AJ2922" t="s">
        <v>66</v>
      </c>
      <c r="AK2922" s="3" t="s">
        <v>114</v>
      </c>
      <c r="AL2922" s="3">
        <v>481</v>
      </c>
      <c r="AS2922" t="s">
        <v>2166</v>
      </c>
      <c r="AT2922" t="s">
        <v>88</v>
      </c>
      <c r="AU2922" t="s">
        <v>273</v>
      </c>
      <c r="AV2922" s="14">
        <v>0</v>
      </c>
    </row>
    <row r="2923" spans="29:48">
      <c r="AC2923"/>
      <c r="AG2923" s="3"/>
      <c r="AH2923" t="s">
        <v>1912</v>
      </c>
      <c r="AI2923" t="s">
        <v>68</v>
      </c>
      <c r="AJ2923" t="s">
        <v>98</v>
      </c>
      <c r="AK2923" s="3" t="s">
        <v>114</v>
      </c>
      <c r="AL2923" s="3">
        <v>-26.67869</v>
      </c>
      <c r="AS2923" t="s">
        <v>2167</v>
      </c>
      <c r="AT2923" t="s">
        <v>88</v>
      </c>
      <c r="AU2923" t="s">
        <v>109</v>
      </c>
      <c r="AV2923" s="14">
        <v>16334.4067</v>
      </c>
    </row>
    <row r="2924" spans="29:48">
      <c r="AC2924"/>
      <c r="AG2924" s="3"/>
      <c r="AH2924" t="s">
        <v>1912</v>
      </c>
      <c r="AI2924" t="s">
        <v>68</v>
      </c>
      <c r="AJ2924" t="s">
        <v>66</v>
      </c>
      <c r="AK2924" s="3" t="s">
        <v>115</v>
      </c>
      <c r="AL2924" s="3">
        <v>16247.5</v>
      </c>
      <c r="AS2924" t="s">
        <v>2167</v>
      </c>
      <c r="AT2924" t="s">
        <v>88</v>
      </c>
      <c r="AU2924" t="s">
        <v>110</v>
      </c>
      <c r="AV2924" s="14">
        <v>1397.6106</v>
      </c>
    </row>
    <row r="2925" spans="29:48">
      <c r="AC2925"/>
      <c r="AG2925" s="3"/>
      <c r="AH2925" t="s">
        <v>1912</v>
      </c>
      <c r="AI2925" t="s">
        <v>68</v>
      </c>
      <c r="AJ2925" t="s">
        <v>98</v>
      </c>
      <c r="AK2925" s="3" t="s">
        <v>115</v>
      </c>
      <c r="AL2925" s="3">
        <v>-616.71244999999999</v>
      </c>
      <c r="AS2925" t="s">
        <v>2167</v>
      </c>
      <c r="AT2925" t="s">
        <v>88</v>
      </c>
      <c r="AU2925" t="s">
        <v>111</v>
      </c>
      <c r="AV2925" s="14">
        <v>9500</v>
      </c>
    </row>
    <row r="2926" spans="29:48">
      <c r="AC2926"/>
      <c r="AG2926" s="3"/>
      <c r="AH2926" t="s">
        <v>1913</v>
      </c>
      <c r="AI2926" t="s">
        <v>68</v>
      </c>
      <c r="AJ2926" t="s">
        <v>66</v>
      </c>
      <c r="AK2926" s="3" t="s">
        <v>27</v>
      </c>
      <c r="AL2926" s="3">
        <v>-15166.5</v>
      </c>
      <c r="AS2926" t="s">
        <v>2167</v>
      </c>
      <c r="AT2926" t="s">
        <v>88</v>
      </c>
      <c r="AU2926" t="s">
        <v>268</v>
      </c>
      <c r="AV2926" s="14">
        <v>5100</v>
      </c>
    </row>
    <row r="2927" spans="29:48">
      <c r="AC2927"/>
      <c r="AG2927" s="3"/>
      <c r="AH2927" t="s">
        <v>1913</v>
      </c>
      <c r="AI2927" t="s">
        <v>68</v>
      </c>
      <c r="AJ2927" t="s">
        <v>72</v>
      </c>
      <c r="AK2927" s="3" t="s">
        <v>27</v>
      </c>
      <c r="AL2927" s="3">
        <v>-15757.04358</v>
      </c>
      <c r="AS2927" t="s">
        <v>2167</v>
      </c>
      <c r="AT2927" t="s">
        <v>88</v>
      </c>
      <c r="AU2927" t="s">
        <v>269</v>
      </c>
      <c r="AV2927" s="14">
        <v>0</v>
      </c>
    </row>
    <row r="2928" spans="29:48">
      <c r="AC2928"/>
      <c r="AG2928" s="3"/>
      <c r="AH2928" t="s">
        <v>1913</v>
      </c>
      <c r="AI2928" t="s">
        <v>68</v>
      </c>
      <c r="AJ2928" t="s">
        <v>113</v>
      </c>
      <c r="AK2928" s="3" t="s">
        <v>27</v>
      </c>
      <c r="AL2928" s="3">
        <v>5.2541095900000001E-2</v>
      </c>
      <c r="AS2928" t="s">
        <v>2167</v>
      </c>
      <c r="AT2928" t="s">
        <v>88</v>
      </c>
      <c r="AU2928" t="s">
        <v>270</v>
      </c>
      <c r="AV2928" s="14">
        <v>-500</v>
      </c>
    </row>
    <row r="2929" spans="29:48">
      <c r="AC2929"/>
      <c r="AG2929" s="3"/>
      <c r="AH2929" t="s">
        <v>1913</v>
      </c>
      <c r="AI2929" t="s">
        <v>68</v>
      </c>
      <c r="AJ2929" t="s">
        <v>108</v>
      </c>
      <c r="AK2929" s="3" t="s">
        <v>27</v>
      </c>
      <c r="AL2929" s="3">
        <v>-590.54358000000002</v>
      </c>
      <c r="AS2929" t="s">
        <v>2167</v>
      </c>
      <c r="AT2929" t="s">
        <v>88</v>
      </c>
      <c r="AU2929" t="s">
        <v>271</v>
      </c>
      <c r="AV2929" s="14">
        <v>-1800</v>
      </c>
    </row>
    <row r="2930" spans="29:48">
      <c r="AC2930"/>
      <c r="AG2930" s="3"/>
      <c r="AH2930" t="s">
        <v>1913</v>
      </c>
      <c r="AI2930" t="s">
        <v>68</v>
      </c>
      <c r="AJ2930" t="s">
        <v>98</v>
      </c>
      <c r="AK2930" s="3" t="s">
        <v>27</v>
      </c>
      <c r="AL2930" s="3">
        <v>545.24629000000004</v>
      </c>
      <c r="AS2930" t="s">
        <v>2167</v>
      </c>
      <c r="AT2930" t="s">
        <v>88</v>
      </c>
      <c r="AU2930" t="s">
        <v>272</v>
      </c>
      <c r="AV2930" s="14">
        <v>0</v>
      </c>
    </row>
    <row r="2931" spans="29:48">
      <c r="AC2931"/>
      <c r="AG2931" s="3"/>
      <c r="AH2931" t="s">
        <v>1913</v>
      </c>
      <c r="AI2931" t="s">
        <v>68</v>
      </c>
      <c r="AJ2931" t="s">
        <v>66</v>
      </c>
      <c r="AK2931" s="3" t="s">
        <v>114</v>
      </c>
      <c r="AL2931" s="3">
        <v>150</v>
      </c>
      <c r="AS2931" t="s">
        <v>2167</v>
      </c>
      <c r="AT2931" t="s">
        <v>88</v>
      </c>
      <c r="AU2931" t="s">
        <v>273</v>
      </c>
      <c r="AV2931" s="14">
        <v>0</v>
      </c>
    </row>
    <row r="2932" spans="29:48">
      <c r="AC2932"/>
      <c r="AG2932" s="3"/>
      <c r="AH2932" t="s">
        <v>1913</v>
      </c>
      <c r="AI2932" t="s">
        <v>68</v>
      </c>
      <c r="AJ2932" t="s">
        <v>98</v>
      </c>
      <c r="AK2932" s="3" t="s">
        <v>114</v>
      </c>
      <c r="AL2932" s="3">
        <v>-10.571999999999999</v>
      </c>
      <c r="AS2932" t="s">
        <v>2168</v>
      </c>
      <c r="AT2932" t="s">
        <v>88</v>
      </c>
      <c r="AU2932" t="s">
        <v>109</v>
      </c>
      <c r="AV2932" s="14">
        <v>15834.4067</v>
      </c>
    </row>
    <row r="2933" spans="29:48">
      <c r="AC2933"/>
      <c r="AG2933" s="3"/>
      <c r="AH2933" t="s">
        <v>1913</v>
      </c>
      <c r="AI2933" t="s">
        <v>68</v>
      </c>
      <c r="AJ2933" t="s">
        <v>66</v>
      </c>
      <c r="AK2933" s="3" t="s">
        <v>115</v>
      </c>
      <c r="AL2933" s="3">
        <v>15316.5</v>
      </c>
      <c r="AS2933" t="s">
        <v>2168</v>
      </c>
      <c r="AT2933" t="s">
        <v>88</v>
      </c>
      <c r="AU2933" t="s">
        <v>110</v>
      </c>
      <c r="AV2933" s="14">
        <v>1397.6106</v>
      </c>
    </row>
    <row r="2934" spans="29:48">
      <c r="AC2934"/>
      <c r="AG2934" s="3"/>
      <c r="AH2934" t="s">
        <v>1913</v>
      </c>
      <c r="AI2934" t="s">
        <v>68</v>
      </c>
      <c r="AJ2934" t="s">
        <v>98</v>
      </c>
      <c r="AK2934" s="3" t="s">
        <v>115</v>
      </c>
      <c r="AL2934" s="3">
        <v>-555.81829000000005</v>
      </c>
      <c r="AS2934" t="s">
        <v>2168</v>
      </c>
      <c r="AT2934" t="s">
        <v>88</v>
      </c>
      <c r="AU2934" t="s">
        <v>111</v>
      </c>
      <c r="AV2934" s="14">
        <v>9500</v>
      </c>
    </row>
    <row r="2935" spans="29:48">
      <c r="AC2935"/>
      <c r="AG2935" s="3"/>
      <c r="AH2935" t="s">
        <v>1913</v>
      </c>
      <c r="AI2935" t="s">
        <v>65</v>
      </c>
      <c r="AJ2935" t="s">
        <v>66</v>
      </c>
      <c r="AK2935" s="3" t="s">
        <v>27</v>
      </c>
      <c r="AL2935" s="3">
        <v>31554.7</v>
      </c>
      <c r="AS2935" t="s">
        <v>2168</v>
      </c>
      <c r="AT2935" t="s">
        <v>88</v>
      </c>
      <c r="AU2935" t="s">
        <v>268</v>
      </c>
      <c r="AV2935" s="14">
        <v>3150</v>
      </c>
    </row>
    <row r="2936" spans="29:48">
      <c r="AC2936"/>
      <c r="AG2936" s="3"/>
      <c r="AH2936" t="s">
        <v>1913</v>
      </c>
      <c r="AI2936" t="s">
        <v>65</v>
      </c>
      <c r="AJ2936" t="s">
        <v>72</v>
      </c>
      <c r="AK2936" s="3" t="s">
        <v>27</v>
      </c>
      <c r="AL2936" s="3">
        <v>32209.066685999998</v>
      </c>
      <c r="AS2936" t="s">
        <v>2168</v>
      </c>
      <c r="AT2936" t="s">
        <v>88</v>
      </c>
      <c r="AU2936" t="s">
        <v>269</v>
      </c>
      <c r="AV2936" s="14">
        <v>0</v>
      </c>
    </row>
    <row r="2937" spans="29:48">
      <c r="AC2937"/>
      <c r="AG2937" s="3"/>
      <c r="AH2937" t="s">
        <v>1913</v>
      </c>
      <c r="AI2937" t="s">
        <v>65</v>
      </c>
      <c r="AJ2937" t="s">
        <v>113</v>
      </c>
      <c r="AK2937" s="3" t="s">
        <v>27</v>
      </c>
      <c r="AL2937" s="3">
        <v>1460.1991803148001</v>
      </c>
      <c r="AS2937" t="s">
        <v>2168</v>
      </c>
      <c r="AT2937" t="s">
        <v>88</v>
      </c>
      <c r="AU2937" t="s">
        <v>270</v>
      </c>
      <c r="AV2937" s="14">
        <v>0</v>
      </c>
    </row>
    <row r="2938" spans="29:48">
      <c r="AC2938"/>
      <c r="AG2938" s="3"/>
      <c r="AH2938" t="s">
        <v>1913</v>
      </c>
      <c r="AI2938" t="s">
        <v>65</v>
      </c>
      <c r="AJ2938" t="s">
        <v>108</v>
      </c>
      <c r="AK2938" s="3" t="s">
        <v>27</v>
      </c>
      <c r="AL2938" s="3">
        <v>-805.83249431479999</v>
      </c>
      <c r="AS2938" t="s">
        <v>2168</v>
      </c>
      <c r="AT2938" t="s">
        <v>88</v>
      </c>
      <c r="AU2938" t="s">
        <v>271</v>
      </c>
      <c r="AV2938" s="14">
        <v>0</v>
      </c>
    </row>
    <row r="2939" spans="29:48">
      <c r="AC2939"/>
      <c r="AG2939" s="3"/>
      <c r="AH2939" t="s">
        <v>1913</v>
      </c>
      <c r="AI2939" t="s">
        <v>65</v>
      </c>
      <c r="AJ2939" t="s">
        <v>98</v>
      </c>
      <c r="AK2939" s="3" t="s">
        <v>27</v>
      </c>
      <c r="AL2939" s="3">
        <v>-868.02611200000001</v>
      </c>
      <c r="AS2939" t="s">
        <v>2168</v>
      </c>
      <c r="AT2939" t="s">
        <v>88</v>
      </c>
      <c r="AU2939" t="s">
        <v>272</v>
      </c>
      <c r="AV2939" s="14">
        <v>0</v>
      </c>
    </row>
    <row r="2940" spans="29:48">
      <c r="AC2940"/>
      <c r="AG2940" s="3"/>
      <c r="AH2940" t="s">
        <v>1913</v>
      </c>
      <c r="AI2940" t="s">
        <v>67</v>
      </c>
      <c r="AJ2940" t="s">
        <v>66</v>
      </c>
      <c r="AK2940" s="3" t="s">
        <v>27</v>
      </c>
      <c r="AL2940" s="3">
        <v>-10197.200000000001</v>
      </c>
      <c r="AS2940" t="s">
        <v>2168</v>
      </c>
      <c r="AT2940" t="s">
        <v>88</v>
      </c>
      <c r="AU2940" t="s">
        <v>273</v>
      </c>
      <c r="AV2940" s="14">
        <v>0</v>
      </c>
    </row>
    <row r="2941" spans="29:48">
      <c r="AC2941"/>
      <c r="AG2941" s="3"/>
      <c r="AH2941" t="s">
        <v>1913</v>
      </c>
      <c r="AI2941" t="s">
        <v>67</v>
      </c>
      <c r="AJ2941" t="s">
        <v>72</v>
      </c>
      <c r="AK2941" s="3" t="s">
        <v>27</v>
      </c>
      <c r="AL2941" s="3">
        <v>-10653.151876</v>
      </c>
      <c r="AS2941" t="s">
        <v>2169</v>
      </c>
      <c r="AT2941" t="s">
        <v>88</v>
      </c>
      <c r="AU2941" t="s">
        <v>109</v>
      </c>
      <c r="AV2941" s="14">
        <v>15834.4067</v>
      </c>
    </row>
    <row r="2942" spans="29:48">
      <c r="AC2942"/>
      <c r="AG2942" s="3"/>
      <c r="AH2942" t="s">
        <v>1913</v>
      </c>
      <c r="AI2942" t="s">
        <v>67</v>
      </c>
      <c r="AJ2942" t="s">
        <v>113</v>
      </c>
      <c r="AK2942" s="3" t="s">
        <v>27</v>
      </c>
      <c r="AL2942" s="3">
        <v>105.82451150679999</v>
      </c>
      <c r="AS2942" t="s">
        <v>2169</v>
      </c>
      <c r="AT2942" t="s">
        <v>88</v>
      </c>
      <c r="AU2942" t="s">
        <v>110</v>
      </c>
      <c r="AV2942" s="14">
        <v>1397.6106</v>
      </c>
    </row>
    <row r="2943" spans="29:48">
      <c r="AC2943"/>
      <c r="AG2943" s="3"/>
      <c r="AH2943" t="s">
        <v>1913</v>
      </c>
      <c r="AI2943" t="s">
        <v>67</v>
      </c>
      <c r="AJ2943" t="s">
        <v>108</v>
      </c>
      <c r="AK2943" s="3" t="s">
        <v>27</v>
      </c>
      <c r="AL2943" s="3">
        <v>-561.77638750680001</v>
      </c>
      <c r="AS2943" t="s">
        <v>2169</v>
      </c>
      <c r="AT2943" t="s">
        <v>88</v>
      </c>
      <c r="AU2943" t="s">
        <v>111</v>
      </c>
      <c r="AV2943" s="14">
        <v>9500</v>
      </c>
    </row>
    <row r="2944" spans="29:48">
      <c r="AC2944"/>
      <c r="AG2944" s="3"/>
      <c r="AH2944" t="s">
        <v>1913</v>
      </c>
      <c r="AI2944" t="s">
        <v>67</v>
      </c>
      <c r="AJ2944" t="s">
        <v>98</v>
      </c>
      <c r="AK2944" s="3" t="s">
        <v>27</v>
      </c>
      <c r="AL2944" s="3">
        <v>-164.611358</v>
      </c>
      <c r="AS2944" t="s">
        <v>2169</v>
      </c>
      <c r="AT2944" t="s">
        <v>88</v>
      </c>
      <c r="AU2944" t="s">
        <v>268</v>
      </c>
      <c r="AV2944" s="14">
        <v>1650</v>
      </c>
    </row>
    <row r="2945" spans="29:48">
      <c r="AC2945"/>
      <c r="AG2945" s="3"/>
      <c r="AH2945" t="s">
        <v>1913</v>
      </c>
      <c r="AI2945" t="s">
        <v>67</v>
      </c>
      <c r="AJ2945" t="s">
        <v>66</v>
      </c>
      <c r="AK2945" s="3" t="s">
        <v>114</v>
      </c>
      <c r="AL2945" s="3">
        <v>3716</v>
      </c>
      <c r="AS2945" t="s">
        <v>2169</v>
      </c>
      <c r="AT2945" t="s">
        <v>88</v>
      </c>
      <c r="AU2945" t="s">
        <v>269</v>
      </c>
      <c r="AV2945" s="14">
        <v>0</v>
      </c>
    </row>
    <row r="2946" spans="29:48">
      <c r="AC2946"/>
      <c r="AG2946" s="3"/>
      <c r="AH2946" t="s">
        <v>1913</v>
      </c>
      <c r="AI2946" t="s">
        <v>67</v>
      </c>
      <c r="AJ2946" t="s">
        <v>98</v>
      </c>
      <c r="AK2946" s="3" t="s">
        <v>114</v>
      </c>
      <c r="AL2946" s="3">
        <v>-132.04892000000001</v>
      </c>
      <c r="AS2946" t="s">
        <v>2169</v>
      </c>
      <c r="AT2946" t="s">
        <v>88</v>
      </c>
      <c r="AU2946" t="s">
        <v>270</v>
      </c>
      <c r="AV2946" s="14">
        <v>0</v>
      </c>
    </row>
    <row r="2947" spans="29:48">
      <c r="AC2947"/>
      <c r="AG2947" s="3"/>
      <c r="AH2947" t="s">
        <v>1913</v>
      </c>
      <c r="AI2947" t="s">
        <v>67</v>
      </c>
      <c r="AJ2947" t="s">
        <v>66</v>
      </c>
      <c r="AK2947" s="3" t="s">
        <v>115</v>
      </c>
      <c r="AL2947" s="3">
        <v>13913.2</v>
      </c>
      <c r="AS2947" t="s">
        <v>2169</v>
      </c>
      <c r="AT2947" t="s">
        <v>88</v>
      </c>
      <c r="AU2947" t="s">
        <v>271</v>
      </c>
      <c r="AV2947" s="14">
        <v>0</v>
      </c>
    </row>
    <row r="2948" spans="29:48">
      <c r="AC2948"/>
      <c r="AG2948" s="3"/>
      <c r="AH2948" t="s">
        <v>1913</v>
      </c>
      <c r="AI2948" t="s">
        <v>67</v>
      </c>
      <c r="AJ2948" t="s">
        <v>98</v>
      </c>
      <c r="AK2948" s="3" t="s">
        <v>115</v>
      </c>
      <c r="AL2948" s="3">
        <v>32.562438</v>
      </c>
      <c r="AS2948" t="s">
        <v>2169</v>
      </c>
      <c r="AT2948" t="s">
        <v>88</v>
      </c>
      <c r="AU2948" t="s">
        <v>272</v>
      </c>
      <c r="AV2948" s="14">
        <v>0</v>
      </c>
    </row>
    <row r="2949" spans="29:48">
      <c r="AC2949"/>
      <c r="AG2949" s="3"/>
      <c r="AH2949" t="s">
        <v>1914</v>
      </c>
      <c r="AI2949" t="s">
        <v>65</v>
      </c>
      <c r="AJ2949" t="s">
        <v>72</v>
      </c>
      <c r="AK2949" s="3" t="s">
        <v>27</v>
      </c>
      <c r="AL2949" s="3">
        <v>32386.788074</v>
      </c>
      <c r="AS2949" t="s">
        <v>2169</v>
      </c>
      <c r="AT2949" t="s">
        <v>88</v>
      </c>
      <c r="AU2949" t="s">
        <v>273</v>
      </c>
      <c r="AV2949" s="14">
        <v>0</v>
      </c>
    </row>
    <row r="2950" spans="29:48">
      <c r="AC2950"/>
      <c r="AG2950" s="3"/>
      <c r="AH2950" t="s">
        <v>1914</v>
      </c>
      <c r="AI2950" t="s">
        <v>65</v>
      </c>
      <c r="AJ2950" t="s">
        <v>113</v>
      </c>
      <c r="AK2950" s="3" t="s">
        <v>27</v>
      </c>
      <c r="AL2950" s="3">
        <v>1295.9821409827</v>
      </c>
      <c r="AS2950" t="s">
        <v>2170</v>
      </c>
      <c r="AT2950" t="s">
        <v>88</v>
      </c>
      <c r="AU2950" t="s">
        <v>109</v>
      </c>
      <c r="AV2950" s="14">
        <v>14534.4067</v>
      </c>
    </row>
    <row r="2951" spans="29:48">
      <c r="AC2951"/>
      <c r="AG2951" s="3"/>
      <c r="AH2951" t="s">
        <v>1914</v>
      </c>
      <c r="AI2951" t="s">
        <v>65</v>
      </c>
      <c r="AJ2951" t="s">
        <v>108</v>
      </c>
      <c r="AK2951" s="3" t="s">
        <v>27</v>
      </c>
      <c r="AL2951" s="3">
        <v>-837.49406698259997</v>
      </c>
      <c r="AS2951" t="s">
        <v>2170</v>
      </c>
      <c r="AT2951" t="s">
        <v>88</v>
      </c>
      <c r="AU2951" t="s">
        <v>110</v>
      </c>
      <c r="AV2951" s="14">
        <v>1397.6106</v>
      </c>
    </row>
    <row r="2952" spans="29:48">
      <c r="AC2952"/>
      <c r="AG2952" s="3"/>
      <c r="AH2952" t="s">
        <v>1914</v>
      </c>
      <c r="AI2952" t="s">
        <v>65</v>
      </c>
      <c r="AJ2952" t="s">
        <v>98</v>
      </c>
      <c r="AK2952" s="3" t="s">
        <v>27</v>
      </c>
      <c r="AL2952" s="3">
        <v>-900.07825400000002</v>
      </c>
      <c r="AS2952" t="s">
        <v>2170</v>
      </c>
      <c r="AT2952" t="s">
        <v>88</v>
      </c>
      <c r="AU2952" t="s">
        <v>111</v>
      </c>
      <c r="AV2952" s="14">
        <v>9500</v>
      </c>
    </row>
    <row r="2953" spans="29:48">
      <c r="AC2953"/>
      <c r="AG2953" s="3"/>
      <c r="AH2953" t="s">
        <v>1914</v>
      </c>
      <c r="AI2953" t="s">
        <v>67</v>
      </c>
      <c r="AJ2953" t="s">
        <v>66</v>
      </c>
      <c r="AK2953" s="3" t="s">
        <v>27</v>
      </c>
      <c r="AL2953" s="3">
        <v>-13343.4</v>
      </c>
      <c r="AS2953" t="s">
        <v>2170</v>
      </c>
      <c r="AT2953" t="s">
        <v>88</v>
      </c>
      <c r="AU2953" t="s">
        <v>268</v>
      </c>
      <c r="AV2953" s="14">
        <v>3250</v>
      </c>
    </row>
    <row r="2954" spans="29:48">
      <c r="AC2954"/>
      <c r="AG2954" s="3"/>
      <c r="AH2954" t="s">
        <v>1914</v>
      </c>
      <c r="AI2954" t="s">
        <v>67</v>
      </c>
      <c r="AJ2954" t="s">
        <v>72</v>
      </c>
      <c r="AK2954" s="3" t="s">
        <v>27</v>
      </c>
      <c r="AL2954" s="3">
        <v>-13512.802727</v>
      </c>
      <c r="AS2954" t="s">
        <v>2170</v>
      </c>
      <c r="AT2954" t="s">
        <v>88</v>
      </c>
      <c r="AU2954" t="s">
        <v>269</v>
      </c>
      <c r="AV2954" s="14">
        <v>0</v>
      </c>
    </row>
    <row r="2955" spans="29:48">
      <c r="AC2955"/>
      <c r="AG2955" s="3"/>
      <c r="AH2955" t="s">
        <v>1914</v>
      </c>
      <c r="AI2955" t="s">
        <v>67</v>
      </c>
      <c r="AJ2955" t="s">
        <v>113</v>
      </c>
      <c r="AK2955" s="3" t="s">
        <v>27</v>
      </c>
      <c r="AL2955" s="3">
        <v>115.2281514795</v>
      </c>
      <c r="AS2955" t="s">
        <v>2170</v>
      </c>
      <c r="AT2955" t="s">
        <v>88</v>
      </c>
      <c r="AU2955" t="s">
        <v>270</v>
      </c>
      <c r="AV2955" s="14">
        <v>0</v>
      </c>
    </row>
    <row r="2956" spans="29:48">
      <c r="AC2956"/>
      <c r="AG2956" s="3"/>
      <c r="AH2956" t="s">
        <v>1914</v>
      </c>
      <c r="AI2956" t="s">
        <v>67</v>
      </c>
      <c r="AJ2956" t="s">
        <v>108</v>
      </c>
      <c r="AK2956" s="3" t="s">
        <v>27</v>
      </c>
      <c r="AL2956" s="3">
        <v>-284.63087847949998</v>
      </c>
      <c r="AS2956" t="s">
        <v>2170</v>
      </c>
      <c r="AT2956" t="s">
        <v>88</v>
      </c>
      <c r="AU2956" t="s">
        <v>271</v>
      </c>
      <c r="AV2956" s="14">
        <v>-300</v>
      </c>
    </row>
    <row r="2957" spans="29:48">
      <c r="AC2957"/>
      <c r="AG2957" s="3"/>
      <c r="AH2957" t="s">
        <v>1914</v>
      </c>
      <c r="AI2957" t="s">
        <v>67</v>
      </c>
      <c r="AJ2957" t="s">
        <v>98</v>
      </c>
      <c r="AK2957" s="3" t="s">
        <v>27</v>
      </c>
      <c r="AL2957" s="3">
        <v>23.696200999999999</v>
      </c>
      <c r="AS2957" t="s">
        <v>2170</v>
      </c>
      <c r="AT2957" t="s">
        <v>88</v>
      </c>
      <c r="AU2957" t="s">
        <v>272</v>
      </c>
      <c r="AV2957" s="14">
        <v>0</v>
      </c>
    </row>
    <row r="2958" spans="29:48">
      <c r="AC2958"/>
      <c r="AG2958" s="3"/>
      <c r="AH2958" t="s">
        <v>1914</v>
      </c>
      <c r="AI2958" t="s">
        <v>67</v>
      </c>
      <c r="AJ2958" t="s">
        <v>66</v>
      </c>
      <c r="AK2958" s="3" t="s">
        <v>114</v>
      </c>
      <c r="AL2958" s="3">
        <v>1836.4</v>
      </c>
      <c r="AS2958" t="s">
        <v>2170</v>
      </c>
      <c r="AT2958" t="s">
        <v>88</v>
      </c>
      <c r="AU2958" t="s">
        <v>273</v>
      </c>
      <c r="AV2958" s="14">
        <v>0</v>
      </c>
    </row>
    <row r="2959" spans="29:48">
      <c r="AC2959"/>
      <c r="AG2959" s="3"/>
      <c r="AH2959" t="s">
        <v>1914</v>
      </c>
      <c r="AI2959" t="s">
        <v>67</v>
      </c>
      <c r="AJ2959" t="s">
        <v>98</v>
      </c>
      <c r="AK2959" s="3" t="s">
        <v>114</v>
      </c>
      <c r="AL2959" s="3">
        <v>-27.589307999999999</v>
      </c>
      <c r="AS2959" t="s">
        <v>2171</v>
      </c>
      <c r="AT2959" t="s">
        <v>88</v>
      </c>
      <c r="AU2959" t="s">
        <v>109</v>
      </c>
      <c r="AV2959" s="14">
        <v>15034.4067</v>
      </c>
    </row>
    <row r="2960" spans="29:48">
      <c r="AC2960"/>
      <c r="AG2960" s="3"/>
      <c r="AH2960" t="s">
        <v>1914</v>
      </c>
      <c r="AI2960" t="s">
        <v>67</v>
      </c>
      <c r="AJ2960" t="s">
        <v>66</v>
      </c>
      <c r="AK2960" s="3" t="s">
        <v>115</v>
      </c>
      <c r="AL2960" s="3">
        <v>15179.8</v>
      </c>
      <c r="AS2960" t="s">
        <v>2171</v>
      </c>
      <c r="AT2960" t="s">
        <v>88</v>
      </c>
      <c r="AU2960" t="s">
        <v>110</v>
      </c>
      <c r="AV2960" s="14">
        <v>1397.6106</v>
      </c>
    </row>
    <row r="2961" spans="29:48">
      <c r="AC2961"/>
      <c r="AG2961" s="3"/>
      <c r="AH2961" t="s">
        <v>1914</v>
      </c>
      <c r="AI2961" t="s">
        <v>67</v>
      </c>
      <c r="AJ2961" t="s">
        <v>98</v>
      </c>
      <c r="AK2961" s="3" t="s">
        <v>115</v>
      </c>
      <c r="AL2961" s="3">
        <v>-51.285508999999998</v>
      </c>
      <c r="AS2961" t="s">
        <v>2171</v>
      </c>
      <c r="AT2961" t="s">
        <v>88</v>
      </c>
      <c r="AU2961" t="s">
        <v>111</v>
      </c>
      <c r="AV2961" s="14">
        <v>9500</v>
      </c>
    </row>
    <row r="2962" spans="29:48">
      <c r="AC2962"/>
      <c r="AG2962" s="3"/>
      <c r="AH2962" t="s">
        <v>1914</v>
      </c>
      <c r="AI2962" t="s">
        <v>68</v>
      </c>
      <c r="AJ2962" t="s">
        <v>66</v>
      </c>
      <c r="AK2962" s="3" t="s">
        <v>27</v>
      </c>
      <c r="AL2962" s="3">
        <v>-12443.9</v>
      </c>
      <c r="AS2962" t="s">
        <v>2171</v>
      </c>
      <c r="AT2962" t="s">
        <v>88</v>
      </c>
      <c r="AU2962" t="s">
        <v>268</v>
      </c>
      <c r="AV2962" s="14">
        <v>3050</v>
      </c>
    </row>
    <row r="2963" spans="29:48">
      <c r="AC2963"/>
      <c r="AG2963" s="3"/>
      <c r="AH2963" t="s">
        <v>1914</v>
      </c>
      <c r="AI2963" t="s">
        <v>68</v>
      </c>
      <c r="AJ2963" t="s">
        <v>72</v>
      </c>
      <c r="AK2963" s="3" t="s">
        <v>27</v>
      </c>
      <c r="AL2963" s="3">
        <v>-13097.770426999999</v>
      </c>
      <c r="AS2963" t="s">
        <v>2171</v>
      </c>
      <c r="AT2963" t="s">
        <v>88</v>
      </c>
      <c r="AU2963" t="s">
        <v>269</v>
      </c>
      <c r="AV2963" s="14">
        <v>0</v>
      </c>
    </row>
    <row r="2964" spans="29:48">
      <c r="AC2964"/>
      <c r="AG2964" s="3"/>
      <c r="AH2964" t="s">
        <v>1914</v>
      </c>
      <c r="AI2964" t="s">
        <v>68</v>
      </c>
      <c r="AJ2964" t="s">
        <v>113</v>
      </c>
      <c r="AK2964" s="3" t="s">
        <v>27</v>
      </c>
      <c r="AL2964" s="3">
        <v>116.2578526027</v>
      </c>
      <c r="AS2964" t="s">
        <v>2171</v>
      </c>
      <c r="AT2964" t="s">
        <v>88</v>
      </c>
      <c r="AU2964" t="s">
        <v>270</v>
      </c>
      <c r="AV2964" s="14">
        <v>0</v>
      </c>
    </row>
    <row r="2965" spans="29:48">
      <c r="AC2965"/>
      <c r="AG2965" s="3"/>
      <c r="AH2965" t="s">
        <v>1914</v>
      </c>
      <c r="AI2965" t="s">
        <v>68</v>
      </c>
      <c r="AJ2965" t="s">
        <v>108</v>
      </c>
      <c r="AK2965" s="3" t="s">
        <v>27</v>
      </c>
      <c r="AL2965" s="3">
        <v>-653.87042699999995</v>
      </c>
      <c r="AS2965" t="s">
        <v>2171</v>
      </c>
      <c r="AT2965" t="s">
        <v>88</v>
      </c>
      <c r="AU2965" t="s">
        <v>271</v>
      </c>
      <c r="AV2965" s="14">
        <v>-600</v>
      </c>
    </row>
    <row r="2966" spans="29:48">
      <c r="AC2966"/>
      <c r="AG2966" s="3"/>
      <c r="AH2966" t="s">
        <v>1914</v>
      </c>
      <c r="AI2966" t="s">
        <v>68</v>
      </c>
      <c r="AJ2966" t="s">
        <v>98</v>
      </c>
      <c r="AK2966" s="3" t="s">
        <v>27</v>
      </c>
      <c r="AL2966" s="3">
        <v>383.322563</v>
      </c>
      <c r="AS2966" t="s">
        <v>2171</v>
      </c>
      <c r="AT2966" t="s">
        <v>88</v>
      </c>
      <c r="AU2966" t="s">
        <v>272</v>
      </c>
      <c r="AV2966" s="14">
        <v>0</v>
      </c>
    </row>
    <row r="2967" spans="29:48">
      <c r="AC2967"/>
      <c r="AG2967" s="3"/>
      <c r="AH2967" t="s">
        <v>1914</v>
      </c>
      <c r="AI2967" t="s">
        <v>68</v>
      </c>
      <c r="AJ2967" t="s">
        <v>66</v>
      </c>
      <c r="AK2967" s="3" t="s">
        <v>114</v>
      </c>
      <c r="AL2967" s="3">
        <v>2406</v>
      </c>
      <c r="AS2967" t="s">
        <v>2171</v>
      </c>
      <c r="AT2967" t="s">
        <v>88</v>
      </c>
      <c r="AU2967" t="s">
        <v>273</v>
      </c>
      <c r="AV2967" s="14">
        <v>0</v>
      </c>
    </row>
    <row r="2968" spans="29:48">
      <c r="AC2968"/>
      <c r="AG2968" s="3"/>
      <c r="AH2968" t="s">
        <v>1914</v>
      </c>
      <c r="AI2968" t="s">
        <v>68</v>
      </c>
      <c r="AJ2968" t="s">
        <v>98</v>
      </c>
      <c r="AK2968" s="3" t="s">
        <v>114</v>
      </c>
      <c r="AL2968" s="3">
        <v>-42.893120000000003</v>
      </c>
      <c r="AS2968" t="s">
        <v>2172</v>
      </c>
      <c r="AT2968" t="s">
        <v>88</v>
      </c>
      <c r="AU2968" t="s">
        <v>109</v>
      </c>
      <c r="AV2968" s="14">
        <v>16334.4067</v>
      </c>
    </row>
    <row r="2969" spans="29:48">
      <c r="AC2969"/>
      <c r="AG2969" s="3"/>
      <c r="AH2969" t="s">
        <v>1914</v>
      </c>
      <c r="AI2969" t="s">
        <v>68</v>
      </c>
      <c r="AJ2969" t="s">
        <v>66</v>
      </c>
      <c r="AK2969" s="3" t="s">
        <v>115</v>
      </c>
      <c r="AL2969" s="3">
        <v>14849.9</v>
      </c>
      <c r="AS2969" t="s">
        <v>2172</v>
      </c>
      <c r="AT2969" t="s">
        <v>88</v>
      </c>
      <c r="AU2969" t="s">
        <v>110</v>
      </c>
      <c r="AV2969" s="14">
        <v>1397.6106</v>
      </c>
    </row>
    <row r="2970" spans="29:48">
      <c r="AC2970"/>
      <c r="AG2970" s="3"/>
      <c r="AH2970" t="s">
        <v>1914</v>
      </c>
      <c r="AI2970" t="s">
        <v>68</v>
      </c>
      <c r="AJ2970" t="s">
        <v>98</v>
      </c>
      <c r="AK2970" s="3" t="s">
        <v>115</v>
      </c>
      <c r="AL2970" s="3">
        <v>-426.21568300000001</v>
      </c>
      <c r="AS2970" t="s">
        <v>2172</v>
      </c>
      <c r="AT2970" t="s">
        <v>88</v>
      </c>
      <c r="AU2970" t="s">
        <v>111</v>
      </c>
      <c r="AV2970" s="14">
        <v>9500</v>
      </c>
    </row>
    <row r="2971" spans="29:48">
      <c r="AC2971"/>
      <c r="AG2971" s="3"/>
      <c r="AH2971" t="s">
        <v>1914</v>
      </c>
      <c r="AI2971" t="s">
        <v>800</v>
      </c>
      <c r="AJ2971" t="s">
        <v>31</v>
      </c>
      <c r="AK2971" s="3" t="s">
        <v>27</v>
      </c>
      <c r="AL2971" s="3">
        <v>3.9289999999999998</v>
      </c>
      <c r="AS2971" t="s">
        <v>2172</v>
      </c>
      <c r="AT2971" t="s">
        <v>88</v>
      </c>
      <c r="AU2971" t="s">
        <v>268</v>
      </c>
      <c r="AV2971" s="14">
        <v>550</v>
      </c>
    </row>
    <row r="2972" spans="29:48">
      <c r="AC2972"/>
      <c r="AG2972" s="3"/>
      <c r="AH2972" t="s">
        <v>1914</v>
      </c>
      <c r="AI2972" t="s">
        <v>65</v>
      </c>
      <c r="AJ2972" t="s">
        <v>66</v>
      </c>
      <c r="AK2972" s="3" t="s">
        <v>27</v>
      </c>
      <c r="AL2972" s="3">
        <v>31928.3</v>
      </c>
      <c r="AS2972" t="s">
        <v>2172</v>
      </c>
      <c r="AT2972" t="s">
        <v>88</v>
      </c>
      <c r="AU2972" t="s">
        <v>269</v>
      </c>
      <c r="AV2972" s="14">
        <v>0</v>
      </c>
    </row>
    <row r="2973" spans="29:48">
      <c r="AC2973"/>
      <c r="AG2973" s="3"/>
      <c r="AH2973" t="s">
        <v>1915</v>
      </c>
      <c r="AI2973" t="s">
        <v>65</v>
      </c>
      <c r="AJ2973" t="s">
        <v>66</v>
      </c>
      <c r="AK2973" s="3" t="s">
        <v>27</v>
      </c>
      <c r="AL2973" s="3">
        <v>31594</v>
      </c>
      <c r="AS2973" t="s">
        <v>2172</v>
      </c>
      <c r="AT2973" t="s">
        <v>88</v>
      </c>
      <c r="AU2973" t="s">
        <v>270</v>
      </c>
      <c r="AV2973" s="14">
        <v>0</v>
      </c>
    </row>
    <row r="2974" spans="29:48">
      <c r="AC2974"/>
      <c r="AG2974" s="3"/>
      <c r="AH2974" t="s">
        <v>1915</v>
      </c>
      <c r="AI2974" t="s">
        <v>65</v>
      </c>
      <c r="AJ2974" t="s">
        <v>72</v>
      </c>
      <c r="AK2974" s="3" t="s">
        <v>27</v>
      </c>
      <c r="AL2974" s="3">
        <v>32267.627639999999</v>
      </c>
      <c r="AS2974" t="s">
        <v>2172</v>
      </c>
      <c r="AT2974" t="s">
        <v>88</v>
      </c>
      <c r="AU2974" t="s">
        <v>271</v>
      </c>
      <c r="AV2974" s="14">
        <v>-1300</v>
      </c>
    </row>
    <row r="2975" spans="29:48">
      <c r="AC2975"/>
      <c r="AG2975" s="3"/>
      <c r="AH2975" t="s">
        <v>1915</v>
      </c>
      <c r="AI2975" t="s">
        <v>65</v>
      </c>
      <c r="AJ2975" t="s">
        <v>113</v>
      </c>
      <c r="AK2975" s="3" t="s">
        <v>27</v>
      </c>
      <c r="AL2975" s="3">
        <v>1648.9015717218999</v>
      </c>
      <c r="AS2975" t="s">
        <v>2172</v>
      </c>
      <c r="AT2975" t="s">
        <v>88</v>
      </c>
      <c r="AU2975" t="s">
        <v>272</v>
      </c>
      <c r="AV2975" s="14">
        <v>0</v>
      </c>
    </row>
    <row r="2976" spans="29:48">
      <c r="AC2976"/>
      <c r="AG2976" s="3"/>
      <c r="AH2976" t="s">
        <v>1915</v>
      </c>
      <c r="AI2976" t="s">
        <v>65</v>
      </c>
      <c r="AJ2976" t="s">
        <v>108</v>
      </c>
      <c r="AK2976" s="3" t="s">
        <v>27</v>
      </c>
      <c r="AL2976" s="3">
        <v>-975.2739317219</v>
      </c>
      <c r="AS2976" t="s">
        <v>2172</v>
      </c>
      <c r="AT2976" t="s">
        <v>88</v>
      </c>
      <c r="AU2976" t="s">
        <v>273</v>
      </c>
      <c r="AV2976" s="14">
        <v>0</v>
      </c>
    </row>
    <row r="2977" spans="29:48">
      <c r="AC2977"/>
      <c r="AG2977" s="3"/>
      <c r="AH2977" t="s">
        <v>1915</v>
      </c>
      <c r="AI2977" t="s">
        <v>65</v>
      </c>
      <c r="AJ2977" t="s">
        <v>98</v>
      </c>
      <c r="AK2977" s="3" t="s">
        <v>27</v>
      </c>
      <c r="AL2977" s="3">
        <v>-1040.6601949999999</v>
      </c>
      <c r="AS2977" t="s">
        <v>2173</v>
      </c>
      <c r="AT2977" t="s">
        <v>88</v>
      </c>
      <c r="AU2977" t="s">
        <v>109</v>
      </c>
      <c r="AV2977" s="14">
        <v>17034.4067</v>
      </c>
    </row>
    <row r="2978" spans="29:48">
      <c r="AC2978"/>
      <c r="AG2978" s="3"/>
      <c r="AH2978" t="s">
        <v>1915</v>
      </c>
      <c r="AI2978" t="s">
        <v>67</v>
      </c>
      <c r="AJ2978" t="s">
        <v>66</v>
      </c>
      <c r="AK2978" s="3" t="s">
        <v>27</v>
      </c>
      <c r="AL2978" s="3">
        <v>-10622.2</v>
      </c>
      <c r="AS2978" t="s">
        <v>2173</v>
      </c>
      <c r="AT2978" t="s">
        <v>88</v>
      </c>
      <c r="AU2978" t="s">
        <v>110</v>
      </c>
      <c r="AV2978" s="14">
        <v>1397.6106</v>
      </c>
    </row>
    <row r="2979" spans="29:48">
      <c r="AC2979"/>
      <c r="AH2979" t="s">
        <v>1915</v>
      </c>
      <c r="AI2979" t="s">
        <v>67</v>
      </c>
      <c r="AJ2979" t="s">
        <v>72</v>
      </c>
      <c r="AK2979" s="3" t="s">
        <v>27</v>
      </c>
      <c r="AL2979" s="3">
        <v>-11278.378424</v>
      </c>
      <c r="AS2979" t="s">
        <v>2173</v>
      </c>
      <c r="AT2979" t="s">
        <v>88</v>
      </c>
      <c r="AU2979" t="s">
        <v>111</v>
      </c>
      <c r="AV2979" s="14">
        <v>9500</v>
      </c>
    </row>
    <row r="2980" spans="29:48">
      <c r="AC2980"/>
      <c r="AH2980" t="s">
        <v>1915</v>
      </c>
      <c r="AI2980" t="s">
        <v>67</v>
      </c>
      <c r="AJ2980" t="s">
        <v>113</v>
      </c>
      <c r="AK2980" s="3" t="s">
        <v>27</v>
      </c>
      <c r="AL2980" s="3">
        <v>-126.0135501781</v>
      </c>
      <c r="AS2980" t="s">
        <v>2173</v>
      </c>
      <c r="AT2980" t="s">
        <v>88</v>
      </c>
      <c r="AU2980" t="s">
        <v>268</v>
      </c>
      <c r="AV2980" s="14">
        <v>950</v>
      </c>
    </row>
    <row r="2981" spans="29:48">
      <c r="AC2981"/>
      <c r="AH2981" t="s">
        <v>1915</v>
      </c>
      <c r="AI2981" t="s">
        <v>67</v>
      </c>
      <c r="AJ2981" t="s">
        <v>108</v>
      </c>
      <c r="AK2981" s="3" t="s">
        <v>27</v>
      </c>
      <c r="AL2981" s="3">
        <v>-530.16487382189996</v>
      </c>
      <c r="AS2981" t="s">
        <v>2173</v>
      </c>
      <c r="AT2981" t="s">
        <v>88</v>
      </c>
      <c r="AU2981" t="s">
        <v>269</v>
      </c>
      <c r="AV2981" s="14">
        <v>0</v>
      </c>
    </row>
    <row r="2982" spans="29:48">
      <c r="AC2982"/>
      <c r="AH2982" t="s">
        <v>1915</v>
      </c>
      <c r="AI2982" t="s">
        <v>67</v>
      </c>
      <c r="AJ2982" t="s">
        <v>98</v>
      </c>
      <c r="AK2982" s="3" t="s">
        <v>27</v>
      </c>
      <c r="AL2982" s="3">
        <v>182.48092800000001</v>
      </c>
      <c r="AS2982" t="s">
        <v>2173</v>
      </c>
      <c r="AT2982" t="s">
        <v>88</v>
      </c>
      <c r="AU2982" t="s">
        <v>270</v>
      </c>
      <c r="AV2982" s="14">
        <v>0</v>
      </c>
    </row>
    <row r="2983" spans="29:48">
      <c r="AC2983"/>
      <c r="AH2983" t="s">
        <v>1915</v>
      </c>
      <c r="AI2983" t="s">
        <v>67</v>
      </c>
      <c r="AJ2983" t="s">
        <v>66</v>
      </c>
      <c r="AK2983" s="3" t="s">
        <v>114</v>
      </c>
      <c r="AL2983" s="3">
        <v>2013.3</v>
      </c>
      <c r="AS2983" t="s">
        <v>2173</v>
      </c>
      <c r="AT2983" t="s">
        <v>88</v>
      </c>
      <c r="AU2983" t="s">
        <v>271</v>
      </c>
      <c r="AV2983" s="14">
        <v>-1800</v>
      </c>
    </row>
    <row r="2984" spans="29:48">
      <c r="AC2984"/>
      <c r="AH2984" t="s">
        <v>1915</v>
      </c>
      <c r="AI2984" t="s">
        <v>67</v>
      </c>
      <c r="AJ2984" t="s">
        <v>98</v>
      </c>
      <c r="AK2984" s="3" t="s">
        <v>114</v>
      </c>
      <c r="AL2984" s="3">
        <v>50.352632999999997</v>
      </c>
      <c r="AS2984" t="s">
        <v>2173</v>
      </c>
      <c r="AT2984" t="s">
        <v>88</v>
      </c>
      <c r="AU2984" t="s">
        <v>272</v>
      </c>
      <c r="AV2984" s="14">
        <v>0</v>
      </c>
    </row>
    <row r="2985" spans="29:48">
      <c r="AC2985"/>
      <c r="AH2985" t="s">
        <v>1915</v>
      </c>
      <c r="AI2985" t="s">
        <v>67</v>
      </c>
      <c r="AJ2985" t="s">
        <v>66</v>
      </c>
      <c r="AK2985" s="3" t="s">
        <v>115</v>
      </c>
      <c r="AL2985" s="3">
        <v>12635.5</v>
      </c>
      <c r="AS2985" t="s">
        <v>2173</v>
      </c>
      <c r="AT2985" t="s">
        <v>88</v>
      </c>
      <c r="AU2985" t="s">
        <v>273</v>
      </c>
      <c r="AV2985" s="14">
        <v>0</v>
      </c>
    </row>
    <row r="2986" spans="29:48">
      <c r="AC2986"/>
      <c r="AH2986" t="s">
        <v>1915</v>
      </c>
      <c r="AI2986" t="s">
        <v>67</v>
      </c>
      <c r="AJ2986" t="s">
        <v>98</v>
      </c>
      <c r="AK2986" s="3" t="s">
        <v>115</v>
      </c>
      <c r="AL2986" s="3">
        <v>-132.12829500000001</v>
      </c>
      <c r="AS2986" t="s">
        <v>2174</v>
      </c>
      <c r="AT2986" t="s">
        <v>88</v>
      </c>
      <c r="AU2986" t="s">
        <v>109</v>
      </c>
      <c r="AV2986" s="14">
        <v>19734.4067</v>
      </c>
    </row>
    <row r="2987" spans="29:48">
      <c r="AC2987"/>
      <c r="AH2987" t="s">
        <v>1915</v>
      </c>
      <c r="AI2987" t="s">
        <v>68</v>
      </c>
      <c r="AJ2987" t="s">
        <v>66</v>
      </c>
      <c r="AK2987" s="3" t="s">
        <v>27</v>
      </c>
      <c r="AL2987" s="3">
        <v>-14830.8</v>
      </c>
      <c r="AS2987" t="s">
        <v>2174</v>
      </c>
      <c r="AT2987" t="s">
        <v>88</v>
      </c>
      <c r="AU2987" t="s">
        <v>110</v>
      </c>
      <c r="AV2987" s="14">
        <v>1397.6106</v>
      </c>
    </row>
    <row r="2988" spans="29:48">
      <c r="AC2988"/>
      <c r="AH2988" t="s">
        <v>1915</v>
      </c>
      <c r="AI2988" t="s">
        <v>68</v>
      </c>
      <c r="AJ2988" t="s">
        <v>72</v>
      </c>
      <c r="AK2988" s="3" t="s">
        <v>27</v>
      </c>
      <c r="AL2988" s="3">
        <v>-15212.481046000001</v>
      </c>
      <c r="AS2988" t="s">
        <v>2174</v>
      </c>
      <c r="AT2988" t="s">
        <v>88</v>
      </c>
      <c r="AU2988" t="s">
        <v>111</v>
      </c>
      <c r="AV2988" s="14">
        <v>6500</v>
      </c>
    </row>
    <row r="2989" spans="29:48">
      <c r="AC2989"/>
      <c r="AH2989" t="s">
        <v>1915</v>
      </c>
      <c r="AI2989" t="s">
        <v>68</v>
      </c>
      <c r="AJ2989" t="s">
        <v>113</v>
      </c>
      <c r="AK2989" s="3" t="s">
        <v>27</v>
      </c>
      <c r="AL2989" s="3">
        <v>231.4860040822</v>
      </c>
      <c r="AS2989" t="s">
        <v>2174</v>
      </c>
      <c r="AT2989" t="s">
        <v>88</v>
      </c>
      <c r="AU2989" t="s">
        <v>268</v>
      </c>
      <c r="AV2989" s="14">
        <v>-1500</v>
      </c>
    </row>
    <row r="2990" spans="29:48">
      <c r="AC2990"/>
      <c r="AH2990" t="s">
        <v>1915</v>
      </c>
      <c r="AI2990" t="s">
        <v>68</v>
      </c>
      <c r="AJ2990" t="s">
        <v>108</v>
      </c>
      <c r="AK2990" s="3" t="s">
        <v>27</v>
      </c>
      <c r="AL2990" s="3">
        <v>-381.68104599999998</v>
      </c>
      <c r="AS2990" t="s">
        <v>2174</v>
      </c>
      <c r="AT2990" t="s">
        <v>88</v>
      </c>
      <c r="AU2990" t="s">
        <v>269</v>
      </c>
      <c r="AV2990" s="14">
        <v>0</v>
      </c>
    </row>
    <row r="2991" spans="29:48">
      <c r="AC2991"/>
      <c r="AH2991" t="s">
        <v>1915</v>
      </c>
      <c r="AI2991" t="s">
        <v>68</v>
      </c>
      <c r="AJ2991" t="s">
        <v>98</v>
      </c>
      <c r="AK2991" s="3" t="s">
        <v>27</v>
      </c>
      <c r="AL2991" s="3">
        <v>365.67302699999999</v>
      </c>
      <c r="AS2991" t="s">
        <v>2174</v>
      </c>
      <c r="AT2991" t="s">
        <v>88</v>
      </c>
      <c r="AU2991" t="s">
        <v>270</v>
      </c>
      <c r="AV2991" s="14">
        <v>0</v>
      </c>
    </row>
    <row r="2992" spans="29:48">
      <c r="AC2992"/>
      <c r="AH2992" t="s">
        <v>1915</v>
      </c>
      <c r="AI2992" t="s">
        <v>68</v>
      </c>
      <c r="AJ2992" t="s">
        <v>66</v>
      </c>
      <c r="AK2992" s="3" t="s">
        <v>114</v>
      </c>
      <c r="AL2992" s="3">
        <v>4242.3999999999996</v>
      </c>
      <c r="AS2992" t="s">
        <v>2174</v>
      </c>
      <c r="AT2992" t="s">
        <v>88</v>
      </c>
      <c r="AU2992" t="s">
        <v>271</v>
      </c>
      <c r="AV2992" s="14">
        <v>-1500</v>
      </c>
    </row>
    <row r="2993" spans="29:48">
      <c r="AC2993"/>
      <c r="AH2993" t="s">
        <v>1915</v>
      </c>
      <c r="AI2993" t="s">
        <v>68</v>
      </c>
      <c r="AJ2993" t="s">
        <v>98</v>
      </c>
      <c r="AK2993" s="3" t="s">
        <v>114</v>
      </c>
      <c r="AL2993" s="3">
        <v>-69.810081999999994</v>
      </c>
      <c r="AS2993" t="s">
        <v>2174</v>
      </c>
      <c r="AT2993" t="s">
        <v>88</v>
      </c>
      <c r="AU2993" t="s">
        <v>272</v>
      </c>
      <c r="AV2993" s="14">
        <v>0</v>
      </c>
    </row>
    <row r="2994" spans="29:48">
      <c r="AC2994"/>
      <c r="AH2994" t="s">
        <v>1915</v>
      </c>
      <c r="AI2994" t="s">
        <v>68</v>
      </c>
      <c r="AJ2994" t="s">
        <v>66</v>
      </c>
      <c r="AK2994" s="3" t="s">
        <v>115</v>
      </c>
      <c r="AL2994" s="3">
        <v>19073.2</v>
      </c>
      <c r="AS2994" t="s">
        <v>2174</v>
      </c>
      <c r="AT2994" t="s">
        <v>88</v>
      </c>
      <c r="AU2994" t="s">
        <v>273</v>
      </c>
      <c r="AV2994" s="14">
        <v>3000</v>
      </c>
    </row>
    <row r="2995" spans="29:48">
      <c r="AC2995"/>
      <c r="AH2995" t="s">
        <v>1915</v>
      </c>
      <c r="AI2995" t="s">
        <v>68</v>
      </c>
      <c r="AJ2995" t="s">
        <v>98</v>
      </c>
      <c r="AK2995" s="3" t="s">
        <v>115</v>
      </c>
      <c r="AL2995" s="3">
        <v>-435.48310900000001</v>
      </c>
      <c r="AS2995" t="s">
        <v>2175</v>
      </c>
      <c r="AT2995" t="s">
        <v>88</v>
      </c>
      <c r="AU2995" t="s">
        <v>109</v>
      </c>
      <c r="AV2995" s="14">
        <v>20734.4067</v>
      </c>
    </row>
    <row r="2996" spans="29:48">
      <c r="AC2996"/>
      <c r="AH2996" t="s">
        <v>1916</v>
      </c>
      <c r="AI2996" t="s">
        <v>65</v>
      </c>
      <c r="AJ2996" t="s">
        <v>66</v>
      </c>
      <c r="AK2996" s="3" t="s">
        <v>27</v>
      </c>
      <c r="AL2996" s="3">
        <v>29483</v>
      </c>
      <c r="AS2996" t="s">
        <v>2175</v>
      </c>
      <c r="AT2996" t="s">
        <v>88</v>
      </c>
      <c r="AU2996" t="s">
        <v>110</v>
      </c>
      <c r="AV2996" s="14">
        <v>1397.6106</v>
      </c>
    </row>
    <row r="2997" spans="29:48">
      <c r="AC2997"/>
      <c r="AH2997" t="s">
        <v>1916</v>
      </c>
      <c r="AI2997" t="s">
        <v>65</v>
      </c>
      <c r="AJ2997" t="s">
        <v>72</v>
      </c>
      <c r="AK2997" s="3" t="s">
        <v>27</v>
      </c>
      <c r="AL2997" s="3">
        <v>30155.702594999999</v>
      </c>
      <c r="AS2997" t="s">
        <v>2175</v>
      </c>
      <c r="AT2997" t="s">
        <v>88</v>
      </c>
      <c r="AU2997" t="s">
        <v>111</v>
      </c>
      <c r="AV2997" s="14">
        <v>6500</v>
      </c>
    </row>
    <row r="2998" spans="29:48">
      <c r="AC2998"/>
      <c r="AH2998" t="s">
        <v>1916</v>
      </c>
      <c r="AI2998" t="s">
        <v>65</v>
      </c>
      <c r="AJ2998" t="s">
        <v>113</v>
      </c>
      <c r="AK2998" s="3" t="s">
        <v>27</v>
      </c>
      <c r="AL2998" s="3">
        <v>1706.8351342384999</v>
      </c>
      <c r="AS2998" t="s">
        <v>2175</v>
      </c>
      <c r="AT2998" t="s">
        <v>88</v>
      </c>
      <c r="AU2998" t="s">
        <v>268</v>
      </c>
      <c r="AV2998" s="14">
        <v>750</v>
      </c>
    </row>
    <row r="2999" spans="29:48">
      <c r="AC2999"/>
      <c r="AH2999" t="s">
        <v>1916</v>
      </c>
      <c r="AI2999" t="s">
        <v>65</v>
      </c>
      <c r="AJ2999" t="s">
        <v>108</v>
      </c>
      <c r="AK2999" s="3" t="s">
        <v>27</v>
      </c>
      <c r="AL2999" s="3">
        <v>-1034.1325392384999</v>
      </c>
      <c r="AS2999" t="s">
        <v>2175</v>
      </c>
      <c r="AT2999" t="s">
        <v>88</v>
      </c>
      <c r="AU2999" t="s">
        <v>269</v>
      </c>
      <c r="AV2999" s="14">
        <v>0</v>
      </c>
    </row>
    <row r="3000" spans="29:48">
      <c r="AC3000"/>
      <c r="AH3000" t="s">
        <v>1916</v>
      </c>
      <c r="AI3000" t="s">
        <v>65</v>
      </c>
      <c r="AJ3000" t="s">
        <v>98</v>
      </c>
      <c r="AK3000" s="3" t="s">
        <v>27</v>
      </c>
      <c r="AL3000" s="3">
        <v>-1097.48919</v>
      </c>
      <c r="AS3000" t="s">
        <v>2175</v>
      </c>
      <c r="AT3000" t="s">
        <v>88</v>
      </c>
      <c r="AU3000" t="s">
        <v>270</v>
      </c>
      <c r="AV3000" s="14">
        <v>0</v>
      </c>
    </row>
    <row r="3001" spans="29:48">
      <c r="AC3001"/>
      <c r="AH3001" t="s">
        <v>1916</v>
      </c>
      <c r="AI3001" t="s">
        <v>67</v>
      </c>
      <c r="AJ3001" t="s">
        <v>66</v>
      </c>
      <c r="AK3001" s="3" t="s">
        <v>27</v>
      </c>
      <c r="AL3001" s="3">
        <v>-8845.5</v>
      </c>
      <c r="AS3001" t="s">
        <v>2175</v>
      </c>
      <c r="AT3001" t="s">
        <v>88</v>
      </c>
      <c r="AU3001" t="s">
        <v>271</v>
      </c>
      <c r="AV3001" s="14">
        <v>-4050</v>
      </c>
    </row>
    <row r="3002" spans="29:48">
      <c r="AC3002"/>
      <c r="AH3002" t="s">
        <v>1916</v>
      </c>
      <c r="AI3002" t="s">
        <v>67</v>
      </c>
      <c r="AJ3002" t="s">
        <v>72</v>
      </c>
      <c r="AK3002" s="3" t="s">
        <v>27</v>
      </c>
      <c r="AL3002" s="3">
        <v>-9289.9899100000002</v>
      </c>
      <c r="AS3002" t="s">
        <v>2175</v>
      </c>
      <c r="AT3002" t="s">
        <v>88</v>
      </c>
      <c r="AU3002" t="s">
        <v>272</v>
      </c>
      <c r="AV3002" s="14">
        <v>0</v>
      </c>
    </row>
    <row r="3003" spans="29:48">
      <c r="AC3003"/>
      <c r="AH3003" t="s">
        <v>1916</v>
      </c>
      <c r="AI3003" t="s">
        <v>67</v>
      </c>
      <c r="AJ3003" t="s">
        <v>113</v>
      </c>
      <c r="AK3003" s="3" t="s">
        <v>27</v>
      </c>
      <c r="AL3003" s="3">
        <v>-80.392189041099996</v>
      </c>
      <c r="AS3003" t="s">
        <v>2175</v>
      </c>
      <c r="AT3003" t="s">
        <v>88</v>
      </c>
      <c r="AU3003" t="s">
        <v>273</v>
      </c>
      <c r="AV3003" s="14">
        <v>2000</v>
      </c>
    </row>
    <row r="3004" spans="29:48">
      <c r="AC3004"/>
      <c r="AH3004" t="s">
        <v>1916</v>
      </c>
      <c r="AI3004" t="s">
        <v>67</v>
      </c>
      <c r="AJ3004" t="s">
        <v>108</v>
      </c>
      <c r="AK3004" s="3" t="s">
        <v>27</v>
      </c>
      <c r="AL3004" s="3">
        <v>-364.09772095890003</v>
      </c>
      <c r="AS3004" t="s">
        <v>2176</v>
      </c>
      <c r="AT3004" t="s">
        <v>88</v>
      </c>
      <c r="AU3004" t="s">
        <v>109</v>
      </c>
      <c r="AV3004" s="14">
        <v>20734.4067</v>
      </c>
    </row>
    <row r="3005" spans="29:48">
      <c r="AC3005"/>
      <c r="AH3005" t="s">
        <v>1916</v>
      </c>
      <c r="AI3005" t="s">
        <v>67</v>
      </c>
      <c r="AJ3005" t="s">
        <v>98</v>
      </c>
      <c r="AK3005" s="3" t="s">
        <v>27</v>
      </c>
      <c r="AL3005" s="3">
        <v>94.351884999999996</v>
      </c>
      <c r="AS3005" t="s">
        <v>2176</v>
      </c>
      <c r="AT3005" t="s">
        <v>88</v>
      </c>
      <c r="AU3005" t="s">
        <v>110</v>
      </c>
      <c r="AV3005" s="14">
        <v>1397.6106</v>
      </c>
    </row>
    <row r="3006" spans="29:48">
      <c r="AC3006"/>
      <c r="AH3006" t="s">
        <v>1916</v>
      </c>
      <c r="AI3006" t="s">
        <v>67</v>
      </c>
      <c r="AJ3006" t="s">
        <v>66</v>
      </c>
      <c r="AK3006" s="3" t="s">
        <v>114</v>
      </c>
      <c r="AL3006" s="3">
        <v>2731</v>
      </c>
      <c r="AS3006" t="s">
        <v>2176</v>
      </c>
      <c r="AT3006" t="s">
        <v>88</v>
      </c>
      <c r="AU3006" t="s">
        <v>111</v>
      </c>
      <c r="AV3006" s="14">
        <v>6500</v>
      </c>
    </row>
    <row r="3007" spans="29:48">
      <c r="AC3007"/>
      <c r="AH3007" t="s">
        <v>1916</v>
      </c>
      <c r="AI3007" t="s">
        <v>67</v>
      </c>
      <c r="AJ3007" t="s">
        <v>98</v>
      </c>
      <c r="AK3007" s="3" t="s">
        <v>114</v>
      </c>
      <c r="AL3007" s="3">
        <v>28.667120000000001</v>
      </c>
      <c r="AS3007" t="s">
        <v>2176</v>
      </c>
      <c r="AT3007" t="s">
        <v>88</v>
      </c>
      <c r="AU3007" t="s">
        <v>268</v>
      </c>
      <c r="AV3007" s="14">
        <v>1200</v>
      </c>
    </row>
    <row r="3008" spans="29:48">
      <c r="AC3008"/>
      <c r="AH3008" t="s">
        <v>1916</v>
      </c>
      <c r="AI3008" t="s">
        <v>67</v>
      </c>
      <c r="AJ3008" t="s">
        <v>66</v>
      </c>
      <c r="AK3008" s="3" t="s">
        <v>115</v>
      </c>
      <c r="AL3008" s="3">
        <v>11576.5</v>
      </c>
      <c r="AS3008" t="s">
        <v>2176</v>
      </c>
      <c r="AT3008" t="s">
        <v>88</v>
      </c>
      <c r="AU3008" t="s">
        <v>269</v>
      </c>
      <c r="AV3008" s="14">
        <v>0</v>
      </c>
    </row>
    <row r="3009" spans="29:48">
      <c r="AC3009"/>
      <c r="AH3009" t="s">
        <v>1916</v>
      </c>
      <c r="AI3009" t="s">
        <v>67</v>
      </c>
      <c r="AJ3009" t="s">
        <v>98</v>
      </c>
      <c r="AK3009" s="3" t="s">
        <v>115</v>
      </c>
      <c r="AL3009" s="3">
        <v>-65.684764999999999</v>
      </c>
      <c r="AS3009" t="s">
        <v>2176</v>
      </c>
      <c r="AT3009" t="s">
        <v>88</v>
      </c>
      <c r="AU3009" t="s">
        <v>270</v>
      </c>
      <c r="AV3009" s="14">
        <v>0</v>
      </c>
    </row>
    <row r="3010" spans="29:48">
      <c r="AC3010"/>
      <c r="AH3010" t="s">
        <v>1916</v>
      </c>
      <c r="AI3010" t="s">
        <v>68</v>
      </c>
      <c r="AJ3010" t="s">
        <v>66</v>
      </c>
      <c r="AK3010" s="3" t="s">
        <v>27</v>
      </c>
      <c r="AL3010" s="3">
        <v>-14396.5</v>
      </c>
      <c r="AS3010" t="s">
        <v>2176</v>
      </c>
      <c r="AT3010" t="s">
        <v>88</v>
      </c>
      <c r="AU3010" t="s">
        <v>271</v>
      </c>
      <c r="AV3010" s="14">
        <v>-1000</v>
      </c>
    </row>
    <row r="3011" spans="29:48">
      <c r="AC3011"/>
      <c r="AH3011" t="s">
        <v>1916</v>
      </c>
      <c r="AI3011" t="s">
        <v>68</v>
      </c>
      <c r="AJ3011" t="s">
        <v>72</v>
      </c>
      <c r="AK3011" s="3" t="s">
        <v>27</v>
      </c>
      <c r="AL3011" s="3">
        <v>-14997.774775</v>
      </c>
      <c r="AS3011" t="s">
        <v>2176</v>
      </c>
      <c r="AT3011" t="s">
        <v>88</v>
      </c>
      <c r="AU3011" t="s">
        <v>272</v>
      </c>
      <c r="AV3011" s="14">
        <v>0</v>
      </c>
    </row>
    <row r="3012" spans="29:48">
      <c r="AC3012"/>
      <c r="AH3012" t="s">
        <v>1916</v>
      </c>
      <c r="AI3012" t="s">
        <v>68</v>
      </c>
      <c r="AJ3012" t="s">
        <v>113</v>
      </c>
      <c r="AK3012" s="3" t="s">
        <v>27</v>
      </c>
      <c r="AL3012" s="3">
        <v>235.115769411</v>
      </c>
      <c r="AS3012" t="s">
        <v>2176</v>
      </c>
      <c r="AT3012" t="s">
        <v>88</v>
      </c>
      <c r="AU3012" t="s">
        <v>273</v>
      </c>
      <c r="AV3012" s="14">
        <v>2000</v>
      </c>
    </row>
    <row r="3013" spans="29:48">
      <c r="AC3013"/>
      <c r="AH3013" t="s">
        <v>1916</v>
      </c>
      <c r="AI3013" t="s">
        <v>68</v>
      </c>
      <c r="AJ3013" t="s">
        <v>108</v>
      </c>
      <c r="AK3013" s="3" t="s">
        <v>27</v>
      </c>
      <c r="AL3013" s="3">
        <v>-601.27477499999998</v>
      </c>
      <c r="AS3013" t="s">
        <v>2177</v>
      </c>
      <c r="AT3013" t="s">
        <v>88</v>
      </c>
      <c r="AU3013" t="s">
        <v>270</v>
      </c>
      <c r="AV3013" s="14">
        <v>0</v>
      </c>
    </row>
    <row r="3014" spans="29:48">
      <c r="AC3014"/>
      <c r="AH3014" t="s">
        <v>1916</v>
      </c>
      <c r="AI3014" t="s">
        <v>68</v>
      </c>
      <c r="AJ3014" t="s">
        <v>98</v>
      </c>
      <c r="AK3014" s="3" t="s">
        <v>27</v>
      </c>
      <c r="AL3014" s="3">
        <v>510.03480500000001</v>
      </c>
      <c r="AS3014" t="s">
        <v>2177</v>
      </c>
      <c r="AT3014" t="s">
        <v>88</v>
      </c>
      <c r="AU3014" t="s">
        <v>271</v>
      </c>
      <c r="AV3014" s="14">
        <v>0</v>
      </c>
    </row>
    <row r="3015" spans="29:48">
      <c r="AC3015"/>
      <c r="AH3015" t="s">
        <v>1916</v>
      </c>
      <c r="AI3015" t="s">
        <v>68</v>
      </c>
      <c r="AJ3015" t="s">
        <v>66</v>
      </c>
      <c r="AK3015" s="3" t="s">
        <v>114</v>
      </c>
      <c r="AL3015" s="3">
        <v>4782.3</v>
      </c>
      <c r="AS3015" t="s">
        <v>2177</v>
      </c>
      <c r="AT3015" t="s">
        <v>88</v>
      </c>
      <c r="AU3015" t="s">
        <v>272</v>
      </c>
      <c r="AV3015" s="14">
        <v>0</v>
      </c>
    </row>
    <row r="3016" spans="29:48">
      <c r="AC3016"/>
      <c r="AH3016" t="s">
        <v>1916</v>
      </c>
      <c r="AI3016" t="s">
        <v>68</v>
      </c>
      <c r="AJ3016" t="s">
        <v>98</v>
      </c>
      <c r="AK3016" s="3" t="s">
        <v>114</v>
      </c>
      <c r="AL3016" s="3">
        <v>-63.00085</v>
      </c>
      <c r="AS3016" t="s">
        <v>2177</v>
      </c>
      <c r="AT3016" t="s">
        <v>88</v>
      </c>
      <c r="AU3016" t="s">
        <v>273</v>
      </c>
      <c r="AV3016" s="14">
        <v>2000</v>
      </c>
    </row>
    <row r="3017" spans="29:48">
      <c r="AC3017"/>
      <c r="AH3017" t="s">
        <v>1916</v>
      </c>
      <c r="AI3017" t="s">
        <v>68</v>
      </c>
      <c r="AJ3017" t="s">
        <v>66</v>
      </c>
      <c r="AK3017" s="3" t="s">
        <v>115</v>
      </c>
      <c r="AL3017" s="3">
        <v>19178.8</v>
      </c>
      <c r="AS3017" t="s">
        <v>2177</v>
      </c>
      <c r="AT3017" t="s">
        <v>88</v>
      </c>
      <c r="AU3017" t="s">
        <v>109</v>
      </c>
      <c r="AV3017" s="14">
        <v>20734.4067</v>
      </c>
    </row>
    <row r="3018" spans="29:48">
      <c r="AC3018"/>
      <c r="AH3018" t="s">
        <v>1916</v>
      </c>
      <c r="AI3018" t="s">
        <v>68</v>
      </c>
      <c r="AJ3018" t="s">
        <v>98</v>
      </c>
      <c r="AK3018" s="3" t="s">
        <v>115</v>
      </c>
      <c r="AL3018" s="3">
        <v>-573.03565500000002</v>
      </c>
      <c r="AS3018" t="s">
        <v>2177</v>
      </c>
      <c r="AT3018" t="s">
        <v>88</v>
      </c>
      <c r="AU3018" t="s">
        <v>110</v>
      </c>
      <c r="AV3018" s="14">
        <v>1397.6106</v>
      </c>
    </row>
    <row r="3019" spans="29:48">
      <c r="AC3019"/>
      <c r="AH3019" t="s">
        <v>1917</v>
      </c>
      <c r="AI3019" t="s">
        <v>65</v>
      </c>
      <c r="AJ3019" t="s">
        <v>66</v>
      </c>
      <c r="AK3019" s="3" t="s">
        <v>27</v>
      </c>
      <c r="AL3019" s="3">
        <v>26574</v>
      </c>
      <c r="AS3019" t="s">
        <v>2177</v>
      </c>
      <c r="AT3019" t="s">
        <v>88</v>
      </c>
      <c r="AU3019" t="s">
        <v>111</v>
      </c>
      <c r="AV3019" s="14">
        <v>6500</v>
      </c>
    </row>
    <row r="3020" spans="29:48">
      <c r="AC3020"/>
      <c r="AH3020" t="s">
        <v>1917</v>
      </c>
      <c r="AI3020" t="s">
        <v>65</v>
      </c>
      <c r="AJ3020" t="s">
        <v>72</v>
      </c>
      <c r="AK3020" s="3" t="s">
        <v>27</v>
      </c>
      <c r="AL3020" s="3">
        <v>27274.525460000001</v>
      </c>
      <c r="AS3020" t="s">
        <v>2177</v>
      </c>
      <c r="AT3020" t="s">
        <v>88</v>
      </c>
      <c r="AU3020" t="s">
        <v>268</v>
      </c>
      <c r="AV3020" s="14">
        <v>1200</v>
      </c>
    </row>
    <row r="3021" spans="29:48">
      <c r="AC3021"/>
      <c r="AH3021" t="s">
        <v>1917</v>
      </c>
      <c r="AI3021" t="s">
        <v>65</v>
      </c>
      <c r="AJ3021" t="s">
        <v>113</v>
      </c>
      <c r="AK3021" s="3" t="s">
        <v>27</v>
      </c>
      <c r="AL3021" s="3">
        <v>1728.8305275112</v>
      </c>
      <c r="AS3021" t="s">
        <v>2177</v>
      </c>
      <c r="AT3021" t="s">
        <v>88</v>
      </c>
      <c r="AU3021" t="s">
        <v>269</v>
      </c>
      <c r="AV3021" s="14">
        <v>0</v>
      </c>
    </row>
    <row r="3022" spans="29:48">
      <c r="AC3022"/>
      <c r="AH3022" t="s">
        <v>1917</v>
      </c>
      <c r="AI3022" t="s">
        <v>65</v>
      </c>
      <c r="AJ3022" t="s">
        <v>108</v>
      </c>
      <c r="AK3022" s="3" t="s">
        <v>27</v>
      </c>
      <c r="AL3022" s="3">
        <v>-1028.3050675111999</v>
      </c>
      <c r="AS3022" t="s">
        <v>2178</v>
      </c>
      <c r="AT3022" t="s">
        <v>88</v>
      </c>
      <c r="AU3022" t="s">
        <v>109</v>
      </c>
      <c r="AV3022" s="14">
        <v>21134.4067</v>
      </c>
    </row>
    <row r="3023" spans="29:48">
      <c r="AC3023"/>
      <c r="AH3023" t="s">
        <v>1917</v>
      </c>
      <c r="AI3023" t="s">
        <v>65</v>
      </c>
      <c r="AJ3023" t="s">
        <v>98</v>
      </c>
      <c r="AK3023" s="3" t="s">
        <v>27</v>
      </c>
      <c r="AL3023" s="3">
        <v>-1091.077025</v>
      </c>
      <c r="AS3023" t="s">
        <v>2178</v>
      </c>
      <c r="AT3023" t="s">
        <v>88</v>
      </c>
      <c r="AU3023" t="s">
        <v>110</v>
      </c>
      <c r="AV3023" s="14">
        <v>1397.6106</v>
      </c>
    </row>
    <row r="3024" spans="29:48">
      <c r="AC3024"/>
      <c r="AH3024" t="s">
        <v>1917</v>
      </c>
      <c r="AI3024" t="s">
        <v>67</v>
      </c>
      <c r="AJ3024" t="s">
        <v>66</v>
      </c>
      <c r="AK3024" s="3" t="s">
        <v>27</v>
      </c>
      <c r="AL3024" s="3">
        <v>-6067.5</v>
      </c>
      <c r="AS3024" t="s">
        <v>2178</v>
      </c>
      <c r="AT3024" t="s">
        <v>88</v>
      </c>
      <c r="AU3024" t="s">
        <v>111</v>
      </c>
      <c r="AV3024" s="14">
        <v>6500</v>
      </c>
    </row>
    <row r="3025" spans="29:48">
      <c r="AC3025"/>
      <c r="AH3025" t="s">
        <v>1917</v>
      </c>
      <c r="AI3025" t="s">
        <v>67</v>
      </c>
      <c r="AJ3025" t="s">
        <v>72</v>
      </c>
      <c r="AK3025" s="3" t="s">
        <v>27</v>
      </c>
      <c r="AL3025" s="3">
        <v>-6589.6591150000004</v>
      </c>
      <c r="AS3025" t="s">
        <v>2178</v>
      </c>
      <c r="AT3025" t="s">
        <v>88</v>
      </c>
      <c r="AU3025" t="s">
        <v>268</v>
      </c>
      <c r="AV3025" s="14">
        <v>1200</v>
      </c>
    </row>
    <row r="3026" spans="29:48">
      <c r="AC3026"/>
      <c r="AH3026" t="s">
        <v>1917</v>
      </c>
      <c r="AI3026" t="s">
        <v>67</v>
      </c>
      <c r="AJ3026" t="s">
        <v>113</v>
      </c>
      <c r="AK3026" s="3" t="s">
        <v>27</v>
      </c>
      <c r="AL3026" s="3">
        <v>108.5712043836</v>
      </c>
      <c r="AS3026" t="s">
        <v>2178</v>
      </c>
      <c r="AT3026" t="s">
        <v>88</v>
      </c>
      <c r="AU3026" t="s">
        <v>269</v>
      </c>
      <c r="AV3026" s="14">
        <v>0</v>
      </c>
    </row>
    <row r="3027" spans="29:48">
      <c r="AC3027"/>
      <c r="AH3027" t="s">
        <v>1917</v>
      </c>
      <c r="AI3027" t="s">
        <v>67</v>
      </c>
      <c r="AJ3027" t="s">
        <v>108</v>
      </c>
      <c r="AK3027" s="3" t="s">
        <v>27</v>
      </c>
      <c r="AL3027" s="3">
        <v>-630.73031938359998</v>
      </c>
      <c r="AS3027" t="s">
        <v>2178</v>
      </c>
      <c r="AT3027" t="s">
        <v>88</v>
      </c>
      <c r="AU3027" t="s">
        <v>270</v>
      </c>
      <c r="AV3027" s="14">
        <v>0</v>
      </c>
    </row>
    <row r="3028" spans="29:48">
      <c r="AC3028"/>
      <c r="AH3028" t="s">
        <v>1917</v>
      </c>
      <c r="AI3028" t="s">
        <v>67</v>
      </c>
      <c r="AJ3028" t="s">
        <v>98</v>
      </c>
      <c r="AK3028" s="3" t="s">
        <v>27</v>
      </c>
      <c r="AL3028" s="3">
        <v>103.74593</v>
      </c>
      <c r="AS3028" t="s">
        <v>2178</v>
      </c>
      <c r="AT3028" t="s">
        <v>88</v>
      </c>
      <c r="AU3028" t="s">
        <v>271</v>
      </c>
      <c r="AV3028" s="14">
        <v>-400</v>
      </c>
    </row>
    <row r="3029" spans="29:48">
      <c r="AC3029"/>
      <c r="AH3029" t="s">
        <v>1917</v>
      </c>
      <c r="AI3029" t="s">
        <v>67</v>
      </c>
      <c r="AJ3029" t="s">
        <v>66</v>
      </c>
      <c r="AK3029" s="3" t="s">
        <v>114</v>
      </c>
      <c r="AL3029" s="3">
        <v>2979</v>
      </c>
      <c r="AS3029" t="s">
        <v>2178</v>
      </c>
      <c r="AT3029" t="s">
        <v>88</v>
      </c>
      <c r="AU3029" t="s">
        <v>272</v>
      </c>
      <c r="AV3029" s="14">
        <v>0</v>
      </c>
    </row>
    <row r="3030" spans="29:48">
      <c r="AC3030"/>
      <c r="AH3030" t="s">
        <v>1917</v>
      </c>
      <c r="AI3030" t="s">
        <v>67</v>
      </c>
      <c r="AJ3030" t="s">
        <v>98</v>
      </c>
      <c r="AK3030" s="3" t="s">
        <v>114</v>
      </c>
      <c r="AL3030" s="3">
        <v>-1.1544000000000001</v>
      </c>
      <c r="AS3030" t="s">
        <v>2178</v>
      </c>
      <c r="AT3030" t="s">
        <v>88</v>
      </c>
      <c r="AU3030" t="s">
        <v>273</v>
      </c>
      <c r="AV3030" s="14">
        <v>0</v>
      </c>
    </row>
    <row r="3031" spans="29:48">
      <c r="AC3031"/>
      <c r="AH3031" t="s">
        <v>1917</v>
      </c>
      <c r="AI3031" t="s">
        <v>67</v>
      </c>
      <c r="AJ3031" t="s">
        <v>66</v>
      </c>
      <c r="AK3031" s="3" t="s">
        <v>115</v>
      </c>
      <c r="AL3031" s="3">
        <v>9046.5</v>
      </c>
      <c r="AS3031" t="s">
        <v>2179</v>
      </c>
      <c r="AT3031" t="s">
        <v>88</v>
      </c>
      <c r="AU3031" t="s">
        <v>109</v>
      </c>
      <c r="AV3031" s="14">
        <v>21334.4067</v>
      </c>
    </row>
    <row r="3032" spans="29:48">
      <c r="AC3032"/>
      <c r="AH3032" t="s">
        <v>1917</v>
      </c>
      <c r="AI3032" t="s">
        <v>67</v>
      </c>
      <c r="AJ3032" t="s">
        <v>98</v>
      </c>
      <c r="AK3032" s="3" t="s">
        <v>115</v>
      </c>
      <c r="AL3032" s="3">
        <v>-104.90033</v>
      </c>
      <c r="AS3032" t="s">
        <v>2179</v>
      </c>
      <c r="AT3032" t="s">
        <v>88</v>
      </c>
      <c r="AU3032" t="s">
        <v>110</v>
      </c>
      <c r="AV3032" s="14">
        <v>1397.6106</v>
      </c>
    </row>
    <row r="3033" spans="29:48">
      <c r="AC3033"/>
      <c r="AH3033" t="s">
        <v>1917</v>
      </c>
      <c r="AI3033" t="s">
        <v>68</v>
      </c>
      <c r="AJ3033" t="s">
        <v>66</v>
      </c>
      <c r="AK3033" s="3" t="s">
        <v>27</v>
      </c>
      <c r="AL3033" s="3">
        <v>-14265.5</v>
      </c>
      <c r="AS3033" t="s">
        <v>2179</v>
      </c>
      <c r="AT3033" t="s">
        <v>88</v>
      </c>
      <c r="AU3033" t="s">
        <v>111</v>
      </c>
      <c r="AV3033" s="14">
        <v>6500</v>
      </c>
    </row>
    <row r="3034" spans="29:48">
      <c r="AC3034"/>
      <c r="AH3034" t="s">
        <v>1917</v>
      </c>
      <c r="AI3034" t="s">
        <v>68</v>
      </c>
      <c r="AJ3034" t="s">
        <v>72</v>
      </c>
      <c r="AK3034" s="3" t="s">
        <v>27</v>
      </c>
      <c r="AL3034" s="3">
        <v>-14815.471685</v>
      </c>
      <c r="AS3034" t="s">
        <v>2179</v>
      </c>
      <c r="AT3034" t="s">
        <v>88</v>
      </c>
      <c r="AU3034" t="s">
        <v>268</v>
      </c>
      <c r="AV3034" s="14">
        <v>1900</v>
      </c>
    </row>
    <row r="3035" spans="29:48">
      <c r="AC3035"/>
      <c r="AH3035" t="s">
        <v>1917</v>
      </c>
      <c r="AI3035" t="s">
        <v>68</v>
      </c>
      <c r="AJ3035" t="s">
        <v>113</v>
      </c>
      <c r="AK3035" s="3" t="s">
        <v>27</v>
      </c>
      <c r="AL3035" s="3">
        <v>247.02719630140001</v>
      </c>
      <c r="AS3035" t="s">
        <v>2179</v>
      </c>
      <c r="AT3035" t="s">
        <v>88</v>
      </c>
      <c r="AU3035" t="s">
        <v>269</v>
      </c>
      <c r="AV3035" s="14">
        <v>0</v>
      </c>
    </row>
    <row r="3036" spans="29:48">
      <c r="AC3036"/>
      <c r="AH3036" t="s">
        <v>1917</v>
      </c>
      <c r="AI3036" t="s">
        <v>68</v>
      </c>
      <c r="AJ3036" t="s">
        <v>108</v>
      </c>
      <c r="AK3036" s="3" t="s">
        <v>27</v>
      </c>
      <c r="AL3036" s="3">
        <v>-549.97168499999998</v>
      </c>
      <c r="AS3036" t="s">
        <v>2179</v>
      </c>
      <c r="AT3036" t="s">
        <v>88</v>
      </c>
      <c r="AU3036" t="s">
        <v>270</v>
      </c>
      <c r="AV3036" s="14">
        <v>0</v>
      </c>
    </row>
    <row r="3037" spans="29:48">
      <c r="AC3037"/>
      <c r="AH3037" t="s">
        <v>1917</v>
      </c>
      <c r="AI3037" t="s">
        <v>68</v>
      </c>
      <c r="AJ3037" t="s">
        <v>98</v>
      </c>
      <c r="AK3037" s="3" t="s">
        <v>27</v>
      </c>
      <c r="AL3037" s="3">
        <v>495.68534499999998</v>
      </c>
      <c r="AS3037" t="s">
        <v>2179</v>
      </c>
      <c r="AT3037" t="s">
        <v>88</v>
      </c>
      <c r="AU3037" t="s">
        <v>271</v>
      </c>
      <c r="AV3037" s="14">
        <v>-900</v>
      </c>
    </row>
    <row r="3038" spans="29:48">
      <c r="AC3038"/>
      <c r="AH3038" t="s">
        <v>1917</v>
      </c>
      <c r="AI3038" t="s">
        <v>68</v>
      </c>
      <c r="AJ3038" t="s">
        <v>66</v>
      </c>
      <c r="AK3038" s="3" t="s">
        <v>114</v>
      </c>
      <c r="AL3038" s="3">
        <v>5270</v>
      </c>
      <c r="AS3038" t="s">
        <v>2179</v>
      </c>
      <c r="AT3038" t="s">
        <v>88</v>
      </c>
      <c r="AU3038" t="s">
        <v>272</v>
      </c>
      <c r="AV3038" s="14">
        <v>0</v>
      </c>
    </row>
    <row r="3039" spans="29:48">
      <c r="AC3039"/>
      <c r="AH3039" t="s">
        <v>1917</v>
      </c>
      <c r="AI3039" t="s">
        <v>68</v>
      </c>
      <c r="AJ3039" t="s">
        <v>98</v>
      </c>
      <c r="AK3039" s="3" t="s">
        <v>114</v>
      </c>
      <c r="AL3039" s="3">
        <v>-78.761740000000003</v>
      </c>
      <c r="AS3039" t="s">
        <v>2179</v>
      </c>
      <c r="AT3039" t="s">
        <v>88</v>
      </c>
      <c r="AU3039" t="s">
        <v>273</v>
      </c>
      <c r="AV3039" s="14">
        <v>0</v>
      </c>
    </row>
    <row r="3040" spans="29:48">
      <c r="AC3040"/>
      <c r="AH3040" t="s">
        <v>1917</v>
      </c>
      <c r="AI3040" t="s">
        <v>68</v>
      </c>
      <c r="AJ3040" t="s">
        <v>66</v>
      </c>
      <c r="AK3040" s="3" t="s">
        <v>115</v>
      </c>
      <c r="AL3040" s="3">
        <v>19535.5</v>
      </c>
      <c r="AS3040" t="s">
        <v>2180</v>
      </c>
      <c r="AT3040" t="s">
        <v>88</v>
      </c>
      <c r="AU3040" t="s">
        <v>109</v>
      </c>
      <c r="AV3040" s="14">
        <v>22334.4067</v>
      </c>
    </row>
    <row r="3041" spans="29:48">
      <c r="AC3041"/>
      <c r="AH3041" t="s">
        <v>1917</v>
      </c>
      <c r="AI3041" t="s">
        <v>68</v>
      </c>
      <c r="AJ3041" t="s">
        <v>98</v>
      </c>
      <c r="AK3041" s="3" t="s">
        <v>115</v>
      </c>
      <c r="AL3041" s="3">
        <v>-574.44708500000002</v>
      </c>
      <c r="AS3041" t="s">
        <v>2180</v>
      </c>
      <c r="AT3041" t="s">
        <v>88</v>
      </c>
      <c r="AU3041" t="s">
        <v>110</v>
      </c>
      <c r="AV3041" s="14">
        <v>1397.6106</v>
      </c>
    </row>
    <row r="3042" spans="29:48">
      <c r="AC3042"/>
      <c r="AH3042" t="s">
        <v>1918</v>
      </c>
      <c r="AI3042" t="s">
        <v>65</v>
      </c>
      <c r="AJ3042" t="s">
        <v>66</v>
      </c>
      <c r="AK3042" s="3" t="s">
        <v>27</v>
      </c>
      <c r="AL3042" s="3">
        <v>26474</v>
      </c>
      <c r="AS3042" t="s">
        <v>2180</v>
      </c>
      <c r="AT3042" t="s">
        <v>88</v>
      </c>
      <c r="AU3042" t="s">
        <v>111</v>
      </c>
      <c r="AV3042" s="14">
        <v>6500</v>
      </c>
    </row>
    <row r="3043" spans="29:48">
      <c r="AC3043"/>
      <c r="AH3043" t="s">
        <v>1918</v>
      </c>
      <c r="AI3043" t="s">
        <v>65</v>
      </c>
      <c r="AJ3043" t="s">
        <v>72</v>
      </c>
      <c r="AK3043" s="3" t="s">
        <v>27</v>
      </c>
      <c r="AL3043" s="3">
        <v>27190.815435</v>
      </c>
      <c r="AS3043" t="s">
        <v>2180</v>
      </c>
      <c r="AT3043" t="s">
        <v>88</v>
      </c>
      <c r="AU3043" t="s">
        <v>268</v>
      </c>
      <c r="AV3043" s="14">
        <v>400</v>
      </c>
    </row>
    <row r="3044" spans="29:48">
      <c r="AC3044"/>
      <c r="AH3044" t="s">
        <v>1918</v>
      </c>
      <c r="AI3044" t="s">
        <v>65</v>
      </c>
      <c r="AJ3044" t="s">
        <v>113</v>
      </c>
      <c r="AK3044" s="3" t="s">
        <v>27</v>
      </c>
      <c r="AL3044" s="3">
        <v>1715.6113732125</v>
      </c>
      <c r="AS3044" t="s">
        <v>2180</v>
      </c>
      <c r="AT3044" t="s">
        <v>88</v>
      </c>
      <c r="AU3044" t="s">
        <v>269</v>
      </c>
      <c r="AV3044" s="14">
        <v>0</v>
      </c>
    </row>
    <row r="3045" spans="29:48">
      <c r="AC3045"/>
      <c r="AH3045" t="s">
        <v>1918</v>
      </c>
      <c r="AI3045" t="s">
        <v>65</v>
      </c>
      <c r="AJ3045" t="s">
        <v>108</v>
      </c>
      <c r="AK3045" s="3" t="s">
        <v>27</v>
      </c>
      <c r="AL3045" s="3">
        <v>-998.7959382125</v>
      </c>
      <c r="AS3045" t="s">
        <v>2180</v>
      </c>
      <c r="AT3045" t="s">
        <v>88</v>
      </c>
      <c r="AU3045" t="s">
        <v>270</v>
      </c>
      <c r="AV3045" s="14">
        <v>0</v>
      </c>
    </row>
    <row r="3046" spans="29:48">
      <c r="AC3046"/>
      <c r="AH3046" t="s">
        <v>1918</v>
      </c>
      <c r="AI3046" t="s">
        <v>65</v>
      </c>
      <c r="AJ3046" t="s">
        <v>98</v>
      </c>
      <c r="AK3046" s="3" t="s">
        <v>27</v>
      </c>
      <c r="AL3046" s="3">
        <v>-1062.7489499999999</v>
      </c>
      <c r="AS3046" t="s">
        <v>2180</v>
      </c>
      <c r="AT3046" t="s">
        <v>88</v>
      </c>
      <c r="AU3046" t="s">
        <v>271</v>
      </c>
      <c r="AV3046" s="14">
        <v>-400</v>
      </c>
    </row>
    <row r="3047" spans="29:48">
      <c r="AC3047"/>
      <c r="AH3047" t="s">
        <v>1918</v>
      </c>
      <c r="AI3047" t="s">
        <v>67</v>
      </c>
      <c r="AJ3047" t="s">
        <v>66</v>
      </c>
      <c r="AK3047" s="3" t="s">
        <v>27</v>
      </c>
      <c r="AL3047" s="3">
        <v>-6420.5</v>
      </c>
      <c r="AS3047" t="s">
        <v>2180</v>
      </c>
      <c r="AT3047" t="s">
        <v>88</v>
      </c>
      <c r="AU3047" t="s">
        <v>272</v>
      </c>
      <c r="AV3047" s="14">
        <v>0</v>
      </c>
    </row>
    <row r="3048" spans="29:48">
      <c r="AC3048"/>
      <c r="AH3048" t="s">
        <v>1918</v>
      </c>
      <c r="AI3048" t="s">
        <v>67</v>
      </c>
      <c r="AJ3048" t="s">
        <v>72</v>
      </c>
      <c r="AK3048" s="3" t="s">
        <v>27</v>
      </c>
      <c r="AL3048" s="3">
        <v>-7031.5643600000003</v>
      </c>
      <c r="AS3048" t="s">
        <v>2180</v>
      </c>
      <c r="AT3048" t="s">
        <v>88</v>
      </c>
      <c r="AU3048" t="s">
        <v>273</v>
      </c>
      <c r="AV3048" s="14">
        <v>0</v>
      </c>
    </row>
    <row r="3049" spans="29:48">
      <c r="AC3049"/>
      <c r="AH3049" t="s">
        <v>1918</v>
      </c>
      <c r="AI3049" t="s">
        <v>67</v>
      </c>
      <c r="AJ3049" t="s">
        <v>113</v>
      </c>
      <c r="AK3049" s="3" t="s">
        <v>27</v>
      </c>
      <c r="AL3049" s="3">
        <v>55.530417808199999</v>
      </c>
      <c r="AS3049" t="s">
        <v>2181</v>
      </c>
      <c r="AT3049" t="s">
        <v>88</v>
      </c>
      <c r="AU3049" t="s">
        <v>109</v>
      </c>
      <c r="AV3049" s="14">
        <v>22534.4067</v>
      </c>
    </row>
    <row r="3050" spans="29:48">
      <c r="AC3050"/>
      <c r="AH3050" t="s">
        <v>1918</v>
      </c>
      <c r="AI3050" t="s">
        <v>67</v>
      </c>
      <c r="AJ3050" t="s">
        <v>108</v>
      </c>
      <c r="AK3050" s="3" t="s">
        <v>27</v>
      </c>
      <c r="AL3050" s="3">
        <v>-666.59477780819998</v>
      </c>
      <c r="AS3050" t="s">
        <v>2181</v>
      </c>
      <c r="AT3050" t="s">
        <v>88</v>
      </c>
      <c r="AU3050" t="s">
        <v>110</v>
      </c>
      <c r="AV3050" s="14">
        <v>1397.6106</v>
      </c>
    </row>
    <row r="3051" spans="29:48">
      <c r="AC3051"/>
      <c r="AH3051" t="s">
        <v>1918</v>
      </c>
      <c r="AI3051" t="s">
        <v>67</v>
      </c>
      <c r="AJ3051" t="s">
        <v>98</v>
      </c>
      <c r="AK3051" s="3" t="s">
        <v>27</v>
      </c>
      <c r="AL3051" s="3">
        <v>125.211085</v>
      </c>
      <c r="AS3051" t="s">
        <v>2181</v>
      </c>
      <c r="AT3051" t="s">
        <v>88</v>
      </c>
      <c r="AU3051" t="s">
        <v>111</v>
      </c>
      <c r="AV3051" s="14">
        <v>6500</v>
      </c>
    </row>
    <row r="3052" spans="29:48">
      <c r="AC3052"/>
      <c r="AH3052" t="s">
        <v>1918</v>
      </c>
      <c r="AI3052" t="s">
        <v>67</v>
      </c>
      <c r="AJ3052" t="s">
        <v>66</v>
      </c>
      <c r="AK3052" s="3" t="s">
        <v>114</v>
      </c>
      <c r="AL3052" s="3">
        <v>330</v>
      </c>
      <c r="AS3052" t="s">
        <v>2181</v>
      </c>
      <c r="AT3052" t="s">
        <v>88</v>
      </c>
      <c r="AU3052" t="s">
        <v>268</v>
      </c>
      <c r="AV3052" s="14">
        <v>-500</v>
      </c>
    </row>
    <row r="3053" spans="29:48">
      <c r="AC3053"/>
      <c r="AH3053" t="s">
        <v>1918</v>
      </c>
      <c r="AI3053" t="s">
        <v>67</v>
      </c>
      <c r="AJ3053" t="s">
        <v>98</v>
      </c>
      <c r="AK3053" s="3" t="s">
        <v>114</v>
      </c>
      <c r="AL3053" s="3">
        <v>-22.007899999999999</v>
      </c>
      <c r="AS3053" t="s">
        <v>2181</v>
      </c>
      <c r="AT3053" t="s">
        <v>88</v>
      </c>
      <c r="AU3053" t="s">
        <v>269</v>
      </c>
      <c r="AV3053" s="14">
        <v>0</v>
      </c>
    </row>
    <row r="3054" spans="29:48">
      <c r="AC3054"/>
      <c r="AH3054" t="s">
        <v>1918</v>
      </c>
      <c r="AI3054" t="s">
        <v>67</v>
      </c>
      <c r="AJ3054" t="s">
        <v>66</v>
      </c>
      <c r="AK3054" s="3" t="s">
        <v>115</v>
      </c>
      <c r="AL3054" s="3">
        <v>6750.5</v>
      </c>
      <c r="AS3054" t="s">
        <v>2181</v>
      </c>
      <c r="AT3054" t="s">
        <v>88</v>
      </c>
      <c r="AU3054" t="s">
        <v>270</v>
      </c>
      <c r="AV3054" s="14">
        <v>0</v>
      </c>
    </row>
    <row r="3055" spans="29:48">
      <c r="AC3055"/>
      <c r="AH3055" t="s">
        <v>1918</v>
      </c>
      <c r="AI3055" t="s">
        <v>67</v>
      </c>
      <c r="AJ3055" t="s">
        <v>98</v>
      </c>
      <c r="AK3055" s="3" t="s">
        <v>115</v>
      </c>
      <c r="AL3055" s="3">
        <v>-147.218985</v>
      </c>
      <c r="AS3055" t="s">
        <v>2181</v>
      </c>
      <c r="AT3055" t="s">
        <v>88</v>
      </c>
      <c r="AU3055" t="s">
        <v>271</v>
      </c>
      <c r="AV3055" s="14">
        <v>500</v>
      </c>
    </row>
    <row r="3056" spans="29:48">
      <c r="AC3056"/>
      <c r="AH3056" t="s">
        <v>1918</v>
      </c>
      <c r="AI3056" t="s">
        <v>68</v>
      </c>
      <c r="AJ3056" t="s">
        <v>66</v>
      </c>
      <c r="AK3056" s="3" t="s">
        <v>27</v>
      </c>
      <c r="AL3056" s="3">
        <v>-13612.5</v>
      </c>
      <c r="AS3056" t="s">
        <v>2181</v>
      </c>
      <c r="AT3056" t="s">
        <v>88</v>
      </c>
      <c r="AU3056" t="s">
        <v>272</v>
      </c>
      <c r="AV3056" s="14">
        <v>0</v>
      </c>
    </row>
    <row r="3057" spans="29:48">
      <c r="AC3057"/>
      <c r="AH3057" t="s">
        <v>1918</v>
      </c>
      <c r="AI3057" t="s">
        <v>68</v>
      </c>
      <c r="AJ3057" t="s">
        <v>72</v>
      </c>
      <c r="AK3057" s="3" t="s">
        <v>27</v>
      </c>
      <c r="AL3057" s="3">
        <v>-14103.765255</v>
      </c>
      <c r="AS3057" t="s">
        <v>2181</v>
      </c>
      <c r="AT3057" t="s">
        <v>88</v>
      </c>
      <c r="AU3057" t="s">
        <v>273</v>
      </c>
      <c r="AV3057" s="14">
        <v>0</v>
      </c>
    </row>
    <row r="3058" spans="29:48">
      <c r="AC3058"/>
      <c r="AH3058" t="s">
        <v>1918</v>
      </c>
      <c r="AI3058" t="s">
        <v>68</v>
      </c>
      <c r="AJ3058" t="s">
        <v>113</v>
      </c>
      <c r="AK3058" s="3" t="s">
        <v>27</v>
      </c>
      <c r="AL3058" s="3">
        <v>238.0554580822</v>
      </c>
      <c r="AS3058" t="s">
        <v>2182</v>
      </c>
      <c r="AT3058" t="s">
        <v>88</v>
      </c>
      <c r="AU3058" t="s">
        <v>109</v>
      </c>
      <c r="AV3058" s="14">
        <v>20684.4067</v>
      </c>
    </row>
    <row r="3059" spans="29:48">
      <c r="AC3059"/>
      <c r="AH3059" t="s">
        <v>1918</v>
      </c>
      <c r="AI3059" t="s">
        <v>68</v>
      </c>
      <c r="AJ3059" t="s">
        <v>108</v>
      </c>
      <c r="AK3059" s="3" t="s">
        <v>27</v>
      </c>
      <c r="AL3059" s="3">
        <v>-491.26525500000002</v>
      </c>
      <c r="AS3059" t="s">
        <v>2182</v>
      </c>
      <c r="AT3059" t="s">
        <v>88</v>
      </c>
      <c r="AU3059" t="s">
        <v>110</v>
      </c>
      <c r="AV3059" s="14">
        <v>1397.6106</v>
      </c>
    </row>
    <row r="3060" spans="29:48">
      <c r="AC3060"/>
      <c r="AH3060" t="s">
        <v>1918</v>
      </c>
      <c r="AI3060" t="s">
        <v>68</v>
      </c>
      <c r="AJ3060" t="s">
        <v>98</v>
      </c>
      <c r="AK3060" s="3" t="s">
        <v>27</v>
      </c>
      <c r="AL3060" s="3">
        <v>444.46927499999998</v>
      </c>
      <c r="AS3060" t="s">
        <v>2182</v>
      </c>
      <c r="AT3060" t="s">
        <v>88</v>
      </c>
      <c r="AU3060" t="s">
        <v>111</v>
      </c>
      <c r="AV3060" s="14">
        <v>6500</v>
      </c>
    </row>
    <row r="3061" spans="29:48">
      <c r="AC3061"/>
      <c r="AH3061" t="s">
        <v>1918</v>
      </c>
      <c r="AI3061" t="s">
        <v>68</v>
      </c>
      <c r="AJ3061" t="s">
        <v>66</v>
      </c>
      <c r="AK3061" s="3" t="s">
        <v>114</v>
      </c>
      <c r="AL3061" s="3">
        <v>5156</v>
      </c>
      <c r="AS3061" t="s">
        <v>2182</v>
      </c>
      <c r="AT3061" t="s">
        <v>88</v>
      </c>
      <c r="AU3061" t="s">
        <v>268</v>
      </c>
      <c r="AV3061" s="14">
        <v>1850</v>
      </c>
    </row>
    <row r="3062" spans="29:48">
      <c r="AC3062"/>
      <c r="AH3062" t="s">
        <v>1918</v>
      </c>
      <c r="AI3062" t="s">
        <v>68</v>
      </c>
      <c r="AJ3062" t="s">
        <v>98</v>
      </c>
      <c r="AK3062" s="3" t="s">
        <v>114</v>
      </c>
      <c r="AL3062" s="3">
        <v>-87.044269999999997</v>
      </c>
      <c r="AS3062" t="s">
        <v>2182</v>
      </c>
      <c r="AT3062" t="s">
        <v>88</v>
      </c>
      <c r="AU3062" t="s">
        <v>269</v>
      </c>
      <c r="AV3062" s="14">
        <v>0</v>
      </c>
    </row>
    <row r="3063" spans="29:48">
      <c r="AC3063"/>
      <c r="AH3063" t="s">
        <v>1918</v>
      </c>
      <c r="AI3063" t="s">
        <v>68</v>
      </c>
      <c r="AJ3063" t="s">
        <v>66</v>
      </c>
      <c r="AK3063" s="3" t="s">
        <v>115</v>
      </c>
      <c r="AL3063" s="3">
        <v>18768.5</v>
      </c>
      <c r="AS3063" t="s">
        <v>2182</v>
      </c>
      <c r="AT3063" t="s">
        <v>88</v>
      </c>
      <c r="AU3063" t="s">
        <v>270</v>
      </c>
      <c r="AV3063" s="14">
        <v>0</v>
      </c>
    </row>
    <row r="3064" spans="29:48">
      <c r="AC3064"/>
      <c r="AH3064" t="s">
        <v>1918</v>
      </c>
      <c r="AI3064" t="s">
        <v>68</v>
      </c>
      <c r="AJ3064" t="s">
        <v>98</v>
      </c>
      <c r="AK3064" s="3" t="s">
        <v>115</v>
      </c>
      <c r="AL3064" s="3">
        <v>-531.51354500000002</v>
      </c>
      <c r="AS3064" t="s">
        <v>2182</v>
      </c>
      <c r="AT3064" t="s">
        <v>88</v>
      </c>
      <c r="AU3064" t="s">
        <v>271</v>
      </c>
      <c r="AV3064" s="14">
        <v>-500</v>
      </c>
    </row>
    <row r="3065" spans="29:48">
      <c r="AC3065"/>
      <c r="AH3065" t="s">
        <v>1919</v>
      </c>
      <c r="AI3065" t="s">
        <v>65</v>
      </c>
      <c r="AJ3065" t="s">
        <v>66</v>
      </c>
      <c r="AK3065" s="3" t="s">
        <v>27</v>
      </c>
      <c r="AL3065" s="3">
        <v>26987</v>
      </c>
      <c r="AS3065" t="s">
        <v>2182</v>
      </c>
      <c r="AT3065" t="s">
        <v>88</v>
      </c>
      <c r="AU3065" t="s">
        <v>272</v>
      </c>
      <c r="AV3065" s="14">
        <v>0</v>
      </c>
    </row>
    <row r="3066" spans="29:48">
      <c r="AC3066"/>
      <c r="AH3066" t="s">
        <v>1919</v>
      </c>
      <c r="AI3066" t="s">
        <v>65</v>
      </c>
      <c r="AJ3066" t="s">
        <v>72</v>
      </c>
      <c r="AK3066" s="3" t="s">
        <v>27</v>
      </c>
      <c r="AL3066" s="3">
        <v>27765.44486</v>
      </c>
      <c r="AS3066" t="s">
        <v>2182</v>
      </c>
      <c r="AT3066" t="s">
        <v>88</v>
      </c>
      <c r="AU3066" t="s">
        <v>273</v>
      </c>
      <c r="AV3066" s="14">
        <v>0</v>
      </c>
    </row>
    <row r="3067" spans="29:48">
      <c r="AC3067"/>
      <c r="AH3067" t="s">
        <v>1919</v>
      </c>
      <c r="AI3067" t="s">
        <v>65</v>
      </c>
      <c r="AJ3067" t="s">
        <v>113</v>
      </c>
      <c r="AK3067" s="3" t="s">
        <v>27</v>
      </c>
      <c r="AL3067" s="3">
        <v>1813.9176127746</v>
      </c>
      <c r="AS3067" t="s">
        <v>2183</v>
      </c>
      <c r="AT3067" t="s">
        <v>88</v>
      </c>
      <c r="AU3067" t="s">
        <v>109</v>
      </c>
      <c r="AV3067" s="14">
        <v>20484.4067</v>
      </c>
    </row>
    <row r="3068" spans="29:48">
      <c r="AC3068"/>
      <c r="AH3068" t="s">
        <v>1919</v>
      </c>
      <c r="AI3068" t="s">
        <v>65</v>
      </c>
      <c r="AJ3068" t="s">
        <v>108</v>
      </c>
      <c r="AK3068" s="3" t="s">
        <v>27</v>
      </c>
      <c r="AL3068" s="3">
        <v>-1035.4727527745999</v>
      </c>
      <c r="AS3068" t="s">
        <v>2183</v>
      </c>
      <c r="AT3068" t="s">
        <v>88</v>
      </c>
      <c r="AU3068" t="s">
        <v>110</v>
      </c>
      <c r="AV3068" s="14">
        <v>1397.6106</v>
      </c>
    </row>
    <row r="3069" spans="29:48">
      <c r="AC3069"/>
      <c r="AH3069" t="s">
        <v>1919</v>
      </c>
      <c r="AI3069" t="s">
        <v>65</v>
      </c>
      <c r="AJ3069" t="s">
        <v>98</v>
      </c>
      <c r="AK3069" s="3" t="s">
        <v>27</v>
      </c>
      <c r="AL3069" s="3">
        <v>-1098.8028750000001</v>
      </c>
      <c r="AS3069" t="s">
        <v>2183</v>
      </c>
      <c r="AT3069" t="s">
        <v>88</v>
      </c>
      <c r="AU3069" t="s">
        <v>111</v>
      </c>
      <c r="AV3069" s="14">
        <v>6500</v>
      </c>
    </row>
    <row r="3070" spans="29:48">
      <c r="AC3070"/>
      <c r="AH3070" t="s">
        <v>1919</v>
      </c>
      <c r="AI3070" t="s">
        <v>67</v>
      </c>
      <c r="AJ3070" t="s">
        <v>66</v>
      </c>
      <c r="AK3070" s="3" t="s">
        <v>27</v>
      </c>
      <c r="AL3070" s="3">
        <v>-7033.5</v>
      </c>
      <c r="AS3070" t="s">
        <v>2183</v>
      </c>
      <c r="AT3070" t="s">
        <v>88</v>
      </c>
      <c r="AU3070" t="s">
        <v>268</v>
      </c>
      <c r="AV3070" s="14">
        <v>3550</v>
      </c>
    </row>
    <row r="3071" spans="29:48">
      <c r="AC3071"/>
      <c r="AH3071" t="s">
        <v>1919</v>
      </c>
      <c r="AI3071" t="s">
        <v>67</v>
      </c>
      <c r="AJ3071" t="s">
        <v>72</v>
      </c>
      <c r="AK3071" s="3" t="s">
        <v>27</v>
      </c>
      <c r="AL3071" s="3">
        <v>-7709.9589699999997</v>
      </c>
      <c r="AS3071" t="s">
        <v>2183</v>
      </c>
      <c r="AT3071" t="s">
        <v>88</v>
      </c>
      <c r="AU3071" t="s">
        <v>269</v>
      </c>
      <c r="AV3071" s="14">
        <v>0</v>
      </c>
    </row>
    <row r="3072" spans="29:48">
      <c r="AC3072"/>
      <c r="AH3072" t="s">
        <v>1919</v>
      </c>
      <c r="AI3072" t="s">
        <v>67</v>
      </c>
      <c r="AJ3072" t="s">
        <v>113</v>
      </c>
      <c r="AK3072" s="3" t="s">
        <v>27</v>
      </c>
      <c r="AL3072" s="3">
        <v>-0.20287671230000001</v>
      </c>
      <c r="AS3072" t="s">
        <v>2183</v>
      </c>
      <c r="AT3072" t="s">
        <v>88</v>
      </c>
      <c r="AU3072" t="s">
        <v>270</v>
      </c>
      <c r="AV3072" s="14">
        <v>0</v>
      </c>
    </row>
    <row r="3073" spans="29:48">
      <c r="AC3073"/>
      <c r="AH3073" t="s">
        <v>1919</v>
      </c>
      <c r="AI3073" t="s">
        <v>67</v>
      </c>
      <c r="AJ3073" t="s">
        <v>108</v>
      </c>
      <c r="AK3073" s="3" t="s">
        <v>27</v>
      </c>
      <c r="AL3073" s="3">
        <v>-676.25609328769997</v>
      </c>
      <c r="AS3073" t="s">
        <v>2183</v>
      </c>
      <c r="AT3073" t="s">
        <v>88</v>
      </c>
      <c r="AU3073" t="s">
        <v>271</v>
      </c>
      <c r="AV3073" s="14">
        <v>500</v>
      </c>
    </row>
    <row r="3074" spans="29:48">
      <c r="AC3074"/>
      <c r="AH3074" t="s">
        <v>1919</v>
      </c>
      <c r="AI3074" t="s">
        <v>67</v>
      </c>
      <c r="AJ3074" t="s">
        <v>98</v>
      </c>
      <c r="AK3074" s="3" t="s">
        <v>27</v>
      </c>
      <c r="AL3074" s="3">
        <v>169.637125</v>
      </c>
      <c r="AS3074" t="s">
        <v>2183</v>
      </c>
      <c r="AT3074" t="s">
        <v>88</v>
      </c>
      <c r="AU3074" t="s">
        <v>272</v>
      </c>
      <c r="AV3074" s="14">
        <v>0</v>
      </c>
    </row>
    <row r="3075" spans="29:48">
      <c r="AC3075"/>
      <c r="AH3075" t="s">
        <v>1919</v>
      </c>
      <c r="AI3075" t="s">
        <v>67</v>
      </c>
      <c r="AJ3075" t="s">
        <v>66</v>
      </c>
      <c r="AK3075" s="3" t="s">
        <v>114</v>
      </c>
      <c r="AL3075" s="3">
        <v>100</v>
      </c>
      <c r="AS3075" t="s">
        <v>2183</v>
      </c>
      <c r="AT3075" t="s">
        <v>88</v>
      </c>
      <c r="AU3075" t="s">
        <v>273</v>
      </c>
      <c r="AV3075" s="14">
        <v>0</v>
      </c>
    </row>
    <row r="3076" spans="29:48">
      <c r="AC3076"/>
      <c r="AH3076" t="s">
        <v>1919</v>
      </c>
      <c r="AI3076" t="s">
        <v>67</v>
      </c>
      <c r="AJ3076" t="s">
        <v>98</v>
      </c>
      <c r="AK3076" s="3" t="s">
        <v>114</v>
      </c>
      <c r="AL3076" s="3">
        <v>-1.375</v>
      </c>
      <c r="AS3076" t="s">
        <v>2184</v>
      </c>
      <c r="AT3076" t="s">
        <v>88</v>
      </c>
      <c r="AU3076" t="s">
        <v>109</v>
      </c>
      <c r="AV3076" s="14">
        <v>18134.4067</v>
      </c>
    </row>
    <row r="3077" spans="29:48">
      <c r="AC3077"/>
      <c r="AH3077" t="s">
        <v>1919</v>
      </c>
      <c r="AI3077" t="s">
        <v>67</v>
      </c>
      <c r="AJ3077" t="s">
        <v>66</v>
      </c>
      <c r="AK3077" s="3" t="s">
        <v>115</v>
      </c>
      <c r="AL3077" s="3">
        <v>7133.5</v>
      </c>
      <c r="AS3077" t="s">
        <v>2184</v>
      </c>
      <c r="AT3077" t="s">
        <v>88</v>
      </c>
      <c r="AU3077" t="s">
        <v>110</v>
      </c>
      <c r="AV3077" s="14">
        <v>1397.6106</v>
      </c>
    </row>
    <row r="3078" spans="29:48">
      <c r="AC3078"/>
      <c r="AH3078" t="s">
        <v>1919</v>
      </c>
      <c r="AI3078" t="s">
        <v>67</v>
      </c>
      <c r="AJ3078" t="s">
        <v>98</v>
      </c>
      <c r="AK3078" s="3" t="s">
        <v>115</v>
      </c>
      <c r="AL3078" s="3">
        <v>-171.012125</v>
      </c>
      <c r="AS3078" t="s">
        <v>2184</v>
      </c>
      <c r="AT3078" t="s">
        <v>88</v>
      </c>
      <c r="AU3078" t="s">
        <v>111</v>
      </c>
      <c r="AV3078" s="14">
        <v>6500</v>
      </c>
    </row>
    <row r="3079" spans="29:48">
      <c r="AC3079"/>
      <c r="AH3079" t="s">
        <v>1919</v>
      </c>
      <c r="AI3079" t="s">
        <v>68</v>
      </c>
      <c r="AJ3079" t="s">
        <v>66</v>
      </c>
      <c r="AK3079" s="3" t="s">
        <v>27</v>
      </c>
      <c r="AL3079" s="3">
        <v>-13512.5</v>
      </c>
      <c r="AS3079" t="s">
        <v>2184</v>
      </c>
      <c r="AT3079" t="s">
        <v>88</v>
      </c>
      <c r="AU3079" t="s">
        <v>268</v>
      </c>
      <c r="AV3079" s="14">
        <v>4550</v>
      </c>
    </row>
    <row r="3080" spans="29:48">
      <c r="AC3080"/>
      <c r="AH3080" t="s">
        <v>1919</v>
      </c>
      <c r="AI3080" t="s">
        <v>68</v>
      </c>
      <c r="AJ3080" t="s">
        <v>72</v>
      </c>
      <c r="AK3080" s="3" t="s">
        <v>27</v>
      </c>
      <c r="AL3080" s="3">
        <v>-14000.82588</v>
      </c>
      <c r="AS3080" t="s">
        <v>2184</v>
      </c>
      <c r="AT3080" t="s">
        <v>88</v>
      </c>
      <c r="AU3080" t="s">
        <v>269</v>
      </c>
      <c r="AV3080" s="14">
        <v>0</v>
      </c>
    </row>
    <row r="3081" spans="29:48">
      <c r="AC3081"/>
      <c r="AH3081" t="s">
        <v>1919</v>
      </c>
      <c r="AI3081" t="s">
        <v>68</v>
      </c>
      <c r="AJ3081" t="s">
        <v>113</v>
      </c>
      <c r="AK3081" s="3" t="s">
        <v>27</v>
      </c>
      <c r="AL3081" s="3">
        <v>384.36572876709999</v>
      </c>
      <c r="AS3081" t="s">
        <v>2184</v>
      </c>
      <c r="AT3081" t="s">
        <v>88</v>
      </c>
      <c r="AU3081" t="s">
        <v>270</v>
      </c>
      <c r="AV3081" s="14">
        <v>0</v>
      </c>
    </row>
    <row r="3082" spans="29:48">
      <c r="AC3082"/>
      <c r="AH3082" t="s">
        <v>1919</v>
      </c>
      <c r="AI3082" t="s">
        <v>68</v>
      </c>
      <c r="AJ3082" t="s">
        <v>108</v>
      </c>
      <c r="AK3082" s="3" t="s">
        <v>27</v>
      </c>
      <c r="AL3082" s="3">
        <v>-488.32587999999998</v>
      </c>
      <c r="AS3082" t="s">
        <v>2184</v>
      </c>
      <c r="AT3082" t="s">
        <v>88</v>
      </c>
      <c r="AU3082" t="s">
        <v>271</v>
      </c>
      <c r="AV3082" s="14">
        <v>1500</v>
      </c>
    </row>
    <row r="3083" spans="29:48">
      <c r="AC3083"/>
      <c r="AH3083" t="s">
        <v>1919</v>
      </c>
      <c r="AI3083" t="s">
        <v>68</v>
      </c>
      <c r="AJ3083" t="s">
        <v>98</v>
      </c>
      <c r="AK3083" s="3" t="s">
        <v>27</v>
      </c>
      <c r="AL3083" s="3">
        <v>435.26434999999998</v>
      </c>
      <c r="AS3083" t="s">
        <v>2184</v>
      </c>
      <c r="AT3083" t="s">
        <v>88</v>
      </c>
      <c r="AU3083" t="s">
        <v>272</v>
      </c>
      <c r="AV3083" s="14">
        <v>0</v>
      </c>
    </row>
    <row r="3084" spans="29:48">
      <c r="AC3084"/>
      <c r="AH3084" t="s">
        <v>1919</v>
      </c>
      <c r="AI3084" t="s">
        <v>68</v>
      </c>
      <c r="AJ3084" t="s">
        <v>66</v>
      </c>
      <c r="AK3084" s="3" t="s">
        <v>114</v>
      </c>
      <c r="AL3084" s="3">
        <v>2978</v>
      </c>
      <c r="AS3084" t="s">
        <v>2184</v>
      </c>
      <c r="AT3084" t="s">
        <v>88</v>
      </c>
      <c r="AU3084" t="s">
        <v>273</v>
      </c>
      <c r="AV3084" s="14">
        <v>0</v>
      </c>
    </row>
    <row r="3085" spans="29:48">
      <c r="AC3085"/>
      <c r="AH3085" t="s">
        <v>1919</v>
      </c>
      <c r="AI3085" t="s">
        <v>68</v>
      </c>
      <c r="AJ3085" t="s">
        <v>98</v>
      </c>
      <c r="AK3085" s="3" t="s">
        <v>114</v>
      </c>
      <c r="AL3085" s="3">
        <v>-145.11206999999999</v>
      </c>
      <c r="AS3085" t="s">
        <v>2185</v>
      </c>
      <c r="AT3085" t="s">
        <v>88</v>
      </c>
      <c r="AU3085" t="s">
        <v>109</v>
      </c>
      <c r="AV3085" s="14">
        <v>18634.4067</v>
      </c>
    </row>
    <row r="3086" spans="29:48">
      <c r="AC3086"/>
      <c r="AH3086" t="s">
        <v>1919</v>
      </c>
      <c r="AI3086" t="s">
        <v>68</v>
      </c>
      <c r="AJ3086" t="s">
        <v>66</v>
      </c>
      <c r="AK3086" s="3" t="s">
        <v>115</v>
      </c>
      <c r="AL3086" s="3">
        <v>16490.5</v>
      </c>
      <c r="AS3086" t="s">
        <v>2185</v>
      </c>
      <c r="AT3086" t="s">
        <v>88</v>
      </c>
      <c r="AU3086" t="s">
        <v>110</v>
      </c>
      <c r="AV3086" s="14">
        <v>1397.6106</v>
      </c>
    </row>
    <row r="3087" spans="29:48">
      <c r="AC3087"/>
      <c r="AH3087" t="s">
        <v>1919</v>
      </c>
      <c r="AI3087" t="s">
        <v>68</v>
      </c>
      <c r="AJ3087" t="s">
        <v>98</v>
      </c>
      <c r="AK3087" s="3" t="s">
        <v>115</v>
      </c>
      <c r="AL3087" s="3">
        <v>-580.37642000000005</v>
      </c>
      <c r="AS3087" t="s">
        <v>2185</v>
      </c>
      <c r="AT3087" t="s">
        <v>88</v>
      </c>
      <c r="AU3087" t="s">
        <v>111</v>
      </c>
      <c r="AV3087" s="14">
        <v>6500</v>
      </c>
    </row>
    <row r="3088" spans="29:48">
      <c r="AC3088"/>
      <c r="AH3088" t="s">
        <v>1920</v>
      </c>
      <c r="AI3088" t="s">
        <v>65</v>
      </c>
      <c r="AJ3088" t="s">
        <v>66</v>
      </c>
      <c r="AK3088" s="3" t="s">
        <v>27</v>
      </c>
      <c r="AL3088" s="3">
        <v>27474</v>
      </c>
      <c r="AS3088" t="s">
        <v>2185</v>
      </c>
      <c r="AT3088" t="s">
        <v>88</v>
      </c>
      <c r="AU3088" t="s">
        <v>268</v>
      </c>
      <c r="AV3088" s="14">
        <v>4150</v>
      </c>
    </row>
    <row r="3089" spans="29:48">
      <c r="AC3089"/>
      <c r="AH3089" t="s">
        <v>1920</v>
      </c>
      <c r="AI3089" t="s">
        <v>65</v>
      </c>
      <c r="AJ3089" t="s">
        <v>72</v>
      </c>
      <c r="AK3089" s="3" t="s">
        <v>27</v>
      </c>
      <c r="AL3089" s="3">
        <v>28198.138070000001</v>
      </c>
      <c r="AS3089" t="s">
        <v>2185</v>
      </c>
      <c r="AT3089" t="s">
        <v>88</v>
      </c>
      <c r="AU3089" t="s">
        <v>269</v>
      </c>
      <c r="AV3089" s="14">
        <v>0</v>
      </c>
    </row>
    <row r="3090" spans="29:48">
      <c r="AC3090"/>
      <c r="AH3090" t="s">
        <v>1920</v>
      </c>
      <c r="AI3090" t="s">
        <v>65</v>
      </c>
      <c r="AJ3090" t="s">
        <v>113</v>
      </c>
      <c r="AK3090" s="3" t="s">
        <v>27</v>
      </c>
      <c r="AL3090" s="3">
        <v>1752.6083479979</v>
      </c>
      <c r="AS3090" t="s">
        <v>2185</v>
      </c>
      <c r="AT3090" t="s">
        <v>88</v>
      </c>
      <c r="AU3090" t="s">
        <v>270</v>
      </c>
      <c r="AV3090" s="14">
        <v>0</v>
      </c>
    </row>
    <row r="3091" spans="29:48">
      <c r="AC3091"/>
      <c r="AH3091" t="s">
        <v>1920</v>
      </c>
      <c r="AI3091" t="s">
        <v>65</v>
      </c>
      <c r="AJ3091" t="s">
        <v>108</v>
      </c>
      <c r="AK3091" s="3" t="s">
        <v>27</v>
      </c>
      <c r="AL3091" s="3">
        <v>-1028.4702779979</v>
      </c>
      <c r="AS3091" t="s">
        <v>2185</v>
      </c>
      <c r="AT3091" t="s">
        <v>88</v>
      </c>
      <c r="AU3091" t="s">
        <v>271</v>
      </c>
      <c r="AV3091" s="14">
        <v>2300</v>
      </c>
    </row>
    <row r="3092" spans="29:48">
      <c r="AC3092"/>
      <c r="AH3092" t="s">
        <v>1920</v>
      </c>
      <c r="AI3092" t="s">
        <v>65</v>
      </c>
      <c r="AJ3092" t="s">
        <v>98</v>
      </c>
      <c r="AK3092" s="3" t="s">
        <v>27</v>
      </c>
      <c r="AL3092" s="3">
        <v>-1091.2623149999999</v>
      </c>
      <c r="AS3092" t="s">
        <v>2185</v>
      </c>
      <c r="AT3092" t="s">
        <v>88</v>
      </c>
      <c r="AU3092" t="s">
        <v>272</v>
      </c>
      <c r="AV3092" s="14">
        <v>0</v>
      </c>
    </row>
    <row r="3093" spans="29:48">
      <c r="AC3093"/>
      <c r="AH3093" t="s">
        <v>1920</v>
      </c>
      <c r="AI3093" t="s">
        <v>67</v>
      </c>
      <c r="AJ3093" t="s">
        <v>66</v>
      </c>
      <c r="AK3093" s="3" t="s">
        <v>27</v>
      </c>
      <c r="AL3093" s="3">
        <v>-7007.5</v>
      </c>
      <c r="AS3093" t="s">
        <v>2185</v>
      </c>
      <c r="AT3093" t="s">
        <v>88</v>
      </c>
      <c r="AU3093" t="s">
        <v>273</v>
      </c>
      <c r="AV3093" s="14">
        <v>0</v>
      </c>
    </row>
    <row r="3094" spans="29:48">
      <c r="AC3094"/>
      <c r="AH3094" t="s">
        <v>1920</v>
      </c>
      <c r="AI3094" t="s">
        <v>67</v>
      </c>
      <c r="AJ3094" t="s">
        <v>72</v>
      </c>
      <c r="AK3094" s="3" t="s">
        <v>27</v>
      </c>
      <c r="AL3094" s="3">
        <v>-7560.8417399999998</v>
      </c>
      <c r="AS3094" t="s">
        <v>2186</v>
      </c>
      <c r="AT3094" t="s">
        <v>88</v>
      </c>
      <c r="AU3094" t="s">
        <v>109</v>
      </c>
      <c r="AV3094" s="14">
        <v>14744.4067</v>
      </c>
    </row>
    <row r="3095" spans="29:48">
      <c r="AC3095"/>
      <c r="AH3095" t="s">
        <v>1920</v>
      </c>
      <c r="AI3095" t="s">
        <v>67</v>
      </c>
      <c r="AJ3095" t="s">
        <v>113</v>
      </c>
      <c r="AK3095" s="3" t="s">
        <v>27</v>
      </c>
      <c r="AL3095" s="3">
        <v>97.164809589000001</v>
      </c>
      <c r="AS3095" t="s">
        <v>2186</v>
      </c>
      <c r="AT3095" t="s">
        <v>88</v>
      </c>
      <c r="AU3095" t="s">
        <v>110</v>
      </c>
      <c r="AV3095" s="14">
        <v>1397.6106</v>
      </c>
    </row>
    <row r="3096" spans="29:48">
      <c r="AC3096"/>
      <c r="AH3096" t="s">
        <v>1920</v>
      </c>
      <c r="AI3096" t="s">
        <v>67</v>
      </c>
      <c r="AJ3096" t="s">
        <v>108</v>
      </c>
      <c r="AK3096" s="3" t="s">
        <v>27</v>
      </c>
      <c r="AL3096" s="3">
        <v>-650.50654958899997</v>
      </c>
      <c r="AS3096" t="s">
        <v>2186</v>
      </c>
      <c r="AT3096" t="s">
        <v>88</v>
      </c>
      <c r="AU3096" t="s">
        <v>111</v>
      </c>
      <c r="AV3096" s="14">
        <v>6500</v>
      </c>
    </row>
    <row r="3097" spans="29:48">
      <c r="AC3097"/>
      <c r="AH3097" t="s">
        <v>1920</v>
      </c>
      <c r="AI3097" t="s">
        <v>67</v>
      </c>
      <c r="AJ3097" t="s">
        <v>98</v>
      </c>
      <c r="AK3097" s="3" t="s">
        <v>27</v>
      </c>
      <c r="AL3097" s="3">
        <v>132.73865499999999</v>
      </c>
      <c r="AS3097" t="s">
        <v>2186</v>
      </c>
      <c r="AT3097" t="s">
        <v>88</v>
      </c>
      <c r="AU3097" t="s">
        <v>268</v>
      </c>
      <c r="AV3097" s="14">
        <v>5750</v>
      </c>
    </row>
    <row r="3098" spans="29:48">
      <c r="AC3098"/>
      <c r="AH3098" t="s">
        <v>1920</v>
      </c>
      <c r="AI3098" t="s">
        <v>67</v>
      </c>
      <c r="AJ3098" t="s">
        <v>66</v>
      </c>
      <c r="AK3098" s="3" t="s">
        <v>114</v>
      </c>
      <c r="AL3098" s="3">
        <v>263</v>
      </c>
      <c r="AS3098" t="s">
        <v>2186</v>
      </c>
      <c r="AT3098" t="s">
        <v>88</v>
      </c>
      <c r="AU3098" t="s">
        <v>269</v>
      </c>
      <c r="AV3098" s="14">
        <v>0</v>
      </c>
    </row>
    <row r="3099" spans="29:48">
      <c r="AC3099"/>
      <c r="AH3099" t="s">
        <v>1920</v>
      </c>
      <c r="AI3099" t="s">
        <v>67</v>
      </c>
      <c r="AJ3099" t="s">
        <v>98</v>
      </c>
      <c r="AK3099" s="3" t="s">
        <v>114</v>
      </c>
      <c r="AL3099" s="3">
        <v>-20.40354</v>
      </c>
      <c r="AS3099" t="s">
        <v>2186</v>
      </c>
      <c r="AT3099" t="s">
        <v>88</v>
      </c>
      <c r="AU3099" t="s">
        <v>270</v>
      </c>
      <c r="AV3099" s="14">
        <v>0</v>
      </c>
    </row>
    <row r="3100" spans="29:48">
      <c r="AC3100"/>
      <c r="AH3100" t="s">
        <v>1920</v>
      </c>
      <c r="AI3100" t="s">
        <v>67</v>
      </c>
      <c r="AJ3100" t="s">
        <v>66</v>
      </c>
      <c r="AK3100" s="3" t="s">
        <v>115</v>
      </c>
      <c r="AL3100" s="3">
        <v>7270.5</v>
      </c>
      <c r="AS3100" t="s">
        <v>2186</v>
      </c>
      <c r="AT3100" t="s">
        <v>88</v>
      </c>
      <c r="AU3100" t="s">
        <v>271</v>
      </c>
      <c r="AV3100" s="14">
        <v>3800</v>
      </c>
    </row>
    <row r="3101" spans="29:48">
      <c r="AC3101"/>
      <c r="AH3101" t="s">
        <v>1920</v>
      </c>
      <c r="AI3101" t="s">
        <v>67</v>
      </c>
      <c r="AJ3101" t="s">
        <v>98</v>
      </c>
      <c r="AK3101" s="3" t="s">
        <v>115</v>
      </c>
      <c r="AL3101" s="3">
        <v>-153.14219499999999</v>
      </c>
      <c r="AS3101" t="s">
        <v>2186</v>
      </c>
      <c r="AT3101" t="s">
        <v>88</v>
      </c>
      <c r="AU3101" t="s">
        <v>272</v>
      </c>
      <c r="AV3101" s="14">
        <v>0</v>
      </c>
    </row>
    <row r="3102" spans="29:48">
      <c r="AC3102"/>
      <c r="AH3102" t="s">
        <v>1920</v>
      </c>
      <c r="AI3102" t="s">
        <v>68</v>
      </c>
      <c r="AJ3102" t="s">
        <v>66</v>
      </c>
      <c r="AK3102" s="3" t="s">
        <v>27</v>
      </c>
      <c r="AL3102" s="3">
        <v>-14025.5</v>
      </c>
      <c r="AS3102" t="s">
        <v>2186</v>
      </c>
      <c r="AT3102" t="s">
        <v>88</v>
      </c>
      <c r="AU3102" t="s">
        <v>273</v>
      </c>
      <c r="AV3102" s="14">
        <v>0</v>
      </c>
    </row>
    <row r="3103" spans="29:48">
      <c r="AC3103"/>
      <c r="AH3103" t="s">
        <v>1920</v>
      </c>
      <c r="AI3103" t="s">
        <v>68</v>
      </c>
      <c r="AJ3103" t="s">
        <v>72</v>
      </c>
      <c r="AK3103" s="3" t="s">
        <v>27</v>
      </c>
      <c r="AL3103" s="3">
        <v>-14584.74691</v>
      </c>
      <c r="AS3103" t="s">
        <v>2187</v>
      </c>
      <c r="AT3103" t="s">
        <v>88</v>
      </c>
      <c r="AU3103" t="s">
        <v>109</v>
      </c>
      <c r="AV3103" s="14">
        <v>12234.4067</v>
      </c>
    </row>
    <row r="3104" spans="29:48">
      <c r="AC3104"/>
      <c r="AH3104" t="s">
        <v>1920</v>
      </c>
      <c r="AI3104" t="s">
        <v>68</v>
      </c>
      <c r="AJ3104" t="s">
        <v>113</v>
      </c>
      <c r="AK3104" s="3" t="s">
        <v>27</v>
      </c>
      <c r="AL3104" s="3">
        <v>213.1993328767</v>
      </c>
      <c r="AS3104" t="s">
        <v>2187</v>
      </c>
      <c r="AT3104" t="s">
        <v>88</v>
      </c>
      <c r="AU3104" t="s">
        <v>110</v>
      </c>
      <c r="AV3104" s="14">
        <v>1397.6106</v>
      </c>
    </row>
    <row r="3105" spans="29:48">
      <c r="AC3105"/>
      <c r="AH3105" t="s">
        <v>1920</v>
      </c>
      <c r="AI3105" t="s">
        <v>68</v>
      </c>
      <c r="AJ3105" t="s">
        <v>108</v>
      </c>
      <c r="AK3105" s="3" t="s">
        <v>27</v>
      </c>
      <c r="AL3105" s="3">
        <v>-559.24690999999996</v>
      </c>
      <c r="AS3105" t="s">
        <v>2187</v>
      </c>
      <c r="AT3105" t="s">
        <v>88</v>
      </c>
      <c r="AU3105" t="s">
        <v>111</v>
      </c>
      <c r="AV3105" s="14">
        <v>6500</v>
      </c>
    </row>
    <row r="3106" spans="29:48">
      <c r="AC3106"/>
      <c r="AH3106" t="s">
        <v>1920</v>
      </c>
      <c r="AI3106" t="s">
        <v>68</v>
      </c>
      <c r="AJ3106" t="s">
        <v>98</v>
      </c>
      <c r="AK3106" s="3" t="s">
        <v>27</v>
      </c>
      <c r="AL3106" s="3">
        <v>460.68067000000002</v>
      </c>
      <c r="AS3106" t="s">
        <v>2187</v>
      </c>
      <c r="AT3106" t="s">
        <v>88</v>
      </c>
      <c r="AU3106" t="s">
        <v>268</v>
      </c>
      <c r="AV3106" s="14">
        <v>6950</v>
      </c>
    </row>
    <row r="3107" spans="29:48">
      <c r="AC3107"/>
      <c r="AH3107" t="s">
        <v>1920</v>
      </c>
      <c r="AI3107" t="s">
        <v>68</v>
      </c>
      <c r="AJ3107" t="s">
        <v>66</v>
      </c>
      <c r="AK3107" s="3" t="s">
        <v>114</v>
      </c>
      <c r="AL3107" s="3">
        <v>1517</v>
      </c>
      <c r="AS3107" t="s">
        <v>2187</v>
      </c>
      <c r="AT3107" t="s">
        <v>88</v>
      </c>
      <c r="AU3107" t="s">
        <v>269</v>
      </c>
      <c r="AV3107" s="14">
        <v>0</v>
      </c>
    </row>
    <row r="3108" spans="29:48">
      <c r="AC3108"/>
      <c r="AH3108" t="s">
        <v>1920</v>
      </c>
      <c r="AI3108" t="s">
        <v>68</v>
      </c>
      <c r="AJ3108" t="s">
        <v>98</v>
      </c>
      <c r="AK3108" s="3" t="s">
        <v>114</v>
      </c>
      <c r="AL3108" s="3">
        <v>-66.631050000000002</v>
      </c>
      <c r="AS3108" t="s">
        <v>2187</v>
      </c>
      <c r="AT3108" t="s">
        <v>88</v>
      </c>
      <c r="AU3108" t="s">
        <v>270</v>
      </c>
      <c r="AV3108" s="14">
        <v>0</v>
      </c>
    </row>
    <row r="3109" spans="29:48">
      <c r="AC3109"/>
      <c r="AH3109" t="s">
        <v>1920</v>
      </c>
      <c r="AI3109" t="s">
        <v>68</v>
      </c>
      <c r="AJ3109" t="s">
        <v>66</v>
      </c>
      <c r="AK3109" s="3" t="s">
        <v>115</v>
      </c>
      <c r="AL3109" s="3">
        <v>15542.5</v>
      </c>
      <c r="AS3109" t="s">
        <v>2187</v>
      </c>
      <c r="AT3109" t="s">
        <v>88</v>
      </c>
      <c r="AU3109" t="s">
        <v>271</v>
      </c>
      <c r="AV3109" s="14">
        <v>3810</v>
      </c>
    </row>
    <row r="3110" spans="29:48">
      <c r="AC3110"/>
      <c r="AH3110" t="s">
        <v>1920</v>
      </c>
      <c r="AI3110" t="s">
        <v>68</v>
      </c>
      <c r="AJ3110" t="s">
        <v>98</v>
      </c>
      <c r="AK3110" s="3" t="s">
        <v>115</v>
      </c>
      <c r="AL3110" s="3">
        <v>-527.31172000000004</v>
      </c>
      <c r="AS3110" t="s">
        <v>2187</v>
      </c>
      <c r="AT3110" t="s">
        <v>88</v>
      </c>
      <c r="AU3110" t="s">
        <v>272</v>
      </c>
      <c r="AV3110" s="14">
        <v>0</v>
      </c>
    </row>
    <row r="3111" spans="29:48">
      <c r="AC3111"/>
      <c r="AH3111" t="s">
        <v>1921</v>
      </c>
      <c r="AI3111" t="s">
        <v>65</v>
      </c>
      <c r="AJ3111" t="s">
        <v>66</v>
      </c>
      <c r="AK3111" s="3" t="s">
        <v>27</v>
      </c>
      <c r="AL3111" s="3">
        <v>27878</v>
      </c>
      <c r="AS3111" t="s">
        <v>2187</v>
      </c>
      <c r="AT3111" t="s">
        <v>88</v>
      </c>
      <c r="AU3111" t="s">
        <v>273</v>
      </c>
      <c r="AV3111" s="14">
        <v>0</v>
      </c>
    </row>
    <row r="3112" spans="29:48">
      <c r="AC3112"/>
      <c r="AH3112" t="s">
        <v>1921</v>
      </c>
      <c r="AI3112" t="s">
        <v>65</v>
      </c>
      <c r="AJ3112" t="s">
        <v>72</v>
      </c>
      <c r="AK3112" s="3" t="s">
        <v>27</v>
      </c>
      <c r="AL3112" s="3">
        <v>28693.224184999999</v>
      </c>
      <c r="AS3112" t="s">
        <v>2188</v>
      </c>
      <c r="AT3112" t="s">
        <v>88</v>
      </c>
      <c r="AU3112" t="s">
        <v>109</v>
      </c>
      <c r="AV3112" s="14">
        <v>10524.4067</v>
      </c>
    </row>
    <row r="3113" spans="29:48">
      <c r="AC3113"/>
      <c r="AH3113" t="s">
        <v>1921</v>
      </c>
      <c r="AI3113" t="s">
        <v>65</v>
      </c>
      <c r="AJ3113" t="s">
        <v>113</v>
      </c>
      <c r="AK3113" s="3" t="s">
        <v>27</v>
      </c>
      <c r="AL3113" s="3">
        <v>1882.0389462298001</v>
      </c>
      <c r="AS3113" t="s">
        <v>2188</v>
      </c>
      <c r="AT3113" t="s">
        <v>88</v>
      </c>
      <c r="AU3113" t="s">
        <v>110</v>
      </c>
      <c r="AV3113" s="14">
        <v>1397.6106</v>
      </c>
    </row>
    <row r="3114" spans="29:48">
      <c r="AC3114"/>
      <c r="AH3114" t="s">
        <v>1921</v>
      </c>
      <c r="AI3114" t="s">
        <v>65</v>
      </c>
      <c r="AJ3114" t="s">
        <v>108</v>
      </c>
      <c r="AK3114" s="3" t="s">
        <v>27</v>
      </c>
      <c r="AL3114" s="3">
        <v>-1066.8147612298001</v>
      </c>
      <c r="AS3114" t="s">
        <v>2188</v>
      </c>
      <c r="AT3114" t="s">
        <v>88</v>
      </c>
      <c r="AU3114" t="s">
        <v>111</v>
      </c>
      <c r="AV3114" s="14">
        <v>6500</v>
      </c>
    </row>
    <row r="3115" spans="29:48">
      <c r="AC3115"/>
      <c r="AH3115" t="s">
        <v>1921</v>
      </c>
      <c r="AI3115" t="s">
        <v>65</v>
      </c>
      <c r="AJ3115" t="s">
        <v>98</v>
      </c>
      <c r="AK3115" s="3" t="s">
        <v>27</v>
      </c>
      <c r="AL3115" s="3">
        <v>-1131.89284</v>
      </c>
      <c r="AS3115" t="s">
        <v>2188</v>
      </c>
      <c r="AT3115" t="s">
        <v>88</v>
      </c>
      <c r="AU3115" t="s">
        <v>268</v>
      </c>
      <c r="AV3115" s="14">
        <v>5850</v>
      </c>
    </row>
    <row r="3116" spans="29:48">
      <c r="AC3116"/>
      <c r="AH3116" t="s">
        <v>1921</v>
      </c>
      <c r="AI3116" t="s">
        <v>67</v>
      </c>
      <c r="AJ3116" t="s">
        <v>66</v>
      </c>
      <c r="AK3116" s="3" t="s">
        <v>27</v>
      </c>
      <c r="AL3116" s="3">
        <v>-7174.5</v>
      </c>
      <c r="AS3116" t="s">
        <v>2188</v>
      </c>
      <c r="AT3116" t="s">
        <v>88</v>
      </c>
      <c r="AU3116" t="s">
        <v>269</v>
      </c>
      <c r="AV3116" s="14">
        <v>0</v>
      </c>
    </row>
    <row r="3117" spans="29:48">
      <c r="AC3117"/>
      <c r="AH3117" t="s">
        <v>1921</v>
      </c>
      <c r="AI3117" t="s">
        <v>67</v>
      </c>
      <c r="AJ3117" t="s">
        <v>72</v>
      </c>
      <c r="AK3117" s="3" t="s">
        <v>27</v>
      </c>
      <c r="AL3117" s="3">
        <v>-7896.1533849999996</v>
      </c>
      <c r="AS3117" t="s">
        <v>2188</v>
      </c>
      <c r="AT3117" t="s">
        <v>88</v>
      </c>
      <c r="AU3117" t="s">
        <v>270</v>
      </c>
      <c r="AV3117" s="14">
        <v>0</v>
      </c>
    </row>
    <row r="3118" spans="29:48">
      <c r="AC3118"/>
      <c r="AH3118" t="s">
        <v>1921</v>
      </c>
      <c r="AI3118" t="s">
        <v>67</v>
      </c>
      <c r="AJ3118" t="s">
        <v>113</v>
      </c>
      <c r="AK3118" s="3" t="s">
        <v>27</v>
      </c>
      <c r="AL3118" s="3">
        <v>48.667363013699998</v>
      </c>
      <c r="AS3118" t="s">
        <v>2188</v>
      </c>
      <c r="AT3118" t="s">
        <v>88</v>
      </c>
      <c r="AU3118" t="s">
        <v>271</v>
      </c>
      <c r="AV3118" s="14">
        <v>3000</v>
      </c>
    </row>
    <row r="3119" spans="29:48">
      <c r="AC3119"/>
      <c r="AH3119" t="s">
        <v>1921</v>
      </c>
      <c r="AI3119" t="s">
        <v>67</v>
      </c>
      <c r="AJ3119" t="s">
        <v>108</v>
      </c>
      <c r="AK3119" s="3" t="s">
        <v>27</v>
      </c>
      <c r="AL3119" s="3">
        <v>-770.32074801370004</v>
      </c>
      <c r="AS3119" t="s">
        <v>2188</v>
      </c>
      <c r="AT3119" t="s">
        <v>88</v>
      </c>
      <c r="AU3119" t="s">
        <v>272</v>
      </c>
      <c r="AV3119" s="14">
        <v>0</v>
      </c>
    </row>
    <row r="3120" spans="29:48">
      <c r="AC3120"/>
      <c r="AH3120" t="s">
        <v>1921</v>
      </c>
      <c r="AI3120" t="s">
        <v>67</v>
      </c>
      <c r="AJ3120" t="s">
        <v>98</v>
      </c>
      <c r="AK3120" s="3" t="s">
        <v>27</v>
      </c>
      <c r="AL3120" s="3">
        <v>170.749</v>
      </c>
      <c r="AS3120" t="s">
        <v>2188</v>
      </c>
      <c r="AT3120" t="s">
        <v>88</v>
      </c>
      <c r="AU3120" t="s">
        <v>273</v>
      </c>
      <c r="AV3120" s="14">
        <v>0</v>
      </c>
    </row>
    <row r="3121" spans="29:48">
      <c r="AC3121"/>
      <c r="AH3121" t="s">
        <v>1921</v>
      </c>
      <c r="AI3121" t="s">
        <v>67</v>
      </c>
      <c r="AJ3121" t="s">
        <v>66</v>
      </c>
      <c r="AK3121" s="3" t="s">
        <v>114</v>
      </c>
      <c r="AL3121" s="3">
        <v>550</v>
      </c>
      <c r="AS3121" t="s">
        <v>2189</v>
      </c>
      <c r="AT3121" t="s">
        <v>88</v>
      </c>
      <c r="AU3121" t="s">
        <v>109</v>
      </c>
      <c r="AV3121" s="14">
        <v>8534.4066999999995</v>
      </c>
    </row>
    <row r="3122" spans="29:48">
      <c r="AC3122"/>
      <c r="AH3122" t="s">
        <v>1921</v>
      </c>
      <c r="AI3122" t="s">
        <v>67</v>
      </c>
      <c r="AJ3122" t="s">
        <v>98</v>
      </c>
      <c r="AK3122" s="3" t="s">
        <v>114</v>
      </c>
      <c r="AL3122" s="3">
        <v>-26.506</v>
      </c>
      <c r="AS3122" t="s">
        <v>2189</v>
      </c>
      <c r="AT3122" t="s">
        <v>88</v>
      </c>
      <c r="AU3122" t="s">
        <v>110</v>
      </c>
      <c r="AV3122" s="14">
        <v>1397.6106</v>
      </c>
    </row>
    <row r="3123" spans="29:48">
      <c r="AC3123"/>
      <c r="AH3123" t="s">
        <v>1921</v>
      </c>
      <c r="AI3123" t="s">
        <v>67</v>
      </c>
      <c r="AJ3123" t="s">
        <v>66</v>
      </c>
      <c r="AK3123" s="3" t="s">
        <v>115</v>
      </c>
      <c r="AL3123" s="3">
        <v>7724.5</v>
      </c>
      <c r="AS3123" t="s">
        <v>2189</v>
      </c>
      <c r="AT3123" t="s">
        <v>88</v>
      </c>
      <c r="AU3123" t="s">
        <v>111</v>
      </c>
      <c r="AV3123" s="14">
        <v>6500</v>
      </c>
    </row>
    <row r="3124" spans="29:48">
      <c r="AC3124"/>
      <c r="AH3124" t="s">
        <v>1921</v>
      </c>
      <c r="AI3124" t="s">
        <v>67</v>
      </c>
      <c r="AJ3124" t="s">
        <v>98</v>
      </c>
      <c r="AK3124" s="3" t="s">
        <v>115</v>
      </c>
      <c r="AL3124" s="3">
        <v>-197.255</v>
      </c>
      <c r="AS3124" t="s">
        <v>2189</v>
      </c>
      <c r="AT3124" t="s">
        <v>88</v>
      </c>
      <c r="AU3124" t="s">
        <v>268</v>
      </c>
      <c r="AV3124" s="14">
        <v>4850</v>
      </c>
    </row>
    <row r="3125" spans="29:48">
      <c r="AC3125"/>
      <c r="AH3125" t="s">
        <v>1921</v>
      </c>
      <c r="AI3125" t="s">
        <v>68</v>
      </c>
      <c r="AJ3125" t="s">
        <v>66</v>
      </c>
      <c r="AK3125" s="3" t="s">
        <v>27</v>
      </c>
      <c r="AL3125" s="3">
        <v>-14262.5</v>
      </c>
      <c r="AS3125" t="s">
        <v>2189</v>
      </c>
      <c r="AT3125" t="s">
        <v>88</v>
      </c>
      <c r="AU3125" t="s">
        <v>269</v>
      </c>
      <c r="AV3125" s="14">
        <v>0</v>
      </c>
    </row>
    <row r="3126" spans="29:48">
      <c r="AC3126"/>
      <c r="AH3126" t="s">
        <v>1921</v>
      </c>
      <c r="AI3126" t="s">
        <v>68</v>
      </c>
      <c r="AJ3126" t="s">
        <v>72</v>
      </c>
      <c r="AK3126" s="3" t="s">
        <v>27</v>
      </c>
      <c r="AL3126" s="3">
        <v>-14743.69702</v>
      </c>
      <c r="AS3126" t="s">
        <v>2189</v>
      </c>
      <c r="AT3126" t="s">
        <v>88</v>
      </c>
      <c r="AU3126" t="s">
        <v>270</v>
      </c>
      <c r="AV3126" s="14">
        <v>0</v>
      </c>
    </row>
    <row r="3127" spans="29:48">
      <c r="AC3127"/>
      <c r="AH3127" t="s">
        <v>1921</v>
      </c>
      <c r="AI3127" t="s">
        <v>68</v>
      </c>
      <c r="AJ3127" t="s">
        <v>113</v>
      </c>
      <c r="AK3127" s="3" t="s">
        <v>27</v>
      </c>
      <c r="AL3127" s="3">
        <v>207.93847780819999</v>
      </c>
      <c r="AS3127" t="s">
        <v>2189</v>
      </c>
      <c r="AT3127" t="s">
        <v>88</v>
      </c>
      <c r="AU3127" t="s">
        <v>271</v>
      </c>
      <c r="AV3127" s="14">
        <v>3000</v>
      </c>
    </row>
    <row r="3128" spans="29:48">
      <c r="AC3128"/>
      <c r="AH3128" t="s">
        <v>1921</v>
      </c>
      <c r="AI3128" t="s">
        <v>68</v>
      </c>
      <c r="AJ3128" t="s">
        <v>108</v>
      </c>
      <c r="AK3128" s="3" t="s">
        <v>27</v>
      </c>
      <c r="AL3128" s="3">
        <v>-481.19702000000001</v>
      </c>
      <c r="AS3128" t="s">
        <v>2189</v>
      </c>
      <c r="AT3128" t="s">
        <v>88</v>
      </c>
      <c r="AU3128" t="s">
        <v>272</v>
      </c>
      <c r="AV3128" s="14">
        <v>0</v>
      </c>
    </row>
    <row r="3129" spans="29:48">
      <c r="AC3129"/>
      <c r="AH3129" t="s">
        <v>1921</v>
      </c>
      <c r="AI3129" t="s">
        <v>68</v>
      </c>
      <c r="AJ3129" t="s">
        <v>98</v>
      </c>
      <c r="AK3129" s="3" t="s">
        <v>27</v>
      </c>
      <c r="AL3129" s="3">
        <v>464.12520999999998</v>
      </c>
      <c r="AS3129" t="s">
        <v>2189</v>
      </c>
      <c r="AT3129" t="s">
        <v>88</v>
      </c>
      <c r="AU3129" t="s">
        <v>273</v>
      </c>
      <c r="AV3129" s="14">
        <v>0</v>
      </c>
    </row>
    <row r="3130" spans="29:48">
      <c r="AC3130"/>
      <c r="AH3130" t="s">
        <v>1921</v>
      </c>
      <c r="AI3130" t="s">
        <v>68</v>
      </c>
      <c r="AJ3130" t="s">
        <v>66</v>
      </c>
      <c r="AK3130" s="3" t="s">
        <v>114</v>
      </c>
      <c r="AL3130" s="3">
        <v>1467</v>
      </c>
      <c r="AS3130" t="s">
        <v>2190</v>
      </c>
      <c r="AT3130" t="s">
        <v>88</v>
      </c>
      <c r="AU3130" t="s">
        <v>109</v>
      </c>
      <c r="AV3130" s="14">
        <v>8534.4066999999995</v>
      </c>
    </row>
    <row r="3131" spans="29:48">
      <c r="AC3131"/>
      <c r="AH3131" t="s">
        <v>1921</v>
      </c>
      <c r="AI3131" t="s">
        <v>68</v>
      </c>
      <c r="AJ3131" t="s">
        <v>98</v>
      </c>
      <c r="AK3131" s="3" t="s">
        <v>114</v>
      </c>
      <c r="AL3131" s="3">
        <v>-67.49315</v>
      </c>
      <c r="AS3131" t="s">
        <v>2190</v>
      </c>
      <c r="AT3131" t="s">
        <v>88</v>
      </c>
      <c r="AU3131" t="s">
        <v>110</v>
      </c>
      <c r="AV3131" s="14">
        <v>1397.6106</v>
      </c>
    </row>
    <row r="3132" spans="29:48">
      <c r="AC3132"/>
      <c r="AH3132" t="s">
        <v>1921</v>
      </c>
      <c r="AI3132" t="s">
        <v>68</v>
      </c>
      <c r="AJ3132" t="s">
        <v>66</v>
      </c>
      <c r="AK3132" s="3" t="s">
        <v>115</v>
      </c>
      <c r="AL3132" s="3">
        <v>15729.5</v>
      </c>
      <c r="AS3132" t="s">
        <v>2190</v>
      </c>
      <c r="AT3132" t="s">
        <v>88</v>
      </c>
      <c r="AU3132" t="s">
        <v>111</v>
      </c>
      <c r="AV3132" s="14">
        <v>7000</v>
      </c>
    </row>
    <row r="3133" spans="29:48">
      <c r="AC3133"/>
      <c r="AH3133" t="s">
        <v>1921</v>
      </c>
      <c r="AI3133" t="s">
        <v>68</v>
      </c>
      <c r="AJ3133" t="s">
        <v>98</v>
      </c>
      <c r="AK3133" s="3" t="s">
        <v>115</v>
      </c>
      <c r="AL3133" s="3">
        <v>-531.61836000000005</v>
      </c>
      <c r="AS3133" t="s">
        <v>2190</v>
      </c>
      <c r="AT3133" t="s">
        <v>88</v>
      </c>
      <c r="AU3133" t="s">
        <v>268</v>
      </c>
      <c r="AV3133" s="14">
        <v>2850</v>
      </c>
    </row>
    <row r="3134" spans="29:48">
      <c r="AC3134"/>
      <c r="AH3134" t="s">
        <v>1922</v>
      </c>
      <c r="AI3134" t="s">
        <v>65</v>
      </c>
      <c r="AJ3134" t="s">
        <v>66</v>
      </c>
      <c r="AK3134" s="3" t="s">
        <v>27</v>
      </c>
      <c r="AL3134" s="3">
        <v>27758</v>
      </c>
      <c r="AS3134" t="s">
        <v>2190</v>
      </c>
      <c r="AT3134" t="s">
        <v>88</v>
      </c>
      <c r="AU3134" t="s">
        <v>269</v>
      </c>
      <c r="AV3134" s="14">
        <v>0</v>
      </c>
    </row>
    <row r="3135" spans="29:48">
      <c r="AC3135"/>
      <c r="AH3135" t="s">
        <v>1922</v>
      </c>
      <c r="AI3135" t="s">
        <v>65</v>
      </c>
      <c r="AJ3135" t="s">
        <v>72</v>
      </c>
      <c r="AK3135" s="3" t="s">
        <v>27</v>
      </c>
      <c r="AL3135" s="3">
        <v>28579.896069999999</v>
      </c>
      <c r="AS3135" t="s">
        <v>2190</v>
      </c>
      <c r="AT3135" t="s">
        <v>88</v>
      </c>
      <c r="AU3135" t="s">
        <v>270</v>
      </c>
      <c r="AV3135" s="14">
        <v>0</v>
      </c>
    </row>
    <row r="3136" spans="29:48">
      <c r="AC3136"/>
      <c r="AH3136" t="s">
        <v>1922</v>
      </c>
      <c r="AI3136" t="s">
        <v>65</v>
      </c>
      <c r="AJ3136" t="s">
        <v>113</v>
      </c>
      <c r="AK3136" s="3" t="s">
        <v>27</v>
      </c>
      <c r="AL3136" s="3">
        <v>1870.9865157270999</v>
      </c>
      <c r="AS3136" t="s">
        <v>2190</v>
      </c>
      <c r="AT3136" t="s">
        <v>88</v>
      </c>
      <c r="AU3136" t="s">
        <v>271</v>
      </c>
      <c r="AV3136" s="14">
        <v>0</v>
      </c>
    </row>
    <row r="3137" spans="29:48">
      <c r="AC3137"/>
      <c r="AH3137" t="s">
        <v>1922</v>
      </c>
      <c r="AI3137" t="s">
        <v>65</v>
      </c>
      <c r="AJ3137" t="s">
        <v>108</v>
      </c>
      <c r="AK3137" s="3" t="s">
        <v>27</v>
      </c>
      <c r="AL3137" s="3">
        <v>-1049.0904457270999</v>
      </c>
      <c r="AS3137" t="s">
        <v>2190</v>
      </c>
      <c r="AT3137" t="s">
        <v>88</v>
      </c>
      <c r="AU3137" t="s">
        <v>272</v>
      </c>
      <c r="AV3137" s="14">
        <v>0</v>
      </c>
    </row>
    <row r="3138" spans="29:48">
      <c r="AC3138"/>
      <c r="AH3138" t="s">
        <v>1922</v>
      </c>
      <c r="AI3138" t="s">
        <v>65</v>
      </c>
      <c r="AJ3138" t="s">
        <v>98</v>
      </c>
      <c r="AK3138" s="3" t="s">
        <v>27</v>
      </c>
      <c r="AL3138" s="3">
        <v>-1113.665555</v>
      </c>
      <c r="AS3138" t="s">
        <v>2190</v>
      </c>
      <c r="AT3138" t="s">
        <v>88</v>
      </c>
      <c r="AU3138" t="s">
        <v>273</v>
      </c>
      <c r="AV3138" s="14">
        <v>-500</v>
      </c>
    </row>
    <row r="3139" spans="29:48">
      <c r="AC3139"/>
      <c r="AH3139" t="s">
        <v>1922</v>
      </c>
      <c r="AI3139" t="s">
        <v>67</v>
      </c>
      <c r="AJ3139" t="s">
        <v>66</v>
      </c>
      <c r="AK3139" s="3" t="s">
        <v>27</v>
      </c>
      <c r="AL3139" s="3">
        <v>-6350.5</v>
      </c>
      <c r="AS3139" t="s">
        <v>2191</v>
      </c>
      <c r="AT3139" t="s">
        <v>88</v>
      </c>
      <c r="AU3139" t="s">
        <v>109</v>
      </c>
      <c r="AV3139" s="14">
        <v>9634.4066999999995</v>
      </c>
    </row>
    <row r="3140" spans="29:48">
      <c r="AC3140"/>
      <c r="AH3140" t="s">
        <v>1922</v>
      </c>
      <c r="AI3140" t="s">
        <v>67</v>
      </c>
      <c r="AJ3140" t="s">
        <v>72</v>
      </c>
      <c r="AK3140" s="3" t="s">
        <v>27</v>
      </c>
      <c r="AL3140" s="3">
        <v>-6943.3101299999998</v>
      </c>
      <c r="AS3140" t="s">
        <v>2191</v>
      </c>
      <c r="AT3140" t="s">
        <v>88</v>
      </c>
      <c r="AU3140" t="s">
        <v>110</v>
      </c>
      <c r="AV3140" s="14">
        <v>1397.6106</v>
      </c>
    </row>
    <row r="3141" spans="29:48">
      <c r="AC3141"/>
      <c r="AH3141" t="s">
        <v>1922</v>
      </c>
      <c r="AI3141" t="s">
        <v>67</v>
      </c>
      <c r="AJ3141" t="s">
        <v>113</v>
      </c>
      <c r="AK3141" s="3" t="s">
        <v>27</v>
      </c>
      <c r="AL3141" s="3">
        <v>34.886150684900002</v>
      </c>
      <c r="AS3141" t="s">
        <v>2191</v>
      </c>
      <c r="AT3141" t="s">
        <v>88</v>
      </c>
      <c r="AU3141" t="s">
        <v>111</v>
      </c>
      <c r="AV3141" s="14">
        <v>7000</v>
      </c>
    </row>
    <row r="3142" spans="29:48">
      <c r="AC3142"/>
      <c r="AH3142" t="s">
        <v>1922</v>
      </c>
      <c r="AI3142" t="s">
        <v>67</v>
      </c>
      <c r="AJ3142" t="s">
        <v>108</v>
      </c>
      <c r="AK3142" s="3" t="s">
        <v>27</v>
      </c>
      <c r="AL3142" s="3">
        <v>-627.69628068489999</v>
      </c>
      <c r="AS3142" t="s">
        <v>2191</v>
      </c>
      <c r="AT3142" t="s">
        <v>88</v>
      </c>
      <c r="AU3142" t="s">
        <v>268</v>
      </c>
      <c r="AV3142" s="14">
        <v>1250</v>
      </c>
    </row>
    <row r="3143" spans="29:48">
      <c r="AC3143"/>
      <c r="AH3143" t="s">
        <v>1922</v>
      </c>
      <c r="AI3143" t="s">
        <v>67</v>
      </c>
      <c r="AJ3143" t="s">
        <v>98</v>
      </c>
      <c r="AK3143" s="3" t="s">
        <v>27</v>
      </c>
      <c r="AL3143" s="3">
        <v>120.230715</v>
      </c>
      <c r="AS3143" t="s">
        <v>2191</v>
      </c>
      <c r="AT3143" t="s">
        <v>88</v>
      </c>
      <c r="AU3143" t="s">
        <v>269</v>
      </c>
      <c r="AV3143" s="14">
        <v>0</v>
      </c>
    </row>
    <row r="3144" spans="29:48">
      <c r="AC3144"/>
      <c r="AH3144" t="s">
        <v>1922</v>
      </c>
      <c r="AI3144" t="s">
        <v>67</v>
      </c>
      <c r="AJ3144" t="s">
        <v>66</v>
      </c>
      <c r="AK3144" s="3" t="s">
        <v>114</v>
      </c>
      <c r="AL3144" s="3">
        <v>170</v>
      </c>
      <c r="AS3144" t="s">
        <v>2191</v>
      </c>
      <c r="AT3144" t="s">
        <v>88</v>
      </c>
      <c r="AU3144" t="s">
        <v>270</v>
      </c>
      <c r="AV3144" s="14">
        <v>0</v>
      </c>
    </row>
    <row r="3145" spans="29:48">
      <c r="AC3145"/>
      <c r="AH3145" t="s">
        <v>1922</v>
      </c>
      <c r="AI3145" t="s">
        <v>67</v>
      </c>
      <c r="AJ3145" t="s">
        <v>98</v>
      </c>
      <c r="AK3145" s="3" t="s">
        <v>114</v>
      </c>
      <c r="AL3145" s="3">
        <v>-11.628500000000001</v>
      </c>
      <c r="AS3145" t="s">
        <v>2191</v>
      </c>
      <c r="AT3145" t="s">
        <v>88</v>
      </c>
      <c r="AU3145" t="s">
        <v>271</v>
      </c>
      <c r="AV3145" s="14">
        <v>0</v>
      </c>
    </row>
    <row r="3146" spans="29:48">
      <c r="AC3146"/>
      <c r="AH3146" t="s">
        <v>1922</v>
      </c>
      <c r="AI3146" t="s">
        <v>67</v>
      </c>
      <c r="AJ3146" t="s">
        <v>66</v>
      </c>
      <c r="AK3146" s="3" t="s">
        <v>115</v>
      </c>
      <c r="AL3146" s="3">
        <v>6520.5</v>
      </c>
      <c r="AS3146" t="s">
        <v>2191</v>
      </c>
      <c r="AT3146" t="s">
        <v>88</v>
      </c>
      <c r="AU3146" t="s">
        <v>272</v>
      </c>
      <c r="AV3146" s="14">
        <v>0</v>
      </c>
    </row>
    <row r="3147" spans="29:48">
      <c r="AC3147"/>
      <c r="AH3147" t="s">
        <v>1922</v>
      </c>
      <c r="AI3147" t="s">
        <v>67</v>
      </c>
      <c r="AJ3147" t="s">
        <v>98</v>
      </c>
      <c r="AK3147" s="3" t="s">
        <v>115</v>
      </c>
      <c r="AL3147" s="3">
        <v>-131.85921500000001</v>
      </c>
      <c r="AS3147" t="s">
        <v>2191</v>
      </c>
      <c r="AT3147" t="s">
        <v>88</v>
      </c>
      <c r="AU3147" t="s">
        <v>273</v>
      </c>
      <c r="AV3147" s="14">
        <v>-500</v>
      </c>
    </row>
    <row r="3148" spans="29:48">
      <c r="AC3148"/>
      <c r="AH3148" t="s">
        <v>1922</v>
      </c>
      <c r="AI3148" t="s">
        <v>68</v>
      </c>
      <c r="AJ3148" t="s">
        <v>66</v>
      </c>
      <c r="AK3148" s="3" t="s">
        <v>27</v>
      </c>
      <c r="AL3148" s="3">
        <v>-15066.5</v>
      </c>
      <c r="AS3148" t="s">
        <v>2192</v>
      </c>
      <c r="AT3148" t="s">
        <v>88</v>
      </c>
      <c r="AU3148" t="s">
        <v>109</v>
      </c>
      <c r="AV3148" s="14">
        <v>9834.4066999999995</v>
      </c>
    </row>
    <row r="3149" spans="29:48">
      <c r="AC3149"/>
      <c r="AH3149" t="s">
        <v>1922</v>
      </c>
      <c r="AI3149" t="s">
        <v>68</v>
      </c>
      <c r="AJ3149" t="s">
        <v>72</v>
      </c>
      <c r="AK3149" s="3" t="s">
        <v>27</v>
      </c>
      <c r="AL3149" s="3">
        <v>-15676.647779999999</v>
      </c>
      <c r="AS3149" t="s">
        <v>2192</v>
      </c>
      <c r="AT3149" t="s">
        <v>88</v>
      </c>
      <c r="AU3149" t="s">
        <v>110</v>
      </c>
      <c r="AV3149" s="14">
        <v>1397.6106</v>
      </c>
    </row>
    <row r="3150" spans="29:48">
      <c r="AC3150"/>
      <c r="AH3150" t="s">
        <v>1922</v>
      </c>
      <c r="AI3150" t="s">
        <v>68</v>
      </c>
      <c r="AJ3150" t="s">
        <v>113</v>
      </c>
      <c r="AK3150" s="3" t="s">
        <v>27</v>
      </c>
      <c r="AL3150" s="3">
        <v>258.5495120548</v>
      </c>
      <c r="AS3150" t="s">
        <v>2192</v>
      </c>
      <c r="AT3150" t="s">
        <v>88</v>
      </c>
      <c r="AU3150" t="s">
        <v>111</v>
      </c>
      <c r="AV3150" s="14">
        <v>7000</v>
      </c>
    </row>
    <row r="3151" spans="29:48">
      <c r="AC3151"/>
      <c r="AH3151" t="s">
        <v>1922</v>
      </c>
      <c r="AI3151" t="s">
        <v>68</v>
      </c>
      <c r="AJ3151" t="s">
        <v>108</v>
      </c>
      <c r="AK3151" s="3" t="s">
        <v>27</v>
      </c>
      <c r="AL3151" s="3">
        <v>-610.14778000000001</v>
      </c>
      <c r="AS3151" t="s">
        <v>2192</v>
      </c>
      <c r="AT3151" t="s">
        <v>88</v>
      </c>
      <c r="AU3151" t="s">
        <v>268</v>
      </c>
      <c r="AV3151" s="14">
        <v>2850</v>
      </c>
    </row>
    <row r="3152" spans="29:48">
      <c r="AC3152"/>
      <c r="AH3152" t="s">
        <v>1922</v>
      </c>
      <c r="AI3152" t="s">
        <v>68</v>
      </c>
      <c r="AJ3152" t="s">
        <v>98</v>
      </c>
      <c r="AK3152" s="3" t="s">
        <v>27</v>
      </c>
      <c r="AL3152" s="3">
        <v>502.85858999999999</v>
      </c>
      <c r="AS3152" t="s">
        <v>2192</v>
      </c>
      <c r="AT3152" t="s">
        <v>88</v>
      </c>
      <c r="AU3152" t="s">
        <v>269</v>
      </c>
      <c r="AV3152" s="14">
        <v>0</v>
      </c>
    </row>
    <row r="3153" spans="29:48">
      <c r="AC3153"/>
      <c r="AH3153" t="s">
        <v>1922</v>
      </c>
      <c r="AI3153" t="s">
        <v>68</v>
      </c>
      <c r="AJ3153" t="s">
        <v>66</v>
      </c>
      <c r="AK3153" s="3" t="s">
        <v>114</v>
      </c>
      <c r="AL3153" s="3">
        <v>1717</v>
      </c>
      <c r="AS3153" t="s">
        <v>2192</v>
      </c>
      <c r="AT3153" t="s">
        <v>88</v>
      </c>
      <c r="AU3153" t="s">
        <v>270</v>
      </c>
      <c r="AV3153" s="14">
        <v>0</v>
      </c>
    </row>
    <row r="3154" spans="29:48">
      <c r="AC3154"/>
      <c r="AH3154" t="s">
        <v>1922</v>
      </c>
      <c r="AI3154" t="s">
        <v>68</v>
      </c>
      <c r="AJ3154" t="s">
        <v>98</v>
      </c>
      <c r="AK3154" s="3" t="s">
        <v>114</v>
      </c>
      <c r="AL3154" s="3">
        <v>-82.162819999999996</v>
      </c>
      <c r="AS3154" t="s">
        <v>2192</v>
      </c>
      <c r="AT3154" t="s">
        <v>88</v>
      </c>
      <c r="AU3154" t="s">
        <v>271</v>
      </c>
      <c r="AV3154" s="14">
        <v>-1800</v>
      </c>
    </row>
    <row r="3155" spans="29:48">
      <c r="AC3155"/>
      <c r="AH3155" t="s">
        <v>1922</v>
      </c>
      <c r="AI3155" t="s">
        <v>68</v>
      </c>
      <c r="AJ3155" t="s">
        <v>66</v>
      </c>
      <c r="AK3155" s="3" t="s">
        <v>115</v>
      </c>
      <c r="AL3155" s="3">
        <v>16783.5</v>
      </c>
      <c r="AS3155" t="s">
        <v>2192</v>
      </c>
      <c r="AT3155" t="s">
        <v>88</v>
      </c>
      <c r="AU3155" t="s">
        <v>272</v>
      </c>
      <c r="AV3155" s="14">
        <v>0</v>
      </c>
    </row>
    <row r="3156" spans="29:48">
      <c r="AC3156"/>
      <c r="AH3156" t="s">
        <v>1922</v>
      </c>
      <c r="AI3156" t="s">
        <v>68</v>
      </c>
      <c r="AJ3156" t="s">
        <v>98</v>
      </c>
      <c r="AK3156" s="3" t="s">
        <v>115</v>
      </c>
      <c r="AL3156" s="3">
        <v>-585.02140999999995</v>
      </c>
      <c r="AS3156" t="s">
        <v>2192</v>
      </c>
      <c r="AT3156" t="s">
        <v>88</v>
      </c>
      <c r="AU3156" t="s">
        <v>273</v>
      </c>
      <c r="AV3156" s="14">
        <v>0</v>
      </c>
    </row>
    <row r="3157" spans="29:48">
      <c r="AC3157"/>
      <c r="AH3157" t="s">
        <v>1923</v>
      </c>
      <c r="AI3157" t="s">
        <v>65</v>
      </c>
      <c r="AJ3157" t="s">
        <v>66</v>
      </c>
      <c r="AK3157" s="3" t="s">
        <v>27</v>
      </c>
      <c r="AL3157" s="3">
        <v>27368</v>
      </c>
      <c r="AS3157" t="s">
        <v>2193</v>
      </c>
      <c r="AT3157" t="s">
        <v>88</v>
      </c>
      <c r="AU3157" t="s">
        <v>109</v>
      </c>
      <c r="AV3157" s="14">
        <v>12284.4067</v>
      </c>
    </row>
    <row r="3158" spans="29:48">
      <c r="AC3158"/>
      <c r="AH3158" t="s">
        <v>1923</v>
      </c>
      <c r="AI3158" t="s">
        <v>65</v>
      </c>
      <c r="AJ3158" t="s">
        <v>72</v>
      </c>
      <c r="AK3158" s="3" t="s">
        <v>27</v>
      </c>
      <c r="AL3158" s="3">
        <v>28190.152559999999</v>
      </c>
      <c r="AS3158" t="s">
        <v>2193</v>
      </c>
      <c r="AT3158" t="s">
        <v>88</v>
      </c>
      <c r="AU3158" t="s">
        <v>110</v>
      </c>
      <c r="AV3158" s="14">
        <v>1397.6106</v>
      </c>
    </row>
    <row r="3159" spans="29:48">
      <c r="AC3159"/>
      <c r="AH3159" t="s">
        <v>1923</v>
      </c>
      <c r="AI3159" t="s">
        <v>65</v>
      </c>
      <c r="AJ3159" t="s">
        <v>113</v>
      </c>
      <c r="AK3159" s="3" t="s">
        <v>27</v>
      </c>
      <c r="AL3159" s="3">
        <v>1868.7325605215999</v>
      </c>
      <c r="AS3159" t="s">
        <v>2193</v>
      </c>
      <c r="AT3159" t="s">
        <v>88</v>
      </c>
      <c r="AU3159" t="s">
        <v>111</v>
      </c>
      <c r="AV3159" s="14">
        <v>7000</v>
      </c>
    </row>
    <row r="3160" spans="29:48">
      <c r="AC3160"/>
      <c r="AH3160" t="s">
        <v>1923</v>
      </c>
      <c r="AI3160" t="s">
        <v>65</v>
      </c>
      <c r="AJ3160" t="s">
        <v>108</v>
      </c>
      <c r="AK3160" s="3" t="s">
        <v>27</v>
      </c>
      <c r="AL3160" s="3">
        <v>-1046.5800005215999</v>
      </c>
      <c r="AS3160" t="s">
        <v>2193</v>
      </c>
      <c r="AT3160" t="s">
        <v>88</v>
      </c>
      <c r="AU3160" t="s">
        <v>268</v>
      </c>
      <c r="AV3160" s="14">
        <v>850</v>
      </c>
    </row>
    <row r="3161" spans="29:48">
      <c r="AC3161"/>
      <c r="AH3161" t="s">
        <v>1923</v>
      </c>
      <c r="AI3161" t="s">
        <v>65</v>
      </c>
      <c r="AJ3161" t="s">
        <v>98</v>
      </c>
      <c r="AK3161" s="3" t="s">
        <v>27</v>
      </c>
      <c r="AL3161" s="3">
        <v>-1110.7765649999999</v>
      </c>
      <c r="AS3161" t="s">
        <v>2193</v>
      </c>
      <c r="AT3161" t="s">
        <v>88</v>
      </c>
      <c r="AU3161" t="s">
        <v>269</v>
      </c>
      <c r="AV3161" s="14">
        <v>0</v>
      </c>
    </row>
    <row r="3162" spans="29:48">
      <c r="AC3162"/>
      <c r="AH3162" t="s">
        <v>1923</v>
      </c>
      <c r="AI3162" t="s">
        <v>67</v>
      </c>
      <c r="AJ3162" t="s">
        <v>66</v>
      </c>
      <c r="AK3162" s="3" t="s">
        <v>27</v>
      </c>
      <c r="AL3162" s="3">
        <v>-6130.5</v>
      </c>
      <c r="AS3162" t="s">
        <v>2193</v>
      </c>
      <c r="AT3162" t="s">
        <v>88</v>
      </c>
      <c r="AU3162" t="s">
        <v>270</v>
      </c>
      <c r="AV3162" s="14">
        <v>0</v>
      </c>
    </row>
    <row r="3163" spans="29:48">
      <c r="AC3163"/>
      <c r="AH3163" t="s">
        <v>1923</v>
      </c>
      <c r="AI3163" t="s">
        <v>67</v>
      </c>
      <c r="AJ3163" t="s">
        <v>72</v>
      </c>
      <c r="AK3163" s="3" t="s">
        <v>27</v>
      </c>
      <c r="AL3163" s="3">
        <v>-6748.9597100000001</v>
      </c>
      <c r="AS3163" t="s">
        <v>2193</v>
      </c>
      <c r="AT3163" t="s">
        <v>88</v>
      </c>
      <c r="AU3163" t="s">
        <v>271</v>
      </c>
      <c r="AV3163" s="14">
        <v>-1150</v>
      </c>
    </row>
    <row r="3164" spans="29:48">
      <c r="AC3164"/>
      <c r="AH3164" t="s">
        <v>1923</v>
      </c>
      <c r="AI3164" t="s">
        <v>67</v>
      </c>
      <c r="AJ3164" t="s">
        <v>113</v>
      </c>
      <c r="AK3164" s="3" t="s">
        <v>27</v>
      </c>
      <c r="AL3164" s="3">
        <v>22.476199999999999</v>
      </c>
      <c r="AS3164" t="s">
        <v>2193</v>
      </c>
      <c r="AT3164" t="s">
        <v>88</v>
      </c>
      <c r="AU3164" t="s">
        <v>272</v>
      </c>
      <c r="AV3164" s="14">
        <v>0</v>
      </c>
    </row>
    <row r="3165" spans="29:48">
      <c r="AC3165"/>
      <c r="AH3165" t="s">
        <v>1923</v>
      </c>
      <c r="AI3165" t="s">
        <v>67</v>
      </c>
      <c r="AJ3165" t="s">
        <v>108</v>
      </c>
      <c r="AK3165" s="3" t="s">
        <v>27</v>
      </c>
      <c r="AL3165" s="3">
        <v>-640.93591000000004</v>
      </c>
      <c r="AS3165" t="s">
        <v>2193</v>
      </c>
      <c r="AT3165" t="s">
        <v>88</v>
      </c>
      <c r="AU3165" t="s">
        <v>273</v>
      </c>
      <c r="AV3165" s="14">
        <v>0</v>
      </c>
    </row>
    <row r="3166" spans="29:48">
      <c r="AC3166"/>
      <c r="AH3166" t="s">
        <v>1923</v>
      </c>
      <c r="AI3166" t="s">
        <v>67</v>
      </c>
      <c r="AJ3166" t="s">
        <v>98</v>
      </c>
      <c r="AK3166" s="3" t="s">
        <v>27</v>
      </c>
      <c r="AL3166" s="3">
        <v>127.451655</v>
      </c>
      <c r="AS3166" t="s">
        <v>2194</v>
      </c>
      <c r="AT3166" t="s">
        <v>88</v>
      </c>
      <c r="AU3166" t="s">
        <v>109</v>
      </c>
      <c r="AV3166" s="14">
        <v>13270</v>
      </c>
    </row>
    <row r="3167" spans="29:48">
      <c r="AC3167"/>
      <c r="AH3167" t="s">
        <v>1923</v>
      </c>
      <c r="AI3167" t="s">
        <v>67</v>
      </c>
      <c r="AJ3167" t="s">
        <v>66</v>
      </c>
      <c r="AK3167" s="3" t="s">
        <v>114</v>
      </c>
      <c r="AL3167" s="3">
        <v>990</v>
      </c>
      <c r="AS3167" t="s">
        <v>2194</v>
      </c>
      <c r="AT3167" t="s">
        <v>88</v>
      </c>
      <c r="AU3167" t="s">
        <v>110</v>
      </c>
      <c r="AV3167" s="14">
        <v>1397.6106</v>
      </c>
    </row>
    <row r="3168" spans="29:48">
      <c r="AC3168"/>
      <c r="AH3168" t="s">
        <v>1923</v>
      </c>
      <c r="AI3168" t="s">
        <v>67</v>
      </c>
      <c r="AJ3168" t="s">
        <v>98</v>
      </c>
      <c r="AK3168" s="3" t="s">
        <v>114</v>
      </c>
      <c r="AL3168" s="3">
        <v>-36.555399999999999</v>
      </c>
      <c r="AS3168" t="s">
        <v>2194</v>
      </c>
      <c r="AT3168" t="s">
        <v>88</v>
      </c>
      <c r="AU3168" t="s">
        <v>111</v>
      </c>
      <c r="AV3168" s="14">
        <v>6000</v>
      </c>
    </row>
    <row r="3169" spans="29:48">
      <c r="AC3169"/>
      <c r="AH3169" t="s">
        <v>1923</v>
      </c>
      <c r="AI3169" t="s">
        <v>67</v>
      </c>
      <c r="AJ3169" t="s">
        <v>66</v>
      </c>
      <c r="AK3169" s="3" t="s">
        <v>115</v>
      </c>
      <c r="AL3169" s="3">
        <v>7120.5</v>
      </c>
      <c r="AS3169" t="s">
        <v>2194</v>
      </c>
      <c r="AT3169" t="s">
        <v>88</v>
      </c>
      <c r="AU3169" t="s">
        <v>268</v>
      </c>
      <c r="AV3169" s="14">
        <v>850</v>
      </c>
    </row>
    <row r="3170" spans="29:48">
      <c r="AC3170"/>
      <c r="AH3170" t="s">
        <v>1923</v>
      </c>
      <c r="AI3170" t="s">
        <v>67</v>
      </c>
      <c r="AJ3170" t="s">
        <v>98</v>
      </c>
      <c r="AK3170" s="3" t="s">
        <v>115</v>
      </c>
      <c r="AL3170" s="3">
        <v>-164.00705500000001</v>
      </c>
      <c r="AS3170" t="s">
        <v>2194</v>
      </c>
      <c r="AT3170" t="s">
        <v>88</v>
      </c>
      <c r="AU3170" t="s">
        <v>269</v>
      </c>
      <c r="AV3170" s="14">
        <v>0</v>
      </c>
    </row>
    <row r="3171" spans="29:48">
      <c r="AC3171"/>
      <c r="AH3171" t="s">
        <v>1923</v>
      </c>
      <c r="AI3171" t="s">
        <v>68</v>
      </c>
      <c r="AJ3171" t="s">
        <v>66</v>
      </c>
      <c r="AK3171" s="3" t="s">
        <v>27</v>
      </c>
      <c r="AL3171" s="3">
        <v>-14896.5</v>
      </c>
      <c r="AS3171" t="s">
        <v>2194</v>
      </c>
      <c r="AT3171" t="s">
        <v>88</v>
      </c>
      <c r="AU3171" t="s">
        <v>270</v>
      </c>
      <c r="AV3171" s="14">
        <v>0</v>
      </c>
    </row>
    <row r="3172" spans="29:48">
      <c r="AC3172"/>
      <c r="AH3172" t="s">
        <v>1923</v>
      </c>
      <c r="AI3172" t="s">
        <v>68</v>
      </c>
      <c r="AJ3172" t="s">
        <v>72</v>
      </c>
      <c r="AK3172" s="3" t="s">
        <v>27</v>
      </c>
      <c r="AL3172" s="3">
        <v>-15482.051359999999</v>
      </c>
      <c r="AS3172" t="s">
        <v>2194</v>
      </c>
      <c r="AT3172" t="s">
        <v>88</v>
      </c>
      <c r="AU3172" t="s">
        <v>271</v>
      </c>
      <c r="AV3172" s="14">
        <v>-2135.5933</v>
      </c>
    </row>
    <row r="3173" spans="29:48">
      <c r="AC3173"/>
      <c r="AH3173" t="s">
        <v>1923</v>
      </c>
      <c r="AI3173" t="s">
        <v>68</v>
      </c>
      <c r="AJ3173" t="s">
        <v>113</v>
      </c>
      <c r="AK3173" s="3" t="s">
        <v>27</v>
      </c>
      <c r="AL3173" s="3">
        <v>248.34199041100001</v>
      </c>
      <c r="AS3173" t="s">
        <v>2194</v>
      </c>
      <c r="AT3173" t="s">
        <v>88</v>
      </c>
      <c r="AU3173" t="s">
        <v>272</v>
      </c>
      <c r="AV3173" s="14">
        <v>0</v>
      </c>
    </row>
    <row r="3174" spans="29:48">
      <c r="AC3174"/>
      <c r="AH3174" t="s">
        <v>1923</v>
      </c>
      <c r="AI3174" t="s">
        <v>68</v>
      </c>
      <c r="AJ3174" t="s">
        <v>108</v>
      </c>
      <c r="AK3174" s="3" t="s">
        <v>27</v>
      </c>
      <c r="AL3174" s="3">
        <v>-585.55136000000005</v>
      </c>
      <c r="AS3174" t="s">
        <v>2194</v>
      </c>
      <c r="AT3174" t="s">
        <v>88</v>
      </c>
      <c r="AU3174" t="s">
        <v>273</v>
      </c>
      <c r="AV3174" s="14">
        <v>1000</v>
      </c>
    </row>
    <row r="3175" spans="29:48">
      <c r="AC3175"/>
      <c r="AH3175" t="s">
        <v>1923</v>
      </c>
      <c r="AI3175" t="s">
        <v>68</v>
      </c>
      <c r="AJ3175" t="s">
        <v>98</v>
      </c>
      <c r="AK3175" s="3" t="s">
        <v>27</v>
      </c>
      <c r="AL3175" s="3">
        <v>491.95199000000002</v>
      </c>
      <c r="AS3175" t="s">
        <v>2195</v>
      </c>
      <c r="AT3175" t="s">
        <v>88</v>
      </c>
      <c r="AU3175" t="s">
        <v>109</v>
      </c>
      <c r="AV3175" s="14">
        <v>12770</v>
      </c>
    </row>
    <row r="3176" spans="29:48">
      <c r="AC3176"/>
      <c r="AH3176" t="s">
        <v>1923</v>
      </c>
      <c r="AI3176" t="s">
        <v>68</v>
      </c>
      <c r="AJ3176" t="s">
        <v>66</v>
      </c>
      <c r="AK3176" s="3" t="s">
        <v>114</v>
      </c>
      <c r="AL3176" s="3">
        <v>1203</v>
      </c>
      <c r="AS3176" t="s">
        <v>2195</v>
      </c>
      <c r="AT3176" t="s">
        <v>88</v>
      </c>
      <c r="AU3176" t="s">
        <v>110</v>
      </c>
      <c r="AV3176" s="14">
        <v>1397.6106</v>
      </c>
    </row>
    <row r="3177" spans="29:48">
      <c r="AC3177"/>
      <c r="AH3177" t="s">
        <v>1923</v>
      </c>
      <c r="AI3177" t="s">
        <v>68</v>
      </c>
      <c r="AJ3177" t="s">
        <v>98</v>
      </c>
      <c r="AK3177" s="3" t="s">
        <v>114</v>
      </c>
      <c r="AL3177" s="3">
        <v>-73.99203</v>
      </c>
      <c r="AS3177" t="s">
        <v>2195</v>
      </c>
      <c r="AT3177" t="s">
        <v>88</v>
      </c>
      <c r="AU3177" t="s">
        <v>111</v>
      </c>
      <c r="AV3177" s="14">
        <v>6000</v>
      </c>
    </row>
    <row r="3178" spans="29:48">
      <c r="AC3178"/>
      <c r="AH3178" t="s">
        <v>1923</v>
      </c>
      <c r="AI3178" t="s">
        <v>68</v>
      </c>
      <c r="AJ3178" t="s">
        <v>66</v>
      </c>
      <c r="AK3178" s="3" t="s">
        <v>115</v>
      </c>
      <c r="AL3178" s="3">
        <v>16099.5</v>
      </c>
      <c r="AS3178" t="s">
        <v>2195</v>
      </c>
      <c r="AT3178" t="s">
        <v>88</v>
      </c>
      <c r="AU3178" t="s">
        <v>268</v>
      </c>
      <c r="AV3178" s="14">
        <v>2850</v>
      </c>
    </row>
    <row r="3179" spans="29:48">
      <c r="AC3179"/>
      <c r="AH3179" t="s">
        <v>1923</v>
      </c>
      <c r="AI3179" t="s">
        <v>68</v>
      </c>
      <c r="AJ3179" t="s">
        <v>98</v>
      </c>
      <c r="AK3179" s="3" t="s">
        <v>115</v>
      </c>
      <c r="AL3179" s="3">
        <v>-565.94402000000002</v>
      </c>
      <c r="AS3179" t="s">
        <v>2195</v>
      </c>
      <c r="AT3179" t="s">
        <v>88</v>
      </c>
      <c r="AU3179" t="s">
        <v>269</v>
      </c>
      <c r="AV3179" s="14">
        <v>0</v>
      </c>
    </row>
    <row r="3180" spans="29:48">
      <c r="AC3180"/>
      <c r="AH3180" t="s">
        <v>1924</v>
      </c>
      <c r="AI3180" t="s">
        <v>65</v>
      </c>
      <c r="AJ3180" t="s">
        <v>66</v>
      </c>
      <c r="AK3180" s="3" t="s">
        <v>27</v>
      </c>
      <c r="AL3180" s="3">
        <v>28418</v>
      </c>
      <c r="AS3180" t="s">
        <v>2195</v>
      </c>
      <c r="AT3180" t="s">
        <v>88</v>
      </c>
      <c r="AU3180" t="s">
        <v>270</v>
      </c>
      <c r="AV3180" s="14">
        <v>0</v>
      </c>
    </row>
    <row r="3181" spans="29:48">
      <c r="AC3181"/>
      <c r="AH3181" t="s">
        <v>1924</v>
      </c>
      <c r="AI3181" t="s">
        <v>65</v>
      </c>
      <c r="AJ3181" t="s">
        <v>72</v>
      </c>
      <c r="AK3181" s="3" t="s">
        <v>27</v>
      </c>
      <c r="AL3181" s="3">
        <v>29067.909210000002</v>
      </c>
      <c r="AS3181" t="s">
        <v>2195</v>
      </c>
      <c r="AT3181" t="s">
        <v>88</v>
      </c>
      <c r="AU3181" t="s">
        <v>271</v>
      </c>
      <c r="AV3181" s="14">
        <v>-2291.3283999999999</v>
      </c>
    </row>
    <row r="3182" spans="29:48">
      <c r="AC3182"/>
      <c r="AH3182" t="s">
        <v>1924</v>
      </c>
      <c r="AI3182" t="s">
        <v>65</v>
      </c>
      <c r="AJ3182" t="s">
        <v>113</v>
      </c>
      <c r="AK3182" s="3" t="s">
        <v>27</v>
      </c>
      <c r="AL3182" s="3">
        <v>1784.1459267962</v>
      </c>
      <c r="AS3182" t="s">
        <v>2195</v>
      </c>
      <c r="AT3182" t="s">
        <v>88</v>
      </c>
      <c r="AU3182" t="s">
        <v>272</v>
      </c>
      <c r="AV3182" s="14">
        <v>0</v>
      </c>
    </row>
    <row r="3183" spans="29:48">
      <c r="AC3183"/>
      <c r="AH3183" t="s">
        <v>1924</v>
      </c>
      <c r="AI3183" t="s">
        <v>65</v>
      </c>
      <c r="AJ3183" t="s">
        <v>108</v>
      </c>
      <c r="AK3183" s="3" t="s">
        <v>27</v>
      </c>
      <c r="AL3183" s="3">
        <v>-1134.2367167962</v>
      </c>
      <c r="AS3183" t="s">
        <v>2195</v>
      </c>
      <c r="AT3183" t="s">
        <v>88</v>
      </c>
      <c r="AU3183" t="s">
        <v>273</v>
      </c>
      <c r="AV3183" s="14">
        <v>0</v>
      </c>
    </row>
    <row r="3184" spans="29:48">
      <c r="AC3184"/>
      <c r="AH3184" t="s">
        <v>1924</v>
      </c>
      <c r="AI3184" t="s">
        <v>65</v>
      </c>
      <c r="AJ3184" t="s">
        <v>98</v>
      </c>
      <c r="AK3184" s="3" t="s">
        <v>27</v>
      </c>
      <c r="AL3184" s="3">
        <v>-1197.2827150000001</v>
      </c>
      <c r="AS3184" t="s">
        <v>2196</v>
      </c>
      <c r="AT3184" t="s">
        <v>88</v>
      </c>
      <c r="AU3184" t="s">
        <v>109</v>
      </c>
      <c r="AV3184" s="14">
        <v>12770</v>
      </c>
    </row>
    <row r="3185" spans="29:48">
      <c r="AC3185"/>
      <c r="AH3185" t="s">
        <v>1924</v>
      </c>
      <c r="AI3185" t="s">
        <v>67</v>
      </c>
      <c r="AJ3185" t="s">
        <v>66</v>
      </c>
      <c r="AK3185" s="3" t="s">
        <v>27</v>
      </c>
      <c r="AL3185" s="3">
        <v>-7570.5</v>
      </c>
      <c r="AS3185" t="s">
        <v>2196</v>
      </c>
      <c r="AT3185" t="s">
        <v>88</v>
      </c>
      <c r="AU3185" t="s">
        <v>110</v>
      </c>
      <c r="AV3185" s="14">
        <v>1397.6106</v>
      </c>
    </row>
    <row r="3186" spans="29:48">
      <c r="AC3186"/>
      <c r="AH3186" t="s">
        <v>1924</v>
      </c>
      <c r="AI3186" t="s">
        <v>67</v>
      </c>
      <c r="AJ3186" t="s">
        <v>72</v>
      </c>
      <c r="AK3186" s="3" t="s">
        <v>27</v>
      </c>
      <c r="AL3186" s="3">
        <v>-8012.1331449999998</v>
      </c>
      <c r="AS3186" t="s">
        <v>2196</v>
      </c>
      <c r="AT3186" t="s">
        <v>88</v>
      </c>
      <c r="AU3186" t="s">
        <v>111</v>
      </c>
      <c r="AV3186" s="14">
        <v>6000</v>
      </c>
    </row>
    <row r="3187" spans="29:48">
      <c r="AC3187"/>
      <c r="AH3187" t="s">
        <v>1924</v>
      </c>
      <c r="AI3187" t="s">
        <v>67</v>
      </c>
      <c r="AJ3187" t="s">
        <v>113</v>
      </c>
      <c r="AK3187" s="3" t="s">
        <v>27</v>
      </c>
      <c r="AL3187" s="3">
        <v>11.393609589</v>
      </c>
      <c r="AS3187" t="s">
        <v>2196</v>
      </c>
      <c r="AT3187" t="s">
        <v>88</v>
      </c>
      <c r="AU3187" t="s">
        <v>268</v>
      </c>
      <c r="AV3187" s="14">
        <v>1700</v>
      </c>
    </row>
    <row r="3188" spans="29:48">
      <c r="AC3188"/>
      <c r="AH3188" t="s">
        <v>1924</v>
      </c>
      <c r="AI3188" t="s">
        <v>67</v>
      </c>
      <c r="AJ3188" t="s">
        <v>108</v>
      </c>
      <c r="AK3188" s="3" t="s">
        <v>27</v>
      </c>
      <c r="AL3188" s="3">
        <v>-453.02675458900001</v>
      </c>
      <c r="AS3188" t="s">
        <v>2196</v>
      </c>
      <c r="AT3188" t="s">
        <v>88</v>
      </c>
      <c r="AU3188" t="s">
        <v>269</v>
      </c>
      <c r="AV3188" s="14">
        <v>0</v>
      </c>
    </row>
    <row r="3189" spans="29:48">
      <c r="AC3189"/>
      <c r="AH3189" t="s">
        <v>1924</v>
      </c>
      <c r="AI3189" t="s">
        <v>67</v>
      </c>
      <c r="AJ3189" t="s">
        <v>98</v>
      </c>
      <c r="AK3189" s="3" t="s">
        <v>27</v>
      </c>
      <c r="AL3189" s="3">
        <v>221.17352</v>
      </c>
      <c r="AS3189" t="s">
        <v>2196</v>
      </c>
      <c r="AT3189" t="s">
        <v>88</v>
      </c>
      <c r="AU3189" t="s">
        <v>270</v>
      </c>
      <c r="AV3189" s="14">
        <v>0</v>
      </c>
    </row>
    <row r="3190" spans="29:48">
      <c r="AC3190"/>
      <c r="AH3190" t="s">
        <v>1924</v>
      </c>
      <c r="AI3190" t="s">
        <v>67</v>
      </c>
      <c r="AJ3190" t="s">
        <v>66</v>
      </c>
      <c r="AK3190" s="3" t="s">
        <v>114</v>
      </c>
      <c r="AL3190" s="3">
        <v>100</v>
      </c>
      <c r="AS3190" t="s">
        <v>2196</v>
      </c>
      <c r="AT3190" t="s">
        <v>88</v>
      </c>
      <c r="AU3190" t="s">
        <v>271</v>
      </c>
      <c r="AV3190" s="14">
        <v>-1500</v>
      </c>
    </row>
    <row r="3191" spans="29:48">
      <c r="AC3191"/>
      <c r="AH3191" t="s">
        <v>1924</v>
      </c>
      <c r="AI3191" t="s">
        <v>67</v>
      </c>
      <c r="AJ3191" t="s">
        <v>98</v>
      </c>
      <c r="AK3191" s="3" t="s">
        <v>114</v>
      </c>
      <c r="AL3191" s="3">
        <v>-5.3019999999999996</v>
      </c>
      <c r="AS3191" t="s">
        <v>2196</v>
      </c>
      <c r="AT3191" t="s">
        <v>88</v>
      </c>
      <c r="AU3191" t="s">
        <v>272</v>
      </c>
      <c r="AV3191" s="14">
        <v>0</v>
      </c>
    </row>
    <row r="3192" spans="29:48">
      <c r="AC3192"/>
      <c r="AH3192" t="s">
        <v>1924</v>
      </c>
      <c r="AI3192" t="s">
        <v>67</v>
      </c>
      <c r="AJ3192" t="s">
        <v>66</v>
      </c>
      <c r="AK3192" s="3" t="s">
        <v>115</v>
      </c>
      <c r="AL3192" s="3">
        <v>7670.5</v>
      </c>
      <c r="AS3192" t="s">
        <v>2196</v>
      </c>
      <c r="AT3192" t="s">
        <v>88</v>
      </c>
      <c r="AU3192" t="s">
        <v>273</v>
      </c>
      <c r="AV3192" s="14">
        <v>0</v>
      </c>
    </row>
    <row r="3193" spans="29:48">
      <c r="AC3193"/>
      <c r="AH3193" t="s">
        <v>1924</v>
      </c>
      <c r="AI3193" t="s">
        <v>67</v>
      </c>
      <c r="AJ3193" t="s">
        <v>98</v>
      </c>
      <c r="AK3193" s="3" t="s">
        <v>115</v>
      </c>
      <c r="AL3193" s="3">
        <v>-226.47551999999999</v>
      </c>
      <c r="AS3193" t="s">
        <v>2197</v>
      </c>
      <c r="AT3193" t="s">
        <v>88</v>
      </c>
      <c r="AU3193" t="s">
        <v>109</v>
      </c>
      <c r="AV3193" s="14">
        <v>12770</v>
      </c>
    </row>
    <row r="3194" spans="29:48">
      <c r="AC3194"/>
      <c r="AH3194" t="s">
        <v>1924</v>
      </c>
      <c r="AI3194" t="s">
        <v>68</v>
      </c>
      <c r="AJ3194" t="s">
        <v>66</v>
      </c>
      <c r="AK3194" s="3" t="s">
        <v>27</v>
      </c>
      <c r="AL3194" s="3">
        <v>-14506.5</v>
      </c>
      <c r="AS3194" t="s">
        <v>2197</v>
      </c>
      <c r="AT3194" t="s">
        <v>88</v>
      </c>
      <c r="AU3194" t="s">
        <v>110</v>
      </c>
      <c r="AV3194" s="14">
        <v>1397.6106</v>
      </c>
    </row>
    <row r="3195" spans="29:48">
      <c r="AC3195"/>
      <c r="AH3195" t="s">
        <v>1924</v>
      </c>
      <c r="AI3195" t="s">
        <v>68</v>
      </c>
      <c r="AJ3195" t="s">
        <v>72</v>
      </c>
      <c r="AK3195" s="3" t="s">
        <v>27</v>
      </c>
      <c r="AL3195" s="3">
        <v>-15096.212285</v>
      </c>
      <c r="AS3195" t="s">
        <v>2197</v>
      </c>
      <c r="AT3195" t="s">
        <v>88</v>
      </c>
      <c r="AU3195" t="s">
        <v>111</v>
      </c>
      <c r="AV3195" s="14">
        <v>6000</v>
      </c>
    </row>
    <row r="3196" spans="29:48">
      <c r="AC3196"/>
      <c r="AH3196" t="s">
        <v>1924</v>
      </c>
      <c r="AI3196" t="s">
        <v>68</v>
      </c>
      <c r="AJ3196" t="s">
        <v>113</v>
      </c>
      <c r="AK3196" s="3" t="s">
        <v>27</v>
      </c>
      <c r="AL3196" s="3">
        <v>148.3083671233</v>
      </c>
      <c r="AS3196" t="s">
        <v>2197</v>
      </c>
      <c r="AT3196" t="s">
        <v>88</v>
      </c>
      <c r="AU3196" t="s">
        <v>268</v>
      </c>
      <c r="AV3196" s="14">
        <v>1200</v>
      </c>
    </row>
    <row r="3197" spans="29:48">
      <c r="AC3197"/>
      <c r="AH3197" t="s">
        <v>1924</v>
      </c>
      <c r="AI3197" t="s">
        <v>68</v>
      </c>
      <c r="AJ3197" t="s">
        <v>108</v>
      </c>
      <c r="AK3197" s="3" t="s">
        <v>27</v>
      </c>
      <c r="AL3197" s="3">
        <v>-589.71228499999995</v>
      </c>
      <c r="AS3197" t="s">
        <v>2197</v>
      </c>
      <c r="AT3197" t="s">
        <v>88</v>
      </c>
      <c r="AU3197" t="s">
        <v>269</v>
      </c>
      <c r="AV3197" s="14">
        <v>0</v>
      </c>
    </row>
    <row r="3198" spans="29:48">
      <c r="AC3198"/>
      <c r="AH3198" t="s">
        <v>1924</v>
      </c>
      <c r="AI3198" t="s">
        <v>68</v>
      </c>
      <c r="AJ3198" t="s">
        <v>98</v>
      </c>
      <c r="AK3198" s="3" t="s">
        <v>27</v>
      </c>
      <c r="AL3198" s="3">
        <v>485.15856500000001</v>
      </c>
      <c r="AS3198" t="s">
        <v>2197</v>
      </c>
      <c r="AT3198" t="s">
        <v>88</v>
      </c>
      <c r="AU3198" t="s">
        <v>270</v>
      </c>
      <c r="AV3198" s="14">
        <v>0</v>
      </c>
    </row>
    <row r="3199" spans="29:48">
      <c r="AC3199"/>
      <c r="AH3199" t="s">
        <v>1924</v>
      </c>
      <c r="AI3199" t="s">
        <v>68</v>
      </c>
      <c r="AJ3199" t="s">
        <v>66</v>
      </c>
      <c r="AK3199" s="3" t="s">
        <v>114</v>
      </c>
      <c r="AL3199" s="3">
        <v>1080</v>
      </c>
      <c r="AS3199" t="s">
        <v>2197</v>
      </c>
      <c r="AT3199" t="s">
        <v>88</v>
      </c>
      <c r="AU3199" t="s">
        <v>271</v>
      </c>
      <c r="AV3199" s="14">
        <v>0</v>
      </c>
    </row>
    <row r="3200" spans="29:48">
      <c r="AC3200"/>
      <c r="AH3200" t="s">
        <v>1924</v>
      </c>
      <c r="AI3200" t="s">
        <v>68</v>
      </c>
      <c r="AJ3200" t="s">
        <v>98</v>
      </c>
      <c r="AK3200" s="3" t="s">
        <v>114</v>
      </c>
      <c r="AL3200" s="3">
        <v>-33.2545</v>
      </c>
      <c r="AS3200" t="s">
        <v>2197</v>
      </c>
      <c r="AT3200" t="s">
        <v>88</v>
      </c>
      <c r="AU3200" t="s">
        <v>272</v>
      </c>
      <c r="AV3200" s="14">
        <v>0</v>
      </c>
    </row>
    <row r="3201" spans="29:48">
      <c r="AC3201"/>
      <c r="AH3201" t="s">
        <v>1924</v>
      </c>
      <c r="AI3201" t="s">
        <v>68</v>
      </c>
      <c r="AJ3201" t="s">
        <v>66</v>
      </c>
      <c r="AK3201" s="3" t="s">
        <v>115</v>
      </c>
      <c r="AL3201" s="3">
        <v>15586.5</v>
      </c>
      <c r="AS3201" t="s">
        <v>2197</v>
      </c>
      <c r="AT3201" t="s">
        <v>88</v>
      </c>
      <c r="AU3201" t="s">
        <v>273</v>
      </c>
      <c r="AV3201" s="14">
        <v>0</v>
      </c>
    </row>
    <row r="3202" spans="29:48">
      <c r="AC3202"/>
      <c r="AH3202" t="s">
        <v>1924</v>
      </c>
      <c r="AI3202" t="s">
        <v>68</v>
      </c>
      <c r="AJ3202" t="s">
        <v>98</v>
      </c>
      <c r="AK3202" s="3" t="s">
        <v>115</v>
      </c>
      <c r="AL3202" s="3">
        <v>-518.41306499999996</v>
      </c>
      <c r="AS3202" t="s">
        <v>2198</v>
      </c>
      <c r="AT3202" t="s">
        <v>88</v>
      </c>
      <c r="AU3202" t="s">
        <v>109</v>
      </c>
      <c r="AV3202" s="14">
        <v>12570</v>
      </c>
    </row>
    <row r="3203" spans="29:48">
      <c r="AC3203"/>
      <c r="AH3203" t="s">
        <v>1925</v>
      </c>
      <c r="AI3203" t="s">
        <v>65</v>
      </c>
      <c r="AJ3203" t="s">
        <v>66</v>
      </c>
      <c r="AK3203" s="3" t="s">
        <v>27</v>
      </c>
      <c r="AL3203" s="3">
        <v>27238</v>
      </c>
      <c r="AS3203" t="s">
        <v>2198</v>
      </c>
      <c r="AT3203" t="s">
        <v>88</v>
      </c>
      <c r="AU3203" t="s">
        <v>110</v>
      </c>
      <c r="AV3203" s="14">
        <v>1397.6106</v>
      </c>
    </row>
    <row r="3204" spans="29:48">
      <c r="AC3204"/>
      <c r="AH3204" t="s">
        <v>1925</v>
      </c>
      <c r="AI3204" t="s">
        <v>65</v>
      </c>
      <c r="AJ3204" t="s">
        <v>72</v>
      </c>
      <c r="AK3204" s="3" t="s">
        <v>27</v>
      </c>
      <c r="AL3204" s="3">
        <v>28069.807605000002</v>
      </c>
      <c r="AS3204" t="s">
        <v>2198</v>
      </c>
      <c r="AT3204" t="s">
        <v>88</v>
      </c>
      <c r="AU3204" t="s">
        <v>111</v>
      </c>
      <c r="AV3204" s="14">
        <v>6000</v>
      </c>
    </row>
    <row r="3205" spans="29:48">
      <c r="AC3205"/>
      <c r="AH3205" t="s">
        <v>1925</v>
      </c>
      <c r="AI3205" t="s">
        <v>65</v>
      </c>
      <c r="AJ3205" t="s">
        <v>113</v>
      </c>
      <c r="AK3205" s="3" t="s">
        <v>27</v>
      </c>
      <c r="AL3205" s="3">
        <v>1895.5011869376999</v>
      </c>
      <c r="AS3205" t="s">
        <v>2198</v>
      </c>
      <c r="AT3205" t="s">
        <v>88</v>
      </c>
      <c r="AU3205" t="s">
        <v>268</v>
      </c>
      <c r="AV3205" s="14">
        <v>200</v>
      </c>
    </row>
    <row r="3206" spans="29:48">
      <c r="AC3206"/>
      <c r="AH3206" t="s">
        <v>1925</v>
      </c>
      <c r="AI3206" t="s">
        <v>65</v>
      </c>
      <c r="AJ3206" t="s">
        <v>108</v>
      </c>
      <c r="AK3206" s="3" t="s">
        <v>27</v>
      </c>
      <c r="AL3206" s="3">
        <v>-1063.6935819376999</v>
      </c>
      <c r="AS3206" t="s">
        <v>2198</v>
      </c>
      <c r="AT3206" t="s">
        <v>88</v>
      </c>
      <c r="AU3206" t="s">
        <v>269</v>
      </c>
      <c r="AV3206" s="14">
        <v>0</v>
      </c>
    </row>
    <row r="3207" spans="29:48">
      <c r="AC3207"/>
      <c r="AH3207" t="s">
        <v>1925</v>
      </c>
      <c r="AI3207" t="s">
        <v>65</v>
      </c>
      <c r="AJ3207" t="s">
        <v>98</v>
      </c>
      <c r="AK3207" s="3" t="s">
        <v>27</v>
      </c>
      <c r="AL3207" s="3">
        <v>-1126.1308200000001</v>
      </c>
      <c r="AS3207" t="s">
        <v>2198</v>
      </c>
      <c r="AT3207" t="s">
        <v>88</v>
      </c>
      <c r="AU3207" t="s">
        <v>270</v>
      </c>
      <c r="AV3207" s="14">
        <v>0</v>
      </c>
    </row>
    <row r="3208" spans="29:48">
      <c r="AC3208"/>
      <c r="AH3208" t="s">
        <v>1925</v>
      </c>
      <c r="AI3208" t="s">
        <v>67</v>
      </c>
      <c r="AJ3208" t="s">
        <v>66</v>
      </c>
      <c r="AK3208" s="3" t="s">
        <v>27</v>
      </c>
      <c r="AL3208" s="3">
        <v>-5340.5</v>
      </c>
      <c r="AS3208" t="s">
        <v>2198</v>
      </c>
      <c r="AT3208" t="s">
        <v>88</v>
      </c>
      <c r="AU3208" t="s">
        <v>271</v>
      </c>
      <c r="AV3208" s="14">
        <v>0</v>
      </c>
    </row>
    <row r="3209" spans="29:48">
      <c r="AC3209"/>
      <c r="AH3209" t="s">
        <v>1925</v>
      </c>
      <c r="AI3209" t="s">
        <v>67</v>
      </c>
      <c r="AJ3209" t="s">
        <v>72</v>
      </c>
      <c r="AK3209" s="3" t="s">
        <v>27</v>
      </c>
      <c r="AL3209" s="3">
        <v>-6138.4164250000003</v>
      </c>
      <c r="AS3209" t="s">
        <v>2198</v>
      </c>
      <c r="AT3209" t="s">
        <v>88</v>
      </c>
      <c r="AU3209" t="s">
        <v>272</v>
      </c>
      <c r="AV3209" s="14">
        <v>0</v>
      </c>
    </row>
    <row r="3210" spans="29:48">
      <c r="AC3210"/>
      <c r="AH3210" t="s">
        <v>1925</v>
      </c>
      <c r="AI3210" t="s">
        <v>67</v>
      </c>
      <c r="AJ3210" t="s">
        <v>113</v>
      </c>
      <c r="AK3210" s="3" t="s">
        <v>27</v>
      </c>
      <c r="AL3210" s="3">
        <v>-112.1036506849</v>
      </c>
      <c r="AS3210" t="s">
        <v>2198</v>
      </c>
      <c r="AT3210" t="s">
        <v>88</v>
      </c>
      <c r="AU3210" t="s">
        <v>273</v>
      </c>
      <c r="AV3210" s="14">
        <v>0</v>
      </c>
    </row>
    <row r="3211" spans="29:48">
      <c r="AC3211"/>
      <c r="AH3211" t="s">
        <v>1925</v>
      </c>
      <c r="AI3211" t="s">
        <v>67</v>
      </c>
      <c r="AJ3211" t="s">
        <v>108</v>
      </c>
      <c r="AK3211" s="3" t="s">
        <v>27</v>
      </c>
      <c r="AL3211" s="3">
        <v>-685.8127743151</v>
      </c>
      <c r="AS3211" t="s">
        <v>2199</v>
      </c>
      <c r="AT3211" t="s">
        <v>88</v>
      </c>
      <c r="AU3211" t="s">
        <v>271</v>
      </c>
      <c r="AV3211" s="14">
        <v>-150</v>
      </c>
    </row>
    <row r="3212" spans="29:48">
      <c r="AC3212"/>
      <c r="AH3212" t="s">
        <v>1925</v>
      </c>
      <c r="AI3212" t="s">
        <v>67</v>
      </c>
      <c r="AJ3212" t="s">
        <v>98</v>
      </c>
      <c r="AK3212" s="3" t="s">
        <v>27</v>
      </c>
      <c r="AL3212" s="3">
        <v>61.373939999999997</v>
      </c>
      <c r="AS3212" t="s">
        <v>2199</v>
      </c>
      <c r="AT3212" t="s">
        <v>88</v>
      </c>
      <c r="AU3212" t="s">
        <v>272</v>
      </c>
      <c r="AV3212" s="14">
        <v>0</v>
      </c>
    </row>
    <row r="3213" spans="29:48">
      <c r="AC3213"/>
      <c r="AH3213" t="s">
        <v>1925</v>
      </c>
      <c r="AI3213" t="s">
        <v>67</v>
      </c>
      <c r="AJ3213" t="s">
        <v>66</v>
      </c>
      <c r="AK3213" s="3" t="s">
        <v>114</v>
      </c>
      <c r="AL3213" s="3">
        <v>1280</v>
      </c>
      <c r="AS3213" t="s">
        <v>2199</v>
      </c>
      <c r="AT3213" t="s">
        <v>88</v>
      </c>
      <c r="AU3213" t="s">
        <v>273</v>
      </c>
      <c r="AV3213" s="14">
        <v>0</v>
      </c>
    </row>
    <row r="3214" spans="29:48">
      <c r="AC3214"/>
      <c r="AH3214" t="s">
        <v>1925</v>
      </c>
      <c r="AI3214" t="s">
        <v>67</v>
      </c>
      <c r="AJ3214" t="s">
        <v>98</v>
      </c>
      <c r="AK3214" s="3" t="s">
        <v>114</v>
      </c>
      <c r="AL3214" s="3">
        <v>-74.944400000000002</v>
      </c>
      <c r="AS3214" t="s">
        <v>2199</v>
      </c>
      <c r="AT3214" t="s">
        <v>88</v>
      </c>
      <c r="AU3214" t="s">
        <v>109</v>
      </c>
      <c r="AV3214" s="14">
        <v>12720</v>
      </c>
    </row>
    <row r="3215" spans="29:48">
      <c r="AC3215"/>
      <c r="AH3215" t="s">
        <v>1925</v>
      </c>
      <c r="AI3215" t="s">
        <v>67</v>
      </c>
      <c r="AJ3215" t="s">
        <v>66</v>
      </c>
      <c r="AK3215" s="3" t="s">
        <v>115</v>
      </c>
      <c r="AL3215" s="3">
        <v>6620.5</v>
      </c>
      <c r="AS3215" t="s">
        <v>2199</v>
      </c>
      <c r="AT3215" t="s">
        <v>88</v>
      </c>
      <c r="AU3215" t="s">
        <v>110</v>
      </c>
      <c r="AV3215" s="14">
        <v>1397.6106</v>
      </c>
    </row>
    <row r="3216" spans="29:48">
      <c r="AC3216"/>
      <c r="AH3216" t="s">
        <v>1925</v>
      </c>
      <c r="AI3216" t="s">
        <v>67</v>
      </c>
      <c r="AJ3216" t="s">
        <v>98</v>
      </c>
      <c r="AK3216" s="3" t="s">
        <v>115</v>
      </c>
      <c r="AL3216" s="3">
        <v>-136.31834000000001</v>
      </c>
      <c r="AS3216" t="s">
        <v>2199</v>
      </c>
      <c r="AT3216" t="s">
        <v>88</v>
      </c>
      <c r="AU3216" t="s">
        <v>111</v>
      </c>
      <c r="AV3216" s="14">
        <v>6000</v>
      </c>
    </row>
    <row r="3217" spans="29:48">
      <c r="AC3217"/>
      <c r="AH3217" t="s">
        <v>1925</v>
      </c>
      <c r="AI3217" t="s">
        <v>68</v>
      </c>
      <c r="AJ3217" t="s">
        <v>66</v>
      </c>
      <c r="AK3217" s="3" t="s">
        <v>27</v>
      </c>
      <c r="AL3217" s="3">
        <v>-15556.5</v>
      </c>
      <c r="AS3217" t="s">
        <v>2199</v>
      </c>
      <c r="AT3217" t="s">
        <v>88</v>
      </c>
      <c r="AU3217" t="s">
        <v>268</v>
      </c>
      <c r="AV3217" s="14">
        <v>200</v>
      </c>
    </row>
    <row r="3218" spans="29:48">
      <c r="AC3218"/>
      <c r="AH3218" t="s">
        <v>1925</v>
      </c>
      <c r="AI3218" t="s">
        <v>68</v>
      </c>
      <c r="AJ3218" t="s">
        <v>72</v>
      </c>
      <c r="AK3218" s="3" t="s">
        <v>27</v>
      </c>
      <c r="AL3218" s="3">
        <v>-15971.68777</v>
      </c>
      <c r="AS3218" t="s">
        <v>2199</v>
      </c>
      <c r="AT3218" t="s">
        <v>88</v>
      </c>
      <c r="AU3218" t="s">
        <v>269</v>
      </c>
      <c r="AV3218" s="14">
        <v>0</v>
      </c>
    </row>
    <row r="3219" spans="29:48">
      <c r="AC3219"/>
      <c r="AH3219" t="s">
        <v>1925</v>
      </c>
      <c r="AI3219" t="s">
        <v>68</v>
      </c>
      <c r="AJ3219" t="s">
        <v>113</v>
      </c>
      <c r="AK3219" s="3" t="s">
        <v>27</v>
      </c>
      <c r="AL3219" s="3">
        <v>112.0892068493</v>
      </c>
      <c r="AS3219" t="s">
        <v>2199</v>
      </c>
      <c r="AT3219" t="s">
        <v>88</v>
      </c>
      <c r="AU3219" t="s">
        <v>270</v>
      </c>
      <c r="AV3219" s="14">
        <v>0</v>
      </c>
    </row>
    <row r="3220" spans="29:48">
      <c r="AC3220"/>
      <c r="AH3220" t="s">
        <v>1925</v>
      </c>
      <c r="AI3220" t="s">
        <v>68</v>
      </c>
      <c r="AJ3220" t="s">
        <v>108</v>
      </c>
      <c r="AK3220" s="3" t="s">
        <v>27</v>
      </c>
      <c r="AL3220" s="3">
        <v>-415.18777</v>
      </c>
      <c r="AS3220" t="s">
        <v>2200</v>
      </c>
      <c r="AT3220" t="s">
        <v>88</v>
      </c>
      <c r="AU3220" t="s">
        <v>109</v>
      </c>
      <c r="AV3220" s="14">
        <v>15320</v>
      </c>
    </row>
    <row r="3221" spans="29:48">
      <c r="AC3221"/>
      <c r="AH3221" t="s">
        <v>1925</v>
      </c>
      <c r="AI3221" t="s">
        <v>68</v>
      </c>
      <c r="AJ3221" t="s">
        <v>98</v>
      </c>
      <c r="AK3221" s="3" t="s">
        <v>27</v>
      </c>
      <c r="AL3221" s="3">
        <v>573.94587999999999</v>
      </c>
      <c r="AS3221" t="s">
        <v>2200</v>
      </c>
      <c r="AT3221" t="s">
        <v>88</v>
      </c>
      <c r="AU3221" t="s">
        <v>110</v>
      </c>
      <c r="AV3221" s="14">
        <v>1397.6106</v>
      </c>
    </row>
    <row r="3222" spans="29:48">
      <c r="AC3222"/>
      <c r="AH3222" t="s">
        <v>1925</v>
      </c>
      <c r="AI3222" t="s">
        <v>68</v>
      </c>
      <c r="AJ3222" t="s">
        <v>66</v>
      </c>
      <c r="AK3222" s="3" t="s">
        <v>114</v>
      </c>
      <c r="AL3222" s="3">
        <v>760</v>
      </c>
      <c r="AS3222" t="s">
        <v>2200</v>
      </c>
      <c r="AT3222" t="s">
        <v>88</v>
      </c>
      <c r="AU3222" t="s">
        <v>111</v>
      </c>
      <c r="AV3222" s="14">
        <v>6000</v>
      </c>
    </row>
    <row r="3223" spans="29:48">
      <c r="AC3223"/>
      <c r="AH3223" t="s">
        <v>1925</v>
      </c>
      <c r="AI3223" t="s">
        <v>68</v>
      </c>
      <c r="AJ3223" t="s">
        <v>98</v>
      </c>
      <c r="AK3223" s="3" t="s">
        <v>114</v>
      </c>
      <c r="AL3223" s="3">
        <v>-30.940799999999999</v>
      </c>
      <c r="AS3223" t="s">
        <v>2200</v>
      </c>
      <c r="AT3223" t="s">
        <v>88</v>
      </c>
      <c r="AU3223" t="s">
        <v>268</v>
      </c>
      <c r="AV3223" s="14">
        <v>-800</v>
      </c>
    </row>
    <row r="3224" spans="29:48">
      <c r="AC3224"/>
      <c r="AH3224" t="s">
        <v>1925</v>
      </c>
      <c r="AI3224" t="s">
        <v>68</v>
      </c>
      <c r="AJ3224" t="s">
        <v>66</v>
      </c>
      <c r="AK3224" s="3" t="s">
        <v>115</v>
      </c>
      <c r="AL3224" s="3">
        <v>16316.5</v>
      </c>
      <c r="AS3224" t="s">
        <v>2200</v>
      </c>
      <c r="AT3224" t="s">
        <v>88</v>
      </c>
      <c r="AU3224" t="s">
        <v>269</v>
      </c>
      <c r="AV3224" s="14">
        <v>0</v>
      </c>
    </row>
    <row r="3225" spans="29:48">
      <c r="AC3225"/>
      <c r="AH3225" t="s">
        <v>1925</v>
      </c>
      <c r="AI3225" t="s">
        <v>68</v>
      </c>
      <c r="AJ3225" t="s">
        <v>98</v>
      </c>
      <c r="AK3225" s="3" t="s">
        <v>115</v>
      </c>
      <c r="AL3225" s="3">
        <v>-604.88667999999996</v>
      </c>
      <c r="AS3225" t="s">
        <v>2200</v>
      </c>
      <c r="AT3225" t="s">
        <v>88</v>
      </c>
      <c r="AU3225" t="s">
        <v>270</v>
      </c>
      <c r="AV3225" s="14">
        <v>0</v>
      </c>
    </row>
    <row r="3226" spans="29:48">
      <c r="AC3226"/>
      <c r="AH3226" t="s">
        <v>1926</v>
      </c>
      <c r="AI3226" t="s">
        <v>65</v>
      </c>
      <c r="AJ3226" t="s">
        <v>66</v>
      </c>
      <c r="AK3226" s="3" t="s">
        <v>27</v>
      </c>
      <c r="AL3226" s="3">
        <v>28588</v>
      </c>
      <c r="AS3226" t="s">
        <v>2200</v>
      </c>
      <c r="AT3226" t="s">
        <v>88</v>
      </c>
      <c r="AU3226" t="s">
        <v>271</v>
      </c>
      <c r="AV3226" s="14">
        <v>-1600</v>
      </c>
    </row>
    <row r="3227" spans="29:48">
      <c r="AC3227"/>
      <c r="AH3227" t="s">
        <v>1926</v>
      </c>
      <c r="AI3227" t="s">
        <v>65</v>
      </c>
      <c r="AJ3227" t="s">
        <v>72</v>
      </c>
      <c r="AK3227" s="3" t="s">
        <v>27</v>
      </c>
      <c r="AL3227" s="3">
        <v>29229.83409</v>
      </c>
      <c r="AS3227" t="s">
        <v>2200</v>
      </c>
      <c r="AT3227" t="s">
        <v>88</v>
      </c>
      <c r="AU3227" t="s">
        <v>272</v>
      </c>
      <c r="AV3227" s="14">
        <v>0</v>
      </c>
    </row>
    <row r="3228" spans="29:48">
      <c r="AC3228"/>
      <c r="AH3228" t="s">
        <v>1926</v>
      </c>
      <c r="AI3228" t="s">
        <v>65</v>
      </c>
      <c r="AJ3228" t="s">
        <v>113</v>
      </c>
      <c r="AK3228" s="3" t="s">
        <v>27</v>
      </c>
      <c r="AL3228" s="3">
        <v>1777.6582604091</v>
      </c>
      <c r="AS3228" t="s">
        <v>2200</v>
      </c>
      <c r="AT3228" t="s">
        <v>88</v>
      </c>
      <c r="AU3228" t="s">
        <v>273</v>
      </c>
      <c r="AV3228" s="14">
        <v>0</v>
      </c>
    </row>
    <row r="3229" spans="29:48">
      <c r="AC3229"/>
      <c r="AH3229" t="s">
        <v>1926</v>
      </c>
      <c r="AI3229" t="s">
        <v>65</v>
      </c>
      <c r="AJ3229" t="s">
        <v>108</v>
      </c>
      <c r="AK3229" s="3" t="s">
        <v>27</v>
      </c>
      <c r="AL3229" s="3">
        <v>-1135.8241704090999</v>
      </c>
      <c r="AS3229" t="s">
        <v>2201</v>
      </c>
      <c r="AT3229" t="s">
        <v>88</v>
      </c>
      <c r="AU3229" t="s">
        <v>109</v>
      </c>
      <c r="AV3229" s="14">
        <v>15920</v>
      </c>
    </row>
    <row r="3230" spans="29:48">
      <c r="AC3230"/>
      <c r="AH3230" t="s">
        <v>1926</v>
      </c>
      <c r="AI3230" t="s">
        <v>65</v>
      </c>
      <c r="AJ3230" t="s">
        <v>98</v>
      </c>
      <c r="AK3230" s="3" t="s">
        <v>27</v>
      </c>
      <c r="AL3230" s="3">
        <v>-1195.7004850000001</v>
      </c>
      <c r="AS3230" t="s">
        <v>2201</v>
      </c>
      <c r="AT3230" t="s">
        <v>88</v>
      </c>
      <c r="AU3230" t="s">
        <v>110</v>
      </c>
      <c r="AV3230" s="14">
        <v>1397.6106</v>
      </c>
    </row>
    <row r="3231" spans="29:48">
      <c r="AC3231"/>
      <c r="AH3231" t="s">
        <v>1926</v>
      </c>
      <c r="AI3231" t="s">
        <v>67</v>
      </c>
      <c r="AJ3231" t="s">
        <v>66</v>
      </c>
      <c r="AK3231" s="3" t="s">
        <v>27</v>
      </c>
      <c r="AL3231" s="3">
        <v>-7820.5</v>
      </c>
      <c r="AS3231" t="s">
        <v>2201</v>
      </c>
      <c r="AT3231" t="s">
        <v>88</v>
      </c>
      <c r="AU3231" t="s">
        <v>111</v>
      </c>
      <c r="AV3231" s="14">
        <v>6000</v>
      </c>
    </row>
    <row r="3232" spans="29:48">
      <c r="AC3232"/>
      <c r="AH3232" t="s">
        <v>1926</v>
      </c>
      <c r="AI3232" t="s">
        <v>67</v>
      </c>
      <c r="AJ3232" t="s">
        <v>72</v>
      </c>
      <c r="AK3232" s="3" t="s">
        <v>27</v>
      </c>
      <c r="AL3232" s="3">
        <v>-8249.4325200000003</v>
      </c>
      <c r="AS3232" t="s">
        <v>2201</v>
      </c>
      <c r="AT3232" t="s">
        <v>88</v>
      </c>
      <c r="AU3232" t="s">
        <v>268</v>
      </c>
      <c r="AV3232" s="14">
        <v>200</v>
      </c>
    </row>
    <row r="3233" spans="29:48">
      <c r="AC3233"/>
      <c r="AH3233" t="s">
        <v>1926</v>
      </c>
      <c r="AI3233" t="s">
        <v>67</v>
      </c>
      <c r="AJ3233" t="s">
        <v>113</v>
      </c>
      <c r="AK3233" s="3" t="s">
        <v>27</v>
      </c>
      <c r="AL3233" s="3">
        <v>-7.7736849315000001</v>
      </c>
      <c r="AS3233" t="s">
        <v>2201</v>
      </c>
      <c r="AT3233" t="s">
        <v>88</v>
      </c>
      <c r="AU3233" t="s">
        <v>269</v>
      </c>
      <c r="AV3233" s="14">
        <v>0</v>
      </c>
    </row>
    <row r="3234" spans="29:48">
      <c r="AC3234"/>
      <c r="AH3234" t="s">
        <v>1926</v>
      </c>
      <c r="AI3234" t="s">
        <v>67</v>
      </c>
      <c r="AJ3234" t="s">
        <v>108</v>
      </c>
      <c r="AK3234" s="3" t="s">
        <v>27</v>
      </c>
      <c r="AL3234" s="3">
        <v>-421.15883506850003</v>
      </c>
      <c r="AS3234" t="s">
        <v>2201</v>
      </c>
      <c r="AT3234" t="s">
        <v>88</v>
      </c>
      <c r="AU3234" t="s">
        <v>270</v>
      </c>
      <c r="AV3234" s="14">
        <v>0</v>
      </c>
    </row>
    <row r="3235" spans="29:48">
      <c r="AC3235"/>
      <c r="AH3235" t="s">
        <v>1926</v>
      </c>
      <c r="AI3235" t="s">
        <v>67</v>
      </c>
      <c r="AJ3235" t="s">
        <v>98</v>
      </c>
      <c r="AK3235" s="3" t="s">
        <v>27</v>
      </c>
      <c r="AL3235" s="3">
        <v>203.19599500000001</v>
      </c>
      <c r="AS3235" t="s">
        <v>2201</v>
      </c>
      <c r="AT3235" t="s">
        <v>88</v>
      </c>
      <c r="AU3235" t="s">
        <v>271</v>
      </c>
      <c r="AV3235" s="14">
        <v>-1700</v>
      </c>
    </row>
    <row r="3236" spans="29:48">
      <c r="AC3236"/>
      <c r="AH3236" t="s">
        <v>1926</v>
      </c>
      <c r="AI3236" t="s">
        <v>67</v>
      </c>
      <c r="AJ3236" t="s">
        <v>66</v>
      </c>
      <c r="AK3236" s="3" t="s">
        <v>114</v>
      </c>
      <c r="AL3236" s="3">
        <v>100</v>
      </c>
      <c r="AS3236" t="s">
        <v>2201</v>
      </c>
      <c r="AT3236" t="s">
        <v>88</v>
      </c>
      <c r="AU3236" t="s">
        <v>272</v>
      </c>
      <c r="AV3236" s="14">
        <v>0</v>
      </c>
    </row>
    <row r="3237" spans="29:48">
      <c r="AC3237"/>
      <c r="AH3237" t="s">
        <v>1926</v>
      </c>
      <c r="AI3237" t="s">
        <v>67</v>
      </c>
      <c r="AJ3237" t="s">
        <v>98</v>
      </c>
      <c r="AK3237" s="3" t="s">
        <v>114</v>
      </c>
      <c r="AL3237" s="3">
        <v>9.7000000000000003E-2</v>
      </c>
      <c r="AS3237" t="s">
        <v>2201</v>
      </c>
      <c r="AT3237" t="s">
        <v>88</v>
      </c>
      <c r="AU3237" t="s">
        <v>273</v>
      </c>
      <c r="AV3237" s="14">
        <v>0</v>
      </c>
    </row>
    <row r="3238" spans="29:48">
      <c r="AC3238"/>
      <c r="AH3238" t="s">
        <v>1926</v>
      </c>
      <c r="AI3238" t="s">
        <v>67</v>
      </c>
      <c r="AJ3238" t="s">
        <v>66</v>
      </c>
      <c r="AK3238" s="3" t="s">
        <v>115</v>
      </c>
      <c r="AL3238" s="3">
        <v>7920.5</v>
      </c>
      <c r="AS3238" t="s">
        <v>2202</v>
      </c>
      <c r="AT3238" t="s">
        <v>88</v>
      </c>
      <c r="AU3238" t="s">
        <v>109</v>
      </c>
      <c r="AV3238" s="14">
        <v>15920</v>
      </c>
    </row>
    <row r="3239" spans="29:48">
      <c r="AC3239"/>
      <c r="AH3239" t="s">
        <v>1926</v>
      </c>
      <c r="AI3239" t="s">
        <v>67</v>
      </c>
      <c r="AJ3239" t="s">
        <v>98</v>
      </c>
      <c r="AK3239" s="3" t="s">
        <v>115</v>
      </c>
      <c r="AL3239" s="3">
        <v>-203.098995</v>
      </c>
      <c r="AS3239" t="s">
        <v>2202</v>
      </c>
      <c r="AT3239" t="s">
        <v>88</v>
      </c>
      <c r="AU3239" t="s">
        <v>110</v>
      </c>
      <c r="AV3239" s="14">
        <v>1397.6106</v>
      </c>
    </row>
    <row r="3240" spans="29:48">
      <c r="AC3240"/>
      <c r="AH3240" t="s">
        <v>1926</v>
      </c>
      <c r="AI3240" t="s">
        <v>68</v>
      </c>
      <c r="AJ3240" t="s">
        <v>66</v>
      </c>
      <c r="AK3240" s="3" t="s">
        <v>27</v>
      </c>
      <c r="AL3240" s="3">
        <v>-14326.5</v>
      </c>
      <c r="AS3240" t="s">
        <v>2202</v>
      </c>
      <c r="AT3240" t="s">
        <v>88</v>
      </c>
      <c r="AU3240" t="s">
        <v>111</v>
      </c>
      <c r="AV3240" s="14">
        <v>6000</v>
      </c>
    </row>
    <row r="3241" spans="29:48">
      <c r="AC3241"/>
      <c r="AH3241" t="s">
        <v>1926</v>
      </c>
      <c r="AI3241" t="s">
        <v>68</v>
      </c>
      <c r="AJ3241" t="s">
        <v>72</v>
      </c>
      <c r="AK3241" s="3" t="s">
        <v>27</v>
      </c>
      <c r="AL3241" s="3">
        <v>-14921.887119999999</v>
      </c>
      <c r="AS3241" t="s">
        <v>2202</v>
      </c>
      <c r="AT3241" t="s">
        <v>88</v>
      </c>
      <c r="AU3241" t="s">
        <v>268</v>
      </c>
      <c r="AV3241" s="14">
        <v>-800</v>
      </c>
    </row>
    <row r="3242" spans="29:48">
      <c r="AC3242"/>
      <c r="AH3242" t="s">
        <v>1926</v>
      </c>
      <c r="AI3242" t="s">
        <v>68</v>
      </c>
      <c r="AJ3242" t="s">
        <v>113</v>
      </c>
      <c r="AK3242" s="3" t="s">
        <v>27</v>
      </c>
      <c r="AL3242" s="3">
        <v>-89.4726767123</v>
      </c>
      <c r="AS3242" t="s">
        <v>2202</v>
      </c>
      <c r="AT3242" t="s">
        <v>88</v>
      </c>
      <c r="AU3242" t="s">
        <v>269</v>
      </c>
      <c r="AV3242" s="14">
        <v>0</v>
      </c>
    </row>
    <row r="3243" spans="29:48">
      <c r="AC3243"/>
      <c r="AH3243" t="s">
        <v>1926</v>
      </c>
      <c r="AI3243" t="s">
        <v>68</v>
      </c>
      <c r="AJ3243" t="s">
        <v>108</v>
      </c>
      <c r="AK3243" s="3" t="s">
        <v>27</v>
      </c>
      <c r="AL3243" s="3">
        <v>-595.38711999999998</v>
      </c>
      <c r="AS3243" t="s">
        <v>2202</v>
      </c>
      <c r="AT3243" t="s">
        <v>88</v>
      </c>
      <c r="AU3243" t="s">
        <v>270</v>
      </c>
      <c r="AV3243" s="14">
        <v>0</v>
      </c>
    </row>
    <row r="3244" spans="29:48">
      <c r="AC3244"/>
      <c r="AH3244" t="s">
        <v>1926</v>
      </c>
      <c r="AI3244" t="s">
        <v>68</v>
      </c>
      <c r="AJ3244" t="s">
        <v>98</v>
      </c>
      <c r="AK3244" s="3" t="s">
        <v>27</v>
      </c>
      <c r="AL3244" s="3">
        <v>500.70452999999998</v>
      </c>
      <c r="AS3244" t="s">
        <v>2202</v>
      </c>
      <c r="AT3244" t="s">
        <v>88</v>
      </c>
      <c r="AU3244" t="s">
        <v>271</v>
      </c>
      <c r="AV3244" s="14">
        <v>-400</v>
      </c>
    </row>
    <row r="3245" spans="29:48">
      <c r="AC3245"/>
      <c r="AH3245" t="s">
        <v>1926</v>
      </c>
      <c r="AI3245" t="s">
        <v>68</v>
      </c>
      <c r="AJ3245" t="s">
        <v>66</v>
      </c>
      <c r="AK3245" s="3" t="s">
        <v>114</v>
      </c>
      <c r="AL3245" s="3">
        <v>1670</v>
      </c>
      <c r="AS3245" t="s">
        <v>2202</v>
      </c>
      <c r="AT3245" t="s">
        <v>88</v>
      </c>
      <c r="AU3245" t="s">
        <v>272</v>
      </c>
      <c r="AV3245" s="14">
        <v>0</v>
      </c>
    </row>
    <row r="3246" spans="29:48">
      <c r="AC3246"/>
      <c r="AH3246" t="s">
        <v>1926</v>
      </c>
      <c r="AI3246" t="s">
        <v>68</v>
      </c>
      <c r="AJ3246" t="s">
        <v>98</v>
      </c>
      <c r="AK3246" s="3" t="s">
        <v>114</v>
      </c>
      <c r="AL3246" s="3">
        <v>-90.549099999999996</v>
      </c>
      <c r="AS3246" t="s">
        <v>2202</v>
      </c>
      <c r="AT3246" t="s">
        <v>88</v>
      </c>
      <c r="AU3246" t="s">
        <v>273</v>
      </c>
      <c r="AV3246" s="14">
        <v>0</v>
      </c>
    </row>
    <row r="3247" spans="29:48">
      <c r="AC3247"/>
      <c r="AH3247" t="s">
        <v>1926</v>
      </c>
      <c r="AI3247" t="s">
        <v>68</v>
      </c>
      <c r="AJ3247" t="s">
        <v>66</v>
      </c>
      <c r="AK3247" s="3" t="s">
        <v>115</v>
      </c>
      <c r="AL3247" s="3">
        <v>15996.5</v>
      </c>
      <c r="AS3247" t="s">
        <v>2203</v>
      </c>
      <c r="AT3247" t="s">
        <v>88</v>
      </c>
      <c r="AU3247" t="s">
        <v>109</v>
      </c>
      <c r="AV3247" s="14">
        <v>14920</v>
      </c>
    </row>
    <row r="3248" spans="29:48">
      <c r="AH3248" t="s">
        <v>1926</v>
      </c>
      <c r="AI3248" t="s">
        <v>68</v>
      </c>
      <c r="AJ3248" t="s">
        <v>98</v>
      </c>
      <c r="AK3248" s="3" t="s">
        <v>115</v>
      </c>
      <c r="AL3248" s="3">
        <v>-591.25363000000004</v>
      </c>
      <c r="AS3248" t="s">
        <v>2203</v>
      </c>
      <c r="AT3248" t="s">
        <v>88</v>
      </c>
      <c r="AU3248" t="s">
        <v>110</v>
      </c>
      <c r="AV3248" s="14">
        <v>1397.6106</v>
      </c>
    </row>
    <row r="3249" spans="34:48">
      <c r="AH3249" t="s">
        <v>1927</v>
      </c>
      <c r="AI3249" t="s">
        <v>65</v>
      </c>
      <c r="AJ3249" t="s">
        <v>66</v>
      </c>
      <c r="AK3249" s="3" t="s">
        <v>27</v>
      </c>
      <c r="AL3249" s="3">
        <v>27871</v>
      </c>
      <c r="AS3249" t="s">
        <v>2203</v>
      </c>
      <c r="AT3249" t="s">
        <v>88</v>
      </c>
      <c r="AU3249" t="s">
        <v>111</v>
      </c>
      <c r="AV3249" s="14">
        <v>6000</v>
      </c>
    </row>
    <row r="3250" spans="34:48">
      <c r="AH3250" t="s">
        <v>1927</v>
      </c>
      <c r="AI3250" t="s">
        <v>65</v>
      </c>
      <c r="AJ3250" t="s">
        <v>72</v>
      </c>
      <c r="AK3250" s="3" t="s">
        <v>27</v>
      </c>
      <c r="AL3250" s="3">
        <v>28606.087905</v>
      </c>
      <c r="AS3250" t="s">
        <v>2203</v>
      </c>
      <c r="AT3250" t="s">
        <v>88</v>
      </c>
      <c r="AU3250" t="s">
        <v>268</v>
      </c>
      <c r="AV3250" s="14">
        <v>400</v>
      </c>
    </row>
    <row r="3251" spans="34:48">
      <c r="AH3251" t="s">
        <v>1927</v>
      </c>
      <c r="AI3251" t="s">
        <v>65</v>
      </c>
      <c r="AJ3251" t="s">
        <v>113</v>
      </c>
      <c r="AK3251" s="3" t="s">
        <v>27</v>
      </c>
      <c r="AL3251" s="3">
        <v>1818.8951088583999</v>
      </c>
      <c r="AS3251" t="s">
        <v>2203</v>
      </c>
      <c r="AT3251" t="s">
        <v>88</v>
      </c>
      <c r="AU3251" t="s">
        <v>269</v>
      </c>
      <c r="AV3251" s="14">
        <v>0</v>
      </c>
    </row>
    <row r="3252" spans="34:48">
      <c r="AH3252" t="s">
        <v>1927</v>
      </c>
      <c r="AI3252" t="s">
        <v>65</v>
      </c>
      <c r="AJ3252" t="s">
        <v>108</v>
      </c>
      <c r="AK3252" s="3" t="s">
        <v>27</v>
      </c>
      <c r="AL3252" s="3">
        <v>-1083.8072038584</v>
      </c>
      <c r="AS3252" t="s">
        <v>2203</v>
      </c>
      <c r="AT3252" t="s">
        <v>88</v>
      </c>
      <c r="AU3252" t="s">
        <v>270</v>
      </c>
      <c r="AV3252" s="14">
        <v>0</v>
      </c>
    </row>
    <row r="3253" spans="34:48">
      <c r="AH3253" t="s">
        <v>1927</v>
      </c>
      <c r="AI3253" t="s">
        <v>65</v>
      </c>
      <c r="AJ3253" t="s">
        <v>98</v>
      </c>
      <c r="AK3253" s="3" t="s">
        <v>27</v>
      </c>
      <c r="AL3253" s="3">
        <v>-1143.0728999999999</v>
      </c>
      <c r="AS3253" t="s">
        <v>2203</v>
      </c>
      <c r="AT3253" t="s">
        <v>88</v>
      </c>
      <c r="AU3253" t="s">
        <v>271</v>
      </c>
      <c r="AV3253" s="14">
        <v>1300</v>
      </c>
    </row>
    <row r="3254" spans="34:48">
      <c r="AH3254" t="s">
        <v>1927</v>
      </c>
      <c r="AI3254" t="s">
        <v>67</v>
      </c>
      <c r="AJ3254" t="s">
        <v>66</v>
      </c>
      <c r="AK3254" s="3" t="s">
        <v>27</v>
      </c>
      <c r="AL3254" s="3">
        <v>-5703.5</v>
      </c>
      <c r="AS3254" t="s">
        <v>2203</v>
      </c>
      <c r="AT3254" t="s">
        <v>88</v>
      </c>
      <c r="AU3254" t="s">
        <v>272</v>
      </c>
      <c r="AV3254" s="14">
        <v>0</v>
      </c>
    </row>
    <row r="3255" spans="34:48">
      <c r="AH3255" t="s">
        <v>1927</v>
      </c>
      <c r="AI3255" t="s">
        <v>67</v>
      </c>
      <c r="AJ3255" t="s">
        <v>72</v>
      </c>
      <c r="AK3255" s="3" t="s">
        <v>27</v>
      </c>
      <c r="AL3255" s="3">
        <v>-6415.2682050000003</v>
      </c>
      <c r="AS3255" t="s">
        <v>2203</v>
      </c>
      <c r="AT3255" t="s">
        <v>88</v>
      </c>
      <c r="AU3255" t="s">
        <v>273</v>
      </c>
      <c r="AV3255" s="14">
        <v>0</v>
      </c>
    </row>
    <row r="3256" spans="34:48">
      <c r="AH3256" t="s">
        <v>1927</v>
      </c>
      <c r="AI3256" t="s">
        <v>67</v>
      </c>
      <c r="AJ3256" t="s">
        <v>113</v>
      </c>
      <c r="AK3256" s="3" t="s">
        <v>27</v>
      </c>
      <c r="AL3256" s="3">
        <v>-70.067242465800007</v>
      </c>
      <c r="AS3256" t="s">
        <v>2204</v>
      </c>
      <c r="AT3256" t="s">
        <v>88</v>
      </c>
      <c r="AU3256" t="s">
        <v>109</v>
      </c>
      <c r="AV3256" s="14">
        <v>13470</v>
      </c>
    </row>
    <row r="3257" spans="34:48">
      <c r="AH3257" t="s">
        <v>1927</v>
      </c>
      <c r="AI3257" t="s">
        <v>67</v>
      </c>
      <c r="AJ3257" t="s">
        <v>108</v>
      </c>
      <c r="AK3257" s="3" t="s">
        <v>27</v>
      </c>
      <c r="AL3257" s="3">
        <v>-641.70096253420002</v>
      </c>
      <c r="AS3257" t="s">
        <v>2204</v>
      </c>
      <c r="AT3257" t="s">
        <v>88</v>
      </c>
      <c r="AU3257" t="s">
        <v>110</v>
      </c>
      <c r="AV3257" s="14">
        <v>1397.6106</v>
      </c>
    </row>
    <row r="3258" spans="34:48">
      <c r="AH3258" t="s">
        <v>1927</v>
      </c>
      <c r="AI3258" t="s">
        <v>67</v>
      </c>
      <c r="AJ3258" t="s">
        <v>98</v>
      </c>
      <c r="AK3258" s="3" t="s">
        <v>27</v>
      </c>
      <c r="AL3258" s="3">
        <v>85.175889999999995</v>
      </c>
      <c r="AS3258" t="s">
        <v>2204</v>
      </c>
      <c r="AT3258" t="s">
        <v>88</v>
      </c>
      <c r="AU3258" t="s">
        <v>111</v>
      </c>
      <c r="AV3258" s="14">
        <v>5700</v>
      </c>
    </row>
    <row r="3259" spans="34:48">
      <c r="AH3259" t="s">
        <v>1927</v>
      </c>
      <c r="AI3259" t="s">
        <v>67</v>
      </c>
      <c r="AJ3259" t="s">
        <v>66</v>
      </c>
      <c r="AK3259" s="3" t="s">
        <v>114</v>
      </c>
      <c r="AL3259" s="3">
        <v>817</v>
      </c>
      <c r="AS3259" t="s">
        <v>2204</v>
      </c>
      <c r="AT3259" t="s">
        <v>88</v>
      </c>
      <c r="AU3259" t="s">
        <v>268</v>
      </c>
      <c r="AV3259" s="14">
        <v>1150</v>
      </c>
    </row>
    <row r="3260" spans="34:48">
      <c r="AH3260" t="s">
        <v>1927</v>
      </c>
      <c r="AI3260" t="s">
        <v>67</v>
      </c>
      <c r="AJ3260" t="s">
        <v>98</v>
      </c>
      <c r="AK3260" s="3" t="s">
        <v>114</v>
      </c>
      <c r="AL3260" s="3">
        <v>-42.184910000000002</v>
      </c>
      <c r="AS3260" t="s">
        <v>2204</v>
      </c>
      <c r="AT3260" t="s">
        <v>88</v>
      </c>
      <c r="AU3260" t="s">
        <v>269</v>
      </c>
      <c r="AV3260" s="14">
        <v>0</v>
      </c>
    </row>
    <row r="3261" spans="34:48">
      <c r="AH3261" t="s">
        <v>1927</v>
      </c>
      <c r="AI3261" t="s">
        <v>67</v>
      </c>
      <c r="AJ3261" t="s">
        <v>66</v>
      </c>
      <c r="AK3261" s="3" t="s">
        <v>115</v>
      </c>
      <c r="AL3261" s="3">
        <v>6520.5</v>
      </c>
      <c r="AS3261" t="s">
        <v>2204</v>
      </c>
      <c r="AT3261" t="s">
        <v>88</v>
      </c>
      <c r="AU3261" t="s">
        <v>270</v>
      </c>
      <c r="AV3261" s="14">
        <v>0</v>
      </c>
    </row>
    <row r="3262" spans="34:48">
      <c r="AH3262" t="s">
        <v>1927</v>
      </c>
      <c r="AI3262" t="s">
        <v>67</v>
      </c>
      <c r="AJ3262" t="s">
        <v>98</v>
      </c>
      <c r="AK3262" s="3" t="s">
        <v>115</v>
      </c>
      <c r="AL3262" s="3">
        <v>-127.3608</v>
      </c>
      <c r="AS3262" t="s">
        <v>2204</v>
      </c>
      <c r="AT3262" t="s">
        <v>88</v>
      </c>
      <c r="AU3262" t="s">
        <v>271</v>
      </c>
      <c r="AV3262" s="14">
        <v>1700</v>
      </c>
    </row>
    <row r="3263" spans="34:48">
      <c r="AH3263" t="s">
        <v>1927</v>
      </c>
      <c r="AI3263" t="s">
        <v>68</v>
      </c>
      <c r="AJ3263" t="s">
        <v>66</v>
      </c>
      <c r="AK3263" s="3" t="s">
        <v>27</v>
      </c>
      <c r="AL3263" s="3">
        <v>-15726.5</v>
      </c>
      <c r="AS3263" t="s">
        <v>2204</v>
      </c>
      <c r="AT3263" t="s">
        <v>88</v>
      </c>
      <c r="AU3263" t="s">
        <v>272</v>
      </c>
      <c r="AV3263" s="14">
        <v>0</v>
      </c>
    </row>
    <row r="3264" spans="34:48">
      <c r="AH3264" t="s">
        <v>1927</v>
      </c>
      <c r="AI3264" t="s">
        <v>68</v>
      </c>
      <c r="AJ3264" t="s">
        <v>72</v>
      </c>
      <c r="AK3264" s="3" t="s">
        <v>27</v>
      </c>
      <c r="AL3264" s="3">
        <v>-16129.675370000001</v>
      </c>
      <c r="AS3264" t="s">
        <v>2204</v>
      </c>
      <c r="AT3264" t="s">
        <v>88</v>
      </c>
      <c r="AU3264" t="s">
        <v>273</v>
      </c>
      <c r="AV3264" s="14">
        <v>300</v>
      </c>
    </row>
    <row r="3265" spans="34:48">
      <c r="AH3265" t="s">
        <v>1927</v>
      </c>
      <c r="AI3265" t="s">
        <v>68</v>
      </c>
      <c r="AJ3265" t="s">
        <v>113</v>
      </c>
      <c r="AK3265" s="3" t="s">
        <v>27</v>
      </c>
      <c r="AL3265" s="3">
        <v>-80.744669862999999</v>
      </c>
      <c r="AS3265" t="s">
        <v>2206</v>
      </c>
      <c r="AT3265" t="s">
        <v>88</v>
      </c>
      <c r="AU3265" t="s">
        <v>109</v>
      </c>
      <c r="AV3265" s="14">
        <v>14570</v>
      </c>
    </row>
    <row r="3266" spans="34:48">
      <c r="AH3266" t="s">
        <v>1927</v>
      </c>
      <c r="AI3266" t="s">
        <v>68</v>
      </c>
      <c r="AJ3266" t="s">
        <v>108</v>
      </c>
      <c r="AK3266" s="3" t="s">
        <v>27</v>
      </c>
      <c r="AL3266" s="3">
        <v>-403.17536999999999</v>
      </c>
      <c r="AS3266" t="s">
        <v>2206</v>
      </c>
      <c r="AT3266" t="s">
        <v>88</v>
      </c>
      <c r="AU3266" t="s">
        <v>110</v>
      </c>
      <c r="AV3266" s="14">
        <v>1397.6106</v>
      </c>
    </row>
    <row r="3267" spans="34:48">
      <c r="AH3267" t="s">
        <v>1927</v>
      </c>
      <c r="AI3267" t="s">
        <v>68</v>
      </c>
      <c r="AJ3267" t="s">
        <v>98</v>
      </c>
      <c r="AK3267" s="3" t="s">
        <v>27</v>
      </c>
      <c r="AL3267" s="3">
        <v>566.04093</v>
      </c>
      <c r="AS3267" t="s">
        <v>2206</v>
      </c>
      <c r="AT3267" t="s">
        <v>88</v>
      </c>
      <c r="AU3267" t="s">
        <v>111</v>
      </c>
      <c r="AV3267" s="14">
        <v>5700</v>
      </c>
    </row>
    <row r="3268" spans="34:48">
      <c r="AH3268" t="s">
        <v>1927</v>
      </c>
      <c r="AI3268" t="s">
        <v>68</v>
      </c>
      <c r="AJ3268" t="s">
        <v>66</v>
      </c>
      <c r="AK3268" s="3" t="s">
        <v>114</v>
      </c>
      <c r="AL3268" s="3">
        <v>1320</v>
      </c>
      <c r="AS3268" t="s">
        <v>2206</v>
      </c>
      <c r="AT3268" t="s">
        <v>88</v>
      </c>
      <c r="AU3268" t="s">
        <v>268</v>
      </c>
      <c r="AV3268" s="14">
        <v>1150</v>
      </c>
    </row>
    <row r="3269" spans="34:48">
      <c r="AH3269" t="s">
        <v>1927</v>
      </c>
      <c r="AI3269" t="s">
        <v>68</v>
      </c>
      <c r="AJ3269" t="s">
        <v>98</v>
      </c>
      <c r="AK3269" s="3" t="s">
        <v>114</v>
      </c>
      <c r="AL3269" s="3">
        <v>-64.4148</v>
      </c>
      <c r="AS3269" t="s">
        <v>2206</v>
      </c>
      <c r="AT3269" t="s">
        <v>88</v>
      </c>
      <c r="AU3269" t="s">
        <v>269</v>
      </c>
      <c r="AV3269" s="14">
        <v>0</v>
      </c>
    </row>
    <row r="3270" spans="34:48">
      <c r="AH3270" t="s">
        <v>1927</v>
      </c>
      <c r="AI3270" t="s">
        <v>68</v>
      </c>
      <c r="AJ3270" t="s">
        <v>66</v>
      </c>
      <c r="AK3270" s="3" t="s">
        <v>115</v>
      </c>
      <c r="AL3270" s="3">
        <v>17046.5</v>
      </c>
      <c r="AS3270" t="s">
        <v>2206</v>
      </c>
      <c r="AT3270" t="s">
        <v>88</v>
      </c>
      <c r="AU3270" t="s">
        <v>270</v>
      </c>
      <c r="AV3270" s="14">
        <v>0</v>
      </c>
    </row>
    <row r="3271" spans="34:48">
      <c r="AH3271" t="s">
        <v>1927</v>
      </c>
      <c r="AI3271" t="s">
        <v>68</v>
      </c>
      <c r="AJ3271" t="s">
        <v>98</v>
      </c>
      <c r="AK3271" s="3" t="s">
        <v>115</v>
      </c>
      <c r="AL3271" s="3">
        <v>-630.45573000000002</v>
      </c>
      <c r="AS3271" t="s">
        <v>2206</v>
      </c>
      <c r="AT3271" t="s">
        <v>88</v>
      </c>
      <c r="AU3271" t="s">
        <v>271</v>
      </c>
      <c r="AV3271" s="14">
        <v>-600</v>
      </c>
    </row>
    <row r="3272" spans="34:48">
      <c r="AH3272" t="s">
        <v>1928</v>
      </c>
      <c r="AI3272" t="s">
        <v>65</v>
      </c>
      <c r="AJ3272" t="s">
        <v>66</v>
      </c>
      <c r="AK3272" s="3" t="s">
        <v>27</v>
      </c>
      <c r="AL3272" s="3">
        <v>27048</v>
      </c>
      <c r="AS3272" t="s">
        <v>2206</v>
      </c>
      <c r="AT3272" t="s">
        <v>88</v>
      </c>
      <c r="AU3272" t="s">
        <v>272</v>
      </c>
      <c r="AV3272" s="14">
        <v>0</v>
      </c>
    </row>
    <row r="3273" spans="34:48">
      <c r="AH3273" t="s">
        <v>1928</v>
      </c>
      <c r="AI3273" t="s">
        <v>65</v>
      </c>
      <c r="AJ3273" t="s">
        <v>72</v>
      </c>
      <c r="AK3273" s="3" t="s">
        <v>27</v>
      </c>
      <c r="AL3273" s="3">
        <v>27598.324515</v>
      </c>
      <c r="AS3273" t="s">
        <v>2206</v>
      </c>
      <c r="AT3273" t="s">
        <v>88</v>
      </c>
      <c r="AU3273" t="s">
        <v>273</v>
      </c>
      <c r="AV3273" s="14">
        <v>300</v>
      </c>
    </row>
    <row r="3274" spans="34:48">
      <c r="AH3274" t="s">
        <v>1928</v>
      </c>
      <c r="AI3274" t="s">
        <v>65</v>
      </c>
      <c r="AJ3274" t="s">
        <v>113</v>
      </c>
      <c r="AK3274" s="3" t="s">
        <v>27</v>
      </c>
      <c r="AL3274" s="3">
        <v>1591.5017902311999</v>
      </c>
      <c r="AS3274" t="s">
        <v>2207</v>
      </c>
      <c r="AT3274" t="s">
        <v>88</v>
      </c>
      <c r="AU3274" t="s">
        <v>109</v>
      </c>
      <c r="AV3274" s="14">
        <v>15570</v>
      </c>
    </row>
    <row r="3275" spans="34:48">
      <c r="AH3275" t="s">
        <v>1928</v>
      </c>
      <c r="AI3275" t="s">
        <v>65</v>
      </c>
      <c r="AJ3275" t="s">
        <v>108</v>
      </c>
      <c r="AK3275" s="3" t="s">
        <v>27</v>
      </c>
      <c r="AL3275" s="3">
        <v>-1041.1772752311999</v>
      </c>
      <c r="AS3275" t="s">
        <v>2207</v>
      </c>
      <c r="AT3275" t="s">
        <v>88</v>
      </c>
      <c r="AU3275" t="s">
        <v>110</v>
      </c>
      <c r="AV3275" s="14">
        <v>1397.6106</v>
      </c>
    </row>
    <row r="3276" spans="34:48">
      <c r="AH3276" t="s">
        <v>1928</v>
      </c>
      <c r="AI3276" t="s">
        <v>65</v>
      </c>
      <c r="AJ3276" t="s">
        <v>98</v>
      </c>
      <c r="AK3276" s="3" t="s">
        <v>27</v>
      </c>
      <c r="AL3276" s="3">
        <v>-1099.6093599999999</v>
      </c>
      <c r="AS3276" t="s">
        <v>2207</v>
      </c>
      <c r="AT3276" t="s">
        <v>88</v>
      </c>
      <c r="AU3276" t="s">
        <v>111</v>
      </c>
      <c r="AV3276" s="14">
        <v>5700</v>
      </c>
    </row>
    <row r="3277" spans="34:48">
      <c r="AH3277" t="s">
        <v>1928</v>
      </c>
      <c r="AI3277" t="s">
        <v>67</v>
      </c>
      <c r="AJ3277" t="s">
        <v>66</v>
      </c>
      <c r="AK3277" s="3" t="s">
        <v>27</v>
      </c>
      <c r="AL3277" s="3">
        <v>-5697.5</v>
      </c>
      <c r="AS3277" t="s">
        <v>2207</v>
      </c>
      <c r="AT3277" t="s">
        <v>88</v>
      </c>
      <c r="AU3277" t="s">
        <v>268</v>
      </c>
      <c r="AV3277" s="14">
        <v>1150</v>
      </c>
    </row>
    <row r="3278" spans="34:48">
      <c r="AH3278" t="s">
        <v>1928</v>
      </c>
      <c r="AI3278" t="s">
        <v>67</v>
      </c>
      <c r="AJ3278" t="s">
        <v>72</v>
      </c>
      <c r="AK3278" s="3" t="s">
        <v>27</v>
      </c>
      <c r="AL3278" s="3">
        <v>-6042.2778749999998</v>
      </c>
      <c r="AS3278" t="s">
        <v>2207</v>
      </c>
      <c r="AT3278" t="s">
        <v>88</v>
      </c>
      <c r="AU3278" t="s">
        <v>269</v>
      </c>
      <c r="AV3278" s="14">
        <v>0</v>
      </c>
    </row>
    <row r="3279" spans="34:48">
      <c r="AH3279" t="s">
        <v>1928</v>
      </c>
      <c r="AI3279" t="s">
        <v>67</v>
      </c>
      <c r="AJ3279" t="s">
        <v>113</v>
      </c>
      <c r="AK3279" s="3" t="s">
        <v>27</v>
      </c>
      <c r="AL3279" s="3">
        <v>187.53719726029999</v>
      </c>
      <c r="AS3279" t="s">
        <v>2207</v>
      </c>
      <c r="AT3279" t="s">
        <v>88</v>
      </c>
      <c r="AU3279" t="s">
        <v>270</v>
      </c>
      <c r="AV3279" s="14">
        <v>0</v>
      </c>
    </row>
    <row r="3280" spans="34:48">
      <c r="AH3280" t="s">
        <v>1928</v>
      </c>
      <c r="AI3280" t="s">
        <v>67</v>
      </c>
      <c r="AJ3280" t="s">
        <v>108</v>
      </c>
      <c r="AK3280" s="3" t="s">
        <v>27</v>
      </c>
      <c r="AL3280" s="3">
        <v>-532.31507226029998</v>
      </c>
      <c r="AS3280" t="s">
        <v>2207</v>
      </c>
      <c r="AT3280" t="s">
        <v>88</v>
      </c>
      <c r="AU3280" t="s">
        <v>271</v>
      </c>
      <c r="AV3280" s="14">
        <v>-1100</v>
      </c>
    </row>
    <row r="3281" spans="34:48">
      <c r="AH3281" t="s">
        <v>1928</v>
      </c>
      <c r="AI3281" t="s">
        <v>67</v>
      </c>
      <c r="AJ3281" t="s">
        <v>98</v>
      </c>
      <c r="AK3281" s="3" t="s">
        <v>27</v>
      </c>
      <c r="AL3281" s="3">
        <v>175.53906000000001</v>
      </c>
      <c r="AS3281" t="s">
        <v>2207</v>
      </c>
      <c r="AT3281" t="s">
        <v>88</v>
      </c>
      <c r="AU3281" t="s">
        <v>272</v>
      </c>
      <c r="AV3281" s="14">
        <v>0</v>
      </c>
    </row>
    <row r="3282" spans="34:48">
      <c r="AH3282" t="s">
        <v>1928</v>
      </c>
      <c r="AI3282" t="s">
        <v>67</v>
      </c>
      <c r="AJ3282" t="s">
        <v>66</v>
      </c>
      <c r="AK3282" s="3" t="s">
        <v>114</v>
      </c>
      <c r="AL3282" s="3">
        <v>1540</v>
      </c>
      <c r="AS3282" t="s">
        <v>2207</v>
      </c>
      <c r="AT3282" t="s">
        <v>88</v>
      </c>
      <c r="AU3282" t="s">
        <v>273</v>
      </c>
      <c r="AV3282" s="14">
        <v>300</v>
      </c>
    </row>
    <row r="3283" spans="34:48">
      <c r="AH3283" t="s">
        <v>1928</v>
      </c>
      <c r="AI3283" t="s">
        <v>67</v>
      </c>
      <c r="AJ3283" t="s">
        <v>98</v>
      </c>
      <c r="AK3283" s="3" t="s">
        <v>114</v>
      </c>
      <c r="AL3283" s="3">
        <v>26.948799999999999</v>
      </c>
      <c r="AS3283" t="s">
        <v>2208</v>
      </c>
      <c r="AT3283" t="s">
        <v>88</v>
      </c>
      <c r="AU3283" t="s">
        <v>109</v>
      </c>
      <c r="AV3283" s="14">
        <v>14520</v>
      </c>
    </row>
    <row r="3284" spans="34:48">
      <c r="AH3284" t="s">
        <v>1928</v>
      </c>
      <c r="AI3284" t="s">
        <v>67</v>
      </c>
      <c r="AJ3284" t="s">
        <v>66</v>
      </c>
      <c r="AK3284" s="3" t="s">
        <v>115</v>
      </c>
      <c r="AL3284" s="3">
        <v>7237.5</v>
      </c>
      <c r="AS3284" t="s">
        <v>2208</v>
      </c>
      <c r="AT3284" t="s">
        <v>88</v>
      </c>
      <c r="AU3284" t="s">
        <v>110</v>
      </c>
      <c r="AV3284" s="14">
        <v>1397.6106</v>
      </c>
    </row>
    <row r="3285" spans="34:48">
      <c r="AH3285" t="s">
        <v>1928</v>
      </c>
      <c r="AI3285" t="s">
        <v>67</v>
      </c>
      <c r="AJ3285" t="s">
        <v>98</v>
      </c>
      <c r="AK3285" s="3" t="s">
        <v>115</v>
      </c>
      <c r="AL3285" s="3">
        <v>-148.59026</v>
      </c>
      <c r="AS3285" t="s">
        <v>2208</v>
      </c>
      <c r="AT3285" t="s">
        <v>88</v>
      </c>
      <c r="AU3285" t="s">
        <v>111</v>
      </c>
      <c r="AV3285" s="14">
        <v>5700</v>
      </c>
    </row>
    <row r="3286" spans="34:48">
      <c r="AH3286" t="s">
        <v>1928</v>
      </c>
      <c r="AI3286" t="s">
        <v>68</v>
      </c>
      <c r="AJ3286" t="s">
        <v>66</v>
      </c>
      <c r="AK3286" s="3" t="s">
        <v>27</v>
      </c>
      <c r="AL3286" s="3">
        <v>-14659.5</v>
      </c>
      <c r="AS3286" t="s">
        <v>2208</v>
      </c>
      <c r="AT3286" t="s">
        <v>88</v>
      </c>
      <c r="AU3286" t="s">
        <v>268</v>
      </c>
      <c r="AV3286" s="14">
        <v>2700</v>
      </c>
    </row>
    <row r="3287" spans="34:48">
      <c r="AH3287" t="s">
        <v>1928</v>
      </c>
      <c r="AI3287" t="s">
        <v>68</v>
      </c>
      <c r="AJ3287" t="s">
        <v>72</v>
      </c>
      <c r="AK3287" s="3" t="s">
        <v>27</v>
      </c>
      <c r="AL3287" s="3">
        <v>-15208.731659999999</v>
      </c>
      <c r="AS3287" t="s">
        <v>2208</v>
      </c>
      <c r="AT3287" t="s">
        <v>88</v>
      </c>
      <c r="AU3287" t="s">
        <v>269</v>
      </c>
      <c r="AV3287" s="14">
        <v>0</v>
      </c>
    </row>
    <row r="3288" spans="34:48">
      <c r="AH3288" t="s">
        <v>1928</v>
      </c>
      <c r="AI3288" t="s">
        <v>68</v>
      </c>
      <c r="AJ3288" t="s">
        <v>113</v>
      </c>
      <c r="AK3288" s="3" t="s">
        <v>27</v>
      </c>
      <c r="AL3288" s="3">
        <v>-78.554225342500004</v>
      </c>
      <c r="AS3288" t="s">
        <v>2208</v>
      </c>
      <c r="AT3288" t="s">
        <v>88</v>
      </c>
      <c r="AU3288" t="s">
        <v>270</v>
      </c>
      <c r="AV3288" s="14">
        <v>0</v>
      </c>
    </row>
    <row r="3289" spans="34:48">
      <c r="AH3289" t="s">
        <v>1928</v>
      </c>
      <c r="AI3289" t="s">
        <v>68</v>
      </c>
      <c r="AJ3289" t="s">
        <v>108</v>
      </c>
      <c r="AK3289" s="3" t="s">
        <v>27</v>
      </c>
      <c r="AL3289" s="3">
        <v>-549.23166000000003</v>
      </c>
      <c r="AS3289" t="s">
        <v>2208</v>
      </c>
      <c r="AT3289" t="s">
        <v>88</v>
      </c>
      <c r="AU3289" t="s">
        <v>271</v>
      </c>
      <c r="AV3289" s="14">
        <v>-600</v>
      </c>
    </row>
    <row r="3290" spans="34:48">
      <c r="AH3290" t="s">
        <v>1928</v>
      </c>
      <c r="AI3290" t="s">
        <v>68</v>
      </c>
      <c r="AJ3290" t="s">
        <v>98</v>
      </c>
      <c r="AK3290" s="3" t="s">
        <v>27</v>
      </c>
      <c r="AL3290" s="3">
        <v>428.69787000000002</v>
      </c>
      <c r="AS3290" t="s">
        <v>2208</v>
      </c>
      <c r="AT3290" t="s">
        <v>88</v>
      </c>
      <c r="AU3290" t="s">
        <v>272</v>
      </c>
      <c r="AV3290" s="14">
        <v>0</v>
      </c>
    </row>
    <row r="3291" spans="34:48">
      <c r="AH3291" t="s">
        <v>1928</v>
      </c>
      <c r="AI3291" t="s">
        <v>68</v>
      </c>
      <c r="AJ3291" t="s">
        <v>66</v>
      </c>
      <c r="AK3291" s="3" t="s">
        <v>114</v>
      </c>
      <c r="AL3291" s="3">
        <v>1492</v>
      </c>
      <c r="AS3291" t="s">
        <v>2208</v>
      </c>
      <c r="AT3291" t="s">
        <v>88</v>
      </c>
      <c r="AU3291" t="s">
        <v>273</v>
      </c>
      <c r="AV3291" s="14">
        <v>300</v>
      </c>
    </row>
    <row r="3292" spans="34:48">
      <c r="AH3292" t="s">
        <v>1928</v>
      </c>
      <c r="AI3292" t="s">
        <v>68</v>
      </c>
      <c r="AJ3292" t="s">
        <v>98</v>
      </c>
      <c r="AK3292" s="3" t="s">
        <v>114</v>
      </c>
      <c r="AL3292" s="3">
        <v>-67.481579999999994</v>
      </c>
      <c r="AS3292" t="s">
        <v>2209</v>
      </c>
      <c r="AT3292" t="s">
        <v>88</v>
      </c>
      <c r="AU3292" t="s">
        <v>109</v>
      </c>
      <c r="AV3292" s="14">
        <v>11720</v>
      </c>
    </row>
    <row r="3293" spans="34:48">
      <c r="AH3293" t="s">
        <v>1928</v>
      </c>
      <c r="AI3293" t="s">
        <v>68</v>
      </c>
      <c r="AJ3293" t="s">
        <v>66</v>
      </c>
      <c r="AK3293" s="3" t="s">
        <v>115</v>
      </c>
      <c r="AL3293" s="3">
        <v>16151.5</v>
      </c>
      <c r="AS3293" t="s">
        <v>2209</v>
      </c>
      <c r="AT3293" t="s">
        <v>88</v>
      </c>
      <c r="AU3293" t="s">
        <v>110</v>
      </c>
      <c r="AV3293" s="14">
        <v>1397.6106</v>
      </c>
    </row>
    <row r="3294" spans="34:48">
      <c r="AH3294" t="s">
        <v>1928</v>
      </c>
      <c r="AI3294" t="s">
        <v>68</v>
      </c>
      <c r="AJ3294" t="s">
        <v>98</v>
      </c>
      <c r="AK3294" s="3" t="s">
        <v>115</v>
      </c>
      <c r="AL3294" s="3">
        <v>-496.17944999999997</v>
      </c>
      <c r="AS3294" t="s">
        <v>2209</v>
      </c>
      <c r="AT3294" t="s">
        <v>88</v>
      </c>
      <c r="AU3294" t="s">
        <v>111</v>
      </c>
      <c r="AV3294" s="14">
        <v>5300</v>
      </c>
    </row>
    <row r="3295" spans="34:48">
      <c r="AH3295" t="s">
        <v>1929</v>
      </c>
      <c r="AI3295" t="s">
        <v>65</v>
      </c>
      <c r="AJ3295" t="s">
        <v>66</v>
      </c>
      <c r="AK3295" s="3" t="s">
        <v>27</v>
      </c>
      <c r="AL3295" s="3">
        <v>26268</v>
      </c>
      <c r="AS3295" t="s">
        <v>2209</v>
      </c>
      <c r="AT3295" t="s">
        <v>88</v>
      </c>
      <c r="AU3295" t="s">
        <v>268</v>
      </c>
      <c r="AV3295" s="14">
        <v>3750</v>
      </c>
    </row>
    <row r="3296" spans="34:48">
      <c r="AH3296" t="s">
        <v>1929</v>
      </c>
      <c r="AI3296" t="s">
        <v>65</v>
      </c>
      <c r="AJ3296" t="s">
        <v>72</v>
      </c>
      <c r="AK3296" s="3" t="s">
        <v>27</v>
      </c>
      <c r="AL3296" s="3">
        <v>26952.904705000001</v>
      </c>
      <c r="AS3296" t="s">
        <v>2209</v>
      </c>
      <c r="AT3296" t="s">
        <v>88</v>
      </c>
      <c r="AU3296" t="s">
        <v>269</v>
      </c>
      <c r="AV3296" s="14">
        <v>0</v>
      </c>
    </row>
    <row r="3297" spans="34:48">
      <c r="AH3297" t="s">
        <v>1929</v>
      </c>
      <c r="AI3297" t="s">
        <v>65</v>
      </c>
      <c r="AJ3297" t="s">
        <v>113</v>
      </c>
      <c r="AK3297" s="3" t="s">
        <v>27</v>
      </c>
      <c r="AL3297" s="3">
        <v>1659.5707007929</v>
      </c>
      <c r="AS3297" t="s">
        <v>2209</v>
      </c>
      <c r="AT3297" t="s">
        <v>88</v>
      </c>
      <c r="AU3297" t="s">
        <v>270</v>
      </c>
      <c r="AV3297" s="14">
        <v>0</v>
      </c>
    </row>
    <row r="3298" spans="34:48">
      <c r="AH3298" t="s">
        <v>1929</v>
      </c>
      <c r="AI3298" t="s">
        <v>65</v>
      </c>
      <c r="AJ3298" t="s">
        <v>108</v>
      </c>
      <c r="AK3298" s="3" t="s">
        <v>27</v>
      </c>
      <c r="AL3298" s="3">
        <v>-974.66599579290005</v>
      </c>
      <c r="AS3298" t="s">
        <v>2209</v>
      </c>
      <c r="AT3298" t="s">
        <v>88</v>
      </c>
      <c r="AU3298" t="s">
        <v>271</v>
      </c>
      <c r="AV3298" s="14">
        <v>1750</v>
      </c>
    </row>
    <row r="3299" spans="34:48">
      <c r="AH3299" t="s">
        <v>1929</v>
      </c>
      <c r="AI3299" t="s">
        <v>65</v>
      </c>
      <c r="AJ3299" t="s">
        <v>98</v>
      </c>
      <c r="AK3299" s="3" t="s">
        <v>27</v>
      </c>
      <c r="AL3299" s="3">
        <v>-1032.62347</v>
      </c>
      <c r="AS3299" t="s">
        <v>2209</v>
      </c>
      <c r="AT3299" t="s">
        <v>88</v>
      </c>
      <c r="AU3299" t="s">
        <v>272</v>
      </c>
      <c r="AV3299" s="14">
        <v>0</v>
      </c>
    </row>
    <row r="3300" spans="34:48">
      <c r="AH3300" t="s">
        <v>1929</v>
      </c>
      <c r="AI3300" t="s">
        <v>67</v>
      </c>
      <c r="AJ3300" t="s">
        <v>66</v>
      </c>
      <c r="AK3300" s="3" t="s">
        <v>27</v>
      </c>
      <c r="AL3300" s="3">
        <v>-4200.5</v>
      </c>
      <c r="AS3300" t="s">
        <v>2209</v>
      </c>
      <c r="AT3300" t="s">
        <v>88</v>
      </c>
      <c r="AU3300" t="s">
        <v>273</v>
      </c>
      <c r="AV3300" s="14">
        <v>300</v>
      </c>
    </row>
    <row r="3301" spans="34:48">
      <c r="AH3301" t="s">
        <v>1929</v>
      </c>
      <c r="AI3301" t="s">
        <v>67</v>
      </c>
      <c r="AJ3301" t="s">
        <v>72</v>
      </c>
      <c r="AK3301" s="3" t="s">
        <v>27</v>
      </c>
      <c r="AL3301" s="3">
        <v>-4730.7558849999996</v>
      </c>
      <c r="AS3301" t="s">
        <v>2210</v>
      </c>
      <c r="AT3301" t="s">
        <v>88</v>
      </c>
      <c r="AU3301" t="s">
        <v>109</v>
      </c>
      <c r="AV3301" s="14">
        <v>12670</v>
      </c>
    </row>
    <row r="3302" spans="34:48">
      <c r="AH3302" t="s">
        <v>1929</v>
      </c>
      <c r="AI3302" t="s">
        <v>67</v>
      </c>
      <c r="AJ3302" t="s">
        <v>113</v>
      </c>
      <c r="AK3302" s="3" t="s">
        <v>27</v>
      </c>
      <c r="AL3302" s="3">
        <v>-31.101027397300001</v>
      </c>
      <c r="AS3302" t="s">
        <v>2210</v>
      </c>
      <c r="AT3302" t="s">
        <v>88</v>
      </c>
      <c r="AU3302" t="s">
        <v>110</v>
      </c>
      <c r="AV3302" s="14">
        <v>1397.6106</v>
      </c>
    </row>
    <row r="3303" spans="34:48">
      <c r="AH3303" t="s">
        <v>1929</v>
      </c>
      <c r="AI3303" t="s">
        <v>67</v>
      </c>
      <c r="AJ3303" t="s">
        <v>108</v>
      </c>
      <c r="AK3303" s="3" t="s">
        <v>27</v>
      </c>
      <c r="AL3303" s="3">
        <v>-499.15485760270002</v>
      </c>
      <c r="AS3303" t="s">
        <v>2210</v>
      </c>
      <c r="AT3303" t="s">
        <v>88</v>
      </c>
      <c r="AU3303" t="s">
        <v>111</v>
      </c>
      <c r="AV3303" s="14">
        <v>5300</v>
      </c>
    </row>
    <row r="3304" spans="34:48">
      <c r="AH3304" t="s">
        <v>1929</v>
      </c>
      <c r="AI3304" t="s">
        <v>67</v>
      </c>
      <c r="AJ3304" t="s">
        <v>98</v>
      </c>
      <c r="AK3304" s="3" t="s">
        <v>27</v>
      </c>
      <c r="AL3304" s="3">
        <v>98.349279999999993</v>
      </c>
      <c r="AS3304" t="s">
        <v>2210</v>
      </c>
      <c r="AT3304" t="s">
        <v>88</v>
      </c>
      <c r="AU3304" t="s">
        <v>268</v>
      </c>
      <c r="AV3304" s="14">
        <v>2950</v>
      </c>
    </row>
    <row r="3305" spans="34:48">
      <c r="AH3305" t="s">
        <v>1929</v>
      </c>
      <c r="AI3305" t="s">
        <v>67</v>
      </c>
      <c r="AJ3305" t="s">
        <v>66</v>
      </c>
      <c r="AK3305" s="3" t="s">
        <v>114</v>
      </c>
      <c r="AL3305" s="3">
        <v>850</v>
      </c>
      <c r="AS3305" t="s">
        <v>2210</v>
      </c>
      <c r="AT3305" t="s">
        <v>88</v>
      </c>
      <c r="AU3305" t="s">
        <v>269</v>
      </c>
      <c r="AV3305" s="14">
        <v>0</v>
      </c>
    </row>
    <row r="3306" spans="34:48">
      <c r="AH3306" t="s">
        <v>1929</v>
      </c>
      <c r="AI3306" t="s">
        <v>67</v>
      </c>
      <c r="AJ3306" t="s">
        <v>98</v>
      </c>
      <c r="AK3306" s="3" t="s">
        <v>114</v>
      </c>
      <c r="AL3306" s="3">
        <v>-37.133499999999998</v>
      </c>
      <c r="AS3306" t="s">
        <v>2210</v>
      </c>
      <c r="AT3306" t="s">
        <v>88</v>
      </c>
      <c r="AU3306" t="s">
        <v>270</v>
      </c>
      <c r="AV3306" s="14">
        <v>0</v>
      </c>
    </row>
    <row r="3307" spans="34:48">
      <c r="AH3307" t="s">
        <v>1929</v>
      </c>
      <c r="AI3307" t="s">
        <v>67</v>
      </c>
      <c r="AJ3307" t="s">
        <v>66</v>
      </c>
      <c r="AK3307" s="3" t="s">
        <v>115</v>
      </c>
      <c r="AL3307" s="3">
        <v>5050.5</v>
      </c>
      <c r="AS3307" t="s">
        <v>2210</v>
      </c>
      <c r="AT3307" t="s">
        <v>88</v>
      </c>
      <c r="AU3307" t="s">
        <v>271</v>
      </c>
      <c r="AV3307" s="14">
        <v>3550</v>
      </c>
    </row>
    <row r="3308" spans="34:48">
      <c r="AH3308" t="s">
        <v>1929</v>
      </c>
      <c r="AI3308" t="s">
        <v>67</v>
      </c>
      <c r="AJ3308" t="s">
        <v>98</v>
      </c>
      <c r="AK3308" s="3" t="s">
        <v>115</v>
      </c>
      <c r="AL3308" s="3">
        <v>-135.48277999999999</v>
      </c>
      <c r="AS3308" t="s">
        <v>2210</v>
      </c>
      <c r="AT3308" t="s">
        <v>88</v>
      </c>
      <c r="AU3308" t="s">
        <v>272</v>
      </c>
      <c r="AV3308" s="14">
        <v>0</v>
      </c>
    </row>
    <row r="3309" spans="34:48">
      <c r="AH3309" t="s">
        <v>1929</v>
      </c>
      <c r="AI3309" t="s">
        <v>68</v>
      </c>
      <c r="AJ3309" t="s">
        <v>66</v>
      </c>
      <c r="AK3309" s="3" t="s">
        <v>27</v>
      </c>
      <c r="AL3309" s="3">
        <v>-15026.5</v>
      </c>
      <c r="AS3309" t="s">
        <v>2210</v>
      </c>
      <c r="AT3309" t="s">
        <v>88</v>
      </c>
      <c r="AU3309" t="s">
        <v>273</v>
      </c>
      <c r="AV3309" s="14">
        <v>300</v>
      </c>
    </row>
    <row r="3310" spans="34:48">
      <c r="AH3310" t="s">
        <v>1929</v>
      </c>
      <c r="AI3310" t="s">
        <v>68</v>
      </c>
      <c r="AJ3310" t="s">
        <v>72</v>
      </c>
      <c r="AK3310" s="3" t="s">
        <v>27</v>
      </c>
      <c r="AL3310" s="3">
        <v>-15532.93064</v>
      </c>
      <c r="AS3310" t="s">
        <v>2211</v>
      </c>
      <c r="AT3310" t="s">
        <v>88</v>
      </c>
      <c r="AU3310" t="s">
        <v>109</v>
      </c>
      <c r="AV3310" s="14">
        <v>12320</v>
      </c>
    </row>
    <row r="3311" spans="34:48">
      <c r="AH3311" t="s">
        <v>1929</v>
      </c>
      <c r="AI3311" t="s">
        <v>68</v>
      </c>
      <c r="AJ3311" t="s">
        <v>113</v>
      </c>
      <c r="AK3311" s="3" t="s">
        <v>27</v>
      </c>
      <c r="AL3311" s="3">
        <v>136.1608869863</v>
      </c>
      <c r="AS3311" t="s">
        <v>2211</v>
      </c>
      <c r="AT3311" t="s">
        <v>88</v>
      </c>
      <c r="AU3311" t="s">
        <v>110</v>
      </c>
      <c r="AV3311" s="14">
        <v>1397.6106</v>
      </c>
    </row>
    <row r="3312" spans="34:48">
      <c r="AH3312" t="s">
        <v>1929</v>
      </c>
      <c r="AI3312" t="s">
        <v>68</v>
      </c>
      <c r="AJ3312" t="s">
        <v>108</v>
      </c>
      <c r="AK3312" s="3" t="s">
        <v>27</v>
      </c>
      <c r="AL3312" s="3">
        <v>-506.43063999999998</v>
      </c>
      <c r="AS3312" t="s">
        <v>2211</v>
      </c>
      <c r="AT3312" t="s">
        <v>88</v>
      </c>
      <c r="AU3312" t="s">
        <v>111</v>
      </c>
      <c r="AV3312" s="14">
        <v>5300</v>
      </c>
    </row>
    <row r="3313" spans="34:48">
      <c r="AH3313" t="s">
        <v>1929</v>
      </c>
      <c r="AI3313" t="s">
        <v>68</v>
      </c>
      <c r="AJ3313" t="s">
        <v>98</v>
      </c>
      <c r="AK3313" s="3" t="s">
        <v>27</v>
      </c>
      <c r="AL3313" s="3">
        <v>439.98746</v>
      </c>
      <c r="AS3313" t="s">
        <v>2211</v>
      </c>
      <c r="AT3313" t="s">
        <v>88</v>
      </c>
      <c r="AU3313" t="s">
        <v>268</v>
      </c>
      <c r="AV3313" s="14">
        <v>1300</v>
      </c>
    </row>
    <row r="3314" spans="34:48">
      <c r="AH3314" t="s">
        <v>1929</v>
      </c>
      <c r="AI3314" t="s">
        <v>68</v>
      </c>
      <c r="AJ3314" t="s">
        <v>66</v>
      </c>
      <c r="AK3314" s="3" t="s">
        <v>114</v>
      </c>
      <c r="AL3314" s="3">
        <v>2352</v>
      </c>
      <c r="AS3314" t="s">
        <v>2211</v>
      </c>
      <c r="AT3314" t="s">
        <v>88</v>
      </c>
      <c r="AU3314" t="s">
        <v>269</v>
      </c>
      <c r="AV3314" s="14">
        <v>0</v>
      </c>
    </row>
    <row r="3315" spans="34:48">
      <c r="AH3315" t="s">
        <v>1929</v>
      </c>
      <c r="AI3315" t="s">
        <v>68</v>
      </c>
      <c r="AJ3315" t="s">
        <v>98</v>
      </c>
      <c r="AK3315" s="3" t="s">
        <v>114</v>
      </c>
      <c r="AL3315" s="3">
        <v>-9.1856500000000008</v>
      </c>
      <c r="AS3315" t="s">
        <v>2211</v>
      </c>
      <c r="AT3315" t="s">
        <v>88</v>
      </c>
      <c r="AU3315" t="s">
        <v>270</v>
      </c>
      <c r="AV3315" s="14">
        <v>0</v>
      </c>
    </row>
    <row r="3316" spans="34:48">
      <c r="AH3316" t="s">
        <v>1929</v>
      </c>
      <c r="AI3316" t="s">
        <v>68</v>
      </c>
      <c r="AJ3316" t="s">
        <v>66</v>
      </c>
      <c r="AK3316" s="3" t="s">
        <v>115</v>
      </c>
      <c r="AL3316" s="3">
        <v>17378.5</v>
      </c>
      <c r="AS3316" t="s">
        <v>2211</v>
      </c>
      <c r="AT3316" t="s">
        <v>88</v>
      </c>
      <c r="AU3316" t="s">
        <v>271</v>
      </c>
      <c r="AV3316" s="14">
        <v>3550</v>
      </c>
    </row>
    <row r="3317" spans="34:48">
      <c r="AH3317" t="s">
        <v>1929</v>
      </c>
      <c r="AI3317" t="s">
        <v>68</v>
      </c>
      <c r="AJ3317" t="s">
        <v>98</v>
      </c>
      <c r="AK3317" s="3" t="s">
        <v>115</v>
      </c>
      <c r="AL3317" s="3">
        <v>-449.17311000000001</v>
      </c>
      <c r="AS3317" t="s">
        <v>2211</v>
      </c>
      <c r="AT3317" t="s">
        <v>88</v>
      </c>
      <c r="AU3317" t="s">
        <v>272</v>
      </c>
      <c r="AV3317" s="14">
        <v>0</v>
      </c>
    </row>
    <row r="3318" spans="34:48">
      <c r="AH3318" t="s">
        <v>1930</v>
      </c>
      <c r="AI3318" t="s">
        <v>65</v>
      </c>
      <c r="AJ3318" t="s">
        <v>66</v>
      </c>
      <c r="AK3318" s="3" t="s">
        <v>27</v>
      </c>
      <c r="AL3318" s="3">
        <v>27128</v>
      </c>
      <c r="AS3318" t="s">
        <v>2211</v>
      </c>
      <c r="AT3318" t="s">
        <v>88</v>
      </c>
      <c r="AU3318" t="s">
        <v>273</v>
      </c>
      <c r="AV3318" s="14">
        <v>300</v>
      </c>
    </row>
    <row r="3319" spans="34:48">
      <c r="AH3319" t="s">
        <v>1930</v>
      </c>
      <c r="AI3319" t="s">
        <v>65</v>
      </c>
      <c r="AJ3319" t="s">
        <v>72</v>
      </c>
      <c r="AK3319" s="3" t="s">
        <v>27</v>
      </c>
      <c r="AL3319" s="3">
        <v>27670.561150000001</v>
      </c>
      <c r="AS3319" t="s">
        <v>2212</v>
      </c>
      <c r="AT3319" t="s">
        <v>88</v>
      </c>
      <c r="AU3319" t="s">
        <v>109</v>
      </c>
      <c r="AV3319" s="14">
        <v>12320</v>
      </c>
    </row>
    <row r="3320" spans="34:48">
      <c r="AH3320" t="s">
        <v>1930</v>
      </c>
      <c r="AI3320" t="s">
        <v>65</v>
      </c>
      <c r="AJ3320" t="s">
        <v>113</v>
      </c>
      <c r="AK3320" s="3" t="s">
        <v>27</v>
      </c>
      <c r="AL3320" s="3">
        <v>1549.0223804975999</v>
      </c>
      <c r="AS3320" t="s">
        <v>2212</v>
      </c>
      <c r="AT3320" t="s">
        <v>88</v>
      </c>
      <c r="AU3320" t="s">
        <v>110</v>
      </c>
      <c r="AV3320" s="14">
        <v>5300</v>
      </c>
    </row>
    <row r="3321" spans="34:48">
      <c r="AH3321" t="s">
        <v>1930</v>
      </c>
      <c r="AI3321" t="s">
        <v>65</v>
      </c>
      <c r="AJ3321" t="s">
        <v>108</v>
      </c>
      <c r="AK3321" s="3" t="s">
        <v>27</v>
      </c>
      <c r="AL3321" s="3">
        <v>-1006.4612304976</v>
      </c>
      <c r="AS3321" t="s">
        <v>2212</v>
      </c>
      <c r="AT3321" t="s">
        <v>88</v>
      </c>
      <c r="AU3321" t="s">
        <v>111</v>
      </c>
      <c r="AV3321" s="14">
        <v>1397.6106</v>
      </c>
    </row>
    <row r="3322" spans="34:48">
      <c r="AH3322" t="s">
        <v>1930</v>
      </c>
      <c r="AI3322" t="s">
        <v>65</v>
      </c>
      <c r="AJ3322" t="s">
        <v>98</v>
      </c>
      <c r="AK3322" s="3" t="s">
        <v>27</v>
      </c>
      <c r="AL3322" s="3">
        <v>-1063.437005</v>
      </c>
      <c r="AS3322" t="s">
        <v>2212</v>
      </c>
      <c r="AT3322" t="s">
        <v>88</v>
      </c>
      <c r="AU3322" t="s">
        <v>268</v>
      </c>
      <c r="AV3322" s="14">
        <v>4300</v>
      </c>
    </row>
    <row r="3323" spans="34:48">
      <c r="AH3323" t="s">
        <v>1930</v>
      </c>
      <c r="AI3323" t="s">
        <v>67</v>
      </c>
      <c r="AJ3323" t="s">
        <v>66</v>
      </c>
      <c r="AK3323" s="3" t="s">
        <v>27</v>
      </c>
      <c r="AL3323" s="3">
        <v>-5840.5</v>
      </c>
      <c r="AS3323" t="s">
        <v>2212</v>
      </c>
      <c r="AT3323" t="s">
        <v>88</v>
      </c>
      <c r="AU3323" t="s">
        <v>269</v>
      </c>
      <c r="AV3323" s="14">
        <v>300</v>
      </c>
    </row>
    <row r="3324" spans="34:48">
      <c r="AH3324" t="s">
        <v>1930</v>
      </c>
      <c r="AI3324" t="s">
        <v>67</v>
      </c>
      <c r="AJ3324" t="s">
        <v>72</v>
      </c>
      <c r="AK3324" s="3" t="s">
        <v>27</v>
      </c>
      <c r="AL3324" s="3">
        <v>-6115.82035</v>
      </c>
      <c r="AS3324" t="s">
        <v>2212</v>
      </c>
      <c r="AT3324" t="s">
        <v>88</v>
      </c>
      <c r="AU3324" t="s">
        <v>270</v>
      </c>
      <c r="AV3324" s="14">
        <v>0</v>
      </c>
    </row>
    <row r="3325" spans="34:48">
      <c r="AH3325" t="s">
        <v>1930</v>
      </c>
      <c r="AI3325" t="s">
        <v>67</v>
      </c>
      <c r="AJ3325" t="s">
        <v>113</v>
      </c>
      <c r="AK3325" s="3" t="s">
        <v>27</v>
      </c>
      <c r="AL3325" s="3">
        <v>145.7740164384</v>
      </c>
      <c r="AS3325" t="s">
        <v>2213</v>
      </c>
      <c r="AT3325" t="s">
        <v>88</v>
      </c>
      <c r="AU3325" t="s">
        <v>109</v>
      </c>
      <c r="AV3325" s="14">
        <v>12120</v>
      </c>
    </row>
    <row r="3326" spans="34:48">
      <c r="AH3326" t="s">
        <v>1930</v>
      </c>
      <c r="AI3326" t="s">
        <v>67</v>
      </c>
      <c r="AJ3326" t="s">
        <v>108</v>
      </c>
      <c r="AK3326" s="3" t="s">
        <v>27</v>
      </c>
      <c r="AL3326" s="3">
        <v>-421.09436643840002</v>
      </c>
      <c r="AS3326" t="s">
        <v>2213</v>
      </c>
      <c r="AT3326" t="s">
        <v>88</v>
      </c>
      <c r="AU3326" t="s">
        <v>110</v>
      </c>
      <c r="AV3326" s="14">
        <v>5300</v>
      </c>
    </row>
    <row r="3327" spans="34:48">
      <c r="AH3327" t="s">
        <v>1930</v>
      </c>
      <c r="AI3327" t="s">
        <v>67</v>
      </c>
      <c r="AJ3327" t="s">
        <v>98</v>
      </c>
      <c r="AK3327" s="3" t="s">
        <v>27</v>
      </c>
      <c r="AL3327" s="3">
        <v>174.160495</v>
      </c>
      <c r="AS3327" t="s">
        <v>2213</v>
      </c>
      <c r="AT3327" t="s">
        <v>88</v>
      </c>
      <c r="AU3327" t="s">
        <v>111</v>
      </c>
      <c r="AV3327" s="14">
        <v>1397.6106</v>
      </c>
    </row>
    <row r="3328" spans="34:48">
      <c r="AH3328" t="s">
        <v>1930</v>
      </c>
      <c r="AI3328" t="s">
        <v>67</v>
      </c>
      <c r="AJ3328" t="s">
        <v>66</v>
      </c>
      <c r="AK3328" s="3" t="s">
        <v>114</v>
      </c>
      <c r="AL3328" s="3">
        <v>240</v>
      </c>
      <c r="AS3328" t="s">
        <v>2213</v>
      </c>
      <c r="AT3328" t="s">
        <v>88</v>
      </c>
      <c r="AU3328" t="s">
        <v>268</v>
      </c>
      <c r="AV3328" s="14">
        <v>4500</v>
      </c>
    </row>
    <row r="3329" spans="34:48">
      <c r="AH3329" t="s">
        <v>1930</v>
      </c>
      <c r="AI3329" t="s">
        <v>67</v>
      </c>
      <c r="AJ3329" t="s">
        <v>98</v>
      </c>
      <c r="AK3329" s="3" t="s">
        <v>114</v>
      </c>
      <c r="AL3329" s="3">
        <v>-6.8974000000000002</v>
      </c>
      <c r="AS3329" t="s">
        <v>2213</v>
      </c>
      <c r="AT3329" t="s">
        <v>88</v>
      </c>
      <c r="AU3329" t="s">
        <v>269</v>
      </c>
      <c r="AV3329" s="14">
        <v>300</v>
      </c>
    </row>
    <row r="3330" spans="34:48">
      <c r="AH3330" t="s">
        <v>1930</v>
      </c>
      <c r="AI3330" t="s">
        <v>67</v>
      </c>
      <c r="AJ3330" t="s">
        <v>66</v>
      </c>
      <c r="AK3330" s="3" t="s">
        <v>115</v>
      </c>
      <c r="AL3330" s="3">
        <v>6080.5</v>
      </c>
      <c r="AS3330" t="s">
        <v>2213</v>
      </c>
      <c r="AT3330" t="s">
        <v>88</v>
      </c>
      <c r="AU3330" t="s">
        <v>270</v>
      </c>
      <c r="AV3330" s="14">
        <v>0</v>
      </c>
    </row>
    <row r="3331" spans="34:48">
      <c r="AH3331" t="s">
        <v>1930</v>
      </c>
      <c r="AI3331" t="s">
        <v>67</v>
      </c>
      <c r="AJ3331" t="s">
        <v>98</v>
      </c>
      <c r="AK3331" s="3" t="s">
        <v>115</v>
      </c>
      <c r="AL3331" s="3">
        <v>-181.057895</v>
      </c>
      <c r="AS3331" t="s">
        <v>2214</v>
      </c>
      <c r="AT3331" t="s">
        <v>88</v>
      </c>
      <c r="AU3331" t="s">
        <v>109</v>
      </c>
      <c r="AV3331" s="14">
        <v>10120</v>
      </c>
    </row>
    <row r="3332" spans="34:48">
      <c r="AH3332" t="s">
        <v>1930</v>
      </c>
      <c r="AI3332" t="s">
        <v>68</v>
      </c>
      <c r="AJ3332" t="s">
        <v>66</v>
      </c>
      <c r="AK3332" s="3" t="s">
        <v>27</v>
      </c>
      <c r="AL3332" s="3">
        <v>-14246.5</v>
      </c>
      <c r="AS3332" t="s">
        <v>2214</v>
      </c>
      <c r="AT3332" t="s">
        <v>88</v>
      </c>
      <c r="AU3332" t="s">
        <v>110</v>
      </c>
      <c r="AV3332" s="14">
        <v>5300</v>
      </c>
    </row>
    <row r="3333" spans="34:48">
      <c r="AH3333" t="s">
        <v>1930</v>
      </c>
      <c r="AI3333" t="s">
        <v>68</v>
      </c>
      <c r="AJ3333" t="s">
        <v>72</v>
      </c>
      <c r="AK3333" s="3" t="s">
        <v>27</v>
      </c>
      <c r="AL3333" s="3">
        <v>-14866.63198</v>
      </c>
      <c r="AS3333" t="s">
        <v>2214</v>
      </c>
      <c r="AT3333" t="s">
        <v>88</v>
      </c>
      <c r="AU3333" t="s">
        <v>111</v>
      </c>
      <c r="AV3333" s="14">
        <v>1397.6106</v>
      </c>
    </row>
    <row r="3334" spans="34:48">
      <c r="AH3334" t="s">
        <v>1930</v>
      </c>
      <c r="AI3334" t="s">
        <v>68</v>
      </c>
      <c r="AJ3334" t="s">
        <v>113</v>
      </c>
      <c r="AK3334" s="3" t="s">
        <v>27</v>
      </c>
      <c r="AL3334" s="3">
        <v>-26.137694520499998</v>
      </c>
      <c r="AS3334" t="s">
        <v>2214</v>
      </c>
      <c r="AT3334" t="s">
        <v>88</v>
      </c>
      <c r="AU3334" t="s">
        <v>268</v>
      </c>
      <c r="AV3334" s="14">
        <v>8150</v>
      </c>
    </row>
    <row r="3335" spans="34:48">
      <c r="AH3335" t="s">
        <v>1930</v>
      </c>
      <c r="AI3335" t="s">
        <v>68</v>
      </c>
      <c r="AJ3335" t="s">
        <v>108</v>
      </c>
      <c r="AK3335" s="3" t="s">
        <v>27</v>
      </c>
      <c r="AL3335" s="3">
        <v>-620.13198</v>
      </c>
      <c r="AS3335" t="s">
        <v>2214</v>
      </c>
      <c r="AT3335" t="s">
        <v>88</v>
      </c>
      <c r="AU3335" t="s">
        <v>269</v>
      </c>
      <c r="AV3335" s="14">
        <v>300</v>
      </c>
    </row>
    <row r="3336" spans="34:48">
      <c r="AH3336" t="s">
        <v>1930</v>
      </c>
      <c r="AI3336" t="s">
        <v>68</v>
      </c>
      <c r="AJ3336" t="s">
        <v>98</v>
      </c>
      <c r="AK3336" s="3" t="s">
        <v>27</v>
      </c>
      <c r="AL3336" s="3">
        <v>392.02641999999997</v>
      </c>
      <c r="AS3336" t="s">
        <v>2214</v>
      </c>
      <c r="AT3336" t="s">
        <v>88</v>
      </c>
      <c r="AU3336" t="s">
        <v>270</v>
      </c>
      <c r="AV3336" s="14">
        <v>0</v>
      </c>
    </row>
    <row r="3337" spans="34:48">
      <c r="AH3337" t="s">
        <v>1930</v>
      </c>
      <c r="AI3337" t="s">
        <v>68</v>
      </c>
      <c r="AJ3337" t="s">
        <v>66</v>
      </c>
      <c r="AK3337" s="3" t="s">
        <v>114</v>
      </c>
      <c r="AL3337" s="3">
        <v>687</v>
      </c>
      <c r="AS3337" t="s">
        <v>2215</v>
      </c>
      <c r="AT3337" t="s">
        <v>88</v>
      </c>
      <c r="AU3337" t="s">
        <v>109</v>
      </c>
      <c r="AV3337" s="14">
        <v>8320</v>
      </c>
    </row>
    <row r="3338" spans="34:48">
      <c r="AH3338" t="s">
        <v>1930</v>
      </c>
      <c r="AI3338" t="s">
        <v>68</v>
      </c>
      <c r="AJ3338" t="s">
        <v>98</v>
      </c>
      <c r="AK3338" s="3" t="s">
        <v>114</v>
      </c>
      <c r="AL3338" s="3">
        <v>-28.174250000000001</v>
      </c>
      <c r="AS3338" t="s">
        <v>2215</v>
      </c>
      <c r="AT3338" t="s">
        <v>88</v>
      </c>
      <c r="AU3338" t="s">
        <v>110</v>
      </c>
      <c r="AV3338" s="14">
        <v>5300</v>
      </c>
    </row>
    <row r="3339" spans="34:48">
      <c r="AH3339" t="s">
        <v>1930</v>
      </c>
      <c r="AI3339" t="s">
        <v>68</v>
      </c>
      <c r="AJ3339" t="s">
        <v>66</v>
      </c>
      <c r="AK3339" s="3" t="s">
        <v>115</v>
      </c>
      <c r="AL3339" s="3">
        <v>14933.5</v>
      </c>
      <c r="AS3339" t="s">
        <v>2215</v>
      </c>
      <c r="AT3339" t="s">
        <v>88</v>
      </c>
      <c r="AU3339" t="s">
        <v>111</v>
      </c>
      <c r="AV3339" s="14">
        <v>1397.6106</v>
      </c>
    </row>
    <row r="3340" spans="34:48">
      <c r="AH3340" t="s">
        <v>1930</v>
      </c>
      <c r="AI3340" t="s">
        <v>68</v>
      </c>
      <c r="AJ3340" t="s">
        <v>98</v>
      </c>
      <c r="AK3340" s="3" t="s">
        <v>115</v>
      </c>
      <c r="AL3340" s="3">
        <v>-420.20067</v>
      </c>
      <c r="AS3340" t="s">
        <v>2215</v>
      </c>
      <c r="AT3340" t="s">
        <v>88</v>
      </c>
      <c r="AU3340" t="s">
        <v>268</v>
      </c>
      <c r="AV3340" s="14">
        <v>9950</v>
      </c>
    </row>
    <row r="3341" spans="34:48">
      <c r="AH3341" t="s">
        <v>1931</v>
      </c>
      <c r="AI3341" t="s">
        <v>65</v>
      </c>
      <c r="AJ3341" t="s">
        <v>66</v>
      </c>
      <c r="AK3341" s="3" t="s">
        <v>27</v>
      </c>
      <c r="AL3341" s="3">
        <v>27364</v>
      </c>
      <c r="AS3341" t="s">
        <v>2215</v>
      </c>
      <c r="AT3341" t="s">
        <v>88</v>
      </c>
      <c r="AU3341" t="s">
        <v>269</v>
      </c>
      <c r="AV3341" s="14">
        <v>300</v>
      </c>
    </row>
    <row r="3342" spans="34:48">
      <c r="AH3342" t="s">
        <v>1931</v>
      </c>
      <c r="AI3342" t="s">
        <v>65</v>
      </c>
      <c r="AJ3342" t="s">
        <v>72</v>
      </c>
      <c r="AK3342" s="3" t="s">
        <v>27</v>
      </c>
      <c r="AL3342" s="3">
        <v>27980.890794999999</v>
      </c>
      <c r="AS3342" t="s">
        <v>2215</v>
      </c>
      <c r="AT3342" t="s">
        <v>88</v>
      </c>
      <c r="AU3342" t="s">
        <v>270</v>
      </c>
      <c r="AV3342" s="14">
        <v>0</v>
      </c>
    </row>
    <row r="3343" spans="34:48">
      <c r="AH3343" t="s">
        <v>1931</v>
      </c>
      <c r="AI3343" t="s">
        <v>65</v>
      </c>
      <c r="AJ3343" t="s">
        <v>113</v>
      </c>
      <c r="AK3343" s="3" t="s">
        <v>27</v>
      </c>
      <c r="AL3343" s="3">
        <v>1641.2666275994</v>
      </c>
      <c r="AS3343" t="s">
        <v>2216</v>
      </c>
      <c r="AT3343" t="s">
        <v>88</v>
      </c>
      <c r="AU3343" t="s">
        <v>109</v>
      </c>
      <c r="AV3343" s="14">
        <v>9020</v>
      </c>
    </row>
    <row r="3344" spans="34:48">
      <c r="AH3344" t="s">
        <v>1931</v>
      </c>
      <c r="AI3344" t="s">
        <v>65</v>
      </c>
      <c r="AJ3344" t="s">
        <v>108</v>
      </c>
      <c r="AK3344" s="3" t="s">
        <v>27</v>
      </c>
      <c r="AL3344" s="3">
        <v>-1024.3758325993999</v>
      </c>
      <c r="AS3344" t="s">
        <v>2216</v>
      </c>
      <c r="AT3344" t="s">
        <v>88</v>
      </c>
      <c r="AU3344" t="s">
        <v>110</v>
      </c>
      <c r="AV3344" s="14">
        <v>5800</v>
      </c>
    </row>
    <row r="3345" spans="34:48">
      <c r="AH3345" t="s">
        <v>1931</v>
      </c>
      <c r="AI3345" t="s">
        <v>65</v>
      </c>
      <c r="AJ3345" t="s">
        <v>98</v>
      </c>
      <c r="AK3345" s="3" t="s">
        <v>27</v>
      </c>
      <c r="AL3345" s="3">
        <v>-1079.9579200000001</v>
      </c>
      <c r="AS3345" t="s">
        <v>2216</v>
      </c>
      <c r="AT3345" t="s">
        <v>88</v>
      </c>
      <c r="AU3345" t="s">
        <v>111</v>
      </c>
      <c r="AV3345" s="14">
        <v>1397.6106</v>
      </c>
    </row>
    <row r="3346" spans="34:48">
      <c r="AH3346" t="s">
        <v>1931</v>
      </c>
      <c r="AI3346" t="s">
        <v>67</v>
      </c>
      <c r="AJ3346" t="s">
        <v>66</v>
      </c>
      <c r="AK3346" s="3" t="s">
        <v>27</v>
      </c>
      <c r="AL3346" s="3">
        <v>-5216.5</v>
      </c>
      <c r="AS3346" t="s">
        <v>2216</v>
      </c>
      <c r="AT3346" t="s">
        <v>88</v>
      </c>
      <c r="AU3346" t="s">
        <v>268</v>
      </c>
      <c r="AV3346" s="14">
        <v>10250</v>
      </c>
    </row>
    <row r="3347" spans="34:48">
      <c r="AH3347" t="s">
        <v>1931</v>
      </c>
      <c r="AI3347" t="s">
        <v>67</v>
      </c>
      <c r="AJ3347" t="s">
        <v>72</v>
      </c>
      <c r="AK3347" s="3" t="s">
        <v>27</v>
      </c>
      <c r="AL3347" s="3">
        <v>-5711.2273249999998</v>
      </c>
      <c r="AS3347" t="s">
        <v>2216</v>
      </c>
      <c r="AT3347" t="s">
        <v>88</v>
      </c>
      <c r="AU3347" t="s">
        <v>269</v>
      </c>
      <c r="AV3347" s="14">
        <v>300</v>
      </c>
    </row>
    <row r="3348" spans="34:48">
      <c r="AH3348" t="s">
        <v>1931</v>
      </c>
      <c r="AI3348" t="s">
        <v>67</v>
      </c>
      <c r="AJ3348" t="s">
        <v>113</v>
      </c>
      <c r="AK3348" s="3" t="s">
        <v>27</v>
      </c>
      <c r="AL3348" s="3">
        <v>-41.033873424699998</v>
      </c>
      <c r="AS3348" t="s">
        <v>2216</v>
      </c>
      <c r="AT3348" t="s">
        <v>88</v>
      </c>
      <c r="AU3348" t="s">
        <v>270</v>
      </c>
      <c r="AV3348" s="14">
        <v>0</v>
      </c>
    </row>
    <row r="3349" spans="34:48">
      <c r="AH3349" t="s">
        <v>1931</v>
      </c>
      <c r="AI3349" t="s">
        <v>67</v>
      </c>
      <c r="AJ3349" t="s">
        <v>108</v>
      </c>
      <c r="AK3349" s="3" t="s">
        <v>27</v>
      </c>
      <c r="AL3349" s="3">
        <v>-453.6934515753</v>
      </c>
      <c r="AS3349" t="s">
        <v>2217</v>
      </c>
      <c r="AT3349" t="s">
        <v>88</v>
      </c>
      <c r="AU3349" t="s">
        <v>109</v>
      </c>
      <c r="AV3349" s="14">
        <v>10796.383900000001</v>
      </c>
    </row>
    <row r="3350" spans="34:48">
      <c r="AH3350" t="s">
        <v>1931</v>
      </c>
      <c r="AI3350" t="s">
        <v>67</v>
      </c>
      <c r="AJ3350" t="s">
        <v>98</v>
      </c>
      <c r="AK3350" s="3" t="s">
        <v>27</v>
      </c>
      <c r="AL3350" s="3">
        <v>157.13409999999999</v>
      </c>
      <c r="AS3350" t="s">
        <v>2217</v>
      </c>
      <c r="AT3350" t="s">
        <v>88</v>
      </c>
      <c r="AU3350" t="s">
        <v>110</v>
      </c>
      <c r="AV3350" s="14">
        <v>5800</v>
      </c>
    </row>
    <row r="3351" spans="34:48">
      <c r="AH3351" t="s">
        <v>1931</v>
      </c>
      <c r="AI3351" t="s">
        <v>67</v>
      </c>
      <c r="AJ3351" t="s">
        <v>66</v>
      </c>
      <c r="AK3351" s="3" t="s">
        <v>114</v>
      </c>
      <c r="AL3351" s="3">
        <v>604</v>
      </c>
      <c r="AS3351" t="s">
        <v>2217</v>
      </c>
      <c r="AT3351" t="s">
        <v>88</v>
      </c>
      <c r="AU3351" t="s">
        <v>111</v>
      </c>
      <c r="AV3351" s="14">
        <v>1397.6106</v>
      </c>
    </row>
    <row r="3352" spans="34:48">
      <c r="AH3352" t="s">
        <v>1931</v>
      </c>
      <c r="AI3352" t="s">
        <v>67</v>
      </c>
      <c r="AJ3352" t="s">
        <v>98</v>
      </c>
      <c r="AK3352" s="3" t="s">
        <v>114</v>
      </c>
      <c r="AL3352" s="3">
        <v>-16.810279999999999</v>
      </c>
      <c r="AS3352" t="s">
        <v>2217</v>
      </c>
      <c r="AT3352" t="s">
        <v>88</v>
      </c>
      <c r="AU3352" t="s">
        <v>268</v>
      </c>
      <c r="AV3352" s="14">
        <v>5973.6161000000002</v>
      </c>
    </row>
    <row r="3353" spans="34:48">
      <c r="AH3353" t="s">
        <v>1931</v>
      </c>
      <c r="AI3353" t="s">
        <v>67</v>
      </c>
      <c r="AJ3353" t="s">
        <v>66</v>
      </c>
      <c r="AK3353" s="3" t="s">
        <v>115</v>
      </c>
      <c r="AL3353" s="3">
        <v>5820.5</v>
      </c>
      <c r="AS3353" t="s">
        <v>2217</v>
      </c>
      <c r="AT3353" t="s">
        <v>88</v>
      </c>
      <c r="AU3353" t="s">
        <v>269</v>
      </c>
      <c r="AV3353" s="14">
        <v>300</v>
      </c>
    </row>
    <row r="3354" spans="34:48">
      <c r="AH3354" t="s">
        <v>1931</v>
      </c>
      <c r="AI3354" t="s">
        <v>67</v>
      </c>
      <c r="AJ3354" t="s">
        <v>98</v>
      </c>
      <c r="AK3354" s="3" t="s">
        <v>115</v>
      </c>
      <c r="AL3354" s="3">
        <v>-173.94438</v>
      </c>
      <c r="AS3354" t="s">
        <v>2217</v>
      </c>
      <c r="AT3354" t="s">
        <v>88</v>
      </c>
      <c r="AU3354" t="s">
        <v>270</v>
      </c>
      <c r="AV3354" s="14">
        <v>0</v>
      </c>
    </row>
    <row r="3355" spans="34:48">
      <c r="AH3355" t="s">
        <v>1931</v>
      </c>
      <c r="AI3355" t="s">
        <v>68</v>
      </c>
      <c r="AJ3355" t="s">
        <v>66</v>
      </c>
      <c r="AK3355" s="3" t="s">
        <v>27</v>
      </c>
      <c r="AL3355" s="3">
        <v>-15095.5</v>
      </c>
      <c r="AS3355" t="s">
        <v>2218</v>
      </c>
      <c r="AT3355" t="s">
        <v>88</v>
      </c>
      <c r="AU3355" t="s">
        <v>109</v>
      </c>
      <c r="AV3355" s="14">
        <v>10346.383900000001</v>
      </c>
    </row>
    <row r="3356" spans="34:48">
      <c r="AH3356" t="s">
        <v>1931</v>
      </c>
      <c r="AI3356" t="s">
        <v>68</v>
      </c>
      <c r="AJ3356" t="s">
        <v>72</v>
      </c>
      <c r="AK3356" s="3" t="s">
        <v>27</v>
      </c>
      <c r="AL3356" s="3">
        <v>-15560.404710000001</v>
      </c>
      <c r="AS3356" t="s">
        <v>2218</v>
      </c>
      <c r="AT3356" t="s">
        <v>88</v>
      </c>
      <c r="AU3356" t="s">
        <v>110</v>
      </c>
      <c r="AV3356" s="14">
        <v>5800</v>
      </c>
    </row>
    <row r="3357" spans="34:48">
      <c r="AH3357" t="s">
        <v>1931</v>
      </c>
      <c r="AI3357" t="s">
        <v>68</v>
      </c>
      <c r="AJ3357" t="s">
        <v>113</v>
      </c>
      <c r="AK3357" s="3" t="s">
        <v>27</v>
      </c>
      <c r="AL3357" s="3">
        <v>175.88596164379999</v>
      </c>
      <c r="AS3357" t="s">
        <v>2218</v>
      </c>
      <c r="AT3357" t="s">
        <v>88</v>
      </c>
      <c r="AU3357" t="s">
        <v>111</v>
      </c>
      <c r="AV3357" s="14">
        <v>1397.6106</v>
      </c>
    </row>
    <row r="3358" spans="34:48">
      <c r="AH3358" t="s">
        <v>1931</v>
      </c>
      <c r="AI3358" t="s">
        <v>68</v>
      </c>
      <c r="AJ3358" t="s">
        <v>108</v>
      </c>
      <c r="AK3358" s="3" t="s">
        <v>27</v>
      </c>
      <c r="AL3358" s="3">
        <v>-464.90471000000002</v>
      </c>
      <c r="AS3358" t="s">
        <v>2218</v>
      </c>
      <c r="AT3358" t="s">
        <v>88</v>
      </c>
      <c r="AU3358" t="s">
        <v>268</v>
      </c>
      <c r="AV3358" s="14">
        <v>4473.6161000000002</v>
      </c>
    </row>
    <row r="3359" spans="34:48">
      <c r="AH3359" t="s">
        <v>1931</v>
      </c>
      <c r="AI3359" t="s">
        <v>68</v>
      </c>
      <c r="AJ3359" t="s">
        <v>98</v>
      </c>
      <c r="AK3359" s="3" t="s">
        <v>27</v>
      </c>
      <c r="AL3359" s="3">
        <v>431.20837</v>
      </c>
      <c r="AS3359" t="s">
        <v>2218</v>
      </c>
      <c r="AT3359" t="s">
        <v>88</v>
      </c>
      <c r="AU3359" t="s">
        <v>269</v>
      </c>
      <c r="AV3359" s="14">
        <v>300</v>
      </c>
    </row>
    <row r="3360" spans="34:48">
      <c r="AH3360" t="s">
        <v>1931</v>
      </c>
      <c r="AI3360" t="s">
        <v>68</v>
      </c>
      <c r="AJ3360" t="s">
        <v>66</v>
      </c>
      <c r="AK3360" s="3" t="s">
        <v>114</v>
      </c>
      <c r="AL3360" s="3">
        <v>560</v>
      </c>
      <c r="AS3360" t="s">
        <v>2218</v>
      </c>
      <c r="AT3360" t="s">
        <v>88</v>
      </c>
      <c r="AU3360" t="s">
        <v>270</v>
      </c>
      <c r="AV3360" s="14">
        <v>0</v>
      </c>
    </row>
    <row r="3361" spans="34:48">
      <c r="AH3361" t="s">
        <v>1931</v>
      </c>
      <c r="AI3361" t="s">
        <v>68</v>
      </c>
      <c r="AJ3361" t="s">
        <v>98</v>
      </c>
      <c r="AK3361" s="3" t="s">
        <v>114</v>
      </c>
      <c r="AL3361" s="3">
        <v>-20.020499999999998</v>
      </c>
      <c r="AS3361" t="s">
        <v>2219</v>
      </c>
      <c r="AT3361" t="s">
        <v>88</v>
      </c>
      <c r="AU3361" t="s">
        <v>109</v>
      </c>
      <c r="AV3361" s="14">
        <v>10346.383900000001</v>
      </c>
    </row>
    <row r="3362" spans="34:48">
      <c r="AH3362" t="s">
        <v>1931</v>
      </c>
      <c r="AI3362" t="s">
        <v>68</v>
      </c>
      <c r="AJ3362" t="s">
        <v>66</v>
      </c>
      <c r="AK3362" s="3" t="s">
        <v>115</v>
      </c>
      <c r="AL3362" s="3">
        <v>15655.5</v>
      </c>
      <c r="AS3362" t="s">
        <v>2219</v>
      </c>
      <c r="AT3362" t="s">
        <v>88</v>
      </c>
      <c r="AU3362" t="s">
        <v>110</v>
      </c>
      <c r="AV3362" s="14">
        <v>5800</v>
      </c>
    </row>
    <row r="3363" spans="34:48">
      <c r="AH3363" t="s">
        <v>1931</v>
      </c>
      <c r="AI3363" t="s">
        <v>68</v>
      </c>
      <c r="AJ3363" t="s">
        <v>98</v>
      </c>
      <c r="AK3363" s="3" t="s">
        <v>115</v>
      </c>
      <c r="AL3363" s="3">
        <v>-451.22886999999997</v>
      </c>
      <c r="AS3363" t="s">
        <v>2219</v>
      </c>
      <c r="AT3363" t="s">
        <v>88</v>
      </c>
      <c r="AU3363" t="s">
        <v>111</v>
      </c>
      <c r="AV3363" s="14">
        <v>1397.6106</v>
      </c>
    </row>
    <row r="3364" spans="34:48">
      <c r="AH3364" t="s">
        <v>1932</v>
      </c>
      <c r="AI3364" t="s">
        <v>65</v>
      </c>
      <c r="AJ3364" t="s">
        <v>66</v>
      </c>
      <c r="AK3364" s="3" t="s">
        <v>27</v>
      </c>
      <c r="AL3364" s="3">
        <v>27351</v>
      </c>
      <c r="AS3364" t="s">
        <v>2219</v>
      </c>
      <c r="AT3364" t="s">
        <v>88</v>
      </c>
      <c r="AU3364" t="s">
        <v>268</v>
      </c>
      <c r="AV3364" s="14">
        <v>6673.6161000000002</v>
      </c>
    </row>
    <row r="3365" spans="34:48">
      <c r="AH3365" t="s">
        <v>1932</v>
      </c>
      <c r="AI3365" t="s">
        <v>65</v>
      </c>
      <c r="AJ3365" t="s">
        <v>72</v>
      </c>
      <c r="AK3365" s="3" t="s">
        <v>27</v>
      </c>
      <c r="AL3365" s="3">
        <v>27933.417594999999</v>
      </c>
      <c r="AS3365" t="s">
        <v>2219</v>
      </c>
      <c r="AT3365" t="s">
        <v>88</v>
      </c>
      <c r="AU3365" t="s">
        <v>269</v>
      </c>
      <c r="AV3365" s="14">
        <v>300</v>
      </c>
    </row>
    <row r="3366" spans="34:48">
      <c r="AH3366" t="s">
        <v>1932</v>
      </c>
      <c r="AI3366" t="s">
        <v>65</v>
      </c>
      <c r="AJ3366" t="s">
        <v>113</v>
      </c>
      <c r="AK3366" s="3" t="s">
        <v>27</v>
      </c>
      <c r="AL3366" s="3">
        <v>1594.0805062182999</v>
      </c>
      <c r="AS3366" t="s">
        <v>2219</v>
      </c>
      <c r="AT3366" t="s">
        <v>88</v>
      </c>
      <c r="AU3366" t="s">
        <v>270</v>
      </c>
      <c r="AV3366" s="14">
        <v>0</v>
      </c>
    </row>
    <row r="3367" spans="34:48">
      <c r="AH3367" t="s">
        <v>1932</v>
      </c>
      <c r="AI3367" t="s">
        <v>65</v>
      </c>
      <c r="AJ3367" t="s">
        <v>108</v>
      </c>
      <c r="AK3367" s="3" t="s">
        <v>27</v>
      </c>
      <c r="AL3367" s="3">
        <v>-1011.6629112183</v>
      </c>
      <c r="AS3367" t="s">
        <v>2220</v>
      </c>
      <c r="AT3367" t="s">
        <v>88</v>
      </c>
      <c r="AU3367" t="s">
        <v>109</v>
      </c>
      <c r="AV3367" s="14">
        <v>9146.3839000000007</v>
      </c>
    </row>
    <row r="3368" spans="34:48">
      <c r="AH3368" t="s">
        <v>1932</v>
      </c>
      <c r="AI3368" t="s">
        <v>65</v>
      </c>
      <c r="AJ3368" t="s">
        <v>98</v>
      </c>
      <c r="AK3368" s="3" t="s">
        <v>27</v>
      </c>
      <c r="AL3368" s="3">
        <v>-1066.34142</v>
      </c>
      <c r="AS3368" t="s">
        <v>2220</v>
      </c>
      <c r="AT3368" t="s">
        <v>88</v>
      </c>
      <c r="AU3368" t="s">
        <v>110</v>
      </c>
      <c r="AV3368" s="14">
        <v>5600</v>
      </c>
    </row>
    <row r="3369" spans="34:48">
      <c r="AH3369" t="s">
        <v>1932</v>
      </c>
      <c r="AI3369" t="s">
        <v>67</v>
      </c>
      <c r="AJ3369" t="s">
        <v>66</v>
      </c>
      <c r="AK3369" s="3" t="s">
        <v>27</v>
      </c>
      <c r="AL3369" s="3">
        <v>-4967.5</v>
      </c>
      <c r="AS3369" t="s">
        <v>2220</v>
      </c>
      <c r="AT3369" t="s">
        <v>88</v>
      </c>
      <c r="AU3369" t="s">
        <v>111</v>
      </c>
      <c r="AV3369" s="14">
        <v>1397.6106</v>
      </c>
    </row>
    <row r="3370" spans="34:48">
      <c r="AH3370" t="s">
        <v>1932</v>
      </c>
      <c r="AI3370" t="s">
        <v>67</v>
      </c>
      <c r="AJ3370" t="s">
        <v>72</v>
      </c>
      <c r="AK3370" s="3" t="s">
        <v>27</v>
      </c>
      <c r="AL3370" s="3">
        <v>-5367.2935049999996</v>
      </c>
      <c r="AS3370" t="s">
        <v>2220</v>
      </c>
      <c r="AT3370" t="s">
        <v>88</v>
      </c>
      <c r="AU3370" t="s">
        <v>268</v>
      </c>
      <c r="AV3370" s="14">
        <v>7873.6161000000002</v>
      </c>
    </row>
    <row r="3371" spans="34:48">
      <c r="AH3371" t="s">
        <v>1932</v>
      </c>
      <c r="AI3371" t="s">
        <v>67</v>
      </c>
      <c r="AJ3371" t="s">
        <v>113</v>
      </c>
      <c r="AK3371" s="3" t="s">
        <v>27</v>
      </c>
      <c r="AL3371" s="3">
        <v>9.0892850685000006</v>
      </c>
      <c r="AS3371" t="s">
        <v>2220</v>
      </c>
      <c r="AT3371" t="s">
        <v>88</v>
      </c>
      <c r="AU3371" t="s">
        <v>269</v>
      </c>
      <c r="AV3371" s="14">
        <v>500</v>
      </c>
    </row>
    <row r="3372" spans="34:48">
      <c r="AH3372" t="s">
        <v>1932</v>
      </c>
      <c r="AI3372" t="s">
        <v>67</v>
      </c>
      <c r="AJ3372" t="s">
        <v>108</v>
      </c>
      <c r="AK3372" s="3" t="s">
        <v>27</v>
      </c>
      <c r="AL3372" s="3">
        <v>-408.88279006850001</v>
      </c>
      <c r="AS3372" t="s">
        <v>2220</v>
      </c>
      <c r="AT3372" t="s">
        <v>88</v>
      </c>
      <c r="AU3372" t="s">
        <v>270</v>
      </c>
      <c r="AV3372" s="14">
        <v>0</v>
      </c>
    </row>
    <row r="3373" spans="34:48">
      <c r="AH3373" t="s">
        <v>1932</v>
      </c>
      <c r="AI3373" t="s">
        <v>67</v>
      </c>
      <c r="AJ3373" t="s">
        <v>98</v>
      </c>
      <c r="AK3373" s="3" t="s">
        <v>27</v>
      </c>
      <c r="AL3373" s="3">
        <v>113.12766000000001</v>
      </c>
      <c r="AS3373" t="s">
        <v>2221</v>
      </c>
      <c r="AT3373" t="s">
        <v>88</v>
      </c>
      <c r="AU3373" t="s">
        <v>109</v>
      </c>
      <c r="AV3373" s="14">
        <v>9856.3839000000007</v>
      </c>
    </row>
    <row r="3374" spans="34:48">
      <c r="AH3374" t="s">
        <v>1932</v>
      </c>
      <c r="AI3374" t="s">
        <v>67</v>
      </c>
      <c r="AJ3374" t="s">
        <v>66</v>
      </c>
      <c r="AK3374" s="3" t="s">
        <v>114</v>
      </c>
      <c r="AL3374" s="3">
        <v>617</v>
      </c>
      <c r="AS3374" t="s">
        <v>2221</v>
      </c>
      <c r="AT3374" t="s">
        <v>88</v>
      </c>
      <c r="AU3374" t="s">
        <v>110</v>
      </c>
      <c r="AV3374" s="14">
        <v>5600</v>
      </c>
    </row>
    <row r="3375" spans="34:48">
      <c r="AH3375" t="s">
        <v>1932</v>
      </c>
      <c r="AI3375" t="s">
        <v>67</v>
      </c>
      <c r="AJ3375" t="s">
        <v>98</v>
      </c>
      <c r="AK3375" s="3" t="s">
        <v>114</v>
      </c>
      <c r="AL3375" s="3">
        <v>-31.241160000000001</v>
      </c>
      <c r="AS3375" t="s">
        <v>2221</v>
      </c>
      <c r="AT3375" t="s">
        <v>88</v>
      </c>
      <c r="AU3375" t="s">
        <v>111</v>
      </c>
      <c r="AV3375" s="14">
        <v>1397.6106</v>
      </c>
    </row>
    <row r="3376" spans="34:48">
      <c r="AH3376" t="s">
        <v>1932</v>
      </c>
      <c r="AI3376" t="s">
        <v>67</v>
      </c>
      <c r="AJ3376" t="s">
        <v>66</v>
      </c>
      <c r="AK3376" s="3" t="s">
        <v>115</v>
      </c>
      <c r="AL3376" s="3">
        <v>5584.5</v>
      </c>
      <c r="AS3376" t="s">
        <v>2221</v>
      </c>
      <c r="AT3376" t="s">
        <v>88</v>
      </c>
      <c r="AU3376" t="s">
        <v>268</v>
      </c>
      <c r="AV3376" s="14">
        <v>8263.6160999999993</v>
      </c>
    </row>
    <row r="3377" spans="34:48">
      <c r="AH3377" t="s">
        <v>1932</v>
      </c>
      <c r="AI3377" t="s">
        <v>67</v>
      </c>
      <c r="AJ3377" t="s">
        <v>98</v>
      </c>
      <c r="AK3377" s="3" t="s">
        <v>115</v>
      </c>
      <c r="AL3377" s="3">
        <v>-144.36882</v>
      </c>
      <c r="AS3377" t="s">
        <v>2221</v>
      </c>
      <c r="AT3377" t="s">
        <v>88</v>
      </c>
      <c r="AU3377" t="s">
        <v>269</v>
      </c>
      <c r="AV3377" s="14">
        <v>500</v>
      </c>
    </row>
    <row r="3378" spans="34:48">
      <c r="AH3378" t="s">
        <v>1932</v>
      </c>
      <c r="AI3378" t="s">
        <v>68</v>
      </c>
      <c r="AJ3378" t="s">
        <v>66</v>
      </c>
      <c r="AK3378" s="3" t="s">
        <v>27</v>
      </c>
      <c r="AL3378" s="3">
        <v>-15331.5</v>
      </c>
      <c r="AS3378" t="s">
        <v>2221</v>
      </c>
      <c r="AT3378" t="s">
        <v>88</v>
      </c>
      <c r="AU3378" t="s">
        <v>270</v>
      </c>
      <c r="AV3378" s="14">
        <v>0</v>
      </c>
    </row>
    <row r="3379" spans="34:48">
      <c r="AH3379" t="s">
        <v>1932</v>
      </c>
      <c r="AI3379" t="s">
        <v>68</v>
      </c>
      <c r="AJ3379" t="s">
        <v>72</v>
      </c>
      <c r="AK3379" s="3" t="s">
        <v>27</v>
      </c>
      <c r="AL3379" s="3">
        <v>-15856.64459</v>
      </c>
      <c r="AS3379" t="s">
        <v>2222</v>
      </c>
      <c r="AT3379" t="s">
        <v>88</v>
      </c>
      <c r="AU3379" t="s">
        <v>109</v>
      </c>
      <c r="AV3379" s="14">
        <v>10846.383900000001</v>
      </c>
    </row>
    <row r="3380" spans="34:48">
      <c r="AH3380" t="s">
        <v>1932</v>
      </c>
      <c r="AI3380" t="s">
        <v>68</v>
      </c>
      <c r="AJ3380" t="s">
        <v>113</v>
      </c>
      <c r="AK3380" s="3" t="s">
        <v>27</v>
      </c>
      <c r="AL3380" s="3">
        <v>31.7527649315</v>
      </c>
      <c r="AS3380" t="s">
        <v>2222</v>
      </c>
      <c r="AT3380" t="s">
        <v>88</v>
      </c>
      <c r="AU3380" t="s">
        <v>110</v>
      </c>
      <c r="AV3380" s="14">
        <v>7600</v>
      </c>
    </row>
    <row r="3381" spans="34:48">
      <c r="AH3381" t="s">
        <v>1932</v>
      </c>
      <c r="AI3381" t="s">
        <v>68</v>
      </c>
      <c r="AJ3381" t="s">
        <v>108</v>
      </c>
      <c r="AK3381" s="3" t="s">
        <v>27</v>
      </c>
      <c r="AL3381" s="3">
        <v>-525.14458999999999</v>
      </c>
      <c r="AS3381" t="s">
        <v>2222</v>
      </c>
      <c r="AT3381" t="s">
        <v>88</v>
      </c>
      <c r="AU3381" t="s">
        <v>111</v>
      </c>
      <c r="AV3381" s="14">
        <v>1397.6106</v>
      </c>
    </row>
    <row r="3382" spans="34:48">
      <c r="AH3382" t="s">
        <v>1932</v>
      </c>
      <c r="AI3382" t="s">
        <v>68</v>
      </c>
      <c r="AJ3382" t="s">
        <v>98</v>
      </c>
      <c r="AK3382" s="3" t="s">
        <v>27</v>
      </c>
      <c r="AL3382" s="3">
        <v>461.83404999999999</v>
      </c>
      <c r="AS3382" t="s">
        <v>2222</v>
      </c>
      <c r="AT3382" t="s">
        <v>88</v>
      </c>
      <c r="AU3382" t="s">
        <v>268</v>
      </c>
      <c r="AV3382" s="14">
        <v>5473.6161000000002</v>
      </c>
    </row>
    <row r="3383" spans="34:48">
      <c r="AH3383" t="s">
        <v>1932</v>
      </c>
      <c r="AI3383" t="s">
        <v>68</v>
      </c>
      <c r="AJ3383" t="s">
        <v>66</v>
      </c>
      <c r="AK3383" s="3" t="s">
        <v>114</v>
      </c>
      <c r="AL3383" s="3">
        <v>994</v>
      </c>
      <c r="AS3383" t="s">
        <v>2222</v>
      </c>
      <c r="AT3383" t="s">
        <v>88</v>
      </c>
      <c r="AU3383" t="s">
        <v>269</v>
      </c>
      <c r="AV3383" s="14">
        <v>-1500</v>
      </c>
    </row>
    <row r="3384" spans="34:48">
      <c r="AH3384" t="s">
        <v>1932</v>
      </c>
      <c r="AI3384" t="s">
        <v>68</v>
      </c>
      <c r="AJ3384" t="s">
        <v>98</v>
      </c>
      <c r="AK3384" s="3" t="s">
        <v>114</v>
      </c>
      <c r="AL3384" s="3">
        <v>-33.303820000000002</v>
      </c>
      <c r="AS3384" t="s">
        <v>2222</v>
      </c>
      <c r="AT3384" t="s">
        <v>88</v>
      </c>
      <c r="AU3384" t="s">
        <v>270</v>
      </c>
      <c r="AV3384" s="14">
        <v>0</v>
      </c>
    </row>
    <row r="3385" spans="34:48">
      <c r="AH3385" t="s">
        <v>1932</v>
      </c>
      <c r="AI3385" t="s">
        <v>68</v>
      </c>
      <c r="AJ3385" t="s">
        <v>66</v>
      </c>
      <c r="AK3385" s="3" t="s">
        <v>115</v>
      </c>
      <c r="AL3385" s="3">
        <v>16325.5</v>
      </c>
      <c r="AS3385" t="s">
        <v>2223</v>
      </c>
      <c r="AT3385" t="s">
        <v>88</v>
      </c>
      <c r="AU3385" t="s">
        <v>109</v>
      </c>
      <c r="AV3385" s="14">
        <v>11746.383900000001</v>
      </c>
    </row>
    <row r="3386" spans="34:48">
      <c r="AH3386" t="s">
        <v>1932</v>
      </c>
      <c r="AI3386" t="s">
        <v>68</v>
      </c>
      <c r="AJ3386" t="s">
        <v>98</v>
      </c>
      <c r="AK3386" s="3" t="s">
        <v>115</v>
      </c>
      <c r="AL3386" s="3">
        <v>-495.13787000000002</v>
      </c>
      <c r="AS3386" t="s">
        <v>2223</v>
      </c>
      <c r="AT3386" t="s">
        <v>88</v>
      </c>
      <c r="AU3386" t="s">
        <v>110</v>
      </c>
      <c r="AV3386" s="14">
        <v>7600</v>
      </c>
    </row>
    <row r="3387" spans="34:48">
      <c r="AH3387" t="s">
        <v>1933</v>
      </c>
      <c r="AI3387" t="s">
        <v>65</v>
      </c>
      <c r="AJ3387" t="s">
        <v>98</v>
      </c>
      <c r="AK3387" s="3" t="s">
        <v>27</v>
      </c>
      <c r="AL3387" s="3">
        <v>-1156.3083200000001</v>
      </c>
      <c r="AS3387" t="s">
        <v>2223</v>
      </c>
      <c r="AT3387" t="s">
        <v>88</v>
      </c>
      <c r="AU3387" t="s">
        <v>111</v>
      </c>
      <c r="AV3387" s="14">
        <v>1397.6106</v>
      </c>
    </row>
    <row r="3388" spans="34:48">
      <c r="AH3388" t="s">
        <v>1933</v>
      </c>
      <c r="AI3388" t="s">
        <v>67</v>
      </c>
      <c r="AJ3388" t="s">
        <v>66</v>
      </c>
      <c r="AK3388" s="3" t="s">
        <v>27</v>
      </c>
      <c r="AL3388" s="3">
        <v>-7122.5</v>
      </c>
      <c r="AS3388" t="s">
        <v>2223</v>
      </c>
      <c r="AT3388" t="s">
        <v>88</v>
      </c>
      <c r="AU3388" t="s">
        <v>268</v>
      </c>
      <c r="AV3388" s="14">
        <v>4573.6161000000002</v>
      </c>
    </row>
    <row r="3389" spans="34:48">
      <c r="AH3389" t="s">
        <v>1933</v>
      </c>
      <c r="AI3389" t="s">
        <v>67</v>
      </c>
      <c r="AJ3389" t="s">
        <v>72</v>
      </c>
      <c r="AK3389" s="3" t="s">
        <v>27</v>
      </c>
      <c r="AL3389" s="3">
        <v>-8312.7100250000003</v>
      </c>
      <c r="AS3389" t="s">
        <v>2223</v>
      </c>
      <c r="AT3389" t="s">
        <v>88</v>
      </c>
      <c r="AU3389" t="s">
        <v>269</v>
      </c>
      <c r="AV3389" s="14">
        <v>-1500</v>
      </c>
    </row>
    <row r="3390" spans="34:48">
      <c r="AH3390" t="s">
        <v>1933</v>
      </c>
      <c r="AI3390" t="s">
        <v>67</v>
      </c>
      <c r="AJ3390" t="s">
        <v>113</v>
      </c>
      <c r="AK3390" s="3" t="s">
        <v>27</v>
      </c>
      <c r="AL3390" s="3">
        <v>0</v>
      </c>
      <c r="AS3390" t="s">
        <v>2223</v>
      </c>
      <c r="AT3390" t="s">
        <v>88</v>
      </c>
      <c r="AU3390" t="s">
        <v>270</v>
      </c>
      <c r="AV3390" s="14">
        <v>0</v>
      </c>
    </row>
    <row r="3391" spans="34:48">
      <c r="AH3391" t="s">
        <v>1933</v>
      </c>
      <c r="AI3391" t="s">
        <v>67</v>
      </c>
      <c r="AJ3391" t="s">
        <v>108</v>
      </c>
      <c r="AK3391" s="3" t="s">
        <v>27</v>
      </c>
      <c r="AL3391" s="3">
        <v>-1190.2100250000001</v>
      </c>
      <c r="AS3391" t="s">
        <v>2224</v>
      </c>
      <c r="AT3391" t="s">
        <v>88</v>
      </c>
      <c r="AU3391" t="s">
        <v>109</v>
      </c>
      <c r="AV3391" s="14">
        <v>10446.383900000001</v>
      </c>
    </row>
    <row r="3392" spans="34:48">
      <c r="AH3392" t="s">
        <v>1933</v>
      </c>
      <c r="AI3392" t="s">
        <v>67</v>
      </c>
      <c r="AJ3392" t="s">
        <v>98</v>
      </c>
      <c r="AK3392" s="3" t="s">
        <v>27</v>
      </c>
      <c r="AL3392" s="3">
        <v>216.89653999999999</v>
      </c>
      <c r="AS3392" t="s">
        <v>2224</v>
      </c>
      <c r="AT3392" t="s">
        <v>88</v>
      </c>
      <c r="AU3392" t="s">
        <v>110</v>
      </c>
      <c r="AV3392" s="14">
        <v>7600</v>
      </c>
    </row>
    <row r="3393" spans="34:48">
      <c r="AH3393" t="s">
        <v>1933</v>
      </c>
      <c r="AI3393" t="s">
        <v>67</v>
      </c>
      <c r="AJ3393" t="s">
        <v>66</v>
      </c>
      <c r="AK3393" s="3" t="s">
        <v>114</v>
      </c>
      <c r="AL3393" s="3">
        <v>0</v>
      </c>
      <c r="AS3393" t="s">
        <v>2224</v>
      </c>
      <c r="AT3393" t="s">
        <v>88</v>
      </c>
      <c r="AU3393" t="s">
        <v>111</v>
      </c>
      <c r="AV3393" s="14">
        <v>1397.6106</v>
      </c>
    </row>
    <row r="3394" spans="34:48">
      <c r="AH3394" t="s">
        <v>1933</v>
      </c>
      <c r="AI3394" t="s">
        <v>67</v>
      </c>
      <c r="AJ3394" t="s">
        <v>98</v>
      </c>
      <c r="AK3394" s="3" t="s">
        <v>114</v>
      </c>
      <c r="AL3394" s="3">
        <v>0</v>
      </c>
      <c r="AS3394" t="s">
        <v>2224</v>
      </c>
      <c r="AT3394" t="s">
        <v>88</v>
      </c>
      <c r="AU3394" t="s">
        <v>268</v>
      </c>
      <c r="AV3394" s="14">
        <v>7373.6161000000002</v>
      </c>
    </row>
    <row r="3395" spans="34:48">
      <c r="AH3395" t="s">
        <v>1933</v>
      </c>
      <c r="AI3395" t="s">
        <v>67</v>
      </c>
      <c r="AJ3395" t="s">
        <v>66</v>
      </c>
      <c r="AK3395" s="3" t="s">
        <v>115</v>
      </c>
      <c r="AL3395" s="3">
        <v>7122.5</v>
      </c>
      <c r="AS3395" t="s">
        <v>2224</v>
      </c>
      <c r="AT3395" t="s">
        <v>88</v>
      </c>
      <c r="AU3395" t="s">
        <v>269</v>
      </c>
      <c r="AV3395" s="14">
        <v>500</v>
      </c>
    </row>
    <row r="3396" spans="34:48">
      <c r="AH3396" t="s">
        <v>1933</v>
      </c>
      <c r="AI3396" t="s">
        <v>67</v>
      </c>
      <c r="AJ3396" t="s">
        <v>98</v>
      </c>
      <c r="AK3396" s="3" t="s">
        <v>115</v>
      </c>
      <c r="AL3396" s="3">
        <v>-216.89653999999999</v>
      </c>
      <c r="AS3396" t="s">
        <v>2224</v>
      </c>
      <c r="AT3396" t="s">
        <v>88</v>
      </c>
      <c r="AU3396" t="s">
        <v>270</v>
      </c>
      <c r="AV3396" s="14">
        <v>0</v>
      </c>
    </row>
    <row r="3397" spans="34:48">
      <c r="AH3397" t="s">
        <v>1933</v>
      </c>
      <c r="AI3397" t="s">
        <v>68</v>
      </c>
      <c r="AJ3397" t="s">
        <v>66</v>
      </c>
      <c r="AK3397" s="3" t="s">
        <v>27</v>
      </c>
      <c r="AL3397" s="3">
        <v>-15168.5</v>
      </c>
      <c r="AS3397" t="s">
        <v>2225</v>
      </c>
      <c r="AT3397" t="s">
        <v>88</v>
      </c>
      <c r="AU3397" t="s">
        <v>109</v>
      </c>
      <c r="AV3397" s="14">
        <v>11446.383900000001</v>
      </c>
    </row>
    <row r="3398" spans="34:48">
      <c r="AH3398" t="s">
        <v>1933</v>
      </c>
      <c r="AI3398" t="s">
        <v>68</v>
      </c>
      <c r="AJ3398" t="s">
        <v>72</v>
      </c>
      <c r="AK3398" s="3" t="s">
        <v>27</v>
      </c>
      <c r="AL3398" s="3">
        <v>-15668.70111</v>
      </c>
      <c r="AS3398" t="s">
        <v>2225</v>
      </c>
      <c r="AT3398" t="s">
        <v>88</v>
      </c>
      <c r="AU3398" t="s">
        <v>110</v>
      </c>
      <c r="AV3398" s="14">
        <v>7600</v>
      </c>
    </row>
    <row r="3399" spans="34:48">
      <c r="AH3399" t="s">
        <v>1933</v>
      </c>
      <c r="AI3399" t="s">
        <v>68</v>
      </c>
      <c r="AJ3399" t="s">
        <v>113</v>
      </c>
      <c r="AK3399" s="3" t="s">
        <v>27</v>
      </c>
      <c r="AL3399" s="3">
        <v>48.808022602699999</v>
      </c>
      <c r="AS3399" t="s">
        <v>2225</v>
      </c>
      <c r="AT3399" t="s">
        <v>88</v>
      </c>
      <c r="AU3399" t="s">
        <v>111</v>
      </c>
      <c r="AV3399" s="14">
        <v>1397.6106</v>
      </c>
    </row>
    <row r="3400" spans="34:48">
      <c r="AH3400" t="s">
        <v>1933</v>
      </c>
      <c r="AI3400" t="s">
        <v>68</v>
      </c>
      <c r="AJ3400" t="s">
        <v>108</v>
      </c>
      <c r="AK3400" s="3" t="s">
        <v>27</v>
      </c>
      <c r="AL3400" s="3">
        <v>-500.20111000000003</v>
      </c>
      <c r="AS3400" t="s">
        <v>2225</v>
      </c>
      <c r="AT3400" t="s">
        <v>88</v>
      </c>
      <c r="AU3400" t="s">
        <v>268</v>
      </c>
      <c r="AV3400" s="14">
        <v>7573.6161000000002</v>
      </c>
    </row>
    <row r="3401" spans="34:48">
      <c r="AH3401" t="s">
        <v>1933</v>
      </c>
      <c r="AI3401" t="s">
        <v>68</v>
      </c>
      <c r="AJ3401" t="s">
        <v>98</v>
      </c>
      <c r="AK3401" s="3" t="s">
        <v>27</v>
      </c>
      <c r="AL3401" s="3">
        <v>444.39882999999998</v>
      </c>
      <c r="AS3401" t="s">
        <v>2225</v>
      </c>
      <c r="AT3401" t="s">
        <v>88</v>
      </c>
      <c r="AU3401" t="s">
        <v>269</v>
      </c>
      <c r="AV3401" s="14">
        <v>500</v>
      </c>
    </row>
    <row r="3402" spans="34:48">
      <c r="AH3402" t="s">
        <v>1933</v>
      </c>
      <c r="AI3402" t="s">
        <v>68</v>
      </c>
      <c r="AJ3402" t="s">
        <v>66</v>
      </c>
      <c r="AK3402" s="3" t="s">
        <v>114</v>
      </c>
      <c r="AL3402" s="3">
        <v>1311</v>
      </c>
      <c r="AS3402" t="s">
        <v>2225</v>
      </c>
      <c r="AT3402" t="s">
        <v>88</v>
      </c>
      <c r="AU3402" t="s">
        <v>270</v>
      </c>
      <c r="AV3402" s="14">
        <v>0</v>
      </c>
    </row>
    <row r="3403" spans="34:48">
      <c r="AH3403" t="s">
        <v>1933</v>
      </c>
      <c r="AI3403" t="s">
        <v>68</v>
      </c>
      <c r="AJ3403" t="s">
        <v>98</v>
      </c>
      <c r="AK3403" s="3" t="s">
        <v>114</v>
      </c>
      <c r="AL3403" s="3">
        <v>-55.467140000000001</v>
      </c>
      <c r="AS3403" t="s">
        <v>2226</v>
      </c>
      <c r="AT3403" t="s">
        <v>88</v>
      </c>
      <c r="AU3403" t="s">
        <v>109</v>
      </c>
      <c r="AV3403" s="14">
        <v>10296.383900000001</v>
      </c>
    </row>
    <row r="3404" spans="34:48">
      <c r="AH3404" t="s">
        <v>1933</v>
      </c>
      <c r="AI3404" t="s">
        <v>68</v>
      </c>
      <c r="AJ3404" t="s">
        <v>66</v>
      </c>
      <c r="AK3404" s="3" t="s">
        <v>115</v>
      </c>
      <c r="AL3404" s="3">
        <v>16479.5</v>
      </c>
      <c r="AS3404" t="s">
        <v>2226</v>
      </c>
      <c r="AT3404" t="s">
        <v>88</v>
      </c>
      <c r="AU3404" t="s">
        <v>110</v>
      </c>
      <c r="AV3404" s="14">
        <v>7600</v>
      </c>
    </row>
    <row r="3405" spans="34:48">
      <c r="AH3405" t="s">
        <v>1933</v>
      </c>
      <c r="AI3405" t="s">
        <v>68</v>
      </c>
      <c r="AJ3405" t="s">
        <v>98</v>
      </c>
      <c r="AK3405" s="3" t="s">
        <v>115</v>
      </c>
      <c r="AL3405" s="3">
        <v>-499.86597</v>
      </c>
      <c r="AS3405" t="s">
        <v>2226</v>
      </c>
      <c r="AT3405" t="s">
        <v>88</v>
      </c>
      <c r="AU3405" t="s">
        <v>111</v>
      </c>
      <c r="AV3405" s="14">
        <v>1397.6106</v>
      </c>
    </row>
    <row r="3406" spans="34:48">
      <c r="AH3406" t="s">
        <v>1933</v>
      </c>
      <c r="AI3406" t="s">
        <v>65</v>
      </c>
      <c r="AJ3406" t="s">
        <v>66</v>
      </c>
      <c r="AK3406" s="3" t="s">
        <v>27</v>
      </c>
      <c r="AL3406" s="3">
        <v>29493</v>
      </c>
      <c r="AS3406" t="s">
        <v>2226</v>
      </c>
      <c r="AT3406" t="s">
        <v>88</v>
      </c>
      <c r="AU3406" t="s">
        <v>268</v>
      </c>
      <c r="AV3406" s="14">
        <v>7723.6161000000002</v>
      </c>
    </row>
    <row r="3407" spans="34:48">
      <c r="AH3407" t="s">
        <v>1933</v>
      </c>
      <c r="AI3407" t="s">
        <v>65</v>
      </c>
      <c r="AJ3407" t="s">
        <v>72</v>
      </c>
      <c r="AK3407" s="3" t="s">
        <v>27</v>
      </c>
      <c r="AL3407" s="3">
        <v>30831.546395000001</v>
      </c>
      <c r="AS3407" t="s">
        <v>2226</v>
      </c>
      <c r="AT3407" t="s">
        <v>88</v>
      </c>
      <c r="AU3407" t="s">
        <v>269</v>
      </c>
      <c r="AV3407" s="14">
        <v>500</v>
      </c>
    </row>
    <row r="3408" spans="34:48">
      <c r="AH3408" t="s">
        <v>1933</v>
      </c>
      <c r="AI3408" t="s">
        <v>65</v>
      </c>
      <c r="AJ3408" t="s">
        <v>113</v>
      </c>
      <c r="AK3408" s="3" t="s">
        <v>27</v>
      </c>
      <c r="AL3408" s="3">
        <v>2435.1179418185998</v>
      </c>
      <c r="AS3408" t="s">
        <v>2226</v>
      </c>
      <c r="AT3408" t="s">
        <v>88</v>
      </c>
      <c r="AU3408" t="s">
        <v>270</v>
      </c>
      <c r="AV3408" s="14">
        <v>0</v>
      </c>
    </row>
    <row r="3409" spans="34:48">
      <c r="AH3409" t="s">
        <v>1933</v>
      </c>
      <c r="AI3409" t="s">
        <v>65</v>
      </c>
      <c r="AJ3409" t="s">
        <v>108</v>
      </c>
      <c r="AK3409" s="3" t="s">
        <v>27</v>
      </c>
      <c r="AL3409" s="3">
        <v>-1096.5715468185999</v>
      </c>
      <c r="AS3409" t="s">
        <v>2227</v>
      </c>
      <c r="AT3409" t="s">
        <v>88</v>
      </c>
      <c r="AU3409" t="s">
        <v>109</v>
      </c>
      <c r="AV3409" s="14">
        <v>10996.383900000001</v>
      </c>
    </row>
    <row r="3410" spans="34:48">
      <c r="AH3410" t="s">
        <v>1934</v>
      </c>
      <c r="AI3410" t="s">
        <v>65</v>
      </c>
      <c r="AJ3410" t="s">
        <v>66</v>
      </c>
      <c r="AK3410" s="3" t="s">
        <v>27</v>
      </c>
      <c r="AL3410" s="3">
        <v>30737</v>
      </c>
      <c r="AS3410" t="s">
        <v>2227</v>
      </c>
      <c r="AT3410" t="s">
        <v>88</v>
      </c>
      <c r="AU3410" t="s">
        <v>110</v>
      </c>
      <c r="AV3410" s="14">
        <v>7600</v>
      </c>
    </row>
    <row r="3411" spans="34:48">
      <c r="AH3411" t="s">
        <v>1934</v>
      </c>
      <c r="AI3411" t="s">
        <v>65</v>
      </c>
      <c r="AJ3411" t="s">
        <v>72</v>
      </c>
      <c r="AK3411" s="3" t="s">
        <v>27</v>
      </c>
      <c r="AL3411" s="3">
        <v>32319.167819999999</v>
      </c>
      <c r="AS3411" t="s">
        <v>2227</v>
      </c>
      <c r="AT3411" t="s">
        <v>88</v>
      </c>
      <c r="AU3411" t="s">
        <v>111</v>
      </c>
      <c r="AV3411" s="14">
        <v>1397.6106</v>
      </c>
    </row>
    <row r="3412" spans="34:48">
      <c r="AH3412" t="s">
        <v>1934</v>
      </c>
      <c r="AI3412" t="s">
        <v>65</v>
      </c>
      <c r="AJ3412" t="s">
        <v>113</v>
      </c>
      <c r="AK3412" s="3" t="s">
        <v>27</v>
      </c>
      <c r="AL3412" s="3">
        <v>2678.903163466</v>
      </c>
      <c r="AS3412" t="s">
        <v>2227</v>
      </c>
      <c r="AT3412" t="s">
        <v>88</v>
      </c>
      <c r="AU3412" t="s">
        <v>268</v>
      </c>
      <c r="AV3412" s="14">
        <v>7223.6161000000002</v>
      </c>
    </row>
    <row r="3413" spans="34:48">
      <c r="AH3413" t="s">
        <v>1934</v>
      </c>
      <c r="AI3413" t="s">
        <v>65</v>
      </c>
      <c r="AJ3413" t="s">
        <v>108</v>
      </c>
      <c r="AK3413" s="3" t="s">
        <v>27</v>
      </c>
      <c r="AL3413" s="3">
        <v>-1096.7353434659999</v>
      </c>
      <c r="AS3413" t="s">
        <v>2227</v>
      </c>
      <c r="AT3413" t="s">
        <v>88</v>
      </c>
      <c r="AU3413" t="s">
        <v>269</v>
      </c>
      <c r="AV3413" s="14">
        <v>500</v>
      </c>
    </row>
    <row r="3414" spans="34:48">
      <c r="AH3414" t="s">
        <v>1934</v>
      </c>
      <c r="AI3414" t="s">
        <v>65</v>
      </c>
      <c r="AJ3414" t="s">
        <v>98</v>
      </c>
      <c r="AK3414" s="3" t="s">
        <v>27</v>
      </c>
      <c r="AL3414" s="3">
        <v>-1169.5255749999999</v>
      </c>
      <c r="AS3414" t="s">
        <v>2227</v>
      </c>
      <c r="AT3414" t="s">
        <v>88</v>
      </c>
      <c r="AU3414" t="s">
        <v>270</v>
      </c>
      <c r="AV3414" s="14">
        <v>0</v>
      </c>
    </row>
    <row r="3415" spans="34:48">
      <c r="AH3415" t="s">
        <v>1934</v>
      </c>
      <c r="AI3415" t="s">
        <v>67</v>
      </c>
      <c r="AJ3415" t="s">
        <v>66</v>
      </c>
      <c r="AK3415" s="3" t="s">
        <v>27</v>
      </c>
      <c r="AL3415" s="3">
        <v>-7849.5</v>
      </c>
      <c r="AS3415" t="s">
        <v>2228</v>
      </c>
      <c r="AT3415" t="s">
        <v>88</v>
      </c>
      <c r="AU3415" t="s">
        <v>109</v>
      </c>
      <c r="AV3415" s="14">
        <v>10596.383900000001</v>
      </c>
    </row>
    <row r="3416" spans="34:48">
      <c r="AH3416" t="s">
        <v>1934</v>
      </c>
      <c r="AI3416" t="s">
        <v>67</v>
      </c>
      <c r="AJ3416" t="s">
        <v>72</v>
      </c>
      <c r="AK3416" s="3" t="s">
        <v>27</v>
      </c>
      <c r="AL3416" s="3">
        <v>-9288.4322150000007</v>
      </c>
      <c r="AS3416" t="s">
        <v>2228</v>
      </c>
      <c r="AT3416" t="s">
        <v>88</v>
      </c>
      <c r="AU3416" t="s">
        <v>110</v>
      </c>
      <c r="AV3416" s="14">
        <v>7600</v>
      </c>
    </row>
    <row r="3417" spans="34:48">
      <c r="AH3417" t="s">
        <v>1934</v>
      </c>
      <c r="AI3417" t="s">
        <v>67</v>
      </c>
      <c r="AJ3417" t="s">
        <v>113</v>
      </c>
      <c r="AK3417" s="3" t="s">
        <v>27</v>
      </c>
      <c r="AL3417" s="3">
        <v>15.5408091781</v>
      </c>
      <c r="AS3417" t="s">
        <v>2228</v>
      </c>
      <c r="AT3417" t="s">
        <v>88</v>
      </c>
      <c r="AU3417" t="s">
        <v>111</v>
      </c>
      <c r="AV3417" s="14">
        <v>1397.6106</v>
      </c>
    </row>
    <row r="3418" spans="34:48">
      <c r="AH3418" t="s">
        <v>1934</v>
      </c>
      <c r="AI3418" t="s">
        <v>67</v>
      </c>
      <c r="AJ3418" t="s">
        <v>108</v>
      </c>
      <c r="AK3418" s="3" t="s">
        <v>27</v>
      </c>
      <c r="AL3418" s="3">
        <v>-1454.4730241781001</v>
      </c>
      <c r="AS3418" t="s">
        <v>2228</v>
      </c>
      <c r="AT3418" t="s">
        <v>88</v>
      </c>
      <c r="AU3418" t="s">
        <v>268</v>
      </c>
      <c r="AV3418" s="14">
        <v>7623.6161000000002</v>
      </c>
    </row>
    <row r="3419" spans="34:48">
      <c r="AH3419" t="s">
        <v>1934</v>
      </c>
      <c r="AI3419" t="s">
        <v>67</v>
      </c>
      <c r="AJ3419" t="s">
        <v>98</v>
      </c>
      <c r="AK3419" s="3" t="s">
        <v>27</v>
      </c>
      <c r="AL3419" s="3">
        <v>225.71413999999999</v>
      </c>
      <c r="AS3419" t="s">
        <v>2228</v>
      </c>
      <c r="AT3419" t="s">
        <v>88</v>
      </c>
      <c r="AU3419" t="s">
        <v>269</v>
      </c>
      <c r="AV3419" s="14">
        <v>500</v>
      </c>
    </row>
    <row r="3420" spans="34:48">
      <c r="AH3420" t="s">
        <v>1934</v>
      </c>
      <c r="AI3420" t="s">
        <v>67</v>
      </c>
      <c r="AJ3420" t="s">
        <v>66</v>
      </c>
      <c r="AK3420" s="3" t="s">
        <v>114</v>
      </c>
      <c r="AL3420" s="3">
        <v>306</v>
      </c>
      <c r="AS3420" t="s">
        <v>2228</v>
      </c>
      <c r="AT3420" t="s">
        <v>88</v>
      </c>
      <c r="AU3420" t="s">
        <v>270</v>
      </c>
      <c r="AV3420" s="14">
        <v>0</v>
      </c>
    </row>
    <row r="3421" spans="34:48">
      <c r="AH3421" t="s">
        <v>1934</v>
      </c>
      <c r="AI3421" t="s">
        <v>67</v>
      </c>
      <c r="AJ3421" t="s">
        <v>98</v>
      </c>
      <c r="AK3421" s="3" t="s">
        <v>114</v>
      </c>
      <c r="AL3421" s="3">
        <v>-13.28396</v>
      </c>
      <c r="AS3421" t="s">
        <v>2229</v>
      </c>
      <c r="AT3421" t="s">
        <v>88</v>
      </c>
      <c r="AU3421" t="s">
        <v>109</v>
      </c>
      <c r="AV3421" s="14">
        <v>10596.383900000001</v>
      </c>
    </row>
    <row r="3422" spans="34:48">
      <c r="AH3422" t="s">
        <v>1934</v>
      </c>
      <c r="AI3422" t="s">
        <v>67</v>
      </c>
      <c r="AJ3422" t="s">
        <v>66</v>
      </c>
      <c r="AK3422" s="3" t="s">
        <v>115</v>
      </c>
      <c r="AL3422" s="3">
        <v>8155.5</v>
      </c>
      <c r="AS3422" t="s">
        <v>2229</v>
      </c>
      <c r="AT3422" t="s">
        <v>88</v>
      </c>
      <c r="AU3422" t="s">
        <v>110</v>
      </c>
      <c r="AV3422" s="14">
        <v>6900</v>
      </c>
    </row>
    <row r="3423" spans="34:48">
      <c r="AH3423" t="s">
        <v>1934</v>
      </c>
      <c r="AI3423" t="s">
        <v>67</v>
      </c>
      <c r="AJ3423" t="s">
        <v>98</v>
      </c>
      <c r="AK3423" s="3" t="s">
        <v>115</v>
      </c>
      <c r="AL3423" s="3">
        <v>-238.99809999999999</v>
      </c>
      <c r="AS3423" t="s">
        <v>2229</v>
      </c>
      <c r="AT3423" t="s">
        <v>88</v>
      </c>
      <c r="AU3423" t="s">
        <v>111</v>
      </c>
      <c r="AV3423" s="14">
        <v>1397.6106</v>
      </c>
    </row>
    <row r="3424" spans="34:48">
      <c r="AH3424" t="s">
        <v>1934</v>
      </c>
      <c r="AI3424" t="s">
        <v>68</v>
      </c>
      <c r="AJ3424" t="s">
        <v>66</v>
      </c>
      <c r="AK3424" s="3" t="s">
        <v>27</v>
      </c>
      <c r="AL3424" s="3">
        <v>-15735.5</v>
      </c>
      <c r="AS3424" t="s">
        <v>2229</v>
      </c>
      <c r="AT3424" t="s">
        <v>88</v>
      </c>
      <c r="AU3424" t="s">
        <v>268</v>
      </c>
      <c r="AV3424" s="14">
        <v>9623.6160999999993</v>
      </c>
    </row>
    <row r="3425" spans="34:48">
      <c r="AH3425" t="s">
        <v>1934</v>
      </c>
      <c r="AI3425" t="s">
        <v>68</v>
      </c>
      <c r="AJ3425" t="s">
        <v>72</v>
      </c>
      <c r="AK3425" s="3" t="s">
        <v>27</v>
      </c>
      <c r="AL3425" s="3">
        <v>-16222.337205</v>
      </c>
      <c r="AS3425" t="s">
        <v>2229</v>
      </c>
      <c r="AT3425" t="s">
        <v>88</v>
      </c>
      <c r="AU3425" t="s">
        <v>269</v>
      </c>
      <c r="AV3425" s="14">
        <v>1200</v>
      </c>
    </row>
    <row r="3426" spans="34:48">
      <c r="AH3426" t="s">
        <v>1934</v>
      </c>
      <c r="AI3426" t="s">
        <v>68</v>
      </c>
      <c r="AJ3426" t="s">
        <v>113</v>
      </c>
      <c r="AK3426" s="3" t="s">
        <v>27</v>
      </c>
      <c r="AL3426" s="3">
        <v>17.507223424700001</v>
      </c>
      <c r="AS3426" t="s">
        <v>2229</v>
      </c>
      <c r="AT3426" t="s">
        <v>88</v>
      </c>
      <c r="AU3426" t="s">
        <v>270</v>
      </c>
      <c r="AV3426" s="14">
        <v>0</v>
      </c>
    </row>
    <row r="3427" spans="34:48">
      <c r="AH3427" t="s">
        <v>1934</v>
      </c>
      <c r="AI3427" t="s">
        <v>68</v>
      </c>
      <c r="AJ3427" t="s">
        <v>108</v>
      </c>
      <c r="AK3427" s="3" t="s">
        <v>27</v>
      </c>
      <c r="AL3427" s="3">
        <v>-486.83720499999998</v>
      </c>
      <c r="AS3427" t="s">
        <v>2230</v>
      </c>
      <c r="AT3427" t="s">
        <v>88</v>
      </c>
      <c r="AU3427" t="s">
        <v>109</v>
      </c>
      <c r="AV3427" s="14">
        <v>11196.383900000001</v>
      </c>
    </row>
    <row r="3428" spans="34:48">
      <c r="AH3428" t="s">
        <v>1934</v>
      </c>
      <c r="AI3428" t="s">
        <v>68</v>
      </c>
      <c r="AJ3428" t="s">
        <v>98</v>
      </c>
      <c r="AK3428" s="3" t="s">
        <v>27</v>
      </c>
      <c r="AL3428" s="3">
        <v>455.18462499999998</v>
      </c>
      <c r="AS3428" t="s">
        <v>2230</v>
      </c>
      <c r="AT3428" t="s">
        <v>88</v>
      </c>
      <c r="AU3428" t="s">
        <v>110</v>
      </c>
      <c r="AV3428" s="14">
        <v>6900</v>
      </c>
    </row>
    <row r="3429" spans="34:48">
      <c r="AH3429" t="s">
        <v>1934</v>
      </c>
      <c r="AI3429" t="s">
        <v>68</v>
      </c>
      <c r="AJ3429" t="s">
        <v>66</v>
      </c>
      <c r="AK3429" s="3" t="s">
        <v>114</v>
      </c>
      <c r="AL3429" s="3">
        <v>517</v>
      </c>
      <c r="AS3429" t="s">
        <v>2230</v>
      </c>
      <c r="AT3429" t="s">
        <v>88</v>
      </c>
      <c r="AU3429" t="s">
        <v>111</v>
      </c>
      <c r="AV3429" s="14">
        <v>1397.6106</v>
      </c>
    </row>
    <row r="3430" spans="34:48">
      <c r="AH3430" t="s">
        <v>1934</v>
      </c>
      <c r="AI3430" t="s">
        <v>68</v>
      </c>
      <c r="AJ3430" t="s">
        <v>98</v>
      </c>
      <c r="AK3430" s="3" t="s">
        <v>114</v>
      </c>
      <c r="AL3430" s="3">
        <v>-33.289070000000002</v>
      </c>
      <c r="AS3430" t="s">
        <v>2230</v>
      </c>
      <c r="AT3430" t="s">
        <v>88</v>
      </c>
      <c r="AU3430" t="s">
        <v>268</v>
      </c>
      <c r="AV3430" s="14">
        <v>8823.6160999999993</v>
      </c>
    </row>
    <row r="3431" spans="34:48">
      <c r="AH3431" t="s">
        <v>1934</v>
      </c>
      <c r="AI3431" t="s">
        <v>68</v>
      </c>
      <c r="AJ3431" t="s">
        <v>66</v>
      </c>
      <c r="AK3431" s="3" t="s">
        <v>115</v>
      </c>
      <c r="AL3431" s="3">
        <v>16252.5</v>
      </c>
      <c r="AS3431" t="s">
        <v>2230</v>
      </c>
      <c r="AT3431" t="s">
        <v>88</v>
      </c>
      <c r="AU3431" t="s">
        <v>269</v>
      </c>
      <c r="AV3431" s="14">
        <v>500</v>
      </c>
    </row>
    <row r="3432" spans="34:48">
      <c r="AH3432" t="s">
        <v>1934</v>
      </c>
      <c r="AI3432" t="s">
        <v>68</v>
      </c>
      <c r="AJ3432" t="s">
        <v>98</v>
      </c>
      <c r="AK3432" s="3" t="s">
        <v>115</v>
      </c>
      <c r="AL3432" s="3">
        <v>-488.47369500000002</v>
      </c>
      <c r="AS3432" t="s">
        <v>2230</v>
      </c>
      <c r="AT3432" t="s">
        <v>88</v>
      </c>
      <c r="AU3432" t="s">
        <v>270</v>
      </c>
      <c r="AV3432" s="14">
        <v>0</v>
      </c>
    </row>
    <row r="3433" spans="34:48">
      <c r="AH3433" t="s">
        <v>1935</v>
      </c>
      <c r="AI3433" t="s">
        <v>65</v>
      </c>
      <c r="AJ3433" t="s">
        <v>66</v>
      </c>
      <c r="AK3433" s="3" t="s">
        <v>27</v>
      </c>
      <c r="AL3433" s="3">
        <v>30579</v>
      </c>
      <c r="AS3433" t="s">
        <v>2231</v>
      </c>
      <c r="AT3433" t="s">
        <v>88</v>
      </c>
      <c r="AU3433" t="s">
        <v>109</v>
      </c>
      <c r="AV3433" s="14">
        <v>11196.383900000001</v>
      </c>
    </row>
    <row r="3434" spans="34:48">
      <c r="AH3434" t="s">
        <v>1935</v>
      </c>
      <c r="AI3434" t="s">
        <v>65</v>
      </c>
      <c r="AJ3434" t="s">
        <v>72</v>
      </c>
      <c r="AK3434" s="3" t="s">
        <v>27</v>
      </c>
      <c r="AL3434" s="3">
        <v>32031.810995</v>
      </c>
      <c r="AS3434" t="s">
        <v>2231</v>
      </c>
      <c r="AT3434" t="s">
        <v>88</v>
      </c>
      <c r="AU3434" t="s">
        <v>110</v>
      </c>
      <c r="AV3434" s="14">
        <v>6900</v>
      </c>
    </row>
    <row r="3435" spans="34:48">
      <c r="AH3435" t="s">
        <v>1935</v>
      </c>
      <c r="AI3435" t="s">
        <v>65</v>
      </c>
      <c r="AJ3435" t="s">
        <v>113</v>
      </c>
      <c r="AK3435" s="3" t="s">
        <v>27</v>
      </c>
      <c r="AL3435" s="3">
        <v>2466.9100585522001</v>
      </c>
      <c r="AS3435" t="s">
        <v>2231</v>
      </c>
      <c r="AT3435" t="s">
        <v>88</v>
      </c>
      <c r="AU3435" t="s">
        <v>111</v>
      </c>
      <c r="AV3435" s="14">
        <v>1397.6106</v>
      </c>
    </row>
    <row r="3436" spans="34:48">
      <c r="AH3436" t="s">
        <v>1935</v>
      </c>
      <c r="AI3436" t="s">
        <v>65</v>
      </c>
      <c r="AJ3436" t="s">
        <v>108</v>
      </c>
      <c r="AK3436" s="3" t="s">
        <v>27</v>
      </c>
      <c r="AL3436" s="3">
        <v>-1014.0990635522001</v>
      </c>
      <c r="AS3436" t="s">
        <v>2231</v>
      </c>
      <c r="AT3436" t="s">
        <v>88</v>
      </c>
      <c r="AU3436" t="s">
        <v>268</v>
      </c>
      <c r="AV3436" s="14">
        <v>9623.6160999999993</v>
      </c>
    </row>
    <row r="3437" spans="34:48">
      <c r="AH3437" t="s">
        <v>1935</v>
      </c>
      <c r="AI3437" t="s">
        <v>65</v>
      </c>
      <c r="AJ3437" t="s">
        <v>98</v>
      </c>
      <c r="AK3437" s="3" t="s">
        <v>27</v>
      </c>
      <c r="AL3437" s="3">
        <v>-1086.2872199999999</v>
      </c>
      <c r="AS3437" t="s">
        <v>2231</v>
      </c>
      <c r="AT3437" t="s">
        <v>88</v>
      </c>
      <c r="AU3437" t="s">
        <v>269</v>
      </c>
      <c r="AV3437" s="14">
        <v>500</v>
      </c>
    </row>
    <row r="3438" spans="34:48">
      <c r="AH3438" t="s">
        <v>1935</v>
      </c>
      <c r="AI3438" t="s">
        <v>67</v>
      </c>
      <c r="AJ3438" t="s">
        <v>66</v>
      </c>
      <c r="AK3438" s="3" t="s">
        <v>27</v>
      </c>
      <c r="AL3438" s="3">
        <v>-7997.5</v>
      </c>
      <c r="AS3438" t="s">
        <v>2231</v>
      </c>
      <c r="AT3438" t="s">
        <v>88</v>
      </c>
      <c r="AU3438" t="s">
        <v>270</v>
      </c>
      <c r="AV3438" s="14">
        <v>0</v>
      </c>
    </row>
    <row r="3439" spans="34:48">
      <c r="AH3439" t="s">
        <v>1935</v>
      </c>
      <c r="AI3439" t="s">
        <v>67</v>
      </c>
      <c r="AJ3439" t="s">
        <v>72</v>
      </c>
      <c r="AK3439" s="3" t="s">
        <v>27</v>
      </c>
      <c r="AL3439" s="3">
        <v>-9249.5791200000003</v>
      </c>
      <c r="AS3439" t="s">
        <v>2232</v>
      </c>
      <c r="AT3439" t="s">
        <v>88</v>
      </c>
      <c r="AU3439" t="s">
        <v>109</v>
      </c>
      <c r="AV3439" s="14">
        <v>12126.383900000001</v>
      </c>
    </row>
    <row r="3440" spans="34:48">
      <c r="AH3440" t="s">
        <v>1935</v>
      </c>
      <c r="AI3440" t="s">
        <v>67</v>
      </c>
      <c r="AJ3440" t="s">
        <v>113</v>
      </c>
      <c r="AK3440" s="3" t="s">
        <v>27</v>
      </c>
      <c r="AL3440" s="3">
        <v>221.7258120548</v>
      </c>
      <c r="AS3440" t="s">
        <v>2232</v>
      </c>
      <c r="AT3440" t="s">
        <v>88</v>
      </c>
      <c r="AU3440" t="s">
        <v>110</v>
      </c>
      <c r="AV3440" s="14">
        <v>6900</v>
      </c>
    </row>
    <row r="3441" spans="34:48">
      <c r="AH3441" t="s">
        <v>1935</v>
      </c>
      <c r="AI3441" t="s">
        <v>67</v>
      </c>
      <c r="AJ3441" t="s">
        <v>108</v>
      </c>
      <c r="AK3441" s="3" t="s">
        <v>27</v>
      </c>
      <c r="AL3441" s="3">
        <v>-1473.8049320548</v>
      </c>
      <c r="AS3441" t="s">
        <v>2232</v>
      </c>
      <c r="AT3441" t="s">
        <v>88</v>
      </c>
      <c r="AU3441" t="s">
        <v>111</v>
      </c>
      <c r="AV3441" s="14">
        <v>1397.6106</v>
      </c>
    </row>
    <row r="3442" spans="34:48">
      <c r="AH3442" t="s">
        <v>1935</v>
      </c>
      <c r="AI3442" t="s">
        <v>67</v>
      </c>
      <c r="AJ3442" t="s">
        <v>98</v>
      </c>
      <c r="AK3442" s="3" t="s">
        <v>27</v>
      </c>
      <c r="AL3442" s="3">
        <v>215.513025</v>
      </c>
      <c r="AS3442" t="s">
        <v>2232</v>
      </c>
      <c r="AT3442" t="s">
        <v>88</v>
      </c>
      <c r="AU3442" t="s">
        <v>268</v>
      </c>
      <c r="AV3442" s="14">
        <v>11643.616099999999</v>
      </c>
    </row>
    <row r="3443" spans="34:48">
      <c r="AH3443" t="s">
        <v>1935</v>
      </c>
      <c r="AI3443" t="s">
        <v>67</v>
      </c>
      <c r="AJ3443" t="s">
        <v>66</v>
      </c>
      <c r="AK3443" s="3" t="s">
        <v>114</v>
      </c>
      <c r="AL3443" s="3">
        <v>714</v>
      </c>
      <c r="AS3443" t="s">
        <v>2232</v>
      </c>
      <c r="AT3443" t="s">
        <v>88</v>
      </c>
      <c r="AU3443" t="s">
        <v>269</v>
      </c>
      <c r="AV3443" s="14">
        <v>500</v>
      </c>
    </row>
    <row r="3444" spans="34:48">
      <c r="AH3444" t="s">
        <v>1935</v>
      </c>
      <c r="AI3444" t="s">
        <v>67</v>
      </c>
      <c r="AJ3444" t="s">
        <v>98</v>
      </c>
      <c r="AK3444" s="3" t="s">
        <v>114</v>
      </c>
      <c r="AL3444" s="3">
        <v>-22.426279999999998</v>
      </c>
      <c r="AS3444" t="s">
        <v>2232</v>
      </c>
      <c r="AT3444" t="s">
        <v>88</v>
      </c>
      <c r="AU3444" t="s">
        <v>270</v>
      </c>
      <c r="AV3444" s="14">
        <v>0</v>
      </c>
    </row>
    <row r="3445" spans="34:48">
      <c r="AH3445" t="s">
        <v>1935</v>
      </c>
      <c r="AI3445" t="s">
        <v>67</v>
      </c>
      <c r="AJ3445" t="s">
        <v>66</v>
      </c>
      <c r="AK3445" s="3" t="s">
        <v>115</v>
      </c>
      <c r="AL3445" s="3">
        <v>8711.5</v>
      </c>
      <c r="AS3445" t="s">
        <v>2233</v>
      </c>
      <c r="AT3445" t="s">
        <v>88</v>
      </c>
      <c r="AU3445" t="s">
        <v>109</v>
      </c>
      <c r="AV3445" s="14">
        <v>11626.383900000001</v>
      </c>
    </row>
    <row r="3446" spans="34:48">
      <c r="AH3446" t="s">
        <v>1935</v>
      </c>
      <c r="AI3446" t="s">
        <v>67</v>
      </c>
      <c r="AJ3446" t="s">
        <v>98</v>
      </c>
      <c r="AK3446" s="3" t="s">
        <v>115</v>
      </c>
      <c r="AL3446" s="3">
        <v>-237.93930499999999</v>
      </c>
      <c r="AS3446" t="s">
        <v>2233</v>
      </c>
      <c r="AT3446" t="s">
        <v>88</v>
      </c>
      <c r="AU3446" t="s">
        <v>110</v>
      </c>
      <c r="AV3446" s="14">
        <v>6900</v>
      </c>
    </row>
    <row r="3447" spans="34:48">
      <c r="AH3447" t="s">
        <v>1935</v>
      </c>
      <c r="AI3447" t="s">
        <v>68</v>
      </c>
      <c r="AJ3447" t="s">
        <v>66</v>
      </c>
      <c r="AK3447" s="3" t="s">
        <v>27</v>
      </c>
      <c r="AL3447" s="3">
        <v>-15279.5</v>
      </c>
      <c r="AS3447" t="s">
        <v>2233</v>
      </c>
      <c r="AT3447" t="s">
        <v>88</v>
      </c>
      <c r="AU3447" t="s">
        <v>111</v>
      </c>
      <c r="AV3447" s="14">
        <v>1397.6106</v>
      </c>
    </row>
    <row r="3448" spans="34:48">
      <c r="AH3448" t="s">
        <v>1935</v>
      </c>
      <c r="AI3448" t="s">
        <v>68</v>
      </c>
      <c r="AJ3448" t="s">
        <v>72</v>
      </c>
      <c r="AK3448" s="3" t="s">
        <v>27</v>
      </c>
      <c r="AL3448" s="3">
        <v>-15837.517335</v>
      </c>
      <c r="AS3448" t="s">
        <v>2233</v>
      </c>
      <c r="AT3448" t="s">
        <v>88</v>
      </c>
      <c r="AU3448" t="s">
        <v>268</v>
      </c>
      <c r="AV3448" s="14">
        <v>12643.616099999999</v>
      </c>
    </row>
    <row r="3449" spans="34:48">
      <c r="AH3449" t="s">
        <v>1935</v>
      </c>
      <c r="AI3449" t="s">
        <v>68</v>
      </c>
      <c r="AJ3449" t="s">
        <v>113</v>
      </c>
      <c r="AK3449" s="3" t="s">
        <v>27</v>
      </c>
      <c r="AL3449" s="3">
        <v>33.048155890399997</v>
      </c>
      <c r="AS3449" t="s">
        <v>2233</v>
      </c>
      <c r="AT3449" t="s">
        <v>88</v>
      </c>
      <c r="AU3449" t="s">
        <v>269</v>
      </c>
      <c r="AV3449" s="14">
        <v>500</v>
      </c>
    </row>
    <row r="3450" spans="34:48">
      <c r="AH3450" t="s">
        <v>1935</v>
      </c>
      <c r="AI3450" t="s">
        <v>68</v>
      </c>
      <c r="AJ3450" t="s">
        <v>108</v>
      </c>
      <c r="AK3450" s="3" t="s">
        <v>27</v>
      </c>
      <c r="AL3450" s="3">
        <v>-558.017335</v>
      </c>
      <c r="AS3450" t="s">
        <v>2233</v>
      </c>
      <c r="AT3450" t="s">
        <v>88</v>
      </c>
      <c r="AU3450" t="s">
        <v>270</v>
      </c>
      <c r="AV3450" s="14">
        <v>0</v>
      </c>
    </row>
    <row r="3451" spans="34:48">
      <c r="AH3451" t="s">
        <v>1935</v>
      </c>
      <c r="AI3451" t="s">
        <v>68</v>
      </c>
      <c r="AJ3451" t="s">
        <v>98</v>
      </c>
      <c r="AK3451" s="3" t="s">
        <v>27</v>
      </c>
      <c r="AL3451" s="3">
        <v>376.73952500000001</v>
      </c>
      <c r="AS3451" t="s">
        <v>2234</v>
      </c>
      <c r="AT3451" t="s">
        <v>88</v>
      </c>
      <c r="AU3451" t="s">
        <v>109</v>
      </c>
      <c r="AV3451" s="14">
        <v>13776.383900000001</v>
      </c>
    </row>
    <row r="3452" spans="34:48">
      <c r="AH3452" t="s">
        <v>1935</v>
      </c>
      <c r="AI3452" t="s">
        <v>68</v>
      </c>
      <c r="AJ3452" t="s">
        <v>66</v>
      </c>
      <c r="AK3452" s="3" t="s">
        <v>114</v>
      </c>
      <c r="AL3452" s="3">
        <v>673</v>
      </c>
      <c r="AS3452" t="s">
        <v>2234</v>
      </c>
      <c r="AT3452" t="s">
        <v>88</v>
      </c>
      <c r="AU3452" t="s">
        <v>110</v>
      </c>
      <c r="AV3452" s="14">
        <v>6900</v>
      </c>
    </row>
    <row r="3453" spans="34:48">
      <c r="AH3453" t="s">
        <v>1935</v>
      </c>
      <c r="AI3453" t="s">
        <v>68</v>
      </c>
      <c r="AJ3453" t="s">
        <v>98</v>
      </c>
      <c r="AK3453" s="3" t="s">
        <v>114</v>
      </c>
      <c r="AL3453" s="3">
        <v>-36.814450000000001</v>
      </c>
      <c r="AS3453" t="s">
        <v>2234</v>
      </c>
      <c r="AT3453" t="s">
        <v>88</v>
      </c>
      <c r="AU3453" t="s">
        <v>111</v>
      </c>
      <c r="AV3453" s="14">
        <v>1397.6106</v>
      </c>
    </row>
    <row r="3454" spans="34:48">
      <c r="AH3454" t="s">
        <v>1935</v>
      </c>
      <c r="AI3454" t="s">
        <v>68</v>
      </c>
      <c r="AJ3454" t="s">
        <v>66</v>
      </c>
      <c r="AK3454" s="3" t="s">
        <v>115</v>
      </c>
      <c r="AL3454" s="3">
        <v>15952.5</v>
      </c>
      <c r="AS3454" t="s">
        <v>2234</v>
      </c>
      <c r="AT3454" t="s">
        <v>88</v>
      </c>
      <c r="AU3454" t="s">
        <v>268</v>
      </c>
      <c r="AV3454" s="14">
        <v>10493.616099999999</v>
      </c>
    </row>
    <row r="3455" spans="34:48">
      <c r="AH3455" t="s">
        <v>1935</v>
      </c>
      <c r="AI3455" t="s">
        <v>68</v>
      </c>
      <c r="AJ3455" t="s">
        <v>98</v>
      </c>
      <c r="AK3455" s="3" t="s">
        <v>115</v>
      </c>
      <c r="AL3455" s="3">
        <v>-413.55397499999998</v>
      </c>
      <c r="AS3455" t="s">
        <v>2234</v>
      </c>
      <c r="AT3455" t="s">
        <v>88</v>
      </c>
      <c r="AU3455" t="s">
        <v>269</v>
      </c>
      <c r="AV3455" s="14">
        <v>500</v>
      </c>
    </row>
    <row r="3456" spans="34:48">
      <c r="AH3456" t="s">
        <v>1936</v>
      </c>
      <c r="AI3456" t="s">
        <v>68</v>
      </c>
      <c r="AJ3456" t="s">
        <v>108</v>
      </c>
      <c r="AK3456" s="3" t="s">
        <v>27</v>
      </c>
      <c r="AL3456" s="3">
        <v>-395.33312999999998</v>
      </c>
      <c r="AS3456" t="s">
        <v>2234</v>
      </c>
      <c r="AT3456" t="s">
        <v>88</v>
      </c>
      <c r="AU3456" t="s">
        <v>270</v>
      </c>
      <c r="AV3456" s="14">
        <v>0</v>
      </c>
    </row>
    <row r="3457" spans="34:48">
      <c r="AH3457" t="s">
        <v>1936</v>
      </c>
      <c r="AI3457" t="s">
        <v>68</v>
      </c>
      <c r="AJ3457" t="s">
        <v>98</v>
      </c>
      <c r="AK3457" s="3" t="s">
        <v>27</v>
      </c>
      <c r="AL3457" s="3">
        <v>348.06130000000002</v>
      </c>
      <c r="AS3457" t="s">
        <v>2235</v>
      </c>
      <c r="AT3457" t="s">
        <v>88</v>
      </c>
      <c r="AU3457" t="s">
        <v>109</v>
      </c>
      <c r="AV3457" s="14">
        <v>14076.383900000001</v>
      </c>
    </row>
    <row r="3458" spans="34:48">
      <c r="AH3458" t="s">
        <v>1936</v>
      </c>
      <c r="AI3458" t="s">
        <v>68</v>
      </c>
      <c r="AJ3458" t="s">
        <v>66</v>
      </c>
      <c r="AK3458" s="3" t="s">
        <v>114</v>
      </c>
      <c r="AL3458" s="3">
        <v>1220</v>
      </c>
      <c r="AS3458" t="s">
        <v>2235</v>
      </c>
      <c r="AT3458" t="s">
        <v>88</v>
      </c>
      <c r="AU3458" t="s">
        <v>110</v>
      </c>
      <c r="AV3458" s="14">
        <v>6900</v>
      </c>
    </row>
    <row r="3459" spans="34:48">
      <c r="AH3459" t="s">
        <v>1936</v>
      </c>
      <c r="AI3459" t="s">
        <v>68</v>
      </c>
      <c r="AJ3459" t="s">
        <v>98</v>
      </c>
      <c r="AK3459" s="3" t="s">
        <v>114</v>
      </c>
      <c r="AL3459" s="3">
        <v>-46.356450000000002</v>
      </c>
      <c r="AS3459" t="s">
        <v>2235</v>
      </c>
      <c r="AT3459" t="s">
        <v>88</v>
      </c>
      <c r="AU3459" t="s">
        <v>111</v>
      </c>
      <c r="AV3459" s="14">
        <v>1397.6106</v>
      </c>
    </row>
    <row r="3460" spans="34:48">
      <c r="AH3460" t="s">
        <v>1936</v>
      </c>
      <c r="AI3460" t="s">
        <v>68</v>
      </c>
      <c r="AJ3460" t="s">
        <v>66</v>
      </c>
      <c r="AK3460" s="3" t="s">
        <v>115</v>
      </c>
      <c r="AL3460" s="3">
        <v>15841.5</v>
      </c>
      <c r="AS3460" t="s">
        <v>2235</v>
      </c>
      <c r="AT3460" t="s">
        <v>88</v>
      </c>
      <c r="AU3460" t="s">
        <v>268</v>
      </c>
      <c r="AV3460" s="14">
        <v>10693.616099999999</v>
      </c>
    </row>
    <row r="3461" spans="34:48">
      <c r="AH3461" t="s">
        <v>1936</v>
      </c>
      <c r="AI3461" t="s">
        <v>68</v>
      </c>
      <c r="AJ3461" t="s">
        <v>98</v>
      </c>
      <c r="AK3461" s="3" t="s">
        <v>115</v>
      </c>
      <c r="AL3461" s="3">
        <v>-394.41775000000001</v>
      </c>
      <c r="AS3461" t="s">
        <v>2235</v>
      </c>
      <c r="AT3461" t="s">
        <v>88</v>
      </c>
      <c r="AU3461" t="s">
        <v>269</v>
      </c>
      <c r="AV3461" s="14">
        <v>500</v>
      </c>
    </row>
    <row r="3462" spans="34:48">
      <c r="AH3462" t="s">
        <v>1936</v>
      </c>
      <c r="AI3462" t="s">
        <v>65</v>
      </c>
      <c r="AJ3462" t="s">
        <v>66</v>
      </c>
      <c r="AK3462" s="3" t="s">
        <v>27</v>
      </c>
      <c r="AL3462" s="3">
        <v>30279</v>
      </c>
      <c r="AS3462" t="s">
        <v>2235</v>
      </c>
      <c r="AT3462" t="s">
        <v>88</v>
      </c>
      <c r="AU3462" t="s">
        <v>270</v>
      </c>
      <c r="AV3462" s="14">
        <v>0</v>
      </c>
    </row>
    <row r="3463" spans="34:48">
      <c r="AH3463" t="s">
        <v>1936</v>
      </c>
      <c r="AI3463" t="s">
        <v>65</v>
      </c>
      <c r="AJ3463" t="s">
        <v>72</v>
      </c>
      <c r="AK3463" s="3" t="s">
        <v>27</v>
      </c>
      <c r="AL3463" s="3">
        <v>31749.092665</v>
      </c>
      <c r="AS3463" t="s">
        <v>2236</v>
      </c>
      <c r="AT3463" t="s">
        <v>88</v>
      </c>
      <c r="AU3463" t="s">
        <v>109</v>
      </c>
      <c r="AV3463" s="14">
        <v>12626.383900000001</v>
      </c>
    </row>
    <row r="3464" spans="34:48">
      <c r="AH3464" t="s">
        <v>1936</v>
      </c>
      <c r="AI3464" t="s">
        <v>65</v>
      </c>
      <c r="AJ3464" t="s">
        <v>113</v>
      </c>
      <c r="AK3464" s="3" t="s">
        <v>27</v>
      </c>
      <c r="AL3464" s="3">
        <v>2431.8957049495998</v>
      </c>
      <c r="AS3464" t="s">
        <v>2236</v>
      </c>
      <c r="AT3464" t="s">
        <v>88</v>
      </c>
      <c r="AU3464" t="s">
        <v>110</v>
      </c>
      <c r="AV3464" s="14">
        <v>6900</v>
      </c>
    </row>
    <row r="3465" spans="34:48">
      <c r="AH3465" t="s">
        <v>1936</v>
      </c>
      <c r="AI3465" t="s">
        <v>65</v>
      </c>
      <c r="AJ3465" t="s">
        <v>108</v>
      </c>
      <c r="AK3465" s="3" t="s">
        <v>27</v>
      </c>
      <c r="AL3465" s="3">
        <v>-961.80303994960002</v>
      </c>
      <c r="AS3465" t="s">
        <v>2236</v>
      </c>
      <c r="AT3465" t="s">
        <v>88</v>
      </c>
      <c r="AU3465" t="s">
        <v>111</v>
      </c>
      <c r="AV3465" s="14">
        <v>1397.6106</v>
      </c>
    </row>
    <row r="3466" spans="34:48">
      <c r="AH3466" t="s">
        <v>1936</v>
      </c>
      <c r="AI3466" t="s">
        <v>65</v>
      </c>
      <c r="AJ3466" t="s">
        <v>98</v>
      </c>
      <c r="AK3466" s="3" t="s">
        <v>27</v>
      </c>
      <c r="AL3466" s="3">
        <v>-1031.89555</v>
      </c>
      <c r="AS3466" t="s">
        <v>2236</v>
      </c>
      <c r="AT3466" t="s">
        <v>88</v>
      </c>
      <c r="AU3466" t="s">
        <v>268</v>
      </c>
      <c r="AV3466" s="14">
        <v>13120</v>
      </c>
    </row>
    <row r="3467" spans="34:48">
      <c r="AH3467" t="s">
        <v>1936</v>
      </c>
      <c r="AI3467" t="s">
        <v>67</v>
      </c>
      <c r="AJ3467" t="s">
        <v>66</v>
      </c>
      <c r="AK3467" s="3" t="s">
        <v>27</v>
      </c>
      <c r="AL3467" s="3">
        <v>-7855.5</v>
      </c>
      <c r="AS3467" t="s">
        <v>2236</v>
      </c>
      <c r="AT3467" t="s">
        <v>88</v>
      </c>
      <c r="AU3467" t="s">
        <v>269</v>
      </c>
      <c r="AV3467" s="14">
        <v>500</v>
      </c>
    </row>
    <row r="3468" spans="34:48">
      <c r="AH3468" t="s">
        <v>1936</v>
      </c>
      <c r="AI3468" t="s">
        <v>67</v>
      </c>
      <c r="AJ3468" t="s">
        <v>72</v>
      </c>
      <c r="AK3468" s="3" t="s">
        <v>27</v>
      </c>
      <c r="AL3468" s="3">
        <v>-9306.7864750000008</v>
      </c>
      <c r="AS3468" t="s">
        <v>2236</v>
      </c>
      <c r="AT3468" t="s">
        <v>88</v>
      </c>
      <c r="AU3468" t="s">
        <v>270</v>
      </c>
      <c r="AV3468" s="14">
        <v>0</v>
      </c>
    </row>
    <row r="3469" spans="34:48">
      <c r="AH3469" t="s">
        <v>1936</v>
      </c>
      <c r="AI3469" t="s">
        <v>67</v>
      </c>
      <c r="AJ3469" t="s">
        <v>113</v>
      </c>
      <c r="AK3469" s="3" t="s">
        <v>27</v>
      </c>
      <c r="AL3469" s="3">
        <v>37.111273972600003</v>
      </c>
      <c r="AS3469" t="s">
        <v>2237</v>
      </c>
      <c r="AT3469" t="s">
        <v>88</v>
      </c>
      <c r="AU3469" t="s">
        <v>109</v>
      </c>
      <c r="AV3469" s="14">
        <v>12176.383900000001</v>
      </c>
    </row>
    <row r="3470" spans="34:48">
      <c r="AH3470" t="s">
        <v>1936</v>
      </c>
      <c r="AI3470" t="s">
        <v>67</v>
      </c>
      <c r="AJ3470" t="s">
        <v>108</v>
      </c>
      <c r="AK3470" s="3" t="s">
        <v>27</v>
      </c>
      <c r="AL3470" s="3">
        <v>-1488.3977489726001</v>
      </c>
      <c r="AS3470" t="s">
        <v>2237</v>
      </c>
      <c r="AT3470" t="s">
        <v>88</v>
      </c>
      <c r="AU3470" t="s">
        <v>110</v>
      </c>
      <c r="AV3470" s="14">
        <v>6900</v>
      </c>
    </row>
    <row r="3471" spans="34:48">
      <c r="AH3471" t="s">
        <v>1936</v>
      </c>
      <c r="AI3471" t="s">
        <v>67</v>
      </c>
      <c r="AJ3471" t="s">
        <v>98</v>
      </c>
      <c r="AK3471" s="3" t="s">
        <v>27</v>
      </c>
      <c r="AL3471" s="3">
        <v>187.90809999999999</v>
      </c>
      <c r="AS3471" t="s">
        <v>2237</v>
      </c>
      <c r="AT3471" t="s">
        <v>88</v>
      </c>
      <c r="AU3471" t="s">
        <v>111</v>
      </c>
      <c r="AV3471" s="14">
        <v>1397.6106</v>
      </c>
    </row>
    <row r="3472" spans="34:48">
      <c r="AH3472" t="s">
        <v>1936</v>
      </c>
      <c r="AI3472" t="s">
        <v>67</v>
      </c>
      <c r="AJ3472" t="s">
        <v>66</v>
      </c>
      <c r="AK3472" s="3" t="s">
        <v>114</v>
      </c>
      <c r="AL3472" s="3">
        <v>300</v>
      </c>
      <c r="AS3472" t="s">
        <v>2237</v>
      </c>
      <c r="AT3472" t="s">
        <v>88</v>
      </c>
      <c r="AU3472" t="s">
        <v>268</v>
      </c>
      <c r="AV3472" s="14">
        <v>13620</v>
      </c>
    </row>
    <row r="3473" spans="34:48">
      <c r="AH3473" t="s">
        <v>1936</v>
      </c>
      <c r="AI3473" t="s">
        <v>67</v>
      </c>
      <c r="AJ3473" t="s">
        <v>98</v>
      </c>
      <c r="AK3473" s="3" t="s">
        <v>114</v>
      </c>
      <c r="AL3473" s="3">
        <v>-0.63900000000000001</v>
      </c>
      <c r="AS3473" t="s">
        <v>2237</v>
      </c>
      <c r="AT3473" t="s">
        <v>88</v>
      </c>
      <c r="AU3473" t="s">
        <v>269</v>
      </c>
      <c r="AV3473" s="14">
        <v>500</v>
      </c>
    </row>
    <row r="3474" spans="34:48">
      <c r="AH3474" t="s">
        <v>1936</v>
      </c>
      <c r="AI3474" t="s">
        <v>67</v>
      </c>
      <c r="AJ3474" t="s">
        <v>66</v>
      </c>
      <c r="AK3474" s="3" t="s">
        <v>115</v>
      </c>
      <c r="AL3474" s="3">
        <v>8155.5</v>
      </c>
      <c r="AS3474" t="s">
        <v>2237</v>
      </c>
      <c r="AT3474" t="s">
        <v>88</v>
      </c>
      <c r="AU3474" t="s">
        <v>270</v>
      </c>
      <c r="AV3474" s="14">
        <v>0</v>
      </c>
    </row>
    <row r="3475" spans="34:48">
      <c r="AH3475" t="s">
        <v>1936</v>
      </c>
      <c r="AI3475" t="s">
        <v>67</v>
      </c>
      <c r="AJ3475" t="s">
        <v>98</v>
      </c>
      <c r="AK3475" s="3" t="s">
        <v>115</v>
      </c>
      <c r="AL3475" s="3">
        <v>-188.5471</v>
      </c>
      <c r="AS3475" t="s">
        <v>2238</v>
      </c>
      <c r="AT3475" t="s">
        <v>88</v>
      </c>
      <c r="AU3475" t="s">
        <v>109</v>
      </c>
      <c r="AV3475" s="14">
        <v>12176.383900000001</v>
      </c>
    </row>
    <row r="3476" spans="34:48">
      <c r="AH3476" t="s">
        <v>1936</v>
      </c>
      <c r="AI3476" t="s">
        <v>68</v>
      </c>
      <c r="AJ3476" t="s">
        <v>66</v>
      </c>
      <c r="AK3476" s="3" t="s">
        <v>27</v>
      </c>
      <c r="AL3476" s="3">
        <v>-14621.5</v>
      </c>
      <c r="AS3476" t="s">
        <v>2238</v>
      </c>
      <c r="AT3476" t="s">
        <v>88</v>
      </c>
      <c r="AU3476" t="s">
        <v>110</v>
      </c>
      <c r="AV3476" s="14">
        <v>6900</v>
      </c>
    </row>
    <row r="3477" spans="34:48">
      <c r="AH3477" t="s">
        <v>1936</v>
      </c>
      <c r="AI3477" t="s">
        <v>68</v>
      </c>
      <c r="AJ3477" t="s">
        <v>72</v>
      </c>
      <c r="AK3477" s="3" t="s">
        <v>27</v>
      </c>
      <c r="AL3477" s="3">
        <v>-15016.833130000001</v>
      </c>
      <c r="AS3477" t="s">
        <v>2238</v>
      </c>
      <c r="AT3477" t="s">
        <v>88</v>
      </c>
      <c r="AU3477" t="s">
        <v>111</v>
      </c>
      <c r="AV3477" s="14">
        <v>1397.6106</v>
      </c>
    </row>
    <row r="3478" spans="34:48">
      <c r="AH3478" t="s">
        <v>1936</v>
      </c>
      <c r="AI3478" t="s">
        <v>68</v>
      </c>
      <c r="AJ3478" t="s">
        <v>113</v>
      </c>
      <c r="AK3478" s="3" t="s">
        <v>27</v>
      </c>
      <c r="AL3478" s="3">
        <v>233.5353883562</v>
      </c>
      <c r="AS3478" t="s">
        <v>2238</v>
      </c>
      <c r="AT3478" t="s">
        <v>88</v>
      </c>
      <c r="AU3478" t="s">
        <v>268</v>
      </c>
      <c r="AV3478" s="14">
        <v>12620</v>
      </c>
    </row>
    <row r="3479" spans="34:48">
      <c r="AH3479" t="s">
        <v>1936</v>
      </c>
      <c r="AI3479" t="s">
        <v>800</v>
      </c>
      <c r="AJ3479" t="s">
        <v>31</v>
      </c>
      <c r="AK3479" s="3" t="s">
        <v>27</v>
      </c>
      <c r="AL3479" s="3">
        <v>3.7170000000000001</v>
      </c>
      <c r="AS3479" t="s">
        <v>2238</v>
      </c>
      <c r="AT3479" t="s">
        <v>88</v>
      </c>
      <c r="AU3479" t="s">
        <v>269</v>
      </c>
      <c r="AV3479" s="14">
        <v>500</v>
      </c>
    </row>
    <row r="3480" spans="34:48">
      <c r="AH3480" t="s">
        <v>1937</v>
      </c>
      <c r="AI3480" t="s">
        <v>65</v>
      </c>
      <c r="AJ3480" t="s">
        <v>66</v>
      </c>
      <c r="AK3480" s="3" t="s">
        <v>27</v>
      </c>
      <c r="AL3480" s="3">
        <v>29356</v>
      </c>
      <c r="AS3480" t="s">
        <v>2238</v>
      </c>
      <c r="AT3480" t="s">
        <v>88</v>
      </c>
      <c r="AU3480" t="s">
        <v>270</v>
      </c>
      <c r="AV3480" s="14">
        <v>0</v>
      </c>
    </row>
    <row r="3481" spans="34:48">
      <c r="AH3481" t="s">
        <v>1937</v>
      </c>
      <c r="AI3481" t="s">
        <v>65</v>
      </c>
      <c r="AJ3481" t="s">
        <v>72</v>
      </c>
      <c r="AK3481" s="3" t="s">
        <v>27</v>
      </c>
      <c r="AL3481" s="3">
        <v>31112.595975</v>
      </c>
      <c r="AS3481" t="s">
        <v>2239</v>
      </c>
      <c r="AT3481" t="s">
        <v>88</v>
      </c>
      <c r="AU3481" t="s">
        <v>109</v>
      </c>
      <c r="AV3481" s="14">
        <v>12476.383900000001</v>
      </c>
    </row>
    <row r="3482" spans="34:48">
      <c r="AH3482" t="s">
        <v>1937</v>
      </c>
      <c r="AI3482" t="s">
        <v>65</v>
      </c>
      <c r="AJ3482" t="s">
        <v>113</v>
      </c>
      <c r="AK3482" s="3" t="s">
        <v>27</v>
      </c>
      <c r="AL3482" s="3">
        <v>2678.1618075823999</v>
      </c>
      <c r="AS3482" t="s">
        <v>2239</v>
      </c>
      <c r="AT3482" t="s">
        <v>88</v>
      </c>
      <c r="AU3482" t="s">
        <v>110</v>
      </c>
      <c r="AV3482" s="14">
        <v>7100</v>
      </c>
    </row>
    <row r="3483" spans="34:48">
      <c r="AH3483" t="s">
        <v>1937</v>
      </c>
      <c r="AI3483" t="s">
        <v>65</v>
      </c>
      <c r="AJ3483" t="s">
        <v>108</v>
      </c>
      <c r="AK3483" s="3" t="s">
        <v>27</v>
      </c>
      <c r="AL3483" s="3">
        <v>-921.56583258240005</v>
      </c>
      <c r="AS3483" t="s">
        <v>2239</v>
      </c>
      <c r="AT3483" t="s">
        <v>88</v>
      </c>
      <c r="AU3483" t="s">
        <v>111</v>
      </c>
      <c r="AV3483" s="14">
        <v>1397.6106</v>
      </c>
    </row>
    <row r="3484" spans="34:48">
      <c r="AH3484" t="s">
        <v>1937</v>
      </c>
      <c r="AI3484" t="s">
        <v>65</v>
      </c>
      <c r="AJ3484" t="s">
        <v>98</v>
      </c>
      <c r="AK3484" s="3" t="s">
        <v>27</v>
      </c>
      <c r="AL3484" s="3">
        <v>-995.80006000000003</v>
      </c>
      <c r="AS3484" t="s">
        <v>2239</v>
      </c>
      <c r="AT3484" t="s">
        <v>88</v>
      </c>
      <c r="AU3484" t="s">
        <v>268</v>
      </c>
      <c r="AV3484" s="14">
        <v>12320</v>
      </c>
    </row>
    <row r="3485" spans="34:48">
      <c r="AH3485" t="s">
        <v>1937</v>
      </c>
      <c r="AI3485" t="s">
        <v>67</v>
      </c>
      <c r="AJ3485" t="s">
        <v>66</v>
      </c>
      <c r="AK3485" s="3" t="s">
        <v>27</v>
      </c>
      <c r="AL3485" s="3">
        <v>-7232.5</v>
      </c>
      <c r="AM3485" s="10">
        <f>AL7+AL12+AL23</f>
        <v>6197.9491310780995</v>
      </c>
      <c r="AS3485" t="s">
        <v>2239</v>
      </c>
      <c r="AT3485" t="s">
        <v>88</v>
      </c>
      <c r="AU3485" t="s">
        <v>269</v>
      </c>
      <c r="AV3485" s="14">
        <v>300</v>
      </c>
    </row>
    <row r="3486" spans="34:48">
      <c r="AH3486" t="s">
        <v>1937</v>
      </c>
      <c r="AI3486" t="s">
        <v>67</v>
      </c>
      <c r="AJ3486" t="s">
        <v>72</v>
      </c>
      <c r="AK3486" s="3" t="s">
        <v>27</v>
      </c>
      <c r="AL3486" s="3">
        <v>-9005.7969350000003</v>
      </c>
      <c r="AS3486" t="s">
        <v>2239</v>
      </c>
      <c r="AT3486" t="s">
        <v>88</v>
      </c>
      <c r="AU3486" t="s">
        <v>270</v>
      </c>
      <c r="AV3486" s="14">
        <v>0</v>
      </c>
    </row>
    <row r="3487" spans="34:48">
      <c r="AH3487" t="s">
        <v>1937</v>
      </c>
      <c r="AI3487" t="s">
        <v>67</v>
      </c>
      <c r="AJ3487" t="s">
        <v>113</v>
      </c>
      <c r="AK3487" s="3" t="s">
        <v>27</v>
      </c>
      <c r="AL3487" s="3">
        <v>-168.63459904109999</v>
      </c>
      <c r="AS3487" t="s">
        <v>2240</v>
      </c>
      <c r="AT3487" t="s">
        <v>88</v>
      </c>
      <c r="AU3487" t="s">
        <v>109</v>
      </c>
      <c r="AV3487" s="14">
        <v>12976.383900000001</v>
      </c>
    </row>
    <row r="3488" spans="34:48">
      <c r="AH3488" t="s">
        <v>1937</v>
      </c>
      <c r="AI3488" t="s">
        <v>67</v>
      </c>
      <c r="AJ3488" t="s">
        <v>108</v>
      </c>
      <c r="AK3488" s="3" t="s">
        <v>27</v>
      </c>
      <c r="AL3488" s="3">
        <v>-1604.6623359589</v>
      </c>
      <c r="AS3488" t="s">
        <v>2240</v>
      </c>
      <c r="AT3488" t="s">
        <v>88</v>
      </c>
      <c r="AU3488" t="s">
        <v>110</v>
      </c>
      <c r="AV3488" s="14">
        <v>7100</v>
      </c>
    </row>
    <row r="3489" spans="34:48">
      <c r="AH3489" t="s">
        <v>1937</v>
      </c>
      <c r="AI3489" t="s">
        <v>67</v>
      </c>
      <c r="AJ3489" t="s">
        <v>98</v>
      </c>
      <c r="AK3489" s="3" t="s">
        <v>27</v>
      </c>
      <c r="AL3489" s="3">
        <v>153.34951000000001</v>
      </c>
      <c r="AS3489" t="s">
        <v>2240</v>
      </c>
      <c r="AT3489" t="s">
        <v>88</v>
      </c>
      <c r="AU3489" t="s">
        <v>111</v>
      </c>
      <c r="AV3489" s="14">
        <v>1397.6106</v>
      </c>
    </row>
    <row r="3490" spans="34:48">
      <c r="AH3490" t="s">
        <v>1937</v>
      </c>
      <c r="AI3490" t="s">
        <v>67</v>
      </c>
      <c r="AJ3490" t="s">
        <v>66</v>
      </c>
      <c r="AK3490" s="3" t="s">
        <v>114</v>
      </c>
      <c r="AL3490" s="3">
        <v>1423</v>
      </c>
      <c r="AS3490" t="s">
        <v>2240</v>
      </c>
      <c r="AT3490" t="s">
        <v>88</v>
      </c>
      <c r="AU3490" t="s">
        <v>268</v>
      </c>
      <c r="AV3490" s="14">
        <v>11820</v>
      </c>
    </row>
    <row r="3491" spans="34:48">
      <c r="AH3491" t="s">
        <v>1937</v>
      </c>
      <c r="AI3491" t="s">
        <v>67</v>
      </c>
      <c r="AJ3491" t="s">
        <v>98</v>
      </c>
      <c r="AK3491" s="3" t="s">
        <v>114</v>
      </c>
      <c r="AL3491" s="3">
        <v>-44.946800000000003</v>
      </c>
      <c r="AS3491" t="s">
        <v>2240</v>
      </c>
      <c r="AT3491" t="s">
        <v>88</v>
      </c>
      <c r="AU3491" t="s">
        <v>269</v>
      </c>
      <c r="AV3491" s="14">
        <v>300</v>
      </c>
    </row>
    <row r="3492" spans="34:48">
      <c r="AH3492" t="s">
        <v>1937</v>
      </c>
      <c r="AI3492" t="s">
        <v>67</v>
      </c>
      <c r="AJ3492" t="s">
        <v>66</v>
      </c>
      <c r="AK3492" s="3" t="s">
        <v>115</v>
      </c>
      <c r="AL3492" s="3">
        <v>8655.5</v>
      </c>
      <c r="AS3492" t="s">
        <v>2240</v>
      </c>
      <c r="AT3492" t="s">
        <v>88</v>
      </c>
      <c r="AU3492" t="s">
        <v>270</v>
      </c>
      <c r="AV3492" s="14">
        <v>0</v>
      </c>
    </row>
    <row r="3493" spans="34:48">
      <c r="AH3493" t="s">
        <v>1937</v>
      </c>
      <c r="AI3493" t="s">
        <v>67</v>
      </c>
      <c r="AJ3493" t="s">
        <v>98</v>
      </c>
      <c r="AK3493" s="3" t="s">
        <v>115</v>
      </c>
      <c r="AL3493" s="3">
        <v>-198.29631000000001</v>
      </c>
      <c r="AS3493" t="s">
        <v>2241</v>
      </c>
      <c r="AT3493" t="s">
        <v>88</v>
      </c>
      <c r="AU3493" t="s">
        <v>109</v>
      </c>
      <c r="AV3493" s="14">
        <v>13976.383900000001</v>
      </c>
    </row>
    <row r="3494" spans="34:48">
      <c r="AH3494" t="s">
        <v>1937</v>
      </c>
      <c r="AI3494" t="s">
        <v>68</v>
      </c>
      <c r="AJ3494" t="s">
        <v>66</v>
      </c>
      <c r="AK3494" s="3" t="s">
        <v>27</v>
      </c>
      <c r="AL3494" s="3">
        <v>-14521.5</v>
      </c>
      <c r="AS3494" t="s">
        <v>2241</v>
      </c>
      <c r="AT3494" t="s">
        <v>88</v>
      </c>
      <c r="AU3494" t="s">
        <v>110</v>
      </c>
      <c r="AV3494" s="14">
        <v>7100</v>
      </c>
    </row>
    <row r="3495" spans="34:48">
      <c r="AH3495" t="s">
        <v>1937</v>
      </c>
      <c r="AI3495" t="s">
        <v>68</v>
      </c>
      <c r="AJ3495" t="s">
        <v>72</v>
      </c>
      <c r="AK3495" s="3" t="s">
        <v>27</v>
      </c>
      <c r="AL3495" s="3">
        <v>-14886.777179999999</v>
      </c>
      <c r="AS3495" t="s">
        <v>2241</v>
      </c>
      <c r="AT3495" t="s">
        <v>88</v>
      </c>
      <c r="AU3495" t="s">
        <v>111</v>
      </c>
      <c r="AV3495" s="14">
        <v>1397.6106</v>
      </c>
    </row>
    <row r="3496" spans="34:48">
      <c r="AH3496" t="s">
        <v>1937</v>
      </c>
      <c r="AI3496" t="s">
        <v>68</v>
      </c>
      <c r="AJ3496" t="s">
        <v>113</v>
      </c>
      <c r="AK3496" s="3" t="s">
        <v>27</v>
      </c>
      <c r="AL3496" s="3">
        <v>356.80675917809998</v>
      </c>
      <c r="AS3496" t="s">
        <v>2241</v>
      </c>
      <c r="AT3496" t="s">
        <v>88</v>
      </c>
      <c r="AU3496" t="s">
        <v>268</v>
      </c>
      <c r="AV3496" s="14">
        <v>10820</v>
      </c>
    </row>
    <row r="3497" spans="34:48">
      <c r="AH3497" t="s">
        <v>1937</v>
      </c>
      <c r="AI3497" t="s">
        <v>68</v>
      </c>
      <c r="AJ3497" t="s">
        <v>108</v>
      </c>
      <c r="AK3497" s="3" t="s">
        <v>27</v>
      </c>
      <c r="AL3497" s="3">
        <v>-365.27717999999999</v>
      </c>
      <c r="AS3497" t="s">
        <v>2241</v>
      </c>
      <c r="AT3497" t="s">
        <v>88</v>
      </c>
      <c r="AU3497" t="s">
        <v>269</v>
      </c>
      <c r="AV3497" s="14">
        <v>300</v>
      </c>
    </row>
    <row r="3498" spans="34:48">
      <c r="AH3498" t="s">
        <v>1937</v>
      </c>
      <c r="AI3498" t="s">
        <v>68</v>
      </c>
      <c r="AJ3498" t="s">
        <v>98</v>
      </c>
      <c r="AK3498" s="3" t="s">
        <v>27</v>
      </c>
      <c r="AL3498" s="3">
        <v>346.57369</v>
      </c>
      <c r="AS3498" t="s">
        <v>2241</v>
      </c>
      <c r="AT3498" t="s">
        <v>88</v>
      </c>
      <c r="AU3498" t="s">
        <v>270</v>
      </c>
      <c r="AV3498" s="14">
        <v>0</v>
      </c>
    </row>
    <row r="3499" spans="34:48">
      <c r="AH3499" t="s">
        <v>1937</v>
      </c>
      <c r="AI3499" t="s">
        <v>68</v>
      </c>
      <c r="AJ3499" t="s">
        <v>66</v>
      </c>
      <c r="AK3499" s="3" t="s">
        <v>114</v>
      </c>
      <c r="AL3499" s="3">
        <v>1412</v>
      </c>
      <c r="AS3499" t="s">
        <v>2242</v>
      </c>
      <c r="AT3499" t="s">
        <v>88</v>
      </c>
      <c r="AU3499" t="s">
        <v>109</v>
      </c>
      <c r="AV3499" s="14">
        <v>12476.383900000001</v>
      </c>
    </row>
    <row r="3500" spans="34:48">
      <c r="AH3500" t="s">
        <v>1937</v>
      </c>
      <c r="AI3500" t="s">
        <v>68</v>
      </c>
      <c r="AJ3500" t="s">
        <v>98</v>
      </c>
      <c r="AK3500" s="3" t="s">
        <v>114</v>
      </c>
      <c r="AL3500" s="3">
        <v>-41.351419999999997</v>
      </c>
      <c r="AS3500" t="s">
        <v>2242</v>
      </c>
      <c r="AT3500" t="s">
        <v>88</v>
      </c>
      <c r="AU3500" t="s">
        <v>110</v>
      </c>
      <c r="AV3500" s="14">
        <v>7100</v>
      </c>
    </row>
    <row r="3501" spans="34:48">
      <c r="AH3501" t="s">
        <v>1937</v>
      </c>
      <c r="AI3501" t="s">
        <v>68</v>
      </c>
      <c r="AJ3501" t="s">
        <v>66</v>
      </c>
      <c r="AK3501" s="3" t="s">
        <v>115</v>
      </c>
      <c r="AL3501" s="3">
        <v>15933.5</v>
      </c>
      <c r="AS3501" t="s">
        <v>2242</v>
      </c>
      <c r="AT3501" t="s">
        <v>88</v>
      </c>
      <c r="AU3501" t="s">
        <v>111</v>
      </c>
      <c r="AV3501" s="14">
        <v>1397.6106</v>
      </c>
    </row>
    <row r="3502" spans="34:48">
      <c r="AH3502" t="s">
        <v>1937</v>
      </c>
      <c r="AI3502" t="s">
        <v>68</v>
      </c>
      <c r="AJ3502" t="s">
        <v>98</v>
      </c>
      <c r="AK3502" s="3" t="s">
        <v>115</v>
      </c>
      <c r="AL3502" s="3">
        <v>-387.92511000000002</v>
      </c>
      <c r="AS3502" t="s">
        <v>2242</v>
      </c>
      <c r="AT3502" t="s">
        <v>88</v>
      </c>
      <c r="AU3502" t="s">
        <v>268</v>
      </c>
      <c r="AV3502" s="14">
        <v>12320</v>
      </c>
    </row>
    <row r="3503" spans="34:48">
      <c r="AH3503" t="s">
        <v>1938</v>
      </c>
      <c r="AI3503" t="s">
        <v>65</v>
      </c>
      <c r="AJ3503" t="s">
        <v>66</v>
      </c>
      <c r="AK3503" s="3" t="s">
        <v>27</v>
      </c>
      <c r="AL3503" s="3">
        <v>29684</v>
      </c>
      <c r="AS3503" t="s">
        <v>2242</v>
      </c>
      <c r="AT3503" t="s">
        <v>88</v>
      </c>
      <c r="AU3503" t="s">
        <v>269</v>
      </c>
      <c r="AV3503" s="14">
        <v>300</v>
      </c>
    </row>
    <row r="3504" spans="34:48">
      <c r="AH3504" t="s">
        <v>1938</v>
      </c>
      <c r="AI3504" t="s">
        <v>65</v>
      </c>
      <c r="AJ3504" t="s">
        <v>72</v>
      </c>
      <c r="AK3504" s="3" t="s">
        <v>27</v>
      </c>
      <c r="AL3504" s="3">
        <v>31396.268814999999</v>
      </c>
      <c r="AS3504" t="s">
        <v>2242</v>
      </c>
      <c r="AT3504" t="s">
        <v>88</v>
      </c>
      <c r="AU3504" t="s">
        <v>270</v>
      </c>
      <c r="AV3504" s="14">
        <v>0</v>
      </c>
    </row>
    <row r="3505" spans="34:48">
      <c r="AH3505" t="s">
        <v>1938</v>
      </c>
      <c r="AI3505" t="s">
        <v>65</v>
      </c>
      <c r="AJ3505" t="s">
        <v>113</v>
      </c>
      <c r="AK3505" s="3" t="s">
        <v>27</v>
      </c>
      <c r="AL3505" s="3">
        <v>2654.1597274342998</v>
      </c>
      <c r="AS3505" t="s">
        <v>2243</v>
      </c>
      <c r="AT3505" t="s">
        <v>88</v>
      </c>
      <c r="AU3505" t="s">
        <v>109</v>
      </c>
      <c r="AV3505" s="14">
        <v>11526.383900000001</v>
      </c>
    </row>
    <row r="3506" spans="34:48">
      <c r="AH3506" t="s">
        <v>1938</v>
      </c>
      <c r="AI3506" t="s">
        <v>65</v>
      </c>
      <c r="AJ3506" t="s">
        <v>108</v>
      </c>
      <c r="AK3506" s="3" t="s">
        <v>27</v>
      </c>
      <c r="AL3506" s="3">
        <v>-941.89091243430005</v>
      </c>
      <c r="AS3506" t="s">
        <v>2243</v>
      </c>
      <c r="AT3506" t="s">
        <v>88</v>
      </c>
      <c r="AU3506" t="s">
        <v>110</v>
      </c>
      <c r="AV3506" s="14">
        <v>7100</v>
      </c>
    </row>
    <row r="3507" spans="34:48">
      <c r="AH3507" t="s">
        <v>1938</v>
      </c>
      <c r="AI3507" t="s">
        <v>65</v>
      </c>
      <c r="AJ3507" t="s">
        <v>98</v>
      </c>
      <c r="AK3507" s="3" t="s">
        <v>27</v>
      </c>
      <c r="AL3507" s="3">
        <v>-1015.30938</v>
      </c>
      <c r="AS3507" t="s">
        <v>2243</v>
      </c>
      <c r="AT3507" t="s">
        <v>88</v>
      </c>
      <c r="AU3507" t="s">
        <v>111</v>
      </c>
      <c r="AV3507" s="14">
        <v>1397.6106</v>
      </c>
    </row>
    <row r="3508" spans="34:48">
      <c r="AH3508" t="s">
        <v>1938</v>
      </c>
      <c r="AI3508" t="s">
        <v>67</v>
      </c>
      <c r="AJ3508" t="s">
        <v>66</v>
      </c>
      <c r="AK3508" s="3" t="s">
        <v>27</v>
      </c>
      <c r="AL3508" s="3">
        <v>-7733.5</v>
      </c>
      <c r="AS3508" t="s">
        <v>2243</v>
      </c>
      <c r="AT3508" t="s">
        <v>88</v>
      </c>
      <c r="AU3508" t="s">
        <v>268</v>
      </c>
      <c r="AV3508" s="14">
        <v>13270</v>
      </c>
    </row>
    <row r="3509" spans="34:48">
      <c r="AH3509" t="s">
        <v>1938</v>
      </c>
      <c r="AI3509" t="s">
        <v>67</v>
      </c>
      <c r="AJ3509" t="s">
        <v>72</v>
      </c>
      <c r="AK3509" s="3" t="s">
        <v>27</v>
      </c>
      <c r="AL3509" s="3">
        <v>-9356.7877349999999</v>
      </c>
      <c r="AS3509" t="s">
        <v>2243</v>
      </c>
      <c r="AT3509" t="s">
        <v>88</v>
      </c>
      <c r="AU3509" t="s">
        <v>269</v>
      </c>
      <c r="AV3509" s="14">
        <v>300</v>
      </c>
    </row>
    <row r="3510" spans="34:48">
      <c r="AH3510" t="s">
        <v>1938</v>
      </c>
      <c r="AI3510" t="s">
        <v>67</v>
      </c>
      <c r="AJ3510" t="s">
        <v>113</v>
      </c>
      <c r="AK3510" s="3" t="s">
        <v>27</v>
      </c>
      <c r="AL3510" s="3">
        <v>-139.62892876710001</v>
      </c>
      <c r="AS3510" t="s">
        <v>2243</v>
      </c>
      <c r="AT3510" t="s">
        <v>88</v>
      </c>
      <c r="AU3510" t="s">
        <v>270</v>
      </c>
      <c r="AV3510" s="14">
        <v>0</v>
      </c>
    </row>
    <row r="3511" spans="34:48">
      <c r="AH3511" t="s">
        <v>1938</v>
      </c>
      <c r="AI3511" t="s">
        <v>67</v>
      </c>
      <c r="AJ3511" t="s">
        <v>108</v>
      </c>
      <c r="AK3511" s="3" t="s">
        <v>27</v>
      </c>
      <c r="AL3511" s="3">
        <v>-1483.6588062328999</v>
      </c>
      <c r="AS3511" t="s">
        <v>2244</v>
      </c>
      <c r="AT3511" t="s">
        <v>88</v>
      </c>
      <c r="AU3511" t="s">
        <v>109</v>
      </c>
      <c r="AV3511" s="14">
        <v>12426.383900000001</v>
      </c>
    </row>
    <row r="3512" spans="34:48">
      <c r="AH3512" t="s">
        <v>1938</v>
      </c>
      <c r="AI3512" t="s">
        <v>67</v>
      </c>
      <c r="AJ3512" t="s">
        <v>98</v>
      </c>
      <c r="AK3512" s="3" t="s">
        <v>27</v>
      </c>
      <c r="AL3512" s="3">
        <v>213.99805000000001</v>
      </c>
      <c r="AS3512" t="s">
        <v>2244</v>
      </c>
      <c r="AT3512" t="s">
        <v>88</v>
      </c>
      <c r="AU3512" t="s">
        <v>110</v>
      </c>
      <c r="AV3512" s="14">
        <v>7100</v>
      </c>
    </row>
    <row r="3513" spans="34:48">
      <c r="AH3513" t="s">
        <v>1938</v>
      </c>
      <c r="AI3513" t="s">
        <v>67</v>
      </c>
      <c r="AJ3513" t="s">
        <v>66</v>
      </c>
      <c r="AK3513" s="3" t="s">
        <v>114</v>
      </c>
      <c r="AL3513" s="3">
        <v>895</v>
      </c>
      <c r="AS3513" t="s">
        <v>2244</v>
      </c>
      <c r="AT3513" t="s">
        <v>88</v>
      </c>
      <c r="AU3513" t="s">
        <v>111</v>
      </c>
      <c r="AV3513" s="14">
        <v>1397.6106</v>
      </c>
    </row>
    <row r="3514" spans="34:48">
      <c r="AH3514" t="s">
        <v>1938</v>
      </c>
      <c r="AI3514" t="s">
        <v>67</v>
      </c>
      <c r="AJ3514" t="s">
        <v>98</v>
      </c>
      <c r="AK3514" s="3" t="s">
        <v>114</v>
      </c>
      <c r="AL3514" s="3">
        <v>-6.3510999999999997</v>
      </c>
      <c r="AS3514" t="s">
        <v>2244</v>
      </c>
      <c r="AT3514" t="s">
        <v>88</v>
      </c>
      <c r="AU3514" t="s">
        <v>268</v>
      </c>
      <c r="AV3514" s="14">
        <v>12370</v>
      </c>
    </row>
    <row r="3515" spans="34:48">
      <c r="AH3515" t="s">
        <v>1938</v>
      </c>
      <c r="AI3515" t="s">
        <v>67</v>
      </c>
      <c r="AJ3515" t="s">
        <v>66</v>
      </c>
      <c r="AK3515" s="3" t="s">
        <v>115</v>
      </c>
      <c r="AL3515" s="3">
        <v>8628.5</v>
      </c>
      <c r="AS3515" t="s">
        <v>2244</v>
      </c>
      <c r="AT3515" t="s">
        <v>88</v>
      </c>
      <c r="AU3515" t="s">
        <v>269</v>
      </c>
      <c r="AV3515" s="14">
        <v>300</v>
      </c>
    </row>
    <row r="3516" spans="34:48">
      <c r="AH3516" t="s">
        <v>1938</v>
      </c>
      <c r="AI3516" t="s">
        <v>67</v>
      </c>
      <c r="AJ3516" t="s">
        <v>98</v>
      </c>
      <c r="AK3516" s="3" t="s">
        <v>115</v>
      </c>
      <c r="AL3516" s="3">
        <v>-220.34915000000001</v>
      </c>
      <c r="AS3516" t="s">
        <v>2244</v>
      </c>
      <c r="AT3516" t="s">
        <v>88</v>
      </c>
      <c r="AU3516" t="s">
        <v>270</v>
      </c>
      <c r="AV3516" s="14">
        <v>0</v>
      </c>
    </row>
    <row r="3517" spans="34:48">
      <c r="AH3517" t="s">
        <v>1938</v>
      </c>
      <c r="AI3517" t="s">
        <v>68</v>
      </c>
      <c r="AJ3517" t="s">
        <v>66</v>
      </c>
      <c r="AK3517" s="3" t="s">
        <v>27</v>
      </c>
      <c r="AL3517" s="3">
        <v>-14298.5</v>
      </c>
      <c r="AS3517" t="s">
        <v>2245</v>
      </c>
      <c r="AT3517" t="s">
        <v>88</v>
      </c>
      <c r="AU3517" t="s">
        <v>109</v>
      </c>
      <c r="AV3517" s="14">
        <v>11526.383900000001</v>
      </c>
    </row>
    <row r="3518" spans="34:48">
      <c r="AH3518" t="s">
        <v>1938</v>
      </c>
      <c r="AI3518" t="s">
        <v>68</v>
      </c>
      <c r="AJ3518" t="s">
        <v>72</v>
      </c>
      <c r="AK3518" s="3" t="s">
        <v>27</v>
      </c>
      <c r="AL3518" s="3">
        <v>-14756.57188</v>
      </c>
      <c r="AS3518" t="s">
        <v>2245</v>
      </c>
      <c r="AT3518" t="s">
        <v>88</v>
      </c>
      <c r="AU3518" t="s">
        <v>110</v>
      </c>
      <c r="AV3518" s="14">
        <v>7400</v>
      </c>
    </row>
    <row r="3519" spans="34:48">
      <c r="AH3519" t="s">
        <v>1938</v>
      </c>
      <c r="AI3519" t="s">
        <v>68</v>
      </c>
      <c r="AJ3519" t="s">
        <v>113</v>
      </c>
      <c r="AK3519" s="3" t="s">
        <v>27</v>
      </c>
      <c r="AL3519" s="3">
        <v>394.69652315069999</v>
      </c>
      <c r="AS3519" t="s">
        <v>2245</v>
      </c>
      <c r="AT3519" t="s">
        <v>88</v>
      </c>
      <c r="AU3519" t="s">
        <v>111</v>
      </c>
      <c r="AV3519" s="14">
        <v>1397.6106</v>
      </c>
    </row>
    <row r="3520" spans="34:48">
      <c r="AH3520" t="s">
        <v>1938</v>
      </c>
      <c r="AI3520" t="s">
        <v>68</v>
      </c>
      <c r="AJ3520" t="s">
        <v>108</v>
      </c>
      <c r="AK3520" s="3" t="s">
        <v>27</v>
      </c>
      <c r="AL3520" s="3">
        <v>-458.07188000000002</v>
      </c>
      <c r="AS3520" t="s">
        <v>2245</v>
      </c>
      <c r="AT3520" t="s">
        <v>88</v>
      </c>
      <c r="AU3520" t="s">
        <v>268</v>
      </c>
      <c r="AV3520" s="14">
        <v>13270</v>
      </c>
    </row>
    <row r="3521" spans="34:48">
      <c r="AH3521" t="s">
        <v>1938</v>
      </c>
      <c r="AI3521" t="s">
        <v>68</v>
      </c>
      <c r="AJ3521" t="s">
        <v>98</v>
      </c>
      <c r="AK3521" s="3" t="s">
        <v>27</v>
      </c>
      <c r="AL3521" s="3">
        <v>314.47431</v>
      </c>
      <c r="AS3521" t="s">
        <v>2245</v>
      </c>
      <c r="AT3521" t="s">
        <v>88</v>
      </c>
      <c r="AU3521" t="s">
        <v>269</v>
      </c>
      <c r="AV3521" s="14">
        <v>0</v>
      </c>
    </row>
    <row r="3522" spans="34:48">
      <c r="AH3522" t="s">
        <v>1938</v>
      </c>
      <c r="AI3522" t="s">
        <v>68</v>
      </c>
      <c r="AJ3522" t="s">
        <v>66</v>
      </c>
      <c r="AK3522" s="3" t="s">
        <v>114</v>
      </c>
      <c r="AL3522" s="3">
        <v>1485</v>
      </c>
      <c r="AS3522" t="s">
        <v>2245</v>
      </c>
      <c r="AT3522" t="s">
        <v>88</v>
      </c>
      <c r="AU3522" t="s">
        <v>270</v>
      </c>
      <c r="AV3522" s="14">
        <v>0</v>
      </c>
    </row>
    <row r="3523" spans="34:48">
      <c r="AH3523" t="s">
        <v>1938</v>
      </c>
      <c r="AI3523" t="s">
        <v>68</v>
      </c>
      <c r="AJ3523" t="s">
        <v>98</v>
      </c>
      <c r="AK3523" s="3" t="s">
        <v>114</v>
      </c>
      <c r="AL3523" s="3">
        <v>-44.187170000000002</v>
      </c>
      <c r="AS3523" t="s">
        <v>2246</v>
      </c>
      <c r="AT3523" t="s">
        <v>88</v>
      </c>
      <c r="AU3523" t="s">
        <v>109</v>
      </c>
      <c r="AV3523" s="14">
        <v>10526.383900000001</v>
      </c>
    </row>
    <row r="3524" spans="34:48">
      <c r="AH3524" t="s">
        <v>1938</v>
      </c>
      <c r="AI3524" t="s">
        <v>68</v>
      </c>
      <c r="AJ3524" t="s">
        <v>66</v>
      </c>
      <c r="AK3524" s="3" t="s">
        <v>115</v>
      </c>
      <c r="AL3524" s="3">
        <v>15783.5</v>
      </c>
      <c r="AS3524" t="s">
        <v>2246</v>
      </c>
      <c r="AT3524" t="s">
        <v>88</v>
      </c>
      <c r="AU3524" t="s">
        <v>110</v>
      </c>
      <c r="AV3524" s="14">
        <v>9100</v>
      </c>
    </row>
    <row r="3525" spans="34:48">
      <c r="AH3525" t="s">
        <v>1938</v>
      </c>
      <c r="AI3525" t="s">
        <v>68</v>
      </c>
      <c r="AJ3525" t="s">
        <v>98</v>
      </c>
      <c r="AK3525" s="3" t="s">
        <v>115</v>
      </c>
      <c r="AL3525" s="3">
        <v>-358.66147999999998</v>
      </c>
      <c r="AS3525" t="s">
        <v>2246</v>
      </c>
      <c r="AT3525" t="s">
        <v>88</v>
      </c>
      <c r="AU3525" t="s">
        <v>111</v>
      </c>
      <c r="AV3525" s="14">
        <v>1500</v>
      </c>
    </row>
    <row r="3526" spans="34:48">
      <c r="AH3526" t="s">
        <v>1939</v>
      </c>
      <c r="AI3526" t="s">
        <v>65</v>
      </c>
      <c r="AJ3526" t="s">
        <v>66</v>
      </c>
      <c r="AK3526" s="3" t="s">
        <v>27</v>
      </c>
      <c r="AL3526" s="3">
        <v>28725</v>
      </c>
      <c r="AS3526" t="s">
        <v>2246</v>
      </c>
      <c r="AT3526" t="s">
        <v>88</v>
      </c>
      <c r="AU3526" t="s">
        <v>268</v>
      </c>
      <c r="AV3526" s="14">
        <v>14270</v>
      </c>
    </row>
    <row r="3527" spans="34:48">
      <c r="AH3527" t="s">
        <v>1939</v>
      </c>
      <c r="AI3527" t="s">
        <v>65</v>
      </c>
      <c r="AJ3527" t="s">
        <v>72</v>
      </c>
      <c r="AK3527" s="3" t="s">
        <v>27</v>
      </c>
      <c r="AL3527" s="3">
        <v>30669.630679999998</v>
      </c>
      <c r="AS3527" t="s">
        <v>2246</v>
      </c>
      <c r="AT3527" t="s">
        <v>88</v>
      </c>
      <c r="AU3527" t="s">
        <v>269</v>
      </c>
      <c r="AV3527" s="14">
        <v>-1700</v>
      </c>
    </row>
    <row r="3528" spans="34:48">
      <c r="AH3528" t="s">
        <v>1939</v>
      </c>
      <c r="AI3528" t="s">
        <v>65</v>
      </c>
      <c r="AJ3528" t="s">
        <v>113</v>
      </c>
      <c r="AK3528" s="3" t="s">
        <v>27</v>
      </c>
      <c r="AL3528" s="3">
        <v>2891.5747437157002</v>
      </c>
      <c r="AS3528" t="s">
        <v>2246</v>
      </c>
      <c r="AT3528" t="s">
        <v>88</v>
      </c>
      <c r="AU3528" t="s">
        <v>270</v>
      </c>
      <c r="AV3528" s="14">
        <v>0</v>
      </c>
    </row>
    <row r="3529" spans="34:48">
      <c r="AH3529" t="s">
        <v>1939</v>
      </c>
      <c r="AI3529" t="s">
        <v>65</v>
      </c>
      <c r="AJ3529" t="s">
        <v>108</v>
      </c>
      <c r="AK3529" s="3" t="s">
        <v>27</v>
      </c>
      <c r="AL3529" s="3">
        <v>-946.94406371570005</v>
      </c>
      <c r="AS3529" t="s">
        <v>2247</v>
      </c>
      <c r="AT3529" t="s">
        <v>88</v>
      </c>
      <c r="AU3529" t="s">
        <v>109</v>
      </c>
      <c r="AV3529" s="14">
        <v>13126.383900000001</v>
      </c>
    </row>
    <row r="3530" spans="34:48">
      <c r="AH3530" t="s">
        <v>1939</v>
      </c>
      <c r="AI3530" t="s">
        <v>65</v>
      </c>
      <c r="AJ3530" t="s">
        <v>98</v>
      </c>
      <c r="AK3530" s="3" t="s">
        <v>27</v>
      </c>
      <c r="AL3530" s="3">
        <v>-1020.211055</v>
      </c>
      <c r="AS3530" t="s">
        <v>2247</v>
      </c>
      <c r="AT3530" t="s">
        <v>88</v>
      </c>
      <c r="AU3530" t="s">
        <v>110</v>
      </c>
      <c r="AV3530" s="14">
        <v>8700</v>
      </c>
    </row>
    <row r="3531" spans="34:48">
      <c r="AH3531" t="s">
        <v>1939</v>
      </c>
      <c r="AI3531" t="s">
        <v>67</v>
      </c>
      <c r="AJ3531" t="s">
        <v>66</v>
      </c>
      <c r="AK3531" s="3" t="s">
        <v>27</v>
      </c>
      <c r="AL3531" s="3">
        <v>-7196.5</v>
      </c>
      <c r="AS3531" t="s">
        <v>2247</v>
      </c>
      <c r="AT3531" t="s">
        <v>88</v>
      </c>
      <c r="AU3531" t="s">
        <v>111</v>
      </c>
      <c r="AV3531" s="14">
        <v>1500</v>
      </c>
    </row>
    <row r="3532" spans="34:48">
      <c r="AH3532" t="s">
        <v>1939</v>
      </c>
      <c r="AI3532" t="s">
        <v>67</v>
      </c>
      <c r="AJ3532" t="s">
        <v>72</v>
      </c>
      <c r="AK3532" s="3" t="s">
        <v>27</v>
      </c>
      <c r="AL3532" s="3">
        <v>-8919.2322899999999</v>
      </c>
      <c r="AS3532" t="s">
        <v>2247</v>
      </c>
      <c r="AT3532" t="s">
        <v>88</v>
      </c>
      <c r="AU3532" t="s">
        <v>268</v>
      </c>
      <c r="AV3532" s="14">
        <v>11670</v>
      </c>
    </row>
    <row r="3533" spans="34:48">
      <c r="AH3533" t="s">
        <v>1939</v>
      </c>
      <c r="AI3533" t="s">
        <v>67</v>
      </c>
      <c r="AJ3533" t="s">
        <v>113</v>
      </c>
      <c r="AK3533" s="3" t="s">
        <v>27</v>
      </c>
      <c r="AL3533" s="3">
        <v>-182.0222767123</v>
      </c>
      <c r="AS3533" t="s">
        <v>2247</v>
      </c>
      <c r="AT3533" t="s">
        <v>88</v>
      </c>
      <c r="AU3533" t="s">
        <v>269</v>
      </c>
      <c r="AV3533" s="14">
        <v>-1300</v>
      </c>
    </row>
    <row r="3534" spans="34:48">
      <c r="AH3534" t="s">
        <v>1939</v>
      </c>
      <c r="AI3534" t="s">
        <v>67</v>
      </c>
      <c r="AJ3534" t="s">
        <v>108</v>
      </c>
      <c r="AK3534" s="3" t="s">
        <v>27</v>
      </c>
      <c r="AL3534" s="3">
        <v>-1540.7100132876999</v>
      </c>
      <c r="AS3534" t="s">
        <v>2247</v>
      </c>
      <c r="AT3534" t="s">
        <v>88</v>
      </c>
      <c r="AU3534" t="s">
        <v>270</v>
      </c>
      <c r="AV3534" s="14">
        <v>0</v>
      </c>
    </row>
    <row r="3535" spans="34:48">
      <c r="AH3535" t="s">
        <v>1939</v>
      </c>
      <c r="AI3535" t="s">
        <v>67</v>
      </c>
      <c r="AJ3535" t="s">
        <v>98</v>
      </c>
      <c r="AK3535" s="3" t="s">
        <v>27</v>
      </c>
      <c r="AL3535" s="3">
        <v>196.41316499999999</v>
      </c>
      <c r="AS3535" t="s">
        <v>2249</v>
      </c>
      <c r="AT3535" t="s">
        <v>88</v>
      </c>
      <c r="AU3535" t="s">
        <v>109</v>
      </c>
      <c r="AV3535" s="14">
        <v>14026.383900000001</v>
      </c>
    </row>
    <row r="3536" spans="34:48">
      <c r="AH3536" t="s">
        <v>1939</v>
      </c>
      <c r="AI3536" t="s">
        <v>67</v>
      </c>
      <c r="AJ3536" t="s">
        <v>66</v>
      </c>
      <c r="AK3536" s="3" t="s">
        <v>114</v>
      </c>
      <c r="AL3536" s="3">
        <v>1288</v>
      </c>
      <c r="AS3536" t="s">
        <v>2249</v>
      </c>
      <c r="AT3536" t="s">
        <v>88</v>
      </c>
      <c r="AU3536" t="s">
        <v>110</v>
      </c>
      <c r="AV3536" s="14">
        <v>8400</v>
      </c>
    </row>
    <row r="3537" spans="34:48">
      <c r="AH3537" t="s">
        <v>1939</v>
      </c>
      <c r="AI3537" t="s">
        <v>67</v>
      </c>
      <c r="AJ3537" t="s">
        <v>98</v>
      </c>
      <c r="AK3537" s="3" t="s">
        <v>114</v>
      </c>
      <c r="AL3537" s="3">
        <v>-5.3749000000000002</v>
      </c>
      <c r="AS3537" t="s">
        <v>2249</v>
      </c>
      <c r="AT3537" t="s">
        <v>88</v>
      </c>
      <c r="AU3537" t="s">
        <v>111</v>
      </c>
      <c r="AV3537" s="14">
        <v>1500</v>
      </c>
    </row>
    <row r="3538" spans="34:48">
      <c r="AH3538" t="s">
        <v>1939</v>
      </c>
      <c r="AI3538" t="s">
        <v>67</v>
      </c>
      <c r="AJ3538" t="s">
        <v>66</v>
      </c>
      <c r="AK3538" s="3" t="s">
        <v>115</v>
      </c>
      <c r="AL3538" s="3">
        <v>8484.5</v>
      </c>
      <c r="AS3538" t="s">
        <v>2249</v>
      </c>
      <c r="AT3538" t="s">
        <v>88</v>
      </c>
      <c r="AU3538" t="s">
        <v>268</v>
      </c>
      <c r="AV3538" s="14">
        <v>10770</v>
      </c>
    </row>
    <row r="3539" spans="34:48">
      <c r="AH3539" t="s">
        <v>1939</v>
      </c>
      <c r="AI3539" t="s">
        <v>67</v>
      </c>
      <c r="AJ3539" t="s">
        <v>98</v>
      </c>
      <c r="AK3539" s="3" t="s">
        <v>115</v>
      </c>
      <c r="AL3539" s="3">
        <v>-201.78806499999999</v>
      </c>
      <c r="AS3539" t="s">
        <v>2249</v>
      </c>
      <c r="AT3539" t="s">
        <v>88</v>
      </c>
      <c r="AU3539" t="s">
        <v>269</v>
      </c>
      <c r="AV3539" s="14">
        <v>-1000</v>
      </c>
    </row>
    <row r="3540" spans="34:48">
      <c r="AH3540" t="s">
        <v>1939</v>
      </c>
      <c r="AI3540" t="s">
        <v>68</v>
      </c>
      <c r="AJ3540" t="s">
        <v>66</v>
      </c>
      <c r="AK3540" s="3" t="s">
        <v>27</v>
      </c>
      <c r="AL3540" s="3">
        <v>-13876.5</v>
      </c>
      <c r="AS3540" t="s">
        <v>2249</v>
      </c>
      <c r="AT3540" t="s">
        <v>88</v>
      </c>
      <c r="AU3540" t="s">
        <v>270</v>
      </c>
      <c r="AV3540" s="14">
        <v>0</v>
      </c>
    </row>
    <row r="3541" spans="34:48">
      <c r="AH3541" t="s">
        <v>1939</v>
      </c>
      <c r="AI3541" t="s">
        <v>68</v>
      </c>
      <c r="AJ3541" t="s">
        <v>72</v>
      </c>
      <c r="AK3541" s="3" t="s">
        <v>27</v>
      </c>
      <c r="AL3541" s="3">
        <v>-14467.734490000001</v>
      </c>
      <c r="AS3541" t="s">
        <v>2250</v>
      </c>
      <c r="AT3541" t="s">
        <v>88</v>
      </c>
      <c r="AU3541" t="s">
        <v>109</v>
      </c>
      <c r="AV3541" s="14">
        <v>12676.383900000001</v>
      </c>
    </row>
    <row r="3542" spans="34:48">
      <c r="AH3542" t="s">
        <v>1939</v>
      </c>
      <c r="AI3542" t="s">
        <v>68</v>
      </c>
      <c r="AJ3542" t="s">
        <v>113</v>
      </c>
      <c r="AK3542" s="3" t="s">
        <v>27</v>
      </c>
      <c r="AL3542" s="3">
        <v>77.052603972599996</v>
      </c>
      <c r="AS3542" t="s">
        <v>2250</v>
      </c>
      <c r="AT3542" t="s">
        <v>88</v>
      </c>
      <c r="AU3542" t="s">
        <v>110</v>
      </c>
      <c r="AV3542" s="405">
        <v>7400</v>
      </c>
    </row>
    <row r="3543" spans="34:48">
      <c r="AH3543" t="s">
        <v>1939</v>
      </c>
      <c r="AI3543" t="s">
        <v>68</v>
      </c>
      <c r="AJ3543" t="s">
        <v>108</v>
      </c>
      <c r="AK3543" s="3" t="s">
        <v>27</v>
      </c>
      <c r="AL3543" s="3">
        <v>-591.23449000000005</v>
      </c>
      <c r="AS3543" t="s">
        <v>2250</v>
      </c>
      <c r="AT3543" t="s">
        <v>88</v>
      </c>
      <c r="AU3543" t="s">
        <v>111</v>
      </c>
      <c r="AV3543" s="405">
        <v>1000</v>
      </c>
    </row>
    <row r="3544" spans="34:48">
      <c r="AH3544" t="s">
        <v>1939</v>
      </c>
      <c r="AI3544" t="s">
        <v>68</v>
      </c>
      <c r="AJ3544" t="s">
        <v>98</v>
      </c>
      <c r="AK3544" s="3" t="s">
        <v>27</v>
      </c>
      <c r="AL3544" s="3">
        <v>336.71557000000001</v>
      </c>
      <c r="AS3544" t="s">
        <v>2250</v>
      </c>
      <c r="AT3544" t="s">
        <v>88</v>
      </c>
      <c r="AU3544" t="s">
        <v>268</v>
      </c>
      <c r="AV3544" s="405">
        <v>12120</v>
      </c>
    </row>
    <row r="3545" spans="34:48">
      <c r="AH3545" t="s">
        <v>1939</v>
      </c>
      <c r="AI3545" t="s">
        <v>68</v>
      </c>
      <c r="AJ3545" t="s">
        <v>66</v>
      </c>
      <c r="AK3545" s="3" t="s">
        <v>114</v>
      </c>
      <c r="AL3545" s="3">
        <v>1682</v>
      </c>
      <c r="AS3545" t="s">
        <v>2250</v>
      </c>
      <c r="AT3545" t="s">
        <v>88</v>
      </c>
      <c r="AU3545" t="s">
        <v>269</v>
      </c>
      <c r="AV3545" s="405">
        <v>0</v>
      </c>
    </row>
    <row r="3546" spans="34:48">
      <c r="AH3546" t="s">
        <v>1939</v>
      </c>
      <c r="AI3546" t="s">
        <v>68</v>
      </c>
      <c r="AJ3546" t="s">
        <v>98</v>
      </c>
      <c r="AK3546" s="3" t="s">
        <v>114</v>
      </c>
      <c r="AL3546" s="3">
        <v>-39.32817</v>
      </c>
      <c r="AS3546" t="s">
        <v>2250</v>
      </c>
      <c r="AT3546" t="s">
        <v>88</v>
      </c>
      <c r="AU3546" t="s">
        <v>270</v>
      </c>
      <c r="AV3546" s="405">
        <v>500</v>
      </c>
    </row>
    <row r="3547" spans="34:48">
      <c r="AH3547" t="s">
        <v>1939</v>
      </c>
      <c r="AI3547" t="s">
        <v>68</v>
      </c>
      <c r="AJ3547" t="s">
        <v>66</v>
      </c>
      <c r="AK3547" s="3" t="s">
        <v>115</v>
      </c>
      <c r="AL3547" s="3">
        <v>15558.5</v>
      </c>
      <c r="AS3547" t="s">
        <v>2252</v>
      </c>
      <c r="AT3547" t="s">
        <v>88</v>
      </c>
      <c r="AU3547" t="s">
        <v>2304</v>
      </c>
      <c r="AV3547" s="405">
        <v>680</v>
      </c>
    </row>
    <row r="3548" spans="34:48">
      <c r="AH3548" t="s">
        <v>1939</v>
      </c>
      <c r="AI3548" t="s">
        <v>68</v>
      </c>
      <c r="AJ3548" t="s">
        <v>98</v>
      </c>
      <c r="AK3548" s="3" t="s">
        <v>115</v>
      </c>
      <c r="AL3548" s="3">
        <v>-376.04374000000001</v>
      </c>
      <c r="AS3548" t="s">
        <v>2253</v>
      </c>
      <c r="AT3548" t="s">
        <v>88</v>
      </c>
      <c r="AU3548" t="s">
        <v>2304</v>
      </c>
      <c r="AV3548" s="405">
        <v>-500</v>
      </c>
    </row>
    <row r="3549" spans="34:48">
      <c r="AH3549" t="s">
        <v>1940</v>
      </c>
      <c r="AI3549" t="s">
        <v>65</v>
      </c>
      <c r="AJ3549" t="s">
        <v>66</v>
      </c>
      <c r="AK3549" s="3" t="s">
        <v>27</v>
      </c>
      <c r="AL3549" s="3">
        <v>28963</v>
      </c>
      <c r="AS3549" t="s">
        <v>2255</v>
      </c>
      <c r="AT3549" t="s">
        <v>88</v>
      </c>
      <c r="AU3549" t="s">
        <v>2304</v>
      </c>
      <c r="AV3549" s="405">
        <v>0</v>
      </c>
    </row>
    <row r="3550" spans="34:48">
      <c r="AH3550" t="s">
        <v>1940</v>
      </c>
      <c r="AI3550" t="s">
        <v>65</v>
      </c>
      <c r="AJ3550" t="s">
        <v>72</v>
      </c>
      <c r="AK3550" s="3" t="s">
        <v>27</v>
      </c>
      <c r="AL3550" s="3">
        <v>30898.301674999999</v>
      </c>
      <c r="AS3550" t="s">
        <v>2256</v>
      </c>
      <c r="AT3550" t="s">
        <v>88</v>
      </c>
      <c r="AU3550" t="s">
        <v>2304</v>
      </c>
      <c r="AV3550" s="405">
        <v>0</v>
      </c>
    </row>
    <row r="3551" spans="34:48">
      <c r="AH3551" t="s">
        <v>1940</v>
      </c>
      <c r="AI3551" t="s">
        <v>65</v>
      </c>
      <c r="AJ3551" t="s">
        <v>113</v>
      </c>
      <c r="AK3551" s="3" t="s">
        <v>27</v>
      </c>
      <c r="AL3551" s="3">
        <v>2902.4235029658998</v>
      </c>
      <c r="AS3551" t="s">
        <v>2257</v>
      </c>
      <c r="AT3551" t="s">
        <v>88</v>
      </c>
      <c r="AU3551" t="s">
        <v>2304</v>
      </c>
      <c r="AV3551" s="405">
        <v>0</v>
      </c>
    </row>
    <row r="3552" spans="34:48">
      <c r="AH3552" t="s">
        <v>1940</v>
      </c>
      <c r="AI3552" t="s">
        <v>65</v>
      </c>
      <c r="AJ3552" t="s">
        <v>108</v>
      </c>
      <c r="AK3552" s="3" t="s">
        <v>27</v>
      </c>
      <c r="AL3552" s="3">
        <v>-967.12182796590002</v>
      </c>
      <c r="AS3552" t="s">
        <v>2258</v>
      </c>
      <c r="AT3552" t="s">
        <v>88</v>
      </c>
      <c r="AU3552" t="s">
        <v>2304</v>
      </c>
      <c r="AV3552" s="405">
        <v>0</v>
      </c>
    </row>
    <row r="3553" spans="34:48">
      <c r="AH3553" t="s">
        <v>1940</v>
      </c>
      <c r="AI3553" t="s">
        <v>65</v>
      </c>
      <c r="AJ3553" t="s">
        <v>98</v>
      </c>
      <c r="AK3553" s="3" t="s">
        <v>27</v>
      </c>
      <c r="AL3553" s="3">
        <v>-1039.62066</v>
      </c>
      <c r="AS3553" t="s">
        <v>2259</v>
      </c>
      <c r="AT3553" t="s">
        <v>88</v>
      </c>
      <c r="AU3553" t="s">
        <v>2304</v>
      </c>
      <c r="AV3553" s="405">
        <v>0</v>
      </c>
    </row>
    <row r="3554" spans="34:48">
      <c r="AH3554" t="s">
        <v>1940</v>
      </c>
      <c r="AI3554" t="s">
        <v>67</v>
      </c>
      <c r="AJ3554" t="s">
        <v>66</v>
      </c>
      <c r="AK3554" s="3" t="s">
        <v>27</v>
      </c>
      <c r="AL3554" s="3">
        <v>-7393.5</v>
      </c>
    </row>
    <row r="3555" spans="34:48">
      <c r="AH3555" t="s">
        <v>1940</v>
      </c>
      <c r="AI3555" t="s">
        <v>67</v>
      </c>
      <c r="AJ3555" t="s">
        <v>72</v>
      </c>
      <c r="AK3555" s="3" t="s">
        <v>27</v>
      </c>
      <c r="AL3555" s="3">
        <v>-9048.0879050000003</v>
      </c>
    </row>
    <row r="3556" spans="34:48">
      <c r="AH3556" t="s">
        <v>1940</v>
      </c>
      <c r="AI3556" t="s">
        <v>67</v>
      </c>
      <c r="AJ3556" t="s">
        <v>113</v>
      </c>
      <c r="AK3556" s="3" t="s">
        <v>27</v>
      </c>
      <c r="AL3556" s="3">
        <v>-198.82573972599999</v>
      </c>
    </row>
    <row r="3557" spans="34:48">
      <c r="AH3557" t="s">
        <v>1940</v>
      </c>
      <c r="AI3557" t="s">
        <v>67</v>
      </c>
      <c r="AJ3557" t="s">
        <v>108</v>
      </c>
      <c r="AK3557" s="3" t="s">
        <v>27</v>
      </c>
      <c r="AL3557" s="3">
        <v>-1455.7621652739999</v>
      </c>
    </row>
    <row r="3558" spans="34:48">
      <c r="AH3558" t="s">
        <v>1940</v>
      </c>
      <c r="AI3558" t="s">
        <v>67</v>
      </c>
      <c r="AJ3558" t="s">
        <v>98</v>
      </c>
      <c r="AK3558" s="3" t="s">
        <v>27</v>
      </c>
      <c r="AL3558" s="3">
        <v>221.33161999999999</v>
      </c>
    </row>
    <row r="3559" spans="34:48">
      <c r="AH3559" t="s">
        <v>1940</v>
      </c>
      <c r="AI3559" t="s">
        <v>67</v>
      </c>
      <c r="AJ3559" t="s">
        <v>66</v>
      </c>
      <c r="AK3559" s="3" t="s">
        <v>114</v>
      </c>
      <c r="AL3559" s="3">
        <v>1250</v>
      </c>
    </row>
    <row r="3560" spans="34:48">
      <c r="AH3560" t="s">
        <v>1940</v>
      </c>
      <c r="AI3560" t="s">
        <v>67</v>
      </c>
      <c r="AJ3560" t="s">
        <v>98</v>
      </c>
      <c r="AK3560" s="3" t="s">
        <v>114</v>
      </c>
      <c r="AL3560" s="3">
        <v>4.9660000000000002</v>
      </c>
    </row>
    <row r="3561" spans="34:48">
      <c r="AH3561" t="s">
        <v>1940</v>
      </c>
      <c r="AI3561" t="s">
        <v>67</v>
      </c>
      <c r="AJ3561" t="s">
        <v>66</v>
      </c>
      <c r="AK3561" s="3" t="s">
        <v>115</v>
      </c>
      <c r="AL3561" s="3">
        <v>8643.5</v>
      </c>
    </row>
    <row r="3562" spans="34:48">
      <c r="AH3562" t="s">
        <v>1940</v>
      </c>
      <c r="AI3562" t="s">
        <v>67</v>
      </c>
      <c r="AJ3562" t="s">
        <v>98</v>
      </c>
      <c r="AK3562" s="3" t="s">
        <v>115</v>
      </c>
      <c r="AL3562" s="3">
        <v>-216.36562000000001</v>
      </c>
    </row>
    <row r="3563" spans="34:48">
      <c r="AH3563" t="s">
        <v>1940</v>
      </c>
      <c r="AI3563" t="s">
        <v>68</v>
      </c>
      <c r="AJ3563" t="s">
        <v>66</v>
      </c>
      <c r="AK3563" s="3" t="s">
        <v>27</v>
      </c>
      <c r="AL3563" s="3">
        <v>-13967.5</v>
      </c>
    </row>
    <row r="3564" spans="34:48">
      <c r="AH3564" t="s">
        <v>1940</v>
      </c>
      <c r="AI3564" t="s">
        <v>68</v>
      </c>
      <c r="AJ3564" t="s">
        <v>72</v>
      </c>
      <c r="AK3564" s="3" t="s">
        <v>27</v>
      </c>
      <c r="AL3564" s="3">
        <v>-14616.257449999999</v>
      </c>
    </row>
    <row r="3565" spans="34:48">
      <c r="AH3565" t="s">
        <v>1940</v>
      </c>
      <c r="AI3565" t="s">
        <v>68</v>
      </c>
      <c r="AJ3565" t="s">
        <v>113</v>
      </c>
      <c r="AK3565" s="3" t="s">
        <v>27</v>
      </c>
      <c r="AL3565" s="3">
        <v>28.448791780800001</v>
      </c>
    </row>
    <row r="3566" spans="34:48">
      <c r="AH3566" t="s">
        <v>1940</v>
      </c>
      <c r="AI3566" t="s">
        <v>68</v>
      </c>
      <c r="AJ3566" t="s">
        <v>108</v>
      </c>
      <c r="AK3566" s="3" t="s">
        <v>27</v>
      </c>
      <c r="AL3566" s="3">
        <v>-648.75744999999995</v>
      </c>
    </row>
    <row r="3567" spans="34:48">
      <c r="AH3567" t="s">
        <v>1940</v>
      </c>
      <c r="AI3567" t="s">
        <v>68</v>
      </c>
      <c r="AJ3567" t="s">
        <v>98</v>
      </c>
      <c r="AK3567" s="3" t="s">
        <v>27</v>
      </c>
      <c r="AL3567" s="3">
        <v>332.89314000000002</v>
      </c>
    </row>
    <row r="3568" spans="34:48">
      <c r="AH3568" t="s">
        <v>1940</v>
      </c>
      <c r="AI3568" t="s">
        <v>68</v>
      </c>
      <c r="AJ3568" t="s">
        <v>66</v>
      </c>
      <c r="AK3568" s="3" t="s">
        <v>114</v>
      </c>
      <c r="AL3568" s="3">
        <v>1613</v>
      </c>
    </row>
    <row r="3569" spans="34:38">
      <c r="AH3569" t="s">
        <v>1940</v>
      </c>
      <c r="AI3569" t="s">
        <v>68</v>
      </c>
      <c r="AJ3569" t="s">
        <v>98</v>
      </c>
      <c r="AK3569" s="3" t="s">
        <v>114</v>
      </c>
      <c r="AL3569" s="3">
        <v>-37.312109999999997</v>
      </c>
    </row>
    <row r="3570" spans="34:38">
      <c r="AH3570" t="s">
        <v>1940</v>
      </c>
      <c r="AI3570" t="s">
        <v>68</v>
      </c>
      <c r="AJ3570" t="s">
        <v>66</v>
      </c>
      <c r="AK3570" s="3" t="s">
        <v>115</v>
      </c>
      <c r="AL3570" s="3">
        <v>15580.5</v>
      </c>
    </row>
    <row r="3571" spans="34:38">
      <c r="AH3571" t="s">
        <v>1940</v>
      </c>
      <c r="AI3571" t="s">
        <v>68</v>
      </c>
      <c r="AJ3571" t="s">
        <v>98</v>
      </c>
      <c r="AK3571" s="3" t="s">
        <v>115</v>
      </c>
      <c r="AL3571" s="3">
        <v>-370.20524999999998</v>
      </c>
    </row>
    <row r="3572" spans="34:38">
      <c r="AH3572" t="s">
        <v>1941</v>
      </c>
      <c r="AI3572" t="s">
        <v>65</v>
      </c>
      <c r="AJ3572" t="s">
        <v>66</v>
      </c>
      <c r="AK3572" s="3" t="s">
        <v>27</v>
      </c>
      <c r="AL3572" s="3">
        <v>28963</v>
      </c>
    </row>
    <row r="3573" spans="34:38">
      <c r="AH3573" t="s">
        <v>1941</v>
      </c>
      <c r="AI3573" t="s">
        <v>65</v>
      </c>
      <c r="AJ3573" t="s">
        <v>72</v>
      </c>
      <c r="AK3573" s="3" t="s">
        <v>27</v>
      </c>
      <c r="AL3573" s="3">
        <v>30899.694055</v>
      </c>
    </row>
    <row r="3574" spans="34:38">
      <c r="AH3574" t="s">
        <v>1941</v>
      </c>
      <c r="AI3574" t="s">
        <v>65</v>
      </c>
      <c r="AJ3574" t="s">
        <v>113</v>
      </c>
      <c r="AK3574" s="3" t="s">
        <v>27</v>
      </c>
      <c r="AL3574" s="3">
        <v>2910.2140938081002</v>
      </c>
    </row>
    <row r="3575" spans="34:38">
      <c r="AH3575" t="s">
        <v>1941</v>
      </c>
      <c r="AI3575" t="s">
        <v>65</v>
      </c>
      <c r="AJ3575" t="s">
        <v>108</v>
      </c>
      <c r="AK3575" s="3" t="s">
        <v>27</v>
      </c>
      <c r="AL3575" s="3">
        <v>-973.52003880810003</v>
      </c>
    </row>
    <row r="3576" spans="34:38">
      <c r="AH3576" t="s">
        <v>1941</v>
      </c>
      <c r="AI3576" t="s">
        <v>65</v>
      </c>
      <c r="AJ3576" t="s">
        <v>98</v>
      </c>
      <c r="AK3576" s="3" t="s">
        <v>27</v>
      </c>
      <c r="AL3576" s="3">
        <v>-1038.22828</v>
      </c>
    </row>
    <row r="3577" spans="34:38">
      <c r="AH3577" t="s">
        <v>1941</v>
      </c>
      <c r="AI3577" t="s">
        <v>67</v>
      </c>
      <c r="AJ3577" t="s">
        <v>66</v>
      </c>
      <c r="AK3577" s="3" t="s">
        <v>27</v>
      </c>
      <c r="AL3577" s="3">
        <v>-8155.5</v>
      </c>
    </row>
    <row r="3578" spans="34:38">
      <c r="AH3578" t="s">
        <v>1941</v>
      </c>
      <c r="AI3578" t="s">
        <v>67</v>
      </c>
      <c r="AJ3578" t="s">
        <v>72</v>
      </c>
      <c r="AK3578" s="3" t="s">
        <v>27</v>
      </c>
      <c r="AL3578" s="3">
        <v>-9648.5635450000009</v>
      </c>
    </row>
    <row r="3579" spans="34:38">
      <c r="AH3579" t="s">
        <v>1941</v>
      </c>
      <c r="AI3579" t="s">
        <v>67</v>
      </c>
      <c r="AJ3579" t="s">
        <v>113</v>
      </c>
      <c r="AK3579" s="3" t="s">
        <v>27</v>
      </c>
      <c r="AL3579" s="3">
        <v>0</v>
      </c>
    </row>
    <row r="3580" spans="34:38">
      <c r="AH3580" t="s">
        <v>1941</v>
      </c>
      <c r="AI3580" t="s">
        <v>67</v>
      </c>
      <c r="AJ3580" t="s">
        <v>108</v>
      </c>
      <c r="AK3580" s="3" t="s">
        <v>27</v>
      </c>
      <c r="AL3580" s="3">
        <v>-1493.063545</v>
      </c>
    </row>
    <row r="3581" spans="34:38">
      <c r="AH3581" t="s">
        <v>1941</v>
      </c>
      <c r="AI3581" t="s">
        <v>67</v>
      </c>
      <c r="AJ3581" t="s">
        <v>98</v>
      </c>
      <c r="AK3581" s="3" t="s">
        <v>27</v>
      </c>
      <c r="AL3581" s="3">
        <v>189.80303000000001</v>
      </c>
    </row>
    <row r="3582" spans="34:38">
      <c r="AH3582" t="s">
        <v>1941</v>
      </c>
      <c r="AI3582" t="s">
        <v>67</v>
      </c>
      <c r="AJ3582" t="s">
        <v>66</v>
      </c>
      <c r="AK3582" s="3" t="s">
        <v>114</v>
      </c>
      <c r="AL3582" s="3">
        <v>0</v>
      </c>
    </row>
    <row r="3583" spans="34:38">
      <c r="AH3583" t="s">
        <v>1941</v>
      </c>
      <c r="AI3583" t="s">
        <v>67</v>
      </c>
      <c r="AJ3583" t="s">
        <v>98</v>
      </c>
      <c r="AK3583" s="3" t="s">
        <v>114</v>
      </c>
      <c r="AL3583" s="3">
        <v>0</v>
      </c>
    </row>
    <row r="3584" spans="34:38">
      <c r="AH3584" t="s">
        <v>1941</v>
      </c>
      <c r="AI3584" t="s">
        <v>67</v>
      </c>
      <c r="AJ3584" t="s">
        <v>66</v>
      </c>
      <c r="AK3584" s="3" t="s">
        <v>115</v>
      </c>
      <c r="AL3584" s="3">
        <v>8155.5</v>
      </c>
    </row>
    <row r="3585" spans="34:38">
      <c r="AH3585" t="s">
        <v>1941</v>
      </c>
      <c r="AI3585" t="s">
        <v>67</v>
      </c>
      <c r="AJ3585" t="s">
        <v>98</v>
      </c>
      <c r="AK3585" s="3" t="s">
        <v>115</v>
      </c>
      <c r="AL3585" s="3">
        <v>-189.80303000000001</v>
      </c>
    </row>
    <row r="3586" spans="34:38">
      <c r="AH3586" t="s">
        <v>1941</v>
      </c>
      <c r="AI3586" t="s">
        <v>68</v>
      </c>
      <c r="AJ3586" t="s">
        <v>66</v>
      </c>
      <c r="AK3586" s="3" t="s">
        <v>27</v>
      </c>
      <c r="AL3586" s="3">
        <v>-13205.5</v>
      </c>
    </row>
    <row r="3587" spans="34:38">
      <c r="AH3587" t="s">
        <v>1941</v>
      </c>
      <c r="AI3587" t="s">
        <v>68</v>
      </c>
      <c r="AJ3587" t="s">
        <v>72</v>
      </c>
      <c r="AK3587" s="3" t="s">
        <v>27</v>
      </c>
      <c r="AL3587" s="3">
        <v>-14018.94457</v>
      </c>
    </row>
    <row r="3588" spans="34:38">
      <c r="AH3588" t="s">
        <v>1941</v>
      </c>
      <c r="AI3588" t="s">
        <v>68</v>
      </c>
      <c r="AJ3588" t="s">
        <v>113</v>
      </c>
      <c r="AK3588" s="3" t="s">
        <v>27</v>
      </c>
      <c r="AL3588" s="3">
        <v>-216.6118890411</v>
      </c>
    </row>
    <row r="3589" spans="34:38">
      <c r="AH3589" t="s">
        <v>1941</v>
      </c>
      <c r="AI3589" t="s">
        <v>68</v>
      </c>
      <c r="AJ3589" t="s">
        <v>108</v>
      </c>
      <c r="AK3589" s="3" t="s">
        <v>27</v>
      </c>
      <c r="AL3589" s="3">
        <v>-813.44457</v>
      </c>
    </row>
    <row r="3590" spans="34:38">
      <c r="AH3590" t="s">
        <v>1941</v>
      </c>
      <c r="AI3590" t="s">
        <v>68</v>
      </c>
      <c r="AJ3590" t="s">
        <v>98</v>
      </c>
      <c r="AK3590" s="3" t="s">
        <v>27</v>
      </c>
      <c r="AL3590" s="3">
        <v>361.25596999999999</v>
      </c>
    </row>
    <row r="3591" spans="34:38">
      <c r="AH3591" t="s">
        <v>1941</v>
      </c>
      <c r="AI3591" t="s">
        <v>68</v>
      </c>
      <c r="AJ3591" t="s">
        <v>66</v>
      </c>
      <c r="AK3591" s="3" t="s">
        <v>114</v>
      </c>
      <c r="AL3591" s="3">
        <v>2718</v>
      </c>
    </row>
    <row r="3592" spans="34:38">
      <c r="AH3592" t="s">
        <v>1941</v>
      </c>
      <c r="AI3592" t="s">
        <v>68</v>
      </c>
      <c r="AJ3592" t="s">
        <v>98</v>
      </c>
      <c r="AK3592" s="3" t="s">
        <v>114</v>
      </c>
      <c r="AL3592" s="3">
        <v>-24.324179999999998</v>
      </c>
    </row>
    <row r="3593" spans="34:38">
      <c r="AH3593" t="s">
        <v>1941</v>
      </c>
      <c r="AI3593" t="s">
        <v>68</v>
      </c>
      <c r="AJ3593" t="s">
        <v>66</v>
      </c>
      <c r="AK3593" s="3" t="s">
        <v>115</v>
      </c>
      <c r="AL3593" s="3">
        <v>15923.5</v>
      </c>
    </row>
    <row r="3594" spans="34:38">
      <c r="AH3594" t="s">
        <v>1941</v>
      </c>
      <c r="AI3594" t="s">
        <v>68</v>
      </c>
      <c r="AJ3594" t="s">
        <v>98</v>
      </c>
      <c r="AK3594" s="3" t="s">
        <v>115</v>
      </c>
      <c r="AL3594" s="3">
        <v>-385.58015</v>
      </c>
    </row>
    <row r="3595" spans="34:38">
      <c r="AH3595" t="s">
        <v>1942</v>
      </c>
      <c r="AI3595" t="s">
        <v>65</v>
      </c>
      <c r="AJ3595" t="s">
        <v>66</v>
      </c>
      <c r="AK3595" s="3" t="s">
        <v>27</v>
      </c>
      <c r="AL3595" s="3">
        <v>28890</v>
      </c>
    </row>
    <row r="3596" spans="34:38">
      <c r="AH3596" t="s">
        <v>1942</v>
      </c>
      <c r="AI3596" t="s">
        <v>65</v>
      </c>
      <c r="AJ3596" t="s">
        <v>72</v>
      </c>
      <c r="AK3596" s="3" t="s">
        <v>27</v>
      </c>
      <c r="AL3596" s="3">
        <v>30791.227340000001</v>
      </c>
    </row>
    <row r="3597" spans="34:38">
      <c r="AH3597" t="s">
        <v>1942</v>
      </c>
      <c r="AI3597" t="s">
        <v>65</v>
      </c>
      <c r="AJ3597" t="s">
        <v>113</v>
      </c>
      <c r="AK3597" s="3" t="s">
        <v>27</v>
      </c>
      <c r="AL3597" s="3">
        <v>2872.4881328923002</v>
      </c>
    </row>
    <row r="3598" spans="34:38">
      <c r="AH3598" t="s">
        <v>1942</v>
      </c>
      <c r="AI3598" t="s">
        <v>65</v>
      </c>
      <c r="AJ3598" t="s">
        <v>108</v>
      </c>
      <c r="AK3598" s="3" t="s">
        <v>27</v>
      </c>
      <c r="AL3598" s="3">
        <v>-971.26079289229995</v>
      </c>
    </row>
    <row r="3599" spans="34:38">
      <c r="AH3599" t="s">
        <v>1942</v>
      </c>
      <c r="AI3599" t="s">
        <v>65</v>
      </c>
      <c r="AJ3599" t="s">
        <v>98</v>
      </c>
      <c r="AK3599" s="3" t="s">
        <v>27</v>
      </c>
      <c r="AL3599" s="3">
        <v>-1035.1896850000001</v>
      </c>
    </row>
    <row r="3600" spans="34:38">
      <c r="AH3600" t="s">
        <v>1942</v>
      </c>
      <c r="AI3600" t="s">
        <v>67</v>
      </c>
      <c r="AJ3600" t="s">
        <v>66</v>
      </c>
      <c r="AK3600" s="3" t="s">
        <v>27</v>
      </c>
      <c r="AL3600" s="3">
        <v>-8082.5</v>
      </c>
    </row>
    <row r="3601" spans="34:38">
      <c r="AH3601" t="s">
        <v>1942</v>
      </c>
      <c r="AI3601" t="s">
        <v>67</v>
      </c>
      <c r="AJ3601" t="s">
        <v>72</v>
      </c>
      <c r="AK3601" s="3" t="s">
        <v>27</v>
      </c>
      <c r="AL3601" s="3">
        <v>-9540.5845599999993</v>
      </c>
    </row>
    <row r="3602" spans="34:38">
      <c r="AH3602" t="s">
        <v>1942</v>
      </c>
      <c r="AI3602" t="s">
        <v>67</v>
      </c>
      <c r="AJ3602" t="s">
        <v>113</v>
      </c>
      <c r="AK3602" s="3" t="s">
        <v>27</v>
      </c>
      <c r="AL3602" s="3">
        <v>38.505020000000002</v>
      </c>
    </row>
    <row r="3603" spans="34:38">
      <c r="AH3603" t="s">
        <v>1942</v>
      </c>
      <c r="AI3603" t="s">
        <v>67</v>
      </c>
      <c r="AJ3603" t="s">
        <v>108</v>
      </c>
      <c r="AK3603" s="3" t="s">
        <v>27</v>
      </c>
      <c r="AL3603" s="3">
        <v>-1496.5895800000001</v>
      </c>
    </row>
    <row r="3604" spans="34:38">
      <c r="AH3604" t="s">
        <v>1942</v>
      </c>
      <c r="AI3604" t="s">
        <v>67</v>
      </c>
      <c r="AJ3604" t="s">
        <v>98</v>
      </c>
      <c r="AK3604" s="3" t="s">
        <v>27</v>
      </c>
      <c r="AL3604" s="3">
        <v>186.27670499999999</v>
      </c>
    </row>
    <row r="3605" spans="34:38">
      <c r="AH3605" t="s">
        <v>1942</v>
      </c>
      <c r="AI3605" t="s">
        <v>67</v>
      </c>
      <c r="AJ3605" t="s">
        <v>66</v>
      </c>
      <c r="AK3605" s="3" t="s">
        <v>114</v>
      </c>
      <c r="AL3605" s="3">
        <v>73</v>
      </c>
    </row>
    <row r="3606" spans="34:38">
      <c r="AH3606" t="s">
        <v>1942</v>
      </c>
      <c r="AI3606" t="s">
        <v>67</v>
      </c>
      <c r="AJ3606" t="s">
        <v>98</v>
      </c>
      <c r="AK3606" s="3" t="s">
        <v>114</v>
      </c>
      <c r="AL3606" s="3">
        <v>-3.4638499999999999</v>
      </c>
    </row>
    <row r="3607" spans="34:38">
      <c r="AH3607" t="s">
        <v>1942</v>
      </c>
      <c r="AI3607" t="s">
        <v>67</v>
      </c>
      <c r="AJ3607" t="s">
        <v>66</v>
      </c>
      <c r="AK3607" s="3" t="s">
        <v>115</v>
      </c>
      <c r="AL3607" s="3">
        <v>8155.5</v>
      </c>
    </row>
    <row r="3608" spans="34:38">
      <c r="AH3608" t="s">
        <v>1942</v>
      </c>
      <c r="AI3608" t="s">
        <v>67</v>
      </c>
      <c r="AJ3608" t="s">
        <v>98</v>
      </c>
      <c r="AK3608" s="3" t="s">
        <v>115</v>
      </c>
      <c r="AL3608" s="3">
        <v>-189.740555</v>
      </c>
    </row>
    <row r="3609" spans="34:38">
      <c r="AH3609" t="s">
        <v>1942</v>
      </c>
      <c r="AI3609" t="s">
        <v>68</v>
      </c>
      <c r="AJ3609" t="s">
        <v>66</v>
      </c>
      <c r="AK3609" s="3" t="s">
        <v>27</v>
      </c>
      <c r="AL3609" s="3">
        <v>-13205.5</v>
      </c>
    </row>
    <row r="3610" spans="34:38">
      <c r="AH3610" t="s">
        <v>1942</v>
      </c>
      <c r="AI3610" t="s">
        <v>68</v>
      </c>
      <c r="AJ3610" t="s">
        <v>72</v>
      </c>
      <c r="AK3610" s="3" t="s">
        <v>27</v>
      </c>
      <c r="AL3610" s="3">
        <v>-14018.720160000001</v>
      </c>
    </row>
    <row r="3611" spans="34:38">
      <c r="AH3611" t="s">
        <v>1942</v>
      </c>
      <c r="AI3611" t="s">
        <v>68</v>
      </c>
      <c r="AJ3611" t="s">
        <v>113</v>
      </c>
      <c r="AK3611" s="3" t="s">
        <v>27</v>
      </c>
      <c r="AL3611" s="3">
        <v>-225.5901191781</v>
      </c>
    </row>
    <row r="3612" spans="34:38">
      <c r="AH3612" t="s">
        <v>1942</v>
      </c>
      <c r="AI3612" t="s">
        <v>68</v>
      </c>
      <c r="AJ3612" t="s">
        <v>108</v>
      </c>
      <c r="AK3612" s="3" t="s">
        <v>27</v>
      </c>
      <c r="AL3612" s="3">
        <v>-813.22015999999996</v>
      </c>
    </row>
    <row r="3613" spans="34:38">
      <c r="AH3613" t="s">
        <v>1942</v>
      </c>
      <c r="AI3613" t="s">
        <v>68</v>
      </c>
      <c r="AJ3613" t="s">
        <v>98</v>
      </c>
      <c r="AK3613" s="3" t="s">
        <v>27</v>
      </c>
      <c r="AL3613" s="3">
        <v>364.34742</v>
      </c>
    </row>
    <row r="3614" spans="34:38">
      <c r="AH3614" t="s">
        <v>1942</v>
      </c>
      <c r="AI3614" t="s">
        <v>68</v>
      </c>
      <c r="AJ3614" t="s">
        <v>66</v>
      </c>
      <c r="AK3614" s="3" t="s">
        <v>114</v>
      </c>
      <c r="AL3614" s="3">
        <v>2630</v>
      </c>
    </row>
    <row r="3615" spans="34:38">
      <c r="AH3615" t="s">
        <v>1942</v>
      </c>
      <c r="AI3615" t="s">
        <v>68</v>
      </c>
      <c r="AJ3615" t="s">
        <v>98</v>
      </c>
      <c r="AK3615" s="3" t="s">
        <v>114</v>
      </c>
      <c r="AL3615" s="3">
        <v>-21.445399999999999</v>
      </c>
    </row>
    <row r="3616" spans="34:38">
      <c r="AH3616" t="s">
        <v>1942</v>
      </c>
      <c r="AI3616" t="s">
        <v>68</v>
      </c>
      <c r="AJ3616" t="s">
        <v>66</v>
      </c>
      <c r="AK3616" s="3" t="s">
        <v>115</v>
      </c>
      <c r="AL3616" s="3">
        <v>15835.5</v>
      </c>
    </row>
    <row r="3617" spans="34:38">
      <c r="AH3617" t="s">
        <v>1942</v>
      </c>
      <c r="AI3617" t="s">
        <v>68</v>
      </c>
      <c r="AJ3617" t="s">
        <v>98</v>
      </c>
      <c r="AK3617" s="3" t="s">
        <v>115</v>
      </c>
      <c r="AL3617" s="3">
        <v>-385.79282000000001</v>
      </c>
    </row>
    <row r="3618" spans="34:38">
      <c r="AH3618" t="s">
        <v>1943</v>
      </c>
      <c r="AI3618" t="s">
        <v>65</v>
      </c>
      <c r="AJ3618" t="s">
        <v>66</v>
      </c>
      <c r="AK3618" s="3" t="s">
        <v>27</v>
      </c>
      <c r="AL3618" s="3">
        <v>28612</v>
      </c>
    </row>
    <row r="3619" spans="34:38">
      <c r="AH3619" t="s">
        <v>1943</v>
      </c>
      <c r="AI3619" t="s">
        <v>65</v>
      </c>
      <c r="AJ3619" t="s">
        <v>72</v>
      </c>
      <c r="AK3619" s="3" t="s">
        <v>27</v>
      </c>
      <c r="AL3619" s="3">
        <v>30530.630564999999</v>
      </c>
    </row>
    <row r="3620" spans="34:38">
      <c r="AH3620" t="s">
        <v>1943</v>
      </c>
      <c r="AI3620" t="s">
        <v>65</v>
      </c>
      <c r="AJ3620" t="s">
        <v>113</v>
      </c>
      <c r="AK3620" s="3" t="s">
        <v>27</v>
      </c>
      <c r="AL3620" s="3">
        <v>2876.8699988199</v>
      </c>
    </row>
    <row r="3621" spans="34:38">
      <c r="AH3621" t="s">
        <v>1943</v>
      </c>
      <c r="AI3621" t="s">
        <v>65</v>
      </c>
      <c r="AJ3621" t="s">
        <v>108</v>
      </c>
      <c r="AK3621" s="3" t="s">
        <v>27</v>
      </c>
      <c r="AL3621" s="3">
        <v>-958.2394338199</v>
      </c>
    </row>
    <row r="3622" spans="34:38">
      <c r="AH3622" t="s">
        <v>1943</v>
      </c>
      <c r="AI3622" t="s">
        <v>65</v>
      </c>
      <c r="AJ3622" t="s">
        <v>98</v>
      </c>
      <c r="AK3622" s="3" t="s">
        <v>27</v>
      </c>
      <c r="AL3622" s="3">
        <v>-1021.3949</v>
      </c>
    </row>
    <row r="3623" spans="34:38">
      <c r="AH3623" t="s">
        <v>1943</v>
      </c>
      <c r="AI3623" t="s">
        <v>67</v>
      </c>
      <c r="AJ3623" t="s">
        <v>66</v>
      </c>
      <c r="AK3623" s="3" t="s">
        <v>27</v>
      </c>
      <c r="AL3623" s="3">
        <v>-7877.5</v>
      </c>
    </row>
    <row r="3624" spans="34:38">
      <c r="AH3624" t="s">
        <v>1943</v>
      </c>
      <c r="AI3624" t="s">
        <v>67</v>
      </c>
      <c r="AJ3624" t="s">
        <v>72</v>
      </c>
      <c r="AK3624" s="3" t="s">
        <v>27</v>
      </c>
      <c r="AL3624" s="3">
        <v>-9387.5692749999998</v>
      </c>
    </row>
    <row r="3625" spans="34:38">
      <c r="AH3625" t="s">
        <v>1943</v>
      </c>
      <c r="AI3625" t="s">
        <v>67</v>
      </c>
      <c r="AJ3625" t="s">
        <v>113</v>
      </c>
      <c r="AK3625" s="3" t="s">
        <v>27</v>
      </c>
      <c r="AL3625" s="3">
        <v>-3.6077926027</v>
      </c>
    </row>
    <row r="3626" spans="34:38">
      <c r="AH3626" t="s">
        <v>1943</v>
      </c>
      <c r="AI3626" t="s">
        <v>67</v>
      </c>
      <c r="AJ3626" t="s">
        <v>108</v>
      </c>
      <c r="AK3626" s="3" t="s">
        <v>27</v>
      </c>
      <c r="AL3626" s="3">
        <v>-1506.4614823973</v>
      </c>
    </row>
    <row r="3627" spans="34:38">
      <c r="AH3627" t="s">
        <v>1943</v>
      </c>
      <c r="AI3627" t="s">
        <v>67</v>
      </c>
      <c r="AJ3627" t="s">
        <v>98</v>
      </c>
      <c r="AK3627" s="3" t="s">
        <v>27</v>
      </c>
      <c r="AL3627" s="3">
        <v>173.53870000000001</v>
      </c>
    </row>
    <row r="3628" spans="34:38">
      <c r="AH3628" t="s">
        <v>1943</v>
      </c>
      <c r="AI3628" t="s">
        <v>67</v>
      </c>
      <c r="AJ3628" t="s">
        <v>66</v>
      </c>
      <c r="AK3628" s="3" t="s">
        <v>114</v>
      </c>
      <c r="AL3628" s="3">
        <v>278</v>
      </c>
    </row>
    <row r="3629" spans="34:38">
      <c r="AH3629" t="s">
        <v>1943</v>
      </c>
      <c r="AI3629" t="s">
        <v>67</v>
      </c>
      <c r="AJ3629" t="s">
        <v>98</v>
      </c>
      <c r="AK3629" s="3" t="s">
        <v>114</v>
      </c>
      <c r="AL3629" s="3">
        <v>-12.81302</v>
      </c>
    </row>
    <row r="3630" spans="34:38">
      <c r="AH3630" t="s">
        <v>1943</v>
      </c>
      <c r="AI3630" t="s">
        <v>67</v>
      </c>
      <c r="AJ3630" t="s">
        <v>66</v>
      </c>
      <c r="AK3630" s="3" t="s">
        <v>115</v>
      </c>
      <c r="AL3630" s="3">
        <v>8155.5</v>
      </c>
    </row>
    <row r="3631" spans="34:38">
      <c r="AH3631" t="s">
        <v>1943</v>
      </c>
      <c r="AI3631" t="s">
        <v>67</v>
      </c>
      <c r="AJ3631" t="s">
        <v>98</v>
      </c>
      <c r="AK3631" s="3" t="s">
        <v>115</v>
      </c>
      <c r="AL3631" s="3">
        <v>-186.35172</v>
      </c>
    </row>
    <row r="3632" spans="34:38">
      <c r="AH3632" t="s">
        <v>1943</v>
      </c>
      <c r="AI3632" t="s">
        <v>68</v>
      </c>
      <c r="AJ3632" t="s">
        <v>66</v>
      </c>
      <c r="AK3632" s="3" t="s">
        <v>27</v>
      </c>
      <c r="AL3632" s="3">
        <v>-13132.5</v>
      </c>
    </row>
    <row r="3633" spans="34:38">
      <c r="AH3633" t="s">
        <v>1943</v>
      </c>
      <c r="AI3633" t="s">
        <v>68</v>
      </c>
      <c r="AJ3633" t="s">
        <v>72</v>
      </c>
      <c r="AK3633" s="3" t="s">
        <v>27</v>
      </c>
      <c r="AL3633" s="3">
        <v>-13911.20253</v>
      </c>
    </row>
    <row r="3634" spans="34:38">
      <c r="AH3634" t="s">
        <v>1943</v>
      </c>
      <c r="AI3634" t="s">
        <v>68</v>
      </c>
      <c r="AJ3634" t="s">
        <v>113</v>
      </c>
      <c r="AK3634" s="3" t="s">
        <v>27</v>
      </c>
      <c r="AL3634" s="3">
        <v>-187.08509917809999</v>
      </c>
    </row>
    <row r="3635" spans="34:38">
      <c r="AH3635" t="s">
        <v>1943</v>
      </c>
      <c r="AI3635" t="s">
        <v>68</v>
      </c>
      <c r="AJ3635" t="s">
        <v>108</v>
      </c>
      <c r="AK3635" s="3" t="s">
        <v>27</v>
      </c>
      <c r="AL3635" s="3">
        <v>-778.70253000000002</v>
      </c>
    </row>
    <row r="3636" spans="34:38">
      <c r="AH3636" t="s">
        <v>1943</v>
      </c>
      <c r="AI3636" t="s">
        <v>68</v>
      </c>
      <c r="AJ3636" t="s">
        <v>98</v>
      </c>
      <c r="AK3636" s="3" t="s">
        <v>27</v>
      </c>
      <c r="AL3636" s="3">
        <v>360.35973999999999</v>
      </c>
    </row>
    <row r="3637" spans="34:38">
      <c r="AH3637" t="s">
        <v>1943</v>
      </c>
      <c r="AI3637" t="s">
        <v>68</v>
      </c>
      <c r="AJ3637" t="s">
        <v>66</v>
      </c>
      <c r="AK3637" s="3" t="s">
        <v>114</v>
      </c>
      <c r="AL3637" s="3">
        <v>2703</v>
      </c>
    </row>
    <row r="3638" spans="34:38">
      <c r="AH3638" t="s">
        <v>1943</v>
      </c>
      <c r="AI3638" t="s">
        <v>68</v>
      </c>
      <c r="AJ3638" t="s">
        <v>98</v>
      </c>
      <c r="AK3638" s="3" t="s">
        <v>114</v>
      </c>
      <c r="AL3638" s="3">
        <v>-24.93666</v>
      </c>
    </row>
    <row r="3639" spans="34:38">
      <c r="AH3639" t="s">
        <v>1943</v>
      </c>
      <c r="AI3639" t="s">
        <v>68</v>
      </c>
      <c r="AJ3639" t="s">
        <v>66</v>
      </c>
      <c r="AK3639" s="3" t="s">
        <v>115</v>
      </c>
      <c r="AL3639" s="3">
        <v>15835.5</v>
      </c>
    </row>
    <row r="3640" spans="34:38">
      <c r="AH3640" t="s">
        <v>1943</v>
      </c>
      <c r="AI3640" t="s">
        <v>68</v>
      </c>
      <c r="AJ3640" t="s">
        <v>98</v>
      </c>
      <c r="AK3640" s="3" t="s">
        <v>115</v>
      </c>
      <c r="AL3640" s="3">
        <v>-385.29640000000001</v>
      </c>
    </row>
    <row r="3641" spans="34:38">
      <c r="AH3641" t="s">
        <v>1944</v>
      </c>
      <c r="AI3641" t="s">
        <v>65</v>
      </c>
      <c r="AJ3641" t="s">
        <v>66</v>
      </c>
      <c r="AK3641" s="3" t="s">
        <v>27</v>
      </c>
      <c r="AL3641" s="3">
        <v>28890</v>
      </c>
    </row>
    <row r="3642" spans="34:38">
      <c r="AH3642" t="s">
        <v>1944</v>
      </c>
      <c r="AI3642" t="s">
        <v>65</v>
      </c>
      <c r="AJ3642" t="s">
        <v>72</v>
      </c>
      <c r="AK3642" s="3" t="s">
        <v>27</v>
      </c>
      <c r="AL3642" s="3">
        <v>30800.404585</v>
      </c>
    </row>
    <row r="3643" spans="34:38">
      <c r="AH3643" t="s">
        <v>1944</v>
      </c>
      <c r="AI3643" t="s">
        <v>65</v>
      </c>
      <c r="AJ3643" t="s">
        <v>113</v>
      </c>
      <c r="AK3643" s="3" t="s">
        <v>27</v>
      </c>
      <c r="AL3643" s="3">
        <v>2873.9960140092999</v>
      </c>
    </row>
    <row r="3644" spans="34:38">
      <c r="AH3644" t="s">
        <v>1944</v>
      </c>
      <c r="AI3644" t="s">
        <v>65</v>
      </c>
      <c r="AJ3644" t="s">
        <v>108</v>
      </c>
      <c r="AK3644" s="3" t="s">
        <v>27</v>
      </c>
      <c r="AL3644" s="3">
        <v>-963.59142900929999</v>
      </c>
    </row>
    <row r="3645" spans="34:38">
      <c r="AH3645" t="s">
        <v>1944</v>
      </c>
      <c r="AI3645" t="s">
        <v>65</v>
      </c>
      <c r="AJ3645" t="s">
        <v>98</v>
      </c>
      <c r="AK3645" s="3" t="s">
        <v>27</v>
      </c>
      <c r="AL3645" s="3">
        <v>-1025.9651799999999</v>
      </c>
    </row>
    <row r="3646" spans="34:38">
      <c r="AH3646" t="s">
        <v>1944</v>
      </c>
      <c r="AI3646" t="s">
        <v>67</v>
      </c>
      <c r="AJ3646" t="s">
        <v>66</v>
      </c>
      <c r="AK3646" s="3" t="s">
        <v>27</v>
      </c>
      <c r="AL3646" s="3">
        <v>-8155.5</v>
      </c>
    </row>
    <row r="3647" spans="34:38">
      <c r="AH3647" t="s">
        <v>1944</v>
      </c>
      <c r="AI3647" t="s">
        <v>67</v>
      </c>
      <c r="AJ3647" t="s">
        <v>72</v>
      </c>
      <c r="AK3647" s="3" t="s">
        <v>27</v>
      </c>
      <c r="AL3647" s="3">
        <v>-9650.8859950000005</v>
      </c>
    </row>
    <row r="3648" spans="34:38">
      <c r="AH3648" t="s">
        <v>1944</v>
      </c>
      <c r="AI3648" t="s">
        <v>67</v>
      </c>
      <c r="AJ3648" t="s">
        <v>113</v>
      </c>
      <c r="AK3648" s="3" t="s">
        <v>27</v>
      </c>
      <c r="AL3648" s="3">
        <v>0</v>
      </c>
    </row>
    <row r="3649" spans="34:38">
      <c r="AH3649" t="s">
        <v>1944</v>
      </c>
      <c r="AI3649" t="s">
        <v>67</v>
      </c>
      <c r="AJ3649" t="s">
        <v>108</v>
      </c>
      <c r="AK3649" s="3" t="s">
        <v>27</v>
      </c>
      <c r="AL3649" s="3">
        <v>-1495.3859950000001</v>
      </c>
    </row>
    <row r="3650" spans="34:38">
      <c r="AH3650" t="s">
        <v>1944</v>
      </c>
      <c r="AI3650" t="s">
        <v>67</v>
      </c>
      <c r="AJ3650" t="s">
        <v>98</v>
      </c>
      <c r="AK3650" s="3" t="s">
        <v>27</v>
      </c>
      <c r="AL3650" s="3">
        <v>184.61354</v>
      </c>
    </row>
    <row r="3651" spans="34:38">
      <c r="AH3651" t="s">
        <v>1944</v>
      </c>
      <c r="AI3651" t="s">
        <v>67</v>
      </c>
      <c r="AJ3651" t="s">
        <v>66</v>
      </c>
      <c r="AK3651" s="3" t="s">
        <v>114</v>
      </c>
      <c r="AL3651" s="3">
        <v>0</v>
      </c>
    </row>
    <row r="3652" spans="34:38">
      <c r="AH3652" t="s">
        <v>1944</v>
      </c>
      <c r="AI3652" t="s">
        <v>67</v>
      </c>
      <c r="AJ3652" t="s">
        <v>98</v>
      </c>
      <c r="AK3652" s="3" t="s">
        <v>114</v>
      </c>
      <c r="AL3652" s="3">
        <v>0</v>
      </c>
    </row>
    <row r="3653" spans="34:38">
      <c r="AH3653" t="s">
        <v>1944</v>
      </c>
      <c r="AI3653" t="s">
        <v>67</v>
      </c>
      <c r="AJ3653" t="s">
        <v>66</v>
      </c>
      <c r="AK3653" s="3" t="s">
        <v>115</v>
      </c>
      <c r="AL3653" s="3">
        <v>8155.5</v>
      </c>
    </row>
    <row r="3654" spans="34:38">
      <c r="AH3654" t="s">
        <v>1944</v>
      </c>
      <c r="AI3654" t="s">
        <v>67</v>
      </c>
      <c r="AJ3654" t="s">
        <v>98</v>
      </c>
      <c r="AK3654" s="3" t="s">
        <v>115</v>
      </c>
      <c r="AL3654" s="3">
        <v>-184.61354</v>
      </c>
    </row>
    <row r="3655" spans="34:38">
      <c r="AH3655" t="s">
        <v>1944</v>
      </c>
      <c r="AI3655" t="s">
        <v>68</v>
      </c>
      <c r="AJ3655" t="s">
        <v>66</v>
      </c>
      <c r="AK3655" s="3" t="s">
        <v>27</v>
      </c>
      <c r="AL3655" s="3">
        <v>-13010.5</v>
      </c>
    </row>
    <row r="3656" spans="34:38">
      <c r="AH3656" t="s">
        <v>1944</v>
      </c>
      <c r="AI3656" t="s">
        <v>68</v>
      </c>
      <c r="AJ3656" t="s">
        <v>72</v>
      </c>
      <c r="AK3656" s="3" t="s">
        <v>27</v>
      </c>
      <c r="AL3656" s="3">
        <v>-13812.074490000001</v>
      </c>
    </row>
    <row r="3657" spans="34:38">
      <c r="AH3657" t="s">
        <v>1944</v>
      </c>
      <c r="AI3657" t="s">
        <v>68</v>
      </c>
      <c r="AJ3657" t="s">
        <v>113</v>
      </c>
      <c r="AK3657" s="3" t="s">
        <v>27</v>
      </c>
      <c r="AL3657" s="3">
        <v>-187.08509917809999</v>
      </c>
    </row>
    <row r="3658" spans="34:38">
      <c r="AH3658" t="s">
        <v>1944</v>
      </c>
      <c r="AI3658" t="s">
        <v>68</v>
      </c>
      <c r="AJ3658" t="s">
        <v>108</v>
      </c>
      <c r="AK3658" s="3" t="s">
        <v>27</v>
      </c>
      <c r="AL3658" s="3">
        <v>-801.57448999999997</v>
      </c>
    </row>
    <row r="3659" spans="34:38">
      <c r="AH3659" t="s">
        <v>1944</v>
      </c>
      <c r="AI3659" t="s">
        <v>68</v>
      </c>
      <c r="AJ3659" t="s">
        <v>98</v>
      </c>
      <c r="AK3659" s="3" t="s">
        <v>27</v>
      </c>
      <c r="AL3659" s="3">
        <v>344.53008</v>
      </c>
    </row>
    <row r="3660" spans="34:38">
      <c r="AH3660" t="s">
        <v>1944</v>
      </c>
      <c r="AI3660" t="s">
        <v>68</v>
      </c>
      <c r="AJ3660" t="s">
        <v>66</v>
      </c>
      <c r="AK3660" s="3" t="s">
        <v>114</v>
      </c>
      <c r="AL3660" s="3">
        <v>2703</v>
      </c>
    </row>
    <row r="3661" spans="34:38">
      <c r="AH3661" t="s">
        <v>1944</v>
      </c>
      <c r="AI3661" t="s">
        <v>68</v>
      </c>
      <c r="AJ3661" t="s">
        <v>98</v>
      </c>
      <c r="AK3661" s="3" t="s">
        <v>114</v>
      </c>
      <c r="AL3661" s="3">
        <v>-24.752040000000001</v>
      </c>
    </row>
    <row r="3662" spans="34:38">
      <c r="AH3662" t="s">
        <v>1944</v>
      </c>
      <c r="AI3662" t="s">
        <v>68</v>
      </c>
      <c r="AJ3662" t="s">
        <v>66</v>
      </c>
      <c r="AK3662" s="3" t="s">
        <v>115</v>
      </c>
      <c r="AL3662" s="3">
        <v>15713.5</v>
      </c>
    </row>
    <row r="3663" spans="34:38">
      <c r="AH3663" t="s">
        <v>1944</v>
      </c>
      <c r="AI3663" t="s">
        <v>68</v>
      </c>
      <c r="AJ3663" t="s">
        <v>98</v>
      </c>
      <c r="AK3663" s="3" t="s">
        <v>115</v>
      </c>
      <c r="AL3663" s="3">
        <v>-369.28212000000002</v>
      </c>
    </row>
    <row r="3664" spans="34:38">
      <c r="AH3664" t="s">
        <v>1945</v>
      </c>
      <c r="AI3664" t="s">
        <v>65</v>
      </c>
      <c r="AJ3664" t="s">
        <v>66</v>
      </c>
      <c r="AK3664" s="3" t="s">
        <v>27</v>
      </c>
      <c r="AL3664" s="3">
        <v>26861.3</v>
      </c>
    </row>
    <row r="3665" spans="34:38">
      <c r="AH3665" t="s">
        <v>1945</v>
      </c>
      <c r="AI3665" t="s">
        <v>65</v>
      </c>
      <c r="AJ3665" t="s">
        <v>72</v>
      </c>
      <c r="AK3665" s="3" t="s">
        <v>27</v>
      </c>
      <c r="AL3665" s="3">
        <v>28034.262381</v>
      </c>
    </row>
    <row r="3666" spans="34:38">
      <c r="AH3666" t="s">
        <v>1945</v>
      </c>
      <c r="AI3666" t="s">
        <v>65</v>
      </c>
      <c r="AJ3666" t="s">
        <v>113</v>
      </c>
      <c r="AK3666" s="3" t="s">
        <v>27</v>
      </c>
      <c r="AL3666" s="3">
        <v>2268.3912777170999</v>
      </c>
    </row>
    <row r="3667" spans="34:38">
      <c r="AH3667" t="s">
        <v>1945</v>
      </c>
      <c r="AI3667" t="s">
        <v>65</v>
      </c>
      <c r="AJ3667" t="s">
        <v>108</v>
      </c>
      <c r="AK3667" s="3" t="s">
        <v>27</v>
      </c>
      <c r="AL3667" s="3">
        <v>-1095.4288967171001</v>
      </c>
    </row>
    <row r="3668" spans="34:38">
      <c r="AH3668" t="s">
        <v>1945</v>
      </c>
      <c r="AI3668" t="s">
        <v>65</v>
      </c>
      <c r="AJ3668" t="s">
        <v>98</v>
      </c>
      <c r="AK3668" s="3" t="s">
        <v>27</v>
      </c>
      <c r="AL3668" s="3">
        <v>-1156.7034779999999</v>
      </c>
    </row>
    <row r="3669" spans="34:38">
      <c r="AH3669" t="s">
        <v>1945</v>
      </c>
      <c r="AI3669" t="s">
        <v>67</v>
      </c>
      <c r="AJ3669" t="s">
        <v>66</v>
      </c>
      <c r="AK3669" s="3" t="s">
        <v>27</v>
      </c>
      <c r="AL3669" s="3">
        <v>-6126.8</v>
      </c>
    </row>
    <row r="3670" spans="34:38">
      <c r="AH3670" t="s">
        <v>1945</v>
      </c>
      <c r="AI3670" t="s">
        <v>67</v>
      </c>
      <c r="AJ3670" t="s">
        <v>72</v>
      </c>
      <c r="AK3670" s="3" t="s">
        <v>27</v>
      </c>
      <c r="AL3670" s="3">
        <v>-6879.8281109999998</v>
      </c>
    </row>
    <row r="3671" spans="34:38">
      <c r="AH3671" t="s">
        <v>1945</v>
      </c>
      <c r="AI3671" t="s">
        <v>67</v>
      </c>
      <c r="AJ3671" t="s">
        <v>113</v>
      </c>
      <c r="AK3671" s="3" t="s">
        <v>27</v>
      </c>
      <c r="AL3671" s="3">
        <v>558.47448315070005</v>
      </c>
    </row>
    <row r="3672" spans="34:38">
      <c r="AH3672" t="s">
        <v>1945</v>
      </c>
      <c r="AI3672" t="s">
        <v>67</v>
      </c>
      <c r="AJ3672" t="s">
        <v>108</v>
      </c>
      <c r="AK3672" s="3" t="s">
        <v>27</v>
      </c>
      <c r="AL3672" s="3">
        <v>-1311.5025941506999</v>
      </c>
    </row>
    <row r="3673" spans="34:38">
      <c r="AH3673" t="s">
        <v>1945</v>
      </c>
      <c r="AI3673" t="s">
        <v>67</v>
      </c>
      <c r="AJ3673" t="s">
        <v>98</v>
      </c>
      <c r="AK3673" s="3" t="s">
        <v>27</v>
      </c>
      <c r="AL3673" s="3">
        <v>320.173518</v>
      </c>
    </row>
    <row r="3674" spans="34:38">
      <c r="AH3674" t="s">
        <v>1945</v>
      </c>
      <c r="AI3674" t="s">
        <v>68</v>
      </c>
      <c r="AJ3674" t="s">
        <v>66</v>
      </c>
      <c r="AK3674" s="3" t="s">
        <v>27</v>
      </c>
      <c r="AL3674" s="3">
        <v>-13010.5</v>
      </c>
    </row>
    <row r="3675" spans="34:38">
      <c r="AH3675" t="s">
        <v>1945</v>
      </c>
      <c r="AI3675" t="s">
        <v>68</v>
      </c>
      <c r="AJ3675" t="s">
        <v>72</v>
      </c>
      <c r="AK3675" s="3" t="s">
        <v>27</v>
      </c>
      <c r="AL3675" s="3">
        <v>-13815.09699</v>
      </c>
    </row>
    <row r="3676" spans="34:38">
      <c r="AH3676" t="s">
        <v>1945</v>
      </c>
      <c r="AI3676" t="s">
        <v>68</v>
      </c>
      <c r="AJ3676" t="s">
        <v>113</v>
      </c>
      <c r="AK3676" s="3" t="s">
        <v>27</v>
      </c>
      <c r="AL3676" s="3">
        <v>-177.257770411</v>
      </c>
    </row>
    <row r="3677" spans="34:38">
      <c r="AH3677" t="s">
        <v>1945</v>
      </c>
      <c r="AI3677" t="s">
        <v>68</v>
      </c>
      <c r="AJ3677" t="s">
        <v>108</v>
      </c>
      <c r="AK3677" s="3" t="s">
        <v>27</v>
      </c>
      <c r="AL3677" s="3">
        <v>-804.59699000000001</v>
      </c>
    </row>
    <row r="3678" spans="34:38">
      <c r="AH3678" t="s">
        <v>1945</v>
      </c>
      <c r="AI3678" t="s">
        <v>68</v>
      </c>
      <c r="AJ3678" t="s">
        <v>98</v>
      </c>
      <c r="AK3678" s="3" t="s">
        <v>27</v>
      </c>
      <c r="AL3678" s="3">
        <v>341.50758000000002</v>
      </c>
    </row>
    <row r="3679" spans="34:38">
      <c r="AH3679" t="s">
        <v>1946</v>
      </c>
      <c r="AI3679" t="s">
        <v>65</v>
      </c>
      <c r="AJ3679" t="s">
        <v>72</v>
      </c>
      <c r="AK3679" s="3" t="s">
        <v>27</v>
      </c>
      <c r="AL3679" s="3">
        <v>29450.266950000001</v>
      </c>
    </row>
    <row r="3680" spans="34:38">
      <c r="AH3680" t="s">
        <v>1946</v>
      </c>
      <c r="AI3680" t="s">
        <v>65</v>
      </c>
      <c r="AJ3680" t="s">
        <v>113</v>
      </c>
      <c r="AK3680" s="3" t="s">
        <v>27</v>
      </c>
      <c r="AL3680" s="3">
        <v>2248.8699710414999</v>
      </c>
    </row>
    <row r="3681" spans="34:38">
      <c r="AH3681" t="s">
        <v>1946</v>
      </c>
      <c r="AI3681" t="s">
        <v>65</v>
      </c>
      <c r="AJ3681" t="s">
        <v>108</v>
      </c>
      <c r="AK3681" s="3" t="s">
        <v>27</v>
      </c>
      <c r="AL3681" s="3">
        <v>-1174.6030210414999</v>
      </c>
    </row>
    <row r="3682" spans="34:38">
      <c r="AH3682" t="s">
        <v>1946</v>
      </c>
      <c r="AI3682" t="s">
        <v>65</v>
      </c>
      <c r="AJ3682" t="s">
        <v>98</v>
      </c>
      <c r="AK3682" s="3" t="s">
        <v>27</v>
      </c>
      <c r="AL3682" s="3">
        <v>-1234.0285650000001</v>
      </c>
    </row>
    <row r="3683" spans="34:38">
      <c r="AH3683" t="s">
        <v>1946</v>
      </c>
      <c r="AI3683" t="s">
        <v>67</v>
      </c>
      <c r="AJ3683" t="s">
        <v>66</v>
      </c>
      <c r="AK3683" s="3" t="s">
        <v>27</v>
      </c>
      <c r="AL3683" s="3">
        <v>-9670.2000000000007</v>
      </c>
    </row>
    <row r="3684" spans="34:38">
      <c r="AH3684" t="s">
        <v>1946</v>
      </c>
      <c r="AI3684" t="s">
        <v>67</v>
      </c>
      <c r="AJ3684" t="s">
        <v>72</v>
      </c>
      <c r="AK3684" s="3" t="s">
        <v>27</v>
      </c>
      <c r="AL3684" s="3">
        <v>-11046.367682</v>
      </c>
    </row>
    <row r="3685" spans="34:38">
      <c r="AH3685" t="s">
        <v>1946</v>
      </c>
      <c r="AI3685" t="s">
        <v>67</v>
      </c>
      <c r="AJ3685" t="s">
        <v>113</v>
      </c>
      <c r="AK3685" s="3" t="s">
        <v>27</v>
      </c>
      <c r="AL3685" s="3">
        <v>44.611028561600001</v>
      </c>
    </row>
    <row r="3686" spans="34:38">
      <c r="AH3686" t="s">
        <v>1946</v>
      </c>
      <c r="AI3686" t="s">
        <v>67</v>
      </c>
      <c r="AJ3686" t="s">
        <v>108</v>
      </c>
      <c r="AK3686" s="3" t="s">
        <v>27</v>
      </c>
      <c r="AL3686" s="3">
        <v>-1420.7787105616001</v>
      </c>
    </row>
    <row r="3687" spans="34:38">
      <c r="AH3687" t="s">
        <v>1946</v>
      </c>
      <c r="AI3687" t="s">
        <v>67</v>
      </c>
      <c r="AJ3687" t="s">
        <v>98</v>
      </c>
      <c r="AK3687" s="3" t="s">
        <v>27</v>
      </c>
      <c r="AL3687" s="3">
        <v>282.46150899999998</v>
      </c>
    </row>
    <row r="3688" spans="34:38">
      <c r="AH3688" t="s">
        <v>1946</v>
      </c>
      <c r="AI3688" t="s">
        <v>68</v>
      </c>
      <c r="AJ3688" t="s">
        <v>66</v>
      </c>
      <c r="AK3688" s="3" t="s">
        <v>27</v>
      </c>
      <c r="AL3688" s="3">
        <v>-10921.8</v>
      </c>
    </row>
    <row r="3689" spans="34:38">
      <c r="AH3689" t="s">
        <v>1946</v>
      </c>
      <c r="AI3689" t="s">
        <v>68</v>
      </c>
      <c r="AJ3689" t="s">
        <v>72</v>
      </c>
      <c r="AK3689" s="3" t="s">
        <v>27</v>
      </c>
      <c r="AL3689" s="3">
        <v>-10932.892427999999</v>
      </c>
    </row>
    <row r="3690" spans="34:38">
      <c r="AH3690" t="s">
        <v>1946</v>
      </c>
      <c r="AI3690" t="s">
        <v>68</v>
      </c>
      <c r="AJ3690" t="s">
        <v>113</v>
      </c>
      <c r="AK3690" s="3" t="s">
        <v>27</v>
      </c>
      <c r="AL3690" s="3">
        <v>410.05381547949997</v>
      </c>
    </row>
    <row r="3691" spans="34:38">
      <c r="AH3691" t="s">
        <v>1946</v>
      </c>
      <c r="AI3691" t="s">
        <v>68</v>
      </c>
      <c r="AJ3691" t="s">
        <v>108</v>
      </c>
      <c r="AK3691" s="3" t="s">
        <v>27</v>
      </c>
      <c r="AL3691" s="3">
        <v>-11.092428</v>
      </c>
    </row>
    <row r="3692" spans="34:38">
      <c r="AH3692" t="s">
        <v>1946</v>
      </c>
      <c r="AI3692" t="s">
        <v>68</v>
      </c>
      <c r="AJ3692" t="s">
        <v>98</v>
      </c>
      <c r="AK3692" s="3" t="s">
        <v>27</v>
      </c>
      <c r="AL3692" s="3">
        <v>464.59275600000001</v>
      </c>
    </row>
    <row r="3693" spans="34:38">
      <c r="AH3693" t="s">
        <v>1946</v>
      </c>
      <c r="AI3693" t="s">
        <v>65</v>
      </c>
      <c r="AJ3693" t="s">
        <v>66</v>
      </c>
      <c r="AK3693" s="3" t="s">
        <v>27</v>
      </c>
      <c r="AL3693" s="3">
        <v>28376</v>
      </c>
    </row>
    <row r="3694" spans="34:38">
      <c r="AH3694" t="s">
        <v>1947</v>
      </c>
      <c r="AI3694" t="s">
        <v>65</v>
      </c>
      <c r="AJ3694" t="s">
        <v>66</v>
      </c>
      <c r="AK3694" s="3" t="s">
        <v>27</v>
      </c>
      <c r="AL3694" s="3">
        <v>27074.3</v>
      </c>
    </row>
    <row r="3695" spans="34:38">
      <c r="AH3695" t="s">
        <v>1947</v>
      </c>
      <c r="AI3695" t="s">
        <v>65</v>
      </c>
      <c r="AJ3695" t="s">
        <v>72</v>
      </c>
      <c r="AK3695" s="3" t="s">
        <v>27</v>
      </c>
      <c r="AL3695" s="3">
        <v>28247.556369999998</v>
      </c>
    </row>
    <row r="3696" spans="34:38">
      <c r="AH3696" t="s">
        <v>1947</v>
      </c>
      <c r="AI3696" t="s">
        <v>65</v>
      </c>
      <c r="AJ3696" t="s">
        <v>113</v>
      </c>
      <c r="AK3696" s="3" t="s">
        <v>27</v>
      </c>
      <c r="AL3696" s="3">
        <v>2298.0317200797999</v>
      </c>
    </row>
    <row r="3697" spans="34:38">
      <c r="AH3697" t="s">
        <v>1947</v>
      </c>
      <c r="AI3697" t="s">
        <v>65</v>
      </c>
      <c r="AJ3697" t="s">
        <v>108</v>
      </c>
      <c r="AK3697" s="3" t="s">
        <v>27</v>
      </c>
      <c r="AL3697" s="3">
        <v>-1124.7753500798001</v>
      </c>
    </row>
    <row r="3698" spans="34:38">
      <c r="AH3698" t="s">
        <v>1947</v>
      </c>
      <c r="AI3698" t="s">
        <v>65</v>
      </c>
      <c r="AJ3698" t="s">
        <v>98</v>
      </c>
      <c r="AK3698" s="3" t="s">
        <v>27</v>
      </c>
      <c r="AL3698" s="3">
        <v>-1183.6232729999999</v>
      </c>
    </row>
    <row r="3699" spans="34:38">
      <c r="AH3699" t="s">
        <v>1947</v>
      </c>
      <c r="AI3699" t="s">
        <v>67</v>
      </c>
      <c r="AJ3699" t="s">
        <v>66</v>
      </c>
      <c r="AK3699" s="3" t="s">
        <v>27</v>
      </c>
      <c r="AL3699" s="3">
        <v>-7053.8</v>
      </c>
    </row>
    <row r="3700" spans="34:38">
      <c r="AH3700" t="s">
        <v>1947</v>
      </c>
      <c r="AI3700" t="s">
        <v>67</v>
      </c>
      <c r="AJ3700" t="s">
        <v>72</v>
      </c>
      <c r="AK3700" s="3" t="s">
        <v>27</v>
      </c>
      <c r="AL3700" s="3">
        <v>-8648.2428550000004</v>
      </c>
    </row>
    <row r="3701" spans="34:38">
      <c r="AH3701" t="s">
        <v>1947</v>
      </c>
      <c r="AI3701" t="s">
        <v>67</v>
      </c>
      <c r="AJ3701" t="s">
        <v>113</v>
      </c>
      <c r="AK3701" s="3" t="s">
        <v>27</v>
      </c>
      <c r="AL3701" s="3">
        <v>62.341014520500003</v>
      </c>
    </row>
    <row r="3702" spans="34:38">
      <c r="AH3702" t="s">
        <v>1947</v>
      </c>
      <c r="AI3702" t="s">
        <v>67</v>
      </c>
      <c r="AJ3702" t="s">
        <v>108</v>
      </c>
      <c r="AK3702" s="3" t="s">
        <v>27</v>
      </c>
      <c r="AL3702" s="3">
        <v>-1656.7838695206001</v>
      </c>
    </row>
    <row r="3703" spans="34:38">
      <c r="AH3703" t="s">
        <v>1947</v>
      </c>
      <c r="AI3703" t="s">
        <v>67</v>
      </c>
      <c r="AJ3703" t="s">
        <v>98</v>
      </c>
      <c r="AK3703" s="3" t="s">
        <v>27</v>
      </c>
      <c r="AL3703" s="3">
        <v>187.74609799999999</v>
      </c>
    </row>
    <row r="3704" spans="34:38">
      <c r="AH3704" t="s">
        <v>1947</v>
      </c>
      <c r="AI3704" t="s">
        <v>68</v>
      </c>
      <c r="AJ3704" t="s">
        <v>66</v>
      </c>
      <c r="AK3704" s="3" t="s">
        <v>27</v>
      </c>
      <c r="AL3704" s="3">
        <v>-12236.5</v>
      </c>
    </row>
    <row r="3705" spans="34:38">
      <c r="AH3705" t="s">
        <v>1947</v>
      </c>
      <c r="AI3705" t="s">
        <v>68</v>
      </c>
      <c r="AJ3705" t="s">
        <v>72</v>
      </c>
      <c r="AK3705" s="3" t="s">
        <v>27</v>
      </c>
      <c r="AL3705" s="3">
        <v>-12127.744215000001</v>
      </c>
    </row>
    <row r="3706" spans="34:38">
      <c r="AH3706" t="s">
        <v>1947</v>
      </c>
      <c r="AI3706" t="s">
        <v>68</v>
      </c>
      <c r="AJ3706" t="s">
        <v>113</v>
      </c>
      <c r="AK3706" s="3" t="s">
        <v>27</v>
      </c>
      <c r="AL3706" s="3">
        <v>-136.43792445209999</v>
      </c>
    </row>
    <row r="3707" spans="34:38">
      <c r="AH3707" t="s">
        <v>1947</v>
      </c>
      <c r="AI3707" t="s">
        <v>68</v>
      </c>
      <c r="AJ3707" t="s">
        <v>108</v>
      </c>
      <c r="AK3707" s="3" t="s">
        <v>27</v>
      </c>
      <c r="AL3707" s="3">
        <v>108.755785</v>
      </c>
    </row>
    <row r="3708" spans="34:38">
      <c r="AH3708" t="s">
        <v>1947</v>
      </c>
      <c r="AI3708" t="s">
        <v>68</v>
      </c>
      <c r="AJ3708" t="s">
        <v>98</v>
      </c>
      <c r="AK3708" s="3" t="s">
        <v>27</v>
      </c>
      <c r="AL3708" s="3">
        <v>512.68754799999999</v>
      </c>
    </row>
    <row r="3709" spans="34:38">
      <c r="AH3709" t="s">
        <v>1948</v>
      </c>
      <c r="AI3709" t="s">
        <v>65</v>
      </c>
      <c r="AJ3709" t="s">
        <v>66</v>
      </c>
      <c r="AK3709" s="3" t="s">
        <v>27</v>
      </c>
      <c r="AL3709" s="3">
        <v>26726</v>
      </c>
    </row>
    <row r="3710" spans="34:38">
      <c r="AH3710" t="s">
        <v>1948</v>
      </c>
      <c r="AI3710" t="s">
        <v>65</v>
      </c>
      <c r="AJ3710" t="s">
        <v>72</v>
      </c>
      <c r="AK3710" s="3" t="s">
        <v>27</v>
      </c>
      <c r="AL3710" s="3">
        <v>27985.409899999999</v>
      </c>
    </row>
    <row r="3711" spans="34:38">
      <c r="AH3711" t="s">
        <v>1948</v>
      </c>
      <c r="AI3711" t="s">
        <v>65</v>
      </c>
      <c r="AJ3711" t="s">
        <v>113</v>
      </c>
      <c r="AK3711" s="3" t="s">
        <v>27</v>
      </c>
      <c r="AL3711" s="3">
        <v>2347.1332145913998</v>
      </c>
    </row>
    <row r="3712" spans="34:38">
      <c r="AH3712" t="s">
        <v>1948</v>
      </c>
      <c r="AI3712" t="s">
        <v>65</v>
      </c>
      <c r="AJ3712" t="s">
        <v>108</v>
      </c>
      <c r="AK3712" s="3" t="s">
        <v>27</v>
      </c>
      <c r="AL3712" s="3">
        <v>-1087.7233145913999</v>
      </c>
    </row>
    <row r="3713" spans="34:38">
      <c r="AH3713" t="s">
        <v>1948</v>
      </c>
      <c r="AI3713" t="s">
        <v>65</v>
      </c>
      <c r="AJ3713" t="s">
        <v>98</v>
      </c>
      <c r="AK3713" s="3" t="s">
        <v>27</v>
      </c>
      <c r="AL3713" s="3">
        <v>-1145.9658449999999</v>
      </c>
    </row>
    <row r="3714" spans="34:38">
      <c r="AH3714" t="s">
        <v>1948</v>
      </c>
      <c r="AI3714" t="s">
        <v>67</v>
      </c>
      <c r="AJ3714" t="s">
        <v>66</v>
      </c>
      <c r="AK3714" s="3" t="s">
        <v>27</v>
      </c>
      <c r="AL3714" s="3">
        <v>-7807.2</v>
      </c>
    </row>
    <row r="3715" spans="34:38">
      <c r="AH3715" t="s">
        <v>1948</v>
      </c>
      <c r="AI3715" t="s">
        <v>67</v>
      </c>
      <c r="AJ3715" t="s">
        <v>72</v>
      </c>
      <c r="AK3715" s="3" t="s">
        <v>27</v>
      </c>
      <c r="AL3715" s="3">
        <v>-9399.1234509999995</v>
      </c>
    </row>
    <row r="3716" spans="34:38">
      <c r="AH3716" t="s">
        <v>1948</v>
      </c>
      <c r="AI3716" t="s">
        <v>67</v>
      </c>
      <c r="AJ3716" t="s">
        <v>113</v>
      </c>
      <c r="AK3716" s="3" t="s">
        <v>27</v>
      </c>
      <c r="AL3716" s="3">
        <v>0</v>
      </c>
    </row>
    <row r="3717" spans="34:38">
      <c r="AH3717" t="s">
        <v>1948</v>
      </c>
      <c r="AI3717" t="s">
        <v>67</v>
      </c>
      <c r="AJ3717" t="s">
        <v>108</v>
      </c>
      <c r="AK3717" s="3" t="s">
        <v>27</v>
      </c>
      <c r="AL3717" s="3">
        <v>-1591.9234509999999</v>
      </c>
    </row>
    <row r="3718" spans="34:38">
      <c r="AH3718" t="s">
        <v>1948</v>
      </c>
      <c r="AI3718" t="s">
        <v>67</v>
      </c>
      <c r="AJ3718" t="s">
        <v>98</v>
      </c>
      <c r="AK3718" s="3" t="s">
        <v>27</v>
      </c>
      <c r="AL3718" s="3">
        <v>136.66618600000001</v>
      </c>
    </row>
    <row r="3719" spans="34:38">
      <c r="AH3719" t="s">
        <v>1948</v>
      </c>
      <c r="AI3719" t="s">
        <v>68</v>
      </c>
      <c r="AJ3719" t="s">
        <v>66</v>
      </c>
      <c r="AK3719" s="3" t="s">
        <v>27</v>
      </c>
      <c r="AL3719" s="3">
        <v>-11134.8</v>
      </c>
    </row>
    <row r="3720" spans="34:38">
      <c r="AH3720" t="s">
        <v>1948</v>
      </c>
      <c r="AI3720" t="s">
        <v>68</v>
      </c>
      <c r="AJ3720" t="s">
        <v>72</v>
      </c>
      <c r="AK3720" s="3" t="s">
        <v>27</v>
      </c>
      <c r="AL3720" s="3">
        <v>-11124.738708999999</v>
      </c>
    </row>
    <row r="3721" spans="34:38">
      <c r="AH3721" t="s">
        <v>1948</v>
      </c>
      <c r="AI3721" t="s">
        <v>68</v>
      </c>
      <c r="AJ3721" t="s">
        <v>113</v>
      </c>
      <c r="AK3721" s="3" t="s">
        <v>27</v>
      </c>
      <c r="AL3721" s="3">
        <v>0</v>
      </c>
    </row>
    <row r="3722" spans="34:38">
      <c r="AH3722" t="s">
        <v>1948</v>
      </c>
      <c r="AI3722" t="s">
        <v>68</v>
      </c>
      <c r="AJ3722" t="s">
        <v>108</v>
      </c>
      <c r="AK3722" s="3" t="s">
        <v>27</v>
      </c>
      <c r="AL3722" s="3">
        <v>10.061291000000001</v>
      </c>
    </row>
    <row r="3723" spans="34:38">
      <c r="AH3723" t="s">
        <v>1948</v>
      </c>
      <c r="AI3723" t="s">
        <v>68</v>
      </c>
      <c r="AJ3723" t="s">
        <v>98</v>
      </c>
      <c r="AK3723" s="3" t="s">
        <v>27</v>
      </c>
      <c r="AL3723" s="3">
        <v>513.43025899999998</v>
      </c>
    </row>
    <row r="3724" spans="34:38">
      <c r="AH3724" t="s">
        <v>1949</v>
      </c>
      <c r="AI3724" t="s">
        <v>65</v>
      </c>
      <c r="AJ3724" t="s">
        <v>66</v>
      </c>
      <c r="AK3724" s="3" t="s">
        <v>27</v>
      </c>
      <c r="AL3724" s="3">
        <v>28095.3</v>
      </c>
    </row>
    <row r="3725" spans="34:38">
      <c r="AH3725" t="s">
        <v>1949</v>
      </c>
      <c r="AI3725" t="s">
        <v>65</v>
      </c>
      <c r="AJ3725" t="s">
        <v>72</v>
      </c>
      <c r="AK3725" s="3" t="s">
        <v>27</v>
      </c>
      <c r="AL3725" s="3">
        <v>29444.542118000001</v>
      </c>
    </row>
    <row r="3726" spans="34:38">
      <c r="AH3726" t="s">
        <v>1949</v>
      </c>
      <c r="AI3726" t="s">
        <v>65</v>
      </c>
      <c r="AJ3726" t="s">
        <v>113</v>
      </c>
      <c r="AK3726" s="3" t="s">
        <v>27</v>
      </c>
      <c r="AL3726" s="3">
        <v>2533.4730352359002</v>
      </c>
    </row>
    <row r="3727" spans="34:38">
      <c r="AH3727" t="s">
        <v>1949</v>
      </c>
      <c r="AI3727" t="s">
        <v>65</v>
      </c>
      <c r="AJ3727" t="s">
        <v>108</v>
      </c>
      <c r="AK3727" s="3" t="s">
        <v>27</v>
      </c>
      <c r="AL3727" s="3">
        <v>-1184.2309172359001</v>
      </c>
    </row>
    <row r="3728" spans="34:38">
      <c r="AH3728" t="s">
        <v>1949</v>
      </c>
      <c r="AI3728" t="s">
        <v>65</v>
      </c>
      <c r="AJ3728" t="s">
        <v>98</v>
      </c>
      <c r="AK3728" s="3" t="s">
        <v>27</v>
      </c>
      <c r="AL3728" s="3">
        <v>-1242.24605</v>
      </c>
    </row>
    <row r="3729" spans="34:38">
      <c r="AH3729" t="s">
        <v>1949</v>
      </c>
      <c r="AI3729" t="s">
        <v>67</v>
      </c>
      <c r="AJ3729" t="s">
        <v>66</v>
      </c>
      <c r="AK3729" s="3" t="s">
        <v>27</v>
      </c>
      <c r="AL3729" s="3">
        <v>-9524.7999999999993</v>
      </c>
    </row>
    <row r="3730" spans="34:38">
      <c r="AH3730" t="s">
        <v>1949</v>
      </c>
      <c r="AI3730" t="s">
        <v>67</v>
      </c>
      <c r="AJ3730" t="s">
        <v>72</v>
      </c>
      <c r="AK3730" s="3" t="s">
        <v>27</v>
      </c>
      <c r="AL3730" s="3">
        <v>-11110.459527999999</v>
      </c>
    </row>
    <row r="3731" spans="34:38">
      <c r="AH3731" t="s">
        <v>1949</v>
      </c>
      <c r="AI3731" t="s">
        <v>67</v>
      </c>
      <c r="AJ3731" t="s">
        <v>113</v>
      </c>
      <c r="AK3731" s="3" t="s">
        <v>27</v>
      </c>
      <c r="AL3731" s="3">
        <v>0</v>
      </c>
    </row>
    <row r="3732" spans="34:38">
      <c r="AH3732" t="s">
        <v>1949</v>
      </c>
      <c r="AI3732" t="s">
        <v>67</v>
      </c>
      <c r="AJ3732" t="s">
        <v>108</v>
      </c>
      <c r="AK3732" s="3" t="s">
        <v>27</v>
      </c>
      <c r="AL3732" s="3">
        <v>-1585.6595279999999</v>
      </c>
    </row>
    <row r="3733" spans="34:38">
      <c r="AH3733" t="s">
        <v>1949</v>
      </c>
      <c r="AI3733" t="s">
        <v>67</v>
      </c>
      <c r="AJ3733" t="s">
        <v>98</v>
      </c>
      <c r="AK3733" s="3" t="s">
        <v>27</v>
      </c>
      <c r="AL3733" s="3">
        <v>278.41753</v>
      </c>
    </row>
    <row r="3734" spans="34:38">
      <c r="AH3734" t="s">
        <v>1949</v>
      </c>
      <c r="AI3734" t="s">
        <v>68</v>
      </c>
      <c r="AJ3734" t="s">
        <v>66</v>
      </c>
      <c r="AK3734" s="3" t="s">
        <v>27</v>
      </c>
      <c r="AL3734" s="3">
        <v>-10782.5</v>
      </c>
    </row>
    <row r="3735" spans="34:38">
      <c r="AH3735" t="s">
        <v>1949</v>
      </c>
      <c r="AI3735" t="s">
        <v>68</v>
      </c>
      <c r="AJ3735" t="s">
        <v>72</v>
      </c>
      <c r="AK3735" s="3" t="s">
        <v>27</v>
      </c>
      <c r="AL3735" s="3">
        <v>-10864.064469999999</v>
      </c>
    </row>
    <row r="3736" spans="34:38">
      <c r="AH3736" t="s">
        <v>1949</v>
      </c>
      <c r="AI3736" t="s">
        <v>68</v>
      </c>
      <c r="AJ3736" t="s">
        <v>113</v>
      </c>
      <c r="AK3736" s="3" t="s">
        <v>27</v>
      </c>
      <c r="AL3736" s="3">
        <v>0</v>
      </c>
    </row>
    <row r="3737" spans="34:38">
      <c r="AH3737" t="s">
        <v>1949</v>
      </c>
      <c r="AI3737" t="s">
        <v>68</v>
      </c>
      <c r="AJ3737" t="s">
        <v>108</v>
      </c>
      <c r="AK3737" s="3" t="s">
        <v>27</v>
      </c>
      <c r="AL3737" s="3">
        <v>-81.56447</v>
      </c>
    </row>
    <row r="3738" spans="34:38">
      <c r="AH3738" t="s">
        <v>1949</v>
      </c>
      <c r="AI3738" t="s">
        <v>68</v>
      </c>
      <c r="AJ3738" t="s">
        <v>98</v>
      </c>
      <c r="AK3738" s="3" t="s">
        <v>27</v>
      </c>
      <c r="AL3738" s="3">
        <v>467.18189999999998</v>
      </c>
    </row>
    <row r="3739" spans="34:38">
      <c r="AH3739" t="s">
        <v>1950</v>
      </c>
      <c r="AI3739" t="s">
        <v>65</v>
      </c>
      <c r="AJ3739" t="s">
        <v>66</v>
      </c>
      <c r="AK3739" s="3" t="s">
        <v>27</v>
      </c>
      <c r="AL3739" s="3">
        <v>27939.3</v>
      </c>
    </row>
    <row r="3740" spans="34:38">
      <c r="AH3740" t="s">
        <v>1950</v>
      </c>
      <c r="AI3740" t="s">
        <v>65</v>
      </c>
      <c r="AJ3740" t="s">
        <v>72</v>
      </c>
      <c r="AK3740" s="3" t="s">
        <v>27</v>
      </c>
      <c r="AL3740" s="3">
        <v>29181.161060999999</v>
      </c>
    </row>
    <row r="3741" spans="34:38">
      <c r="AH3741" t="s">
        <v>1950</v>
      </c>
      <c r="AI3741" t="s">
        <v>65</v>
      </c>
      <c r="AJ3741" t="s">
        <v>113</v>
      </c>
      <c r="AK3741" s="3" t="s">
        <v>27</v>
      </c>
      <c r="AL3741" s="3">
        <v>2426.4908154118002</v>
      </c>
    </row>
    <row r="3742" spans="34:38">
      <c r="AH3742" t="s">
        <v>1950</v>
      </c>
      <c r="AI3742" t="s">
        <v>65</v>
      </c>
      <c r="AJ3742" t="s">
        <v>108</v>
      </c>
      <c r="AK3742" s="3" t="s">
        <v>27</v>
      </c>
      <c r="AL3742" s="3">
        <v>-1184.6297544117999</v>
      </c>
    </row>
    <row r="3743" spans="34:38">
      <c r="AH3743" t="s">
        <v>1950</v>
      </c>
      <c r="AI3743" t="s">
        <v>65</v>
      </c>
      <c r="AJ3743" t="s">
        <v>98</v>
      </c>
      <c r="AK3743" s="3" t="s">
        <v>27</v>
      </c>
      <c r="AL3743" s="3">
        <v>-1242.303287</v>
      </c>
    </row>
    <row r="3744" spans="34:38">
      <c r="AH3744" t="s">
        <v>1950</v>
      </c>
      <c r="AI3744" t="s">
        <v>67</v>
      </c>
      <c r="AJ3744" t="s">
        <v>66</v>
      </c>
      <c r="AK3744" s="3" t="s">
        <v>27</v>
      </c>
      <c r="AL3744" s="3">
        <v>-7999.5</v>
      </c>
    </row>
    <row r="3745" spans="34:38">
      <c r="AH3745" t="s">
        <v>1950</v>
      </c>
      <c r="AI3745" t="s">
        <v>67</v>
      </c>
      <c r="AJ3745" t="s">
        <v>72</v>
      </c>
      <c r="AK3745" s="3" t="s">
        <v>27</v>
      </c>
      <c r="AL3745" s="3">
        <v>-9398.2424549999996</v>
      </c>
    </row>
    <row r="3746" spans="34:38">
      <c r="AH3746" t="s">
        <v>1950</v>
      </c>
      <c r="AI3746" t="s">
        <v>67</v>
      </c>
      <c r="AJ3746" t="s">
        <v>113</v>
      </c>
      <c r="AK3746" s="3" t="s">
        <v>27</v>
      </c>
      <c r="AL3746" s="3">
        <v>0</v>
      </c>
    </row>
    <row r="3747" spans="34:38">
      <c r="AH3747" t="s">
        <v>1950</v>
      </c>
      <c r="AI3747" t="s">
        <v>67</v>
      </c>
      <c r="AJ3747" t="s">
        <v>108</v>
      </c>
      <c r="AK3747" s="3" t="s">
        <v>27</v>
      </c>
      <c r="AL3747" s="3">
        <v>-1398.7424550000001</v>
      </c>
    </row>
    <row r="3748" spans="34:38">
      <c r="AH3748" t="s">
        <v>1950</v>
      </c>
      <c r="AI3748" t="s">
        <v>67</v>
      </c>
      <c r="AJ3748" t="s">
        <v>98</v>
      </c>
      <c r="AK3748" s="3" t="s">
        <v>27</v>
      </c>
      <c r="AL3748" s="3">
        <v>172.65816000000001</v>
      </c>
    </row>
    <row r="3749" spans="34:38">
      <c r="AH3749" t="s">
        <v>1950</v>
      </c>
      <c r="AI3749" t="s">
        <v>68</v>
      </c>
      <c r="AJ3749" t="s">
        <v>66</v>
      </c>
      <c r="AK3749" s="3" t="s">
        <v>27</v>
      </c>
      <c r="AL3749" s="3">
        <v>-12151.8</v>
      </c>
    </row>
    <row r="3750" spans="34:38">
      <c r="AH3750" t="s">
        <v>1950</v>
      </c>
      <c r="AI3750" t="s">
        <v>68</v>
      </c>
      <c r="AJ3750" t="s">
        <v>72</v>
      </c>
      <c r="AK3750" s="3" t="s">
        <v>27</v>
      </c>
      <c r="AL3750" s="3">
        <v>-12312.519606</v>
      </c>
    </row>
    <row r="3751" spans="34:38">
      <c r="AH3751" t="s">
        <v>1950</v>
      </c>
      <c r="AI3751" t="s">
        <v>68</v>
      </c>
      <c r="AJ3751" t="s">
        <v>113</v>
      </c>
      <c r="AK3751" s="3" t="s">
        <v>27</v>
      </c>
      <c r="AL3751" s="3">
        <v>0</v>
      </c>
    </row>
    <row r="3752" spans="34:38">
      <c r="AH3752" t="s">
        <v>1950</v>
      </c>
      <c r="AI3752" t="s">
        <v>68</v>
      </c>
      <c r="AJ3752" t="s">
        <v>108</v>
      </c>
      <c r="AK3752" s="3" t="s">
        <v>27</v>
      </c>
      <c r="AL3752" s="3">
        <v>-160.719606</v>
      </c>
    </row>
    <row r="3753" spans="34:38">
      <c r="AH3753" t="s">
        <v>1950</v>
      </c>
      <c r="AI3753" t="s">
        <v>68</v>
      </c>
      <c r="AJ3753" t="s">
        <v>98</v>
      </c>
      <c r="AK3753" s="3" t="s">
        <v>27</v>
      </c>
      <c r="AL3753" s="3">
        <v>573.37938699999995</v>
      </c>
    </row>
    <row r="3754" spans="34:38">
      <c r="AH3754" t="s">
        <v>1951</v>
      </c>
      <c r="AI3754" t="s">
        <v>65</v>
      </c>
      <c r="AJ3754" t="s">
        <v>66</v>
      </c>
      <c r="AK3754" s="3" t="s">
        <v>27</v>
      </c>
      <c r="AL3754" s="3">
        <v>26803.3</v>
      </c>
    </row>
    <row r="3755" spans="34:38">
      <c r="AH3755" t="s">
        <v>1951</v>
      </c>
      <c r="AI3755" t="s">
        <v>65</v>
      </c>
      <c r="AJ3755" t="s">
        <v>72</v>
      </c>
      <c r="AK3755" s="3" t="s">
        <v>27</v>
      </c>
      <c r="AL3755" s="3">
        <v>28180.577902000001</v>
      </c>
    </row>
    <row r="3756" spans="34:38">
      <c r="AH3756" t="s">
        <v>1951</v>
      </c>
      <c r="AI3756" t="s">
        <v>65</v>
      </c>
      <c r="AJ3756" t="s">
        <v>113</v>
      </c>
      <c r="AK3756" s="3" t="s">
        <v>27</v>
      </c>
      <c r="AL3756" s="3">
        <v>2407.0014440209002</v>
      </c>
    </row>
    <row r="3757" spans="34:38">
      <c r="AH3757" t="s">
        <v>1951</v>
      </c>
      <c r="AI3757" t="s">
        <v>65</v>
      </c>
      <c r="AJ3757" t="s">
        <v>108</v>
      </c>
      <c r="AK3757" s="3" t="s">
        <v>27</v>
      </c>
      <c r="AL3757" s="3">
        <v>-1029.7235420208999</v>
      </c>
    </row>
    <row r="3758" spans="34:38">
      <c r="AH3758" t="s">
        <v>1951</v>
      </c>
      <c r="AI3758" t="s">
        <v>65</v>
      </c>
      <c r="AJ3758" t="s">
        <v>98</v>
      </c>
      <c r="AK3758" s="3" t="s">
        <v>27</v>
      </c>
      <c r="AL3758" s="3">
        <v>-1086.015146</v>
      </c>
    </row>
    <row r="3759" spans="34:38">
      <c r="AH3759" t="s">
        <v>1951</v>
      </c>
      <c r="AI3759" t="s">
        <v>67</v>
      </c>
      <c r="AJ3759" t="s">
        <v>66</v>
      </c>
      <c r="AK3759" s="3" t="s">
        <v>27</v>
      </c>
      <c r="AL3759" s="3">
        <v>-8094.5</v>
      </c>
    </row>
    <row r="3760" spans="34:38">
      <c r="AH3760" t="s">
        <v>1951</v>
      </c>
      <c r="AI3760" t="s">
        <v>67</v>
      </c>
      <c r="AJ3760" t="s">
        <v>72</v>
      </c>
      <c r="AK3760" s="3" t="s">
        <v>27</v>
      </c>
      <c r="AL3760" s="3">
        <v>-9667.5268400000004</v>
      </c>
    </row>
    <row r="3761" spans="34:38">
      <c r="AH3761" t="s">
        <v>1951</v>
      </c>
      <c r="AI3761" t="s">
        <v>67</v>
      </c>
      <c r="AJ3761" t="s">
        <v>113</v>
      </c>
      <c r="AK3761" s="3" t="s">
        <v>27</v>
      </c>
      <c r="AL3761" s="3">
        <v>-53.981864931499999</v>
      </c>
    </row>
    <row r="3762" spans="34:38">
      <c r="AH3762" t="s">
        <v>1951</v>
      </c>
      <c r="AI3762" t="s">
        <v>67</v>
      </c>
      <c r="AJ3762" t="s">
        <v>108</v>
      </c>
      <c r="AK3762" s="3" t="s">
        <v>27</v>
      </c>
      <c r="AL3762" s="3">
        <v>-1519.0449750685</v>
      </c>
    </row>
    <row r="3763" spans="34:38">
      <c r="AH3763" t="s">
        <v>1951</v>
      </c>
      <c r="AI3763" t="s">
        <v>67</v>
      </c>
      <c r="AJ3763" t="s">
        <v>98</v>
      </c>
      <c r="AK3763" s="3" t="s">
        <v>27</v>
      </c>
      <c r="AL3763" s="3">
        <v>134.691745</v>
      </c>
    </row>
    <row r="3764" spans="34:38">
      <c r="AH3764" t="s">
        <v>1951</v>
      </c>
      <c r="AI3764" t="s">
        <v>68</v>
      </c>
      <c r="AJ3764" t="s">
        <v>66</v>
      </c>
      <c r="AK3764" s="3" t="s">
        <v>27</v>
      </c>
      <c r="AL3764" s="3">
        <v>-10646.8</v>
      </c>
    </row>
    <row r="3765" spans="34:38">
      <c r="AH3765" t="s">
        <v>1951</v>
      </c>
      <c r="AI3765" t="s">
        <v>68</v>
      </c>
      <c r="AJ3765" t="s">
        <v>72</v>
      </c>
      <c r="AK3765" s="3" t="s">
        <v>27</v>
      </c>
      <c r="AL3765" s="3">
        <v>-10770.442741999999</v>
      </c>
    </row>
    <row r="3766" spans="34:38">
      <c r="AH3766" t="s">
        <v>1951</v>
      </c>
      <c r="AI3766" t="s">
        <v>68</v>
      </c>
      <c r="AJ3766" t="s">
        <v>113</v>
      </c>
      <c r="AK3766" s="3" t="s">
        <v>27</v>
      </c>
      <c r="AL3766" s="3">
        <v>-189.0609228767</v>
      </c>
    </row>
    <row r="3767" spans="34:38">
      <c r="AH3767" t="s">
        <v>1951</v>
      </c>
      <c r="AI3767" t="s">
        <v>68</v>
      </c>
      <c r="AJ3767" t="s">
        <v>108</v>
      </c>
      <c r="AK3767" s="3" t="s">
        <v>27</v>
      </c>
      <c r="AL3767" s="3">
        <v>-123.642742</v>
      </c>
    </row>
    <row r="3768" spans="34:38">
      <c r="AH3768" t="s">
        <v>1951</v>
      </c>
      <c r="AI3768" t="s">
        <v>68</v>
      </c>
      <c r="AJ3768" t="s">
        <v>98</v>
      </c>
      <c r="AK3768" s="3" t="s">
        <v>27</v>
      </c>
      <c r="AL3768" s="3">
        <v>456.71680099999998</v>
      </c>
    </row>
    <row r="3769" spans="34:38">
      <c r="AH3769" t="s">
        <v>1951</v>
      </c>
      <c r="AI3769" t="s">
        <v>800</v>
      </c>
      <c r="AJ3769" t="s">
        <v>31</v>
      </c>
      <c r="AK3769" s="3" t="s">
        <v>27</v>
      </c>
      <c r="AL3769" s="3">
        <v>3.6269999999999998</v>
      </c>
    </row>
    <row r="3770" spans="34:38">
      <c r="AH3770" t="s">
        <v>1952</v>
      </c>
      <c r="AI3770" t="s">
        <v>65</v>
      </c>
      <c r="AJ3770" t="s">
        <v>66</v>
      </c>
      <c r="AK3770" s="3" t="s">
        <v>27</v>
      </c>
      <c r="AL3770" s="3">
        <v>26218.3</v>
      </c>
    </row>
    <row r="3771" spans="34:38">
      <c r="AH3771" t="s">
        <v>1952</v>
      </c>
      <c r="AI3771" t="s">
        <v>65</v>
      </c>
      <c r="AJ3771" t="s">
        <v>72</v>
      </c>
      <c r="AK3771" s="3" t="s">
        <v>27</v>
      </c>
      <c r="AL3771" s="3">
        <v>27595.595525000001</v>
      </c>
    </row>
    <row r="3772" spans="34:38">
      <c r="AH3772" t="s">
        <v>1952</v>
      </c>
      <c r="AI3772" t="s">
        <v>65</v>
      </c>
      <c r="AJ3772" t="s">
        <v>113</v>
      </c>
      <c r="AK3772" s="3" t="s">
        <v>27</v>
      </c>
      <c r="AL3772" s="3">
        <v>2434.7419724263</v>
      </c>
    </row>
    <row r="3773" spans="34:38">
      <c r="AH3773" t="s">
        <v>1952</v>
      </c>
      <c r="AI3773" t="s">
        <v>65</v>
      </c>
      <c r="AJ3773" t="s">
        <v>108</v>
      </c>
      <c r="AK3773" s="3" t="s">
        <v>27</v>
      </c>
      <c r="AL3773" s="3">
        <v>-1057.4464474261999</v>
      </c>
    </row>
    <row r="3774" spans="34:38">
      <c r="AH3774" t="s">
        <v>1952</v>
      </c>
      <c r="AI3774" t="s">
        <v>67</v>
      </c>
      <c r="AJ3774" t="s">
        <v>66</v>
      </c>
      <c r="AK3774" s="3" t="s">
        <v>27</v>
      </c>
      <c r="AL3774" s="3">
        <v>-7570.5</v>
      </c>
    </row>
    <row r="3775" spans="34:38">
      <c r="AH3775" t="s">
        <v>1952</v>
      </c>
      <c r="AI3775" t="s">
        <v>67</v>
      </c>
      <c r="AJ3775" t="s">
        <v>72</v>
      </c>
      <c r="AK3775" s="3" t="s">
        <v>27</v>
      </c>
      <c r="AL3775" s="3">
        <v>-9084.0730149999999</v>
      </c>
    </row>
    <row r="3776" spans="34:38">
      <c r="AH3776" t="s">
        <v>1952</v>
      </c>
      <c r="AI3776" t="s">
        <v>67</v>
      </c>
      <c r="AJ3776" t="s">
        <v>113</v>
      </c>
      <c r="AK3776" s="3" t="s">
        <v>27</v>
      </c>
      <c r="AL3776" s="3">
        <v>39.313358219199998</v>
      </c>
    </row>
    <row r="3777" spans="34:38">
      <c r="AH3777" t="s">
        <v>1952</v>
      </c>
      <c r="AI3777" t="s">
        <v>67</v>
      </c>
      <c r="AJ3777" t="s">
        <v>108</v>
      </c>
      <c r="AK3777" s="3" t="s">
        <v>27</v>
      </c>
      <c r="AL3777" s="3">
        <v>-1552.8863732192001</v>
      </c>
    </row>
    <row r="3778" spans="34:38">
      <c r="AH3778" t="s">
        <v>1952</v>
      </c>
      <c r="AI3778" t="s">
        <v>68</v>
      </c>
      <c r="AJ3778" t="s">
        <v>66</v>
      </c>
      <c r="AK3778" s="3" t="s">
        <v>27</v>
      </c>
      <c r="AL3778" s="3">
        <v>-10585.8</v>
      </c>
    </row>
    <row r="3779" spans="34:38">
      <c r="AH3779" t="s">
        <v>1952</v>
      </c>
      <c r="AI3779" t="s">
        <v>68</v>
      </c>
      <c r="AJ3779" t="s">
        <v>72</v>
      </c>
      <c r="AK3779" s="3" t="s">
        <v>27</v>
      </c>
      <c r="AL3779" s="3">
        <v>-10769.80805</v>
      </c>
    </row>
    <row r="3780" spans="34:38">
      <c r="AH3780" t="s">
        <v>1952</v>
      </c>
      <c r="AI3780" t="s">
        <v>68</v>
      </c>
      <c r="AJ3780" t="s">
        <v>113</v>
      </c>
      <c r="AK3780" s="3" t="s">
        <v>27</v>
      </c>
      <c r="AL3780" s="3">
        <v>-166.30262602740001</v>
      </c>
    </row>
    <row r="3781" spans="34:38">
      <c r="AH3781" t="s">
        <v>1952</v>
      </c>
      <c r="AI3781" t="s">
        <v>68</v>
      </c>
      <c r="AJ3781" t="s">
        <v>108</v>
      </c>
      <c r="AK3781" s="3" t="s">
        <v>27</v>
      </c>
      <c r="AL3781" s="3">
        <v>-184.00805</v>
      </c>
    </row>
    <row r="3782" spans="34:38">
      <c r="AH3782" t="s">
        <v>1953</v>
      </c>
      <c r="AI3782" t="s">
        <v>65</v>
      </c>
      <c r="AJ3782" t="s">
        <v>72</v>
      </c>
      <c r="AK3782" s="3" t="s">
        <v>27</v>
      </c>
      <c r="AL3782" s="3">
        <v>29847.574047999999</v>
      </c>
    </row>
    <row r="3783" spans="34:38">
      <c r="AH3783" t="s">
        <v>1953</v>
      </c>
      <c r="AI3783" t="s">
        <v>65</v>
      </c>
      <c r="AJ3783" t="s">
        <v>113</v>
      </c>
      <c r="AK3783" s="3" t="s">
        <v>27</v>
      </c>
      <c r="AL3783" s="3">
        <v>2584.9741806587999</v>
      </c>
    </row>
    <row r="3784" spans="34:38">
      <c r="AH3784" t="s">
        <v>1953</v>
      </c>
      <c r="AI3784" t="s">
        <v>65</v>
      </c>
      <c r="AJ3784" t="s">
        <v>108</v>
      </c>
      <c r="AK3784" s="3" t="s">
        <v>27</v>
      </c>
      <c r="AL3784" s="3">
        <v>-1205.7001326587999</v>
      </c>
    </row>
    <row r="3785" spans="34:38">
      <c r="AH3785" t="s">
        <v>1953</v>
      </c>
      <c r="AI3785" t="s">
        <v>67</v>
      </c>
      <c r="AJ3785" t="s">
        <v>66</v>
      </c>
      <c r="AK3785" s="3" t="s">
        <v>27</v>
      </c>
      <c r="AL3785" s="3">
        <v>-10305.5</v>
      </c>
    </row>
    <row r="3786" spans="34:38">
      <c r="AH3786" t="s">
        <v>1953</v>
      </c>
      <c r="AI3786" t="s">
        <v>67</v>
      </c>
      <c r="AJ3786" t="s">
        <v>72</v>
      </c>
      <c r="AK3786" s="3" t="s">
        <v>27</v>
      </c>
      <c r="AL3786" s="3">
        <v>-11820.393174999999</v>
      </c>
    </row>
    <row r="3787" spans="34:38">
      <c r="AH3787" t="s">
        <v>1953</v>
      </c>
      <c r="AI3787" t="s">
        <v>67</v>
      </c>
      <c r="AJ3787" t="s">
        <v>113</v>
      </c>
      <c r="AK3787" s="3" t="s">
        <v>27</v>
      </c>
      <c r="AL3787" s="3">
        <v>0</v>
      </c>
    </row>
    <row r="3788" spans="34:38">
      <c r="AH3788" t="s">
        <v>1953</v>
      </c>
      <c r="AI3788" t="s">
        <v>67</v>
      </c>
      <c r="AJ3788" t="s">
        <v>108</v>
      </c>
      <c r="AK3788" s="3" t="s">
        <v>27</v>
      </c>
      <c r="AL3788" s="3">
        <v>-1514.8931749999999</v>
      </c>
    </row>
    <row r="3789" spans="34:38">
      <c r="AH3789" t="s">
        <v>1953</v>
      </c>
      <c r="AI3789" t="s">
        <v>68</v>
      </c>
      <c r="AJ3789" t="s">
        <v>66</v>
      </c>
      <c r="AK3789" s="3" t="s">
        <v>27</v>
      </c>
      <c r="AL3789" s="3">
        <v>-10460.799999999999</v>
      </c>
    </row>
    <row r="3790" spans="34:38">
      <c r="AH3790" t="s">
        <v>1953</v>
      </c>
      <c r="AI3790" t="s">
        <v>68</v>
      </c>
      <c r="AJ3790" t="s">
        <v>72</v>
      </c>
      <c r="AK3790" s="3" t="s">
        <v>27</v>
      </c>
      <c r="AL3790" s="3">
        <v>-10694.522293</v>
      </c>
    </row>
    <row r="3791" spans="34:38">
      <c r="AH3791" t="s">
        <v>1953</v>
      </c>
      <c r="AI3791" t="s">
        <v>68</v>
      </c>
      <c r="AJ3791" t="s">
        <v>113</v>
      </c>
      <c r="AK3791" s="3" t="s">
        <v>27</v>
      </c>
      <c r="AL3791" s="3">
        <v>-156.53402123289999</v>
      </c>
    </row>
    <row r="3792" spans="34:38">
      <c r="AH3792" t="s">
        <v>1953</v>
      </c>
      <c r="AI3792" t="s">
        <v>68</v>
      </c>
      <c r="AJ3792" t="s">
        <v>108</v>
      </c>
      <c r="AK3792" s="3" t="s">
        <v>27</v>
      </c>
      <c r="AL3792" s="3">
        <v>-233.72229300000001</v>
      </c>
    </row>
    <row r="3793" spans="34:38">
      <c r="AH3793" t="s">
        <v>1953</v>
      </c>
      <c r="AI3793" t="s">
        <v>65</v>
      </c>
      <c r="AJ3793" t="s">
        <v>66</v>
      </c>
      <c r="AK3793" s="3" t="s">
        <v>27</v>
      </c>
      <c r="AL3793" s="3">
        <v>28468.3</v>
      </c>
    </row>
    <row r="3794" spans="34:38">
      <c r="AH3794" t="s">
        <v>1954</v>
      </c>
      <c r="AI3794" t="s">
        <v>65</v>
      </c>
      <c r="AJ3794" t="s">
        <v>66</v>
      </c>
      <c r="AK3794" s="3" t="s">
        <v>27</v>
      </c>
      <c r="AL3794" s="3">
        <v>27268.3</v>
      </c>
    </row>
    <row r="3795" spans="34:38">
      <c r="AH3795" t="s">
        <v>1954</v>
      </c>
      <c r="AI3795" t="s">
        <v>65</v>
      </c>
      <c r="AJ3795" t="s">
        <v>72</v>
      </c>
      <c r="AK3795" s="3" t="s">
        <v>27</v>
      </c>
      <c r="AL3795" s="3">
        <v>28598.439563</v>
      </c>
    </row>
    <row r="3796" spans="34:38">
      <c r="AH3796" t="s">
        <v>1954</v>
      </c>
      <c r="AI3796" t="s">
        <v>65</v>
      </c>
      <c r="AJ3796" t="s">
        <v>113</v>
      </c>
      <c r="AK3796" s="3" t="s">
        <v>27</v>
      </c>
      <c r="AL3796" s="3">
        <v>2464.6655904015001</v>
      </c>
    </row>
    <row r="3797" spans="34:38">
      <c r="AH3797" t="s">
        <v>1954</v>
      </c>
      <c r="AI3797" t="s">
        <v>65</v>
      </c>
      <c r="AJ3797" t="s">
        <v>108</v>
      </c>
      <c r="AK3797" s="3" t="s">
        <v>27</v>
      </c>
      <c r="AL3797" s="3">
        <v>-1134.5260274015</v>
      </c>
    </row>
    <row r="3798" spans="34:38">
      <c r="AH3798" t="s">
        <v>1954</v>
      </c>
      <c r="AI3798" t="s">
        <v>67</v>
      </c>
      <c r="AJ3798" t="s">
        <v>66</v>
      </c>
      <c r="AK3798" s="3" t="s">
        <v>27</v>
      </c>
      <c r="AL3798" s="3">
        <v>-6955.5</v>
      </c>
    </row>
    <row r="3799" spans="34:38">
      <c r="AH3799" t="s">
        <v>1954</v>
      </c>
      <c r="AI3799" t="s">
        <v>67</v>
      </c>
      <c r="AJ3799" t="s">
        <v>72</v>
      </c>
      <c r="AK3799" s="3" t="s">
        <v>27</v>
      </c>
      <c r="AL3799" s="3">
        <v>-8422.1648000000005</v>
      </c>
    </row>
    <row r="3800" spans="34:38">
      <c r="AH3800" t="s">
        <v>1954</v>
      </c>
      <c r="AI3800" t="s">
        <v>67</v>
      </c>
      <c r="AJ3800" t="s">
        <v>113</v>
      </c>
      <c r="AK3800" s="3" t="s">
        <v>27</v>
      </c>
      <c r="AL3800" s="3">
        <v>141.25543835619999</v>
      </c>
    </row>
    <row r="3801" spans="34:38">
      <c r="AH3801" t="s">
        <v>1954</v>
      </c>
      <c r="AI3801" t="s">
        <v>67</v>
      </c>
      <c r="AJ3801" t="s">
        <v>108</v>
      </c>
      <c r="AK3801" s="3" t="s">
        <v>27</v>
      </c>
      <c r="AL3801" s="3">
        <v>-1607.9202383561999</v>
      </c>
    </row>
    <row r="3802" spans="34:38">
      <c r="AH3802" t="s">
        <v>1954</v>
      </c>
      <c r="AI3802" t="s">
        <v>68</v>
      </c>
      <c r="AJ3802" t="s">
        <v>66</v>
      </c>
      <c r="AK3802" s="3" t="s">
        <v>27</v>
      </c>
      <c r="AL3802" s="3">
        <v>-12610.8</v>
      </c>
    </row>
    <row r="3803" spans="34:38">
      <c r="AH3803" t="s">
        <v>1954</v>
      </c>
      <c r="AI3803" t="s">
        <v>68</v>
      </c>
      <c r="AJ3803" t="s">
        <v>72</v>
      </c>
      <c r="AK3803" s="3" t="s">
        <v>27</v>
      </c>
      <c r="AL3803" s="3">
        <v>-12844.256842999999</v>
      </c>
    </row>
    <row r="3804" spans="34:38">
      <c r="AH3804" t="s">
        <v>1954</v>
      </c>
      <c r="AI3804" t="s">
        <v>68</v>
      </c>
      <c r="AJ3804" t="s">
        <v>113</v>
      </c>
      <c r="AK3804" s="3" t="s">
        <v>27</v>
      </c>
      <c r="AL3804" s="3">
        <v>-314.63588095889997</v>
      </c>
    </row>
    <row r="3805" spans="34:38">
      <c r="AH3805" t="s">
        <v>1954</v>
      </c>
      <c r="AI3805" t="s">
        <v>68</v>
      </c>
      <c r="AJ3805" t="s">
        <v>108</v>
      </c>
      <c r="AK3805" s="3" t="s">
        <v>27</v>
      </c>
      <c r="AL3805" s="3">
        <v>-233.45684299999999</v>
      </c>
    </row>
    <row r="3806" spans="34:38">
      <c r="AH3806" t="s">
        <v>1955</v>
      </c>
      <c r="AI3806" t="s">
        <v>65</v>
      </c>
      <c r="AJ3806" t="s">
        <v>66</v>
      </c>
      <c r="AK3806" s="3" t="s">
        <v>27</v>
      </c>
      <c r="AL3806" s="3">
        <v>28248.3</v>
      </c>
    </row>
    <row r="3807" spans="34:38">
      <c r="AH3807" t="s">
        <v>1955</v>
      </c>
      <c r="AI3807" t="s">
        <v>65</v>
      </c>
      <c r="AJ3807" t="s">
        <v>72</v>
      </c>
      <c r="AK3807" s="3" t="s">
        <v>27</v>
      </c>
      <c r="AL3807" s="3">
        <v>29611.511439999998</v>
      </c>
    </row>
    <row r="3808" spans="34:38">
      <c r="AH3808" t="s">
        <v>1955</v>
      </c>
      <c r="AI3808" t="s">
        <v>65</v>
      </c>
      <c r="AJ3808" t="s">
        <v>113</v>
      </c>
      <c r="AK3808" s="3" t="s">
        <v>27</v>
      </c>
      <c r="AL3808" s="3">
        <v>2555.7595184636002</v>
      </c>
    </row>
    <row r="3809" spans="34:38">
      <c r="AH3809" t="s">
        <v>1955</v>
      </c>
      <c r="AI3809" t="s">
        <v>65</v>
      </c>
      <c r="AJ3809" t="s">
        <v>108</v>
      </c>
      <c r="AK3809" s="3" t="s">
        <v>27</v>
      </c>
      <c r="AL3809" s="3">
        <v>-1192.5480784635999</v>
      </c>
    </row>
    <row r="3810" spans="34:38">
      <c r="AH3810" t="s">
        <v>1955</v>
      </c>
      <c r="AI3810" t="s">
        <v>67</v>
      </c>
      <c r="AJ3810" t="s">
        <v>66</v>
      </c>
      <c r="AK3810" s="3" t="s">
        <v>27</v>
      </c>
      <c r="AL3810" s="3">
        <v>-9135.5</v>
      </c>
    </row>
    <row r="3811" spans="34:38">
      <c r="AH3811" t="s">
        <v>1955</v>
      </c>
      <c r="AI3811" t="s">
        <v>67</v>
      </c>
      <c r="AJ3811" t="s">
        <v>72</v>
      </c>
      <c r="AK3811" s="3" t="s">
        <v>27</v>
      </c>
      <c r="AL3811" s="3">
        <v>-10683.655445</v>
      </c>
    </row>
    <row r="3812" spans="34:38">
      <c r="AH3812" t="s">
        <v>1955</v>
      </c>
      <c r="AI3812" t="s">
        <v>67</v>
      </c>
      <c r="AJ3812" t="s">
        <v>113</v>
      </c>
      <c r="AK3812" s="3" t="s">
        <v>27</v>
      </c>
      <c r="AL3812" s="3">
        <v>-5.7835068493000001</v>
      </c>
    </row>
    <row r="3813" spans="34:38">
      <c r="AH3813" t="s">
        <v>1955</v>
      </c>
      <c r="AI3813" t="s">
        <v>67</v>
      </c>
      <c r="AJ3813" t="s">
        <v>108</v>
      </c>
      <c r="AK3813" s="3" t="s">
        <v>27</v>
      </c>
      <c r="AL3813" s="3">
        <v>-1542.3719381507001</v>
      </c>
    </row>
    <row r="3814" spans="34:38">
      <c r="AH3814" t="s">
        <v>1955</v>
      </c>
      <c r="AI3814" t="s">
        <v>68</v>
      </c>
      <c r="AJ3814" t="s">
        <v>66</v>
      </c>
      <c r="AK3814" s="3" t="s">
        <v>27</v>
      </c>
      <c r="AL3814" s="3">
        <v>-11410.8</v>
      </c>
    </row>
    <row r="3815" spans="34:38">
      <c r="AH3815" t="s">
        <v>1955</v>
      </c>
      <c r="AI3815" t="s">
        <v>68</v>
      </c>
      <c r="AJ3815" t="s">
        <v>72</v>
      </c>
      <c r="AK3815" s="3" t="s">
        <v>27</v>
      </c>
      <c r="AL3815" s="3">
        <v>-11596.038914999999</v>
      </c>
    </row>
    <row r="3816" spans="34:38">
      <c r="AH3816" t="s">
        <v>1955</v>
      </c>
      <c r="AI3816" t="s">
        <v>68</v>
      </c>
      <c r="AJ3816" t="s">
        <v>113</v>
      </c>
      <c r="AK3816" s="3" t="s">
        <v>27</v>
      </c>
      <c r="AL3816" s="3">
        <v>-196.02767616439999</v>
      </c>
    </row>
    <row r="3817" spans="34:38">
      <c r="AH3817" t="s">
        <v>1955</v>
      </c>
      <c r="AI3817" t="s">
        <v>68</v>
      </c>
      <c r="AJ3817" t="s">
        <v>108</v>
      </c>
      <c r="AK3817" s="3" t="s">
        <v>27</v>
      </c>
      <c r="AL3817" s="3">
        <v>-185.23891499999999</v>
      </c>
    </row>
    <row r="3818" spans="34:38">
      <c r="AH3818" t="s">
        <v>1956</v>
      </c>
      <c r="AI3818" t="s">
        <v>65</v>
      </c>
      <c r="AJ3818" t="s">
        <v>66</v>
      </c>
      <c r="AK3818" s="3" t="s">
        <v>27</v>
      </c>
      <c r="AL3818" s="3">
        <v>29366.3</v>
      </c>
    </row>
    <row r="3819" spans="34:38">
      <c r="AH3819" t="s">
        <v>1956</v>
      </c>
      <c r="AI3819" t="s">
        <v>65</v>
      </c>
      <c r="AJ3819" t="s">
        <v>72</v>
      </c>
      <c r="AK3819" s="3" t="s">
        <v>27</v>
      </c>
      <c r="AL3819" s="3">
        <v>30457.276776999999</v>
      </c>
    </row>
    <row r="3820" spans="34:38">
      <c r="AH3820" t="s">
        <v>1956</v>
      </c>
      <c r="AI3820" t="s">
        <v>65</v>
      </c>
      <c r="AJ3820" t="s">
        <v>113</v>
      </c>
      <c r="AK3820" s="3" t="s">
        <v>27</v>
      </c>
      <c r="AL3820" s="3">
        <v>2275.5545014584</v>
      </c>
    </row>
    <row r="3821" spans="34:38">
      <c r="AH3821" t="s">
        <v>1956</v>
      </c>
      <c r="AI3821" t="s">
        <v>65</v>
      </c>
      <c r="AJ3821" t="s">
        <v>108</v>
      </c>
      <c r="AK3821" s="3" t="s">
        <v>27</v>
      </c>
      <c r="AL3821" s="3">
        <v>-1184.5777244584001</v>
      </c>
    </row>
    <row r="3822" spans="34:38">
      <c r="AH3822" t="s">
        <v>1956</v>
      </c>
      <c r="AI3822" t="s">
        <v>67</v>
      </c>
      <c r="AJ3822" t="s">
        <v>66</v>
      </c>
      <c r="AK3822" s="3" t="s">
        <v>27</v>
      </c>
      <c r="AL3822" s="3">
        <v>-9473.5</v>
      </c>
    </row>
    <row r="3823" spans="34:38">
      <c r="AH3823" t="s">
        <v>1956</v>
      </c>
      <c r="AI3823" t="s">
        <v>67</v>
      </c>
      <c r="AJ3823" t="s">
        <v>72</v>
      </c>
      <c r="AK3823" s="3" t="s">
        <v>27</v>
      </c>
      <c r="AL3823" s="3">
        <v>-10709.054024999999</v>
      </c>
    </row>
    <row r="3824" spans="34:38">
      <c r="AH3824" t="s">
        <v>1956</v>
      </c>
      <c r="AI3824" t="s">
        <v>67</v>
      </c>
      <c r="AJ3824" t="s">
        <v>113</v>
      </c>
      <c r="AK3824" s="3" t="s">
        <v>27</v>
      </c>
      <c r="AL3824" s="3">
        <v>-71.067123287699999</v>
      </c>
    </row>
    <row r="3825" spans="34:38">
      <c r="AH3825" t="s">
        <v>1956</v>
      </c>
      <c r="AI3825" t="s">
        <v>67</v>
      </c>
      <c r="AJ3825" t="s">
        <v>108</v>
      </c>
      <c r="AK3825" s="3" t="s">
        <v>27</v>
      </c>
      <c r="AL3825" s="3">
        <v>-1164.4869017123001</v>
      </c>
    </row>
    <row r="3826" spans="34:38">
      <c r="AH3826" t="s">
        <v>1956</v>
      </c>
      <c r="AI3826" t="s">
        <v>68</v>
      </c>
      <c r="AJ3826" t="s">
        <v>66</v>
      </c>
      <c r="AK3826" s="3" t="s">
        <v>27</v>
      </c>
      <c r="AL3826" s="3">
        <v>-12130.8</v>
      </c>
    </row>
    <row r="3827" spans="34:38">
      <c r="AH3827" t="s">
        <v>1956</v>
      </c>
      <c r="AI3827" t="s">
        <v>68</v>
      </c>
      <c r="AJ3827" t="s">
        <v>72</v>
      </c>
      <c r="AK3827" s="3" t="s">
        <v>27</v>
      </c>
      <c r="AL3827" s="3">
        <v>-12303.083912</v>
      </c>
    </row>
    <row r="3828" spans="34:38">
      <c r="AH3828" t="s">
        <v>1956</v>
      </c>
      <c r="AI3828" t="s">
        <v>68</v>
      </c>
      <c r="AJ3828" t="s">
        <v>113</v>
      </c>
      <c r="AK3828" s="3" t="s">
        <v>27</v>
      </c>
      <c r="AL3828" s="3">
        <v>-259.87602191780002</v>
      </c>
    </row>
    <row r="3829" spans="34:38">
      <c r="AH3829" t="s">
        <v>1956</v>
      </c>
      <c r="AI3829" t="s">
        <v>68</v>
      </c>
      <c r="AJ3829" t="s">
        <v>108</v>
      </c>
      <c r="AK3829" s="3" t="s">
        <v>27</v>
      </c>
      <c r="AL3829" s="3">
        <v>-172.28391199999999</v>
      </c>
    </row>
    <row r="3830" spans="34:38">
      <c r="AH3830" t="s">
        <v>1957</v>
      </c>
      <c r="AI3830" t="s">
        <v>65</v>
      </c>
      <c r="AJ3830" t="s">
        <v>66</v>
      </c>
      <c r="AK3830" s="3" t="s">
        <v>27</v>
      </c>
      <c r="AL3830" s="3">
        <v>28178.799999999999</v>
      </c>
    </row>
    <row r="3831" spans="34:38">
      <c r="AH3831" t="s">
        <v>1957</v>
      </c>
      <c r="AI3831" t="s">
        <v>65</v>
      </c>
      <c r="AJ3831" t="s">
        <v>72</v>
      </c>
      <c r="AK3831" s="3" t="s">
        <v>27</v>
      </c>
      <c r="AL3831" s="3">
        <v>29606.548126999998</v>
      </c>
    </row>
    <row r="3832" spans="34:38">
      <c r="AH3832" t="s">
        <v>1957</v>
      </c>
      <c r="AI3832" t="s">
        <v>65</v>
      </c>
      <c r="AJ3832" t="s">
        <v>113</v>
      </c>
      <c r="AK3832" s="3" t="s">
        <v>27</v>
      </c>
      <c r="AL3832" s="3">
        <v>2655.1558070849001</v>
      </c>
    </row>
    <row r="3833" spans="34:38">
      <c r="AH3833" t="s">
        <v>1957</v>
      </c>
      <c r="AI3833" t="s">
        <v>65</v>
      </c>
      <c r="AJ3833" t="s">
        <v>108</v>
      </c>
      <c r="AK3833" s="3" t="s">
        <v>27</v>
      </c>
      <c r="AL3833" s="3">
        <v>-1227.4076800849</v>
      </c>
    </row>
    <row r="3834" spans="34:38">
      <c r="AH3834" t="s">
        <v>1957</v>
      </c>
      <c r="AI3834" t="s">
        <v>67</v>
      </c>
      <c r="AJ3834" t="s">
        <v>66</v>
      </c>
      <c r="AK3834" s="3" t="s">
        <v>27</v>
      </c>
      <c r="AL3834" s="3">
        <v>-7718</v>
      </c>
    </row>
    <row r="3835" spans="34:38">
      <c r="AH3835" t="s">
        <v>1957</v>
      </c>
      <c r="AI3835" t="s">
        <v>67</v>
      </c>
      <c r="AJ3835" t="s">
        <v>72</v>
      </c>
      <c r="AK3835" s="3" t="s">
        <v>27</v>
      </c>
      <c r="AL3835" s="3">
        <v>-9394.8964550000001</v>
      </c>
    </row>
    <row r="3836" spans="34:38">
      <c r="AH3836" t="s">
        <v>1957</v>
      </c>
      <c r="AI3836" t="s">
        <v>67</v>
      </c>
      <c r="AJ3836" t="s">
        <v>113</v>
      </c>
      <c r="AK3836" s="3" t="s">
        <v>27</v>
      </c>
      <c r="AL3836" s="3">
        <v>-977.26722335620002</v>
      </c>
    </row>
    <row r="3837" spans="34:38">
      <c r="AH3837" t="s">
        <v>1957</v>
      </c>
      <c r="AI3837" t="s">
        <v>67</v>
      </c>
      <c r="AJ3837" t="s">
        <v>108</v>
      </c>
      <c r="AK3837" s="3" t="s">
        <v>27</v>
      </c>
      <c r="AL3837" s="3">
        <v>-699.62923164380004</v>
      </c>
    </row>
    <row r="3838" spans="34:38">
      <c r="AH3838" t="s">
        <v>1957</v>
      </c>
      <c r="AI3838" t="s">
        <v>68</v>
      </c>
      <c r="AJ3838" t="s">
        <v>66</v>
      </c>
      <c r="AK3838" s="3" t="s">
        <v>27</v>
      </c>
      <c r="AL3838" s="3">
        <v>-13058.8</v>
      </c>
    </row>
    <row r="3839" spans="34:38">
      <c r="AH3839" t="s">
        <v>1957</v>
      </c>
      <c r="AI3839" t="s">
        <v>68</v>
      </c>
      <c r="AJ3839" t="s">
        <v>72</v>
      </c>
      <c r="AK3839" s="3" t="s">
        <v>27</v>
      </c>
      <c r="AL3839" s="3">
        <v>-13156.979012</v>
      </c>
    </row>
    <row r="3840" spans="34:38">
      <c r="AH3840" t="s">
        <v>1957</v>
      </c>
      <c r="AI3840" t="s">
        <v>68</v>
      </c>
      <c r="AJ3840" t="s">
        <v>113</v>
      </c>
      <c r="AK3840" s="3" t="s">
        <v>27</v>
      </c>
      <c r="AL3840" s="3">
        <v>-367.72006301369998</v>
      </c>
    </row>
    <row r="3841" spans="34:38">
      <c r="AH3841" t="s">
        <v>1957</v>
      </c>
      <c r="AI3841" t="s">
        <v>68</v>
      </c>
      <c r="AJ3841" t="s">
        <v>108</v>
      </c>
      <c r="AK3841" s="3" t="s">
        <v>27</v>
      </c>
      <c r="AL3841" s="3">
        <v>-98.179012</v>
      </c>
    </row>
    <row r="3842" spans="34:38">
      <c r="AH3842" t="s">
        <v>1958</v>
      </c>
      <c r="AI3842" t="s">
        <v>65</v>
      </c>
      <c r="AJ3842" t="s">
        <v>72</v>
      </c>
      <c r="AK3842" s="3" t="s">
        <v>27</v>
      </c>
      <c r="AL3842" s="3">
        <v>30888.411799000001</v>
      </c>
    </row>
    <row r="3843" spans="34:38">
      <c r="AH3843" t="s">
        <v>1958</v>
      </c>
      <c r="AI3843" t="s">
        <v>65</v>
      </c>
      <c r="AJ3843" t="s">
        <v>113</v>
      </c>
      <c r="AK3843" s="3" t="s">
        <v>27</v>
      </c>
      <c r="AL3843" s="3">
        <v>2381.6785138502</v>
      </c>
    </row>
    <row r="3844" spans="34:38">
      <c r="AH3844" t="s">
        <v>1958</v>
      </c>
      <c r="AI3844" t="s">
        <v>65</v>
      </c>
      <c r="AJ3844" t="s">
        <v>108</v>
      </c>
      <c r="AK3844" s="3" t="s">
        <v>27</v>
      </c>
      <c r="AL3844" s="3">
        <v>-1194.5667148502</v>
      </c>
    </row>
    <row r="3845" spans="34:38">
      <c r="AH3845" t="s">
        <v>1958</v>
      </c>
      <c r="AI3845" t="s">
        <v>67</v>
      </c>
      <c r="AJ3845" t="s">
        <v>66</v>
      </c>
      <c r="AK3845" s="3" t="s">
        <v>27</v>
      </c>
      <c r="AL3845" s="3">
        <v>-9728</v>
      </c>
    </row>
    <row r="3846" spans="34:38">
      <c r="AH3846" t="s">
        <v>1958</v>
      </c>
      <c r="AI3846" t="s">
        <v>67</v>
      </c>
      <c r="AJ3846" t="s">
        <v>72</v>
      </c>
      <c r="AK3846" s="3" t="s">
        <v>27</v>
      </c>
      <c r="AL3846" s="3">
        <v>-10985.343010000001</v>
      </c>
    </row>
    <row r="3847" spans="34:38">
      <c r="AH3847" t="s">
        <v>1958</v>
      </c>
      <c r="AI3847" t="s">
        <v>67</v>
      </c>
      <c r="AJ3847" t="s">
        <v>113</v>
      </c>
      <c r="AK3847" s="3" t="s">
        <v>27</v>
      </c>
      <c r="AL3847" s="3">
        <v>64.6325787671</v>
      </c>
    </row>
    <row r="3848" spans="34:38">
      <c r="AH3848" t="s">
        <v>1958</v>
      </c>
      <c r="AI3848" t="s">
        <v>67</v>
      </c>
      <c r="AJ3848" t="s">
        <v>108</v>
      </c>
      <c r="AK3848" s="3" t="s">
        <v>27</v>
      </c>
      <c r="AL3848" s="3">
        <v>-1321.9755887670999</v>
      </c>
    </row>
    <row r="3849" spans="34:38">
      <c r="AH3849" t="s">
        <v>1958</v>
      </c>
      <c r="AI3849" t="s">
        <v>68</v>
      </c>
      <c r="AJ3849" t="s">
        <v>66</v>
      </c>
      <c r="AK3849" s="3" t="s">
        <v>27</v>
      </c>
      <c r="AL3849" s="3">
        <v>-12571.3</v>
      </c>
    </row>
    <row r="3850" spans="34:38">
      <c r="AH3850" t="s">
        <v>1958</v>
      </c>
      <c r="AI3850" t="s">
        <v>68</v>
      </c>
      <c r="AJ3850" t="s">
        <v>72</v>
      </c>
      <c r="AK3850" s="3" t="s">
        <v>27</v>
      </c>
      <c r="AL3850" s="3">
        <v>-12848.236468999999</v>
      </c>
    </row>
    <row r="3851" spans="34:38">
      <c r="AH3851" t="s">
        <v>1958</v>
      </c>
      <c r="AI3851" t="s">
        <v>68</v>
      </c>
      <c r="AJ3851" t="s">
        <v>113</v>
      </c>
      <c r="AK3851" s="3" t="s">
        <v>27</v>
      </c>
      <c r="AL3851" s="3">
        <v>-471.94728705479997</v>
      </c>
    </row>
    <row r="3852" spans="34:38">
      <c r="AH3852" t="s">
        <v>1958</v>
      </c>
      <c r="AI3852" t="s">
        <v>68</v>
      </c>
      <c r="AJ3852" t="s">
        <v>108</v>
      </c>
      <c r="AK3852" s="3" t="s">
        <v>27</v>
      </c>
      <c r="AL3852" s="3">
        <v>-276.93646899999999</v>
      </c>
    </row>
    <row r="3853" spans="34:38">
      <c r="AH3853" t="s">
        <v>1958</v>
      </c>
      <c r="AI3853" t="s">
        <v>65</v>
      </c>
      <c r="AJ3853" t="s">
        <v>66</v>
      </c>
      <c r="AK3853" s="3" t="s">
        <v>27</v>
      </c>
      <c r="AL3853" s="3">
        <v>29701.3</v>
      </c>
    </row>
    <row r="3854" spans="34:38">
      <c r="AH3854" t="s">
        <v>1959</v>
      </c>
      <c r="AI3854" t="s">
        <v>65</v>
      </c>
      <c r="AJ3854" t="s">
        <v>66</v>
      </c>
      <c r="AK3854" s="3" t="s">
        <v>27</v>
      </c>
      <c r="AL3854" s="3">
        <v>28622.3</v>
      </c>
    </row>
    <row r="3855" spans="34:38">
      <c r="AH3855" t="s">
        <v>1959</v>
      </c>
      <c r="AI3855" t="s">
        <v>65</v>
      </c>
      <c r="AJ3855" t="s">
        <v>72</v>
      </c>
      <c r="AK3855" s="3" t="s">
        <v>27</v>
      </c>
      <c r="AL3855" s="3">
        <v>30053.382559999998</v>
      </c>
    </row>
    <row r="3856" spans="34:38">
      <c r="AH3856" t="s">
        <v>1959</v>
      </c>
      <c r="AI3856" t="s">
        <v>65</v>
      </c>
      <c r="AJ3856" t="s">
        <v>113</v>
      </c>
      <c r="AK3856" s="3" t="s">
        <v>27</v>
      </c>
      <c r="AL3856" s="3">
        <v>2675.3746041241998</v>
      </c>
    </row>
    <row r="3857" spans="34:38">
      <c r="AH3857" t="s">
        <v>1959</v>
      </c>
      <c r="AI3857" t="s">
        <v>65</v>
      </c>
      <c r="AJ3857" t="s">
        <v>108</v>
      </c>
      <c r="AK3857" s="3" t="s">
        <v>27</v>
      </c>
      <c r="AL3857" s="3">
        <v>-1244.2920441241999</v>
      </c>
    </row>
    <row r="3858" spans="34:38">
      <c r="AH3858" t="s">
        <v>1959</v>
      </c>
      <c r="AI3858" t="s">
        <v>67</v>
      </c>
      <c r="AJ3858" t="s">
        <v>66</v>
      </c>
      <c r="AK3858" s="3" t="s">
        <v>27</v>
      </c>
      <c r="AL3858" s="3">
        <v>-7126.5</v>
      </c>
    </row>
    <row r="3859" spans="34:38">
      <c r="AH3859" t="s">
        <v>1959</v>
      </c>
      <c r="AI3859" t="s">
        <v>67</v>
      </c>
      <c r="AJ3859" t="s">
        <v>72</v>
      </c>
      <c r="AK3859" s="3" t="s">
        <v>27</v>
      </c>
      <c r="AL3859" s="3">
        <v>-8909.2270000000008</v>
      </c>
    </row>
    <row r="3860" spans="34:38">
      <c r="AH3860" t="s">
        <v>1959</v>
      </c>
      <c r="AI3860" t="s">
        <v>67</v>
      </c>
      <c r="AJ3860" t="s">
        <v>113</v>
      </c>
      <c r="AK3860" s="3" t="s">
        <v>27</v>
      </c>
      <c r="AL3860" s="3">
        <v>-494.81818780819998</v>
      </c>
    </row>
    <row r="3861" spans="34:38">
      <c r="AH3861" t="s">
        <v>1959</v>
      </c>
      <c r="AI3861" t="s">
        <v>67</v>
      </c>
      <c r="AJ3861" t="s">
        <v>108</v>
      </c>
      <c r="AK3861" s="3" t="s">
        <v>27</v>
      </c>
      <c r="AL3861" s="3">
        <v>-1287.9088121918001</v>
      </c>
    </row>
    <row r="3862" spans="34:38">
      <c r="AH3862" t="s">
        <v>1959</v>
      </c>
      <c r="AI3862" t="s">
        <v>68</v>
      </c>
      <c r="AJ3862" t="s">
        <v>66</v>
      </c>
      <c r="AK3862" s="3" t="s">
        <v>27</v>
      </c>
      <c r="AL3862" s="3">
        <v>-14293.8</v>
      </c>
    </row>
    <row r="3863" spans="34:38">
      <c r="AH3863" t="s">
        <v>1959</v>
      </c>
      <c r="AI3863" t="s">
        <v>68</v>
      </c>
      <c r="AJ3863" t="s">
        <v>72</v>
      </c>
      <c r="AK3863" s="3" t="s">
        <v>27</v>
      </c>
      <c r="AL3863" s="3">
        <v>-14288.4406</v>
      </c>
    </row>
    <row r="3864" spans="34:38">
      <c r="AH3864" t="s">
        <v>1959</v>
      </c>
      <c r="AI3864" t="s">
        <v>68</v>
      </c>
      <c r="AJ3864" t="s">
        <v>113</v>
      </c>
      <c r="AK3864" s="3" t="s">
        <v>27</v>
      </c>
      <c r="AL3864" s="3">
        <v>-400.12525143840003</v>
      </c>
    </row>
    <row r="3865" spans="34:38">
      <c r="AH3865" t="s">
        <v>1959</v>
      </c>
      <c r="AI3865" t="s">
        <v>68</v>
      </c>
      <c r="AJ3865" t="s">
        <v>108</v>
      </c>
      <c r="AK3865" s="3" t="s">
        <v>27</v>
      </c>
      <c r="AL3865" s="3">
        <v>5.3593999999999999</v>
      </c>
    </row>
    <row r="3866" spans="34:38">
      <c r="AH3866" t="s">
        <v>1960</v>
      </c>
      <c r="AI3866" t="s">
        <v>65</v>
      </c>
      <c r="AJ3866" t="s">
        <v>66</v>
      </c>
      <c r="AK3866" s="3" t="s">
        <v>27</v>
      </c>
      <c r="AL3866" s="3">
        <v>26792.3</v>
      </c>
    </row>
    <row r="3867" spans="34:38">
      <c r="AH3867" t="s">
        <v>1960</v>
      </c>
      <c r="AI3867" t="s">
        <v>65</v>
      </c>
      <c r="AJ3867" t="s">
        <v>72</v>
      </c>
      <c r="AK3867" s="3" t="s">
        <v>27</v>
      </c>
      <c r="AL3867" s="3">
        <v>28400.01727</v>
      </c>
    </row>
    <row r="3868" spans="34:38">
      <c r="AH3868" t="s">
        <v>1960</v>
      </c>
      <c r="AI3868" t="s">
        <v>65</v>
      </c>
      <c r="AJ3868" t="s">
        <v>113</v>
      </c>
      <c r="AK3868" s="3" t="s">
        <v>27</v>
      </c>
      <c r="AL3868" s="3">
        <v>2965.5671617869998</v>
      </c>
    </row>
    <row r="3869" spans="34:38">
      <c r="AH3869" t="s">
        <v>1960</v>
      </c>
      <c r="AI3869" t="s">
        <v>65</v>
      </c>
      <c r="AJ3869" t="s">
        <v>108</v>
      </c>
      <c r="AK3869" s="3" t="s">
        <v>27</v>
      </c>
      <c r="AL3869" s="3">
        <v>-1357.8498917869999</v>
      </c>
    </row>
    <row r="3870" spans="34:38">
      <c r="AH3870" t="s">
        <v>1960</v>
      </c>
      <c r="AI3870" t="s">
        <v>67</v>
      </c>
      <c r="AJ3870" t="s">
        <v>66</v>
      </c>
      <c r="AK3870" s="3" t="s">
        <v>27</v>
      </c>
      <c r="AL3870" s="3">
        <v>-7475.5</v>
      </c>
    </row>
    <row r="3871" spans="34:38">
      <c r="AH3871" t="s">
        <v>1960</v>
      </c>
      <c r="AI3871" t="s">
        <v>67</v>
      </c>
      <c r="AJ3871" t="s">
        <v>72</v>
      </c>
      <c r="AK3871" s="3" t="s">
        <v>27</v>
      </c>
      <c r="AL3871" s="3">
        <v>-9038.1476500000008</v>
      </c>
    </row>
    <row r="3872" spans="34:38">
      <c r="AH3872" t="s">
        <v>1960</v>
      </c>
      <c r="AI3872" t="s">
        <v>67</v>
      </c>
      <c r="AJ3872" t="s">
        <v>113</v>
      </c>
      <c r="AK3872" s="3" t="s">
        <v>27</v>
      </c>
      <c r="AL3872" s="3">
        <v>-324.75704520549999</v>
      </c>
    </row>
    <row r="3873" spans="34:38">
      <c r="AH3873" t="s">
        <v>1960</v>
      </c>
      <c r="AI3873" t="s">
        <v>67</v>
      </c>
      <c r="AJ3873" t="s">
        <v>108</v>
      </c>
      <c r="AK3873" s="3" t="s">
        <v>27</v>
      </c>
      <c r="AL3873" s="3">
        <v>-1237.8906047945</v>
      </c>
    </row>
    <row r="3874" spans="34:38">
      <c r="AH3874" t="s">
        <v>1960</v>
      </c>
      <c r="AI3874" t="s">
        <v>68</v>
      </c>
      <c r="AJ3874" t="s">
        <v>66</v>
      </c>
      <c r="AK3874" s="3" t="s">
        <v>27</v>
      </c>
      <c r="AL3874" s="3">
        <v>-12064.8</v>
      </c>
    </row>
    <row r="3875" spans="34:38">
      <c r="AH3875" t="s">
        <v>1960</v>
      </c>
      <c r="AI3875" t="s">
        <v>68</v>
      </c>
      <c r="AJ3875" t="s">
        <v>72</v>
      </c>
      <c r="AK3875" s="3" t="s">
        <v>27</v>
      </c>
      <c r="AL3875" s="3">
        <v>-12496.028340000001</v>
      </c>
    </row>
    <row r="3876" spans="34:38">
      <c r="AH3876" t="s">
        <v>1960</v>
      </c>
      <c r="AI3876" t="s">
        <v>68</v>
      </c>
      <c r="AJ3876" t="s">
        <v>113</v>
      </c>
      <c r="AK3876" s="3" t="s">
        <v>27</v>
      </c>
      <c r="AL3876" s="3">
        <v>-946.15137143840002</v>
      </c>
    </row>
    <row r="3877" spans="34:38">
      <c r="AH3877" t="s">
        <v>1960</v>
      </c>
      <c r="AI3877" t="s">
        <v>68</v>
      </c>
      <c r="AJ3877" t="s">
        <v>108</v>
      </c>
      <c r="AK3877" s="3" t="s">
        <v>27</v>
      </c>
      <c r="AL3877" s="3">
        <v>-431.22834</v>
      </c>
    </row>
    <row r="3878" spans="34:38">
      <c r="AH3878" t="s">
        <v>1961</v>
      </c>
      <c r="AI3878" t="s">
        <v>65</v>
      </c>
      <c r="AJ3878" t="s">
        <v>66</v>
      </c>
      <c r="AK3878" s="3" t="s">
        <v>27</v>
      </c>
      <c r="AL3878" s="3">
        <v>26762.3</v>
      </c>
    </row>
    <row r="3879" spans="34:38">
      <c r="AH3879" t="s">
        <v>1961</v>
      </c>
      <c r="AI3879" t="s">
        <v>65</v>
      </c>
      <c r="AJ3879" t="s">
        <v>72</v>
      </c>
      <c r="AK3879" s="3" t="s">
        <v>27</v>
      </c>
      <c r="AL3879" s="3">
        <v>28403.548288999998</v>
      </c>
    </row>
    <row r="3880" spans="34:38">
      <c r="AH3880" t="s">
        <v>1961</v>
      </c>
      <c r="AI3880" t="s">
        <v>65</v>
      </c>
      <c r="AJ3880" t="s">
        <v>113</v>
      </c>
      <c r="AK3880" s="3" t="s">
        <v>27</v>
      </c>
      <c r="AL3880" s="3">
        <v>2943.6635286886999</v>
      </c>
    </row>
    <row r="3881" spans="34:38">
      <c r="AH3881" t="s">
        <v>1961</v>
      </c>
      <c r="AI3881" t="s">
        <v>65</v>
      </c>
      <c r="AJ3881" t="s">
        <v>108</v>
      </c>
      <c r="AK3881" s="3" t="s">
        <v>27</v>
      </c>
      <c r="AL3881" s="3">
        <v>-1302.4152396887</v>
      </c>
    </row>
    <row r="3882" spans="34:38">
      <c r="AH3882" t="s">
        <v>1961</v>
      </c>
      <c r="AI3882" t="s">
        <v>67</v>
      </c>
      <c r="AJ3882" t="s">
        <v>66</v>
      </c>
      <c r="AK3882" s="3" t="s">
        <v>27</v>
      </c>
      <c r="AL3882" s="3">
        <v>-9225.5</v>
      </c>
    </row>
    <row r="3883" spans="34:38">
      <c r="AH3883" t="s">
        <v>1961</v>
      </c>
      <c r="AI3883" t="s">
        <v>67</v>
      </c>
      <c r="AJ3883" t="s">
        <v>72</v>
      </c>
      <c r="AK3883" s="3" t="s">
        <v>27</v>
      </c>
      <c r="AL3883" s="3">
        <v>-10536.5368</v>
      </c>
    </row>
    <row r="3884" spans="34:38">
      <c r="AH3884" t="s">
        <v>1961</v>
      </c>
      <c r="AI3884" t="s">
        <v>67</v>
      </c>
      <c r="AJ3884" t="s">
        <v>113</v>
      </c>
      <c r="AK3884" s="3" t="s">
        <v>27</v>
      </c>
      <c r="AL3884" s="3">
        <v>34.417890411000002</v>
      </c>
    </row>
    <row r="3885" spans="34:38">
      <c r="AH3885" t="s">
        <v>1961</v>
      </c>
      <c r="AI3885" t="s">
        <v>67</v>
      </c>
      <c r="AJ3885" t="s">
        <v>108</v>
      </c>
      <c r="AK3885" s="3" t="s">
        <v>27</v>
      </c>
      <c r="AL3885" s="3">
        <v>-1345.454690411</v>
      </c>
    </row>
    <row r="3886" spans="34:38">
      <c r="AH3886" t="s">
        <v>1961</v>
      </c>
      <c r="AI3886" t="s">
        <v>68</v>
      </c>
      <c r="AJ3886" t="s">
        <v>66</v>
      </c>
      <c r="AK3886" s="3" t="s">
        <v>27</v>
      </c>
      <c r="AL3886" s="3">
        <v>-9984.7999999999993</v>
      </c>
    </row>
    <row r="3887" spans="34:38">
      <c r="AH3887" t="s">
        <v>1961</v>
      </c>
      <c r="AI3887" t="s">
        <v>68</v>
      </c>
      <c r="AJ3887" t="s">
        <v>72</v>
      </c>
      <c r="AK3887" s="3" t="s">
        <v>27</v>
      </c>
      <c r="AL3887" s="3">
        <v>-10711.165749</v>
      </c>
    </row>
    <row r="3888" spans="34:38">
      <c r="AH3888" t="s">
        <v>1961</v>
      </c>
      <c r="AI3888" t="s">
        <v>68</v>
      </c>
      <c r="AJ3888" t="s">
        <v>113</v>
      </c>
      <c r="AK3888" s="3" t="s">
        <v>27</v>
      </c>
      <c r="AL3888" s="3">
        <v>-550.34315068490002</v>
      </c>
    </row>
    <row r="3889" spans="34:38">
      <c r="AH3889" t="s">
        <v>1961</v>
      </c>
      <c r="AI3889" t="s">
        <v>68</v>
      </c>
      <c r="AJ3889" t="s">
        <v>108</v>
      </c>
      <c r="AK3889" s="3" t="s">
        <v>27</v>
      </c>
      <c r="AL3889" s="3">
        <v>-726.36574900000005</v>
      </c>
    </row>
    <row r="3890" spans="34:38">
      <c r="AH3890" t="s">
        <v>1962</v>
      </c>
      <c r="AI3890" t="s">
        <v>65</v>
      </c>
      <c r="AJ3890" t="s">
        <v>66</v>
      </c>
      <c r="AK3890" s="3" t="s">
        <v>27</v>
      </c>
      <c r="AL3890" s="3">
        <v>26283.8</v>
      </c>
    </row>
    <row r="3891" spans="34:38">
      <c r="AH3891" t="s">
        <v>1962</v>
      </c>
      <c r="AI3891" t="s">
        <v>65</v>
      </c>
      <c r="AJ3891" t="s">
        <v>72</v>
      </c>
      <c r="AK3891" s="3" t="s">
        <v>27</v>
      </c>
      <c r="AL3891" s="3">
        <v>27937.253468999999</v>
      </c>
    </row>
    <row r="3892" spans="34:38">
      <c r="AH3892" t="s">
        <v>1962</v>
      </c>
      <c r="AI3892" t="s">
        <v>65</v>
      </c>
      <c r="AJ3892" t="s">
        <v>113</v>
      </c>
      <c r="AK3892" s="3" t="s">
        <v>27</v>
      </c>
      <c r="AL3892" s="3">
        <v>2953.0876501675002</v>
      </c>
    </row>
    <row r="3893" spans="34:38">
      <c r="AH3893" t="s">
        <v>1962</v>
      </c>
      <c r="AI3893" t="s">
        <v>65</v>
      </c>
      <c r="AJ3893" t="s">
        <v>108</v>
      </c>
      <c r="AK3893" s="3" t="s">
        <v>27</v>
      </c>
      <c r="AL3893" s="3">
        <v>-1299.6341811674999</v>
      </c>
    </row>
    <row r="3894" spans="34:38">
      <c r="AH3894" t="s">
        <v>1962</v>
      </c>
      <c r="AI3894" t="s">
        <v>67</v>
      </c>
      <c r="AJ3894" t="s">
        <v>66</v>
      </c>
      <c r="AK3894" s="3" t="s">
        <v>27</v>
      </c>
      <c r="AL3894" s="3">
        <v>-7927</v>
      </c>
    </row>
    <row r="3895" spans="34:38">
      <c r="AH3895" t="s">
        <v>1962</v>
      </c>
      <c r="AI3895" t="s">
        <v>67</v>
      </c>
      <c r="AJ3895" t="s">
        <v>72</v>
      </c>
      <c r="AK3895" s="3" t="s">
        <v>27</v>
      </c>
      <c r="AL3895" s="3">
        <v>-9403.5082550000006</v>
      </c>
    </row>
    <row r="3896" spans="34:38">
      <c r="AH3896" t="s">
        <v>1962</v>
      </c>
      <c r="AI3896" t="s">
        <v>67</v>
      </c>
      <c r="AJ3896" t="s">
        <v>113</v>
      </c>
      <c r="AK3896" s="3" t="s">
        <v>27</v>
      </c>
      <c r="AL3896" s="3">
        <v>-28.9409429452</v>
      </c>
    </row>
    <row r="3897" spans="34:38">
      <c r="AH3897" t="s">
        <v>1962</v>
      </c>
      <c r="AI3897" t="s">
        <v>67</v>
      </c>
      <c r="AJ3897" t="s">
        <v>108</v>
      </c>
      <c r="AK3897" s="3" t="s">
        <v>27</v>
      </c>
      <c r="AL3897" s="3">
        <v>-1447.5673120547999</v>
      </c>
    </row>
    <row r="3898" spans="34:38">
      <c r="AH3898" t="s">
        <v>1962</v>
      </c>
      <c r="AI3898" t="s">
        <v>68</v>
      </c>
      <c r="AJ3898" t="s">
        <v>66</v>
      </c>
      <c r="AK3898" s="3" t="s">
        <v>27</v>
      </c>
      <c r="AL3898" s="3">
        <v>-10754.8</v>
      </c>
    </row>
    <row r="3899" spans="34:38">
      <c r="AH3899" t="s">
        <v>1962</v>
      </c>
      <c r="AI3899" t="s">
        <v>68</v>
      </c>
      <c r="AJ3899" t="s">
        <v>72</v>
      </c>
      <c r="AK3899" s="3" t="s">
        <v>27</v>
      </c>
      <c r="AL3899" s="3">
        <v>-11332.550314</v>
      </c>
    </row>
    <row r="3900" spans="34:38">
      <c r="AH3900" t="s">
        <v>1962</v>
      </c>
      <c r="AI3900" t="s">
        <v>68</v>
      </c>
      <c r="AJ3900" t="s">
        <v>113</v>
      </c>
      <c r="AK3900" s="3" t="s">
        <v>27</v>
      </c>
      <c r="AL3900" s="3">
        <v>-194.00884109590001</v>
      </c>
    </row>
    <row r="3901" spans="34:38">
      <c r="AH3901" t="s">
        <v>1962</v>
      </c>
      <c r="AI3901" t="s">
        <v>68</v>
      </c>
      <c r="AJ3901" t="s">
        <v>108</v>
      </c>
      <c r="AK3901" s="3" t="s">
        <v>27</v>
      </c>
      <c r="AL3901" s="3">
        <v>-577.750314</v>
      </c>
    </row>
    <row r="3902" spans="34:38">
      <c r="AH3902" t="s">
        <v>1963</v>
      </c>
      <c r="AI3902" t="s">
        <v>65</v>
      </c>
      <c r="AJ3902" t="s">
        <v>66</v>
      </c>
      <c r="AK3902" s="3" t="s">
        <v>27</v>
      </c>
      <c r="AL3902" s="3">
        <v>26055.3</v>
      </c>
    </row>
    <row r="3903" spans="34:38">
      <c r="AH3903" t="s">
        <v>1963</v>
      </c>
      <c r="AI3903" t="s">
        <v>65</v>
      </c>
      <c r="AJ3903" t="s">
        <v>72</v>
      </c>
      <c r="AK3903" s="3" t="s">
        <v>27</v>
      </c>
      <c r="AL3903" s="3">
        <v>27675.867881999999</v>
      </c>
    </row>
    <row r="3904" spans="34:38">
      <c r="AH3904" t="s">
        <v>1963</v>
      </c>
      <c r="AI3904" t="s">
        <v>65</v>
      </c>
      <c r="AJ3904" t="s">
        <v>113</v>
      </c>
      <c r="AK3904" s="3" t="s">
        <v>27</v>
      </c>
      <c r="AL3904" s="3">
        <v>2884.0176099752998</v>
      </c>
    </row>
    <row r="3905" spans="34:38">
      <c r="AH3905" t="s">
        <v>1963</v>
      </c>
      <c r="AI3905" t="s">
        <v>65</v>
      </c>
      <c r="AJ3905" t="s">
        <v>108</v>
      </c>
      <c r="AK3905" s="3" t="s">
        <v>27</v>
      </c>
      <c r="AL3905" s="3">
        <v>-1263.4497279753</v>
      </c>
    </row>
    <row r="3906" spans="34:38">
      <c r="AH3906" t="s">
        <v>1963</v>
      </c>
      <c r="AI3906" t="s">
        <v>67</v>
      </c>
      <c r="AJ3906" t="s">
        <v>66</v>
      </c>
      <c r="AK3906" s="3" t="s">
        <v>27</v>
      </c>
      <c r="AL3906" s="3">
        <v>-7927</v>
      </c>
    </row>
    <row r="3907" spans="34:38">
      <c r="AH3907" t="s">
        <v>1963</v>
      </c>
      <c r="AI3907" t="s">
        <v>67</v>
      </c>
      <c r="AJ3907" t="s">
        <v>72</v>
      </c>
      <c r="AK3907" s="3" t="s">
        <v>27</v>
      </c>
      <c r="AL3907" s="3">
        <v>-9367.9314450000002</v>
      </c>
    </row>
    <row r="3908" spans="34:38">
      <c r="AH3908" t="s">
        <v>1963</v>
      </c>
      <c r="AI3908" t="s">
        <v>67</v>
      </c>
      <c r="AJ3908" t="s">
        <v>113</v>
      </c>
      <c r="AK3908" s="3" t="s">
        <v>27</v>
      </c>
      <c r="AL3908" s="3">
        <v>57.6018908219</v>
      </c>
    </row>
    <row r="3909" spans="34:38">
      <c r="AH3909" t="s">
        <v>1963</v>
      </c>
      <c r="AI3909" t="s">
        <v>67</v>
      </c>
      <c r="AJ3909" t="s">
        <v>108</v>
      </c>
      <c r="AK3909" s="3" t="s">
        <v>27</v>
      </c>
      <c r="AL3909" s="3">
        <v>-1498.5333358219</v>
      </c>
    </row>
    <row r="3910" spans="34:38">
      <c r="AH3910" t="s">
        <v>1963</v>
      </c>
      <c r="AI3910" t="s">
        <v>68</v>
      </c>
      <c r="AJ3910" t="s">
        <v>66</v>
      </c>
      <c r="AK3910" s="3" t="s">
        <v>27</v>
      </c>
      <c r="AL3910" s="3">
        <v>-10166.299999999999</v>
      </c>
    </row>
    <row r="3911" spans="34:38">
      <c r="AH3911" t="s">
        <v>1963</v>
      </c>
      <c r="AI3911" t="s">
        <v>68</v>
      </c>
      <c r="AJ3911" t="s">
        <v>72</v>
      </c>
      <c r="AK3911" s="3" t="s">
        <v>27</v>
      </c>
      <c r="AL3911" s="3">
        <v>-10717.539337</v>
      </c>
    </row>
    <row r="3912" spans="34:38">
      <c r="AH3912" t="s">
        <v>1963</v>
      </c>
      <c r="AI3912" t="s">
        <v>68</v>
      </c>
      <c r="AJ3912" t="s">
        <v>113</v>
      </c>
      <c r="AK3912" s="3" t="s">
        <v>27</v>
      </c>
      <c r="AL3912" s="3">
        <v>49.7375639041</v>
      </c>
    </row>
    <row r="3913" spans="34:38">
      <c r="AH3913" t="s">
        <v>1963</v>
      </c>
      <c r="AI3913" t="s">
        <v>68</v>
      </c>
      <c r="AJ3913" t="s">
        <v>108</v>
      </c>
      <c r="AK3913" s="3" t="s">
        <v>27</v>
      </c>
      <c r="AL3913" s="3">
        <v>-551.23933699999998</v>
      </c>
    </row>
    <row r="3914" spans="34:38">
      <c r="AH3914" t="s">
        <v>1964</v>
      </c>
      <c r="AI3914" t="s">
        <v>65</v>
      </c>
      <c r="AJ3914" t="s">
        <v>66</v>
      </c>
      <c r="AK3914" s="3" t="s">
        <v>27</v>
      </c>
      <c r="AL3914" s="3">
        <v>25031.8</v>
      </c>
    </row>
    <row r="3915" spans="34:38">
      <c r="AH3915" t="s">
        <v>1964</v>
      </c>
      <c r="AI3915" t="s">
        <v>65</v>
      </c>
      <c r="AJ3915" t="s">
        <v>72</v>
      </c>
      <c r="AK3915" s="3" t="s">
        <v>27</v>
      </c>
      <c r="AL3915" s="3">
        <v>26801.632374000001</v>
      </c>
    </row>
    <row r="3916" spans="34:38">
      <c r="AH3916" t="s">
        <v>1964</v>
      </c>
      <c r="AI3916" t="s">
        <v>65</v>
      </c>
      <c r="AJ3916" t="s">
        <v>113</v>
      </c>
      <c r="AK3916" s="3" t="s">
        <v>27</v>
      </c>
      <c r="AL3916" s="3">
        <v>3042.4640619323</v>
      </c>
    </row>
    <row r="3917" spans="34:38">
      <c r="AH3917" t="s">
        <v>1964</v>
      </c>
      <c r="AI3917" t="s">
        <v>65</v>
      </c>
      <c r="AJ3917" t="s">
        <v>108</v>
      </c>
      <c r="AK3917" s="3" t="s">
        <v>27</v>
      </c>
      <c r="AL3917" s="3">
        <v>-1272.6316879323001</v>
      </c>
    </row>
    <row r="3918" spans="34:38">
      <c r="AH3918" t="s">
        <v>1964</v>
      </c>
      <c r="AI3918" t="s">
        <v>67</v>
      </c>
      <c r="AJ3918" t="s">
        <v>66</v>
      </c>
      <c r="AK3918" s="3" t="s">
        <v>27</v>
      </c>
      <c r="AL3918" s="3">
        <v>-6932</v>
      </c>
    </row>
    <row r="3919" spans="34:38">
      <c r="AH3919" t="s">
        <v>1964</v>
      </c>
      <c r="AI3919" t="s">
        <v>67</v>
      </c>
      <c r="AJ3919" t="s">
        <v>72</v>
      </c>
      <c r="AK3919" s="3" t="s">
        <v>27</v>
      </c>
      <c r="AL3919" s="3">
        <v>-8583.8895049999992</v>
      </c>
    </row>
    <row r="3920" spans="34:38">
      <c r="AH3920" t="s">
        <v>1964</v>
      </c>
      <c r="AI3920" t="s">
        <v>67</v>
      </c>
      <c r="AJ3920" t="s">
        <v>113</v>
      </c>
      <c r="AK3920" s="3" t="s">
        <v>27</v>
      </c>
      <c r="AL3920" s="3">
        <v>-140.3276344521</v>
      </c>
    </row>
    <row r="3921" spans="34:38">
      <c r="AH3921" t="s">
        <v>1964</v>
      </c>
      <c r="AI3921" t="s">
        <v>67</v>
      </c>
      <c r="AJ3921" t="s">
        <v>108</v>
      </c>
      <c r="AK3921" s="3" t="s">
        <v>27</v>
      </c>
      <c r="AL3921" s="3">
        <v>-1511.5618705479001</v>
      </c>
    </row>
    <row r="3922" spans="34:38">
      <c r="AH3922" t="s">
        <v>1964</v>
      </c>
      <c r="AI3922" t="s">
        <v>68</v>
      </c>
      <c r="AJ3922" t="s">
        <v>66</v>
      </c>
      <c r="AK3922" s="3" t="s">
        <v>27</v>
      </c>
      <c r="AL3922" s="3">
        <v>-10137.799999999999</v>
      </c>
    </row>
    <row r="3923" spans="34:38">
      <c r="AH3923" t="s">
        <v>1964</v>
      </c>
      <c r="AI3923" t="s">
        <v>68</v>
      </c>
      <c r="AJ3923" t="s">
        <v>72</v>
      </c>
      <c r="AK3923" s="3" t="s">
        <v>27</v>
      </c>
      <c r="AL3923" s="3">
        <v>-10618.062489</v>
      </c>
    </row>
    <row r="3924" spans="34:38">
      <c r="AH3924" t="s">
        <v>1964</v>
      </c>
      <c r="AI3924" t="s">
        <v>68</v>
      </c>
      <c r="AJ3924" t="s">
        <v>113</v>
      </c>
      <c r="AK3924" s="3" t="s">
        <v>27</v>
      </c>
      <c r="AL3924" s="3">
        <v>135.2345735616</v>
      </c>
    </row>
    <row r="3925" spans="34:38">
      <c r="AH3925" t="s">
        <v>1964</v>
      </c>
      <c r="AI3925" t="s">
        <v>68</v>
      </c>
      <c r="AJ3925" t="s">
        <v>108</v>
      </c>
      <c r="AK3925" s="3" t="s">
        <v>27</v>
      </c>
      <c r="AL3925" s="3">
        <v>-480.26248900000002</v>
      </c>
    </row>
    <row r="3926" spans="34:38">
      <c r="AH3926" t="s">
        <v>1965</v>
      </c>
      <c r="AI3926" t="s">
        <v>65</v>
      </c>
      <c r="AJ3926" t="s">
        <v>108</v>
      </c>
      <c r="AK3926" s="3" t="s">
        <v>27</v>
      </c>
      <c r="AL3926" s="3">
        <v>-1250.8209536483</v>
      </c>
    </row>
    <row r="3927" spans="34:38">
      <c r="AH3927" t="s">
        <v>1965</v>
      </c>
      <c r="AI3927" t="s">
        <v>67</v>
      </c>
      <c r="AJ3927" t="s">
        <v>66</v>
      </c>
      <c r="AK3927" s="3" t="s">
        <v>27</v>
      </c>
      <c r="AL3927" s="3">
        <v>-7884.5</v>
      </c>
    </row>
    <row r="3928" spans="34:38">
      <c r="AH3928" t="s">
        <v>1965</v>
      </c>
      <c r="AI3928" t="s">
        <v>67</v>
      </c>
      <c r="AJ3928" t="s">
        <v>72</v>
      </c>
      <c r="AK3928" s="3" t="s">
        <v>27</v>
      </c>
      <c r="AL3928" s="3">
        <v>-9188.2392049999999</v>
      </c>
    </row>
    <row r="3929" spans="34:38">
      <c r="AH3929" t="s">
        <v>1965</v>
      </c>
      <c r="AI3929" t="s">
        <v>67</v>
      </c>
      <c r="AJ3929" t="s">
        <v>113</v>
      </c>
      <c r="AK3929" s="3" t="s">
        <v>27</v>
      </c>
      <c r="AL3929" s="3">
        <v>151.55849000000001</v>
      </c>
    </row>
    <row r="3930" spans="34:38">
      <c r="AH3930" t="s">
        <v>1965</v>
      </c>
      <c r="AI3930" t="s">
        <v>67</v>
      </c>
      <c r="AJ3930" t="s">
        <v>108</v>
      </c>
      <c r="AK3930" s="3" t="s">
        <v>27</v>
      </c>
      <c r="AL3930" s="3">
        <v>-1455.297695</v>
      </c>
    </row>
    <row r="3931" spans="34:38">
      <c r="AH3931" t="s">
        <v>1965</v>
      </c>
      <c r="AI3931" t="s">
        <v>68</v>
      </c>
      <c r="AJ3931" t="s">
        <v>66</v>
      </c>
      <c r="AK3931" s="3" t="s">
        <v>27</v>
      </c>
      <c r="AL3931" s="3">
        <v>-9164.2999999999993</v>
      </c>
    </row>
    <row r="3932" spans="34:38">
      <c r="AH3932" t="s">
        <v>1965</v>
      </c>
      <c r="AI3932" t="s">
        <v>68</v>
      </c>
      <c r="AJ3932" t="s">
        <v>72</v>
      </c>
      <c r="AK3932" s="3" t="s">
        <v>27</v>
      </c>
      <c r="AL3932" s="3">
        <v>-9785.3363570000001</v>
      </c>
    </row>
    <row r="3933" spans="34:38">
      <c r="AH3933" t="s">
        <v>1965</v>
      </c>
      <c r="AI3933" t="s">
        <v>68</v>
      </c>
      <c r="AJ3933" t="s">
        <v>113</v>
      </c>
      <c r="AK3933" s="3" t="s">
        <v>27</v>
      </c>
      <c r="AL3933" s="3">
        <v>32.720115</v>
      </c>
    </row>
    <row r="3934" spans="34:38">
      <c r="AH3934" t="s">
        <v>1965</v>
      </c>
      <c r="AI3934" t="s">
        <v>68</v>
      </c>
      <c r="AJ3934" t="s">
        <v>108</v>
      </c>
      <c r="AK3934" s="3" t="s">
        <v>27</v>
      </c>
      <c r="AL3934" s="3">
        <v>-621.03635699999995</v>
      </c>
    </row>
    <row r="3935" spans="34:38">
      <c r="AH3935" t="s">
        <v>1965</v>
      </c>
      <c r="AI3935" t="s">
        <v>65</v>
      </c>
      <c r="AJ3935" t="s">
        <v>66</v>
      </c>
      <c r="AK3935" s="3" t="s">
        <v>27</v>
      </c>
      <c r="AL3935" s="3">
        <v>24910.799999999999</v>
      </c>
    </row>
    <row r="3936" spans="34:38">
      <c r="AH3936" t="s">
        <v>1965</v>
      </c>
      <c r="AI3936" t="s">
        <v>65</v>
      </c>
      <c r="AJ3936" t="s">
        <v>72</v>
      </c>
      <c r="AK3936" s="3" t="s">
        <v>27</v>
      </c>
      <c r="AL3936" s="3">
        <v>26476.358722000001</v>
      </c>
    </row>
    <row r="3937" spans="34:38">
      <c r="AH3937" t="s">
        <v>1965</v>
      </c>
      <c r="AI3937" t="s">
        <v>65</v>
      </c>
      <c r="AJ3937" t="s">
        <v>113</v>
      </c>
      <c r="AK3937" s="3" t="s">
        <v>27</v>
      </c>
      <c r="AL3937" s="3">
        <v>2816.3796756482998</v>
      </c>
    </row>
    <row r="3938" spans="34:38">
      <c r="AH3938" t="s">
        <v>1966</v>
      </c>
      <c r="AI3938" t="s">
        <v>65</v>
      </c>
      <c r="AJ3938" t="s">
        <v>66</v>
      </c>
      <c r="AK3938" s="3" t="s">
        <v>27</v>
      </c>
      <c r="AL3938" s="3">
        <v>24960.799999999999</v>
      </c>
    </row>
    <row r="3939" spans="34:38">
      <c r="AH3939" t="s">
        <v>1966</v>
      </c>
      <c r="AI3939" t="s">
        <v>65</v>
      </c>
      <c r="AJ3939" t="s">
        <v>72</v>
      </c>
      <c r="AK3939" s="3" t="s">
        <v>27</v>
      </c>
      <c r="AL3939" s="3">
        <v>26592.900840999999</v>
      </c>
    </row>
    <row r="3940" spans="34:38">
      <c r="AH3940" t="s">
        <v>1966</v>
      </c>
      <c r="AI3940" t="s">
        <v>65</v>
      </c>
      <c r="AJ3940" t="s">
        <v>113</v>
      </c>
      <c r="AK3940" s="3" t="s">
        <v>27</v>
      </c>
      <c r="AL3940" s="3">
        <v>2911.4714421907001</v>
      </c>
    </row>
    <row r="3941" spans="34:38">
      <c r="AH3941" t="s">
        <v>1966</v>
      </c>
      <c r="AI3941" t="s">
        <v>65</v>
      </c>
      <c r="AJ3941" t="s">
        <v>108</v>
      </c>
      <c r="AK3941" s="3" t="s">
        <v>27</v>
      </c>
      <c r="AL3941" s="3">
        <v>-1279.3706011907</v>
      </c>
    </row>
    <row r="3942" spans="34:38">
      <c r="AH3942" t="s">
        <v>1966</v>
      </c>
      <c r="AI3942" t="s">
        <v>67</v>
      </c>
      <c r="AJ3942" t="s">
        <v>66</v>
      </c>
      <c r="AK3942" s="3" t="s">
        <v>27</v>
      </c>
      <c r="AL3942" s="3">
        <v>-8655.5</v>
      </c>
    </row>
    <row r="3943" spans="34:38">
      <c r="AH3943" t="s">
        <v>1966</v>
      </c>
      <c r="AI3943" t="s">
        <v>67</v>
      </c>
      <c r="AJ3943" t="s">
        <v>72</v>
      </c>
      <c r="AK3943" s="3" t="s">
        <v>27</v>
      </c>
      <c r="AL3943" s="3">
        <v>-10188.237465</v>
      </c>
    </row>
    <row r="3944" spans="34:38">
      <c r="AH3944" t="s">
        <v>1966</v>
      </c>
      <c r="AI3944" t="s">
        <v>67</v>
      </c>
      <c r="AJ3944" t="s">
        <v>113</v>
      </c>
      <c r="AK3944" s="3" t="s">
        <v>27</v>
      </c>
      <c r="AL3944" s="3">
        <v>-47.344000000000001</v>
      </c>
    </row>
    <row r="3945" spans="34:38">
      <c r="AH3945" t="s">
        <v>1966</v>
      </c>
      <c r="AI3945" t="s">
        <v>67</v>
      </c>
      <c r="AJ3945" t="s">
        <v>108</v>
      </c>
      <c r="AK3945" s="3" t="s">
        <v>27</v>
      </c>
      <c r="AL3945" s="3">
        <v>-1485.3934650000001</v>
      </c>
    </row>
    <row r="3946" spans="34:38">
      <c r="AH3946" t="s">
        <v>1966</v>
      </c>
      <c r="AI3946" t="s">
        <v>68</v>
      </c>
      <c r="AJ3946" t="s">
        <v>66</v>
      </c>
      <c r="AK3946" s="3" t="s">
        <v>27</v>
      </c>
      <c r="AL3946" s="3">
        <v>-8543.2999999999993</v>
      </c>
    </row>
    <row r="3947" spans="34:38">
      <c r="AH3947" t="s">
        <v>1966</v>
      </c>
      <c r="AI3947" t="s">
        <v>68</v>
      </c>
      <c r="AJ3947" t="s">
        <v>72</v>
      </c>
      <c r="AK3947" s="3" t="s">
        <v>27</v>
      </c>
      <c r="AL3947" s="3">
        <v>-8987.1517559999993</v>
      </c>
    </row>
    <row r="3948" spans="34:38">
      <c r="AH3948" t="s">
        <v>1966</v>
      </c>
      <c r="AI3948" t="s">
        <v>68</v>
      </c>
      <c r="AJ3948" t="s">
        <v>113</v>
      </c>
      <c r="AK3948" s="3" t="s">
        <v>27</v>
      </c>
      <c r="AL3948" s="3">
        <v>248.92357000000001</v>
      </c>
    </row>
    <row r="3949" spans="34:38">
      <c r="AH3949" t="s">
        <v>1966</v>
      </c>
      <c r="AI3949" t="s">
        <v>68</v>
      </c>
      <c r="AJ3949" t="s">
        <v>108</v>
      </c>
      <c r="AK3949" s="3" t="s">
        <v>27</v>
      </c>
      <c r="AL3949" s="3">
        <v>-443.85175600000002</v>
      </c>
    </row>
    <row r="3950" spans="34:38">
      <c r="AH3950" t="s">
        <v>1967</v>
      </c>
      <c r="AI3950" t="s">
        <v>65</v>
      </c>
      <c r="AJ3950" t="s">
        <v>66</v>
      </c>
      <c r="AK3950" s="3" t="s">
        <v>27</v>
      </c>
      <c r="AL3950" s="3">
        <v>24981.8</v>
      </c>
    </row>
    <row r="3951" spans="34:38">
      <c r="AH3951" t="s">
        <v>1967</v>
      </c>
      <c r="AI3951" t="s">
        <v>65</v>
      </c>
      <c r="AJ3951" t="s">
        <v>72</v>
      </c>
      <c r="AK3951" s="3" t="s">
        <v>27</v>
      </c>
      <c r="AL3951" s="3">
        <v>26676.812236000002</v>
      </c>
    </row>
    <row r="3952" spans="34:38">
      <c r="AH3952" t="s">
        <v>1967</v>
      </c>
      <c r="AI3952" t="s">
        <v>65</v>
      </c>
      <c r="AJ3952" t="s">
        <v>113</v>
      </c>
      <c r="AK3952" s="3" t="s">
        <v>27</v>
      </c>
      <c r="AL3952" s="3">
        <v>2914.2500246124</v>
      </c>
    </row>
    <row r="3953" spans="34:38">
      <c r="AH3953" t="s">
        <v>1967</v>
      </c>
      <c r="AI3953" t="s">
        <v>65</v>
      </c>
      <c r="AJ3953" t="s">
        <v>108</v>
      </c>
      <c r="AK3953" s="3" t="s">
        <v>27</v>
      </c>
      <c r="AL3953" s="3">
        <v>-1219.2377886124</v>
      </c>
    </row>
    <row r="3954" spans="34:38">
      <c r="AH3954" t="s">
        <v>1967</v>
      </c>
      <c r="AI3954" t="s">
        <v>67</v>
      </c>
      <c r="AJ3954" t="s">
        <v>66</v>
      </c>
      <c r="AK3954" s="3" t="s">
        <v>27</v>
      </c>
      <c r="AL3954" s="3">
        <v>-8126.5</v>
      </c>
    </row>
    <row r="3955" spans="34:38">
      <c r="AH3955" t="s">
        <v>1967</v>
      </c>
      <c r="AI3955" t="s">
        <v>67</v>
      </c>
      <c r="AJ3955" t="s">
        <v>72</v>
      </c>
      <c r="AK3955" s="3" t="s">
        <v>27</v>
      </c>
      <c r="AL3955" s="3">
        <v>-9673.7922899999994</v>
      </c>
    </row>
    <row r="3956" spans="34:38">
      <c r="AH3956" t="s">
        <v>1967</v>
      </c>
      <c r="AI3956" t="s">
        <v>67</v>
      </c>
      <c r="AJ3956" t="s">
        <v>113</v>
      </c>
      <c r="AK3956" s="3" t="s">
        <v>27</v>
      </c>
      <c r="AL3956" s="3">
        <v>-47.344000000000001</v>
      </c>
    </row>
    <row r="3957" spans="34:38">
      <c r="AH3957" t="s">
        <v>1967</v>
      </c>
      <c r="AI3957" t="s">
        <v>67</v>
      </c>
      <c r="AJ3957" t="s">
        <v>108</v>
      </c>
      <c r="AK3957" s="3" t="s">
        <v>27</v>
      </c>
      <c r="AL3957" s="3">
        <v>-1499.94829</v>
      </c>
    </row>
    <row r="3958" spans="34:38">
      <c r="AH3958" t="s">
        <v>1967</v>
      </c>
      <c r="AI3958" t="s">
        <v>68</v>
      </c>
      <c r="AJ3958" t="s">
        <v>66</v>
      </c>
      <c r="AK3958" s="3" t="s">
        <v>27</v>
      </c>
      <c r="AL3958" s="3">
        <v>-8943.2999999999993</v>
      </c>
    </row>
    <row r="3959" spans="34:38">
      <c r="AH3959" t="s">
        <v>1967</v>
      </c>
      <c r="AI3959" t="s">
        <v>68</v>
      </c>
      <c r="AJ3959" t="s">
        <v>72</v>
      </c>
      <c r="AK3959" s="3" t="s">
        <v>27</v>
      </c>
      <c r="AL3959" s="3">
        <v>-9445.3832459999994</v>
      </c>
    </row>
    <row r="3960" spans="34:38">
      <c r="AH3960" t="s">
        <v>1967</v>
      </c>
      <c r="AI3960" t="s">
        <v>68</v>
      </c>
      <c r="AJ3960" t="s">
        <v>113</v>
      </c>
      <c r="AK3960" s="3" t="s">
        <v>27</v>
      </c>
      <c r="AL3960" s="3">
        <v>92.814539999999994</v>
      </c>
    </row>
    <row r="3961" spans="34:38">
      <c r="AH3961" t="s">
        <v>1967</v>
      </c>
      <c r="AI3961" t="s">
        <v>68</v>
      </c>
      <c r="AJ3961" t="s">
        <v>108</v>
      </c>
      <c r="AK3961" s="3" t="s">
        <v>27</v>
      </c>
      <c r="AL3961" s="3">
        <v>-502.08324599999997</v>
      </c>
    </row>
    <row r="3962" spans="34:38">
      <c r="AH3962" t="s">
        <v>1968</v>
      </c>
      <c r="AI3962" t="s">
        <v>65</v>
      </c>
      <c r="AJ3962" t="s">
        <v>66</v>
      </c>
      <c r="AK3962" s="3" t="s">
        <v>27</v>
      </c>
      <c r="AL3962" s="3">
        <v>24167.8</v>
      </c>
    </row>
    <row r="3963" spans="34:38">
      <c r="AH3963" t="s">
        <v>1968</v>
      </c>
      <c r="AI3963" t="s">
        <v>65</v>
      </c>
      <c r="AJ3963" t="s">
        <v>72</v>
      </c>
      <c r="AK3963" s="3" t="s">
        <v>27</v>
      </c>
      <c r="AL3963" s="3">
        <v>26123.122977999999</v>
      </c>
    </row>
    <row r="3964" spans="34:38">
      <c r="AH3964" t="s">
        <v>1968</v>
      </c>
      <c r="AI3964" t="s">
        <v>65</v>
      </c>
      <c r="AJ3964" t="s">
        <v>113</v>
      </c>
      <c r="AK3964" s="3" t="s">
        <v>27</v>
      </c>
      <c r="AL3964" s="3">
        <v>2906.9414984764999</v>
      </c>
    </row>
    <row r="3965" spans="34:38">
      <c r="AH3965" t="s">
        <v>1968</v>
      </c>
      <c r="AI3965" t="s">
        <v>65</v>
      </c>
      <c r="AJ3965" t="s">
        <v>108</v>
      </c>
      <c r="AK3965" s="3" t="s">
        <v>27</v>
      </c>
      <c r="AL3965" s="3">
        <v>-951.61852047649995</v>
      </c>
    </row>
    <row r="3966" spans="34:38">
      <c r="AH3966" t="s">
        <v>1968</v>
      </c>
      <c r="AI3966" t="s">
        <v>67</v>
      </c>
      <c r="AJ3966" t="s">
        <v>66</v>
      </c>
      <c r="AK3966" s="3" t="s">
        <v>27</v>
      </c>
      <c r="AL3966" s="3">
        <v>-7341.5</v>
      </c>
    </row>
    <row r="3967" spans="34:38">
      <c r="AH3967" t="s">
        <v>1968</v>
      </c>
      <c r="AI3967" t="s">
        <v>67</v>
      </c>
      <c r="AJ3967" t="s">
        <v>72</v>
      </c>
      <c r="AK3967" s="3" t="s">
        <v>27</v>
      </c>
      <c r="AL3967" s="3">
        <v>-8995.4022349999996</v>
      </c>
    </row>
    <row r="3968" spans="34:38">
      <c r="AH3968" t="s">
        <v>1968</v>
      </c>
      <c r="AI3968" t="s">
        <v>67</v>
      </c>
      <c r="AJ3968" t="s">
        <v>113</v>
      </c>
      <c r="AK3968" s="3" t="s">
        <v>27</v>
      </c>
      <c r="AL3968" s="3">
        <v>-36.7288</v>
      </c>
    </row>
    <row r="3969" spans="34:38">
      <c r="AH3969" t="s">
        <v>1968</v>
      </c>
      <c r="AI3969" t="s">
        <v>67</v>
      </c>
      <c r="AJ3969" t="s">
        <v>108</v>
      </c>
      <c r="AK3969" s="3" t="s">
        <v>27</v>
      </c>
      <c r="AL3969" s="3">
        <v>-1617.1734349999999</v>
      </c>
    </row>
    <row r="3970" spans="34:38">
      <c r="AH3970" t="s">
        <v>1968</v>
      </c>
      <c r="AI3970" t="s">
        <v>68</v>
      </c>
      <c r="AJ3970" t="s">
        <v>66</v>
      </c>
      <c r="AK3970" s="3" t="s">
        <v>27</v>
      </c>
      <c r="AL3970" s="3">
        <v>-8164.3</v>
      </c>
    </row>
    <row r="3971" spans="34:38">
      <c r="AH3971" t="s">
        <v>1968</v>
      </c>
      <c r="AI3971" t="s">
        <v>68</v>
      </c>
      <c r="AJ3971" t="s">
        <v>72</v>
      </c>
      <c r="AK3971" s="3" t="s">
        <v>27</v>
      </c>
      <c r="AL3971" s="3">
        <v>-8842.1832030000005</v>
      </c>
    </row>
    <row r="3972" spans="34:38">
      <c r="AH3972" t="s">
        <v>1968</v>
      </c>
      <c r="AI3972" t="s">
        <v>68</v>
      </c>
      <c r="AJ3972" t="s">
        <v>113</v>
      </c>
      <c r="AK3972" s="3" t="s">
        <v>27</v>
      </c>
      <c r="AL3972" s="3">
        <v>90.541079999999994</v>
      </c>
    </row>
    <row r="3973" spans="34:38">
      <c r="AH3973" t="s">
        <v>1968</v>
      </c>
      <c r="AI3973" t="s">
        <v>68</v>
      </c>
      <c r="AJ3973" t="s">
        <v>108</v>
      </c>
      <c r="AK3973" s="3" t="s">
        <v>27</v>
      </c>
      <c r="AL3973" s="3">
        <v>-677.88320299999998</v>
      </c>
    </row>
    <row r="3974" spans="34:38">
      <c r="AH3974" t="s">
        <v>1969</v>
      </c>
      <c r="AI3974" t="s">
        <v>65</v>
      </c>
      <c r="AJ3974" t="s">
        <v>66</v>
      </c>
      <c r="AK3974" s="3" t="s">
        <v>27</v>
      </c>
      <c r="AL3974" s="3">
        <v>23971.8</v>
      </c>
    </row>
    <row r="3975" spans="34:38">
      <c r="AH3975" t="s">
        <v>1969</v>
      </c>
      <c r="AI3975" t="s">
        <v>65</v>
      </c>
      <c r="AJ3975" t="s">
        <v>72</v>
      </c>
      <c r="AK3975" s="3" t="s">
        <v>27</v>
      </c>
      <c r="AL3975" s="3">
        <v>26089.611658000002</v>
      </c>
    </row>
    <row r="3976" spans="34:38">
      <c r="AH3976" t="s">
        <v>1969</v>
      </c>
      <c r="AI3976" t="s">
        <v>65</v>
      </c>
      <c r="AJ3976" t="s">
        <v>113</v>
      </c>
      <c r="AK3976" s="3" t="s">
        <v>27</v>
      </c>
      <c r="AL3976" s="3">
        <v>3678.6788677876998</v>
      </c>
    </row>
    <row r="3977" spans="34:38">
      <c r="AH3977" t="s">
        <v>1969</v>
      </c>
      <c r="AI3977" t="s">
        <v>65</v>
      </c>
      <c r="AJ3977" t="s">
        <v>108</v>
      </c>
      <c r="AK3977" s="3" t="s">
        <v>27</v>
      </c>
      <c r="AL3977" s="3">
        <v>-1560.8672097876999</v>
      </c>
    </row>
    <row r="3978" spans="34:38">
      <c r="AH3978" t="s">
        <v>1969</v>
      </c>
      <c r="AI3978" t="s">
        <v>67</v>
      </c>
      <c r="AJ3978" t="s">
        <v>66</v>
      </c>
      <c r="AK3978" s="3" t="s">
        <v>27</v>
      </c>
      <c r="AL3978" s="3">
        <v>-7959.5</v>
      </c>
    </row>
    <row r="3979" spans="34:38">
      <c r="AH3979" t="s">
        <v>1969</v>
      </c>
      <c r="AI3979" t="s">
        <v>67</v>
      </c>
      <c r="AJ3979" t="s">
        <v>72</v>
      </c>
      <c r="AK3979" s="3" t="s">
        <v>27</v>
      </c>
      <c r="AL3979" s="3">
        <v>-9721.6951449999997</v>
      </c>
    </row>
    <row r="3980" spans="34:38">
      <c r="AH3980" t="s">
        <v>1969</v>
      </c>
      <c r="AI3980" t="s">
        <v>67</v>
      </c>
      <c r="AJ3980" t="s">
        <v>113</v>
      </c>
      <c r="AK3980" s="3" t="s">
        <v>27</v>
      </c>
      <c r="AL3980" s="3">
        <v>-11.7049</v>
      </c>
    </row>
    <row r="3981" spans="34:38">
      <c r="AH3981" t="s">
        <v>1969</v>
      </c>
      <c r="AI3981" t="s">
        <v>67</v>
      </c>
      <c r="AJ3981" t="s">
        <v>108</v>
      </c>
      <c r="AK3981" s="3" t="s">
        <v>27</v>
      </c>
      <c r="AL3981" s="3">
        <v>-1750.490245</v>
      </c>
    </row>
    <row r="3982" spans="34:38">
      <c r="AH3982" t="s">
        <v>1969</v>
      </c>
      <c r="AI3982" t="s">
        <v>68</v>
      </c>
      <c r="AJ3982" t="s">
        <v>66</v>
      </c>
      <c r="AK3982" s="3" t="s">
        <v>27</v>
      </c>
      <c r="AL3982" s="3">
        <v>-6900.3</v>
      </c>
    </row>
    <row r="3983" spans="34:38">
      <c r="AH3983" t="s">
        <v>1969</v>
      </c>
      <c r="AI3983" t="s">
        <v>68</v>
      </c>
      <c r="AJ3983" t="s">
        <v>72</v>
      </c>
      <c r="AK3983" s="3" t="s">
        <v>27</v>
      </c>
      <c r="AL3983" s="3">
        <v>-7642.6689130000004</v>
      </c>
    </row>
    <row r="3984" spans="34:38">
      <c r="AH3984" t="s">
        <v>1969</v>
      </c>
      <c r="AI3984" t="s">
        <v>68</v>
      </c>
      <c r="AJ3984" t="s">
        <v>113</v>
      </c>
      <c r="AK3984" s="3" t="s">
        <v>27</v>
      </c>
      <c r="AL3984" s="3">
        <v>98.484279999999998</v>
      </c>
    </row>
    <row r="3985" spans="34:38">
      <c r="AH3985" t="s">
        <v>1969</v>
      </c>
      <c r="AI3985" t="s">
        <v>68</v>
      </c>
      <c r="AJ3985" t="s">
        <v>108</v>
      </c>
      <c r="AK3985" s="3" t="s">
        <v>27</v>
      </c>
      <c r="AL3985" s="3">
        <v>-742.36891300000002</v>
      </c>
    </row>
    <row r="3986" spans="34:38">
      <c r="AH3986" t="s">
        <v>1970</v>
      </c>
      <c r="AI3986" t="s">
        <v>65</v>
      </c>
      <c r="AJ3986" t="s">
        <v>72</v>
      </c>
      <c r="AK3986" s="3" t="s">
        <v>27</v>
      </c>
      <c r="AL3986" s="3">
        <v>27433.368747</v>
      </c>
    </row>
    <row r="3987" spans="34:38">
      <c r="AH3987" t="s">
        <v>1970</v>
      </c>
      <c r="AI3987" t="s">
        <v>65</v>
      </c>
      <c r="AJ3987" t="s">
        <v>113</v>
      </c>
      <c r="AK3987" s="3" t="s">
        <v>27</v>
      </c>
      <c r="AL3987" s="3">
        <v>2798.7444323530999</v>
      </c>
    </row>
    <row r="3988" spans="34:38">
      <c r="AH3988" t="s">
        <v>1970</v>
      </c>
      <c r="AI3988" t="s">
        <v>65</v>
      </c>
      <c r="AJ3988" t="s">
        <v>108</v>
      </c>
      <c r="AK3988" s="3" t="s">
        <v>27</v>
      </c>
      <c r="AL3988" s="3">
        <v>-986.17568535309999</v>
      </c>
    </row>
    <row r="3989" spans="34:38">
      <c r="AH3989" t="s">
        <v>1970</v>
      </c>
      <c r="AI3989" t="s">
        <v>67</v>
      </c>
      <c r="AJ3989" t="s">
        <v>66</v>
      </c>
      <c r="AK3989" s="3" t="s">
        <v>27</v>
      </c>
      <c r="AL3989" s="3">
        <v>-9968.5</v>
      </c>
    </row>
    <row r="3990" spans="34:38">
      <c r="AH3990" t="s">
        <v>1970</v>
      </c>
      <c r="AI3990" t="s">
        <v>67</v>
      </c>
      <c r="AJ3990" t="s">
        <v>72</v>
      </c>
      <c r="AK3990" s="3" t="s">
        <v>27</v>
      </c>
      <c r="AL3990" s="3">
        <v>-11390.649495</v>
      </c>
    </row>
    <row r="3991" spans="34:38">
      <c r="AH3991" t="s">
        <v>1970</v>
      </c>
      <c r="AI3991" t="s">
        <v>67</v>
      </c>
      <c r="AJ3991" t="s">
        <v>113</v>
      </c>
      <c r="AK3991" s="3" t="s">
        <v>27</v>
      </c>
      <c r="AL3991" s="3">
        <v>146.17998</v>
      </c>
    </row>
    <row r="3992" spans="34:38">
      <c r="AH3992" t="s">
        <v>1970</v>
      </c>
      <c r="AI3992" t="s">
        <v>67</v>
      </c>
      <c r="AJ3992" t="s">
        <v>108</v>
      </c>
      <c r="AK3992" s="3" t="s">
        <v>27</v>
      </c>
      <c r="AL3992" s="3">
        <v>-1568.329475</v>
      </c>
    </row>
    <row r="3993" spans="34:38">
      <c r="AH3993" t="s">
        <v>1970</v>
      </c>
      <c r="AI3993" t="s">
        <v>68</v>
      </c>
      <c r="AJ3993" t="s">
        <v>66</v>
      </c>
      <c r="AK3993" s="3" t="s">
        <v>27</v>
      </c>
      <c r="AL3993" s="3">
        <v>-6640.3</v>
      </c>
    </row>
    <row r="3994" spans="34:38">
      <c r="AH3994" t="s">
        <v>1970</v>
      </c>
      <c r="AI3994" t="s">
        <v>68</v>
      </c>
      <c r="AJ3994" t="s">
        <v>72</v>
      </c>
      <c r="AK3994" s="3" t="s">
        <v>27</v>
      </c>
      <c r="AL3994" s="3">
        <v>-7407.3472119999997</v>
      </c>
    </row>
    <row r="3995" spans="34:38">
      <c r="AH3995" t="s">
        <v>1970</v>
      </c>
      <c r="AI3995" t="s">
        <v>68</v>
      </c>
      <c r="AJ3995" t="s">
        <v>113</v>
      </c>
      <c r="AK3995" s="3" t="s">
        <v>27</v>
      </c>
      <c r="AL3995" s="3">
        <v>110.39579999999999</v>
      </c>
    </row>
    <row r="3996" spans="34:38">
      <c r="AH3996" t="s">
        <v>1970</v>
      </c>
      <c r="AI3996" t="s">
        <v>68</v>
      </c>
      <c r="AJ3996" t="s">
        <v>108</v>
      </c>
      <c r="AK3996" s="3" t="s">
        <v>27</v>
      </c>
      <c r="AL3996" s="3">
        <v>-767.04721199999994</v>
      </c>
    </row>
    <row r="3997" spans="34:38">
      <c r="AH3997" t="s">
        <v>1970</v>
      </c>
      <c r="AI3997" t="s">
        <v>65</v>
      </c>
      <c r="AJ3997" t="s">
        <v>66</v>
      </c>
      <c r="AK3997" s="3" t="s">
        <v>27</v>
      </c>
      <c r="AL3997" s="3">
        <v>25620.799999999999</v>
      </c>
    </row>
    <row r="3998" spans="34:38">
      <c r="AH3998" t="s">
        <v>1971</v>
      </c>
      <c r="AI3998" t="s">
        <v>65</v>
      </c>
      <c r="AJ3998" t="s">
        <v>66</v>
      </c>
      <c r="AK3998" s="3" t="s">
        <v>27</v>
      </c>
      <c r="AL3998" s="3">
        <v>26405.8</v>
      </c>
    </row>
    <row r="3999" spans="34:38">
      <c r="AH3999" t="s">
        <v>1971</v>
      </c>
      <c r="AI3999" t="s">
        <v>65</v>
      </c>
      <c r="AJ3999" t="s">
        <v>72</v>
      </c>
      <c r="AK3999" s="3" t="s">
        <v>27</v>
      </c>
      <c r="AL3999" s="3">
        <v>28319.918504000001</v>
      </c>
    </row>
    <row r="4000" spans="34:38">
      <c r="AH4000" t="s">
        <v>1971</v>
      </c>
      <c r="AI4000" t="s">
        <v>65</v>
      </c>
      <c r="AJ4000" t="s">
        <v>113</v>
      </c>
      <c r="AK4000" s="3" t="s">
        <v>27</v>
      </c>
      <c r="AL4000" s="3">
        <v>2922.3735327260001</v>
      </c>
    </row>
    <row r="4001" spans="34:38">
      <c r="AH4001" t="s">
        <v>1971</v>
      </c>
      <c r="AI4001" t="s">
        <v>65</v>
      </c>
      <c r="AJ4001" t="s">
        <v>108</v>
      </c>
      <c r="AK4001" s="3" t="s">
        <v>27</v>
      </c>
      <c r="AL4001" s="3">
        <v>-1008.255028726</v>
      </c>
    </row>
    <row r="4002" spans="34:38">
      <c r="AH4002" t="s">
        <v>1971</v>
      </c>
      <c r="AI4002" t="s">
        <v>67</v>
      </c>
      <c r="AJ4002" t="s">
        <v>66</v>
      </c>
      <c r="AK4002" s="3" t="s">
        <v>27</v>
      </c>
      <c r="AL4002" s="3">
        <v>-10955.5</v>
      </c>
    </row>
    <row r="4003" spans="34:38">
      <c r="AH4003" t="s">
        <v>1971</v>
      </c>
      <c r="AI4003" t="s">
        <v>67</v>
      </c>
      <c r="AJ4003" t="s">
        <v>72</v>
      </c>
      <c r="AK4003" s="3" t="s">
        <v>27</v>
      </c>
      <c r="AL4003" s="3">
        <v>-12644.694835</v>
      </c>
    </row>
    <row r="4004" spans="34:38">
      <c r="AH4004" t="s">
        <v>1971</v>
      </c>
      <c r="AI4004" t="s">
        <v>67</v>
      </c>
      <c r="AJ4004" t="s">
        <v>113</v>
      </c>
      <c r="AK4004" s="3" t="s">
        <v>27</v>
      </c>
      <c r="AL4004" s="3">
        <v>0</v>
      </c>
    </row>
    <row r="4005" spans="34:38">
      <c r="AH4005" t="s">
        <v>1971</v>
      </c>
      <c r="AI4005" t="s">
        <v>67</v>
      </c>
      <c r="AJ4005" t="s">
        <v>108</v>
      </c>
      <c r="AK4005" s="3" t="s">
        <v>27</v>
      </c>
      <c r="AL4005" s="3">
        <v>-1689.194835</v>
      </c>
    </row>
    <row r="4006" spans="34:38">
      <c r="AH4006" t="s">
        <v>1971</v>
      </c>
      <c r="AI4006" t="s">
        <v>68</v>
      </c>
      <c r="AJ4006" t="s">
        <v>66</v>
      </c>
      <c r="AK4006" s="3" t="s">
        <v>27</v>
      </c>
      <c r="AL4006" s="3">
        <v>-6688.3</v>
      </c>
    </row>
    <row r="4007" spans="34:38">
      <c r="AH4007" t="s">
        <v>1971</v>
      </c>
      <c r="AI4007" t="s">
        <v>68</v>
      </c>
      <c r="AJ4007" t="s">
        <v>72</v>
      </c>
      <c r="AK4007" s="3" t="s">
        <v>27</v>
      </c>
      <c r="AL4007" s="3">
        <v>-7271.2671490000002</v>
      </c>
    </row>
    <row r="4008" spans="34:38">
      <c r="AH4008" t="s">
        <v>1971</v>
      </c>
      <c r="AI4008" t="s">
        <v>68</v>
      </c>
      <c r="AJ4008" t="s">
        <v>113</v>
      </c>
      <c r="AK4008" s="3" t="s">
        <v>27</v>
      </c>
      <c r="AL4008" s="3">
        <v>262.21328</v>
      </c>
    </row>
    <row r="4009" spans="34:38">
      <c r="AH4009" t="s">
        <v>1971</v>
      </c>
      <c r="AI4009" t="s">
        <v>68</v>
      </c>
      <c r="AJ4009" t="s">
        <v>108</v>
      </c>
      <c r="AK4009" s="3" t="s">
        <v>27</v>
      </c>
      <c r="AL4009" s="3">
        <v>-582.96714899999995</v>
      </c>
    </row>
    <row r="4010" spans="34:38">
      <c r="AH4010" t="s">
        <v>2054</v>
      </c>
      <c r="AI4010" t="s">
        <v>65</v>
      </c>
      <c r="AJ4010" t="s">
        <v>66</v>
      </c>
      <c r="AK4010" s="3" t="s">
        <v>27</v>
      </c>
      <c r="AL4010" s="3">
        <v>25305.8</v>
      </c>
    </row>
    <row r="4011" spans="34:38">
      <c r="AH4011" t="s">
        <v>2054</v>
      </c>
      <c r="AI4011" t="s">
        <v>65</v>
      </c>
      <c r="AJ4011" t="s">
        <v>72</v>
      </c>
      <c r="AK4011" s="3" t="s">
        <v>27</v>
      </c>
      <c r="AL4011" s="3">
        <v>26708.437746</v>
      </c>
    </row>
    <row r="4012" spans="34:38">
      <c r="AH4012" t="s">
        <v>2054</v>
      </c>
      <c r="AI4012" t="s">
        <v>65</v>
      </c>
      <c r="AJ4012" t="s">
        <v>113</v>
      </c>
      <c r="AK4012" s="3" t="s">
        <v>27</v>
      </c>
      <c r="AL4012" s="3">
        <v>2420.2374388910998</v>
      </c>
    </row>
    <row r="4013" spans="34:38">
      <c r="AH4013" t="s">
        <v>2054</v>
      </c>
      <c r="AI4013" t="s">
        <v>65</v>
      </c>
      <c r="AJ4013" t="s">
        <v>108</v>
      </c>
      <c r="AK4013" s="3" t="s">
        <v>27</v>
      </c>
      <c r="AL4013" s="3">
        <v>-1017.5996928910999</v>
      </c>
    </row>
    <row r="4014" spans="34:38">
      <c r="AH4014" t="s">
        <v>2054</v>
      </c>
      <c r="AI4014" t="s">
        <v>67</v>
      </c>
      <c r="AJ4014" t="s">
        <v>66</v>
      </c>
      <c r="AK4014" s="3" t="s">
        <v>27</v>
      </c>
      <c r="AL4014" s="3">
        <v>-8639.5</v>
      </c>
    </row>
    <row r="4015" spans="34:38">
      <c r="AH4015" t="s">
        <v>2054</v>
      </c>
      <c r="AI4015" t="s">
        <v>67</v>
      </c>
      <c r="AJ4015" t="s">
        <v>72</v>
      </c>
      <c r="AK4015" s="3" t="s">
        <v>27</v>
      </c>
      <c r="AL4015" s="3">
        <v>-9567.8637899999994</v>
      </c>
    </row>
    <row r="4016" spans="34:38">
      <c r="AH4016" t="s">
        <v>2054</v>
      </c>
      <c r="AI4016" t="s">
        <v>67</v>
      </c>
      <c r="AJ4016" t="s">
        <v>113</v>
      </c>
      <c r="AK4016" s="3" t="s">
        <v>27</v>
      </c>
      <c r="AL4016" s="3">
        <v>502.77199999999999</v>
      </c>
    </row>
    <row r="4017" spans="34:38">
      <c r="AH4017" t="s">
        <v>2054</v>
      </c>
      <c r="AI4017" t="s">
        <v>67</v>
      </c>
      <c r="AJ4017" t="s">
        <v>108</v>
      </c>
      <c r="AK4017" s="3" t="s">
        <v>27</v>
      </c>
      <c r="AL4017" s="3">
        <v>-1431.13579</v>
      </c>
    </row>
    <row r="4018" spans="34:38">
      <c r="AH4018" t="s">
        <v>2054</v>
      </c>
      <c r="AI4018" t="s">
        <v>68</v>
      </c>
      <c r="AJ4018" t="s">
        <v>66</v>
      </c>
      <c r="AK4018" s="3" t="s">
        <v>27</v>
      </c>
      <c r="AL4018" s="3">
        <v>-7904.3</v>
      </c>
    </row>
    <row r="4019" spans="34:38">
      <c r="AH4019" t="s">
        <v>2054</v>
      </c>
      <c r="AI4019" t="s">
        <v>68</v>
      </c>
      <c r="AJ4019" t="s">
        <v>72</v>
      </c>
      <c r="AK4019" s="3" t="s">
        <v>27</v>
      </c>
      <c r="AL4019" s="3">
        <v>-8735.3217760000007</v>
      </c>
    </row>
    <row r="4020" spans="34:38">
      <c r="AH4020" t="s">
        <v>2054</v>
      </c>
      <c r="AI4020" t="s">
        <v>68</v>
      </c>
      <c r="AJ4020" t="s">
        <v>113</v>
      </c>
      <c r="AK4020" s="3" t="s">
        <v>27</v>
      </c>
      <c r="AL4020" s="3">
        <v>262.21328</v>
      </c>
    </row>
    <row r="4021" spans="34:38">
      <c r="AH4021" t="s">
        <v>2054</v>
      </c>
      <c r="AI4021" t="s">
        <v>68</v>
      </c>
      <c r="AJ4021" t="s">
        <v>108</v>
      </c>
      <c r="AK4021" s="3" t="s">
        <v>27</v>
      </c>
      <c r="AL4021" s="3">
        <v>-831.02177600000005</v>
      </c>
    </row>
    <row r="4022" spans="34:38">
      <c r="AH4022" t="s">
        <v>2055</v>
      </c>
      <c r="AI4022" t="s">
        <v>65</v>
      </c>
      <c r="AJ4022" t="s">
        <v>66</v>
      </c>
      <c r="AK4022" s="3" t="s">
        <v>27</v>
      </c>
      <c r="AL4022" s="3">
        <v>24765.8</v>
      </c>
    </row>
    <row r="4023" spans="34:38">
      <c r="AH4023" t="s">
        <v>2055</v>
      </c>
      <c r="AI4023" t="s">
        <v>65</v>
      </c>
      <c r="AJ4023" t="s">
        <v>72</v>
      </c>
      <c r="AK4023" s="3" t="s">
        <v>27</v>
      </c>
      <c r="AL4023" s="3">
        <v>25618.478014</v>
      </c>
    </row>
    <row r="4024" spans="34:38">
      <c r="AH4024" t="s">
        <v>2055</v>
      </c>
      <c r="AI4024" t="s">
        <v>65</v>
      </c>
      <c r="AJ4024" t="s">
        <v>113</v>
      </c>
      <c r="AK4024" s="3" t="s">
        <v>27</v>
      </c>
      <c r="AL4024" s="3">
        <v>1899.7587194125001</v>
      </c>
    </row>
    <row r="4025" spans="34:38">
      <c r="AH4025" t="s">
        <v>2055</v>
      </c>
      <c r="AI4025" t="s">
        <v>65</v>
      </c>
      <c r="AJ4025" t="s">
        <v>108</v>
      </c>
      <c r="AK4025" s="3" t="s">
        <v>27</v>
      </c>
      <c r="AL4025" s="3">
        <v>-1047.0807054125</v>
      </c>
    </row>
    <row r="4026" spans="34:38">
      <c r="AH4026" t="s">
        <v>2055</v>
      </c>
      <c r="AI4026" t="s">
        <v>67</v>
      </c>
      <c r="AJ4026" t="s">
        <v>66</v>
      </c>
      <c r="AK4026" s="3" t="s">
        <v>27</v>
      </c>
      <c r="AL4026" s="3">
        <v>-9199.5</v>
      </c>
    </row>
    <row r="4027" spans="34:38">
      <c r="AH4027" t="s">
        <v>2055</v>
      </c>
      <c r="AI4027" t="s">
        <v>67</v>
      </c>
      <c r="AJ4027" t="s">
        <v>72</v>
      </c>
      <c r="AK4027" s="3" t="s">
        <v>27</v>
      </c>
      <c r="AL4027" s="3">
        <v>-10088.29306</v>
      </c>
    </row>
    <row r="4028" spans="34:38">
      <c r="AH4028" t="s">
        <v>2055</v>
      </c>
      <c r="AI4028" t="s">
        <v>67</v>
      </c>
      <c r="AJ4028" t="s">
        <v>113</v>
      </c>
      <c r="AK4028" s="3" t="s">
        <v>27</v>
      </c>
      <c r="AL4028" s="3">
        <v>505.63</v>
      </c>
    </row>
    <row r="4029" spans="34:38">
      <c r="AH4029" t="s">
        <v>2055</v>
      </c>
      <c r="AI4029" t="s">
        <v>67</v>
      </c>
      <c r="AJ4029" t="s">
        <v>108</v>
      </c>
      <c r="AK4029" s="3" t="s">
        <v>27</v>
      </c>
      <c r="AL4029" s="3">
        <v>-1394.4230600000001</v>
      </c>
    </row>
    <row r="4030" spans="34:38">
      <c r="AH4030" t="s">
        <v>2055</v>
      </c>
      <c r="AI4030" t="s">
        <v>68</v>
      </c>
      <c r="AJ4030" t="s">
        <v>66</v>
      </c>
      <c r="AK4030" s="3" t="s">
        <v>27</v>
      </c>
      <c r="AL4030" s="3">
        <v>-6804.3</v>
      </c>
    </row>
    <row r="4031" spans="34:38">
      <c r="AH4031" t="s">
        <v>2055</v>
      </c>
      <c r="AI4031" t="s">
        <v>68</v>
      </c>
      <c r="AJ4031" t="s">
        <v>72</v>
      </c>
      <c r="AK4031" s="3" t="s">
        <v>27</v>
      </c>
      <c r="AL4031" s="3">
        <v>-7125.1341339999999</v>
      </c>
    </row>
    <row r="4032" spans="34:38">
      <c r="AH4032" t="s">
        <v>2055</v>
      </c>
      <c r="AI4032" t="s">
        <v>68</v>
      </c>
      <c r="AJ4032" t="s">
        <v>113</v>
      </c>
      <c r="AK4032" s="3" t="s">
        <v>27</v>
      </c>
      <c r="AL4032" s="3">
        <v>630.86108000000002</v>
      </c>
    </row>
    <row r="4033" spans="34:38">
      <c r="AH4033" t="s">
        <v>2055</v>
      </c>
      <c r="AI4033" t="s">
        <v>68</v>
      </c>
      <c r="AJ4033" t="s">
        <v>108</v>
      </c>
      <c r="AK4033" s="3" t="s">
        <v>27</v>
      </c>
      <c r="AL4033" s="3">
        <v>-320.83413400000001</v>
      </c>
    </row>
    <row r="4034" spans="34:38">
      <c r="AH4034" t="s">
        <v>2056</v>
      </c>
      <c r="AI4034" t="s">
        <v>65</v>
      </c>
      <c r="AJ4034" t="s">
        <v>72</v>
      </c>
      <c r="AK4034" s="3" t="s">
        <v>27</v>
      </c>
      <c r="AL4034" s="3">
        <v>25232.916652</v>
      </c>
    </row>
    <row r="4035" spans="34:38">
      <c r="AH4035" t="s">
        <v>2056</v>
      </c>
      <c r="AI4035" t="s">
        <v>65</v>
      </c>
      <c r="AJ4035" t="s">
        <v>113</v>
      </c>
      <c r="AK4035" s="3" t="s">
        <v>27</v>
      </c>
      <c r="AL4035" s="3">
        <v>1883.4243284193999</v>
      </c>
    </row>
    <row r="4036" spans="34:38">
      <c r="AH4036" t="s">
        <v>2056</v>
      </c>
      <c r="AI4036" t="s">
        <v>65</v>
      </c>
      <c r="AJ4036" t="s">
        <v>108</v>
      </c>
      <c r="AK4036" s="3" t="s">
        <v>27</v>
      </c>
      <c r="AL4036" s="3">
        <v>-1022.3076764194</v>
      </c>
    </row>
    <row r="4037" spans="34:38">
      <c r="AH4037" t="s">
        <v>2056</v>
      </c>
      <c r="AI4037" t="s">
        <v>67</v>
      </c>
      <c r="AJ4037" t="s">
        <v>66</v>
      </c>
      <c r="AK4037" s="3" t="s">
        <v>27</v>
      </c>
      <c r="AL4037" s="3">
        <v>-9345.5</v>
      </c>
    </row>
    <row r="4038" spans="34:38">
      <c r="AH4038" t="s">
        <v>2056</v>
      </c>
      <c r="AI4038" t="s">
        <v>67</v>
      </c>
      <c r="AJ4038" t="s">
        <v>72</v>
      </c>
      <c r="AK4038" s="3" t="s">
        <v>27</v>
      </c>
      <c r="AL4038" s="3">
        <v>-10796.607524999999</v>
      </c>
    </row>
    <row r="4039" spans="34:38">
      <c r="AH4039" t="s">
        <v>2056</v>
      </c>
      <c r="AI4039" t="s">
        <v>67</v>
      </c>
      <c r="AJ4039" t="s">
        <v>113</v>
      </c>
      <c r="AK4039" s="3" t="s">
        <v>27</v>
      </c>
      <c r="AL4039" s="3">
        <v>17.80996</v>
      </c>
    </row>
    <row r="4040" spans="34:38">
      <c r="AH4040" t="s">
        <v>2056</v>
      </c>
      <c r="AI4040" t="s">
        <v>67</v>
      </c>
      <c r="AJ4040" t="s">
        <v>108</v>
      </c>
      <c r="AK4040" s="3" t="s">
        <v>27</v>
      </c>
      <c r="AL4040" s="3">
        <v>-1468.9174849999999</v>
      </c>
    </row>
    <row r="4041" spans="34:38">
      <c r="AH4041" t="s">
        <v>2056</v>
      </c>
      <c r="AI4041" t="s">
        <v>68</v>
      </c>
      <c r="AJ4041" t="s">
        <v>66</v>
      </c>
      <c r="AK4041" s="3" t="s">
        <v>27</v>
      </c>
      <c r="AL4041" s="3">
        <v>-6264.3</v>
      </c>
    </row>
    <row r="4042" spans="34:38">
      <c r="AH4042" t="s">
        <v>2056</v>
      </c>
      <c r="AI4042" t="s">
        <v>68</v>
      </c>
      <c r="AJ4042" t="s">
        <v>72</v>
      </c>
      <c r="AK4042" s="3" t="s">
        <v>27</v>
      </c>
      <c r="AL4042" s="3">
        <v>-6030.8153270000003</v>
      </c>
    </row>
    <row r="4043" spans="34:38">
      <c r="AH4043" t="s">
        <v>2056</v>
      </c>
      <c r="AI4043" t="s">
        <v>68</v>
      </c>
      <c r="AJ4043" t="s">
        <v>113</v>
      </c>
      <c r="AK4043" s="3" t="s">
        <v>27</v>
      </c>
      <c r="AL4043" s="3">
        <v>1023.19068</v>
      </c>
    </row>
    <row r="4044" spans="34:38">
      <c r="AH4044" t="s">
        <v>2056</v>
      </c>
      <c r="AI4044" t="s">
        <v>68</v>
      </c>
      <c r="AJ4044" t="s">
        <v>108</v>
      </c>
      <c r="AK4044" s="3" t="s">
        <v>27</v>
      </c>
      <c r="AL4044" s="3">
        <v>233.48467299999999</v>
      </c>
    </row>
    <row r="4045" spans="34:38">
      <c r="AH4045" t="s">
        <v>2056</v>
      </c>
      <c r="AI4045" t="s">
        <v>65</v>
      </c>
      <c r="AJ4045" t="s">
        <v>66</v>
      </c>
      <c r="AK4045" s="3" t="s">
        <v>27</v>
      </c>
      <c r="AL4045" s="3">
        <v>24371.8</v>
      </c>
    </row>
    <row r="4046" spans="34:38">
      <c r="AH4046" t="s">
        <v>2057</v>
      </c>
      <c r="AI4046" t="s">
        <v>65</v>
      </c>
      <c r="AJ4046" t="s">
        <v>113</v>
      </c>
      <c r="AK4046" s="3" t="s">
        <v>27</v>
      </c>
      <c r="AL4046" s="3">
        <v>1879.0563274321</v>
      </c>
    </row>
    <row r="4047" spans="34:38">
      <c r="AH4047" t="s">
        <v>2057</v>
      </c>
      <c r="AI4047" t="s">
        <v>65</v>
      </c>
      <c r="AJ4047" t="s">
        <v>108</v>
      </c>
      <c r="AK4047" s="3" t="s">
        <v>27</v>
      </c>
      <c r="AL4047" s="3">
        <v>-1019.2578264321</v>
      </c>
    </row>
    <row r="4048" spans="34:38">
      <c r="AH4048" t="s">
        <v>2057</v>
      </c>
      <c r="AI4048" t="s">
        <v>67</v>
      </c>
      <c r="AJ4048" t="s">
        <v>66</v>
      </c>
      <c r="AK4048" s="3" t="s">
        <v>27</v>
      </c>
      <c r="AL4048" s="3">
        <v>-9913.5</v>
      </c>
    </row>
    <row r="4049" spans="34:38">
      <c r="AH4049" t="s">
        <v>2057</v>
      </c>
      <c r="AI4049" t="s">
        <v>67</v>
      </c>
      <c r="AJ4049" t="s">
        <v>72</v>
      </c>
      <c r="AK4049" s="3" t="s">
        <v>27</v>
      </c>
      <c r="AL4049" s="3">
        <v>-11367.291035</v>
      </c>
    </row>
    <row r="4050" spans="34:38">
      <c r="AH4050" t="s">
        <v>2057</v>
      </c>
      <c r="AI4050" t="s">
        <v>67</v>
      </c>
      <c r="AJ4050" t="s">
        <v>113</v>
      </c>
      <c r="AK4050" s="3" t="s">
        <v>27</v>
      </c>
      <c r="AL4050" s="3">
        <v>0</v>
      </c>
    </row>
    <row r="4051" spans="34:38">
      <c r="AH4051" t="s">
        <v>2057</v>
      </c>
      <c r="AI4051" t="s">
        <v>67</v>
      </c>
      <c r="AJ4051" t="s">
        <v>108</v>
      </c>
      <c r="AK4051" s="3" t="s">
        <v>27</v>
      </c>
      <c r="AL4051" s="3">
        <v>-1453.791035</v>
      </c>
    </row>
    <row r="4052" spans="34:38">
      <c r="AH4052" t="s">
        <v>2057</v>
      </c>
      <c r="AI4052" t="s">
        <v>68</v>
      </c>
      <c r="AJ4052" t="s">
        <v>66</v>
      </c>
      <c r="AK4052" s="3" t="s">
        <v>27</v>
      </c>
      <c r="AL4052" s="3">
        <v>-5820.3</v>
      </c>
    </row>
    <row r="4053" spans="34:38">
      <c r="AH4053" t="s">
        <v>2057</v>
      </c>
      <c r="AI4053" t="s">
        <v>68</v>
      </c>
      <c r="AJ4053" t="s">
        <v>72</v>
      </c>
      <c r="AK4053" s="3" t="s">
        <v>27</v>
      </c>
      <c r="AL4053" s="3">
        <v>-5586.889306</v>
      </c>
    </row>
    <row r="4054" spans="34:38">
      <c r="AH4054" t="s">
        <v>2057</v>
      </c>
      <c r="AI4054" t="s">
        <v>68</v>
      </c>
      <c r="AJ4054" t="s">
        <v>113</v>
      </c>
      <c r="AK4054" s="3" t="s">
        <v>27</v>
      </c>
      <c r="AL4054" s="3">
        <v>1027.0733350685</v>
      </c>
    </row>
    <row r="4055" spans="34:38">
      <c r="AH4055" t="s">
        <v>2057</v>
      </c>
      <c r="AI4055" t="s">
        <v>68</v>
      </c>
      <c r="AJ4055" t="s">
        <v>108</v>
      </c>
      <c r="AK4055" s="3" t="s">
        <v>27</v>
      </c>
      <c r="AL4055" s="3">
        <v>233.41069400000001</v>
      </c>
    </row>
    <row r="4056" spans="34:38">
      <c r="AH4056" t="s">
        <v>2057</v>
      </c>
      <c r="AI4056" t="s">
        <v>65</v>
      </c>
      <c r="AJ4056" t="s">
        <v>66</v>
      </c>
      <c r="AK4056" s="3" t="s">
        <v>27</v>
      </c>
      <c r="AL4056" s="3">
        <v>24645.8</v>
      </c>
    </row>
    <row r="4057" spans="34:38">
      <c r="AH4057" t="s">
        <v>2057</v>
      </c>
      <c r="AI4057" t="s">
        <v>65</v>
      </c>
      <c r="AJ4057" t="s">
        <v>72</v>
      </c>
      <c r="AK4057" s="3" t="s">
        <v>27</v>
      </c>
      <c r="AL4057" s="3">
        <v>25505.598501</v>
      </c>
    </row>
    <row r="4058" spans="34:38">
      <c r="AH4058" t="s">
        <v>2058</v>
      </c>
      <c r="AI4058" t="s">
        <v>65</v>
      </c>
      <c r="AJ4058" t="s">
        <v>72</v>
      </c>
      <c r="AK4058" s="3" t="s">
        <v>27</v>
      </c>
      <c r="AL4058" s="3">
        <v>25264.784718999999</v>
      </c>
    </row>
    <row r="4059" spans="34:38">
      <c r="AH4059" t="s">
        <v>2058</v>
      </c>
      <c r="AI4059" t="s">
        <v>65</v>
      </c>
      <c r="AJ4059" t="s">
        <v>113</v>
      </c>
      <c r="AK4059" s="3" t="s">
        <v>27</v>
      </c>
      <c r="AL4059" s="3">
        <v>1889.9244672310999</v>
      </c>
    </row>
    <row r="4060" spans="34:38">
      <c r="AH4060" t="s">
        <v>2058</v>
      </c>
      <c r="AI4060" t="s">
        <v>65</v>
      </c>
      <c r="AJ4060" t="s">
        <v>108</v>
      </c>
      <c r="AK4060" s="3" t="s">
        <v>27</v>
      </c>
      <c r="AL4060" s="3">
        <v>-975.9397482311</v>
      </c>
    </row>
    <row r="4061" spans="34:38">
      <c r="AH4061" t="s">
        <v>2058</v>
      </c>
      <c r="AI4061" t="s">
        <v>67</v>
      </c>
      <c r="AJ4061" t="s">
        <v>66</v>
      </c>
      <c r="AK4061" s="3" t="s">
        <v>27</v>
      </c>
      <c r="AL4061" s="3">
        <v>-9444.5</v>
      </c>
    </row>
    <row r="4062" spans="34:38">
      <c r="AH4062" t="s">
        <v>2058</v>
      </c>
      <c r="AI4062" t="s">
        <v>67</v>
      </c>
      <c r="AJ4062" t="s">
        <v>113</v>
      </c>
      <c r="AK4062" s="3" t="s">
        <v>27</v>
      </c>
      <c r="AL4062" s="3">
        <v>-10.3716582192</v>
      </c>
    </row>
    <row r="4063" spans="34:38">
      <c r="AH4063" t="s">
        <v>2058</v>
      </c>
      <c r="AI4063" t="s">
        <v>67</v>
      </c>
      <c r="AJ4063" t="s">
        <v>108</v>
      </c>
      <c r="AK4063" s="3" t="s">
        <v>27</v>
      </c>
      <c r="AL4063" s="3">
        <v>-1492.2407517808001</v>
      </c>
    </row>
    <row r="4064" spans="34:38">
      <c r="AH4064" t="s">
        <v>2058</v>
      </c>
      <c r="AI4064" t="s">
        <v>68</v>
      </c>
      <c r="AJ4064" t="s">
        <v>66</v>
      </c>
      <c r="AK4064" s="3" t="s">
        <v>27</v>
      </c>
      <c r="AL4064" s="3">
        <v>-5994.3</v>
      </c>
    </row>
    <row r="4065" spans="34:38">
      <c r="AH4065" t="s">
        <v>2058</v>
      </c>
      <c r="AI4065" t="s">
        <v>68</v>
      </c>
      <c r="AJ4065" t="s">
        <v>72</v>
      </c>
      <c r="AK4065" s="3" t="s">
        <v>27</v>
      </c>
      <c r="AL4065" s="3">
        <v>-5759.7360090000002</v>
      </c>
    </row>
    <row r="4066" spans="34:38">
      <c r="AH4066" t="s">
        <v>2058</v>
      </c>
      <c r="AI4066" t="s">
        <v>68</v>
      </c>
      <c r="AJ4066" t="s">
        <v>113</v>
      </c>
      <c r="AK4066" s="3" t="s">
        <v>27</v>
      </c>
      <c r="AL4066" s="3">
        <v>1027.0733350685</v>
      </c>
    </row>
    <row r="4067" spans="34:38">
      <c r="AH4067" t="s">
        <v>2058</v>
      </c>
      <c r="AI4067" t="s">
        <v>65</v>
      </c>
      <c r="AJ4067" t="s">
        <v>66</v>
      </c>
      <c r="AK4067" s="3" t="s">
        <v>27</v>
      </c>
      <c r="AL4067" s="3">
        <v>24350.799999999999</v>
      </c>
    </row>
    <row r="4068" spans="34:38">
      <c r="AH4068" t="s">
        <v>2058</v>
      </c>
      <c r="AI4068" t="s">
        <v>68</v>
      </c>
      <c r="AJ4068" t="s">
        <v>108</v>
      </c>
      <c r="AK4068" s="3" t="s">
        <v>27</v>
      </c>
      <c r="AL4068" s="3">
        <v>234.56399099999999</v>
      </c>
    </row>
    <row r="4069" spans="34:38">
      <c r="AH4069" t="s">
        <v>2058</v>
      </c>
      <c r="AI4069" t="s">
        <v>67</v>
      </c>
      <c r="AJ4069" t="s">
        <v>72</v>
      </c>
      <c r="AK4069" s="3" t="s">
        <v>27</v>
      </c>
      <c r="AL4069" s="3">
        <v>-10947.11241</v>
      </c>
    </row>
    <row r="4070" spans="34:38">
      <c r="AH4070" t="s">
        <v>2059</v>
      </c>
      <c r="AI4070" t="s">
        <v>65</v>
      </c>
      <c r="AJ4070" t="s">
        <v>66</v>
      </c>
      <c r="AK4070" s="3" t="s">
        <v>27</v>
      </c>
      <c r="AL4070" s="3">
        <v>24350.799999999999</v>
      </c>
    </row>
    <row r="4071" spans="34:38">
      <c r="AH4071" t="s">
        <v>2059</v>
      </c>
      <c r="AI4071" t="s">
        <v>65</v>
      </c>
      <c r="AJ4071" t="s">
        <v>72</v>
      </c>
      <c r="AK4071" s="3" t="s">
        <v>27</v>
      </c>
      <c r="AL4071" s="3">
        <v>25264.891608999998</v>
      </c>
    </row>
    <row r="4072" spans="34:38">
      <c r="AH4072" t="s">
        <v>2059</v>
      </c>
      <c r="AI4072" t="s">
        <v>65</v>
      </c>
      <c r="AJ4072" t="s">
        <v>113</v>
      </c>
      <c r="AK4072" s="3" t="s">
        <v>27</v>
      </c>
      <c r="AL4072" s="3">
        <v>1892.4196294977</v>
      </c>
    </row>
    <row r="4073" spans="34:38">
      <c r="AH4073" t="s">
        <v>2059</v>
      </c>
      <c r="AI4073" t="s">
        <v>65</v>
      </c>
      <c r="AJ4073" t="s">
        <v>108</v>
      </c>
      <c r="AK4073" s="3" t="s">
        <v>27</v>
      </c>
      <c r="AL4073" s="3">
        <v>-978.32802049769998</v>
      </c>
    </row>
    <row r="4074" spans="34:38">
      <c r="AH4074" t="s">
        <v>2059</v>
      </c>
      <c r="AI4074" t="s">
        <v>67</v>
      </c>
      <c r="AJ4074" t="s">
        <v>66</v>
      </c>
      <c r="AK4074" s="3" t="s">
        <v>27</v>
      </c>
      <c r="AL4074" s="3">
        <v>-9739.5</v>
      </c>
    </row>
    <row r="4075" spans="34:38">
      <c r="AH4075" t="s">
        <v>2059</v>
      </c>
      <c r="AI4075" t="s">
        <v>67</v>
      </c>
      <c r="AJ4075" t="s">
        <v>72</v>
      </c>
      <c r="AK4075" s="3" t="s">
        <v>27</v>
      </c>
      <c r="AL4075" s="3">
        <v>-11218.551160000001</v>
      </c>
    </row>
    <row r="4076" spans="34:38">
      <c r="AH4076" t="s">
        <v>2059</v>
      </c>
      <c r="AI4076" t="s">
        <v>67</v>
      </c>
      <c r="AJ4076" t="s">
        <v>113</v>
      </c>
      <c r="AK4076" s="3" t="s">
        <v>27</v>
      </c>
      <c r="AL4076" s="3">
        <v>0</v>
      </c>
    </row>
    <row r="4077" spans="34:38">
      <c r="AH4077" t="s">
        <v>2059</v>
      </c>
      <c r="AI4077" t="s">
        <v>67</v>
      </c>
      <c r="AJ4077" t="s">
        <v>108</v>
      </c>
      <c r="AK4077" s="3" t="s">
        <v>27</v>
      </c>
      <c r="AL4077" s="3">
        <v>-1479.05116</v>
      </c>
    </row>
    <row r="4078" spans="34:38">
      <c r="AH4078" t="s">
        <v>2059</v>
      </c>
      <c r="AI4078" t="s">
        <v>68</v>
      </c>
      <c r="AJ4078" t="s">
        <v>66</v>
      </c>
      <c r="AK4078" s="3" t="s">
        <v>27</v>
      </c>
      <c r="AL4078" s="3">
        <v>-5749.3</v>
      </c>
    </row>
    <row r="4079" spans="34:38">
      <c r="AH4079" t="s">
        <v>2059</v>
      </c>
      <c r="AI4079" t="s">
        <v>68</v>
      </c>
      <c r="AJ4079" t="s">
        <v>72</v>
      </c>
      <c r="AK4079" s="3" t="s">
        <v>27</v>
      </c>
      <c r="AL4079" s="3">
        <v>-5534.7788890000002</v>
      </c>
    </row>
    <row r="4080" spans="34:38">
      <c r="AH4080" t="s">
        <v>2059</v>
      </c>
      <c r="AI4080" t="s">
        <v>68</v>
      </c>
      <c r="AJ4080" t="s">
        <v>113</v>
      </c>
      <c r="AK4080" s="3" t="s">
        <v>27</v>
      </c>
      <c r="AL4080" s="3">
        <v>4.2481861643999999</v>
      </c>
    </row>
    <row r="4081" spans="34:38">
      <c r="AH4081" t="s">
        <v>2059</v>
      </c>
      <c r="AI4081" t="s">
        <v>68</v>
      </c>
      <c r="AJ4081" t="s">
        <v>108</v>
      </c>
      <c r="AK4081" s="3" t="s">
        <v>27</v>
      </c>
      <c r="AL4081" s="3">
        <v>214.52111099999999</v>
      </c>
    </row>
    <row r="4082" spans="34:38">
      <c r="AH4082" t="s">
        <v>2060</v>
      </c>
      <c r="AI4082" t="s">
        <v>65</v>
      </c>
      <c r="AJ4082" t="s">
        <v>72</v>
      </c>
      <c r="AK4082" s="3" t="s">
        <v>27</v>
      </c>
      <c r="AL4082" s="3">
        <v>25035.115136</v>
      </c>
    </row>
    <row r="4083" spans="34:38">
      <c r="AH4083" t="s">
        <v>2060</v>
      </c>
      <c r="AI4083" t="s">
        <v>65</v>
      </c>
      <c r="AJ4083" t="s">
        <v>113</v>
      </c>
      <c r="AK4083" s="3" t="s">
        <v>27</v>
      </c>
      <c r="AL4083" s="3">
        <v>1917.9895104028001</v>
      </c>
    </row>
    <row r="4084" spans="34:38">
      <c r="AH4084" t="s">
        <v>2060</v>
      </c>
      <c r="AI4084" t="s">
        <v>65</v>
      </c>
      <c r="AJ4084" t="s">
        <v>108</v>
      </c>
      <c r="AK4084" s="3" t="s">
        <v>27</v>
      </c>
      <c r="AL4084" s="3">
        <v>-958.67437440280003</v>
      </c>
    </row>
    <row r="4085" spans="34:38">
      <c r="AH4085" t="s">
        <v>2060</v>
      </c>
      <c r="AI4085" t="s">
        <v>67</v>
      </c>
      <c r="AJ4085" t="s">
        <v>66</v>
      </c>
      <c r="AK4085" s="3" t="s">
        <v>27</v>
      </c>
      <c r="AL4085" s="3">
        <v>-9464.5</v>
      </c>
    </row>
    <row r="4086" spans="34:38">
      <c r="AH4086" t="s">
        <v>2060</v>
      </c>
      <c r="AI4086" t="s">
        <v>67</v>
      </c>
      <c r="AJ4086" t="s">
        <v>72</v>
      </c>
      <c r="AK4086" s="3" t="s">
        <v>27</v>
      </c>
      <c r="AL4086" s="3">
        <v>-10988.49965</v>
      </c>
    </row>
    <row r="4087" spans="34:38">
      <c r="AH4087" t="s">
        <v>2060</v>
      </c>
      <c r="AI4087" t="s">
        <v>67</v>
      </c>
      <c r="AJ4087" t="s">
        <v>113</v>
      </c>
      <c r="AK4087" s="3" t="s">
        <v>27</v>
      </c>
      <c r="AL4087" s="3">
        <v>-25.050210958899999</v>
      </c>
    </row>
    <row r="4088" spans="34:38">
      <c r="AH4088" t="s">
        <v>2060</v>
      </c>
      <c r="AI4088" t="s">
        <v>67</v>
      </c>
      <c r="AJ4088" t="s">
        <v>108</v>
      </c>
      <c r="AK4088" s="3" t="s">
        <v>27</v>
      </c>
      <c r="AL4088" s="3">
        <v>-1498.9494390411</v>
      </c>
    </row>
    <row r="4089" spans="34:38">
      <c r="AH4089" t="s">
        <v>2060</v>
      </c>
      <c r="AI4089" t="s">
        <v>68</v>
      </c>
      <c r="AJ4089" t="s">
        <v>66</v>
      </c>
      <c r="AK4089" s="3" t="s">
        <v>27</v>
      </c>
      <c r="AL4089" s="3">
        <v>-5749.3</v>
      </c>
    </row>
    <row r="4090" spans="34:38">
      <c r="AH4090" t="s">
        <v>2060</v>
      </c>
      <c r="AI4090" t="s">
        <v>68</v>
      </c>
      <c r="AJ4090" t="s">
        <v>72</v>
      </c>
      <c r="AK4090" s="3" t="s">
        <v>27</v>
      </c>
      <c r="AL4090" s="3">
        <v>-5534.8192660000004</v>
      </c>
    </row>
    <row r="4091" spans="34:38">
      <c r="AH4091" t="s">
        <v>2060</v>
      </c>
      <c r="AI4091" t="s">
        <v>68</v>
      </c>
      <c r="AJ4091" t="s">
        <v>113</v>
      </c>
      <c r="AK4091" s="3" t="s">
        <v>27</v>
      </c>
      <c r="AL4091" s="3">
        <v>7.4258984932000001</v>
      </c>
    </row>
    <row r="4092" spans="34:38">
      <c r="AH4092" t="s">
        <v>2060</v>
      </c>
      <c r="AI4092" t="s">
        <v>68</v>
      </c>
      <c r="AJ4092" t="s">
        <v>108</v>
      </c>
      <c r="AK4092" s="3" t="s">
        <v>27</v>
      </c>
      <c r="AL4092" s="3">
        <v>214.48073400000001</v>
      </c>
    </row>
    <row r="4093" spans="34:38">
      <c r="AH4093" t="s">
        <v>2060</v>
      </c>
      <c r="AI4093" t="s">
        <v>65</v>
      </c>
      <c r="AJ4093" t="s">
        <v>66</v>
      </c>
      <c r="AK4093" s="3" t="s">
        <v>27</v>
      </c>
      <c r="AL4093" s="3">
        <v>24075.8</v>
      </c>
    </row>
    <row r="4094" spans="34:38">
      <c r="AH4094" t="s">
        <v>2061</v>
      </c>
      <c r="AI4094" t="s">
        <v>67</v>
      </c>
      <c r="AJ4094" t="s">
        <v>113</v>
      </c>
      <c r="AK4094" s="3" t="s">
        <v>27</v>
      </c>
      <c r="AL4094" s="3">
        <v>-4.0078476712000004</v>
      </c>
    </row>
    <row r="4095" spans="34:38">
      <c r="AH4095" t="s">
        <v>2061</v>
      </c>
      <c r="AI4095" t="s">
        <v>67</v>
      </c>
      <c r="AJ4095" t="s">
        <v>108</v>
      </c>
      <c r="AK4095" s="3" t="s">
        <v>27</v>
      </c>
      <c r="AL4095" s="3">
        <v>-1466.0048123288</v>
      </c>
    </row>
    <row r="4096" spans="34:38">
      <c r="AH4096" t="s">
        <v>2061</v>
      </c>
      <c r="AI4096" t="s">
        <v>68</v>
      </c>
      <c r="AJ4096" t="s">
        <v>66</v>
      </c>
      <c r="AK4096" s="3" t="s">
        <v>27</v>
      </c>
      <c r="AL4096" s="3">
        <v>-5474.3</v>
      </c>
    </row>
    <row r="4097" spans="34:38">
      <c r="AH4097" t="s">
        <v>2061</v>
      </c>
      <c r="AI4097" t="s">
        <v>68</v>
      </c>
      <c r="AJ4097" t="s">
        <v>72</v>
      </c>
      <c r="AK4097" s="3" t="s">
        <v>27</v>
      </c>
      <c r="AL4097" s="3">
        <v>-5304.3979159999999</v>
      </c>
    </row>
    <row r="4098" spans="34:38">
      <c r="AH4098" t="s">
        <v>2061</v>
      </c>
      <c r="AI4098" t="s">
        <v>68</v>
      </c>
      <c r="AJ4098" t="s">
        <v>113</v>
      </c>
      <c r="AK4098" s="3" t="s">
        <v>27</v>
      </c>
      <c r="AL4098" s="3">
        <v>-17.624312465799999</v>
      </c>
    </row>
    <row r="4099" spans="34:38">
      <c r="AH4099" t="s">
        <v>2061</v>
      </c>
      <c r="AI4099" t="s">
        <v>68</v>
      </c>
      <c r="AJ4099" t="s">
        <v>108</v>
      </c>
      <c r="AK4099" s="3" t="s">
        <v>27</v>
      </c>
      <c r="AL4099" s="3">
        <v>169.902084</v>
      </c>
    </row>
    <row r="4100" spans="34:38">
      <c r="AH4100" t="s">
        <v>2061</v>
      </c>
      <c r="AI4100" t="s">
        <v>65</v>
      </c>
      <c r="AJ4100" t="s">
        <v>72</v>
      </c>
      <c r="AK4100" s="3" t="s">
        <v>27</v>
      </c>
      <c r="AL4100" s="3">
        <v>25096.966275999999</v>
      </c>
    </row>
    <row r="4101" spans="34:38">
      <c r="AH4101" t="s">
        <v>2061</v>
      </c>
      <c r="AI4101" t="s">
        <v>65</v>
      </c>
      <c r="AJ4101" t="s">
        <v>113</v>
      </c>
      <c r="AK4101" s="3" t="s">
        <v>27</v>
      </c>
      <c r="AL4101" s="3">
        <v>1919.2936978764999</v>
      </c>
    </row>
    <row r="4102" spans="34:38">
      <c r="AH4102" t="s">
        <v>2061</v>
      </c>
      <c r="AI4102" t="s">
        <v>65</v>
      </c>
      <c r="AJ4102" t="s">
        <v>108</v>
      </c>
      <c r="AK4102" s="3" t="s">
        <v>27</v>
      </c>
      <c r="AL4102" s="3">
        <v>-969.12742187649997</v>
      </c>
    </row>
    <row r="4103" spans="34:38">
      <c r="AH4103" t="s">
        <v>2061</v>
      </c>
      <c r="AI4103" t="s">
        <v>67</v>
      </c>
      <c r="AJ4103" t="s">
        <v>66</v>
      </c>
      <c r="AK4103" s="3" t="s">
        <v>27</v>
      </c>
      <c r="AL4103" s="3">
        <v>-9810.5</v>
      </c>
    </row>
    <row r="4104" spans="34:38">
      <c r="AH4104" t="s">
        <v>2061</v>
      </c>
      <c r="AI4104" t="s">
        <v>67</v>
      </c>
      <c r="AJ4104" t="s">
        <v>72</v>
      </c>
      <c r="AK4104" s="3" t="s">
        <v>27</v>
      </c>
      <c r="AL4104" s="3">
        <v>-11280.51266</v>
      </c>
    </row>
    <row r="4105" spans="34:38">
      <c r="AH4105" t="s">
        <v>2061</v>
      </c>
      <c r="AI4105" t="s">
        <v>65</v>
      </c>
      <c r="AJ4105" t="s">
        <v>66</v>
      </c>
      <c r="AK4105" s="3" t="s">
        <v>27</v>
      </c>
      <c r="AL4105" s="3">
        <v>24146.799999999999</v>
      </c>
    </row>
    <row r="4106" spans="34:38">
      <c r="AH4106" t="s">
        <v>2062</v>
      </c>
      <c r="AI4106" t="s">
        <v>65</v>
      </c>
      <c r="AJ4106" t="s">
        <v>66</v>
      </c>
      <c r="AK4106" s="3" t="s">
        <v>27</v>
      </c>
      <c r="AL4106" s="3">
        <v>23671.8</v>
      </c>
    </row>
    <row r="4107" spans="34:38">
      <c r="AH4107" t="s">
        <v>2062</v>
      </c>
      <c r="AI4107" t="s">
        <v>65</v>
      </c>
      <c r="AJ4107" t="s">
        <v>72</v>
      </c>
      <c r="AK4107" s="3" t="s">
        <v>27</v>
      </c>
      <c r="AL4107" s="3">
        <v>24628.466713000002</v>
      </c>
    </row>
    <row r="4108" spans="34:38">
      <c r="AH4108" t="s">
        <v>2062</v>
      </c>
      <c r="AI4108" t="s">
        <v>65</v>
      </c>
      <c r="AJ4108" t="s">
        <v>113</v>
      </c>
      <c r="AK4108" s="3" t="s">
        <v>27</v>
      </c>
      <c r="AL4108" s="3">
        <v>1892.7430547542999</v>
      </c>
    </row>
    <row r="4109" spans="34:38">
      <c r="AH4109" t="s">
        <v>2062</v>
      </c>
      <c r="AI4109" t="s">
        <v>65</v>
      </c>
      <c r="AJ4109" t="s">
        <v>108</v>
      </c>
      <c r="AK4109" s="3" t="s">
        <v>27</v>
      </c>
      <c r="AL4109" s="3">
        <v>-936.07634175429996</v>
      </c>
    </row>
    <row r="4110" spans="34:38">
      <c r="AH4110" t="s">
        <v>2062</v>
      </c>
      <c r="AI4110" t="s">
        <v>67</v>
      </c>
      <c r="AJ4110" t="s">
        <v>66</v>
      </c>
      <c r="AK4110" s="3" t="s">
        <v>27</v>
      </c>
      <c r="AL4110" s="3">
        <v>-9264.5</v>
      </c>
    </row>
    <row r="4111" spans="34:38">
      <c r="AH4111" t="s">
        <v>2062</v>
      </c>
      <c r="AI4111" t="s">
        <v>67</v>
      </c>
      <c r="AJ4111" t="s">
        <v>72</v>
      </c>
      <c r="AK4111" s="3" t="s">
        <v>27</v>
      </c>
      <c r="AL4111" s="3">
        <v>-10746.478175</v>
      </c>
    </row>
    <row r="4112" spans="34:38">
      <c r="AH4112" t="s">
        <v>2062</v>
      </c>
      <c r="AI4112" t="s">
        <v>67</v>
      </c>
      <c r="AJ4112" t="s">
        <v>113</v>
      </c>
      <c r="AK4112" s="3" t="s">
        <v>27</v>
      </c>
      <c r="AL4112" s="3">
        <v>27.0512479452</v>
      </c>
    </row>
    <row r="4113" spans="34:38">
      <c r="AH4113" t="s">
        <v>2062</v>
      </c>
      <c r="AI4113" t="s">
        <v>67</v>
      </c>
      <c r="AJ4113" t="s">
        <v>108</v>
      </c>
      <c r="AK4113" s="3" t="s">
        <v>27</v>
      </c>
      <c r="AL4113" s="3">
        <v>-1509.0294229451999</v>
      </c>
    </row>
    <row r="4114" spans="34:38">
      <c r="AH4114" t="s">
        <v>2062</v>
      </c>
      <c r="AI4114" t="s">
        <v>68</v>
      </c>
      <c r="AJ4114" t="s">
        <v>66</v>
      </c>
      <c r="AK4114" s="3" t="s">
        <v>27</v>
      </c>
      <c r="AL4114" s="3">
        <v>-5545.3</v>
      </c>
    </row>
    <row r="4115" spans="34:38">
      <c r="AH4115" t="s">
        <v>2062</v>
      </c>
      <c r="AI4115" t="s">
        <v>68</v>
      </c>
      <c r="AJ4115" t="s">
        <v>72</v>
      </c>
      <c r="AK4115" s="3" t="s">
        <v>27</v>
      </c>
      <c r="AL4115" s="3">
        <v>-5366.9553779999997</v>
      </c>
    </row>
    <row r="4116" spans="34:38">
      <c r="AH4116" t="s">
        <v>2062</v>
      </c>
      <c r="AI4116" t="s">
        <v>68</v>
      </c>
      <c r="AJ4116" t="s">
        <v>113</v>
      </c>
      <c r="AK4116" s="3" t="s">
        <v>27</v>
      </c>
      <c r="AL4116" s="3">
        <v>-16.6483552055</v>
      </c>
    </row>
    <row r="4117" spans="34:38">
      <c r="AH4117" t="s">
        <v>2062</v>
      </c>
      <c r="AI4117" t="s">
        <v>68</v>
      </c>
      <c r="AJ4117" t="s">
        <v>108</v>
      </c>
      <c r="AK4117" s="3" t="s">
        <v>27</v>
      </c>
      <c r="AL4117" s="3">
        <v>178.34462199999999</v>
      </c>
    </row>
    <row r="4118" spans="34:38">
      <c r="AH4118" t="s">
        <v>2063</v>
      </c>
      <c r="AI4118" t="s">
        <v>65</v>
      </c>
      <c r="AJ4118" t="s">
        <v>72</v>
      </c>
      <c r="AK4118" s="3" t="s">
        <v>27</v>
      </c>
      <c r="AL4118" s="3">
        <v>25714.959403000001</v>
      </c>
    </row>
    <row r="4119" spans="34:38">
      <c r="AH4119" t="s">
        <v>2063</v>
      </c>
      <c r="AI4119" t="s">
        <v>65</v>
      </c>
      <c r="AJ4119" t="s">
        <v>113</v>
      </c>
      <c r="AK4119" s="3" t="s">
        <v>27</v>
      </c>
      <c r="AL4119" s="3">
        <v>1904.2591883266</v>
      </c>
    </row>
    <row r="4120" spans="34:38">
      <c r="AH4120" t="s">
        <v>2063</v>
      </c>
      <c r="AI4120" t="s">
        <v>65</v>
      </c>
      <c r="AJ4120" t="s">
        <v>108</v>
      </c>
      <c r="AK4120" s="3" t="s">
        <v>27</v>
      </c>
      <c r="AL4120" s="3">
        <v>-995.0997853266</v>
      </c>
    </row>
    <row r="4121" spans="34:38">
      <c r="AH4121" t="s">
        <v>2063</v>
      </c>
      <c r="AI4121" t="s">
        <v>67</v>
      </c>
      <c r="AJ4121" t="s">
        <v>66</v>
      </c>
      <c r="AK4121" s="3" t="s">
        <v>27</v>
      </c>
      <c r="AL4121" s="3">
        <v>-10873.5</v>
      </c>
    </row>
    <row r="4122" spans="34:38">
      <c r="AH4122" t="s">
        <v>2063</v>
      </c>
      <c r="AI4122" t="s">
        <v>67</v>
      </c>
      <c r="AJ4122" t="s">
        <v>72</v>
      </c>
      <c r="AK4122" s="3" t="s">
        <v>27</v>
      </c>
      <c r="AL4122" s="3">
        <v>-12304.737755</v>
      </c>
    </row>
    <row r="4123" spans="34:38">
      <c r="AH4123" t="s">
        <v>2063</v>
      </c>
      <c r="AI4123" t="s">
        <v>67</v>
      </c>
      <c r="AJ4123" t="s">
        <v>113</v>
      </c>
      <c r="AK4123" s="3" t="s">
        <v>27</v>
      </c>
      <c r="AL4123" s="3">
        <v>-5.1996547944999998</v>
      </c>
    </row>
    <row r="4124" spans="34:38">
      <c r="AH4124" t="s">
        <v>2063</v>
      </c>
      <c r="AI4124" t="s">
        <v>67</v>
      </c>
      <c r="AJ4124" t="s">
        <v>108</v>
      </c>
      <c r="AK4124" s="3" t="s">
        <v>27</v>
      </c>
      <c r="AL4124" s="3">
        <v>-1426.0381002055001</v>
      </c>
    </row>
    <row r="4125" spans="34:38">
      <c r="AH4125" t="s">
        <v>2063</v>
      </c>
      <c r="AI4125" t="s">
        <v>68</v>
      </c>
      <c r="AJ4125" t="s">
        <v>66</v>
      </c>
      <c r="AK4125" s="3" t="s">
        <v>27</v>
      </c>
      <c r="AL4125" s="3">
        <v>-5070.3</v>
      </c>
    </row>
    <row r="4126" spans="34:38">
      <c r="AH4126" t="s">
        <v>2063</v>
      </c>
      <c r="AI4126" t="s">
        <v>68</v>
      </c>
      <c r="AJ4126" t="s">
        <v>72</v>
      </c>
      <c r="AK4126" s="3" t="s">
        <v>27</v>
      </c>
      <c r="AL4126" s="3">
        <v>-4888.7264080000004</v>
      </c>
    </row>
    <row r="4127" spans="34:38">
      <c r="AH4127" t="s">
        <v>2063</v>
      </c>
      <c r="AI4127" t="s">
        <v>68</v>
      </c>
      <c r="AJ4127" t="s">
        <v>113</v>
      </c>
      <c r="AK4127" s="3" t="s">
        <v>27</v>
      </c>
      <c r="AL4127" s="3">
        <v>10.4028927397</v>
      </c>
    </row>
    <row r="4128" spans="34:38">
      <c r="AH4128" t="s">
        <v>2063</v>
      </c>
      <c r="AI4128" t="s">
        <v>68</v>
      </c>
      <c r="AJ4128" t="s">
        <v>108</v>
      </c>
      <c r="AK4128" s="3" t="s">
        <v>27</v>
      </c>
      <c r="AL4128" s="3">
        <v>181.57359199999999</v>
      </c>
    </row>
    <row r="4129" spans="34:38">
      <c r="AH4129" t="s">
        <v>2063</v>
      </c>
      <c r="AI4129" t="s">
        <v>65</v>
      </c>
      <c r="AJ4129" t="s">
        <v>66</v>
      </c>
      <c r="AK4129" s="3" t="s">
        <v>27</v>
      </c>
      <c r="AL4129" s="3">
        <v>24805.8</v>
      </c>
    </row>
    <row r="4130" spans="34:38">
      <c r="AH4130" t="s">
        <v>2064</v>
      </c>
      <c r="AI4130" t="s">
        <v>65</v>
      </c>
      <c r="AJ4130" t="s">
        <v>66</v>
      </c>
      <c r="AK4130" s="3" t="s">
        <v>27</v>
      </c>
      <c r="AL4130" s="3">
        <v>24805.8</v>
      </c>
    </row>
    <row r="4131" spans="34:38">
      <c r="AH4131" t="s">
        <v>2064</v>
      </c>
      <c r="AI4131" t="s">
        <v>65</v>
      </c>
      <c r="AJ4131" t="s">
        <v>72</v>
      </c>
      <c r="AK4131" s="3" t="s">
        <v>27</v>
      </c>
      <c r="AL4131" s="3">
        <v>25712.361700000001</v>
      </c>
    </row>
    <row r="4132" spans="34:38">
      <c r="AH4132" t="s">
        <v>2064</v>
      </c>
      <c r="AI4132" t="s">
        <v>65</v>
      </c>
      <c r="AJ4132" t="s">
        <v>113</v>
      </c>
      <c r="AK4132" s="3" t="s">
        <v>27</v>
      </c>
      <c r="AL4132" s="3">
        <v>1904.7594352596</v>
      </c>
    </row>
    <row r="4133" spans="34:38">
      <c r="AH4133" t="s">
        <v>2064</v>
      </c>
      <c r="AI4133" t="s">
        <v>65</v>
      </c>
      <c r="AJ4133" t="s">
        <v>108</v>
      </c>
      <c r="AK4133" s="3" t="s">
        <v>27</v>
      </c>
      <c r="AL4133" s="3">
        <v>-998.19773525959999</v>
      </c>
    </row>
    <row r="4134" spans="34:38">
      <c r="AH4134" t="s">
        <v>2064</v>
      </c>
      <c r="AI4134" t="s">
        <v>67</v>
      </c>
      <c r="AJ4134" t="s">
        <v>66</v>
      </c>
      <c r="AK4134" s="3" t="s">
        <v>27</v>
      </c>
      <c r="AL4134" s="3">
        <v>-9739.5</v>
      </c>
    </row>
    <row r="4135" spans="34:38">
      <c r="AH4135" t="s">
        <v>2064</v>
      </c>
      <c r="AI4135" t="s">
        <v>67</v>
      </c>
      <c r="AJ4135" t="s">
        <v>72</v>
      </c>
      <c r="AK4135" s="3" t="s">
        <v>27</v>
      </c>
      <c r="AL4135" s="3">
        <v>-11232.635775000001</v>
      </c>
    </row>
    <row r="4136" spans="34:38">
      <c r="AH4136" t="s">
        <v>2064</v>
      </c>
      <c r="AI4136" t="s">
        <v>67</v>
      </c>
      <c r="AJ4136" t="s">
        <v>113</v>
      </c>
      <c r="AK4136" s="3" t="s">
        <v>27</v>
      </c>
      <c r="AL4136" s="3">
        <v>0</v>
      </c>
    </row>
    <row r="4137" spans="34:38">
      <c r="AH4137" t="s">
        <v>2064</v>
      </c>
      <c r="AI4137" t="s">
        <v>67</v>
      </c>
      <c r="AJ4137" t="s">
        <v>108</v>
      </c>
      <c r="AK4137" s="3" t="s">
        <v>27</v>
      </c>
      <c r="AL4137" s="3">
        <v>-1493.135775</v>
      </c>
    </row>
    <row r="4138" spans="34:38">
      <c r="AH4138" t="s">
        <v>2064</v>
      </c>
      <c r="AI4138" t="s">
        <v>68</v>
      </c>
      <c r="AJ4138" t="s">
        <v>66</v>
      </c>
      <c r="AK4138" s="3" t="s">
        <v>27</v>
      </c>
      <c r="AL4138" s="3">
        <v>-6204.3</v>
      </c>
    </row>
    <row r="4139" spans="34:38">
      <c r="AH4139" t="s">
        <v>2064</v>
      </c>
      <c r="AI4139" t="s">
        <v>68</v>
      </c>
      <c r="AJ4139" t="s">
        <v>72</v>
      </c>
      <c r="AK4139" s="3" t="s">
        <v>27</v>
      </c>
      <c r="AL4139" s="3">
        <v>-5960.082625</v>
      </c>
    </row>
    <row r="4140" spans="34:38">
      <c r="AH4140" t="s">
        <v>2064</v>
      </c>
      <c r="AI4140" t="s">
        <v>68</v>
      </c>
      <c r="AJ4140" t="s">
        <v>113</v>
      </c>
      <c r="AK4140" s="3" t="s">
        <v>27</v>
      </c>
      <c r="AL4140" s="3">
        <v>5.2032379451999997</v>
      </c>
    </row>
    <row r="4141" spans="34:38">
      <c r="AH4141" t="s">
        <v>2064</v>
      </c>
      <c r="AI4141" t="s">
        <v>68</v>
      </c>
      <c r="AJ4141" t="s">
        <v>108</v>
      </c>
      <c r="AK4141" s="3" t="s">
        <v>27</v>
      </c>
      <c r="AL4141" s="3">
        <v>244.217375</v>
      </c>
    </row>
    <row r="4142" spans="34:38">
      <c r="AH4142" t="s">
        <v>2065</v>
      </c>
      <c r="AI4142" t="s">
        <v>65</v>
      </c>
      <c r="AJ4142" t="s">
        <v>66</v>
      </c>
      <c r="AK4142" s="3" t="s">
        <v>27</v>
      </c>
      <c r="AL4142" s="3">
        <v>24715.8</v>
      </c>
    </row>
    <row r="4143" spans="34:38">
      <c r="AH4143" t="s">
        <v>2065</v>
      </c>
      <c r="AI4143" t="s">
        <v>65</v>
      </c>
      <c r="AJ4143" t="s">
        <v>72</v>
      </c>
      <c r="AK4143" s="3" t="s">
        <v>27</v>
      </c>
      <c r="AL4143" s="3">
        <v>25611.194455000001</v>
      </c>
    </row>
    <row r="4144" spans="34:38">
      <c r="AH4144" t="s">
        <v>2065</v>
      </c>
      <c r="AI4144" t="s">
        <v>65</v>
      </c>
      <c r="AJ4144" t="s">
        <v>113</v>
      </c>
      <c r="AK4144" s="3" t="s">
        <v>27</v>
      </c>
      <c r="AL4144" s="3">
        <v>1896.4554917487001</v>
      </c>
    </row>
    <row r="4145" spans="34:38">
      <c r="AH4145" t="s">
        <v>2065</v>
      </c>
      <c r="AI4145" t="s">
        <v>67</v>
      </c>
      <c r="AJ4145" t="s">
        <v>66</v>
      </c>
      <c r="AK4145" s="3" t="s">
        <v>27</v>
      </c>
      <c r="AL4145" s="3">
        <v>-9649.5</v>
      </c>
    </row>
    <row r="4146" spans="34:38">
      <c r="AH4146" t="s">
        <v>2065</v>
      </c>
      <c r="AI4146" t="s">
        <v>67</v>
      </c>
      <c r="AJ4146" t="s">
        <v>72</v>
      </c>
      <c r="AK4146" s="3" t="s">
        <v>27</v>
      </c>
      <c r="AL4146" s="3">
        <v>-11128.114519999999</v>
      </c>
    </row>
    <row r="4147" spans="34:38">
      <c r="AH4147" t="s">
        <v>2065</v>
      </c>
      <c r="AI4147" t="s">
        <v>67</v>
      </c>
      <c r="AJ4147" t="s">
        <v>113</v>
      </c>
      <c r="AK4147" s="3" t="s">
        <v>27</v>
      </c>
      <c r="AL4147" s="3">
        <v>2.0433164384000002</v>
      </c>
    </row>
    <row r="4148" spans="34:38">
      <c r="AH4148" t="s">
        <v>2065</v>
      </c>
      <c r="AI4148" t="s">
        <v>67</v>
      </c>
      <c r="AJ4148" t="s">
        <v>108</v>
      </c>
      <c r="AK4148" s="3" t="s">
        <v>27</v>
      </c>
      <c r="AL4148" s="3">
        <v>-1480.6578364384</v>
      </c>
    </row>
    <row r="4149" spans="34:38">
      <c r="AH4149" t="s">
        <v>2065</v>
      </c>
      <c r="AI4149" t="s">
        <v>68</v>
      </c>
      <c r="AJ4149" t="s">
        <v>66</v>
      </c>
      <c r="AK4149" s="3" t="s">
        <v>27</v>
      </c>
      <c r="AL4149" s="3">
        <v>-6004.3</v>
      </c>
    </row>
    <row r="4150" spans="34:38">
      <c r="AH4150" t="s">
        <v>2065</v>
      </c>
      <c r="AI4150" t="s">
        <v>68</v>
      </c>
      <c r="AJ4150" t="s">
        <v>72</v>
      </c>
      <c r="AK4150" s="3" t="s">
        <v>27</v>
      </c>
      <c r="AL4150" s="3">
        <v>-5778.5847750000003</v>
      </c>
    </row>
    <row r="4151" spans="34:38">
      <c r="AH4151" t="s">
        <v>2065</v>
      </c>
      <c r="AI4151" t="s">
        <v>68</v>
      </c>
      <c r="AJ4151" t="s">
        <v>113</v>
      </c>
      <c r="AK4151" s="3" t="s">
        <v>27</v>
      </c>
      <c r="AL4151" s="3">
        <v>765.85837123290003</v>
      </c>
    </row>
    <row r="4152" spans="34:38">
      <c r="AH4152" t="s">
        <v>2065</v>
      </c>
      <c r="AI4152" t="s">
        <v>68</v>
      </c>
      <c r="AJ4152" t="s">
        <v>108</v>
      </c>
      <c r="AK4152" s="3" t="s">
        <v>27</v>
      </c>
      <c r="AL4152" s="3">
        <v>225.715225</v>
      </c>
    </row>
    <row r="4153" spans="34:38">
      <c r="AH4153" t="s">
        <v>2065</v>
      </c>
      <c r="AI4153" t="s">
        <v>65</v>
      </c>
      <c r="AJ4153" t="s">
        <v>108</v>
      </c>
      <c r="AK4153" s="3" t="s">
        <v>27</v>
      </c>
      <c r="AL4153" s="3">
        <v>-1001.0610367487</v>
      </c>
    </row>
    <row r="4154" spans="34:38">
      <c r="AH4154" t="s">
        <v>2066</v>
      </c>
      <c r="AI4154" t="s">
        <v>65</v>
      </c>
      <c r="AJ4154" t="s">
        <v>72</v>
      </c>
      <c r="AK4154" s="3" t="s">
        <v>27</v>
      </c>
      <c r="AL4154" s="3">
        <v>25642.547181000002</v>
      </c>
    </row>
    <row r="4155" spans="34:38">
      <c r="AH4155" t="s">
        <v>2066</v>
      </c>
      <c r="AI4155" t="s">
        <v>65</v>
      </c>
      <c r="AJ4155" t="s">
        <v>113</v>
      </c>
      <c r="AK4155" s="3" t="s">
        <v>27</v>
      </c>
      <c r="AL4155" s="3">
        <v>1839.8587898338001</v>
      </c>
    </row>
    <row r="4156" spans="34:38">
      <c r="AH4156" t="s">
        <v>2066</v>
      </c>
      <c r="AI4156" t="s">
        <v>65</v>
      </c>
      <c r="AJ4156" t="s">
        <v>108</v>
      </c>
      <c r="AK4156" s="3" t="s">
        <v>27</v>
      </c>
      <c r="AL4156" s="3">
        <v>-992.11160883380001</v>
      </c>
    </row>
    <row r="4157" spans="34:38">
      <c r="AH4157" t="s">
        <v>2066</v>
      </c>
      <c r="AI4157" t="s">
        <v>67</v>
      </c>
      <c r="AJ4157" t="s">
        <v>66</v>
      </c>
      <c r="AK4157" s="3" t="s">
        <v>27</v>
      </c>
      <c r="AL4157" s="3">
        <v>-9818.5</v>
      </c>
    </row>
    <row r="4158" spans="34:38">
      <c r="AH4158" t="s">
        <v>2066</v>
      </c>
      <c r="AI4158" t="s">
        <v>67</v>
      </c>
      <c r="AJ4158" t="s">
        <v>72</v>
      </c>
      <c r="AK4158" s="3" t="s">
        <v>27</v>
      </c>
      <c r="AL4158" s="3">
        <v>-11262.300125</v>
      </c>
    </row>
    <row r="4159" spans="34:38">
      <c r="AH4159" t="s">
        <v>2066</v>
      </c>
      <c r="AI4159" t="s">
        <v>67</v>
      </c>
      <c r="AJ4159" t="s">
        <v>113</v>
      </c>
      <c r="AK4159" s="3" t="s">
        <v>27</v>
      </c>
      <c r="AL4159" s="3">
        <v>70.045118356200007</v>
      </c>
    </row>
    <row r="4160" spans="34:38">
      <c r="AH4160" t="s">
        <v>2066</v>
      </c>
      <c r="AI4160" t="s">
        <v>67</v>
      </c>
      <c r="AJ4160" t="s">
        <v>108</v>
      </c>
      <c r="AK4160" s="3" t="s">
        <v>27</v>
      </c>
      <c r="AL4160" s="3">
        <v>-1513.8452433561999</v>
      </c>
    </row>
    <row r="4161" spans="34:38">
      <c r="AH4161" t="s">
        <v>2066</v>
      </c>
      <c r="AI4161" t="s">
        <v>68</v>
      </c>
      <c r="AJ4161" t="s">
        <v>66</v>
      </c>
      <c r="AK4161" s="3" t="s">
        <v>27</v>
      </c>
      <c r="AL4161" s="3">
        <v>-5914.3</v>
      </c>
    </row>
    <row r="4162" spans="34:38">
      <c r="AH4162" t="s">
        <v>2066</v>
      </c>
      <c r="AI4162" t="s">
        <v>68</v>
      </c>
      <c r="AJ4162" t="s">
        <v>72</v>
      </c>
      <c r="AK4162" s="3" t="s">
        <v>27</v>
      </c>
      <c r="AL4162" s="3">
        <v>-5674.6399359999996</v>
      </c>
    </row>
    <row r="4163" spans="34:38">
      <c r="AH4163" t="s">
        <v>2066</v>
      </c>
      <c r="AI4163" t="s">
        <v>68</v>
      </c>
      <c r="AJ4163" t="s">
        <v>113</v>
      </c>
      <c r="AK4163" s="3" t="s">
        <v>27</v>
      </c>
      <c r="AL4163" s="3">
        <v>6.9468863014000002</v>
      </c>
    </row>
    <row r="4164" spans="34:38">
      <c r="AH4164" t="s">
        <v>2066</v>
      </c>
      <c r="AI4164" t="s">
        <v>68</v>
      </c>
      <c r="AJ4164" t="s">
        <v>108</v>
      </c>
      <c r="AK4164" s="3" t="s">
        <v>27</v>
      </c>
      <c r="AL4164" s="3">
        <v>239.66006400000001</v>
      </c>
    </row>
    <row r="4165" spans="34:38">
      <c r="AH4165" t="s">
        <v>2066</v>
      </c>
      <c r="AI4165" t="s">
        <v>65</v>
      </c>
      <c r="AJ4165" t="s">
        <v>66</v>
      </c>
      <c r="AK4165" s="3" t="s">
        <v>27</v>
      </c>
      <c r="AL4165" s="3">
        <v>24794.799999999999</v>
      </c>
    </row>
    <row r="4166" spans="34:38">
      <c r="AH4166" t="s">
        <v>2067</v>
      </c>
      <c r="AI4166" t="s">
        <v>67</v>
      </c>
      <c r="AJ4166" t="s">
        <v>72</v>
      </c>
      <c r="AK4166" s="3" t="s">
        <v>27</v>
      </c>
      <c r="AL4166" s="3">
        <v>-11589.48063</v>
      </c>
    </row>
    <row r="4167" spans="34:38">
      <c r="AH4167" t="s">
        <v>2067</v>
      </c>
      <c r="AI4167" t="s">
        <v>67</v>
      </c>
      <c r="AJ4167" t="s">
        <v>113</v>
      </c>
      <c r="AK4167" s="3" t="s">
        <v>27</v>
      </c>
      <c r="AL4167" s="3">
        <v>-24.203550684900001</v>
      </c>
    </row>
    <row r="4168" spans="34:38">
      <c r="AH4168" t="s">
        <v>2067</v>
      </c>
      <c r="AI4168" t="s">
        <v>67</v>
      </c>
      <c r="AJ4168" t="s">
        <v>108</v>
      </c>
      <c r="AK4168" s="3" t="s">
        <v>27</v>
      </c>
      <c r="AL4168" s="3">
        <v>-1434.7770793151001</v>
      </c>
    </row>
    <row r="4169" spans="34:38">
      <c r="AH4169" t="s">
        <v>2067</v>
      </c>
      <c r="AI4169" t="s">
        <v>68</v>
      </c>
      <c r="AJ4169" t="s">
        <v>66</v>
      </c>
      <c r="AK4169" s="3" t="s">
        <v>27</v>
      </c>
      <c r="AL4169" s="3">
        <v>-6353.3</v>
      </c>
    </row>
    <row r="4170" spans="34:38">
      <c r="AH4170" t="s">
        <v>2067</v>
      </c>
      <c r="AI4170" t="s">
        <v>68</v>
      </c>
      <c r="AJ4170" t="s">
        <v>72</v>
      </c>
      <c r="AK4170" s="3" t="s">
        <v>27</v>
      </c>
      <c r="AL4170" s="3">
        <v>-6106.2961690000002</v>
      </c>
    </row>
    <row r="4171" spans="34:38">
      <c r="AH4171" t="s">
        <v>2067</v>
      </c>
      <c r="AI4171" t="s">
        <v>68</v>
      </c>
      <c r="AJ4171" t="s">
        <v>113</v>
      </c>
      <c r="AK4171" s="3" t="s">
        <v>27</v>
      </c>
      <c r="AL4171" s="3">
        <v>28.350037534199998</v>
      </c>
    </row>
    <row r="4172" spans="34:38">
      <c r="AH4172" t="s">
        <v>2067</v>
      </c>
      <c r="AI4172" t="s">
        <v>68</v>
      </c>
      <c r="AJ4172" t="s">
        <v>108</v>
      </c>
      <c r="AK4172" s="3" t="s">
        <v>27</v>
      </c>
      <c r="AL4172" s="3">
        <v>247.00383099999999</v>
      </c>
    </row>
    <row r="4173" spans="34:38">
      <c r="AH4173" t="s">
        <v>2067</v>
      </c>
      <c r="AI4173" t="s">
        <v>65</v>
      </c>
      <c r="AJ4173" t="s">
        <v>66</v>
      </c>
      <c r="AK4173" s="3" t="s">
        <v>27</v>
      </c>
      <c r="AL4173" s="3">
        <v>25185.8</v>
      </c>
    </row>
    <row r="4174" spans="34:38">
      <c r="AH4174" t="s">
        <v>2067</v>
      </c>
      <c r="AI4174" t="s">
        <v>65</v>
      </c>
      <c r="AJ4174" t="s">
        <v>72</v>
      </c>
      <c r="AK4174" s="3" t="s">
        <v>27</v>
      </c>
      <c r="AL4174" s="3">
        <v>26003.053779000002</v>
      </c>
    </row>
    <row r="4175" spans="34:38">
      <c r="AH4175" t="s">
        <v>2067</v>
      </c>
      <c r="AI4175" t="s">
        <v>65</v>
      </c>
      <c r="AJ4175" t="s">
        <v>113</v>
      </c>
      <c r="AK4175" s="3" t="s">
        <v>27</v>
      </c>
      <c r="AL4175" s="3">
        <v>1870.5201947193</v>
      </c>
    </row>
    <row r="4176" spans="34:38">
      <c r="AH4176" t="s">
        <v>2067</v>
      </c>
      <c r="AI4176" t="s">
        <v>65</v>
      </c>
      <c r="AJ4176" t="s">
        <v>108</v>
      </c>
      <c r="AK4176" s="3" t="s">
        <v>27</v>
      </c>
      <c r="AL4176" s="3">
        <v>-1053.2664157193001</v>
      </c>
    </row>
    <row r="4177" spans="34:38">
      <c r="AH4177" t="s">
        <v>2067</v>
      </c>
      <c r="AI4177" t="s">
        <v>67</v>
      </c>
      <c r="AJ4177" t="s">
        <v>66</v>
      </c>
      <c r="AK4177" s="3" t="s">
        <v>27</v>
      </c>
      <c r="AL4177" s="3">
        <v>-10130.5</v>
      </c>
    </row>
    <row r="4178" spans="34:38">
      <c r="AH4178" t="s">
        <v>2068</v>
      </c>
      <c r="AI4178" t="s">
        <v>68</v>
      </c>
      <c r="AJ4178" t="s">
        <v>66</v>
      </c>
      <c r="AK4178" s="3" t="s">
        <v>27</v>
      </c>
      <c r="AL4178" s="3">
        <v>-6944.3</v>
      </c>
    </row>
    <row r="4179" spans="34:38">
      <c r="AH4179" t="s">
        <v>2068</v>
      </c>
      <c r="AI4179" t="s">
        <v>65</v>
      </c>
      <c r="AJ4179" t="s">
        <v>108</v>
      </c>
      <c r="AK4179" s="3" t="s">
        <v>27</v>
      </c>
      <c r="AL4179" s="3">
        <v>-1016.1002077833</v>
      </c>
    </row>
    <row r="4180" spans="34:38">
      <c r="AH4180" t="s">
        <v>2068</v>
      </c>
      <c r="AI4180" t="s">
        <v>65</v>
      </c>
      <c r="AJ4180" t="s">
        <v>66</v>
      </c>
      <c r="AK4180" s="3" t="s">
        <v>27</v>
      </c>
      <c r="AL4180" s="3">
        <v>25217.8</v>
      </c>
    </row>
    <row r="4181" spans="34:38">
      <c r="AH4181" t="s">
        <v>2068</v>
      </c>
      <c r="AI4181" t="s">
        <v>65</v>
      </c>
      <c r="AJ4181" t="s">
        <v>72</v>
      </c>
      <c r="AK4181" s="3" t="s">
        <v>27</v>
      </c>
      <c r="AL4181" s="3">
        <v>26035.420253</v>
      </c>
    </row>
    <row r="4182" spans="34:38">
      <c r="AH4182" t="s">
        <v>2068</v>
      </c>
      <c r="AI4182" t="s">
        <v>65</v>
      </c>
      <c r="AJ4182" t="s">
        <v>113</v>
      </c>
      <c r="AK4182" s="3" t="s">
        <v>27</v>
      </c>
      <c r="AL4182" s="3">
        <v>1833.7204607833</v>
      </c>
    </row>
    <row r="4183" spans="34:38">
      <c r="AH4183" t="s">
        <v>2068</v>
      </c>
      <c r="AI4183" t="s">
        <v>68</v>
      </c>
      <c r="AJ4183" t="s">
        <v>72</v>
      </c>
      <c r="AK4183" s="3" t="s">
        <v>27</v>
      </c>
      <c r="AL4183" s="3">
        <v>-6646.7894429999997</v>
      </c>
    </row>
    <row r="4184" spans="34:38">
      <c r="AH4184" t="s">
        <v>2068</v>
      </c>
      <c r="AI4184" t="s">
        <v>68</v>
      </c>
      <c r="AJ4184" t="s">
        <v>113</v>
      </c>
      <c r="AK4184" s="3" t="s">
        <v>27</v>
      </c>
      <c r="AL4184" s="3">
        <v>15.8936087671</v>
      </c>
    </row>
    <row r="4185" spans="34:38">
      <c r="AH4185" t="s">
        <v>2068</v>
      </c>
      <c r="AI4185" t="s">
        <v>68</v>
      </c>
      <c r="AJ4185" t="s">
        <v>108</v>
      </c>
      <c r="AK4185" s="3" t="s">
        <v>27</v>
      </c>
      <c r="AL4185" s="3">
        <v>297.51055700000001</v>
      </c>
    </row>
    <row r="4186" spans="34:38">
      <c r="AH4186" t="s">
        <v>2068</v>
      </c>
      <c r="AI4186" t="s">
        <v>67</v>
      </c>
      <c r="AJ4186" t="s">
        <v>66</v>
      </c>
      <c r="AK4186" s="3" t="s">
        <v>27</v>
      </c>
      <c r="AL4186" s="3">
        <v>-9771.5</v>
      </c>
    </row>
    <row r="4187" spans="34:38">
      <c r="AH4187" t="s">
        <v>2068</v>
      </c>
      <c r="AI4187" t="s">
        <v>67</v>
      </c>
      <c r="AJ4187" t="s">
        <v>72</v>
      </c>
      <c r="AK4187" s="3" t="s">
        <v>27</v>
      </c>
      <c r="AL4187" s="3">
        <v>-11257.03969</v>
      </c>
    </row>
    <row r="4188" spans="34:38">
      <c r="AH4188" t="s">
        <v>2068</v>
      </c>
      <c r="AI4188" t="s">
        <v>67</v>
      </c>
      <c r="AJ4188" t="s">
        <v>113</v>
      </c>
      <c r="AK4188" s="3" t="s">
        <v>27</v>
      </c>
      <c r="AL4188" s="3">
        <v>34.722057534199998</v>
      </c>
    </row>
    <row r="4189" spans="34:38">
      <c r="AH4189" t="s">
        <v>2068</v>
      </c>
      <c r="AI4189" t="s">
        <v>67</v>
      </c>
      <c r="AJ4189" t="s">
        <v>108</v>
      </c>
      <c r="AK4189" s="3" t="s">
        <v>27</v>
      </c>
      <c r="AL4189" s="3">
        <v>-1520.2617475343</v>
      </c>
    </row>
    <row r="4190" spans="34:38">
      <c r="AH4190" t="s">
        <v>2069</v>
      </c>
      <c r="AI4190" t="s">
        <v>65</v>
      </c>
      <c r="AJ4190" t="s">
        <v>72</v>
      </c>
      <c r="AK4190" s="3" t="s">
        <v>27</v>
      </c>
      <c r="AL4190" s="3">
        <v>25188.886309000001</v>
      </c>
    </row>
    <row r="4191" spans="34:38">
      <c r="AH4191" t="s">
        <v>2069</v>
      </c>
      <c r="AI4191" t="s">
        <v>65</v>
      </c>
      <c r="AJ4191" t="s">
        <v>113</v>
      </c>
      <c r="AK4191" s="3" t="s">
        <v>27</v>
      </c>
      <c r="AL4191" s="3">
        <v>1901.4111973181</v>
      </c>
    </row>
    <row r="4192" spans="34:38">
      <c r="AH4192" t="s">
        <v>2069</v>
      </c>
      <c r="AI4192" t="s">
        <v>65</v>
      </c>
      <c r="AJ4192" t="s">
        <v>108</v>
      </c>
      <c r="AK4192" s="3" t="s">
        <v>27</v>
      </c>
      <c r="AL4192" s="3">
        <v>-1079.3248883181</v>
      </c>
    </row>
    <row r="4193" spans="34:38">
      <c r="AH4193" t="s">
        <v>2069</v>
      </c>
      <c r="AI4193" t="s">
        <v>67</v>
      </c>
      <c r="AJ4193" t="s">
        <v>66</v>
      </c>
      <c r="AK4193" s="3" t="s">
        <v>27</v>
      </c>
      <c r="AL4193" s="3">
        <v>-8888.5</v>
      </c>
    </row>
    <row r="4194" spans="34:38">
      <c r="AH4194" t="s">
        <v>2069</v>
      </c>
      <c r="AI4194" t="s">
        <v>67</v>
      </c>
      <c r="AJ4194" t="s">
        <v>72</v>
      </c>
      <c r="AK4194" s="3" t="s">
        <v>27</v>
      </c>
      <c r="AL4194" s="3">
        <v>-10417.089755000001</v>
      </c>
    </row>
    <row r="4195" spans="34:38">
      <c r="AH4195" t="s">
        <v>2069</v>
      </c>
      <c r="AI4195" t="s">
        <v>67</v>
      </c>
      <c r="AJ4195" t="s">
        <v>113</v>
      </c>
      <c r="AK4195" s="3" t="s">
        <v>27</v>
      </c>
      <c r="AL4195" s="3">
        <v>-38.031007808200002</v>
      </c>
    </row>
    <row r="4196" spans="34:38">
      <c r="AH4196" t="s">
        <v>2069</v>
      </c>
      <c r="AI4196" t="s">
        <v>67</v>
      </c>
      <c r="AJ4196" t="s">
        <v>108</v>
      </c>
      <c r="AK4196" s="3" t="s">
        <v>27</v>
      </c>
      <c r="AL4196" s="3">
        <v>-1490.5587471918</v>
      </c>
    </row>
    <row r="4197" spans="34:38">
      <c r="AH4197" t="s">
        <v>2069</v>
      </c>
      <c r="AI4197" t="s">
        <v>68</v>
      </c>
      <c r="AJ4197" t="s">
        <v>66</v>
      </c>
      <c r="AK4197" s="3" t="s">
        <v>27</v>
      </c>
      <c r="AL4197" s="3">
        <v>-6976.3</v>
      </c>
    </row>
    <row r="4198" spans="34:38">
      <c r="AH4198" t="s">
        <v>2069</v>
      </c>
      <c r="AI4198" t="s">
        <v>68</v>
      </c>
      <c r="AJ4198" t="s">
        <v>72</v>
      </c>
      <c r="AK4198" s="3" t="s">
        <v>27</v>
      </c>
      <c r="AL4198" s="3">
        <v>-6640.3597540000001</v>
      </c>
    </row>
    <row r="4199" spans="34:38">
      <c r="AH4199" t="s">
        <v>2069</v>
      </c>
      <c r="AI4199" t="s">
        <v>68</v>
      </c>
      <c r="AJ4199" t="s">
        <v>113</v>
      </c>
      <c r="AK4199" s="3" t="s">
        <v>27</v>
      </c>
      <c r="AL4199" s="3">
        <v>56.368380410999997</v>
      </c>
    </row>
    <row r="4200" spans="34:38">
      <c r="AH4200" t="s">
        <v>2069</v>
      </c>
      <c r="AI4200" t="s">
        <v>68</v>
      </c>
      <c r="AJ4200" t="s">
        <v>108</v>
      </c>
      <c r="AK4200" s="3" t="s">
        <v>27</v>
      </c>
      <c r="AL4200" s="3">
        <v>335.940246</v>
      </c>
    </row>
    <row r="4201" spans="34:38">
      <c r="AH4201" t="s">
        <v>2069</v>
      </c>
      <c r="AI4201" t="s">
        <v>65</v>
      </c>
      <c r="AJ4201" t="s">
        <v>66</v>
      </c>
      <c r="AK4201" s="3" t="s">
        <v>27</v>
      </c>
      <c r="AL4201" s="3">
        <v>24366.799999999999</v>
      </c>
    </row>
    <row r="4202" spans="34:38">
      <c r="AH4202" t="s">
        <v>2070</v>
      </c>
      <c r="AI4202" t="s">
        <v>65</v>
      </c>
      <c r="AJ4202" t="s">
        <v>72</v>
      </c>
      <c r="AK4202" s="3" t="s">
        <v>27</v>
      </c>
      <c r="AL4202" s="3">
        <v>22533.534005000001</v>
      </c>
    </row>
    <row r="4203" spans="34:38">
      <c r="AH4203" t="s">
        <v>2070</v>
      </c>
      <c r="AI4203" t="s">
        <v>65</v>
      </c>
      <c r="AJ4203" t="s">
        <v>113</v>
      </c>
      <c r="AK4203" s="3" t="s">
        <v>27</v>
      </c>
      <c r="AL4203" s="3">
        <v>1783.4689171759001</v>
      </c>
    </row>
    <row r="4204" spans="34:38">
      <c r="AH4204" t="s">
        <v>2070</v>
      </c>
      <c r="AI4204" t="s">
        <v>65</v>
      </c>
      <c r="AJ4204" t="s">
        <v>108</v>
      </c>
      <c r="AK4204" s="3" t="s">
        <v>27</v>
      </c>
      <c r="AL4204" s="3">
        <v>-1065.7349121759</v>
      </c>
    </row>
    <row r="4205" spans="34:38">
      <c r="AH4205" t="s">
        <v>2070</v>
      </c>
      <c r="AI4205" t="s">
        <v>67</v>
      </c>
      <c r="AJ4205" t="s">
        <v>66</v>
      </c>
      <c r="AK4205" s="3" t="s">
        <v>27</v>
      </c>
      <c r="AL4205" s="3">
        <v>-5230.5</v>
      </c>
    </row>
    <row r="4206" spans="34:38">
      <c r="AH4206" t="s">
        <v>2070</v>
      </c>
      <c r="AI4206" t="s">
        <v>67</v>
      </c>
      <c r="AJ4206" t="s">
        <v>72</v>
      </c>
      <c r="AK4206" s="3" t="s">
        <v>27</v>
      </c>
      <c r="AL4206" s="3">
        <v>-6691.9598450000003</v>
      </c>
    </row>
    <row r="4207" spans="34:38">
      <c r="AH4207" t="s">
        <v>2070</v>
      </c>
      <c r="AI4207" t="s">
        <v>67</v>
      </c>
      <c r="AJ4207" t="s">
        <v>113</v>
      </c>
      <c r="AK4207" s="3" t="s">
        <v>27</v>
      </c>
      <c r="AL4207" s="3">
        <v>157.16745205480001</v>
      </c>
    </row>
    <row r="4208" spans="34:38">
      <c r="AH4208" t="s">
        <v>2070</v>
      </c>
      <c r="AI4208" t="s">
        <v>67</v>
      </c>
      <c r="AJ4208" t="s">
        <v>108</v>
      </c>
      <c r="AK4208" s="3" t="s">
        <v>27</v>
      </c>
      <c r="AL4208" s="3">
        <v>-1618.6272970548</v>
      </c>
    </row>
    <row r="4209" spans="34:38">
      <c r="AH4209" t="s">
        <v>2070</v>
      </c>
      <c r="AI4209" t="s">
        <v>68</v>
      </c>
      <c r="AJ4209" t="s">
        <v>66</v>
      </c>
      <c r="AK4209" s="3" t="s">
        <v>27</v>
      </c>
      <c r="AL4209" s="3">
        <v>-7931.3</v>
      </c>
    </row>
    <row r="4210" spans="34:38">
      <c r="AH4210" t="s">
        <v>2070</v>
      </c>
      <c r="AI4210" t="s">
        <v>68</v>
      </c>
      <c r="AJ4210" t="s">
        <v>72</v>
      </c>
      <c r="AK4210" s="3" t="s">
        <v>27</v>
      </c>
      <c r="AL4210" s="3">
        <v>-7577.375</v>
      </c>
    </row>
    <row r="4211" spans="34:38">
      <c r="AH4211" t="s">
        <v>2070</v>
      </c>
      <c r="AI4211" t="s">
        <v>68</v>
      </c>
      <c r="AJ4211" t="s">
        <v>113</v>
      </c>
      <c r="AK4211" s="3" t="s">
        <v>27</v>
      </c>
      <c r="AL4211" s="3">
        <v>-11.995997945199999</v>
      </c>
    </row>
    <row r="4212" spans="34:38">
      <c r="AH4212" t="s">
        <v>2070</v>
      </c>
      <c r="AI4212" t="s">
        <v>68</v>
      </c>
      <c r="AJ4212" t="s">
        <v>108</v>
      </c>
      <c r="AK4212" s="3" t="s">
        <v>27</v>
      </c>
      <c r="AL4212" s="3">
        <v>353.92500000000001</v>
      </c>
    </row>
    <row r="4213" spans="34:38">
      <c r="AH4213" t="s">
        <v>2070</v>
      </c>
      <c r="AI4213" t="s">
        <v>65</v>
      </c>
      <c r="AJ4213" t="s">
        <v>66</v>
      </c>
      <c r="AK4213" s="3" t="s">
        <v>27</v>
      </c>
      <c r="AL4213" s="3">
        <v>21815.8</v>
      </c>
    </row>
    <row r="4214" spans="34:38">
      <c r="AH4214" t="s">
        <v>2071</v>
      </c>
      <c r="AI4214" t="s">
        <v>65</v>
      </c>
      <c r="AJ4214" t="s">
        <v>66</v>
      </c>
      <c r="AK4214" s="3" t="s">
        <v>27</v>
      </c>
      <c r="AL4214" s="3">
        <v>22443.8</v>
      </c>
    </row>
    <row r="4215" spans="34:38">
      <c r="AH4215" t="s">
        <v>2071</v>
      </c>
      <c r="AI4215" t="s">
        <v>65</v>
      </c>
      <c r="AJ4215" t="s">
        <v>72</v>
      </c>
      <c r="AK4215" s="3" t="s">
        <v>27</v>
      </c>
      <c r="AL4215" s="3">
        <v>23230.144982999998</v>
      </c>
    </row>
    <row r="4216" spans="34:38">
      <c r="AH4216" t="s">
        <v>2071</v>
      </c>
      <c r="AI4216" t="s">
        <v>65</v>
      </c>
      <c r="AJ4216" t="s">
        <v>108</v>
      </c>
      <c r="AK4216" s="3" t="s">
        <v>27</v>
      </c>
      <c r="AL4216" s="3">
        <v>786.34498299999996</v>
      </c>
    </row>
    <row r="4217" spans="34:38">
      <c r="AH4217" t="s">
        <v>2071</v>
      </c>
      <c r="AI4217" t="s">
        <v>67</v>
      </c>
      <c r="AJ4217" t="s">
        <v>66</v>
      </c>
      <c r="AK4217" s="3" t="s">
        <v>27</v>
      </c>
      <c r="AL4217" s="3">
        <v>-6345.5</v>
      </c>
    </row>
    <row r="4218" spans="34:38">
      <c r="AH4218" t="s">
        <v>2071</v>
      </c>
      <c r="AI4218" t="s">
        <v>67</v>
      </c>
      <c r="AJ4218" t="s">
        <v>72</v>
      </c>
      <c r="AK4218" s="3" t="s">
        <v>27</v>
      </c>
      <c r="AL4218" s="3">
        <v>-7855.8478750000004</v>
      </c>
    </row>
    <row r="4219" spans="34:38">
      <c r="AH4219" t="s">
        <v>2071</v>
      </c>
      <c r="AI4219" t="s">
        <v>67</v>
      </c>
      <c r="AJ4219" t="s">
        <v>108</v>
      </c>
      <c r="AK4219" s="3" t="s">
        <v>27</v>
      </c>
      <c r="AL4219" s="3">
        <v>-1510.3478749999999</v>
      </c>
    </row>
    <row r="4220" spans="34:38">
      <c r="AH4220" t="s">
        <v>2071</v>
      </c>
      <c r="AI4220" t="s">
        <v>68</v>
      </c>
      <c r="AJ4220" t="s">
        <v>66</v>
      </c>
      <c r="AK4220" s="3" t="s">
        <v>27</v>
      </c>
      <c r="AL4220" s="3">
        <v>-7194.3</v>
      </c>
    </row>
    <row r="4221" spans="34:38">
      <c r="AH4221" t="s">
        <v>2071</v>
      </c>
      <c r="AI4221" t="s">
        <v>68</v>
      </c>
      <c r="AJ4221" t="s">
        <v>72</v>
      </c>
      <c r="AK4221" s="3" t="s">
        <v>27</v>
      </c>
      <c r="AL4221" s="3">
        <v>-6876.0056080000004</v>
      </c>
    </row>
    <row r="4222" spans="34:38">
      <c r="AH4222" t="s">
        <v>2071</v>
      </c>
      <c r="AI4222" t="s">
        <v>68</v>
      </c>
      <c r="AJ4222" t="s">
        <v>108</v>
      </c>
      <c r="AK4222" s="3" t="s">
        <v>27</v>
      </c>
      <c r="AL4222" s="3">
        <v>318.29439200000002</v>
      </c>
    </row>
    <row r="4223" spans="34:38">
      <c r="AH4223" t="s">
        <v>2071</v>
      </c>
      <c r="AI4223" t="s">
        <v>65</v>
      </c>
      <c r="AJ4223" t="s">
        <v>113</v>
      </c>
      <c r="AK4223" s="3" t="s">
        <v>27</v>
      </c>
      <c r="AL4223" s="3">
        <v>3030.3901143120002</v>
      </c>
    </row>
    <row r="4224" spans="34:38">
      <c r="AH4224" t="s">
        <v>2071</v>
      </c>
      <c r="AI4224" t="s">
        <v>67</v>
      </c>
      <c r="AJ4224" t="s">
        <v>113</v>
      </c>
      <c r="AK4224" s="3" t="s">
        <v>27</v>
      </c>
      <c r="AL4224" s="3">
        <v>0</v>
      </c>
    </row>
    <row r="4225" spans="34:38">
      <c r="AH4225" t="s">
        <v>2071</v>
      </c>
      <c r="AI4225" t="s">
        <v>65</v>
      </c>
      <c r="AJ4225" t="s">
        <v>2303</v>
      </c>
      <c r="AK4225" s="3" t="s">
        <v>27</v>
      </c>
      <c r="AL4225" s="3">
        <v>-2809.6504080459999</v>
      </c>
    </row>
    <row r="4226" spans="34:38">
      <c r="AH4226" t="s">
        <v>2071</v>
      </c>
      <c r="AI4226" t="s">
        <v>67</v>
      </c>
      <c r="AJ4226" t="s">
        <v>2303</v>
      </c>
      <c r="AK4226" s="3" t="s">
        <v>27</v>
      </c>
      <c r="AL4226" s="3">
        <v>-1510.3478749999999</v>
      </c>
    </row>
    <row r="4227" spans="34:38">
      <c r="AH4227" t="s">
        <v>2071</v>
      </c>
      <c r="AI4227" t="s">
        <v>65</v>
      </c>
      <c r="AJ4227" t="s">
        <v>113</v>
      </c>
      <c r="AK4227" s="3" t="s">
        <v>20</v>
      </c>
      <c r="AL4227" s="3">
        <v>1878.4296466334999</v>
      </c>
    </row>
    <row r="4228" spans="34:38">
      <c r="AH4228" t="s">
        <v>2072</v>
      </c>
      <c r="AI4228" t="s">
        <v>68</v>
      </c>
      <c r="AJ4228" t="s">
        <v>108</v>
      </c>
      <c r="AK4228" s="3" t="s">
        <v>27</v>
      </c>
      <c r="AL4228" s="3">
        <v>291.45995399999998</v>
      </c>
    </row>
    <row r="4229" spans="34:38">
      <c r="AH4229" t="s">
        <v>2072</v>
      </c>
      <c r="AI4229" t="s">
        <v>65</v>
      </c>
      <c r="AJ4229" t="s">
        <v>113</v>
      </c>
      <c r="AK4229" s="3" t="s">
        <v>27</v>
      </c>
      <c r="AL4229" s="3">
        <v>3053.3208868229999</v>
      </c>
    </row>
    <row r="4230" spans="34:38">
      <c r="AH4230" t="s">
        <v>2072</v>
      </c>
      <c r="AI4230" t="s">
        <v>67</v>
      </c>
      <c r="AJ4230" t="s">
        <v>113</v>
      </c>
      <c r="AK4230" s="3" t="s">
        <v>27</v>
      </c>
      <c r="AL4230" s="3">
        <v>0</v>
      </c>
    </row>
    <row r="4231" spans="34:38">
      <c r="AH4231" t="s">
        <v>2072</v>
      </c>
      <c r="AI4231" t="s">
        <v>65</v>
      </c>
      <c r="AJ4231" t="s">
        <v>2303</v>
      </c>
      <c r="AK4231" s="3" t="s">
        <v>27</v>
      </c>
      <c r="AL4231" s="3">
        <v>-2754.944963895</v>
      </c>
    </row>
    <row r="4232" spans="34:38">
      <c r="AH4232" t="s">
        <v>2072</v>
      </c>
      <c r="AI4232" t="s">
        <v>67</v>
      </c>
      <c r="AJ4232" t="s">
        <v>2303</v>
      </c>
      <c r="AK4232" s="3" t="s">
        <v>27</v>
      </c>
      <c r="AL4232" s="3">
        <v>-1491.9507249999999</v>
      </c>
    </row>
    <row r="4233" spans="34:38">
      <c r="AH4233" t="s">
        <v>2072</v>
      </c>
      <c r="AI4233" t="s">
        <v>65</v>
      </c>
      <c r="AJ4233" t="s">
        <v>113</v>
      </c>
      <c r="AK4233" s="3" t="s">
        <v>20</v>
      </c>
      <c r="AL4233" s="3">
        <v>1900.8386518313</v>
      </c>
    </row>
    <row r="4234" spans="34:38">
      <c r="AH4234" t="s">
        <v>2072</v>
      </c>
      <c r="AI4234" t="s">
        <v>65</v>
      </c>
      <c r="AJ4234" t="s">
        <v>66</v>
      </c>
      <c r="AK4234" s="3" t="s">
        <v>27</v>
      </c>
      <c r="AL4234" s="3">
        <v>22188.799999999999</v>
      </c>
    </row>
    <row r="4235" spans="34:38">
      <c r="AH4235" t="s">
        <v>2072</v>
      </c>
      <c r="AI4235" t="s">
        <v>65</v>
      </c>
      <c r="AJ4235" t="s">
        <v>72</v>
      </c>
      <c r="AK4235" s="3" t="s">
        <v>27</v>
      </c>
      <c r="AL4235" s="3">
        <v>23032.918410999999</v>
      </c>
    </row>
    <row r="4236" spans="34:38">
      <c r="AH4236" t="s">
        <v>2072</v>
      </c>
      <c r="AI4236" t="s">
        <v>65</v>
      </c>
      <c r="AJ4236" t="s">
        <v>108</v>
      </c>
      <c r="AK4236" s="3" t="s">
        <v>27</v>
      </c>
      <c r="AL4236" s="3">
        <v>844.11841100000004</v>
      </c>
    </row>
    <row r="4237" spans="34:38">
      <c r="AH4237" t="s">
        <v>2072</v>
      </c>
      <c r="AI4237" t="s">
        <v>67</v>
      </c>
      <c r="AJ4237" t="s">
        <v>66</v>
      </c>
      <c r="AK4237" s="3" t="s">
        <v>27</v>
      </c>
      <c r="AL4237" s="3">
        <v>-5462.5</v>
      </c>
    </row>
    <row r="4238" spans="34:38">
      <c r="AH4238" t="s">
        <v>2072</v>
      </c>
      <c r="AI4238" t="s">
        <v>67</v>
      </c>
      <c r="AJ4238" t="s">
        <v>72</v>
      </c>
      <c r="AK4238" s="3" t="s">
        <v>27</v>
      </c>
      <c r="AL4238" s="3">
        <v>-6954.4507249999997</v>
      </c>
    </row>
    <row r="4239" spans="34:38">
      <c r="AH4239" t="s">
        <v>2072</v>
      </c>
      <c r="AI4239" t="s">
        <v>67</v>
      </c>
      <c r="AJ4239" t="s">
        <v>108</v>
      </c>
      <c r="AK4239" s="3" t="s">
        <v>27</v>
      </c>
      <c r="AL4239" s="3">
        <v>-1491.9507249999999</v>
      </c>
    </row>
    <row r="4240" spans="34:38">
      <c r="AH4240" t="s">
        <v>2072</v>
      </c>
      <c r="AI4240" t="s">
        <v>68</v>
      </c>
      <c r="AJ4240" t="s">
        <v>66</v>
      </c>
      <c r="AK4240" s="3" t="s">
        <v>27</v>
      </c>
      <c r="AL4240" s="3">
        <v>-7462.3</v>
      </c>
    </row>
    <row r="4241" spans="34:38">
      <c r="AH4241" t="s">
        <v>2072</v>
      </c>
      <c r="AI4241" t="s">
        <v>68</v>
      </c>
      <c r="AJ4241" t="s">
        <v>72</v>
      </c>
      <c r="AK4241" s="3" t="s">
        <v>27</v>
      </c>
      <c r="AL4241" s="3">
        <v>-7170.8400460000003</v>
      </c>
    </row>
    <row r="4242" spans="34:38">
      <c r="AH4242" t="s">
        <v>2073</v>
      </c>
      <c r="AI4242" t="s">
        <v>65</v>
      </c>
      <c r="AJ4242" t="s">
        <v>66</v>
      </c>
      <c r="AK4242" s="3" t="s">
        <v>27</v>
      </c>
      <c r="AL4242" s="3">
        <v>21836.799999999999</v>
      </c>
    </row>
    <row r="4243" spans="34:38">
      <c r="AH4243" t="s">
        <v>2073</v>
      </c>
      <c r="AI4243" t="s">
        <v>65</v>
      </c>
      <c r="AJ4243" t="s">
        <v>72</v>
      </c>
      <c r="AK4243" s="3" t="s">
        <v>27</v>
      </c>
      <c r="AL4243" s="3">
        <v>22733.217568</v>
      </c>
    </row>
    <row r="4244" spans="34:38">
      <c r="AH4244" t="s">
        <v>2073</v>
      </c>
      <c r="AI4244" t="s">
        <v>65</v>
      </c>
      <c r="AJ4244" t="s">
        <v>108</v>
      </c>
      <c r="AK4244" s="3" t="s">
        <v>27</v>
      </c>
      <c r="AL4244" s="3">
        <v>896.41756799999996</v>
      </c>
    </row>
    <row r="4245" spans="34:38">
      <c r="AH4245" t="s">
        <v>2073</v>
      </c>
      <c r="AI4245" t="s">
        <v>67</v>
      </c>
      <c r="AJ4245" t="s">
        <v>66</v>
      </c>
      <c r="AK4245" s="3" t="s">
        <v>27</v>
      </c>
      <c r="AL4245" s="3">
        <v>-5365.5</v>
      </c>
    </row>
    <row r="4246" spans="34:38">
      <c r="AH4246" t="s">
        <v>2073</v>
      </c>
      <c r="AI4246" t="s">
        <v>67</v>
      </c>
      <c r="AJ4246" t="s">
        <v>72</v>
      </c>
      <c r="AK4246" s="3" t="s">
        <v>27</v>
      </c>
      <c r="AL4246" s="3">
        <v>-6868.2228599999999</v>
      </c>
    </row>
    <row r="4247" spans="34:38">
      <c r="AH4247" t="s">
        <v>2073</v>
      </c>
      <c r="AI4247" t="s">
        <v>67</v>
      </c>
      <c r="AJ4247" t="s">
        <v>108</v>
      </c>
      <c r="AK4247" s="3" t="s">
        <v>27</v>
      </c>
      <c r="AL4247" s="3">
        <v>-1502.7228600000001</v>
      </c>
    </row>
    <row r="4248" spans="34:38">
      <c r="AH4248" t="s">
        <v>2073</v>
      </c>
      <c r="AI4248" t="s">
        <v>68</v>
      </c>
      <c r="AJ4248" t="s">
        <v>66</v>
      </c>
      <c r="AK4248" s="3" t="s">
        <v>27</v>
      </c>
      <c r="AL4248" s="3">
        <v>-7257.3</v>
      </c>
    </row>
    <row r="4249" spans="34:38">
      <c r="AH4249" t="s">
        <v>2073</v>
      </c>
      <c r="AI4249" t="s">
        <v>68</v>
      </c>
      <c r="AJ4249" t="s">
        <v>72</v>
      </c>
      <c r="AK4249" s="3" t="s">
        <v>27</v>
      </c>
      <c r="AL4249" s="3">
        <v>-7004.2718880000002</v>
      </c>
    </row>
    <row r="4250" spans="34:38">
      <c r="AH4250" t="s">
        <v>2073</v>
      </c>
      <c r="AI4250" t="s">
        <v>68</v>
      </c>
      <c r="AJ4250" t="s">
        <v>108</v>
      </c>
      <c r="AK4250" s="3" t="s">
        <v>27</v>
      </c>
      <c r="AL4250" s="3">
        <v>253.02811199999999</v>
      </c>
    </row>
    <row r="4251" spans="34:38">
      <c r="AH4251" t="s">
        <v>2073</v>
      </c>
      <c r="AI4251" t="s">
        <v>65</v>
      </c>
      <c r="AJ4251" t="s">
        <v>113</v>
      </c>
      <c r="AK4251" s="3" t="s">
        <v>27</v>
      </c>
      <c r="AL4251" s="3">
        <v>3071.4634993690001</v>
      </c>
    </row>
    <row r="4252" spans="34:38">
      <c r="AH4252" t="s">
        <v>2073</v>
      </c>
      <c r="AI4252" t="s">
        <v>67</v>
      </c>
      <c r="AJ4252" t="s">
        <v>113</v>
      </c>
      <c r="AK4252" s="3" t="s">
        <v>27</v>
      </c>
      <c r="AL4252" s="3">
        <v>0</v>
      </c>
    </row>
    <row r="4253" spans="34:38">
      <c r="AH4253" t="s">
        <v>2073</v>
      </c>
      <c r="AI4253" t="s">
        <v>65</v>
      </c>
      <c r="AJ4253" t="s">
        <v>2303</v>
      </c>
      <c r="AK4253" s="3" t="s">
        <v>27</v>
      </c>
      <c r="AL4253" s="3">
        <v>-2720.1454310839999</v>
      </c>
    </row>
    <row r="4254" spans="34:38">
      <c r="AH4254" t="s">
        <v>2073</v>
      </c>
      <c r="AI4254" t="s">
        <v>67</v>
      </c>
      <c r="AJ4254" t="s">
        <v>2303</v>
      </c>
      <c r="AK4254" s="3" t="s">
        <v>27</v>
      </c>
      <c r="AL4254" s="3">
        <v>-1502.7228600000001</v>
      </c>
    </row>
    <row r="4255" spans="34:38">
      <c r="AH4255" t="s">
        <v>2073</v>
      </c>
      <c r="AI4255" t="s">
        <v>65</v>
      </c>
      <c r="AJ4255" t="s">
        <v>113</v>
      </c>
      <c r="AK4255" s="3" t="s">
        <v>20</v>
      </c>
      <c r="AL4255" s="3">
        <v>1918.4594970895</v>
      </c>
    </row>
    <row r="4256" spans="34:38">
      <c r="AH4256" t="s">
        <v>2074</v>
      </c>
      <c r="AI4256" t="s">
        <v>65</v>
      </c>
      <c r="AJ4256" t="s">
        <v>66</v>
      </c>
      <c r="AK4256" s="3" t="s">
        <v>27</v>
      </c>
      <c r="AL4256" s="3">
        <v>21490.799999999999</v>
      </c>
    </row>
    <row r="4257" spans="34:38">
      <c r="AH4257" t="s">
        <v>2074</v>
      </c>
      <c r="AI4257" t="s">
        <v>65</v>
      </c>
      <c r="AJ4257" t="s">
        <v>72</v>
      </c>
      <c r="AK4257" s="3" t="s">
        <v>27</v>
      </c>
      <c r="AL4257" s="3">
        <v>22426.061100999999</v>
      </c>
    </row>
    <row r="4258" spans="34:38">
      <c r="AH4258" t="s">
        <v>2074</v>
      </c>
      <c r="AI4258" t="s">
        <v>65</v>
      </c>
      <c r="AJ4258" t="s">
        <v>108</v>
      </c>
      <c r="AK4258" s="3" t="s">
        <v>27</v>
      </c>
      <c r="AL4258" s="3">
        <v>935.26110100000005</v>
      </c>
    </row>
    <row r="4259" spans="34:38">
      <c r="AH4259" t="s">
        <v>2074</v>
      </c>
      <c r="AI4259" t="s">
        <v>67</v>
      </c>
      <c r="AJ4259" t="s">
        <v>66</v>
      </c>
      <c r="AK4259" s="3" t="s">
        <v>27</v>
      </c>
      <c r="AL4259" s="3">
        <v>-5171.5</v>
      </c>
    </row>
    <row r="4260" spans="34:38">
      <c r="AH4260" t="s">
        <v>2074</v>
      </c>
      <c r="AI4260" t="s">
        <v>67</v>
      </c>
      <c r="AJ4260" t="s">
        <v>72</v>
      </c>
      <c r="AK4260" s="3" t="s">
        <v>27</v>
      </c>
      <c r="AL4260" s="3">
        <v>-6675.4026999999996</v>
      </c>
    </row>
    <row r="4261" spans="34:38">
      <c r="AH4261" t="s">
        <v>2074</v>
      </c>
      <c r="AI4261" t="s">
        <v>67</v>
      </c>
      <c r="AJ4261" t="s">
        <v>108</v>
      </c>
      <c r="AK4261" s="3" t="s">
        <v>27</v>
      </c>
      <c r="AL4261" s="3">
        <v>-1503.9027000000001</v>
      </c>
    </row>
    <row r="4262" spans="34:38">
      <c r="AH4262" t="s">
        <v>2074</v>
      </c>
      <c r="AI4262" t="s">
        <v>68</v>
      </c>
      <c r="AJ4262" t="s">
        <v>66</v>
      </c>
      <c r="AK4262" s="3" t="s">
        <v>27</v>
      </c>
      <c r="AL4262" s="3">
        <v>-7057.3</v>
      </c>
    </row>
    <row r="4263" spans="34:38">
      <c r="AH4263" t="s">
        <v>2074</v>
      </c>
      <c r="AI4263" t="s">
        <v>68</v>
      </c>
      <c r="AJ4263" t="s">
        <v>72</v>
      </c>
      <c r="AK4263" s="3" t="s">
        <v>27</v>
      </c>
      <c r="AL4263" s="3">
        <v>-6827.3890009999996</v>
      </c>
    </row>
    <row r="4264" spans="34:38">
      <c r="AH4264" t="s">
        <v>2074</v>
      </c>
      <c r="AI4264" t="s">
        <v>68</v>
      </c>
      <c r="AJ4264" t="s">
        <v>108</v>
      </c>
      <c r="AK4264" s="3" t="s">
        <v>27</v>
      </c>
      <c r="AL4264" s="3">
        <v>229.910999</v>
      </c>
    </row>
    <row r="4265" spans="34:38">
      <c r="AH4265" t="s">
        <v>2074</v>
      </c>
      <c r="AI4265" t="s">
        <v>65</v>
      </c>
      <c r="AJ4265" t="s">
        <v>113</v>
      </c>
      <c r="AK4265" s="3" t="s">
        <v>27</v>
      </c>
      <c r="AL4265" s="3">
        <v>3066.2559787810001</v>
      </c>
    </row>
    <row r="4266" spans="34:38">
      <c r="AH4266" t="s">
        <v>2074</v>
      </c>
      <c r="AI4266" t="s">
        <v>67</v>
      </c>
      <c r="AJ4266" t="s">
        <v>113</v>
      </c>
      <c r="AK4266" s="3" t="s">
        <v>27</v>
      </c>
      <c r="AL4266" s="3">
        <v>0</v>
      </c>
    </row>
    <row r="4267" spans="34:38">
      <c r="AH4267" t="s">
        <v>2074</v>
      </c>
      <c r="AI4267" t="s">
        <v>65</v>
      </c>
      <c r="AJ4267" t="s">
        <v>2303</v>
      </c>
      <c r="AK4267" s="3" t="s">
        <v>27</v>
      </c>
      <c r="AL4267" s="3">
        <v>-2658.2211207730002</v>
      </c>
    </row>
    <row r="4268" spans="34:38">
      <c r="AH4268" t="s">
        <v>2074</v>
      </c>
      <c r="AI4268" t="s">
        <v>67</v>
      </c>
      <c r="AJ4268" t="s">
        <v>2303</v>
      </c>
      <c r="AK4268" s="3" t="s">
        <v>27</v>
      </c>
      <c r="AL4268" s="3">
        <v>-1503.9027000000001</v>
      </c>
    </row>
    <row r="4269" spans="34:38">
      <c r="AH4269" t="s">
        <v>2074</v>
      </c>
      <c r="AI4269" t="s">
        <v>65</v>
      </c>
      <c r="AJ4269" t="s">
        <v>113</v>
      </c>
      <c r="AK4269" s="3" t="s">
        <v>20</v>
      </c>
      <c r="AL4269" s="3">
        <v>1912.7302091930001</v>
      </c>
    </row>
    <row r="4270" spans="34:38">
      <c r="AH4270" t="s">
        <v>2075</v>
      </c>
      <c r="AI4270" t="s">
        <v>65</v>
      </c>
      <c r="AJ4270" t="s">
        <v>66</v>
      </c>
      <c r="AK4270" s="3" t="s">
        <v>27</v>
      </c>
      <c r="AL4270" s="3">
        <v>22343.8</v>
      </c>
    </row>
    <row r="4271" spans="34:38">
      <c r="AH4271" t="s">
        <v>2075</v>
      </c>
      <c r="AI4271" t="s">
        <v>65</v>
      </c>
      <c r="AJ4271" t="s">
        <v>72</v>
      </c>
      <c r="AK4271" s="3" t="s">
        <v>27</v>
      </c>
      <c r="AL4271" s="3">
        <v>23223.806206000001</v>
      </c>
    </row>
    <row r="4272" spans="34:38">
      <c r="AH4272" t="s">
        <v>2075</v>
      </c>
      <c r="AI4272" t="s">
        <v>65</v>
      </c>
      <c r="AJ4272" t="s">
        <v>108</v>
      </c>
      <c r="AK4272" s="3" t="s">
        <v>27</v>
      </c>
      <c r="AL4272" s="3">
        <v>880.00620600000002</v>
      </c>
    </row>
    <row r="4273" spans="34:38">
      <c r="AH4273" t="s">
        <v>2075</v>
      </c>
      <c r="AI4273" t="s">
        <v>67</v>
      </c>
      <c r="AJ4273" t="s">
        <v>66</v>
      </c>
      <c r="AK4273" s="3" t="s">
        <v>27</v>
      </c>
      <c r="AL4273" s="3">
        <v>-6570.5</v>
      </c>
    </row>
    <row r="4274" spans="34:38">
      <c r="AH4274" t="s">
        <v>2075</v>
      </c>
      <c r="AI4274" t="s">
        <v>67</v>
      </c>
      <c r="AJ4274" t="s">
        <v>72</v>
      </c>
      <c r="AK4274" s="3" t="s">
        <v>27</v>
      </c>
      <c r="AL4274" s="3">
        <v>-7982.8968249999998</v>
      </c>
    </row>
    <row r="4275" spans="34:38">
      <c r="AH4275" t="s">
        <v>2075</v>
      </c>
      <c r="AI4275" t="s">
        <v>67</v>
      </c>
      <c r="AJ4275" t="s">
        <v>108</v>
      </c>
      <c r="AK4275" s="3" t="s">
        <v>27</v>
      </c>
      <c r="AL4275" s="3">
        <v>-1412.396825</v>
      </c>
    </row>
    <row r="4276" spans="34:38">
      <c r="AH4276" t="s">
        <v>2075</v>
      </c>
      <c r="AI4276" t="s">
        <v>68</v>
      </c>
      <c r="AJ4276" t="s">
        <v>66</v>
      </c>
      <c r="AK4276" s="3" t="s">
        <v>27</v>
      </c>
      <c r="AL4276" s="3">
        <v>-6461.3</v>
      </c>
    </row>
    <row r="4277" spans="34:38">
      <c r="AH4277" t="s">
        <v>2075</v>
      </c>
      <c r="AI4277" t="s">
        <v>68</v>
      </c>
      <c r="AJ4277" t="s">
        <v>72</v>
      </c>
      <c r="AK4277" s="3" t="s">
        <v>27</v>
      </c>
      <c r="AL4277" s="3">
        <v>-6281.3216210000001</v>
      </c>
    </row>
    <row r="4278" spans="34:38">
      <c r="AH4278" t="s">
        <v>2075</v>
      </c>
      <c r="AI4278" t="s">
        <v>68</v>
      </c>
      <c r="AJ4278" t="s">
        <v>108</v>
      </c>
      <c r="AK4278" s="3" t="s">
        <v>27</v>
      </c>
      <c r="AL4278" s="3">
        <v>179.97837899999999</v>
      </c>
    </row>
    <row r="4279" spans="34:38">
      <c r="AH4279" t="s">
        <v>2075</v>
      </c>
      <c r="AI4279" t="s">
        <v>65</v>
      </c>
      <c r="AJ4279" t="s">
        <v>113</v>
      </c>
      <c r="AK4279" s="3" t="s">
        <v>27</v>
      </c>
      <c r="AL4279" s="3">
        <v>3035.1597291789999</v>
      </c>
    </row>
    <row r="4280" spans="34:38">
      <c r="AH4280" t="s">
        <v>2075</v>
      </c>
      <c r="AI4280" t="s">
        <v>67</v>
      </c>
      <c r="AJ4280" t="s">
        <v>113</v>
      </c>
      <c r="AK4280" s="3" t="s">
        <v>27</v>
      </c>
      <c r="AL4280" s="3">
        <v>0</v>
      </c>
    </row>
    <row r="4281" spans="34:38">
      <c r="AH4281" t="s">
        <v>2075</v>
      </c>
      <c r="AI4281" t="s">
        <v>65</v>
      </c>
      <c r="AJ4281" t="s">
        <v>2303</v>
      </c>
      <c r="AK4281" s="3" t="s">
        <v>27</v>
      </c>
      <c r="AL4281" s="3">
        <v>-2672.0569253590002</v>
      </c>
    </row>
    <row r="4282" spans="34:38">
      <c r="AH4282" t="s">
        <v>2075</v>
      </c>
      <c r="AI4282" t="s">
        <v>67</v>
      </c>
      <c r="AJ4282" t="s">
        <v>2303</v>
      </c>
      <c r="AK4282" s="3" t="s">
        <v>27</v>
      </c>
      <c r="AL4282" s="3">
        <v>-1412.396825</v>
      </c>
    </row>
    <row r="4283" spans="34:38">
      <c r="AH4283" t="s">
        <v>2075</v>
      </c>
      <c r="AI4283" t="s">
        <v>65</v>
      </c>
      <c r="AJ4283" t="s">
        <v>113</v>
      </c>
      <c r="AK4283" s="3" t="s">
        <v>20</v>
      </c>
      <c r="AL4283" s="3">
        <v>1881.1121922974</v>
      </c>
    </row>
    <row r="4284" spans="34:38">
      <c r="AH4284" t="s">
        <v>2076</v>
      </c>
      <c r="AI4284" t="s">
        <v>65</v>
      </c>
      <c r="AJ4284" t="s">
        <v>66</v>
      </c>
      <c r="AK4284" s="3" t="s">
        <v>27</v>
      </c>
      <c r="AL4284" s="3">
        <v>21191.8</v>
      </c>
    </row>
    <row r="4285" spans="34:38">
      <c r="AH4285" t="s">
        <v>2076</v>
      </c>
      <c r="AI4285" t="s">
        <v>65</v>
      </c>
      <c r="AJ4285" t="s">
        <v>72</v>
      </c>
      <c r="AK4285" s="3" t="s">
        <v>27</v>
      </c>
      <c r="AL4285" s="3">
        <v>22182.065173999999</v>
      </c>
    </row>
    <row r="4286" spans="34:38">
      <c r="AH4286" t="s">
        <v>2076</v>
      </c>
      <c r="AI4286" t="s">
        <v>65</v>
      </c>
      <c r="AJ4286" t="s">
        <v>108</v>
      </c>
      <c r="AK4286" s="3" t="s">
        <v>27</v>
      </c>
      <c r="AL4286" s="3">
        <v>990.265174</v>
      </c>
    </row>
    <row r="4287" spans="34:38">
      <c r="AH4287" t="s">
        <v>2076</v>
      </c>
      <c r="AI4287" t="s">
        <v>67</v>
      </c>
      <c r="AJ4287" t="s">
        <v>66</v>
      </c>
      <c r="AK4287" s="3" t="s">
        <v>27</v>
      </c>
      <c r="AL4287" s="3">
        <v>-4765.5</v>
      </c>
    </row>
    <row r="4288" spans="34:38">
      <c r="AH4288" t="s">
        <v>2076</v>
      </c>
      <c r="AI4288" t="s">
        <v>67</v>
      </c>
      <c r="AJ4288" t="s">
        <v>72</v>
      </c>
      <c r="AK4288" s="3" t="s">
        <v>27</v>
      </c>
      <c r="AL4288" s="3">
        <v>-6329.0131650000003</v>
      </c>
    </row>
    <row r="4289" spans="34:38">
      <c r="AH4289" t="s">
        <v>2076</v>
      </c>
      <c r="AI4289" t="s">
        <v>67</v>
      </c>
      <c r="AJ4289" t="s">
        <v>108</v>
      </c>
      <c r="AK4289" s="3" t="s">
        <v>27</v>
      </c>
      <c r="AL4289" s="3">
        <v>-1563.5131650000001</v>
      </c>
    </row>
    <row r="4290" spans="34:38">
      <c r="AH4290" t="s">
        <v>2076</v>
      </c>
      <c r="AI4290" t="s">
        <v>68</v>
      </c>
      <c r="AJ4290" t="s">
        <v>66</v>
      </c>
      <c r="AK4290" s="3" t="s">
        <v>27</v>
      </c>
      <c r="AL4290" s="3">
        <v>-7064.3</v>
      </c>
    </row>
    <row r="4291" spans="34:38">
      <c r="AH4291" t="s">
        <v>2076</v>
      </c>
      <c r="AI4291" t="s">
        <v>68</v>
      </c>
      <c r="AJ4291" t="s">
        <v>72</v>
      </c>
      <c r="AK4291" s="3" t="s">
        <v>27</v>
      </c>
      <c r="AL4291" s="3">
        <v>-6841.9459489999999</v>
      </c>
    </row>
    <row r="4292" spans="34:38">
      <c r="AH4292" t="s">
        <v>2076</v>
      </c>
      <c r="AI4292" t="s">
        <v>68</v>
      </c>
      <c r="AJ4292" t="s">
        <v>108</v>
      </c>
      <c r="AK4292" s="3" t="s">
        <v>27</v>
      </c>
      <c r="AL4292" s="3">
        <v>222.354051</v>
      </c>
    </row>
    <row r="4293" spans="34:38">
      <c r="AH4293" t="s">
        <v>2076</v>
      </c>
      <c r="AI4293" t="s">
        <v>65</v>
      </c>
      <c r="AJ4293" t="s">
        <v>113</v>
      </c>
      <c r="AK4293" s="3" t="s">
        <v>27</v>
      </c>
      <c r="AL4293" s="3">
        <v>3085.4954167720002</v>
      </c>
    </row>
    <row r="4294" spans="34:38">
      <c r="AH4294" t="s">
        <v>2076</v>
      </c>
      <c r="AI4294" t="s">
        <v>67</v>
      </c>
      <c r="AJ4294" t="s">
        <v>113</v>
      </c>
      <c r="AK4294" s="3" t="s">
        <v>27</v>
      </c>
      <c r="AL4294" s="3">
        <v>0</v>
      </c>
    </row>
    <row r="4295" spans="34:38">
      <c r="AH4295" t="s">
        <v>2076</v>
      </c>
      <c r="AI4295" t="s">
        <v>65</v>
      </c>
      <c r="AJ4295" t="s">
        <v>2303</v>
      </c>
      <c r="AK4295" s="3" t="s">
        <v>27</v>
      </c>
      <c r="AL4295" s="3">
        <v>-2596.472558125</v>
      </c>
    </row>
    <row r="4296" spans="34:38">
      <c r="AH4296" t="s">
        <v>2076</v>
      </c>
      <c r="AI4296" t="s">
        <v>67</v>
      </c>
      <c r="AJ4296" t="s">
        <v>2303</v>
      </c>
      <c r="AK4296" s="3" t="s">
        <v>27</v>
      </c>
      <c r="AL4296" s="3">
        <v>-1563.5131650000001</v>
      </c>
    </row>
    <row r="4297" spans="34:38">
      <c r="AH4297" t="s">
        <v>2076</v>
      </c>
      <c r="AI4297" t="s">
        <v>65</v>
      </c>
      <c r="AJ4297" t="s">
        <v>113</v>
      </c>
      <c r="AK4297" s="3" t="s">
        <v>20</v>
      </c>
      <c r="AL4297" s="3">
        <v>1929.8825779778001</v>
      </c>
    </row>
    <row r="4298" spans="34:38">
      <c r="AH4298" t="s">
        <v>2077</v>
      </c>
      <c r="AI4298" t="s">
        <v>65</v>
      </c>
      <c r="AJ4298" t="s">
        <v>66</v>
      </c>
      <c r="AK4298" s="3" t="s">
        <v>27</v>
      </c>
      <c r="AL4298" s="3">
        <v>21543.8</v>
      </c>
    </row>
    <row r="4299" spans="34:38">
      <c r="AH4299" t="s">
        <v>2077</v>
      </c>
      <c r="AI4299" t="s">
        <v>65</v>
      </c>
      <c r="AJ4299" t="s">
        <v>72</v>
      </c>
      <c r="AK4299" s="3" t="s">
        <v>27</v>
      </c>
      <c r="AL4299" s="3">
        <v>22384.550629000001</v>
      </c>
    </row>
    <row r="4300" spans="34:38">
      <c r="AH4300" t="s">
        <v>2077</v>
      </c>
      <c r="AI4300" t="s">
        <v>65</v>
      </c>
      <c r="AJ4300" t="s">
        <v>108</v>
      </c>
      <c r="AK4300" s="3" t="s">
        <v>27</v>
      </c>
      <c r="AL4300" s="3">
        <v>840.750629</v>
      </c>
    </row>
    <row r="4301" spans="34:38">
      <c r="AH4301" t="s">
        <v>2077</v>
      </c>
      <c r="AI4301" t="s">
        <v>67</v>
      </c>
      <c r="AJ4301" t="s">
        <v>66</v>
      </c>
      <c r="AK4301" s="3" t="s">
        <v>27</v>
      </c>
      <c r="AL4301" s="3">
        <v>-6069.5</v>
      </c>
    </row>
    <row r="4302" spans="34:38">
      <c r="AH4302" t="s">
        <v>2077</v>
      </c>
      <c r="AI4302" t="s">
        <v>67</v>
      </c>
      <c r="AJ4302" t="s">
        <v>72</v>
      </c>
      <c r="AK4302" s="3" t="s">
        <v>27</v>
      </c>
      <c r="AL4302" s="3">
        <v>-7411.57701</v>
      </c>
    </row>
    <row r="4303" spans="34:38">
      <c r="AH4303" t="s">
        <v>2077</v>
      </c>
      <c r="AI4303" t="s">
        <v>67</v>
      </c>
      <c r="AJ4303" t="s">
        <v>108</v>
      </c>
      <c r="AK4303" s="3" t="s">
        <v>27</v>
      </c>
      <c r="AL4303" s="3">
        <v>-1342.07701</v>
      </c>
    </row>
    <row r="4304" spans="34:38">
      <c r="AH4304" t="s">
        <v>2077</v>
      </c>
      <c r="AI4304" t="s">
        <v>68</v>
      </c>
      <c r="AJ4304" t="s">
        <v>66</v>
      </c>
      <c r="AK4304" s="3" t="s">
        <v>27</v>
      </c>
      <c r="AL4304" s="3">
        <v>-6462.3</v>
      </c>
    </row>
    <row r="4305" spans="34:38">
      <c r="AH4305" t="s">
        <v>2077</v>
      </c>
      <c r="AI4305" t="s">
        <v>68</v>
      </c>
      <c r="AJ4305" t="s">
        <v>72</v>
      </c>
      <c r="AK4305" s="3" t="s">
        <v>27</v>
      </c>
      <c r="AL4305" s="3">
        <v>-6300.804099</v>
      </c>
    </row>
    <row r="4306" spans="34:38">
      <c r="AH4306" t="s">
        <v>2077</v>
      </c>
      <c r="AI4306" t="s">
        <v>68</v>
      </c>
      <c r="AJ4306" t="s">
        <v>108</v>
      </c>
      <c r="AK4306" s="3" t="s">
        <v>27</v>
      </c>
      <c r="AL4306" s="3">
        <v>161.495901</v>
      </c>
    </row>
    <row r="4307" spans="34:38">
      <c r="AH4307" t="s">
        <v>2077</v>
      </c>
      <c r="AI4307" t="s">
        <v>65</v>
      </c>
      <c r="AJ4307" t="s">
        <v>113</v>
      </c>
      <c r="AK4307" s="3" t="s">
        <v>27</v>
      </c>
      <c r="AL4307" s="3">
        <v>2956.0940704469999</v>
      </c>
    </row>
    <row r="4308" spans="34:38">
      <c r="AH4308" t="s">
        <v>2077</v>
      </c>
      <c r="AI4308" t="s">
        <v>67</v>
      </c>
      <c r="AJ4308" t="s">
        <v>113</v>
      </c>
      <c r="AK4308" s="3" t="s">
        <v>27</v>
      </c>
      <c r="AL4308" s="3">
        <v>0</v>
      </c>
    </row>
    <row r="4309" spans="34:38">
      <c r="AH4309" t="s">
        <v>2077</v>
      </c>
      <c r="AI4309" t="s">
        <v>65</v>
      </c>
      <c r="AJ4309" t="s">
        <v>2303</v>
      </c>
      <c r="AK4309" s="3" t="s">
        <v>27</v>
      </c>
      <c r="AL4309" s="3">
        <v>-2611.702102148</v>
      </c>
    </row>
    <row r="4310" spans="34:38">
      <c r="AH4310" t="s">
        <v>2077</v>
      </c>
      <c r="AI4310" t="s">
        <v>67</v>
      </c>
      <c r="AJ4310" t="s">
        <v>2303</v>
      </c>
      <c r="AK4310" s="3" t="s">
        <v>27</v>
      </c>
      <c r="AL4310" s="3">
        <v>-1342.07701</v>
      </c>
    </row>
    <row r="4311" spans="34:38">
      <c r="AH4311" t="s">
        <v>2077</v>
      </c>
      <c r="AI4311" t="s">
        <v>65</v>
      </c>
      <c r="AJ4311" t="s">
        <v>113</v>
      </c>
      <c r="AK4311" s="3" t="s">
        <v>20</v>
      </c>
      <c r="AL4311" s="3">
        <v>1799.9594643713001</v>
      </c>
    </row>
    <row r="4312" spans="34:38">
      <c r="AH4312" t="s">
        <v>2078</v>
      </c>
      <c r="AI4312" t="s">
        <v>65</v>
      </c>
      <c r="AJ4312" t="s">
        <v>66</v>
      </c>
      <c r="AK4312" s="3" t="s">
        <v>27</v>
      </c>
      <c r="AL4312" s="3">
        <v>21520.799999999999</v>
      </c>
    </row>
    <row r="4313" spans="34:38">
      <c r="AH4313" t="s">
        <v>2078</v>
      </c>
      <c r="AI4313" t="s">
        <v>65</v>
      </c>
      <c r="AJ4313" t="s">
        <v>72</v>
      </c>
      <c r="AK4313" s="3" t="s">
        <v>27</v>
      </c>
      <c r="AL4313" s="3">
        <v>22401.052941000002</v>
      </c>
    </row>
    <row r="4314" spans="34:38">
      <c r="AH4314" t="s">
        <v>2078</v>
      </c>
      <c r="AI4314" t="s">
        <v>65</v>
      </c>
      <c r="AJ4314" t="s">
        <v>108</v>
      </c>
      <c r="AK4314" s="3" t="s">
        <v>27</v>
      </c>
      <c r="AL4314" s="3">
        <v>880.25294099999996</v>
      </c>
    </row>
    <row r="4315" spans="34:38">
      <c r="AH4315" t="s">
        <v>2078</v>
      </c>
      <c r="AI4315" t="s">
        <v>67</v>
      </c>
      <c r="AJ4315" t="s">
        <v>66</v>
      </c>
      <c r="AK4315" s="3" t="s">
        <v>27</v>
      </c>
      <c r="AL4315" s="3">
        <v>-5494.5</v>
      </c>
    </row>
    <row r="4316" spans="34:38">
      <c r="AH4316" t="s">
        <v>2078</v>
      </c>
      <c r="AI4316" t="s">
        <v>67</v>
      </c>
      <c r="AJ4316" t="s">
        <v>72</v>
      </c>
      <c r="AK4316" s="3" t="s">
        <v>27</v>
      </c>
      <c r="AL4316" s="3">
        <v>-7026.1813650000004</v>
      </c>
    </row>
    <row r="4317" spans="34:38">
      <c r="AH4317" t="s">
        <v>2078</v>
      </c>
      <c r="AI4317" t="s">
        <v>67</v>
      </c>
      <c r="AJ4317" t="s">
        <v>108</v>
      </c>
      <c r="AK4317" s="3" t="s">
        <v>27</v>
      </c>
      <c r="AL4317" s="3">
        <v>-1531.6813649999999</v>
      </c>
    </row>
    <row r="4318" spans="34:38">
      <c r="AH4318" t="s">
        <v>2078</v>
      </c>
      <c r="AI4318" t="s">
        <v>68</v>
      </c>
      <c r="AJ4318" t="s">
        <v>66</v>
      </c>
      <c r="AK4318" s="3" t="s">
        <v>27</v>
      </c>
      <c r="AL4318" s="3">
        <v>-6666.3</v>
      </c>
    </row>
    <row r="4319" spans="34:38">
      <c r="AH4319" t="s">
        <v>2078</v>
      </c>
      <c r="AI4319" t="s">
        <v>68</v>
      </c>
      <c r="AJ4319" t="s">
        <v>72</v>
      </c>
      <c r="AK4319" s="3" t="s">
        <v>27</v>
      </c>
      <c r="AL4319" s="3">
        <v>-6372.7364360000001</v>
      </c>
    </row>
    <row r="4320" spans="34:38">
      <c r="AH4320" t="s">
        <v>2078</v>
      </c>
      <c r="AI4320" t="s">
        <v>68</v>
      </c>
      <c r="AJ4320" t="s">
        <v>108</v>
      </c>
      <c r="AK4320" s="3" t="s">
        <v>27</v>
      </c>
      <c r="AL4320" s="3">
        <v>293.56356399999999</v>
      </c>
    </row>
    <row r="4321" spans="34:38">
      <c r="AH4321" t="s">
        <v>2078</v>
      </c>
      <c r="AI4321" t="s">
        <v>65</v>
      </c>
      <c r="AJ4321" t="s">
        <v>113</v>
      </c>
      <c r="AK4321" s="3" t="s">
        <v>27</v>
      </c>
      <c r="AL4321" s="3">
        <v>2956.848711357</v>
      </c>
    </row>
    <row r="4322" spans="34:38">
      <c r="AH4322" t="s">
        <v>2078</v>
      </c>
      <c r="AI4322" t="s">
        <v>67</v>
      </c>
      <c r="AJ4322" t="s">
        <v>113</v>
      </c>
      <c r="AK4322" s="3" t="s">
        <v>27</v>
      </c>
      <c r="AL4322" s="3">
        <v>0</v>
      </c>
    </row>
    <row r="4323" spans="34:38">
      <c r="AH4323" t="s">
        <v>2078</v>
      </c>
      <c r="AI4323" t="s">
        <v>65</v>
      </c>
      <c r="AJ4323" t="s">
        <v>2303</v>
      </c>
      <c r="AK4323" s="3" t="s">
        <v>27</v>
      </c>
      <c r="AL4323" s="3">
        <v>-2556.7988298589999</v>
      </c>
    </row>
    <row r="4324" spans="34:38">
      <c r="AH4324" t="s">
        <v>2078</v>
      </c>
      <c r="AI4324" t="s">
        <v>67</v>
      </c>
      <c r="AJ4324" t="s">
        <v>2303</v>
      </c>
      <c r="AK4324" s="3" t="s">
        <v>27</v>
      </c>
      <c r="AL4324" s="3">
        <v>-1531.6813649999999</v>
      </c>
    </row>
    <row r="4325" spans="34:38">
      <c r="AH4325" t="s">
        <v>2078</v>
      </c>
      <c r="AI4325" t="s">
        <v>65</v>
      </c>
      <c r="AJ4325" t="s">
        <v>113</v>
      </c>
      <c r="AK4325" s="3" t="s">
        <v>20</v>
      </c>
      <c r="AL4325" s="3">
        <v>1800.1923379652001</v>
      </c>
    </row>
    <row r="4326" spans="34:38">
      <c r="AH4326" t="s">
        <v>2079</v>
      </c>
      <c r="AI4326" t="s">
        <v>65</v>
      </c>
      <c r="AJ4326" t="s">
        <v>66</v>
      </c>
      <c r="AK4326" s="3" t="s">
        <v>27</v>
      </c>
      <c r="AL4326" s="3">
        <v>20520.8</v>
      </c>
    </row>
    <row r="4327" spans="34:38">
      <c r="AH4327" t="s">
        <v>2079</v>
      </c>
      <c r="AI4327" t="s">
        <v>65</v>
      </c>
      <c r="AJ4327" t="s">
        <v>72</v>
      </c>
      <c r="AK4327" s="3" t="s">
        <v>27</v>
      </c>
      <c r="AL4327" s="3">
        <v>21363.078508999999</v>
      </c>
    </row>
    <row r="4328" spans="34:38">
      <c r="AH4328" t="s">
        <v>2079</v>
      </c>
      <c r="AI4328" t="s">
        <v>65</v>
      </c>
      <c r="AJ4328" t="s">
        <v>108</v>
      </c>
      <c r="AK4328" s="3" t="s">
        <v>27</v>
      </c>
      <c r="AL4328" s="3">
        <v>842.27850899999999</v>
      </c>
    </row>
    <row r="4329" spans="34:38">
      <c r="AH4329" t="s">
        <v>2079</v>
      </c>
      <c r="AI4329" t="s">
        <v>67</v>
      </c>
      <c r="AJ4329" t="s">
        <v>66</v>
      </c>
      <c r="AK4329" s="3" t="s">
        <v>27</v>
      </c>
      <c r="AL4329" s="3">
        <v>-4917.5</v>
      </c>
    </row>
    <row r="4330" spans="34:38">
      <c r="AH4330" t="s">
        <v>2079</v>
      </c>
      <c r="AI4330" t="s">
        <v>67</v>
      </c>
      <c r="AJ4330" t="s">
        <v>72</v>
      </c>
      <c r="AK4330" s="3" t="s">
        <v>27</v>
      </c>
      <c r="AL4330" s="3">
        <v>-6363.3406199999999</v>
      </c>
    </row>
    <row r="4331" spans="34:38">
      <c r="AH4331" t="s">
        <v>2079</v>
      </c>
      <c r="AI4331" t="s">
        <v>67</v>
      </c>
      <c r="AJ4331" t="s">
        <v>108</v>
      </c>
      <c r="AK4331" s="3" t="s">
        <v>27</v>
      </c>
      <c r="AL4331" s="3">
        <v>-1445.8406199999999</v>
      </c>
    </row>
    <row r="4332" spans="34:38">
      <c r="AH4332" t="s">
        <v>2079</v>
      </c>
      <c r="AI4332" t="s">
        <v>68</v>
      </c>
      <c r="AJ4332" t="s">
        <v>66</v>
      </c>
      <c r="AK4332" s="3" t="s">
        <v>27</v>
      </c>
      <c r="AL4332" s="3">
        <v>-6343.3</v>
      </c>
    </row>
    <row r="4333" spans="34:38">
      <c r="AH4333" t="s">
        <v>2079</v>
      </c>
      <c r="AI4333" t="s">
        <v>68</v>
      </c>
      <c r="AJ4333" t="s">
        <v>72</v>
      </c>
      <c r="AK4333" s="3" t="s">
        <v>27</v>
      </c>
      <c r="AL4333" s="3">
        <v>-6082.4955090000003</v>
      </c>
    </row>
    <row r="4334" spans="34:38">
      <c r="AH4334" t="s">
        <v>2079</v>
      </c>
      <c r="AI4334" t="s">
        <v>68</v>
      </c>
      <c r="AJ4334" t="s">
        <v>108</v>
      </c>
      <c r="AK4334" s="3" t="s">
        <v>27</v>
      </c>
      <c r="AL4334" s="3">
        <v>260.80449099999998</v>
      </c>
    </row>
    <row r="4335" spans="34:38">
      <c r="AH4335" t="s">
        <v>2079</v>
      </c>
      <c r="AI4335" t="s">
        <v>65</v>
      </c>
      <c r="AJ4335" t="s">
        <v>113</v>
      </c>
      <c r="AK4335" s="3" t="s">
        <v>27</v>
      </c>
      <c r="AL4335" s="3">
        <v>2917.4035807599998</v>
      </c>
    </row>
    <row r="4336" spans="34:38">
      <c r="AH4336" t="s">
        <v>2079</v>
      </c>
      <c r="AI4336" t="s">
        <v>67</v>
      </c>
      <c r="AJ4336" t="s">
        <v>113</v>
      </c>
      <c r="AK4336" s="3" t="s">
        <v>27</v>
      </c>
      <c r="AL4336" s="3">
        <v>0</v>
      </c>
    </row>
    <row r="4337" spans="34:38">
      <c r="AH4337" t="s">
        <v>2079</v>
      </c>
      <c r="AI4337" t="s">
        <v>65</v>
      </c>
      <c r="AJ4337" t="s">
        <v>2303</v>
      </c>
      <c r="AK4337" s="3" t="s">
        <v>27</v>
      </c>
      <c r="AL4337" s="3">
        <v>-2560.237354249</v>
      </c>
    </row>
    <row r="4338" spans="34:38">
      <c r="AH4338" t="s">
        <v>2079</v>
      </c>
      <c r="AI4338" t="s">
        <v>67</v>
      </c>
      <c r="AJ4338" t="s">
        <v>2303</v>
      </c>
      <c r="AK4338" s="3" t="s">
        <v>27</v>
      </c>
      <c r="AL4338" s="3">
        <v>-1445.8406199999999</v>
      </c>
    </row>
    <row r="4339" spans="34:38">
      <c r="AH4339" t="s">
        <v>2079</v>
      </c>
      <c r="AI4339" t="s">
        <v>65</v>
      </c>
      <c r="AJ4339" t="s">
        <v>113</v>
      </c>
      <c r="AK4339" s="3" t="s">
        <v>20</v>
      </c>
      <c r="AL4339" s="3">
        <v>1760.2254400685999</v>
      </c>
    </row>
    <row r="4340" spans="34:38">
      <c r="AH4340" t="s">
        <v>2080</v>
      </c>
      <c r="AI4340" t="s">
        <v>67</v>
      </c>
      <c r="AJ4340" t="s">
        <v>66</v>
      </c>
      <c r="AK4340" s="3" t="s">
        <v>27</v>
      </c>
      <c r="AL4340" s="3">
        <v>-6337.5</v>
      </c>
    </row>
    <row r="4341" spans="34:38">
      <c r="AH4341" t="s">
        <v>2080</v>
      </c>
      <c r="AI4341" t="s">
        <v>67</v>
      </c>
      <c r="AJ4341" t="s">
        <v>72</v>
      </c>
      <c r="AK4341" s="3" t="s">
        <v>27</v>
      </c>
      <c r="AL4341" s="3">
        <v>-7949.6905999999999</v>
      </c>
    </row>
    <row r="4342" spans="34:38">
      <c r="AH4342" t="s">
        <v>2080</v>
      </c>
      <c r="AI4342" t="s">
        <v>67</v>
      </c>
      <c r="AJ4342" t="s">
        <v>108</v>
      </c>
      <c r="AK4342" s="3" t="s">
        <v>27</v>
      </c>
      <c r="AL4342" s="3">
        <v>-1612.1905999999999</v>
      </c>
    </row>
    <row r="4343" spans="34:38">
      <c r="AH4343" t="s">
        <v>2080</v>
      </c>
      <c r="AI4343" t="s">
        <v>68</v>
      </c>
      <c r="AJ4343" t="s">
        <v>66</v>
      </c>
      <c r="AK4343" s="3" t="s">
        <v>27</v>
      </c>
      <c r="AL4343" s="3">
        <v>-5664.3</v>
      </c>
    </row>
    <row r="4344" spans="34:38">
      <c r="AH4344" t="s">
        <v>2080</v>
      </c>
      <c r="AI4344" t="s">
        <v>68</v>
      </c>
      <c r="AJ4344" t="s">
        <v>72</v>
      </c>
      <c r="AK4344" s="3" t="s">
        <v>27</v>
      </c>
      <c r="AL4344" s="3">
        <v>-5345.2626460000001</v>
      </c>
    </row>
    <row r="4345" spans="34:38">
      <c r="AH4345" t="s">
        <v>2080</v>
      </c>
      <c r="AI4345" t="s">
        <v>68</v>
      </c>
      <c r="AJ4345" t="s">
        <v>108</v>
      </c>
      <c r="AK4345" s="3" t="s">
        <v>27</v>
      </c>
      <c r="AL4345" s="3">
        <v>319.03735399999999</v>
      </c>
    </row>
    <row r="4346" spans="34:38">
      <c r="AH4346" t="s">
        <v>2080</v>
      </c>
      <c r="AI4346" t="s">
        <v>65</v>
      </c>
      <c r="AJ4346" t="s">
        <v>113</v>
      </c>
      <c r="AK4346" s="3" t="s">
        <v>27</v>
      </c>
      <c r="AL4346" s="3">
        <v>3039.1575173159999</v>
      </c>
    </row>
    <row r="4347" spans="34:38">
      <c r="AH4347" t="s">
        <v>2080</v>
      </c>
      <c r="AI4347" t="s">
        <v>67</v>
      </c>
      <c r="AJ4347" t="s">
        <v>113</v>
      </c>
      <c r="AK4347" s="3" t="s">
        <v>27</v>
      </c>
      <c r="AL4347" s="3">
        <v>0</v>
      </c>
    </row>
    <row r="4348" spans="34:38">
      <c r="AH4348" t="s">
        <v>2080</v>
      </c>
      <c r="AI4348" t="s">
        <v>65</v>
      </c>
      <c r="AJ4348" t="s">
        <v>2303</v>
      </c>
      <c r="AK4348" s="3" t="s">
        <v>27</v>
      </c>
      <c r="AL4348" s="3">
        <v>-2564.3093777929998</v>
      </c>
    </row>
    <row r="4349" spans="34:38">
      <c r="AH4349" t="s">
        <v>2080</v>
      </c>
      <c r="AI4349" t="s">
        <v>67</v>
      </c>
      <c r="AJ4349" t="s">
        <v>2303</v>
      </c>
      <c r="AK4349" s="3" t="s">
        <v>27</v>
      </c>
      <c r="AL4349" s="3">
        <v>-1612.1905999999999</v>
      </c>
    </row>
    <row r="4350" spans="34:38">
      <c r="AH4350" t="s">
        <v>2080</v>
      </c>
      <c r="AI4350" t="s">
        <v>65</v>
      </c>
      <c r="AJ4350" t="s">
        <v>113</v>
      </c>
      <c r="AK4350" s="3" t="s">
        <v>20</v>
      </c>
      <c r="AL4350" s="3">
        <v>1881.4576093145999</v>
      </c>
    </row>
    <row r="4351" spans="34:38">
      <c r="AH4351" t="s">
        <v>2080</v>
      </c>
      <c r="AI4351" t="s">
        <v>65</v>
      </c>
      <c r="AJ4351" t="s">
        <v>66</v>
      </c>
      <c r="AK4351" s="3" t="s">
        <v>27</v>
      </c>
      <c r="AL4351" s="3">
        <v>21140.799999999999</v>
      </c>
    </row>
    <row r="4352" spans="34:38">
      <c r="AH4352" t="s">
        <v>2080</v>
      </c>
      <c r="AI4352" t="s">
        <v>65</v>
      </c>
      <c r="AJ4352" t="s">
        <v>72</v>
      </c>
      <c r="AK4352" s="3" t="s">
        <v>27</v>
      </c>
      <c r="AL4352" s="3">
        <v>22101.687376000002</v>
      </c>
    </row>
    <row r="4353" spans="34:38">
      <c r="AH4353" t="s">
        <v>2080</v>
      </c>
      <c r="AI4353" t="s">
        <v>65</v>
      </c>
      <c r="AJ4353" t="s">
        <v>108</v>
      </c>
      <c r="AK4353" s="3" t="s">
        <v>27</v>
      </c>
      <c r="AL4353" s="3">
        <v>960.88737600000002</v>
      </c>
    </row>
    <row r="4354" spans="34:38">
      <c r="AH4354" t="s">
        <v>2081</v>
      </c>
      <c r="AI4354" t="s">
        <v>65</v>
      </c>
      <c r="AJ4354" t="s">
        <v>66</v>
      </c>
      <c r="AK4354" s="3" t="s">
        <v>27</v>
      </c>
      <c r="AL4354" s="3">
        <v>21700.799999999999</v>
      </c>
    </row>
    <row r="4355" spans="34:38">
      <c r="AH4355" t="s">
        <v>2081</v>
      </c>
      <c r="AI4355" t="s">
        <v>65</v>
      </c>
      <c r="AJ4355" t="s">
        <v>72</v>
      </c>
      <c r="AK4355" s="3" t="s">
        <v>27</v>
      </c>
      <c r="AL4355" s="3">
        <v>22584.696115999999</v>
      </c>
    </row>
    <row r="4356" spans="34:38">
      <c r="AH4356" t="s">
        <v>2081</v>
      </c>
      <c r="AI4356" t="s">
        <v>65</v>
      </c>
      <c r="AJ4356" t="s">
        <v>108</v>
      </c>
      <c r="AK4356" s="3" t="s">
        <v>27</v>
      </c>
      <c r="AL4356" s="3">
        <v>883.89611600000001</v>
      </c>
    </row>
    <row r="4357" spans="34:38">
      <c r="AH4357" t="s">
        <v>2081</v>
      </c>
      <c r="AI4357" t="s">
        <v>67</v>
      </c>
      <c r="AJ4357" t="s">
        <v>66</v>
      </c>
      <c r="AK4357" s="3" t="s">
        <v>27</v>
      </c>
      <c r="AL4357" s="3">
        <v>-6077.5</v>
      </c>
    </row>
    <row r="4358" spans="34:38">
      <c r="AH4358" t="s">
        <v>2081</v>
      </c>
      <c r="AI4358" t="s">
        <v>67</v>
      </c>
      <c r="AJ4358" t="s">
        <v>72</v>
      </c>
      <c r="AK4358" s="3" t="s">
        <v>27</v>
      </c>
      <c r="AL4358" s="3">
        <v>-7500.2053500000002</v>
      </c>
    </row>
    <row r="4359" spans="34:38">
      <c r="AH4359" t="s">
        <v>2081</v>
      </c>
      <c r="AI4359" t="s">
        <v>67</v>
      </c>
      <c r="AJ4359" t="s">
        <v>108</v>
      </c>
      <c r="AK4359" s="3" t="s">
        <v>27</v>
      </c>
      <c r="AL4359" s="3">
        <v>-1422.70535</v>
      </c>
    </row>
    <row r="4360" spans="34:38">
      <c r="AH4360" t="s">
        <v>2081</v>
      </c>
      <c r="AI4360" t="s">
        <v>68</v>
      </c>
      <c r="AJ4360" t="s">
        <v>66</v>
      </c>
      <c r="AK4360" s="3" t="s">
        <v>27</v>
      </c>
      <c r="AL4360" s="3">
        <v>-6232.3</v>
      </c>
    </row>
    <row r="4361" spans="34:38">
      <c r="AH4361" t="s">
        <v>2081</v>
      </c>
      <c r="AI4361" t="s">
        <v>68</v>
      </c>
      <c r="AJ4361" t="s">
        <v>72</v>
      </c>
      <c r="AK4361" s="3" t="s">
        <v>27</v>
      </c>
      <c r="AL4361" s="3">
        <v>-6046.9701459999997</v>
      </c>
    </row>
    <row r="4362" spans="34:38">
      <c r="AH4362" t="s">
        <v>2081</v>
      </c>
      <c r="AI4362" t="s">
        <v>68</v>
      </c>
      <c r="AJ4362" t="s">
        <v>108</v>
      </c>
      <c r="AK4362" s="3" t="s">
        <v>27</v>
      </c>
      <c r="AL4362" s="3">
        <v>185.32985400000001</v>
      </c>
    </row>
    <row r="4363" spans="34:38">
      <c r="AH4363" t="s">
        <v>2081</v>
      </c>
      <c r="AI4363" t="s">
        <v>65</v>
      </c>
      <c r="AJ4363" t="s">
        <v>113</v>
      </c>
      <c r="AK4363" s="3" t="s">
        <v>27</v>
      </c>
      <c r="AL4363" s="3">
        <v>2985.1350674639998</v>
      </c>
    </row>
    <row r="4364" spans="34:38">
      <c r="AH4364" t="s">
        <v>2081</v>
      </c>
      <c r="AI4364" t="s">
        <v>67</v>
      </c>
      <c r="AJ4364" t="s">
        <v>113</v>
      </c>
      <c r="AK4364" s="3" t="s">
        <v>27</v>
      </c>
      <c r="AL4364" s="3">
        <v>0</v>
      </c>
    </row>
    <row r="4365" spans="34:38">
      <c r="AH4365" t="s">
        <v>2081</v>
      </c>
      <c r="AI4365" t="s">
        <v>65</v>
      </c>
      <c r="AJ4365" t="s">
        <v>2303</v>
      </c>
      <c r="AK4365" s="3" t="s">
        <v>27</v>
      </c>
      <c r="AL4365" s="3">
        <v>-2579.618961139</v>
      </c>
    </row>
    <row r="4366" spans="34:38">
      <c r="AH4366" t="s">
        <v>2081</v>
      </c>
      <c r="AI4366" t="s">
        <v>67</v>
      </c>
      <c r="AJ4366" t="s">
        <v>2303</v>
      </c>
      <c r="AK4366" s="3" t="s">
        <v>27</v>
      </c>
      <c r="AL4366" s="3">
        <v>-1422.70535</v>
      </c>
    </row>
    <row r="4367" spans="34:38">
      <c r="AH4367" t="s">
        <v>2081</v>
      </c>
      <c r="AI4367" t="s">
        <v>65</v>
      </c>
      <c r="AJ4367" t="s">
        <v>113</v>
      </c>
      <c r="AK4367" s="3" t="s">
        <v>20</v>
      </c>
      <c r="AL4367" s="3">
        <v>1825.8698575679</v>
      </c>
    </row>
    <row r="4368" spans="34:38">
      <c r="AH4368" t="s">
        <v>2082</v>
      </c>
      <c r="AI4368" t="s">
        <v>68</v>
      </c>
      <c r="AJ4368" t="s">
        <v>108</v>
      </c>
      <c r="AK4368" s="3" t="s">
        <v>27</v>
      </c>
      <c r="AL4368" s="3">
        <v>256.29188099999999</v>
      </c>
    </row>
    <row r="4369" spans="34:38">
      <c r="AH4369" t="s">
        <v>2082</v>
      </c>
      <c r="AI4369" t="s">
        <v>65</v>
      </c>
      <c r="AJ4369" t="s">
        <v>113</v>
      </c>
      <c r="AK4369" s="3" t="s">
        <v>27</v>
      </c>
      <c r="AL4369" s="3">
        <v>2785.5735310119999</v>
      </c>
    </row>
    <row r="4370" spans="34:38">
      <c r="AH4370" t="s">
        <v>2082</v>
      </c>
      <c r="AI4370" t="s">
        <v>67</v>
      </c>
      <c r="AJ4370" t="s">
        <v>113</v>
      </c>
      <c r="AK4370" s="3" t="s">
        <v>27</v>
      </c>
      <c r="AL4370" s="3">
        <v>0</v>
      </c>
    </row>
    <row r="4371" spans="34:38">
      <c r="AH4371" t="s">
        <v>2082</v>
      </c>
      <c r="AI4371" t="s">
        <v>65</v>
      </c>
      <c r="AJ4371" t="s">
        <v>2303</v>
      </c>
      <c r="AK4371" s="3" t="s">
        <v>27</v>
      </c>
      <c r="AL4371" s="3">
        <v>-2563.9320172439998</v>
      </c>
    </row>
    <row r="4372" spans="34:38">
      <c r="AH4372" t="s">
        <v>2082</v>
      </c>
      <c r="AI4372" t="s">
        <v>67</v>
      </c>
      <c r="AJ4372" t="s">
        <v>2303</v>
      </c>
      <c r="AK4372" s="3" t="s">
        <v>27</v>
      </c>
      <c r="AL4372" s="3">
        <v>-1307.883425</v>
      </c>
    </row>
    <row r="4373" spans="34:38">
      <c r="AH4373" t="s">
        <v>2082</v>
      </c>
      <c r="AI4373" t="s">
        <v>65</v>
      </c>
      <c r="AJ4373" t="s">
        <v>113</v>
      </c>
      <c r="AK4373" s="3" t="s">
        <v>20</v>
      </c>
      <c r="AL4373" s="3">
        <v>1625.7865538229</v>
      </c>
    </row>
    <row r="4374" spans="34:38">
      <c r="AH4374" t="s">
        <v>2082</v>
      </c>
      <c r="AI4374" t="s">
        <v>68</v>
      </c>
      <c r="AJ4374" t="s">
        <v>72</v>
      </c>
      <c r="AK4374" s="3" t="s">
        <v>27</v>
      </c>
      <c r="AL4374" s="3">
        <v>-6336.0081190000001</v>
      </c>
    </row>
    <row r="4375" spans="34:38">
      <c r="AH4375" t="s">
        <v>2082</v>
      </c>
      <c r="AI4375" t="s">
        <v>65</v>
      </c>
      <c r="AJ4375" t="s">
        <v>66</v>
      </c>
      <c r="AK4375" s="3" t="s">
        <v>27</v>
      </c>
      <c r="AL4375" s="3">
        <v>19380.8</v>
      </c>
    </row>
    <row r="4376" spans="34:38">
      <c r="AH4376" t="s">
        <v>2082</v>
      </c>
      <c r="AI4376" t="s">
        <v>65</v>
      </c>
      <c r="AJ4376" t="s">
        <v>72</v>
      </c>
      <c r="AK4376" s="3" t="s">
        <v>27</v>
      </c>
      <c r="AL4376" s="3">
        <v>20087.187934000001</v>
      </c>
    </row>
    <row r="4377" spans="34:38">
      <c r="AH4377" t="s">
        <v>2082</v>
      </c>
      <c r="AI4377" t="s">
        <v>65</v>
      </c>
      <c r="AJ4377" t="s">
        <v>108</v>
      </c>
      <c r="AK4377" s="3" t="s">
        <v>27</v>
      </c>
      <c r="AL4377" s="3">
        <v>706.38793399999997</v>
      </c>
    </row>
    <row r="4378" spans="34:38">
      <c r="AH4378" t="s">
        <v>2082</v>
      </c>
      <c r="AI4378" t="s">
        <v>67</v>
      </c>
      <c r="AJ4378" t="s">
        <v>66</v>
      </c>
      <c r="AK4378" s="3" t="s">
        <v>27</v>
      </c>
      <c r="AL4378" s="3">
        <v>-3597.5</v>
      </c>
    </row>
    <row r="4379" spans="34:38">
      <c r="AH4379" t="s">
        <v>2082</v>
      </c>
      <c r="AI4379" t="s">
        <v>67</v>
      </c>
      <c r="AJ4379" t="s">
        <v>72</v>
      </c>
      <c r="AK4379" s="3" t="s">
        <v>27</v>
      </c>
      <c r="AL4379" s="3">
        <v>-4905.383425</v>
      </c>
    </row>
    <row r="4380" spans="34:38">
      <c r="AH4380" t="s">
        <v>2082</v>
      </c>
      <c r="AI4380" t="s">
        <v>67</v>
      </c>
      <c r="AJ4380" t="s">
        <v>108</v>
      </c>
      <c r="AK4380" s="3" t="s">
        <v>27</v>
      </c>
      <c r="AL4380" s="3">
        <v>-1307.883425</v>
      </c>
    </row>
    <row r="4381" spans="34:38">
      <c r="AH4381" t="s">
        <v>2082</v>
      </c>
      <c r="AI4381" t="s">
        <v>68</v>
      </c>
      <c r="AJ4381" t="s">
        <v>66</v>
      </c>
      <c r="AK4381" s="3" t="s">
        <v>27</v>
      </c>
      <c r="AL4381" s="3">
        <v>-6592.3</v>
      </c>
    </row>
    <row r="4382" spans="34:38">
      <c r="AH4382" t="s">
        <v>2083</v>
      </c>
      <c r="AI4382" t="s">
        <v>65</v>
      </c>
      <c r="AJ4382" t="s">
        <v>108</v>
      </c>
      <c r="AK4382" s="3" t="s">
        <v>27</v>
      </c>
      <c r="AL4382" s="3">
        <v>488.19982599999997</v>
      </c>
    </row>
    <row r="4383" spans="34:38">
      <c r="AH4383" t="s">
        <v>2083</v>
      </c>
      <c r="AI4383" t="s">
        <v>67</v>
      </c>
      <c r="AJ4383" t="s">
        <v>66</v>
      </c>
      <c r="AK4383" s="3" t="s">
        <v>27</v>
      </c>
      <c r="AL4383" s="3">
        <v>-4960.5</v>
      </c>
    </row>
    <row r="4384" spans="34:38">
      <c r="AH4384" t="s">
        <v>2083</v>
      </c>
      <c r="AI4384" t="s">
        <v>67</v>
      </c>
      <c r="AJ4384" t="s">
        <v>72</v>
      </c>
      <c r="AK4384" s="3" t="s">
        <v>27</v>
      </c>
      <c r="AL4384" s="3">
        <v>-5956.6922000000004</v>
      </c>
    </row>
    <row r="4385" spans="34:38">
      <c r="AH4385" t="s">
        <v>2083</v>
      </c>
      <c r="AI4385" t="s">
        <v>67</v>
      </c>
      <c r="AJ4385" t="s">
        <v>108</v>
      </c>
      <c r="AK4385" s="3" t="s">
        <v>27</v>
      </c>
      <c r="AL4385" s="3">
        <v>-996.19219999999996</v>
      </c>
    </row>
    <row r="4386" spans="34:38">
      <c r="AH4386" t="s">
        <v>2083</v>
      </c>
      <c r="AI4386" t="s">
        <v>68</v>
      </c>
      <c r="AJ4386" t="s">
        <v>66</v>
      </c>
      <c r="AK4386" s="3" t="s">
        <v>27</v>
      </c>
      <c r="AL4386" s="3">
        <v>-6022.3</v>
      </c>
    </row>
    <row r="4387" spans="34:38">
      <c r="AH4387" t="s">
        <v>2083</v>
      </c>
      <c r="AI4387" t="s">
        <v>68</v>
      </c>
      <c r="AJ4387" t="s">
        <v>72</v>
      </c>
      <c r="AK4387" s="3" t="s">
        <v>27</v>
      </c>
      <c r="AL4387" s="3">
        <v>-5854.4461959999999</v>
      </c>
    </row>
    <row r="4388" spans="34:38">
      <c r="AH4388" t="s">
        <v>2083</v>
      </c>
      <c r="AI4388" t="s">
        <v>67</v>
      </c>
      <c r="AJ4388" t="s">
        <v>113</v>
      </c>
      <c r="AK4388" s="3" t="s">
        <v>27</v>
      </c>
      <c r="AL4388" s="3">
        <v>0</v>
      </c>
    </row>
    <row r="4389" spans="34:38">
      <c r="AH4389" t="s">
        <v>2083</v>
      </c>
      <c r="AI4389" t="s">
        <v>65</v>
      </c>
      <c r="AJ4389" t="s">
        <v>66</v>
      </c>
      <c r="AK4389" s="3" t="s">
        <v>27</v>
      </c>
      <c r="AL4389" s="3">
        <v>20373.8</v>
      </c>
    </row>
    <row r="4390" spans="34:38">
      <c r="AH4390" t="s">
        <v>2083</v>
      </c>
      <c r="AI4390" t="s">
        <v>65</v>
      </c>
      <c r="AJ4390" t="s">
        <v>2303</v>
      </c>
      <c r="AK4390" s="3" t="s">
        <v>27</v>
      </c>
      <c r="AL4390" s="3">
        <v>-2554.3006541059999</v>
      </c>
    </row>
    <row r="4391" spans="34:38">
      <c r="AH4391" t="s">
        <v>2083</v>
      </c>
      <c r="AI4391" t="s">
        <v>67</v>
      </c>
      <c r="AJ4391" t="s">
        <v>2303</v>
      </c>
      <c r="AK4391" s="3" t="s">
        <v>27</v>
      </c>
      <c r="AL4391" s="3">
        <v>-996.19219999999996</v>
      </c>
    </row>
    <row r="4392" spans="34:38">
      <c r="AH4392" t="s">
        <v>2083</v>
      </c>
      <c r="AI4392" t="s">
        <v>65</v>
      </c>
      <c r="AJ4392" t="s">
        <v>113</v>
      </c>
      <c r="AK4392" s="3" t="s">
        <v>20</v>
      </c>
      <c r="AL4392" s="3">
        <v>1405.4767577042001</v>
      </c>
    </row>
    <row r="4393" spans="34:38">
      <c r="AH4393" t="s">
        <v>2083</v>
      </c>
      <c r="AI4393" t="s">
        <v>68</v>
      </c>
      <c r="AJ4393" t="s">
        <v>108</v>
      </c>
      <c r="AK4393" s="3" t="s">
        <v>27</v>
      </c>
      <c r="AL4393" s="3">
        <v>167.853804</v>
      </c>
    </row>
    <row r="4394" spans="34:38">
      <c r="AH4394" t="s">
        <v>2083</v>
      </c>
      <c r="AI4394" t="s">
        <v>65</v>
      </c>
      <c r="AJ4394" t="s">
        <v>113</v>
      </c>
      <c r="AK4394" s="3" t="s">
        <v>27</v>
      </c>
      <c r="AL4394" s="3">
        <v>2565.7855021939999</v>
      </c>
    </row>
    <row r="4395" spans="34:38">
      <c r="AH4395" t="s">
        <v>2083</v>
      </c>
      <c r="AI4395" t="s">
        <v>65</v>
      </c>
      <c r="AJ4395" t="s">
        <v>72</v>
      </c>
      <c r="AK4395" s="3" t="s">
        <v>27</v>
      </c>
      <c r="AL4395" s="3">
        <v>20861.999825999999</v>
      </c>
    </row>
    <row r="4396" spans="34:38">
      <c r="AH4396" t="s">
        <v>2084</v>
      </c>
      <c r="AI4396" t="s">
        <v>65</v>
      </c>
      <c r="AJ4396" t="s">
        <v>66</v>
      </c>
      <c r="AK4396" s="3" t="s">
        <v>27</v>
      </c>
      <c r="AL4396" s="3">
        <v>20072.8</v>
      </c>
    </row>
    <row r="4397" spans="34:38">
      <c r="AH4397" t="s">
        <v>2084</v>
      </c>
      <c r="AI4397" t="s">
        <v>65</v>
      </c>
      <c r="AJ4397" t="s">
        <v>72</v>
      </c>
      <c r="AK4397" s="3" t="s">
        <v>27</v>
      </c>
      <c r="AL4397" s="3">
        <v>20754.816768000001</v>
      </c>
    </row>
    <row r="4398" spans="34:38">
      <c r="AH4398" t="s">
        <v>2084</v>
      </c>
      <c r="AI4398" t="s">
        <v>65</v>
      </c>
      <c r="AJ4398" t="s">
        <v>108</v>
      </c>
      <c r="AK4398" s="3" t="s">
        <v>27</v>
      </c>
      <c r="AL4398" s="3">
        <v>682.01676799999996</v>
      </c>
    </row>
    <row r="4399" spans="34:38">
      <c r="AH4399" t="s">
        <v>2084</v>
      </c>
      <c r="AI4399" t="s">
        <v>67</v>
      </c>
      <c r="AJ4399" t="s">
        <v>66</v>
      </c>
      <c r="AK4399" s="3" t="s">
        <v>27</v>
      </c>
      <c r="AL4399" s="3">
        <v>-4766.5</v>
      </c>
    </row>
    <row r="4400" spans="34:38">
      <c r="AH4400" t="s">
        <v>2084</v>
      </c>
      <c r="AI4400" t="s">
        <v>67</v>
      </c>
      <c r="AJ4400" t="s">
        <v>72</v>
      </c>
      <c r="AK4400" s="3" t="s">
        <v>27</v>
      </c>
      <c r="AL4400" s="3">
        <v>-6110.0188850000004</v>
      </c>
    </row>
    <row r="4401" spans="34:38">
      <c r="AH4401" t="s">
        <v>2084</v>
      </c>
      <c r="AI4401" t="s">
        <v>67</v>
      </c>
      <c r="AJ4401" t="s">
        <v>108</v>
      </c>
      <c r="AK4401" s="3" t="s">
        <v>27</v>
      </c>
      <c r="AL4401" s="3">
        <v>-1343.518885</v>
      </c>
    </row>
    <row r="4402" spans="34:38">
      <c r="AH4402" t="s">
        <v>2084</v>
      </c>
      <c r="AI4402" t="s">
        <v>68</v>
      </c>
      <c r="AJ4402" t="s">
        <v>66</v>
      </c>
      <c r="AK4402" s="3" t="s">
        <v>27</v>
      </c>
      <c r="AL4402" s="3">
        <v>-6046.3</v>
      </c>
    </row>
    <row r="4403" spans="34:38">
      <c r="AH4403" t="s">
        <v>2084</v>
      </c>
      <c r="AI4403" t="s">
        <v>68</v>
      </c>
      <c r="AJ4403" t="s">
        <v>72</v>
      </c>
      <c r="AK4403" s="3" t="s">
        <v>27</v>
      </c>
      <c r="AL4403" s="3">
        <v>-5754.4970030000004</v>
      </c>
    </row>
    <row r="4404" spans="34:38">
      <c r="AH4404" t="s">
        <v>2084</v>
      </c>
      <c r="AI4404" t="s">
        <v>68</v>
      </c>
      <c r="AJ4404" t="s">
        <v>108</v>
      </c>
      <c r="AK4404" s="3" t="s">
        <v>27</v>
      </c>
      <c r="AL4404" s="3">
        <v>291.802997</v>
      </c>
    </row>
    <row r="4405" spans="34:38">
      <c r="AH4405" t="s">
        <v>2084</v>
      </c>
      <c r="AI4405" t="s">
        <v>65</v>
      </c>
      <c r="AJ4405" t="s">
        <v>113</v>
      </c>
      <c r="AK4405" s="3" t="s">
        <v>27</v>
      </c>
      <c r="AL4405" s="3">
        <v>2779.3075571049999</v>
      </c>
    </row>
    <row r="4406" spans="34:38">
      <c r="AH4406" t="s">
        <v>2084</v>
      </c>
      <c r="AI4406" t="s">
        <v>67</v>
      </c>
      <c r="AJ4406" t="s">
        <v>113</v>
      </c>
      <c r="AK4406" s="3" t="s">
        <v>27</v>
      </c>
      <c r="AL4406" s="3">
        <v>0</v>
      </c>
    </row>
    <row r="4407" spans="34:38">
      <c r="AH4407" t="s">
        <v>2084</v>
      </c>
      <c r="AI4407" t="s">
        <v>65</v>
      </c>
      <c r="AJ4407" t="s">
        <v>2303</v>
      </c>
      <c r="AK4407" s="3" t="s">
        <v>27</v>
      </c>
      <c r="AL4407" s="3">
        <v>-2574.002481943</v>
      </c>
    </row>
    <row r="4408" spans="34:38">
      <c r="AH4408" t="s">
        <v>2084</v>
      </c>
      <c r="AI4408" t="s">
        <v>67</v>
      </c>
      <c r="AJ4408" t="s">
        <v>2303</v>
      </c>
      <c r="AK4408" s="3" t="s">
        <v>27</v>
      </c>
      <c r="AL4408" s="3">
        <v>-1343.518885</v>
      </c>
    </row>
    <row r="4409" spans="34:38">
      <c r="AH4409" t="s">
        <v>2084</v>
      </c>
      <c r="AI4409" t="s">
        <v>65</v>
      </c>
      <c r="AJ4409" t="s">
        <v>113</v>
      </c>
      <c r="AK4409" s="3" t="s">
        <v>20</v>
      </c>
      <c r="AL4409" s="3">
        <v>1618.4770452958001</v>
      </c>
    </row>
    <row r="4410" spans="34:38">
      <c r="AH4410" t="s">
        <v>2085</v>
      </c>
      <c r="AI4410" t="s">
        <v>65</v>
      </c>
      <c r="AJ4410" t="s">
        <v>66</v>
      </c>
      <c r="AK4410" s="3" t="s">
        <v>27</v>
      </c>
      <c r="AL4410" s="3">
        <v>20109.8</v>
      </c>
    </row>
    <row r="4411" spans="34:38">
      <c r="AH4411" t="s">
        <v>2085</v>
      </c>
      <c r="AI4411" t="s">
        <v>65</v>
      </c>
      <c r="AJ4411" t="s">
        <v>72</v>
      </c>
      <c r="AK4411" s="3" t="s">
        <v>27</v>
      </c>
      <c r="AL4411" s="3">
        <v>20713.757157</v>
      </c>
    </row>
    <row r="4412" spans="34:38">
      <c r="AH4412" t="s">
        <v>2085</v>
      </c>
      <c r="AI4412" t="s">
        <v>65</v>
      </c>
      <c r="AJ4412" t="s">
        <v>108</v>
      </c>
      <c r="AK4412" s="3" t="s">
        <v>27</v>
      </c>
      <c r="AL4412" s="3">
        <v>603.95715700000005</v>
      </c>
    </row>
    <row r="4413" spans="34:38">
      <c r="AH4413" t="s">
        <v>2085</v>
      </c>
      <c r="AI4413" t="s">
        <v>67</v>
      </c>
      <c r="AJ4413" t="s">
        <v>66</v>
      </c>
      <c r="AK4413" s="3" t="s">
        <v>27</v>
      </c>
      <c r="AL4413" s="3">
        <v>-4204.5</v>
      </c>
    </row>
    <row r="4414" spans="34:38">
      <c r="AH4414" t="s">
        <v>2085</v>
      </c>
      <c r="AI4414" t="s">
        <v>67</v>
      </c>
      <c r="AJ4414" t="s">
        <v>72</v>
      </c>
      <c r="AK4414" s="3" t="s">
        <v>27</v>
      </c>
      <c r="AL4414" s="3">
        <v>-5333.4871949999997</v>
      </c>
    </row>
    <row r="4415" spans="34:38">
      <c r="AH4415" t="s">
        <v>2085</v>
      </c>
      <c r="AI4415" t="s">
        <v>67</v>
      </c>
      <c r="AJ4415" t="s">
        <v>108</v>
      </c>
      <c r="AK4415" s="3" t="s">
        <v>27</v>
      </c>
      <c r="AL4415" s="3">
        <v>-1128.9871949999999</v>
      </c>
    </row>
    <row r="4416" spans="34:38">
      <c r="AH4416" t="s">
        <v>2085</v>
      </c>
      <c r="AI4416" t="s">
        <v>68</v>
      </c>
      <c r="AJ4416" t="s">
        <v>66</v>
      </c>
      <c r="AK4416" s="3" t="s">
        <v>27</v>
      </c>
      <c r="AL4416" s="3">
        <v>-6695.3</v>
      </c>
    </row>
    <row r="4417" spans="34:38">
      <c r="AH4417" t="s">
        <v>2085</v>
      </c>
      <c r="AI4417" t="s">
        <v>68</v>
      </c>
      <c r="AJ4417" t="s">
        <v>72</v>
      </c>
      <c r="AK4417" s="3" t="s">
        <v>27</v>
      </c>
      <c r="AL4417" s="3">
        <v>-6538.4413420000001</v>
      </c>
    </row>
    <row r="4418" spans="34:38">
      <c r="AH4418" t="s">
        <v>2085</v>
      </c>
      <c r="AI4418" t="s">
        <v>68</v>
      </c>
      <c r="AJ4418" t="s">
        <v>108</v>
      </c>
      <c r="AK4418" s="3" t="s">
        <v>27</v>
      </c>
      <c r="AL4418" s="3">
        <v>156.85865799999999</v>
      </c>
    </row>
    <row r="4419" spans="34:38">
      <c r="AH4419" t="s">
        <v>2085</v>
      </c>
      <c r="AI4419" t="s">
        <v>65</v>
      </c>
      <c r="AJ4419" t="s">
        <v>113</v>
      </c>
      <c r="AK4419" s="3" t="s">
        <v>27</v>
      </c>
      <c r="AL4419" s="3">
        <v>2690.1651010820001</v>
      </c>
    </row>
    <row r="4420" spans="34:38">
      <c r="AH4420" t="s">
        <v>2085</v>
      </c>
      <c r="AI4420" t="s">
        <v>67</v>
      </c>
      <c r="AJ4420" t="s">
        <v>113</v>
      </c>
      <c r="AK4420" s="3" t="s">
        <v>27</v>
      </c>
      <c r="AL4420" s="3">
        <v>0</v>
      </c>
    </row>
    <row r="4421" spans="34:38">
      <c r="AH4421" t="s">
        <v>2085</v>
      </c>
      <c r="AI4421" t="s">
        <v>65</v>
      </c>
      <c r="AJ4421" t="s">
        <v>2303</v>
      </c>
      <c r="AK4421" s="3" t="s">
        <v>27</v>
      </c>
      <c r="AL4421" s="3">
        <v>-2560.0394417799998</v>
      </c>
    </row>
    <row r="4422" spans="34:38">
      <c r="AH4422" t="s">
        <v>2085</v>
      </c>
      <c r="AI4422" t="s">
        <v>67</v>
      </c>
      <c r="AJ4422" t="s">
        <v>2303</v>
      </c>
      <c r="AK4422" s="3" t="s">
        <v>27</v>
      </c>
      <c r="AL4422" s="3">
        <v>-1128.9871949999999</v>
      </c>
    </row>
    <row r="4423" spans="34:38">
      <c r="AH4423" t="s">
        <v>2085</v>
      </c>
      <c r="AI4423" t="s">
        <v>65</v>
      </c>
      <c r="AJ4423" t="s">
        <v>113</v>
      </c>
      <c r="AK4423" s="3" t="s">
        <v>20</v>
      </c>
      <c r="AL4423" s="3">
        <v>1528.8128219893999</v>
      </c>
    </row>
    <row r="4424" spans="34:38">
      <c r="AH4424" t="s">
        <v>2086</v>
      </c>
      <c r="AI4424" t="s">
        <v>65</v>
      </c>
      <c r="AJ4424" t="s">
        <v>66</v>
      </c>
      <c r="AK4424" s="3" t="s">
        <v>27</v>
      </c>
      <c r="AL4424" s="3">
        <v>20139.8</v>
      </c>
    </row>
    <row r="4425" spans="34:38">
      <c r="AH4425" t="s">
        <v>2086</v>
      </c>
      <c r="AI4425" t="s">
        <v>65</v>
      </c>
      <c r="AJ4425" t="s">
        <v>72</v>
      </c>
      <c r="AK4425" s="3" t="s">
        <v>27</v>
      </c>
      <c r="AL4425" s="3">
        <v>20742.351619000001</v>
      </c>
    </row>
    <row r="4426" spans="34:38">
      <c r="AH4426" t="s">
        <v>2086</v>
      </c>
      <c r="AI4426" t="s">
        <v>65</v>
      </c>
      <c r="AJ4426" t="s">
        <v>108</v>
      </c>
      <c r="AK4426" s="3" t="s">
        <v>27</v>
      </c>
      <c r="AL4426" s="3">
        <v>602.55161899999996</v>
      </c>
    </row>
    <row r="4427" spans="34:38">
      <c r="AH4427" t="s">
        <v>2086</v>
      </c>
      <c r="AI4427" t="s">
        <v>67</v>
      </c>
      <c r="AJ4427" t="s">
        <v>66</v>
      </c>
      <c r="AK4427" s="3" t="s">
        <v>27</v>
      </c>
      <c r="AL4427" s="3">
        <v>-4397.5</v>
      </c>
    </row>
    <row r="4428" spans="34:38">
      <c r="AH4428" t="s">
        <v>2086</v>
      </c>
      <c r="AI4428" t="s">
        <v>67</v>
      </c>
      <c r="AJ4428" t="s">
        <v>72</v>
      </c>
      <c r="AK4428" s="3" t="s">
        <v>27</v>
      </c>
      <c r="AL4428" s="3">
        <v>-5594.2174299999997</v>
      </c>
    </row>
    <row r="4429" spans="34:38">
      <c r="AH4429" t="s">
        <v>2086</v>
      </c>
      <c r="AI4429" t="s">
        <v>67</v>
      </c>
      <c r="AJ4429" t="s">
        <v>108</v>
      </c>
      <c r="AK4429" s="3" t="s">
        <v>27</v>
      </c>
      <c r="AL4429" s="3">
        <v>-1196.7174299999999</v>
      </c>
    </row>
    <row r="4430" spans="34:38">
      <c r="AH4430" t="s">
        <v>2086</v>
      </c>
      <c r="AI4430" t="s">
        <v>68</v>
      </c>
      <c r="AJ4430" t="s">
        <v>66</v>
      </c>
      <c r="AK4430" s="3" t="s">
        <v>27</v>
      </c>
      <c r="AL4430" s="3">
        <v>-6541.3</v>
      </c>
    </row>
    <row r="4431" spans="34:38">
      <c r="AH4431" t="s">
        <v>2086</v>
      </c>
      <c r="AI4431" t="s">
        <v>68</v>
      </c>
      <c r="AJ4431" t="s">
        <v>72</v>
      </c>
      <c r="AK4431" s="3" t="s">
        <v>27</v>
      </c>
      <c r="AL4431" s="3">
        <v>-6302.7244389999996</v>
      </c>
    </row>
    <row r="4432" spans="34:38">
      <c r="AH4432" t="s">
        <v>2086</v>
      </c>
      <c r="AI4432" t="s">
        <v>68</v>
      </c>
      <c r="AJ4432" t="s">
        <v>108</v>
      </c>
      <c r="AK4432" s="3" t="s">
        <v>27</v>
      </c>
      <c r="AL4432" s="3">
        <v>238.57556099999999</v>
      </c>
    </row>
    <row r="4433" spans="34:38">
      <c r="AH4433" t="s">
        <v>2086</v>
      </c>
      <c r="AI4433" t="s">
        <v>65</v>
      </c>
      <c r="AJ4433" t="s">
        <v>113</v>
      </c>
      <c r="AK4433" s="3" t="s">
        <v>27</v>
      </c>
      <c r="AL4433" s="3">
        <v>2691.6454570860001</v>
      </c>
    </row>
    <row r="4434" spans="34:38">
      <c r="AH4434" t="s">
        <v>2086</v>
      </c>
      <c r="AI4434" t="s">
        <v>67</v>
      </c>
      <c r="AJ4434" t="s">
        <v>113</v>
      </c>
      <c r="AK4434" s="3" t="s">
        <v>27</v>
      </c>
      <c r="AL4434" s="3">
        <v>0</v>
      </c>
    </row>
    <row r="4435" spans="34:38">
      <c r="AH4435" t="s">
        <v>2086</v>
      </c>
      <c r="AI4435" t="s">
        <v>65</v>
      </c>
      <c r="AJ4435" t="s">
        <v>2303</v>
      </c>
      <c r="AK4435" s="3" t="s">
        <v>27</v>
      </c>
      <c r="AL4435" s="3">
        <v>-2559.7903158690001</v>
      </c>
    </row>
    <row r="4436" spans="34:38">
      <c r="AH4436" t="s">
        <v>2086</v>
      </c>
      <c r="AI4436" t="s">
        <v>67</v>
      </c>
      <c r="AJ4436" t="s">
        <v>2303</v>
      </c>
      <c r="AK4436" s="3" t="s">
        <v>27</v>
      </c>
      <c r="AL4436" s="3">
        <v>-1196.7174299999999</v>
      </c>
    </row>
    <row r="4437" spans="34:38">
      <c r="AH4437" t="s">
        <v>2086</v>
      </c>
      <c r="AI4437" t="s">
        <v>65</v>
      </c>
      <c r="AJ4437" t="s">
        <v>113</v>
      </c>
      <c r="AK4437" s="3" t="s">
        <v>20</v>
      </c>
      <c r="AL4437" s="3">
        <v>1528.7278760774</v>
      </c>
    </row>
    <row r="4438" spans="34:38">
      <c r="AH4438" t="s">
        <v>2087</v>
      </c>
      <c r="AI4438" t="s">
        <v>65</v>
      </c>
      <c r="AJ4438" t="s">
        <v>66</v>
      </c>
      <c r="AK4438" s="3" t="s">
        <v>27</v>
      </c>
      <c r="AL4438" s="3">
        <v>16471.8</v>
      </c>
    </row>
    <row r="4439" spans="34:38">
      <c r="AH4439" t="s">
        <v>2087</v>
      </c>
      <c r="AI4439" t="s">
        <v>65</v>
      </c>
      <c r="AJ4439" t="s">
        <v>72</v>
      </c>
      <c r="AK4439" s="3" t="s">
        <v>27</v>
      </c>
      <c r="AL4439" s="3">
        <v>16296.788955</v>
      </c>
    </row>
    <row r="4440" spans="34:38">
      <c r="AH4440" t="s">
        <v>2087</v>
      </c>
      <c r="AI4440" t="s">
        <v>65</v>
      </c>
      <c r="AJ4440" t="s">
        <v>108</v>
      </c>
      <c r="AK4440" s="3" t="s">
        <v>27</v>
      </c>
      <c r="AL4440" s="3">
        <v>-175.011045</v>
      </c>
    </row>
    <row r="4441" spans="34:38">
      <c r="AH4441" t="s">
        <v>2087</v>
      </c>
      <c r="AI4441" t="s">
        <v>67</v>
      </c>
      <c r="AJ4441" t="s">
        <v>66</v>
      </c>
      <c r="AK4441" s="3" t="s">
        <v>27</v>
      </c>
      <c r="AL4441" s="3">
        <v>400.5</v>
      </c>
    </row>
    <row r="4442" spans="34:38">
      <c r="AH4442" t="s">
        <v>2087</v>
      </c>
      <c r="AI4442" t="s">
        <v>67</v>
      </c>
      <c r="AJ4442" t="s">
        <v>72</v>
      </c>
      <c r="AK4442" s="3" t="s">
        <v>27</v>
      </c>
      <c r="AL4442" s="3">
        <v>-91.361810000000006</v>
      </c>
    </row>
    <row r="4443" spans="34:38">
      <c r="AH4443" t="s">
        <v>2087</v>
      </c>
      <c r="AI4443" t="s">
        <v>67</v>
      </c>
      <c r="AJ4443" t="s">
        <v>108</v>
      </c>
      <c r="AK4443" s="3" t="s">
        <v>27</v>
      </c>
      <c r="AL4443" s="3">
        <v>-491.86180999999999</v>
      </c>
    </row>
    <row r="4444" spans="34:38">
      <c r="AH4444" t="s">
        <v>2087</v>
      </c>
      <c r="AI4444" t="s">
        <v>68</v>
      </c>
      <c r="AJ4444" t="s">
        <v>66</v>
      </c>
      <c r="AK4444" s="3" t="s">
        <v>27</v>
      </c>
      <c r="AL4444" s="3">
        <v>-7462.3</v>
      </c>
    </row>
    <row r="4445" spans="34:38">
      <c r="AH4445" t="s">
        <v>2087</v>
      </c>
      <c r="AI4445" t="s">
        <v>68</v>
      </c>
      <c r="AJ4445" t="s">
        <v>72</v>
      </c>
      <c r="AK4445" s="3" t="s">
        <v>27</v>
      </c>
      <c r="AL4445" s="3">
        <v>-7169.6155250000002</v>
      </c>
    </row>
    <row r="4446" spans="34:38">
      <c r="AH4446" t="s">
        <v>2087</v>
      </c>
      <c r="AI4446" t="s">
        <v>68</v>
      </c>
      <c r="AJ4446" t="s">
        <v>108</v>
      </c>
      <c r="AK4446" s="3" t="s">
        <v>27</v>
      </c>
      <c r="AL4446" s="3">
        <v>292.68447500000002</v>
      </c>
    </row>
    <row r="4447" spans="34:38">
      <c r="AH4447" t="s">
        <v>2087</v>
      </c>
      <c r="AI4447" t="s">
        <v>65</v>
      </c>
      <c r="AJ4447" t="s">
        <v>113</v>
      </c>
      <c r="AK4447" s="3" t="s">
        <v>27</v>
      </c>
      <c r="AL4447" s="3">
        <v>1874.9763933470001</v>
      </c>
    </row>
    <row r="4448" spans="34:38">
      <c r="AH4448" t="s">
        <v>2087</v>
      </c>
      <c r="AI4448" t="s">
        <v>67</v>
      </c>
      <c r="AJ4448" t="s">
        <v>113</v>
      </c>
      <c r="AK4448" s="3" t="s">
        <v>27</v>
      </c>
      <c r="AL4448" s="3">
        <v>0</v>
      </c>
    </row>
    <row r="4449" spans="34:38">
      <c r="AH4449" t="s">
        <v>2087</v>
      </c>
      <c r="AI4449" t="s">
        <v>65</v>
      </c>
      <c r="AJ4449" t="s">
        <v>2303</v>
      </c>
      <c r="AK4449" s="3" t="s">
        <v>27</v>
      </c>
      <c r="AL4449" s="3">
        <v>-2520.2596459599999</v>
      </c>
    </row>
    <row r="4450" spans="34:38">
      <c r="AH4450" t="s">
        <v>2087</v>
      </c>
      <c r="AI4450" t="s">
        <v>67</v>
      </c>
      <c r="AJ4450" t="s">
        <v>2303</v>
      </c>
      <c r="AK4450" s="3" t="s">
        <v>27</v>
      </c>
      <c r="AL4450" s="3">
        <v>-491.86180999999999</v>
      </c>
    </row>
    <row r="4451" spans="34:38">
      <c r="AH4451" t="s">
        <v>2087</v>
      </c>
      <c r="AI4451" t="s">
        <v>65</v>
      </c>
      <c r="AJ4451" t="s">
        <v>113</v>
      </c>
      <c r="AK4451" s="3" t="s">
        <v>20</v>
      </c>
      <c r="AL4451" s="3">
        <v>711.53704503450001</v>
      </c>
    </row>
    <row r="4452" spans="34:38">
      <c r="AH4452" t="s">
        <v>2088</v>
      </c>
      <c r="AI4452" t="s">
        <v>65</v>
      </c>
      <c r="AJ4452" t="s">
        <v>66</v>
      </c>
      <c r="AK4452" s="3" t="s">
        <v>27</v>
      </c>
      <c r="AL4452" s="3">
        <v>16692.8</v>
      </c>
    </row>
    <row r="4453" spans="34:38">
      <c r="AH4453" t="s">
        <v>2088</v>
      </c>
      <c r="AI4453" t="s">
        <v>65</v>
      </c>
      <c r="AJ4453" t="s">
        <v>72</v>
      </c>
      <c r="AK4453" s="3" t="s">
        <v>27</v>
      </c>
      <c r="AL4453" s="3">
        <v>16573.471646999998</v>
      </c>
    </row>
    <row r="4454" spans="34:38">
      <c r="AH4454" t="s">
        <v>2088</v>
      </c>
      <c r="AI4454" t="s">
        <v>65</v>
      </c>
      <c r="AJ4454" t="s">
        <v>108</v>
      </c>
      <c r="AK4454" s="3" t="s">
        <v>27</v>
      </c>
      <c r="AL4454" s="3">
        <v>-119.32835300000001</v>
      </c>
    </row>
    <row r="4455" spans="34:38">
      <c r="AH4455" t="s">
        <v>2088</v>
      </c>
      <c r="AI4455" t="s">
        <v>67</v>
      </c>
      <c r="AJ4455" t="s">
        <v>66</v>
      </c>
      <c r="AK4455" s="3" t="s">
        <v>27</v>
      </c>
      <c r="AL4455" s="3">
        <v>-2563.5</v>
      </c>
    </row>
    <row r="4456" spans="34:38">
      <c r="AH4456" t="s">
        <v>2088</v>
      </c>
      <c r="AI4456" t="s">
        <v>67</v>
      </c>
      <c r="AJ4456" t="s">
        <v>72</v>
      </c>
      <c r="AK4456" s="3" t="s">
        <v>27</v>
      </c>
      <c r="AL4456" s="3">
        <v>-2957.71351</v>
      </c>
    </row>
    <row r="4457" spans="34:38">
      <c r="AH4457" t="s">
        <v>2088</v>
      </c>
      <c r="AI4457" t="s">
        <v>67</v>
      </c>
      <c r="AJ4457" t="s">
        <v>108</v>
      </c>
      <c r="AK4457" s="3" t="s">
        <v>27</v>
      </c>
      <c r="AL4457" s="3">
        <v>-394.21350999999999</v>
      </c>
    </row>
    <row r="4458" spans="34:38">
      <c r="AH4458" t="s">
        <v>2088</v>
      </c>
      <c r="AI4458" t="s">
        <v>68</v>
      </c>
      <c r="AJ4458" t="s">
        <v>66</v>
      </c>
      <c r="AK4458" s="3" t="s">
        <v>27</v>
      </c>
      <c r="AL4458" s="3">
        <v>-4807.3</v>
      </c>
    </row>
    <row r="4459" spans="34:38">
      <c r="AH4459" t="s">
        <v>2088</v>
      </c>
      <c r="AI4459" t="s">
        <v>68</v>
      </c>
      <c r="AJ4459" t="s">
        <v>72</v>
      </c>
      <c r="AK4459" s="3" t="s">
        <v>27</v>
      </c>
      <c r="AL4459" s="3">
        <v>-4664.6708570000001</v>
      </c>
    </row>
    <row r="4460" spans="34:38">
      <c r="AH4460" t="s">
        <v>2088</v>
      </c>
      <c r="AI4460" t="s">
        <v>68</v>
      </c>
      <c r="AJ4460" t="s">
        <v>108</v>
      </c>
      <c r="AK4460" s="3" t="s">
        <v>27</v>
      </c>
      <c r="AL4460" s="3">
        <v>142.629143</v>
      </c>
    </row>
    <row r="4461" spans="34:38">
      <c r="AH4461" t="s">
        <v>2088</v>
      </c>
      <c r="AI4461" t="s">
        <v>65</v>
      </c>
      <c r="AJ4461" t="s">
        <v>113</v>
      </c>
      <c r="AK4461" s="3" t="s">
        <v>27</v>
      </c>
      <c r="AL4461" s="3">
        <v>1938.3021482659999</v>
      </c>
    </row>
    <row r="4462" spans="34:38">
      <c r="AH4462" t="s">
        <v>2088</v>
      </c>
      <c r="AI4462" t="s">
        <v>67</v>
      </c>
      <c r="AJ4462" t="s">
        <v>113</v>
      </c>
      <c r="AK4462" s="3" t="s">
        <v>27</v>
      </c>
      <c r="AL4462" s="3">
        <v>0</v>
      </c>
    </row>
    <row r="4463" spans="34:38">
      <c r="AH4463" t="s">
        <v>2088</v>
      </c>
      <c r="AI4463" t="s">
        <v>65</v>
      </c>
      <c r="AJ4463" t="s">
        <v>2303</v>
      </c>
      <c r="AK4463" s="3" t="s">
        <v>27</v>
      </c>
      <c r="AL4463" s="3">
        <v>-2519.4895283000001</v>
      </c>
    </row>
    <row r="4464" spans="34:38">
      <c r="AH4464" t="s">
        <v>2088</v>
      </c>
      <c r="AI4464" t="s">
        <v>67</v>
      </c>
      <c r="AJ4464" t="s">
        <v>2303</v>
      </c>
      <c r="AK4464" s="3" t="s">
        <v>27</v>
      </c>
      <c r="AL4464" s="3">
        <v>-394.21350999999999</v>
      </c>
    </row>
    <row r="4465" spans="34:38">
      <c r="AH4465" t="s">
        <v>2088</v>
      </c>
      <c r="AI4465" t="s">
        <v>65</v>
      </c>
      <c r="AJ4465" t="s">
        <v>113</v>
      </c>
      <c r="AK4465" s="3" t="s">
        <v>20</v>
      </c>
      <c r="AL4465" s="3">
        <v>774.34103265440001</v>
      </c>
    </row>
    <row r="4466" spans="34:38">
      <c r="AH4466" t="s">
        <v>2089</v>
      </c>
      <c r="AI4466" t="s">
        <v>67</v>
      </c>
      <c r="AJ4466" t="s">
        <v>108</v>
      </c>
      <c r="AK4466" s="3" t="s">
        <v>27</v>
      </c>
      <c r="AL4466" s="3">
        <v>-104.169505</v>
      </c>
    </row>
    <row r="4467" spans="34:38">
      <c r="AH4467" t="s">
        <v>2089</v>
      </c>
      <c r="AI4467" t="s">
        <v>68</v>
      </c>
      <c r="AJ4467" t="s">
        <v>66</v>
      </c>
      <c r="AK4467" s="3" t="s">
        <v>27</v>
      </c>
      <c r="AL4467" s="3">
        <v>-4528.3</v>
      </c>
    </row>
    <row r="4468" spans="34:38">
      <c r="AH4468" t="s">
        <v>2089</v>
      </c>
      <c r="AI4468" t="s">
        <v>68</v>
      </c>
      <c r="AJ4468" t="s">
        <v>72</v>
      </c>
      <c r="AK4468" s="3" t="s">
        <v>27</v>
      </c>
      <c r="AL4468" s="3">
        <v>-4520.1638720000001</v>
      </c>
    </row>
    <row r="4469" spans="34:38">
      <c r="AH4469" t="s">
        <v>2089</v>
      </c>
      <c r="AI4469" t="s">
        <v>68</v>
      </c>
      <c r="AJ4469" t="s">
        <v>108</v>
      </c>
      <c r="AK4469" s="3" t="s">
        <v>27</v>
      </c>
      <c r="AL4469" s="3">
        <v>8.1361279999999994</v>
      </c>
    </row>
    <row r="4470" spans="34:38">
      <c r="AH4470" t="s">
        <v>2089</v>
      </c>
      <c r="AI4470" t="s">
        <v>65</v>
      </c>
      <c r="AJ4470" t="s">
        <v>113</v>
      </c>
      <c r="AK4470" s="3" t="s">
        <v>27</v>
      </c>
      <c r="AL4470" s="3">
        <v>1743.6599699840001</v>
      </c>
    </row>
    <row r="4471" spans="34:38">
      <c r="AH4471" t="s">
        <v>2089</v>
      </c>
      <c r="AI4471" t="s">
        <v>67</v>
      </c>
      <c r="AJ4471" t="s">
        <v>113</v>
      </c>
      <c r="AK4471" s="3" t="s">
        <v>27</v>
      </c>
      <c r="AL4471" s="3">
        <v>0</v>
      </c>
    </row>
    <row r="4472" spans="34:38">
      <c r="AH4472" t="s">
        <v>2089</v>
      </c>
      <c r="AI4472" t="s">
        <v>65</v>
      </c>
      <c r="AJ4472" t="s">
        <v>2303</v>
      </c>
      <c r="AK4472" s="3" t="s">
        <v>27</v>
      </c>
      <c r="AL4472" s="3">
        <v>-2541.7528989920002</v>
      </c>
    </row>
    <row r="4473" spans="34:38">
      <c r="AH4473" t="s">
        <v>2089</v>
      </c>
      <c r="AI4473" t="s">
        <v>65</v>
      </c>
      <c r="AJ4473" t="s">
        <v>66</v>
      </c>
      <c r="AK4473" s="3" t="s">
        <v>27</v>
      </c>
      <c r="AL4473" s="3">
        <v>17530.8</v>
      </c>
    </row>
    <row r="4474" spans="34:38">
      <c r="AH4474" t="s">
        <v>2089</v>
      </c>
      <c r="AI4474" t="s">
        <v>65</v>
      </c>
      <c r="AJ4474" t="s">
        <v>72</v>
      </c>
      <c r="AK4474" s="3" t="s">
        <v>27</v>
      </c>
      <c r="AL4474" s="3">
        <v>17186.263717000002</v>
      </c>
    </row>
    <row r="4475" spans="34:38">
      <c r="AH4475" t="s">
        <v>2089</v>
      </c>
      <c r="AI4475" t="s">
        <v>65</v>
      </c>
      <c r="AJ4475" t="s">
        <v>108</v>
      </c>
      <c r="AK4475" s="3" t="s">
        <v>27</v>
      </c>
      <c r="AL4475" s="3">
        <v>-344.53628300000003</v>
      </c>
    </row>
    <row r="4476" spans="34:38">
      <c r="AH4476" t="s">
        <v>2089</v>
      </c>
      <c r="AI4476" t="s">
        <v>67</v>
      </c>
      <c r="AJ4476" t="s">
        <v>66</v>
      </c>
      <c r="AK4476" s="3" t="s">
        <v>27</v>
      </c>
      <c r="AL4476" s="3">
        <v>-3380.5</v>
      </c>
    </row>
    <row r="4477" spans="34:38">
      <c r="AH4477" t="s">
        <v>2089</v>
      </c>
      <c r="AI4477" t="s">
        <v>67</v>
      </c>
      <c r="AJ4477" t="s">
        <v>72</v>
      </c>
      <c r="AK4477" s="3" t="s">
        <v>27</v>
      </c>
      <c r="AL4477" s="3">
        <v>-3484.6695049999998</v>
      </c>
    </row>
    <row r="4478" spans="34:38">
      <c r="AH4478" t="s">
        <v>2089</v>
      </c>
      <c r="AI4478" t="s">
        <v>65</v>
      </c>
      <c r="AJ4478" t="s">
        <v>113</v>
      </c>
      <c r="AK4478" s="3" t="s">
        <v>20</v>
      </c>
      <c r="AL4478" s="3">
        <v>579.1770870734</v>
      </c>
    </row>
    <row r="4479" spans="34:38">
      <c r="AH4479" t="s">
        <v>2089</v>
      </c>
      <c r="AI4479" t="s">
        <v>67</v>
      </c>
      <c r="AJ4479" t="s">
        <v>2303</v>
      </c>
      <c r="AK4479" s="3" t="s">
        <v>27</v>
      </c>
      <c r="AL4479" s="3">
        <v>-104.169505</v>
      </c>
    </row>
    <row r="4480" spans="34:38">
      <c r="AH4480" t="s">
        <v>2090</v>
      </c>
      <c r="AI4480" t="s">
        <v>65</v>
      </c>
      <c r="AJ4480" t="s">
        <v>113</v>
      </c>
      <c r="AK4480" s="3" t="s">
        <v>20</v>
      </c>
      <c r="AL4480" s="3">
        <v>583.43477274209999</v>
      </c>
    </row>
    <row r="4481" spans="34:38">
      <c r="AH4481" t="s">
        <v>2090</v>
      </c>
      <c r="AI4481" t="s">
        <v>65</v>
      </c>
      <c r="AJ4481" t="s">
        <v>66</v>
      </c>
      <c r="AK4481" s="3" t="s">
        <v>27</v>
      </c>
      <c r="AL4481" s="3">
        <v>18510.8</v>
      </c>
    </row>
    <row r="4482" spans="34:38">
      <c r="AH4482" t="s">
        <v>2090</v>
      </c>
      <c r="AI4482" t="s">
        <v>65</v>
      </c>
      <c r="AJ4482" t="s">
        <v>72</v>
      </c>
      <c r="AK4482" s="3" t="s">
        <v>27</v>
      </c>
      <c r="AL4482" s="3">
        <v>18135.479278999999</v>
      </c>
    </row>
    <row r="4483" spans="34:38">
      <c r="AH4483" t="s">
        <v>2090</v>
      </c>
      <c r="AI4483" t="s">
        <v>65</v>
      </c>
      <c r="AJ4483" t="s">
        <v>108</v>
      </c>
      <c r="AK4483" s="3" t="s">
        <v>27</v>
      </c>
      <c r="AL4483" s="3">
        <v>-375.32072099999999</v>
      </c>
    </row>
    <row r="4484" spans="34:38">
      <c r="AH4484" t="s">
        <v>2090</v>
      </c>
      <c r="AI4484" t="s">
        <v>67</v>
      </c>
      <c r="AJ4484" t="s">
        <v>66</v>
      </c>
      <c r="AK4484" s="3" t="s">
        <v>27</v>
      </c>
      <c r="AL4484" s="3">
        <v>-3522.5</v>
      </c>
    </row>
    <row r="4485" spans="34:38">
      <c r="AH4485" t="s">
        <v>2090</v>
      </c>
      <c r="AI4485" t="s">
        <v>67</v>
      </c>
      <c r="AJ4485" t="s">
        <v>72</v>
      </c>
      <c r="AK4485" s="3" t="s">
        <v>27</v>
      </c>
      <c r="AL4485" s="3">
        <v>-3834.7971299999999</v>
      </c>
    </row>
    <row r="4486" spans="34:38">
      <c r="AH4486" t="s">
        <v>2090</v>
      </c>
      <c r="AI4486" t="s">
        <v>67</v>
      </c>
      <c r="AJ4486" t="s">
        <v>108</v>
      </c>
      <c r="AK4486" s="3" t="s">
        <v>27</v>
      </c>
      <c r="AL4486" s="3">
        <v>-312.29712999999998</v>
      </c>
    </row>
    <row r="4487" spans="34:38">
      <c r="AH4487" t="s">
        <v>2090</v>
      </c>
      <c r="AI4487" t="s">
        <v>68</v>
      </c>
      <c r="AJ4487" t="s">
        <v>66</v>
      </c>
      <c r="AK4487" s="3" t="s">
        <v>27</v>
      </c>
      <c r="AL4487" s="3">
        <v>-5776.3</v>
      </c>
    </row>
    <row r="4488" spans="34:38">
      <c r="AH4488" t="s">
        <v>2090</v>
      </c>
      <c r="AI4488" t="s">
        <v>68</v>
      </c>
      <c r="AJ4488" t="s">
        <v>72</v>
      </c>
      <c r="AK4488" s="3" t="s">
        <v>27</v>
      </c>
      <c r="AL4488" s="3">
        <v>-5451.3591489999999</v>
      </c>
    </row>
    <row r="4489" spans="34:38">
      <c r="AH4489" t="s">
        <v>2090</v>
      </c>
      <c r="AI4489" t="s">
        <v>68</v>
      </c>
      <c r="AJ4489" t="s">
        <v>108</v>
      </c>
      <c r="AK4489" s="3" t="s">
        <v>27</v>
      </c>
      <c r="AL4489" s="3">
        <v>324.94085100000001</v>
      </c>
    </row>
    <row r="4490" spans="34:38">
      <c r="AH4490" t="s">
        <v>2090</v>
      </c>
      <c r="AI4490" t="s">
        <v>65</v>
      </c>
      <c r="AJ4490" t="s">
        <v>113</v>
      </c>
      <c r="AK4490" s="3" t="s">
        <v>27</v>
      </c>
      <c r="AL4490" s="3">
        <v>1748.439422956</v>
      </c>
    </row>
    <row r="4491" spans="34:38">
      <c r="AH4491" t="s">
        <v>2090</v>
      </c>
      <c r="AI4491" t="s">
        <v>67</v>
      </c>
      <c r="AJ4491" t="s">
        <v>113</v>
      </c>
      <c r="AK4491" s="3" t="s">
        <v>27</v>
      </c>
      <c r="AL4491" s="3">
        <v>0</v>
      </c>
    </row>
    <row r="4492" spans="34:38">
      <c r="AH4492" t="s">
        <v>2090</v>
      </c>
      <c r="AI4492" t="s">
        <v>65</v>
      </c>
      <c r="AJ4492" t="s">
        <v>2303</v>
      </c>
      <c r="AK4492" s="3" t="s">
        <v>27</v>
      </c>
      <c r="AL4492" s="3">
        <v>-2579.927856234</v>
      </c>
    </row>
    <row r="4493" spans="34:38">
      <c r="AH4493" t="s">
        <v>2090</v>
      </c>
      <c r="AI4493" t="s">
        <v>67</v>
      </c>
      <c r="AJ4493" t="s">
        <v>2303</v>
      </c>
      <c r="AK4493" s="3" t="s">
        <v>27</v>
      </c>
      <c r="AL4493" s="3">
        <v>-312.29712999999998</v>
      </c>
    </row>
    <row r="4494" spans="34:38">
      <c r="AH4494" t="s">
        <v>2091</v>
      </c>
      <c r="AI4494" t="s">
        <v>65</v>
      </c>
      <c r="AJ4494" t="s">
        <v>66</v>
      </c>
      <c r="AK4494" s="3" t="s">
        <v>27</v>
      </c>
      <c r="AL4494" s="3">
        <v>18705.8</v>
      </c>
    </row>
    <row r="4495" spans="34:38">
      <c r="AH4495" t="s">
        <v>2091</v>
      </c>
      <c r="AI4495" t="s">
        <v>65</v>
      </c>
      <c r="AJ4495" t="s">
        <v>72</v>
      </c>
      <c r="AK4495" s="3" t="s">
        <v>27</v>
      </c>
      <c r="AL4495" s="3">
        <v>18488.250368000001</v>
      </c>
    </row>
    <row r="4496" spans="34:38">
      <c r="AH4496" t="s">
        <v>2091</v>
      </c>
      <c r="AI4496" t="s">
        <v>65</v>
      </c>
      <c r="AJ4496" t="s">
        <v>108</v>
      </c>
      <c r="AK4496" s="3" t="s">
        <v>27</v>
      </c>
      <c r="AL4496" s="3">
        <v>-217.549632</v>
      </c>
    </row>
    <row r="4497" spans="34:38">
      <c r="AH4497" t="s">
        <v>2091</v>
      </c>
      <c r="AI4497" t="s">
        <v>67</v>
      </c>
      <c r="AJ4497" t="s">
        <v>66</v>
      </c>
      <c r="AK4497" s="3" t="s">
        <v>27</v>
      </c>
      <c r="AL4497" s="3">
        <v>-2737.5</v>
      </c>
    </row>
    <row r="4498" spans="34:38">
      <c r="AH4498" t="s">
        <v>2091</v>
      </c>
      <c r="AI4498" t="s">
        <v>67</v>
      </c>
      <c r="AJ4498" t="s">
        <v>72</v>
      </c>
      <c r="AK4498" s="3" t="s">
        <v>27</v>
      </c>
      <c r="AL4498" s="3">
        <v>-3207.0953850000001</v>
      </c>
    </row>
    <row r="4499" spans="34:38">
      <c r="AH4499" t="s">
        <v>2091</v>
      </c>
      <c r="AI4499" t="s">
        <v>67</v>
      </c>
      <c r="AJ4499" t="s">
        <v>108</v>
      </c>
      <c r="AK4499" s="3" t="s">
        <v>27</v>
      </c>
      <c r="AL4499" s="3">
        <v>-469.59538500000002</v>
      </c>
    </row>
    <row r="4500" spans="34:38">
      <c r="AH4500" t="s">
        <v>2091</v>
      </c>
      <c r="AI4500" t="s">
        <v>68</v>
      </c>
      <c r="AJ4500" t="s">
        <v>66</v>
      </c>
      <c r="AK4500" s="3" t="s">
        <v>27</v>
      </c>
      <c r="AL4500" s="3">
        <v>-6556.3</v>
      </c>
    </row>
    <row r="4501" spans="34:38">
      <c r="AH4501" t="s">
        <v>2091</v>
      </c>
      <c r="AI4501" t="s">
        <v>68</v>
      </c>
      <c r="AJ4501" t="s">
        <v>72</v>
      </c>
      <c r="AK4501" s="3" t="s">
        <v>27</v>
      </c>
      <c r="AL4501" s="3">
        <v>-6240.2080029999997</v>
      </c>
    </row>
    <row r="4502" spans="34:38">
      <c r="AH4502" t="s">
        <v>2091</v>
      </c>
      <c r="AI4502" t="s">
        <v>68</v>
      </c>
      <c r="AJ4502" t="s">
        <v>108</v>
      </c>
      <c r="AK4502" s="3" t="s">
        <v>27</v>
      </c>
      <c r="AL4502" s="3">
        <v>316.09199699999999</v>
      </c>
    </row>
    <row r="4503" spans="34:38">
      <c r="AH4503" t="s">
        <v>2091</v>
      </c>
      <c r="AI4503" t="s">
        <v>65</v>
      </c>
      <c r="AJ4503" t="s">
        <v>113</v>
      </c>
      <c r="AK4503" s="3" t="s">
        <v>27</v>
      </c>
      <c r="AL4503" s="3">
        <v>1848.5083787660999</v>
      </c>
    </row>
    <row r="4504" spans="34:38">
      <c r="AH4504" t="s">
        <v>2091</v>
      </c>
      <c r="AI4504" t="s">
        <v>67</v>
      </c>
      <c r="AJ4504" t="s">
        <v>113</v>
      </c>
      <c r="AK4504" s="3" t="s">
        <v>27</v>
      </c>
      <c r="AL4504" s="3">
        <v>0</v>
      </c>
    </row>
    <row r="4505" spans="34:38">
      <c r="AH4505" t="s">
        <v>2091</v>
      </c>
      <c r="AI4505" t="s">
        <v>65</v>
      </c>
      <c r="AJ4505" t="s">
        <v>2303</v>
      </c>
      <c r="AK4505" s="3" t="s">
        <v>27</v>
      </c>
      <c r="AL4505" s="3">
        <v>-2506.0988499941</v>
      </c>
    </row>
    <row r="4506" spans="34:38">
      <c r="AH4506" t="s">
        <v>2091</v>
      </c>
      <c r="AI4506" t="s">
        <v>67</v>
      </c>
      <c r="AJ4506" t="s">
        <v>2303</v>
      </c>
      <c r="AK4506" s="3" t="s">
        <v>27</v>
      </c>
      <c r="AL4506" s="3">
        <v>-469.59538500000002</v>
      </c>
    </row>
    <row r="4507" spans="34:38">
      <c r="AH4507" t="s">
        <v>2091</v>
      </c>
      <c r="AI4507" t="s">
        <v>65</v>
      </c>
      <c r="AJ4507" t="s">
        <v>113</v>
      </c>
      <c r="AK4507" s="3" t="s">
        <v>20</v>
      </c>
      <c r="AL4507" s="3">
        <v>681.93842664639999</v>
      </c>
    </row>
    <row r="4508" spans="34:38">
      <c r="AH4508" t="s">
        <v>2092</v>
      </c>
      <c r="AI4508" t="s">
        <v>65</v>
      </c>
      <c r="AJ4508" t="s">
        <v>66</v>
      </c>
      <c r="AK4508" s="3" t="s">
        <v>27</v>
      </c>
      <c r="AL4508" s="3">
        <v>17697.3</v>
      </c>
    </row>
    <row r="4509" spans="34:38">
      <c r="AH4509" t="s">
        <v>2092</v>
      </c>
      <c r="AI4509" t="s">
        <v>65</v>
      </c>
      <c r="AJ4509" t="s">
        <v>72</v>
      </c>
      <c r="AK4509" s="3" t="s">
        <v>27</v>
      </c>
      <c r="AL4509" s="3">
        <v>16969.366353000001</v>
      </c>
    </row>
    <row r="4510" spans="34:38">
      <c r="AH4510" t="s">
        <v>2092</v>
      </c>
      <c r="AI4510" t="s">
        <v>65</v>
      </c>
      <c r="AJ4510" t="s">
        <v>108</v>
      </c>
      <c r="AK4510" s="3" t="s">
        <v>27</v>
      </c>
      <c r="AL4510" s="3">
        <v>-727.93364699999995</v>
      </c>
    </row>
    <row r="4511" spans="34:38">
      <c r="AH4511" t="s">
        <v>2092</v>
      </c>
      <c r="AI4511" t="s">
        <v>67</v>
      </c>
      <c r="AJ4511" t="s">
        <v>66</v>
      </c>
      <c r="AK4511" s="3" t="s">
        <v>27</v>
      </c>
      <c r="AL4511" s="3">
        <v>-1534</v>
      </c>
    </row>
    <row r="4512" spans="34:38">
      <c r="AH4512" t="s">
        <v>2092</v>
      </c>
      <c r="AI4512" t="s">
        <v>67</v>
      </c>
      <c r="AJ4512" t="s">
        <v>72</v>
      </c>
      <c r="AK4512" s="3" t="s">
        <v>27</v>
      </c>
      <c r="AL4512" s="3">
        <v>-1378.5028</v>
      </c>
    </row>
    <row r="4513" spans="34:38">
      <c r="AH4513" t="s">
        <v>2092</v>
      </c>
      <c r="AI4513" t="s">
        <v>67</v>
      </c>
      <c r="AJ4513" t="s">
        <v>108</v>
      </c>
      <c r="AK4513" s="3" t="s">
        <v>27</v>
      </c>
      <c r="AL4513" s="3">
        <v>155.49719999999999</v>
      </c>
    </row>
    <row r="4514" spans="34:38">
      <c r="AH4514" t="s">
        <v>2092</v>
      </c>
      <c r="AI4514" t="s">
        <v>68</v>
      </c>
      <c r="AJ4514" t="s">
        <v>66</v>
      </c>
      <c r="AK4514" s="3" t="s">
        <v>27</v>
      </c>
      <c r="AL4514" s="3">
        <v>-6651.3</v>
      </c>
    </row>
    <row r="4515" spans="34:38">
      <c r="AH4515" t="s">
        <v>2092</v>
      </c>
      <c r="AI4515" t="s">
        <v>68</v>
      </c>
      <c r="AJ4515" t="s">
        <v>72</v>
      </c>
      <c r="AK4515" s="3" t="s">
        <v>27</v>
      </c>
      <c r="AL4515" s="3">
        <v>-6455.0817729999999</v>
      </c>
    </row>
    <row r="4516" spans="34:38">
      <c r="AH4516" t="s">
        <v>2092</v>
      </c>
      <c r="AI4516" t="s">
        <v>68</v>
      </c>
      <c r="AJ4516" t="s">
        <v>108</v>
      </c>
      <c r="AK4516" s="3" t="s">
        <v>27</v>
      </c>
      <c r="AL4516" s="3">
        <v>196.21822700000001</v>
      </c>
    </row>
    <row r="4517" spans="34:38">
      <c r="AH4517" t="s">
        <v>2092</v>
      </c>
      <c r="AI4517" t="s">
        <v>65</v>
      </c>
      <c r="AJ4517" t="s">
        <v>113</v>
      </c>
      <c r="AK4517" s="3" t="s">
        <v>27</v>
      </c>
      <c r="AL4517" s="3">
        <v>1363.397499378</v>
      </c>
    </row>
    <row r="4518" spans="34:38">
      <c r="AH4518" t="s">
        <v>2092</v>
      </c>
      <c r="AI4518" t="s">
        <v>67</v>
      </c>
      <c r="AJ4518" t="s">
        <v>113</v>
      </c>
      <c r="AK4518" s="3" t="s">
        <v>27</v>
      </c>
      <c r="AL4518" s="3">
        <v>0</v>
      </c>
    </row>
    <row r="4519" spans="34:38">
      <c r="AH4519" t="s">
        <v>2092</v>
      </c>
      <c r="AI4519" t="s">
        <v>65</v>
      </c>
      <c r="AJ4519" t="s">
        <v>2303</v>
      </c>
      <c r="AK4519" s="3" t="s">
        <v>27</v>
      </c>
      <c r="AL4519" s="3">
        <v>-2529.0130518320002</v>
      </c>
    </row>
    <row r="4520" spans="34:38">
      <c r="AH4520" t="s">
        <v>2092</v>
      </c>
      <c r="AI4520" t="s">
        <v>67</v>
      </c>
      <c r="AJ4520" t="s">
        <v>2303</v>
      </c>
      <c r="AK4520" s="3" t="s">
        <v>27</v>
      </c>
      <c r="AL4520" s="3">
        <v>155.49719999999999</v>
      </c>
    </row>
    <row r="4521" spans="34:38">
      <c r="AH4521" t="s">
        <v>2092</v>
      </c>
      <c r="AI4521" t="s">
        <v>65</v>
      </c>
      <c r="AJ4521" t="s">
        <v>113</v>
      </c>
      <c r="AK4521" s="3" t="s">
        <v>20</v>
      </c>
      <c r="AL4521" s="3">
        <v>196.30577996330001</v>
      </c>
    </row>
    <row r="4522" spans="34:38">
      <c r="AH4522" t="s">
        <v>2093</v>
      </c>
      <c r="AI4522" t="s">
        <v>65</v>
      </c>
      <c r="AJ4522" t="s">
        <v>66</v>
      </c>
      <c r="AK4522" s="3" t="s">
        <v>27</v>
      </c>
      <c r="AL4522" s="3">
        <v>17158.3</v>
      </c>
    </row>
    <row r="4523" spans="34:38">
      <c r="AH4523" t="s">
        <v>2093</v>
      </c>
      <c r="AI4523" t="s">
        <v>65</v>
      </c>
      <c r="AJ4523" t="s">
        <v>72</v>
      </c>
      <c r="AK4523" s="3" t="s">
        <v>27</v>
      </c>
      <c r="AL4523" s="3">
        <v>16451.678916000001</v>
      </c>
    </row>
    <row r="4524" spans="34:38">
      <c r="AH4524" t="s">
        <v>2093</v>
      </c>
      <c r="AI4524" t="s">
        <v>65</v>
      </c>
      <c r="AJ4524" t="s">
        <v>108</v>
      </c>
      <c r="AK4524" s="3" t="s">
        <v>27</v>
      </c>
      <c r="AL4524" s="3">
        <v>-706.621084</v>
      </c>
    </row>
    <row r="4525" spans="34:38">
      <c r="AH4525" t="s">
        <v>2093</v>
      </c>
      <c r="AI4525" t="s">
        <v>67</v>
      </c>
      <c r="AJ4525" t="s">
        <v>66</v>
      </c>
      <c r="AK4525" s="3" t="s">
        <v>27</v>
      </c>
      <c r="AL4525" s="3">
        <v>-1045</v>
      </c>
    </row>
    <row r="4526" spans="34:38">
      <c r="AH4526" t="s">
        <v>2093</v>
      </c>
      <c r="AI4526" t="s">
        <v>67</v>
      </c>
      <c r="AJ4526" t="s">
        <v>72</v>
      </c>
      <c r="AK4526" s="3" t="s">
        <v>27</v>
      </c>
      <c r="AL4526" s="3">
        <v>-887.41198999999995</v>
      </c>
    </row>
    <row r="4527" spans="34:38">
      <c r="AH4527" t="s">
        <v>2093</v>
      </c>
      <c r="AI4527" t="s">
        <v>67</v>
      </c>
      <c r="AJ4527" t="s">
        <v>108</v>
      </c>
      <c r="AK4527" s="3" t="s">
        <v>27</v>
      </c>
      <c r="AL4527" s="3">
        <v>157.58801</v>
      </c>
    </row>
    <row r="4528" spans="34:38">
      <c r="AH4528" t="s">
        <v>2093</v>
      </c>
      <c r="AI4528" t="s">
        <v>68</v>
      </c>
      <c r="AJ4528" t="s">
        <v>66</v>
      </c>
      <c r="AK4528" s="3" t="s">
        <v>27</v>
      </c>
      <c r="AL4528" s="3">
        <v>-6651.3</v>
      </c>
    </row>
    <row r="4529" spans="34:38">
      <c r="AH4529" t="s">
        <v>2093</v>
      </c>
      <c r="AI4529" t="s">
        <v>68</v>
      </c>
      <c r="AJ4529" t="s">
        <v>72</v>
      </c>
      <c r="AK4529" s="3" t="s">
        <v>27</v>
      </c>
      <c r="AL4529" s="3">
        <v>-6459.5147660000002</v>
      </c>
    </row>
    <row r="4530" spans="34:38">
      <c r="AH4530" t="s">
        <v>2093</v>
      </c>
      <c r="AI4530" t="s">
        <v>68</v>
      </c>
      <c r="AJ4530" t="s">
        <v>108</v>
      </c>
      <c r="AK4530" s="3" t="s">
        <v>27</v>
      </c>
      <c r="AL4530" s="3">
        <v>191.785234</v>
      </c>
    </row>
    <row r="4531" spans="34:38">
      <c r="AH4531" t="s">
        <v>2093</v>
      </c>
      <c r="AI4531" t="s">
        <v>65</v>
      </c>
      <c r="AJ4531" t="s">
        <v>113</v>
      </c>
      <c r="AK4531" s="3" t="s">
        <v>27</v>
      </c>
      <c r="AL4531" s="3">
        <v>1347.443455461</v>
      </c>
    </row>
    <row r="4532" spans="34:38">
      <c r="AH4532" t="s">
        <v>2093</v>
      </c>
      <c r="AI4532" t="s">
        <v>67</v>
      </c>
      <c r="AJ4532" t="s">
        <v>113</v>
      </c>
      <c r="AK4532" s="3" t="s">
        <v>27</v>
      </c>
      <c r="AL4532" s="3">
        <v>0</v>
      </c>
    </row>
    <row r="4533" spans="34:38">
      <c r="AH4533" t="s">
        <v>2093</v>
      </c>
      <c r="AI4533" t="s">
        <v>65</v>
      </c>
      <c r="AJ4533" t="s">
        <v>2303</v>
      </c>
      <c r="AK4533" s="3" t="s">
        <v>27</v>
      </c>
      <c r="AL4533" s="3">
        <v>-2483.2706858500001</v>
      </c>
    </row>
    <row r="4534" spans="34:38">
      <c r="AH4534" t="s">
        <v>2093</v>
      </c>
      <c r="AI4534" t="s">
        <v>67</v>
      </c>
      <c r="AJ4534" t="s">
        <v>2303</v>
      </c>
      <c r="AK4534" s="3" t="s">
        <v>27</v>
      </c>
      <c r="AL4534" s="3">
        <v>157.58801</v>
      </c>
    </row>
    <row r="4535" spans="34:38">
      <c r="AH4535" t="s">
        <v>2093</v>
      </c>
      <c r="AI4535" t="s">
        <v>65</v>
      </c>
      <c r="AJ4535" t="s">
        <v>113</v>
      </c>
      <c r="AK4535" s="3" t="s">
        <v>20</v>
      </c>
      <c r="AL4535" s="3">
        <v>179.82996874489999</v>
      </c>
    </row>
    <row r="4536" spans="34:38">
      <c r="AH4536" t="s">
        <v>2094</v>
      </c>
      <c r="AI4536" t="s">
        <v>65</v>
      </c>
      <c r="AJ4536" t="s">
        <v>66</v>
      </c>
      <c r="AK4536" s="3" t="s">
        <v>27</v>
      </c>
      <c r="AL4536" s="3">
        <v>17708.3</v>
      </c>
    </row>
    <row r="4537" spans="34:38">
      <c r="AH4537" t="s">
        <v>2094</v>
      </c>
      <c r="AI4537" t="s">
        <v>65</v>
      </c>
      <c r="AJ4537" t="s">
        <v>72</v>
      </c>
      <c r="AK4537" s="3" t="s">
        <v>27</v>
      </c>
      <c r="AL4537" s="3">
        <v>16980.386516999999</v>
      </c>
    </row>
    <row r="4538" spans="34:38">
      <c r="AH4538" t="s">
        <v>2094</v>
      </c>
      <c r="AI4538" t="s">
        <v>65</v>
      </c>
      <c r="AJ4538" t="s">
        <v>108</v>
      </c>
      <c r="AK4538" s="3" t="s">
        <v>27</v>
      </c>
      <c r="AL4538" s="3">
        <v>-727.91348300000004</v>
      </c>
    </row>
    <row r="4539" spans="34:38">
      <c r="AH4539" t="s">
        <v>2094</v>
      </c>
      <c r="AI4539" t="s">
        <v>67</v>
      </c>
      <c r="AJ4539" t="s">
        <v>66</v>
      </c>
      <c r="AK4539" s="3" t="s">
        <v>27</v>
      </c>
      <c r="AL4539" s="3">
        <v>-2134</v>
      </c>
    </row>
    <row r="4540" spans="34:38">
      <c r="AH4540" t="s">
        <v>2094</v>
      </c>
      <c r="AI4540" t="s">
        <v>67</v>
      </c>
      <c r="AJ4540" t="s">
        <v>72</v>
      </c>
      <c r="AK4540" s="3" t="s">
        <v>27</v>
      </c>
      <c r="AL4540" s="3">
        <v>-1938.3209999999999</v>
      </c>
    </row>
    <row r="4541" spans="34:38">
      <c r="AH4541" t="s">
        <v>2094</v>
      </c>
      <c r="AI4541" t="s">
        <v>67</v>
      </c>
      <c r="AJ4541" t="s">
        <v>108</v>
      </c>
      <c r="AK4541" s="3" t="s">
        <v>27</v>
      </c>
      <c r="AL4541" s="3">
        <v>195.679</v>
      </c>
    </row>
    <row r="4542" spans="34:38">
      <c r="AH4542" t="s">
        <v>2094</v>
      </c>
      <c r="AI4542" t="s">
        <v>68</v>
      </c>
      <c r="AJ4542" t="s">
        <v>66</v>
      </c>
      <c r="AK4542" s="3" t="s">
        <v>27</v>
      </c>
      <c r="AL4542" s="3">
        <v>-5812.3</v>
      </c>
    </row>
    <row r="4543" spans="34:38">
      <c r="AH4543" t="s">
        <v>2094</v>
      </c>
      <c r="AI4543" t="s">
        <v>68</v>
      </c>
      <c r="AJ4543" t="s">
        <v>72</v>
      </c>
      <c r="AK4543" s="3" t="s">
        <v>27</v>
      </c>
      <c r="AL4543" s="3">
        <v>-5656.4139969999997</v>
      </c>
    </row>
    <row r="4544" spans="34:38">
      <c r="AH4544" t="s">
        <v>2094</v>
      </c>
      <c r="AI4544" t="s">
        <v>68</v>
      </c>
      <c r="AJ4544" t="s">
        <v>108</v>
      </c>
      <c r="AK4544" s="3" t="s">
        <v>27</v>
      </c>
      <c r="AL4544" s="3">
        <v>155.88600299999999</v>
      </c>
    </row>
    <row r="4545" spans="34:38">
      <c r="AH4545" t="s">
        <v>2094</v>
      </c>
      <c r="AI4545" t="s">
        <v>65</v>
      </c>
      <c r="AJ4545" t="s">
        <v>113</v>
      </c>
      <c r="AK4545" s="3" t="s">
        <v>27</v>
      </c>
      <c r="AL4545" s="3">
        <v>1350.572724099</v>
      </c>
    </row>
    <row r="4546" spans="34:38">
      <c r="AH4546" t="s">
        <v>2094</v>
      </c>
      <c r="AI4546" t="s">
        <v>67</v>
      </c>
      <c r="AJ4546" t="s">
        <v>113</v>
      </c>
      <c r="AK4546" s="3" t="s">
        <v>27</v>
      </c>
      <c r="AL4546" s="3">
        <v>0</v>
      </c>
    </row>
    <row r="4547" spans="34:38">
      <c r="AH4547" t="s">
        <v>2094</v>
      </c>
      <c r="AI4547" t="s">
        <v>65</v>
      </c>
      <c r="AJ4547" t="s">
        <v>2303</v>
      </c>
      <c r="AK4547" s="3" t="s">
        <v>27</v>
      </c>
      <c r="AL4547" s="3">
        <v>-2502.9017533370002</v>
      </c>
    </row>
    <row r="4548" spans="34:38">
      <c r="AH4548" t="s">
        <v>2094</v>
      </c>
      <c r="AI4548" t="s">
        <v>67</v>
      </c>
      <c r="AJ4548" t="s">
        <v>2303</v>
      </c>
      <c r="AK4548" s="3" t="s">
        <v>27</v>
      </c>
      <c r="AL4548" s="3">
        <v>195.679</v>
      </c>
    </row>
    <row r="4549" spans="34:38">
      <c r="AH4549" t="s">
        <v>2094</v>
      </c>
      <c r="AI4549" t="s">
        <v>65</v>
      </c>
      <c r="AJ4549" t="s">
        <v>113</v>
      </c>
      <c r="AK4549" s="3" t="s">
        <v>20</v>
      </c>
      <c r="AL4549" s="3">
        <v>182.4374700832</v>
      </c>
    </row>
    <row r="4550" spans="34:38">
      <c r="AH4550" t="s">
        <v>2095</v>
      </c>
      <c r="AI4550" t="s">
        <v>65</v>
      </c>
      <c r="AJ4550" t="s">
        <v>66</v>
      </c>
      <c r="AK4550" s="3" t="s">
        <v>27</v>
      </c>
      <c r="AL4550" s="3">
        <v>18471.3</v>
      </c>
    </row>
    <row r="4551" spans="34:38">
      <c r="AH4551" t="s">
        <v>2095</v>
      </c>
      <c r="AI4551" t="s">
        <v>65</v>
      </c>
      <c r="AJ4551" t="s">
        <v>72</v>
      </c>
      <c r="AK4551" s="3" t="s">
        <v>27</v>
      </c>
      <c r="AL4551" s="3">
        <v>17792.050509000001</v>
      </c>
    </row>
    <row r="4552" spans="34:38">
      <c r="AH4552" t="s">
        <v>2095</v>
      </c>
      <c r="AI4552" t="s">
        <v>65</v>
      </c>
      <c r="AJ4552" t="s">
        <v>108</v>
      </c>
      <c r="AK4552" s="3" t="s">
        <v>27</v>
      </c>
      <c r="AL4552" s="3">
        <v>-679.24949100000003</v>
      </c>
    </row>
    <row r="4553" spans="34:38">
      <c r="AH4553" t="s">
        <v>2095</v>
      </c>
      <c r="AI4553" t="s">
        <v>67</v>
      </c>
      <c r="AJ4553" t="s">
        <v>66</v>
      </c>
      <c r="AK4553" s="3" t="s">
        <v>27</v>
      </c>
      <c r="AL4553" s="3">
        <v>-2347</v>
      </c>
    </row>
    <row r="4554" spans="34:38">
      <c r="AH4554" t="s">
        <v>2095</v>
      </c>
      <c r="AI4554" t="s">
        <v>67</v>
      </c>
      <c r="AJ4554" t="s">
        <v>72</v>
      </c>
      <c r="AK4554" s="3" t="s">
        <v>27</v>
      </c>
      <c r="AL4554" s="3">
        <v>-2222.28287</v>
      </c>
    </row>
    <row r="4555" spans="34:38">
      <c r="AH4555" t="s">
        <v>2095</v>
      </c>
      <c r="AI4555" t="s">
        <v>67</v>
      </c>
      <c r="AJ4555" t="s">
        <v>108</v>
      </c>
      <c r="AK4555" s="3" t="s">
        <v>27</v>
      </c>
      <c r="AL4555" s="3">
        <v>124.71713</v>
      </c>
    </row>
    <row r="4556" spans="34:38">
      <c r="AH4556" t="s">
        <v>2095</v>
      </c>
      <c r="AI4556" t="s">
        <v>68</v>
      </c>
      <c r="AJ4556" t="s">
        <v>66</v>
      </c>
      <c r="AK4556" s="3" t="s">
        <v>27</v>
      </c>
      <c r="AL4556" s="3">
        <v>-6362.3</v>
      </c>
    </row>
    <row r="4557" spans="34:38">
      <c r="AH4557" t="s">
        <v>2095</v>
      </c>
      <c r="AI4557" t="s">
        <v>68</v>
      </c>
      <c r="AJ4557" t="s">
        <v>72</v>
      </c>
      <c r="AK4557" s="3" t="s">
        <v>27</v>
      </c>
      <c r="AL4557" s="3">
        <v>-6182.4821590000001</v>
      </c>
    </row>
    <row r="4558" spans="34:38">
      <c r="AH4558" t="s">
        <v>2095</v>
      </c>
      <c r="AI4558" t="s">
        <v>68</v>
      </c>
      <c r="AJ4558" t="s">
        <v>108</v>
      </c>
      <c r="AK4558" s="3" t="s">
        <v>27</v>
      </c>
      <c r="AL4558" s="3">
        <v>179.81784099999999</v>
      </c>
    </row>
    <row r="4559" spans="34:38">
      <c r="AH4559" t="s">
        <v>2095</v>
      </c>
      <c r="AI4559" t="s">
        <v>65</v>
      </c>
      <c r="AJ4559" t="s">
        <v>113</v>
      </c>
      <c r="AK4559" s="3" t="s">
        <v>27</v>
      </c>
      <c r="AL4559" s="3">
        <v>1436.831979458</v>
      </c>
    </row>
    <row r="4560" spans="34:38">
      <c r="AH4560" t="s">
        <v>2095</v>
      </c>
      <c r="AI4560" t="s">
        <v>67</v>
      </c>
      <c r="AJ4560" t="s">
        <v>113</v>
      </c>
      <c r="AK4560" s="3" t="s">
        <v>27</v>
      </c>
      <c r="AL4560" s="3">
        <v>0</v>
      </c>
    </row>
    <row r="4561" spans="34:38">
      <c r="AH4561" t="s">
        <v>2095</v>
      </c>
      <c r="AI4561" t="s">
        <v>65</v>
      </c>
      <c r="AJ4561" t="s">
        <v>2303</v>
      </c>
      <c r="AK4561" s="3" t="s">
        <v>27</v>
      </c>
      <c r="AL4561" s="3">
        <v>-2536.8457169510002</v>
      </c>
    </row>
    <row r="4562" spans="34:38">
      <c r="AH4562" t="s">
        <v>2095</v>
      </c>
      <c r="AI4562" t="s">
        <v>67</v>
      </c>
      <c r="AJ4562" t="s">
        <v>2303</v>
      </c>
      <c r="AK4562" s="3" t="s">
        <v>27</v>
      </c>
      <c r="AL4562" s="3">
        <v>124.71713</v>
      </c>
    </row>
    <row r="4563" spans="34:38">
      <c r="AH4563" t="s">
        <v>2095</v>
      </c>
      <c r="AI4563" t="s">
        <v>65</v>
      </c>
      <c r="AJ4563" t="s">
        <v>113</v>
      </c>
      <c r="AK4563" s="3" t="s">
        <v>20</v>
      </c>
      <c r="AL4563" s="3">
        <v>268.17495813559998</v>
      </c>
    </row>
    <row r="4564" spans="34:38">
      <c r="AH4564" t="s">
        <v>2096</v>
      </c>
      <c r="AI4564" t="s">
        <v>65</v>
      </c>
      <c r="AJ4564" t="s">
        <v>66</v>
      </c>
      <c r="AK4564" s="3" t="s">
        <v>27</v>
      </c>
      <c r="AL4564" s="3">
        <v>18614.3</v>
      </c>
    </row>
    <row r="4565" spans="34:38">
      <c r="AH4565" t="s">
        <v>2096</v>
      </c>
      <c r="AI4565" t="s">
        <v>65</v>
      </c>
      <c r="AJ4565" t="s">
        <v>72</v>
      </c>
      <c r="AK4565" s="3" t="s">
        <v>27</v>
      </c>
      <c r="AL4565" s="3">
        <v>17948.167876</v>
      </c>
    </row>
    <row r="4566" spans="34:38">
      <c r="AH4566" t="s">
        <v>2096</v>
      </c>
      <c r="AI4566" t="s">
        <v>65</v>
      </c>
      <c r="AJ4566" t="s">
        <v>108</v>
      </c>
      <c r="AK4566" s="3" t="s">
        <v>27</v>
      </c>
      <c r="AL4566" s="3">
        <v>-666.13212399999998</v>
      </c>
    </row>
    <row r="4567" spans="34:38">
      <c r="AH4567" t="s">
        <v>2096</v>
      </c>
      <c r="AI4567" t="s">
        <v>67</v>
      </c>
      <c r="AJ4567" t="s">
        <v>66</v>
      </c>
      <c r="AK4567" s="3" t="s">
        <v>27</v>
      </c>
      <c r="AL4567" s="3">
        <v>-1727</v>
      </c>
    </row>
    <row r="4568" spans="34:38">
      <c r="AH4568" t="s">
        <v>2096</v>
      </c>
      <c r="AI4568" t="s">
        <v>67</v>
      </c>
      <c r="AJ4568" t="s">
        <v>72</v>
      </c>
      <c r="AK4568" s="3" t="s">
        <v>27</v>
      </c>
      <c r="AL4568" s="3">
        <v>-1572.19352</v>
      </c>
    </row>
    <row r="4569" spans="34:38">
      <c r="AH4569" t="s">
        <v>2096</v>
      </c>
      <c r="AI4569" t="s">
        <v>67</v>
      </c>
      <c r="AJ4569" t="s">
        <v>108</v>
      </c>
      <c r="AK4569" s="3" t="s">
        <v>27</v>
      </c>
      <c r="AL4569" s="3">
        <v>154.80647999999999</v>
      </c>
    </row>
    <row r="4570" spans="34:38">
      <c r="AH4570" t="s">
        <v>2096</v>
      </c>
      <c r="AI4570" t="s">
        <v>68</v>
      </c>
      <c r="AJ4570" t="s">
        <v>66</v>
      </c>
      <c r="AK4570" s="3" t="s">
        <v>27</v>
      </c>
      <c r="AL4570" s="3">
        <v>-7175.3</v>
      </c>
    </row>
    <row r="4571" spans="34:38">
      <c r="AH4571" t="s">
        <v>2096</v>
      </c>
      <c r="AI4571" t="s">
        <v>68</v>
      </c>
      <c r="AJ4571" t="s">
        <v>72</v>
      </c>
      <c r="AK4571" s="3" t="s">
        <v>27</v>
      </c>
      <c r="AL4571" s="3">
        <v>-7045.464156</v>
      </c>
    </row>
    <row r="4572" spans="34:38">
      <c r="AH4572" t="s">
        <v>2096</v>
      </c>
      <c r="AI4572" t="s">
        <v>68</v>
      </c>
      <c r="AJ4572" t="s">
        <v>108</v>
      </c>
      <c r="AK4572" s="3" t="s">
        <v>27</v>
      </c>
      <c r="AL4572" s="3">
        <v>129.83584400000001</v>
      </c>
    </row>
    <row r="4573" spans="34:38">
      <c r="AH4573" t="s">
        <v>2096</v>
      </c>
      <c r="AI4573" t="s">
        <v>65</v>
      </c>
      <c r="AJ4573" t="s">
        <v>113</v>
      </c>
      <c r="AK4573" s="3" t="s">
        <v>27</v>
      </c>
      <c r="AL4573" s="3">
        <v>1433.21159754</v>
      </c>
    </row>
    <row r="4574" spans="34:38">
      <c r="AH4574" t="s">
        <v>2096</v>
      </c>
      <c r="AI4574" t="s">
        <v>67</v>
      </c>
      <c r="AJ4574" t="s">
        <v>113</v>
      </c>
      <c r="AK4574" s="3" t="s">
        <v>27</v>
      </c>
      <c r="AL4574" s="3">
        <v>0</v>
      </c>
    </row>
    <row r="4575" spans="34:38">
      <c r="AH4575" t="s">
        <v>2096</v>
      </c>
      <c r="AI4575" t="s">
        <v>65</v>
      </c>
      <c r="AJ4575" t="s">
        <v>2303</v>
      </c>
      <c r="AK4575" s="3" t="s">
        <v>27</v>
      </c>
      <c r="AL4575" s="3">
        <v>-2519.523396009</v>
      </c>
    </row>
    <row r="4576" spans="34:38">
      <c r="AH4576" t="s">
        <v>2096</v>
      </c>
      <c r="AI4576" t="s">
        <v>67</v>
      </c>
      <c r="AJ4576" t="s">
        <v>2303</v>
      </c>
      <c r="AK4576" s="3" t="s">
        <v>27</v>
      </c>
      <c r="AL4576" s="3">
        <v>154.80647999999999</v>
      </c>
    </row>
    <row r="4577" spans="34:38">
      <c r="AH4577" t="s">
        <v>2096</v>
      </c>
      <c r="AI4577" t="s">
        <v>65</v>
      </c>
      <c r="AJ4577" t="s">
        <v>113</v>
      </c>
      <c r="AK4577" s="3" t="s">
        <v>20</v>
      </c>
      <c r="AL4577" s="3">
        <v>262.98927432110003</v>
      </c>
    </row>
    <row r="4578" spans="34:38">
      <c r="AH4578" t="s">
        <v>2097</v>
      </c>
      <c r="AI4578" t="s">
        <v>65</v>
      </c>
      <c r="AJ4578" t="s">
        <v>113</v>
      </c>
      <c r="AK4578" s="3" t="s">
        <v>20</v>
      </c>
      <c r="AL4578" s="3">
        <v>218.44052580889999</v>
      </c>
    </row>
    <row r="4579" spans="34:38">
      <c r="AH4579" t="s">
        <v>2097</v>
      </c>
      <c r="AI4579" t="s">
        <v>65</v>
      </c>
      <c r="AJ4579" t="s">
        <v>66</v>
      </c>
      <c r="AK4579" s="3" t="s">
        <v>27</v>
      </c>
      <c r="AL4579" s="3">
        <v>18417.3</v>
      </c>
    </row>
    <row r="4580" spans="34:38">
      <c r="AH4580" t="s">
        <v>2097</v>
      </c>
      <c r="AI4580" t="s">
        <v>65</v>
      </c>
      <c r="AJ4580" t="s">
        <v>72</v>
      </c>
      <c r="AK4580" s="3" t="s">
        <v>27</v>
      </c>
      <c r="AL4580" s="3">
        <v>17717.343077000001</v>
      </c>
    </row>
    <row r="4581" spans="34:38">
      <c r="AH4581" t="s">
        <v>2097</v>
      </c>
      <c r="AI4581" t="s">
        <v>65</v>
      </c>
      <c r="AJ4581" t="s">
        <v>108</v>
      </c>
      <c r="AK4581" s="3" t="s">
        <v>27</v>
      </c>
      <c r="AL4581" s="3">
        <v>-699.95692299999996</v>
      </c>
    </row>
    <row r="4582" spans="34:38">
      <c r="AH4582" t="s">
        <v>2097</v>
      </c>
      <c r="AI4582" t="s">
        <v>67</v>
      </c>
      <c r="AJ4582" t="s">
        <v>66</v>
      </c>
      <c r="AK4582" s="3" t="s">
        <v>27</v>
      </c>
      <c r="AL4582" s="3">
        <v>-1637</v>
      </c>
    </row>
    <row r="4583" spans="34:38">
      <c r="AH4583" t="s">
        <v>2097</v>
      </c>
      <c r="AI4583" t="s">
        <v>67</v>
      </c>
      <c r="AJ4583" t="s">
        <v>72</v>
      </c>
      <c r="AK4583" s="3" t="s">
        <v>27</v>
      </c>
      <c r="AL4583" s="3">
        <v>-1417.11158</v>
      </c>
    </row>
    <row r="4584" spans="34:38">
      <c r="AH4584" t="s">
        <v>2097</v>
      </c>
      <c r="AI4584" t="s">
        <v>67</v>
      </c>
      <c r="AJ4584" t="s">
        <v>108</v>
      </c>
      <c r="AK4584" s="3" t="s">
        <v>27</v>
      </c>
      <c r="AL4584" s="3">
        <v>219.88842</v>
      </c>
    </row>
    <row r="4585" spans="34:38">
      <c r="AH4585" t="s">
        <v>2097</v>
      </c>
      <c r="AI4585" t="s">
        <v>68</v>
      </c>
      <c r="AJ4585" t="s">
        <v>66</v>
      </c>
      <c r="AK4585" s="3" t="s">
        <v>27</v>
      </c>
      <c r="AL4585" s="3">
        <v>-6868.3</v>
      </c>
    </row>
    <row r="4586" spans="34:38">
      <c r="AH4586" t="s">
        <v>2097</v>
      </c>
      <c r="AI4586" t="s">
        <v>68</v>
      </c>
      <c r="AJ4586" t="s">
        <v>72</v>
      </c>
      <c r="AK4586" s="3" t="s">
        <v>27</v>
      </c>
      <c r="AL4586" s="3">
        <v>-6767.0539369999997</v>
      </c>
    </row>
    <row r="4587" spans="34:38">
      <c r="AH4587" t="s">
        <v>2097</v>
      </c>
      <c r="AI4587" t="s">
        <v>68</v>
      </c>
      <c r="AJ4587" t="s">
        <v>108</v>
      </c>
      <c r="AK4587" s="3" t="s">
        <v>27</v>
      </c>
      <c r="AL4587" s="3">
        <v>101.24606300000001</v>
      </c>
    </row>
    <row r="4588" spans="34:38">
      <c r="AH4588" t="s">
        <v>2097</v>
      </c>
      <c r="AI4588" t="s">
        <v>65</v>
      </c>
      <c r="AJ4588" t="s">
        <v>113</v>
      </c>
      <c r="AK4588" s="3" t="s">
        <v>27</v>
      </c>
      <c r="AL4588" s="3">
        <v>1389.1846163320999</v>
      </c>
    </row>
    <row r="4589" spans="34:38">
      <c r="AH4589" t="s">
        <v>2097</v>
      </c>
      <c r="AI4589" t="s">
        <v>67</v>
      </c>
      <c r="AJ4589" t="s">
        <v>113</v>
      </c>
      <c r="AK4589" s="3" t="s">
        <v>27</v>
      </c>
      <c r="AL4589" s="3">
        <v>0</v>
      </c>
    </row>
    <row r="4590" spans="34:38">
      <c r="AH4590" t="s">
        <v>2097</v>
      </c>
      <c r="AI4590" t="s">
        <v>65</v>
      </c>
      <c r="AJ4590" t="s">
        <v>2303</v>
      </c>
      <c r="AK4590" s="3" t="s">
        <v>27</v>
      </c>
      <c r="AL4590" s="3">
        <v>-2497.2832764610998</v>
      </c>
    </row>
    <row r="4591" spans="34:38">
      <c r="AH4591" t="s">
        <v>2097</v>
      </c>
      <c r="AI4591" t="s">
        <v>67</v>
      </c>
      <c r="AJ4591" t="s">
        <v>2303</v>
      </c>
      <c r="AK4591" s="3" t="s">
        <v>27</v>
      </c>
      <c r="AL4591" s="3">
        <v>219.88842</v>
      </c>
    </row>
    <row r="4592" spans="34:38">
      <c r="AH4592" t="s">
        <v>2098</v>
      </c>
      <c r="AI4592" t="s">
        <v>65</v>
      </c>
      <c r="AJ4592" t="s">
        <v>66</v>
      </c>
      <c r="AK4592" s="3" t="s">
        <v>27</v>
      </c>
      <c r="AL4592" s="3">
        <v>17160.3</v>
      </c>
    </row>
    <row r="4593" spans="34:38">
      <c r="AH4593" t="s">
        <v>2098</v>
      </c>
      <c r="AI4593" t="s">
        <v>65</v>
      </c>
      <c r="AJ4593" t="s">
        <v>72</v>
      </c>
      <c r="AK4593" s="3" t="s">
        <v>27</v>
      </c>
      <c r="AL4593" s="3">
        <v>16546.173828999999</v>
      </c>
    </row>
    <row r="4594" spans="34:38">
      <c r="AH4594" t="s">
        <v>2098</v>
      </c>
      <c r="AI4594" t="s">
        <v>65</v>
      </c>
      <c r="AJ4594" t="s">
        <v>108</v>
      </c>
      <c r="AK4594" s="3" t="s">
        <v>27</v>
      </c>
      <c r="AL4594" s="3">
        <v>-614.126171</v>
      </c>
    </row>
    <row r="4595" spans="34:38">
      <c r="AH4595" t="s">
        <v>2098</v>
      </c>
      <c r="AI4595" t="s">
        <v>67</v>
      </c>
      <c r="AJ4595" t="s">
        <v>66</v>
      </c>
      <c r="AK4595" s="3" t="s">
        <v>27</v>
      </c>
      <c r="AL4595" s="3">
        <v>-577</v>
      </c>
    </row>
    <row r="4596" spans="34:38">
      <c r="AH4596" t="s">
        <v>2098</v>
      </c>
      <c r="AI4596" t="s">
        <v>67</v>
      </c>
      <c r="AJ4596" t="s">
        <v>72</v>
      </c>
      <c r="AK4596" s="3" t="s">
        <v>27</v>
      </c>
      <c r="AL4596" s="3">
        <v>-469.19353000000001</v>
      </c>
    </row>
    <row r="4597" spans="34:38">
      <c r="AH4597" t="s">
        <v>2098</v>
      </c>
      <c r="AI4597" t="s">
        <v>67</v>
      </c>
      <c r="AJ4597" t="s">
        <v>108</v>
      </c>
      <c r="AK4597" s="3" t="s">
        <v>27</v>
      </c>
      <c r="AL4597" s="3">
        <v>107.80647</v>
      </c>
    </row>
    <row r="4598" spans="34:38">
      <c r="AH4598" t="s">
        <v>2098</v>
      </c>
      <c r="AI4598" t="s">
        <v>68</v>
      </c>
      <c r="AJ4598" t="s">
        <v>66</v>
      </c>
      <c r="AK4598" s="3" t="s">
        <v>27</v>
      </c>
      <c r="AL4598" s="3">
        <v>-6421.3</v>
      </c>
    </row>
    <row r="4599" spans="34:38">
      <c r="AH4599" t="s">
        <v>2098</v>
      </c>
      <c r="AI4599" t="s">
        <v>68</v>
      </c>
      <c r="AJ4599" t="s">
        <v>72</v>
      </c>
      <c r="AK4599" s="3" t="s">
        <v>27</v>
      </c>
      <c r="AL4599" s="3">
        <v>-6265.419879</v>
      </c>
    </row>
    <row r="4600" spans="34:38">
      <c r="AH4600" t="s">
        <v>2098</v>
      </c>
      <c r="AI4600" t="s">
        <v>68</v>
      </c>
      <c r="AJ4600" t="s">
        <v>108</v>
      </c>
      <c r="AK4600" s="3" t="s">
        <v>27</v>
      </c>
      <c r="AL4600" s="3">
        <v>155.880121</v>
      </c>
    </row>
    <row r="4601" spans="34:38">
      <c r="AH4601" t="s">
        <v>2098</v>
      </c>
      <c r="AI4601" t="s">
        <v>65</v>
      </c>
      <c r="AJ4601" t="s">
        <v>113</v>
      </c>
      <c r="AK4601" s="3" t="s">
        <v>27</v>
      </c>
      <c r="AL4601" s="3">
        <v>1435.945827988</v>
      </c>
    </row>
    <row r="4602" spans="34:38">
      <c r="AH4602" t="s">
        <v>2098</v>
      </c>
      <c r="AI4602" t="s">
        <v>67</v>
      </c>
      <c r="AJ4602" t="s">
        <v>113</v>
      </c>
      <c r="AK4602" s="3" t="s">
        <v>27</v>
      </c>
      <c r="AL4602" s="3">
        <v>0</v>
      </c>
    </row>
    <row r="4603" spans="34:38">
      <c r="AH4603" t="s">
        <v>2098</v>
      </c>
      <c r="AI4603" t="s">
        <v>65</v>
      </c>
      <c r="AJ4603" t="s">
        <v>2303</v>
      </c>
      <c r="AK4603" s="3" t="s">
        <v>27</v>
      </c>
      <c r="AL4603" s="3">
        <v>-2440.9952871559999</v>
      </c>
    </row>
    <row r="4604" spans="34:38">
      <c r="AH4604" t="s">
        <v>2098</v>
      </c>
      <c r="AI4604" t="s">
        <v>67</v>
      </c>
      <c r="AJ4604" t="s">
        <v>2303</v>
      </c>
      <c r="AK4604" s="3" t="s">
        <v>27</v>
      </c>
      <c r="AL4604" s="3">
        <v>107.80647</v>
      </c>
    </row>
    <row r="4605" spans="34:38">
      <c r="AH4605" t="s">
        <v>2098</v>
      </c>
      <c r="AI4605" t="s">
        <v>65</v>
      </c>
      <c r="AJ4605" t="s">
        <v>113</v>
      </c>
      <c r="AK4605" s="3" t="s">
        <v>20</v>
      </c>
      <c r="AL4605" s="3">
        <v>264.67997016060002</v>
      </c>
    </row>
    <row r="4606" spans="34:38">
      <c r="AH4606" t="s">
        <v>2099</v>
      </c>
      <c r="AI4606" t="s">
        <v>65</v>
      </c>
      <c r="AJ4606" t="s">
        <v>66</v>
      </c>
      <c r="AK4606" s="3" t="s">
        <v>27</v>
      </c>
      <c r="AL4606" s="3">
        <v>17460.3</v>
      </c>
    </row>
    <row r="4607" spans="34:38">
      <c r="AH4607" t="s">
        <v>2099</v>
      </c>
      <c r="AI4607" t="s">
        <v>65</v>
      </c>
      <c r="AJ4607" t="s">
        <v>72</v>
      </c>
      <c r="AK4607" s="3" t="s">
        <v>27</v>
      </c>
      <c r="AL4607" s="3">
        <v>16838.584031999999</v>
      </c>
    </row>
    <row r="4608" spans="34:38">
      <c r="AH4608" t="s">
        <v>2099</v>
      </c>
      <c r="AI4608" t="s">
        <v>65</v>
      </c>
      <c r="AJ4608" t="s">
        <v>108</v>
      </c>
      <c r="AK4608" s="3" t="s">
        <v>27</v>
      </c>
      <c r="AL4608" s="3">
        <v>-621.71596799999998</v>
      </c>
    </row>
    <row r="4609" spans="34:38">
      <c r="AH4609" t="s">
        <v>2099</v>
      </c>
      <c r="AI4609" t="s">
        <v>67</v>
      </c>
      <c r="AJ4609" t="s">
        <v>66</v>
      </c>
      <c r="AK4609" s="3" t="s">
        <v>27</v>
      </c>
      <c r="AL4609" s="3">
        <v>-1884</v>
      </c>
    </row>
    <row r="4610" spans="34:38">
      <c r="AH4610" t="s">
        <v>2099</v>
      </c>
      <c r="AI4610" t="s">
        <v>67</v>
      </c>
      <c r="AJ4610" t="s">
        <v>72</v>
      </c>
      <c r="AK4610" s="3" t="s">
        <v>27</v>
      </c>
      <c r="AL4610" s="3">
        <v>-1714.4539199999999</v>
      </c>
    </row>
    <row r="4611" spans="34:38">
      <c r="AH4611" t="s">
        <v>2099</v>
      </c>
      <c r="AI4611" t="s">
        <v>67</v>
      </c>
      <c r="AJ4611" t="s">
        <v>108</v>
      </c>
      <c r="AK4611" s="3" t="s">
        <v>27</v>
      </c>
      <c r="AL4611" s="3">
        <v>169.54607999999999</v>
      </c>
    </row>
    <row r="4612" spans="34:38">
      <c r="AH4612" t="s">
        <v>2099</v>
      </c>
      <c r="AI4612" t="s">
        <v>68</v>
      </c>
      <c r="AJ4612" t="s">
        <v>66</v>
      </c>
      <c r="AK4612" s="3" t="s">
        <v>27</v>
      </c>
      <c r="AL4612" s="3">
        <v>-6414.3</v>
      </c>
    </row>
    <row r="4613" spans="34:38">
      <c r="AH4613" t="s">
        <v>2099</v>
      </c>
      <c r="AI4613" t="s">
        <v>68</v>
      </c>
      <c r="AJ4613" t="s">
        <v>72</v>
      </c>
      <c r="AK4613" s="3" t="s">
        <v>27</v>
      </c>
      <c r="AL4613" s="3">
        <v>-6277.3918320000002</v>
      </c>
    </row>
    <row r="4614" spans="34:38">
      <c r="AH4614" t="s">
        <v>2099</v>
      </c>
      <c r="AI4614" t="s">
        <v>68</v>
      </c>
      <c r="AJ4614" t="s">
        <v>108</v>
      </c>
      <c r="AK4614" s="3" t="s">
        <v>27</v>
      </c>
      <c r="AL4614" s="3">
        <v>136.90816799999999</v>
      </c>
    </row>
    <row r="4615" spans="34:38">
      <c r="AH4615" t="s">
        <v>2099</v>
      </c>
      <c r="AI4615" t="s">
        <v>65</v>
      </c>
      <c r="AJ4615" t="s">
        <v>113</v>
      </c>
      <c r="AK4615" s="3" t="s">
        <v>27</v>
      </c>
      <c r="AL4615" s="3">
        <v>1443.002653543</v>
      </c>
    </row>
    <row r="4616" spans="34:38">
      <c r="AH4616" t="s">
        <v>2099</v>
      </c>
      <c r="AI4616" t="s">
        <v>67</v>
      </c>
      <c r="AJ4616" t="s">
        <v>113</v>
      </c>
      <c r="AK4616" s="3" t="s">
        <v>27</v>
      </c>
      <c r="AL4616" s="3">
        <v>0</v>
      </c>
    </row>
    <row r="4617" spans="34:38">
      <c r="AH4617" t="s">
        <v>2099</v>
      </c>
      <c r="AI4617" t="s">
        <v>65</v>
      </c>
      <c r="AJ4617" t="s">
        <v>2303</v>
      </c>
      <c r="AK4617" s="3" t="s">
        <v>27</v>
      </c>
      <c r="AL4617" s="3">
        <v>-2453.8297332930001</v>
      </c>
    </row>
    <row r="4618" spans="34:38">
      <c r="AH4618" t="s">
        <v>2099</v>
      </c>
      <c r="AI4618" t="s">
        <v>67</v>
      </c>
      <c r="AJ4618" t="s">
        <v>2303</v>
      </c>
      <c r="AK4618" s="3" t="s">
        <v>27</v>
      </c>
      <c r="AL4618" s="3">
        <v>169.54607999999999</v>
      </c>
    </row>
    <row r="4619" spans="34:38">
      <c r="AH4619" t="s">
        <v>2099</v>
      </c>
      <c r="AI4619" t="s">
        <v>65</v>
      </c>
      <c r="AJ4619" t="s">
        <v>113</v>
      </c>
      <c r="AK4619" s="3" t="s">
        <v>20</v>
      </c>
      <c r="AL4619" s="3">
        <v>271.2150284132</v>
      </c>
    </row>
    <row r="4620" spans="34:38">
      <c r="AH4620" t="s">
        <v>2100</v>
      </c>
      <c r="AI4620" t="s">
        <v>65</v>
      </c>
      <c r="AJ4620" t="s">
        <v>66</v>
      </c>
      <c r="AK4620" s="3" t="s">
        <v>27</v>
      </c>
      <c r="AL4620" s="3">
        <v>17860.3</v>
      </c>
    </row>
    <row r="4621" spans="34:38">
      <c r="AH4621" t="s">
        <v>2100</v>
      </c>
      <c r="AI4621" t="s">
        <v>65</v>
      </c>
      <c r="AJ4621" t="s">
        <v>72</v>
      </c>
      <c r="AK4621" s="3" t="s">
        <v>27</v>
      </c>
      <c r="AL4621" s="3">
        <v>17274.973899000001</v>
      </c>
    </row>
    <row r="4622" spans="34:38">
      <c r="AH4622" t="s">
        <v>2100</v>
      </c>
      <c r="AI4622" t="s">
        <v>65</v>
      </c>
      <c r="AJ4622" t="s">
        <v>108</v>
      </c>
      <c r="AK4622" s="3" t="s">
        <v>27</v>
      </c>
      <c r="AL4622" s="3">
        <v>-585.32610099999999</v>
      </c>
    </row>
    <row r="4623" spans="34:38">
      <c r="AH4623" t="s">
        <v>2100</v>
      </c>
      <c r="AI4623" t="s">
        <v>67</v>
      </c>
      <c r="AJ4623" t="s">
        <v>66</v>
      </c>
      <c r="AK4623" s="3" t="s">
        <v>27</v>
      </c>
      <c r="AL4623" s="3">
        <v>-1984</v>
      </c>
    </row>
    <row r="4624" spans="34:38">
      <c r="AH4624" t="s">
        <v>2100</v>
      </c>
      <c r="AI4624" t="s">
        <v>65</v>
      </c>
      <c r="AJ4624" t="s">
        <v>113</v>
      </c>
      <c r="AK4624" s="3" t="s">
        <v>20</v>
      </c>
      <c r="AL4624" s="3">
        <v>317.40783670619999</v>
      </c>
    </row>
    <row r="4625" spans="34:38">
      <c r="AH4625" t="s">
        <v>2100</v>
      </c>
      <c r="AI4625" t="s">
        <v>67</v>
      </c>
      <c r="AJ4625" t="s">
        <v>72</v>
      </c>
      <c r="AK4625" s="3" t="s">
        <v>27</v>
      </c>
      <c r="AL4625" s="3">
        <v>-1853.0979</v>
      </c>
    </row>
    <row r="4626" spans="34:38">
      <c r="AH4626" t="s">
        <v>2100</v>
      </c>
      <c r="AI4626" t="s">
        <v>67</v>
      </c>
      <c r="AJ4626" t="s">
        <v>108</v>
      </c>
      <c r="AK4626" s="3" t="s">
        <v>27</v>
      </c>
      <c r="AL4626" s="3">
        <v>130.90209999999999</v>
      </c>
    </row>
    <row r="4627" spans="34:38">
      <c r="AH4627" t="s">
        <v>2100</v>
      </c>
      <c r="AI4627" t="s">
        <v>68</v>
      </c>
      <c r="AJ4627" t="s">
        <v>66</v>
      </c>
      <c r="AK4627" s="3" t="s">
        <v>27</v>
      </c>
      <c r="AL4627" s="3">
        <v>-6614.3</v>
      </c>
    </row>
    <row r="4628" spans="34:38">
      <c r="AH4628" t="s">
        <v>2100</v>
      </c>
      <c r="AI4628" t="s">
        <v>68</v>
      </c>
      <c r="AJ4628" t="s">
        <v>72</v>
      </c>
      <c r="AK4628" s="3" t="s">
        <v>27</v>
      </c>
      <c r="AL4628" s="3">
        <v>-6479.994659</v>
      </c>
    </row>
    <row r="4629" spans="34:38">
      <c r="AH4629" t="s">
        <v>2100</v>
      </c>
      <c r="AI4629" t="s">
        <v>68</v>
      </c>
      <c r="AJ4629" t="s">
        <v>108</v>
      </c>
      <c r="AK4629" s="3" t="s">
        <v>27</v>
      </c>
      <c r="AL4629" s="3">
        <v>134.305341</v>
      </c>
    </row>
    <row r="4630" spans="34:38">
      <c r="AH4630" t="s">
        <v>2100</v>
      </c>
      <c r="AI4630" t="s">
        <v>65</v>
      </c>
      <c r="AJ4630" t="s">
        <v>113</v>
      </c>
      <c r="AK4630" s="3" t="s">
        <v>27</v>
      </c>
      <c r="AL4630" s="3">
        <v>1489.7172291320001</v>
      </c>
    </row>
    <row r="4631" spans="34:38">
      <c r="AH4631" t="s">
        <v>2100</v>
      </c>
      <c r="AI4631" t="s">
        <v>67</v>
      </c>
      <c r="AJ4631" t="s">
        <v>113</v>
      </c>
      <c r="AK4631" s="3" t="s">
        <v>27</v>
      </c>
      <c r="AL4631" s="3">
        <v>0</v>
      </c>
    </row>
    <row r="4632" spans="34:38">
      <c r="AH4632" t="s">
        <v>2100</v>
      </c>
      <c r="AI4632" t="s">
        <v>67</v>
      </c>
      <c r="AJ4632" t="s">
        <v>2303</v>
      </c>
      <c r="AK4632" s="3" t="s">
        <v>27</v>
      </c>
      <c r="AL4632" s="3">
        <v>130.90209999999999</v>
      </c>
    </row>
    <row r="4633" spans="34:38">
      <c r="AH4633" t="s">
        <v>2100</v>
      </c>
      <c r="AI4633" t="s">
        <v>65</v>
      </c>
      <c r="AJ4633" t="s">
        <v>2303</v>
      </c>
      <c r="AK4633" s="3" t="s">
        <v>27</v>
      </c>
      <c r="AL4633" s="3">
        <v>-2464.0202176610001</v>
      </c>
    </row>
    <row r="4634" spans="34:38">
      <c r="AH4634" t="s">
        <v>2101</v>
      </c>
      <c r="AI4634" t="s">
        <v>65</v>
      </c>
      <c r="AJ4634" t="s">
        <v>66</v>
      </c>
      <c r="AK4634" s="3" t="s">
        <v>27</v>
      </c>
      <c r="AL4634" s="3">
        <v>17710.3</v>
      </c>
    </row>
    <row r="4635" spans="34:38">
      <c r="AH4635" t="s">
        <v>2101</v>
      </c>
      <c r="AI4635" t="s">
        <v>65</v>
      </c>
      <c r="AJ4635" t="s">
        <v>72</v>
      </c>
      <c r="AK4635" s="3" t="s">
        <v>27</v>
      </c>
      <c r="AL4635" s="3">
        <v>17134.466109000001</v>
      </c>
    </row>
    <row r="4636" spans="34:38">
      <c r="AH4636" t="s">
        <v>2101</v>
      </c>
      <c r="AI4636" t="s">
        <v>65</v>
      </c>
      <c r="AJ4636" t="s">
        <v>108</v>
      </c>
      <c r="AK4636" s="3" t="s">
        <v>27</v>
      </c>
      <c r="AL4636" s="3">
        <v>-575.83389099999999</v>
      </c>
    </row>
    <row r="4637" spans="34:38">
      <c r="AH4637" t="s">
        <v>2101</v>
      </c>
      <c r="AI4637" t="s">
        <v>67</v>
      </c>
      <c r="AJ4637" t="s">
        <v>66</v>
      </c>
      <c r="AK4637" s="3" t="s">
        <v>27</v>
      </c>
      <c r="AL4637" s="3">
        <v>-1434</v>
      </c>
    </row>
    <row r="4638" spans="34:38">
      <c r="AH4638" t="s">
        <v>2101</v>
      </c>
      <c r="AI4638" t="s">
        <v>67</v>
      </c>
      <c r="AJ4638" t="s">
        <v>72</v>
      </c>
      <c r="AK4638" s="3" t="s">
        <v>27</v>
      </c>
      <c r="AL4638" s="3">
        <v>-1287.49224</v>
      </c>
    </row>
    <row r="4639" spans="34:38">
      <c r="AH4639" t="s">
        <v>2101</v>
      </c>
      <c r="AI4639" t="s">
        <v>67</v>
      </c>
      <c r="AJ4639" t="s">
        <v>108</v>
      </c>
      <c r="AK4639" s="3" t="s">
        <v>27</v>
      </c>
      <c r="AL4639" s="3">
        <v>146.50775999999999</v>
      </c>
    </row>
    <row r="4640" spans="34:38">
      <c r="AH4640" t="s">
        <v>2101</v>
      </c>
      <c r="AI4640" t="s">
        <v>68</v>
      </c>
      <c r="AJ4640" t="s">
        <v>66</v>
      </c>
      <c r="AK4640" s="3" t="s">
        <v>27</v>
      </c>
      <c r="AL4640" s="3">
        <v>-6914.3</v>
      </c>
    </row>
    <row r="4641" spans="34:38">
      <c r="AH4641" t="s">
        <v>2101</v>
      </c>
      <c r="AI4641" t="s">
        <v>68</v>
      </c>
      <c r="AJ4641" t="s">
        <v>72</v>
      </c>
      <c r="AK4641" s="3" t="s">
        <v>27</v>
      </c>
      <c r="AL4641" s="3">
        <v>-6813.0664290000004</v>
      </c>
    </row>
    <row r="4642" spans="34:38">
      <c r="AH4642" t="s">
        <v>2101</v>
      </c>
      <c r="AI4642" t="s">
        <v>68</v>
      </c>
      <c r="AJ4642" t="s">
        <v>108</v>
      </c>
      <c r="AK4642" s="3" t="s">
        <v>27</v>
      </c>
      <c r="AL4642" s="3">
        <v>101.233571</v>
      </c>
    </row>
    <row r="4643" spans="34:38">
      <c r="AH4643" t="s">
        <v>2101</v>
      </c>
      <c r="AI4643" t="s">
        <v>65</v>
      </c>
      <c r="AJ4643" t="s">
        <v>113</v>
      </c>
      <c r="AK4643" s="3" t="s">
        <v>27</v>
      </c>
      <c r="AL4643" s="3">
        <v>1495.3419520299999</v>
      </c>
    </row>
    <row r="4644" spans="34:38">
      <c r="AH4644" t="s">
        <v>2101</v>
      </c>
      <c r="AI4644" t="s">
        <v>67</v>
      </c>
      <c r="AJ4644" t="s">
        <v>113</v>
      </c>
      <c r="AK4644" s="3" t="s">
        <v>27</v>
      </c>
      <c r="AL4644" s="3">
        <v>0</v>
      </c>
    </row>
    <row r="4645" spans="34:38">
      <c r="AH4645" t="s">
        <v>2101</v>
      </c>
      <c r="AI4645" t="s">
        <v>65</v>
      </c>
      <c r="AJ4645" t="s">
        <v>2303</v>
      </c>
      <c r="AK4645" s="3" t="s">
        <v>27</v>
      </c>
      <c r="AL4645" s="3">
        <v>-2460.0110215190002</v>
      </c>
    </row>
    <row r="4646" spans="34:38">
      <c r="AH4646" t="s">
        <v>2101</v>
      </c>
      <c r="AI4646" t="s">
        <v>67</v>
      </c>
      <c r="AJ4646" t="s">
        <v>2303</v>
      </c>
      <c r="AK4646" s="3" t="s">
        <v>27</v>
      </c>
      <c r="AL4646" s="3">
        <v>146.50775999999999</v>
      </c>
    </row>
    <row r="4647" spans="34:38">
      <c r="AH4647" t="s">
        <v>2101</v>
      </c>
      <c r="AI4647" t="s">
        <v>65</v>
      </c>
      <c r="AJ4647" t="s">
        <v>113</v>
      </c>
      <c r="AK4647" s="3" t="s">
        <v>20</v>
      </c>
      <c r="AL4647" s="3">
        <v>321.46725769890003</v>
      </c>
    </row>
    <row r="4648" spans="34:38">
      <c r="AH4648" t="s">
        <v>2102</v>
      </c>
      <c r="AI4648" t="s">
        <v>65</v>
      </c>
      <c r="AJ4648" t="s">
        <v>66</v>
      </c>
      <c r="AK4648" s="3" t="s">
        <v>27</v>
      </c>
      <c r="AL4648" s="3">
        <v>17310.3</v>
      </c>
    </row>
    <row r="4649" spans="34:38">
      <c r="AH4649" t="s">
        <v>2102</v>
      </c>
      <c r="AI4649" t="s">
        <v>65</v>
      </c>
      <c r="AJ4649" t="s">
        <v>72</v>
      </c>
      <c r="AK4649" s="3" t="s">
        <v>27</v>
      </c>
      <c r="AL4649" s="3">
        <v>16772.091854999999</v>
      </c>
    </row>
    <row r="4650" spans="34:38">
      <c r="AH4650" t="s">
        <v>2102</v>
      </c>
      <c r="AI4650" t="s">
        <v>65</v>
      </c>
      <c r="AJ4650" t="s">
        <v>108</v>
      </c>
      <c r="AK4650" s="3" t="s">
        <v>27</v>
      </c>
      <c r="AL4650" s="3">
        <v>-538.20814499999994</v>
      </c>
    </row>
    <row r="4651" spans="34:38">
      <c r="AH4651" t="s">
        <v>2102</v>
      </c>
      <c r="AI4651" t="s">
        <v>67</v>
      </c>
      <c r="AJ4651" t="s">
        <v>66</v>
      </c>
      <c r="AK4651" s="3" t="s">
        <v>27</v>
      </c>
      <c r="AL4651" s="3">
        <v>-1184</v>
      </c>
    </row>
    <row r="4652" spans="34:38">
      <c r="AH4652" t="s">
        <v>2102</v>
      </c>
      <c r="AI4652" t="s">
        <v>67</v>
      </c>
      <c r="AJ4652" t="s">
        <v>72</v>
      </c>
      <c r="AK4652" s="3" t="s">
        <v>27</v>
      </c>
      <c r="AL4652" s="3">
        <v>-1064.2445399999999</v>
      </c>
    </row>
    <row r="4653" spans="34:38">
      <c r="AH4653" t="s">
        <v>2102</v>
      </c>
      <c r="AI4653" t="s">
        <v>67</v>
      </c>
      <c r="AJ4653" t="s">
        <v>108</v>
      </c>
      <c r="AK4653" s="3" t="s">
        <v>27</v>
      </c>
      <c r="AL4653" s="3">
        <v>119.75546</v>
      </c>
    </row>
    <row r="4654" spans="34:38">
      <c r="AH4654" t="s">
        <v>2102</v>
      </c>
      <c r="AI4654" t="s">
        <v>68</v>
      </c>
      <c r="AJ4654" t="s">
        <v>66</v>
      </c>
      <c r="AK4654" s="3" t="s">
        <v>27</v>
      </c>
      <c r="AL4654" s="3">
        <v>-6764.3</v>
      </c>
    </row>
    <row r="4655" spans="34:38">
      <c r="AH4655" t="s">
        <v>2102</v>
      </c>
      <c r="AI4655" t="s">
        <v>68</v>
      </c>
      <c r="AJ4655" t="s">
        <v>72</v>
      </c>
      <c r="AK4655" s="3" t="s">
        <v>27</v>
      </c>
      <c r="AL4655" s="3">
        <v>-6675.6189949999998</v>
      </c>
    </row>
    <row r="4656" spans="34:38">
      <c r="AH4656" t="s">
        <v>2102</v>
      </c>
      <c r="AI4656" t="s">
        <v>68</v>
      </c>
      <c r="AJ4656" t="s">
        <v>108</v>
      </c>
      <c r="AK4656" s="3" t="s">
        <v>27</v>
      </c>
      <c r="AL4656" s="3">
        <v>88.681004999999999</v>
      </c>
    </row>
    <row r="4657" spans="34:38">
      <c r="AH4657" t="s">
        <v>2102</v>
      </c>
      <c r="AI4657" t="s">
        <v>65</v>
      </c>
      <c r="AJ4657" t="s">
        <v>113</v>
      </c>
      <c r="AK4657" s="3" t="s">
        <v>27</v>
      </c>
      <c r="AL4657" s="3">
        <v>1495.9145755730001</v>
      </c>
    </row>
    <row r="4658" spans="34:38">
      <c r="AH4658" t="s">
        <v>2102</v>
      </c>
      <c r="AI4658" t="s">
        <v>67</v>
      </c>
      <c r="AJ4658" t="s">
        <v>113</v>
      </c>
      <c r="AK4658" s="3" t="s">
        <v>27</v>
      </c>
      <c r="AL4658" s="3">
        <v>0</v>
      </c>
    </row>
    <row r="4659" spans="34:38">
      <c r="AH4659" t="s">
        <v>2102</v>
      </c>
      <c r="AI4659" t="s">
        <v>65</v>
      </c>
      <c r="AJ4659" t="s">
        <v>2303</v>
      </c>
      <c r="AK4659" s="3" t="s">
        <v>27</v>
      </c>
      <c r="AL4659" s="3">
        <v>-2424.374401687</v>
      </c>
    </row>
    <row r="4660" spans="34:38">
      <c r="AH4660" t="s">
        <v>2102</v>
      </c>
      <c r="AI4660" t="s">
        <v>67</v>
      </c>
      <c r="AJ4660" t="s">
        <v>2303</v>
      </c>
      <c r="AK4660" s="3" t="s">
        <v>27</v>
      </c>
      <c r="AL4660" s="3">
        <v>119.75546</v>
      </c>
    </row>
    <row r="4661" spans="34:38">
      <c r="AH4661" t="s">
        <v>2102</v>
      </c>
      <c r="AI4661" t="s">
        <v>65</v>
      </c>
      <c r="AJ4661" t="s">
        <v>113</v>
      </c>
      <c r="AK4661" s="3" t="s">
        <v>20</v>
      </c>
      <c r="AL4661" s="3">
        <v>321.51811393539998</v>
      </c>
    </row>
    <row r="4662" spans="34:38">
      <c r="AH4662" t="s">
        <v>2103</v>
      </c>
      <c r="AI4662" t="s">
        <v>65</v>
      </c>
      <c r="AJ4662" t="s">
        <v>108</v>
      </c>
      <c r="AK4662" s="3" t="s">
        <v>27</v>
      </c>
      <c r="AL4662" s="3">
        <v>-525.25008500000001</v>
      </c>
    </row>
    <row r="4663" spans="34:38">
      <c r="AH4663" t="s">
        <v>2103</v>
      </c>
      <c r="AI4663" t="s">
        <v>67</v>
      </c>
      <c r="AJ4663" t="s">
        <v>66</v>
      </c>
      <c r="AK4663" s="3" t="s">
        <v>27</v>
      </c>
      <c r="AL4663" s="3">
        <v>-1534</v>
      </c>
    </row>
    <row r="4664" spans="34:38">
      <c r="AH4664" t="s">
        <v>2103</v>
      </c>
      <c r="AI4664" t="s">
        <v>67</v>
      </c>
      <c r="AJ4664" t="s">
        <v>72</v>
      </c>
      <c r="AK4664" s="3" t="s">
        <v>27</v>
      </c>
      <c r="AL4664" s="3">
        <v>-1372.05918</v>
      </c>
    </row>
    <row r="4665" spans="34:38">
      <c r="AH4665" t="s">
        <v>2103</v>
      </c>
      <c r="AI4665" t="s">
        <v>67</v>
      </c>
      <c r="AJ4665" t="s">
        <v>108</v>
      </c>
      <c r="AK4665" s="3" t="s">
        <v>27</v>
      </c>
      <c r="AL4665" s="3">
        <v>161.94082</v>
      </c>
    </row>
    <row r="4666" spans="34:38">
      <c r="AH4666" t="s">
        <v>2103</v>
      </c>
      <c r="AI4666" t="s">
        <v>68</v>
      </c>
      <c r="AJ4666" t="s">
        <v>66</v>
      </c>
      <c r="AK4666" s="3" t="s">
        <v>27</v>
      </c>
      <c r="AL4666" s="3">
        <v>-6364.3</v>
      </c>
    </row>
    <row r="4667" spans="34:38">
      <c r="AH4667" t="s">
        <v>2103</v>
      </c>
      <c r="AI4667" t="s">
        <v>68</v>
      </c>
      <c r="AJ4667" t="s">
        <v>72</v>
      </c>
      <c r="AK4667" s="3" t="s">
        <v>27</v>
      </c>
      <c r="AL4667" s="3">
        <v>-6298.9780549999996</v>
      </c>
    </row>
    <row r="4668" spans="34:38">
      <c r="AH4668" t="s">
        <v>2103</v>
      </c>
      <c r="AI4668" t="s">
        <v>68</v>
      </c>
      <c r="AJ4668" t="s">
        <v>108</v>
      </c>
      <c r="AK4668" s="3" t="s">
        <v>27</v>
      </c>
      <c r="AL4668" s="3">
        <v>65.321944999999999</v>
      </c>
    </row>
    <row r="4669" spans="34:38">
      <c r="AH4669" t="s">
        <v>2103</v>
      </c>
      <c r="AI4669" t="s">
        <v>65</v>
      </c>
      <c r="AJ4669" t="s">
        <v>113</v>
      </c>
      <c r="AK4669" s="3" t="s">
        <v>27</v>
      </c>
      <c r="AL4669" s="3">
        <v>1488.987591994</v>
      </c>
    </row>
    <row r="4670" spans="34:38">
      <c r="AH4670" t="s">
        <v>2103</v>
      </c>
      <c r="AI4670" t="s">
        <v>67</v>
      </c>
      <c r="AJ4670" t="s">
        <v>113</v>
      </c>
      <c r="AK4670" s="3" t="s">
        <v>27</v>
      </c>
      <c r="AL4670" s="3">
        <v>0</v>
      </c>
    </row>
    <row r="4671" spans="34:38">
      <c r="AH4671" t="s">
        <v>2103</v>
      </c>
      <c r="AI4671" t="s">
        <v>65</v>
      </c>
      <c r="AJ4671" t="s">
        <v>2303</v>
      </c>
      <c r="AK4671" s="3" t="s">
        <v>27</v>
      </c>
      <c r="AL4671" s="3">
        <v>-2376.2297194369999</v>
      </c>
    </row>
    <row r="4672" spans="34:38">
      <c r="AH4672" t="s">
        <v>2103</v>
      </c>
      <c r="AI4672" t="s">
        <v>67</v>
      </c>
      <c r="AJ4672" t="s">
        <v>2303</v>
      </c>
      <c r="AK4672" s="3" t="s">
        <v>27</v>
      </c>
      <c r="AL4672" s="3">
        <v>161.94082</v>
      </c>
    </row>
    <row r="4673" spans="34:38">
      <c r="AH4673" t="s">
        <v>2103</v>
      </c>
      <c r="AI4673" t="s">
        <v>65</v>
      </c>
      <c r="AJ4673" t="s">
        <v>113</v>
      </c>
      <c r="AK4673" s="3" t="s">
        <v>20</v>
      </c>
      <c r="AL4673" s="3">
        <v>314.06936305480002</v>
      </c>
    </row>
    <row r="4674" spans="34:38">
      <c r="AH4674" t="s">
        <v>2103</v>
      </c>
      <c r="AI4674" t="s">
        <v>65</v>
      </c>
      <c r="AJ4674" t="s">
        <v>66</v>
      </c>
      <c r="AK4674" s="3" t="s">
        <v>27</v>
      </c>
      <c r="AL4674" s="3">
        <v>17260.3</v>
      </c>
    </row>
    <row r="4675" spans="34:38">
      <c r="AH4675" t="s">
        <v>2103</v>
      </c>
      <c r="AI4675" t="s">
        <v>65</v>
      </c>
      <c r="AJ4675" t="s">
        <v>72</v>
      </c>
      <c r="AK4675" s="3" t="s">
        <v>27</v>
      </c>
      <c r="AL4675" s="3">
        <v>16735.049915</v>
      </c>
    </row>
    <row r="4676" spans="34:38">
      <c r="AH4676" t="s">
        <v>2104</v>
      </c>
      <c r="AI4676" t="s">
        <v>65</v>
      </c>
      <c r="AJ4676" t="s">
        <v>66</v>
      </c>
      <c r="AK4676" s="3" t="s">
        <v>27</v>
      </c>
      <c r="AL4676" s="3">
        <v>16710.3</v>
      </c>
    </row>
    <row r="4677" spans="34:38">
      <c r="AH4677" t="s">
        <v>2104</v>
      </c>
      <c r="AI4677" t="s">
        <v>65</v>
      </c>
      <c r="AJ4677" t="s">
        <v>72</v>
      </c>
      <c r="AK4677" s="3" t="s">
        <v>27</v>
      </c>
      <c r="AL4677" s="3">
        <v>16233.833527999999</v>
      </c>
    </row>
    <row r="4678" spans="34:38">
      <c r="AH4678" t="s">
        <v>2104</v>
      </c>
      <c r="AI4678" t="s">
        <v>65</v>
      </c>
      <c r="AJ4678" t="s">
        <v>108</v>
      </c>
      <c r="AK4678" s="3" t="s">
        <v>27</v>
      </c>
      <c r="AL4678" s="3">
        <v>-476.46647200000001</v>
      </c>
    </row>
    <row r="4679" spans="34:38">
      <c r="AH4679" t="s">
        <v>2104</v>
      </c>
      <c r="AI4679" t="s">
        <v>67</v>
      </c>
      <c r="AJ4679" t="s">
        <v>66</v>
      </c>
      <c r="AK4679" s="3" t="s">
        <v>27</v>
      </c>
      <c r="AL4679" s="3">
        <v>-1034</v>
      </c>
    </row>
    <row r="4680" spans="34:38">
      <c r="AH4680" t="s">
        <v>2104</v>
      </c>
      <c r="AI4680" t="s">
        <v>67</v>
      </c>
      <c r="AJ4680" t="s">
        <v>72</v>
      </c>
      <c r="AK4680" s="3" t="s">
        <v>27</v>
      </c>
      <c r="AL4680" s="3">
        <v>-921.77598</v>
      </c>
    </row>
    <row r="4681" spans="34:38">
      <c r="AH4681" t="s">
        <v>2104</v>
      </c>
      <c r="AI4681" t="s">
        <v>67</v>
      </c>
      <c r="AJ4681" t="s">
        <v>108</v>
      </c>
      <c r="AK4681" s="3" t="s">
        <v>27</v>
      </c>
      <c r="AL4681" s="3">
        <v>112.22402</v>
      </c>
    </row>
    <row r="4682" spans="34:38">
      <c r="AH4682" t="s">
        <v>2104</v>
      </c>
      <c r="AI4682" t="s">
        <v>68</v>
      </c>
      <c r="AJ4682" t="s">
        <v>66</v>
      </c>
      <c r="AK4682" s="3" t="s">
        <v>27</v>
      </c>
      <c r="AL4682" s="3">
        <v>-6314.3</v>
      </c>
    </row>
    <row r="4683" spans="34:38">
      <c r="AH4683" t="s">
        <v>2104</v>
      </c>
      <c r="AI4683" t="s">
        <v>68</v>
      </c>
      <c r="AJ4683" t="s">
        <v>72</v>
      </c>
      <c r="AK4683" s="3" t="s">
        <v>27</v>
      </c>
      <c r="AL4683" s="3">
        <v>-6244.2020480000001</v>
      </c>
    </row>
    <row r="4684" spans="34:38">
      <c r="AH4684" t="s">
        <v>2104</v>
      </c>
      <c r="AI4684" t="s">
        <v>68</v>
      </c>
      <c r="AJ4684" t="s">
        <v>108</v>
      </c>
      <c r="AK4684" s="3" t="s">
        <v>27</v>
      </c>
      <c r="AL4684" s="3">
        <v>70.097952000000006</v>
      </c>
    </row>
    <row r="4685" spans="34:38">
      <c r="AH4685" t="s">
        <v>2104</v>
      </c>
      <c r="AI4685" t="s">
        <v>65</v>
      </c>
      <c r="AJ4685" t="s">
        <v>113</v>
      </c>
      <c r="AK4685" s="3" t="s">
        <v>27</v>
      </c>
      <c r="AL4685" s="3">
        <v>1501.1041367790001</v>
      </c>
    </row>
    <row r="4686" spans="34:38">
      <c r="AH4686" t="s">
        <v>2104</v>
      </c>
      <c r="AI4686" t="s">
        <v>67</v>
      </c>
      <c r="AJ4686" t="s">
        <v>113</v>
      </c>
      <c r="AK4686" s="3" t="s">
        <v>27</v>
      </c>
      <c r="AL4686" s="3">
        <v>0</v>
      </c>
    </row>
    <row r="4687" spans="34:38">
      <c r="AH4687" t="s">
        <v>2104</v>
      </c>
      <c r="AI4687" t="s">
        <v>65</v>
      </c>
      <c r="AJ4687" t="s">
        <v>2303</v>
      </c>
      <c r="AK4687" s="3" t="s">
        <v>27</v>
      </c>
      <c r="AL4687" s="3">
        <v>-2329.6227998559998</v>
      </c>
    </row>
    <row r="4688" spans="34:38">
      <c r="AH4688" t="s">
        <v>2104</v>
      </c>
      <c r="AI4688" t="s">
        <v>67</v>
      </c>
      <c r="AJ4688" t="s">
        <v>2303</v>
      </c>
      <c r="AK4688" s="3" t="s">
        <v>27</v>
      </c>
      <c r="AL4688" s="3">
        <v>112.22402</v>
      </c>
    </row>
    <row r="4689" spans="34:38">
      <c r="AH4689" t="s">
        <v>2104</v>
      </c>
      <c r="AI4689" t="s">
        <v>65</v>
      </c>
      <c r="AJ4689" t="s">
        <v>113</v>
      </c>
      <c r="AK4689" s="3" t="s">
        <v>20</v>
      </c>
      <c r="AL4689" s="3">
        <v>325.66414054249998</v>
      </c>
    </row>
    <row r="4690" spans="34:38">
      <c r="AH4690" t="s">
        <v>2105</v>
      </c>
      <c r="AI4690" t="s">
        <v>65</v>
      </c>
      <c r="AJ4690" t="s">
        <v>66</v>
      </c>
      <c r="AK4690" s="3" t="s">
        <v>27</v>
      </c>
      <c r="AL4690" s="3">
        <v>17260.3</v>
      </c>
    </row>
    <row r="4691" spans="34:38">
      <c r="AH4691" t="s">
        <v>2105</v>
      </c>
      <c r="AI4691" t="s">
        <v>65</v>
      </c>
      <c r="AJ4691" t="s">
        <v>72</v>
      </c>
      <c r="AK4691" s="3" t="s">
        <v>27</v>
      </c>
      <c r="AL4691" s="3">
        <v>16752.605978</v>
      </c>
    </row>
    <row r="4692" spans="34:38">
      <c r="AH4692" t="s">
        <v>2105</v>
      </c>
      <c r="AI4692" t="s">
        <v>65</v>
      </c>
      <c r="AJ4692" t="s">
        <v>108</v>
      </c>
      <c r="AK4692" s="3" t="s">
        <v>27</v>
      </c>
      <c r="AL4692" s="3">
        <v>-507.69402200000002</v>
      </c>
    </row>
    <row r="4693" spans="34:38">
      <c r="AH4693" t="s">
        <v>2105</v>
      </c>
      <c r="AI4693" t="s">
        <v>67</v>
      </c>
      <c r="AJ4693" t="s">
        <v>66</v>
      </c>
      <c r="AK4693" s="3" t="s">
        <v>27</v>
      </c>
      <c r="AL4693" s="3">
        <v>-2134</v>
      </c>
    </row>
    <row r="4694" spans="34:38">
      <c r="AH4694" t="s">
        <v>2105</v>
      </c>
      <c r="AI4694" t="s">
        <v>67</v>
      </c>
      <c r="AJ4694" t="s">
        <v>72</v>
      </c>
      <c r="AK4694" s="3" t="s">
        <v>27</v>
      </c>
      <c r="AL4694" s="3">
        <v>-1944.3831</v>
      </c>
    </row>
    <row r="4695" spans="34:38">
      <c r="AH4695" t="s">
        <v>2105</v>
      </c>
      <c r="AI4695" t="s">
        <v>67</v>
      </c>
      <c r="AJ4695" t="s">
        <v>108</v>
      </c>
      <c r="AK4695" s="3" t="s">
        <v>27</v>
      </c>
      <c r="AL4695" s="3">
        <v>189.61689999999999</v>
      </c>
    </row>
    <row r="4696" spans="34:38">
      <c r="AH4696" t="s">
        <v>2105</v>
      </c>
      <c r="AI4696" t="s">
        <v>68</v>
      </c>
      <c r="AJ4696" t="s">
        <v>66</v>
      </c>
      <c r="AK4696" s="3" t="s">
        <v>27</v>
      </c>
      <c r="AL4696" s="3">
        <v>-5764.3</v>
      </c>
    </row>
    <row r="4697" spans="34:38">
      <c r="AH4697" t="s">
        <v>2105</v>
      </c>
      <c r="AI4697" t="s">
        <v>68</v>
      </c>
      <c r="AJ4697" t="s">
        <v>72</v>
      </c>
      <c r="AK4697" s="3" t="s">
        <v>27</v>
      </c>
      <c r="AL4697" s="3">
        <v>-5740.0157179999997</v>
      </c>
    </row>
    <row r="4698" spans="34:38">
      <c r="AH4698" t="s">
        <v>2105</v>
      </c>
      <c r="AI4698" t="s">
        <v>68</v>
      </c>
      <c r="AJ4698" t="s">
        <v>108</v>
      </c>
      <c r="AK4698" s="3" t="s">
        <v>27</v>
      </c>
      <c r="AL4698" s="3">
        <v>24.284282000000001</v>
      </c>
    </row>
    <row r="4699" spans="34:38">
      <c r="AH4699" t="s">
        <v>2105</v>
      </c>
      <c r="AI4699" t="s">
        <v>65</v>
      </c>
      <c r="AJ4699" t="s">
        <v>113</v>
      </c>
      <c r="AK4699" s="3" t="s">
        <v>27</v>
      </c>
      <c r="AL4699" s="3">
        <v>1498.7464002889999</v>
      </c>
    </row>
    <row r="4700" spans="34:38">
      <c r="AH4700" t="s">
        <v>2105</v>
      </c>
      <c r="AI4700" t="s">
        <v>67</v>
      </c>
      <c r="AJ4700" t="s">
        <v>113</v>
      </c>
      <c r="AK4700" s="3" t="s">
        <v>27</v>
      </c>
      <c r="AL4700" s="3">
        <v>0</v>
      </c>
    </row>
    <row r="4701" spans="34:38">
      <c r="AH4701" t="s">
        <v>2105</v>
      </c>
      <c r="AI4701" t="s">
        <v>65</v>
      </c>
      <c r="AJ4701" t="s">
        <v>2303</v>
      </c>
      <c r="AK4701" s="3" t="s">
        <v>27</v>
      </c>
      <c r="AL4701" s="3">
        <v>-2356.8035078009998</v>
      </c>
    </row>
    <row r="4702" spans="34:38">
      <c r="AH4702" t="s">
        <v>2105</v>
      </c>
      <c r="AI4702" t="s">
        <v>67</v>
      </c>
      <c r="AJ4702" t="s">
        <v>2303</v>
      </c>
      <c r="AK4702" s="3" t="s">
        <v>27</v>
      </c>
      <c r="AL4702" s="3">
        <v>189.61689999999999</v>
      </c>
    </row>
    <row r="4703" spans="34:38">
      <c r="AH4703" t="s">
        <v>2105</v>
      </c>
      <c r="AI4703" t="s">
        <v>65</v>
      </c>
      <c r="AJ4703" t="s">
        <v>113</v>
      </c>
      <c r="AK4703" s="3" t="s">
        <v>20</v>
      </c>
      <c r="AL4703" s="3">
        <v>322.78463674990002</v>
      </c>
    </row>
    <row r="4704" spans="34:38">
      <c r="AH4704" t="s">
        <v>2106</v>
      </c>
      <c r="AI4704" t="s">
        <v>65</v>
      </c>
      <c r="AJ4704" t="s">
        <v>113</v>
      </c>
      <c r="AK4704" s="3" t="s">
        <v>20</v>
      </c>
      <c r="AL4704" s="3">
        <v>321.07469701679997</v>
      </c>
    </row>
    <row r="4705" spans="34:38">
      <c r="AH4705" t="s">
        <v>2106</v>
      </c>
      <c r="AI4705" t="s">
        <v>65</v>
      </c>
      <c r="AJ4705" t="s">
        <v>66</v>
      </c>
      <c r="AK4705" s="3" t="s">
        <v>27</v>
      </c>
      <c r="AL4705" s="3">
        <v>17410.3</v>
      </c>
    </row>
    <row r="4706" spans="34:38">
      <c r="AH4706" t="s">
        <v>2106</v>
      </c>
      <c r="AI4706" t="s">
        <v>65</v>
      </c>
      <c r="AJ4706" t="s">
        <v>72</v>
      </c>
      <c r="AK4706" s="3" t="s">
        <v>27</v>
      </c>
      <c r="AL4706" s="3">
        <v>16912.843805</v>
      </c>
    </row>
    <row r="4707" spans="34:38">
      <c r="AH4707" t="s">
        <v>2106</v>
      </c>
      <c r="AI4707" t="s">
        <v>65</v>
      </c>
      <c r="AJ4707" t="s">
        <v>108</v>
      </c>
      <c r="AK4707" s="3" t="s">
        <v>27</v>
      </c>
      <c r="AL4707" s="3">
        <v>-497.45619499999998</v>
      </c>
    </row>
    <row r="4708" spans="34:38">
      <c r="AH4708" t="s">
        <v>2106</v>
      </c>
      <c r="AI4708" t="s">
        <v>67</v>
      </c>
      <c r="AJ4708" t="s">
        <v>66</v>
      </c>
      <c r="AK4708" s="3" t="s">
        <v>27</v>
      </c>
      <c r="AL4708" s="3">
        <v>-1734</v>
      </c>
    </row>
    <row r="4709" spans="34:38">
      <c r="AH4709" t="s">
        <v>2106</v>
      </c>
      <c r="AI4709" t="s">
        <v>67</v>
      </c>
      <c r="AJ4709" t="s">
        <v>72</v>
      </c>
      <c r="AK4709" s="3" t="s">
        <v>27</v>
      </c>
      <c r="AL4709" s="3">
        <v>-1580.8351600000001</v>
      </c>
    </row>
    <row r="4710" spans="34:38">
      <c r="AH4710" t="s">
        <v>2106</v>
      </c>
      <c r="AI4710" t="s">
        <v>67</v>
      </c>
      <c r="AJ4710" t="s">
        <v>108</v>
      </c>
      <c r="AK4710" s="3" t="s">
        <v>27</v>
      </c>
      <c r="AL4710" s="3">
        <v>153.16484</v>
      </c>
    </row>
    <row r="4711" spans="34:38">
      <c r="AH4711" t="s">
        <v>2106</v>
      </c>
      <c r="AI4711" t="s">
        <v>68</v>
      </c>
      <c r="AJ4711" t="s">
        <v>66</v>
      </c>
      <c r="AK4711" s="3" t="s">
        <v>27</v>
      </c>
      <c r="AL4711" s="3">
        <v>-6164.3</v>
      </c>
    </row>
    <row r="4712" spans="34:38">
      <c r="AH4712" t="s">
        <v>2106</v>
      </c>
      <c r="AI4712" t="s">
        <v>68</v>
      </c>
      <c r="AJ4712" t="s">
        <v>72</v>
      </c>
      <c r="AK4712" s="3" t="s">
        <v>27</v>
      </c>
      <c r="AL4712" s="3">
        <v>-6131.6807250000002</v>
      </c>
    </row>
    <row r="4713" spans="34:38">
      <c r="AH4713" t="s">
        <v>2106</v>
      </c>
      <c r="AI4713" t="s">
        <v>68</v>
      </c>
      <c r="AJ4713" t="s">
        <v>108</v>
      </c>
      <c r="AK4713" s="3" t="s">
        <v>27</v>
      </c>
      <c r="AL4713" s="3">
        <v>32.619275000000002</v>
      </c>
    </row>
    <row r="4714" spans="34:38">
      <c r="AH4714" t="s">
        <v>2106</v>
      </c>
      <c r="AI4714" t="s">
        <v>65</v>
      </c>
      <c r="AJ4714" t="s">
        <v>113</v>
      </c>
      <c r="AK4714" s="3" t="s">
        <v>27</v>
      </c>
      <c r="AL4714" s="3">
        <v>1498.6017624609999</v>
      </c>
    </row>
    <row r="4715" spans="34:38">
      <c r="AH4715" t="s">
        <v>2106</v>
      </c>
      <c r="AI4715" t="s">
        <v>67</v>
      </c>
      <c r="AJ4715" t="s">
        <v>113</v>
      </c>
      <c r="AK4715" s="3" t="s">
        <v>27</v>
      </c>
      <c r="AL4715" s="3">
        <v>0</v>
      </c>
    </row>
    <row r="4716" spans="34:38">
      <c r="AH4716" t="s">
        <v>2106</v>
      </c>
      <c r="AI4716" t="s">
        <v>65</v>
      </c>
      <c r="AJ4716" t="s">
        <v>2303</v>
      </c>
      <c r="AK4716" s="3" t="s">
        <v>27</v>
      </c>
      <c r="AL4716" s="3">
        <v>-2343.2153590950002</v>
      </c>
    </row>
    <row r="4717" spans="34:38">
      <c r="AH4717" t="s">
        <v>2106</v>
      </c>
      <c r="AI4717" t="s">
        <v>67</v>
      </c>
      <c r="AJ4717" t="s">
        <v>2303</v>
      </c>
      <c r="AK4717" s="3" t="s">
        <v>27</v>
      </c>
      <c r="AL4717" s="3">
        <v>153.16484</v>
      </c>
    </row>
    <row r="4718" spans="34:38">
      <c r="AH4718" t="s">
        <v>2107</v>
      </c>
      <c r="AI4718" t="s">
        <v>65</v>
      </c>
      <c r="AJ4718" t="s">
        <v>66</v>
      </c>
      <c r="AK4718" s="3" t="s">
        <v>27</v>
      </c>
      <c r="AL4718" s="3">
        <v>16818.3</v>
      </c>
    </row>
    <row r="4719" spans="34:38">
      <c r="AH4719" t="s">
        <v>2107</v>
      </c>
      <c r="AI4719" t="s">
        <v>65</v>
      </c>
      <c r="AJ4719" t="s">
        <v>72</v>
      </c>
      <c r="AK4719" s="3" t="s">
        <v>27</v>
      </c>
      <c r="AL4719" s="3">
        <v>16338.358845000001</v>
      </c>
    </row>
    <row r="4720" spans="34:38">
      <c r="AH4720" t="s">
        <v>2107</v>
      </c>
      <c r="AI4720" t="s">
        <v>65</v>
      </c>
      <c r="AJ4720" t="s">
        <v>108</v>
      </c>
      <c r="AK4720" s="3" t="s">
        <v>27</v>
      </c>
      <c r="AL4720" s="3">
        <v>-479.94115499999998</v>
      </c>
    </row>
    <row r="4721" spans="34:38">
      <c r="AH4721" t="s">
        <v>2107</v>
      </c>
      <c r="AI4721" t="s">
        <v>67</v>
      </c>
      <c r="AJ4721" t="s">
        <v>66</v>
      </c>
      <c r="AK4721" s="3" t="s">
        <v>27</v>
      </c>
      <c r="AL4721" s="3">
        <v>-992</v>
      </c>
    </row>
    <row r="4722" spans="34:38">
      <c r="AH4722" t="s">
        <v>2107</v>
      </c>
      <c r="AI4722" t="s">
        <v>67</v>
      </c>
      <c r="AJ4722" t="s">
        <v>72</v>
      </c>
      <c r="AK4722" s="3" t="s">
        <v>27</v>
      </c>
      <c r="AL4722" s="3">
        <v>-850.89278000000002</v>
      </c>
    </row>
    <row r="4723" spans="34:38">
      <c r="AH4723" t="s">
        <v>2107</v>
      </c>
      <c r="AI4723" t="s">
        <v>67</v>
      </c>
      <c r="AJ4723" t="s">
        <v>108</v>
      </c>
      <c r="AK4723" s="3" t="s">
        <v>27</v>
      </c>
      <c r="AL4723" s="3">
        <v>141.10722000000001</v>
      </c>
    </row>
    <row r="4724" spans="34:38">
      <c r="AH4724" t="s">
        <v>2107</v>
      </c>
      <c r="AI4724" t="s">
        <v>68</v>
      </c>
      <c r="AJ4724" t="s">
        <v>66</v>
      </c>
      <c r="AK4724" s="3" t="s">
        <v>27</v>
      </c>
      <c r="AL4724" s="3">
        <v>-6164.3</v>
      </c>
    </row>
    <row r="4725" spans="34:38">
      <c r="AH4725" t="s">
        <v>2107</v>
      </c>
      <c r="AI4725" t="s">
        <v>68</v>
      </c>
      <c r="AJ4725" t="s">
        <v>72</v>
      </c>
      <c r="AK4725" s="3" t="s">
        <v>27</v>
      </c>
      <c r="AL4725" s="3">
        <v>-6122.0685249999997</v>
      </c>
    </row>
    <row r="4726" spans="34:38">
      <c r="AH4726" t="s">
        <v>2107</v>
      </c>
      <c r="AI4726" t="s">
        <v>68</v>
      </c>
      <c r="AJ4726" t="s">
        <v>108</v>
      </c>
      <c r="AK4726" s="3" t="s">
        <v>27</v>
      </c>
      <c r="AL4726" s="3">
        <v>42.231475000000003</v>
      </c>
    </row>
    <row r="4727" spans="34:38">
      <c r="AH4727" t="s">
        <v>2107</v>
      </c>
      <c r="AI4727" t="s">
        <v>65</v>
      </c>
      <c r="AJ4727" t="s">
        <v>113</v>
      </c>
      <c r="AK4727" s="3" t="s">
        <v>27</v>
      </c>
      <c r="AL4727" s="3">
        <v>1487.1465003000001</v>
      </c>
    </row>
    <row r="4728" spans="34:38">
      <c r="AH4728" t="s">
        <v>2107</v>
      </c>
      <c r="AI4728" t="s">
        <v>67</v>
      </c>
      <c r="AJ4728" t="s">
        <v>113</v>
      </c>
      <c r="AK4728" s="3" t="s">
        <v>27</v>
      </c>
      <c r="AL4728" s="3">
        <v>0</v>
      </c>
    </row>
    <row r="4729" spans="34:38">
      <c r="AH4729" t="s">
        <v>2107</v>
      </c>
      <c r="AI4729" t="s">
        <v>65</v>
      </c>
      <c r="AJ4729" t="s">
        <v>2303</v>
      </c>
      <c r="AK4729" s="3" t="s">
        <v>27</v>
      </c>
      <c r="AL4729" s="3">
        <v>-2304.6858858229998</v>
      </c>
    </row>
    <row r="4730" spans="34:38">
      <c r="AH4730" t="s">
        <v>2107</v>
      </c>
      <c r="AI4730" t="s">
        <v>67</v>
      </c>
      <c r="AJ4730" t="s">
        <v>2303</v>
      </c>
      <c r="AK4730" s="3" t="s">
        <v>27</v>
      </c>
      <c r="AL4730" s="3">
        <v>141.10722000000001</v>
      </c>
    </row>
    <row r="4731" spans="34:38">
      <c r="AH4731" t="s">
        <v>2107</v>
      </c>
      <c r="AI4731" t="s">
        <v>65</v>
      </c>
      <c r="AJ4731" t="s">
        <v>113</v>
      </c>
      <c r="AK4731" s="3" t="s">
        <v>20</v>
      </c>
      <c r="AL4731" s="3">
        <v>309.0976675599</v>
      </c>
    </row>
    <row r="4732" spans="34:38">
      <c r="AH4732" t="s">
        <v>2108</v>
      </c>
      <c r="AI4732" t="s">
        <v>65</v>
      </c>
      <c r="AJ4732" t="s">
        <v>66</v>
      </c>
      <c r="AK4732" s="3" t="s">
        <v>27</v>
      </c>
      <c r="AL4732" s="3">
        <v>17618.3</v>
      </c>
    </row>
    <row r="4733" spans="34:38">
      <c r="AH4733" t="s">
        <v>2108</v>
      </c>
      <c r="AI4733" t="s">
        <v>65</v>
      </c>
      <c r="AJ4733" t="s">
        <v>72</v>
      </c>
      <c r="AK4733" s="3" t="s">
        <v>27</v>
      </c>
      <c r="AL4733" s="3">
        <v>17136.239605999999</v>
      </c>
    </row>
    <row r="4734" spans="34:38">
      <c r="AH4734" t="s">
        <v>2108</v>
      </c>
      <c r="AI4734" t="s">
        <v>65</v>
      </c>
      <c r="AJ4734" t="s">
        <v>108</v>
      </c>
      <c r="AK4734" s="3" t="s">
        <v>27</v>
      </c>
      <c r="AL4734" s="3">
        <v>-482.06039399999997</v>
      </c>
    </row>
    <row r="4735" spans="34:38">
      <c r="AH4735" t="s">
        <v>2108</v>
      </c>
      <c r="AI4735" t="s">
        <v>67</v>
      </c>
      <c r="AJ4735" t="s">
        <v>66</v>
      </c>
      <c r="AK4735" s="3" t="s">
        <v>27</v>
      </c>
      <c r="AL4735" s="3">
        <v>-2384</v>
      </c>
    </row>
    <row r="4736" spans="34:38">
      <c r="AH4736" t="s">
        <v>2108</v>
      </c>
      <c r="AI4736" t="s">
        <v>67</v>
      </c>
      <c r="AJ4736" t="s">
        <v>72</v>
      </c>
      <c r="AK4736" s="3" t="s">
        <v>27</v>
      </c>
      <c r="AL4736" s="3">
        <v>-2200.17488</v>
      </c>
    </row>
    <row r="4737" spans="34:38">
      <c r="AH4737" t="s">
        <v>2108</v>
      </c>
      <c r="AI4737" t="s">
        <v>67</v>
      </c>
      <c r="AJ4737" t="s">
        <v>108</v>
      </c>
      <c r="AK4737" s="3" t="s">
        <v>27</v>
      </c>
      <c r="AL4737" s="3">
        <v>183.82512</v>
      </c>
    </row>
    <row r="4738" spans="34:38">
      <c r="AH4738" t="s">
        <v>2108</v>
      </c>
      <c r="AI4738" t="s">
        <v>68</v>
      </c>
      <c r="AJ4738" t="s">
        <v>66</v>
      </c>
      <c r="AK4738" s="3" t="s">
        <v>27</v>
      </c>
      <c r="AL4738" s="3">
        <v>-5372.3</v>
      </c>
    </row>
    <row r="4739" spans="34:38">
      <c r="AH4739" t="s">
        <v>2108</v>
      </c>
      <c r="AI4739" t="s">
        <v>68</v>
      </c>
      <c r="AJ4739" t="s">
        <v>72</v>
      </c>
      <c r="AK4739" s="3" t="s">
        <v>27</v>
      </c>
      <c r="AL4739" s="3">
        <v>-5370.822666</v>
      </c>
    </row>
    <row r="4740" spans="34:38">
      <c r="AH4740" t="s">
        <v>2108</v>
      </c>
      <c r="AI4740" t="s">
        <v>68</v>
      </c>
      <c r="AJ4740" t="s">
        <v>108</v>
      </c>
      <c r="AK4740" s="3" t="s">
        <v>27</v>
      </c>
      <c r="AL4740" s="3">
        <v>1.4773339999999999</v>
      </c>
    </row>
    <row r="4741" spans="34:38">
      <c r="AH4741" t="s">
        <v>2108</v>
      </c>
      <c r="AI4741" t="s">
        <v>65</v>
      </c>
      <c r="AJ4741" t="s">
        <v>113</v>
      </c>
      <c r="AK4741" s="3" t="s">
        <v>27</v>
      </c>
      <c r="AL4741" s="3">
        <v>1480.8753309369999</v>
      </c>
    </row>
    <row r="4742" spans="34:38">
      <c r="AH4742" t="s">
        <v>2108</v>
      </c>
      <c r="AI4742" t="s">
        <v>67</v>
      </c>
      <c r="AJ4742" t="s">
        <v>113</v>
      </c>
      <c r="AK4742" s="3" t="s">
        <v>27</v>
      </c>
      <c r="AL4742" s="3">
        <v>0</v>
      </c>
    </row>
    <row r="4743" spans="34:38">
      <c r="AH4743" t="s">
        <v>2108</v>
      </c>
      <c r="AI4743" t="s">
        <v>65</v>
      </c>
      <c r="AJ4743" t="s">
        <v>2303</v>
      </c>
      <c r="AK4743" s="3" t="s">
        <v>27</v>
      </c>
      <c r="AL4743" s="3">
        <v>-2276.0770885480001</v>
      </c>
    </row>
    <row r="4744" spans="34:38">
      <c r="AH4744" t="s">
        <v>2108</v>
      </c>
      <c r="AI4744" t="s">
        <v>67</v>
      </c>
      <c r="AJ4744" t="s">
        <v>2303</v>
      </c>
      <c r="AK4744" s="3" t="s">
        <v>27</v>
      </c>
      <c r="AL4744" s="3">
        <v>183.82512</v>
      </c>
    </row>
    <row r="4745" spans="34:38">
      <c r="AH4745" t="s">
        <v>2108</v>
      </c>
      <c r="AI4745" t="s">
        <v>65</v>
      </c>
      <c r="AJ4745" t="s">
        <v>113</v>
      </c>
      <c r="AK4745" s="3" t="s">
        <v>20</v>
      </c>
      <c r="AL4745" s="3">
        <v>302.30473088550002</v>
      </c>
    </row>
    <row r="4746" spans="34:38">
      <c r="AH4746" t="s">
        <v>2109</v>
      </c>
      <c r="AI4746" t="s">
        <v>65</v>
      </c>
      <c r="AJ4746" t="s">
        <v>72</v>
      </c>
      <c r="AK4746" s="3" t="s">
        <v>27</v>
      </c>
      <c r="AL4746" s="3">
        <v>16194.276315999999</v>
      </c>
    </row>
    <row r="4747" spans="34:38">
      <c r="AH4747" t="s">
        <v>2109</v>
      </c>
      <c r="AI4747" t="s">
        <v>65</v>
      </c>
      <c r="AJ4747" t="s">
        <v>108</v>
      </c>
      <c r="AK4747" s="3" t="s">
        <v>27</v>
      </c>
      <c r="AL4747" s="3">
        <v>-476.023684</v>
      </c>
    </row>
    <row r="4748" spans="34:38">
      <c r="AH4748" t="s">
        <v>2109</v>
      </c>
      <c r="AI4748" t="s">
        <v>67</v>
      </c>
      <c r="AJ4748" t="s">
        <v>66</v>
      </c>
      <c r="AK4748" s="3" t="s">
        <v>27</v>
      </c>
      <c r="AL4748" s="3">
        <v>-636</v>
      </c>
    </row>
    <row r="4749" spans="34:38">
      <c r="AH4749" t="s">
        <v>2109</v>
      </c>
      <c r="AI4749" t="s">
        <v>67</v>
      </c>
      <c r="AJ4749" t="s">
        <v>72</v>
      </c>
      <c r="AK4749" s="3" t="s">
        <v>27</v>
      </c>
      <c r="AL4749" s="3">
        <v>-493.26830000000001</v>
      </c>
    </row>
    <row r="4750" spans="34:38">
      <c r="AH4750" t="s">
        <v>2109</v>
      </c>
      <c r="AI4750" t="s">
        <v>67</v>
      </c>
      <c r="AJ4750" t="s">
        <v>108</v>
      </c>
      <c r="AK4750" s="3" t="s">
        <v>27</v>
      </c>
      <c r="AL4750" s="3">
        <v>142.73169999999999</v>
      </c>
    </row>
    <row r="4751" spans="34:38">
      <c r="AH4751" t="s">
        <v>2109</v>
      </c>
      <c r="AI4751" t="s">
        <v>68</v>
      </c>
      <c r="AJ4751" t="s">
        <v>66</v>
      </c>
      <c r="AK4751" s="3" t="s">
        <v>27</v>
      </c>
      <c r="AL4751" s="3">
        <v>-6172.3</v>
      </c>
    </row>
    <row r="4752" spans="34:38">
      <c r="AH4752" t="s">
        <v>2109</v>
      </c>
      <c r="AI4752" t="s">
        <v>68</v>
      </c>
      <c r="AJ4752" t="s">
        <v>72</v>
      </c>
      <c r="AK4752" s="3" t="s">
        <v>27</v>
      </c>
      <c r="AL4752" s="3">
        <v>-6134.8344960000004</v>
      </c>
    </row>
    <row r="4753" spans="34:38">
      <c r="AH4753" t="s">
        <v>2109</v>
      </c>
      <c r="AI4753" t="s">
        <v>68</v>
      </c>
      <c r="AJ4753" t="s">
        <v>108</v>
      </c>
      <c r="AK4753" s="3" t="s">
        <v>27</v>
      </c>
      <c r="AL4753" s="3">
        <v>37.465504000000003</v>
      </c>
    </row>
    <row r="4754" spans="34:38">
      <c r="AH4754" t="s">
        <v>2109</v>
      </c>
      <c r="AI4754" t="s">
        <v>65</v>
      </c>
      <c r="AJ4754" t="s">
        <v>113</v>
      </c>
      <c r="AK4754" s="3" t="s">
        <v>27</v>
      </c>
      <c r="AL4754" s="3">
        <v>1468.807040574</v>
      </c>
    </row>
    <row r="4755" spans="34:38">
      <c r="AH4755" t="s">
        <v>2109</v>
      </c>
      <c r="AI4755" t="s">
        <v>67</v>
      </c>
      <c r="AJ4755" t="s">
        <v>113</v>
      </c>
      <c r="AK4755" s="3" t="s">
        <v>27</v>
      </c>
      <c r="AL4755" s="3">
        <v>0</v>
      </c>
    </row>
    <row r="4756" spans="34:38">
      <c r="AH4756" t="s">
        <v>2109</v>
      </c>
      <c r="AI4756" t="s">
        <v>65</v>
      </c>
      <c r="AJ4756" t="s">
        <v>2303</v>
      </c>
      <c r="AK4756" s="3" t="s">
        <v>27</v>
      </c>
      <c r="AL4756" s="3">
        <v>-2254.5465923840002</v>
      </c>
    </row>
    <row r="4757" spans="34:38">
      <c r="AH4757" t="s">
        <v>2109</v>
      </c>
      <c r="AI4757" t="s">
        <v>67</v>
      </c>
      <c r="AJ4757" t="s">
        <v>2303</v>
      </c>
      <c r="AK4757" s="3" t="s">
        <v>27</v>
      </c>
      <c r="AL4757" s="3">
        <v>142.73169999999999</v>
      </c>
    </row>
    <row r="4758" spans="34:38">
      <c r="AH4758" t="s">
        <v>2109</v>
      </c>
      <c r="AI4758" t="s">
        <v>65</v>
      </c>
      <c r="AJ4758" t="s">
        <v>113</v>
      </c>
      <c r="AK4758" s="3" t="s">
        <v>20</v>
      </c>
      <c r="AL4758" s="3">
        <v>289.7146732283</v>
      </c>
    </row>
    <row r="4759" spans="34:38">
      <c r="AH4759" t="s">
        <v>2109</v>
      </c>
      <c r="AI4759" t="s">
        <v>65</v>
      </c>
      <c r="AJ4759" t="s">
        <v>66</v>
      </c>
      <c r="AK4759" s="3" t="s">
        <v>27</v>
      </c>
      <c r="AL4759" s="3">
        <v>16670.3</v>
      </c>
    </row>
    <row r="4760" spans="34:38">
      <c r="AH4760" t="s">
        <v>2110</v>
      </c>
      <c r="AI4760" t="s">
        <v>65</v>
      </c>
      <c r="AJ4760" t="s">
        <v>66</v>
      </c>
      <c r="AK4760" s="3" t="s">
        <v>27</v>
      </c>
      <c r="AL4760" s="3">
        <v>16597.3</v>
      </c>
    </row>
    <row r="4761" spans="34:38">
      <c r="AH4761" t="s">
        <v>2110</v>
      </c>
      <c r="AI4761" t="s">
        <v>65</v>
      </c>
      <c r="AJ4761" t="s">
        <v>72</v>
      </c>
      <c r="AK4761" s="3" t="s">
        <v>27</v>
      </c>
      <c r="AL4761" s="3">
        <v>15840.991586</v>
      </c>
    </row>
    <row r="4762" spans="34:38">
      <c r="AH4762" t="s">
        <v>2110</v>
      </c>
      <c r="AI4762" t="s">
        <v>65</v>
      </c>
      <c r="AJ4762" t="s">
        <v>108</v>
      </c>
      <c r="AK4762" s="3" t="s">
        <v>27</v>
      </c>
      <c r="AL4762" s="3">
        <v>-756.30841399999997</v>
      </c>
    </row>
    <row r="4763" spans="34:38">
      <c r="AH4763" t="s">
        <v>2110</v>
      </c>
      <c r="AI4763" t="s">
        <v>67</v>
      </c>
      <c r="AJ4763" t="s">
        <v>66</v>
      </c>
      <c r="AK4763" s="3" t="s">
        <v>27</v>
      </c>
      <c r="AL4763" s="3">
        <v>-1511</v>
      </c>
    </row>
    <row r="4764" spans="34:38">
      <c r="AH4764" t="s">
        <v>2110</v>
      </c>
      <c r="AI4764" t="s">
        <v>67</v>
      </c>
      <c r="AJ4764" t="s">
        <v>72</v>
      </c>
      <c r="AK4764" s="3" t="s">
        <v>27</v>
      </c>
      <c r="AL4764" s="3">
        <v>-1079.6006</v>
      </c>
    </row>
    <row r="4765" spans="34:38">
      <c r="AH4765" t="s">
        <v>2110</v>
      </c>
      <c r="AI4765" t="s">
        <v>67</v>
      </c>
      <c r="AJ4765" t="s">
        <v>108</v>
      </c>
      <c r="AK4765" s="3" t="s">
        <v>27</v>
      </c>
      <c r="AL4765" s="3">
        <v>431.39940000000001</v>
      </c>
    </row>
    <row r="4766" spans="34:38">
      <c r="AH4766" t="s">
        <v>2110</v>
      </c>
      <c r="AI4766" t="s">
        <v>68</v>
      </c>
      <c r="AJ4766" t="s">
        <v>66</v>
      </c>
      <c r="AK4766" s="3" t="s">
        <v>27</v>
      </c>
      <c r="AL4766" s="3">
        <v>-5074.3</v>
      </c>
    </row>
    <row r="4767" spans="34:38">
      <c r="AH4767" t="s">
        <v>2110</v>
      </c>
      <c r="AI4767" t="s">
        <v>68</v>
      </c>
      <c r="AJ4767" t="s">
        <v>72</v>
      </c>
      <c r="AK4767" s="3" t="s">
        <v>27</v>
      </c>
      <c r="AL4767" s="3">
        <v>-5057.0252060000003</v>
      </c>
    </row>
    <row r="4768" spans="34:38">
      <c r="AH4768" t="s">
        <v>2110</v>
      </c>
      <c r="AI4768" t="s">
        <v>68</v>
      </c>
      <c r="AJ4768" t="s">
        <v>108</v>
      </c>
      <c r="AK4768" s="3" t="s">
        <v>27</v>
      </c>
      <c r="AL4768" s="3">
        <v>17.274794</v>
      </c>
    </row>
    <row r="4769" spans="34:38">
      <c r="AH4769" t="s">
        <v>2110</v>
      </c>
      <c r="AI4769" t="s">
        <v>65</v>
      </c>
      <c r="AJ4769" t="s">
        <v>113</v>
      </c>
      <c r="AK4769" s="3" t="s">
        <v>27</v>
      </c>
      <c r="AL4769" s="3">
        <v>1230.473672414</v>
      </c>
    </row>
    <row r="4770" spans="34:38">
      <c r="AH4770" t="s">
        <v>2110</v>
      </c>
      <c r="AI4770" t="s">
        <v>67</v>
      </c>
      <c r="AJ4770" t="s">
        <v>113</v>
      </c>
      <c r="AK4770" s="3" t="s">
        <v>27</v>
      </c>
      <c r="AL4770" s="3">
        <v>0</v>
      </c>
    </row>
    <row r="4771" spans="34:38">
      <c r="AH4771" t="s">
        <v>2110</v>
      </c>
      <c r="AI4771" t="s">
        <v>65</v>
      </c>
      <c r="AJ4771" t="s">
        <v>2303</v>
      </c>
      <c r="AK4771" s="3" t="s">
        <v>27</v>
      </c>
      <c r="AL4771" s="3">
        <v>-2293.6688708749998</v>
      </c>
    </row>
    <row r="4772" spans="34:38">
      <c r="AH4772" t="s">
        <v>2110</v>
      </c>
      <c r="AI4772" t="s">
        <v>67</v>
      </c>
      <c r="AJ4772" t="s">
        <v>2303</v>
      </c>
      <c r="AK4772" s="3" t="s">
        <v>27</v>
      </c>
      <c r="AL4772" s="3">
        <v>431.39940000000001</v>
      </c>
    </row>
    <row r="4773" spans="34:38">
      <c r="AH4773" t="s">
        <v>2110</v>
      </c>
      <c r="AI4773" t="s">
        <v>65</v>
      </c>
      <c r="AJ4773" t="s">
        <v>113</v>
      </c>
      <c r="AK4773" s="3" t="s">
        <v>20</v>
      </c>
      <c r="AL4773" s="3">
        <v>50.859537767299997</v>
      </c>
    </row>
    <row r="4774" spans="34:38">
      <c r="AH4774" t="s">
        <v>2111</v>
      </c>
      <c r="AI4774" t="s">
        <v>65</v>
      </c>
      <c r="AJ4774" t="s">
        <v>66</v>
      </c>
      <c r="AK4774" s="3" t="s">
        <v>27</v>
      </c>
      <c r="AL4774" s="3">
        <v>17189.3</v>
      </c>
    </row>
    <row r="4775" spans="34:38">
      <c r="AH4775" t="s">
        <v>2111</v>
      </c>
      <c r="AI4775" t="s">
        <v>65</v>
      </c>
      <c r="AJ4775" t="s">
        <v>72</v>
      </c>
      <c r="AK4775" s="3" t="s">
        <v>27</v>
      </c>
      <c r="AL4775" s="3">
        <v>16423.323907999998</v>
      </c>
    </row>
    <row r="4776" spans="34:38">
      <c r="AH4776" t="s">
        <v>2111</v>
      </c>
      <c r="AI4776" t="s">
        <v>65</v>
      </c>
      <c r="AJ4776" t="s">
        <v>108</v>
      </c>
      <c r="AK4776" s="3" t="s">
        <v>27</v>
      </c>
      <c r="AL4776" s="3">
        <v>-765.97609199999999</v>
      </c>
    </row>
    <row r="4777" spans="34:38">
      <c r="AH4777" t="s">
        <v>2111</v>
      </c>
      <c r="AI4777" t="s">
        <v>67</v>
      </c>
      <c r="AJ4777" t="s">
        <v>66</v>
      </c>
      <c r="AK4777" s="3" t="s">
        <v>27</v>
      </c>
      <c r="AL4777" s="3">
        <v>-2176</v>
      </c>
    </row>
    <row r="4778" spans="34:38">
      <c r="AH4778" t="s">
        <v>2111</v>
      </c>
      <c r="AI4778" t="s">
        <v>67</v>
      </c>
      <c r="AJ4778" t="s">
        <v>72</v>
      </c>
      <c r="AK4778" s="3" t="s">
        <v>27</v>
      </c>
      <c r="AL4778" s="3">
        <v>-2024.87312</v>
      </c>
    </row>
    <row r="4779" spans="34:38">
      <c r="AH4779" t="s">
        <v>2111</v>
      </c>
      <c r="AI4779" t="s">
        <v>67</v>
      </c>
      <c r="AJ4779" t="s">
        <v>108</v>
      </c>
      <c r="AK4779" s="3" t="s">
        <v>27</v>
      </c>
      <c r="AL4779" s="3">
        <v>151.12688</v>
      </c>
    </row>
    <row r="4780" spans="34:38">
      <c r="AH4780" t="s">
        <v>2111</v>
      </c>
      <c r="AI4780" t="s">
        <v>68</v>
      </c>
      <c r="AJ4780" t="s">
        <v>66</v>
      </c>
      <c r="AK4780" s="3" t="s">
        <v>27</v>
      </c>
      <c r="AL4780" s="3">
        <v>-5051.3</v>
      </c>
    </row>
    <row r="4781" spans="34:38">
      <c r="AH4781" t="s">
        <v>2111</v>
      </c>
      <c r="AI4781" t="s">
        <v>68</v>
      </c>
      <c r="AJ4781" t="s">
        <v>72</v>
      </c>
      <c r="AK4781" s="3" t="s">
        <v>27</v>
      </c>
      <c r="AL4781" s="3">
        <v>-4760.9339879999998</v>
      </c>
    </row>
    <row r="4782" spans="34:38">
      <c r="AH4782" t="s">
        <v>2111</v>
      </c>
      <c r="AI4782" t="s">
        <v>68</v>
      </c>
      <c r="AJ4782" t="s">
        <v>108</v>
      </c>
      <c r="AK4782" s="3" t="s">
        <v>27</v>
      </c>
      <c r="AL4782" s="3">
        <v>290.36601200000001</v>
      </c>
    </row>
    <row r="4783" spans="34:38">
      <c r="AH4783" t="s">
        <v>2111</v>
      </c>
      <c r="AI4783" t="s">
        <v>65</v>
      </c>
      <c r="AJ4783" t="s">
        <v>113</v>
      </c>
      <c r="AK4783" s="3" t="s">
        <v>27</v>
      </c>
      <c r="AL4783" s="3">
        <v>1238.458472219</v>
      </c>
    </row>
    <row r="4784" spans="34:38">
      <c r="AH4784" t="s">
        <v>2111</v>
      </c>
      <c r="AI4784" t="s">
        <v>67</v>
      </c>
      <c r="AJ4784" t="s">
        <v>113</v>
      </c>
      <c r="AK4784" s="3" t="s">
        <v>27</v>
      </c>
      <c r="AL4784" s="3">
        <v>0</v>
      </c>
    </row>
    <row r="4785" spans="34:38">
      <c r="AH4785" t="s">
        <v>2111</v>
      </c>
      <c r="AI4785" t="s">
        <v>65</v>
      </c>
      <c r="AJ4785" t="s">
        <v>2303</v>
      </c>
      <c r="AK4785" s="3" t="s">
        <v>27</v>
      </c>
      <c r="AL4785" s="3">
        <v>-2311.7718153119999</v>
      </c>
    </row>
    <row r="4786" spans="34:38">
      <c r="AH4786" t="s">
        <v>2111</v>
      </c>
      <c r="AI4786" t="s">
        <v>67</v>
      </c>
      <c r="AJ4786" t="s">
        <v>2303</v>
      </c>
      <c r="AK4786" s="3" t="s">
        <v>27</v>
      </c>
      <c r="AL4786" s="3">
        <v>151.12688</v>
      </c>
    </row>
    <row r="4787" spans="34:38">
      <c r="AH4787" t="s">
        <v>2111</v>
      </c>
      <c r="AI4787" t="s">
        <v>65</v>
      </c>
      <c r="AJ4787" t="s">
        <v>113</v>
      </c>
      <c r="AK4787" s="3" t="s">
        <v>20</v>
      </c>
      <c r="AL4787" s="3">
        <v>57.279035672600003</v>
      </c>
    </row>
    <row r="4788" spans="34:38">
      <c r="AH4788" t="s">
        <v>2112</v>
      </c>
      <c r="AI4788" t="s">
        <v>65</v>
      </c>
      <c r="AJ4788" t="s">
        <v>113</v>
      </c>
      <c r="AK4788" s="3" t="s">
        <v>20</v>
      </c>
      <c r="AL4788" s="3">
        <v>43.038887301099997</v>
      </c>
    </row>
    <row r="4789" spans="34:38">
      <c r="AH4789" t="s">
        <v>2112</v>
      </c>
      <c r="AI4789" t="s">
        <v>65</v>
      </c>
      <c r="AJ4789" t="s">
        <v>66</v>
      </c>
      <c r="AK4789" s="3" t="s">
        <v>27</v>
      </c>
      <c r="AL4789" s="3">
        <v>16949.3</v>
      </c>
    </row>
    <row r="4790" spans="34:38">
      <c r="AH4790" t="s">
        <v>2112</v>
      </c>
      <c r="AI4790" t="s">
        <v>65</v>
      </c>
      <c r="AJ4790" t="s">
        <v>72</v>
      </c>
      <c r="AK4790" s="3" t="s">
        <v>27</v>
      </c>
      <c r="AL4790" s="3">
        <v>16210.396707</v>
      </c>
    </row>
    <row r="4791" spans="34:38">
      <c r="AH4791" t="s">
        <v>2112</v>
      </c>
      <c r="AI4791" t="s">
        <v>65</v>
      </c>
      <c r="AJ4791" t="s">
        <v>108</v>
      </c>
      <c r="AK4791" s="3" t="s">
        <v>27</v>
      </c>
      <c r="AL4791" s="3">
        <v>-738.90329299999996</v>
      </c>
    </row>
    <row r="4792" spans="34:38">
      <c r="AH4792" t="s">
        <v>2112</v>
      </c>
      <c r="AI4792" t="s">
        <v>67</v>
      </c>
      <c r="AJ4792" t="s">
        <v>66</v>
      </c>
      <c r="AK4792" s="3" t="s">
        <v>27</v>
      </c>
      <c r="AL4792" s="3">
        <v>-1644</v>
      </c>
    </row>
    <row r="4793" spans="34:38">
      <c r="AH4793" t="s">
        <v>2112</v>
      </c>
      <c r="AI4793" t="s">
        <v>67</v>
      </c>
      <c r="AJ4793" t="s">
        <v>113</v>
      </c>
      <c r="AK4793" s="3" t="s">
        <v>27</v>
      </c>
      <c r="AL4793" s="3">
        <v>0</v>
      </c>
    </row>
    <row r="4794" spans="34:38">
      <c r="AH4794" t="s">
        <v>2112</v>
      </c>
      <c r="AI4794" t="s">
        <v>65</v>
      </c>
      <c r="AJ4794" t="s">
        <v>2303</v>
      </c>
      <c r="AK4794" s="3" t="s">
        <v>27</v>
      </c>
      <c r="AL4794" s="3">
        <v>-2252.7774113760001</v>
      </c>
    </row>
    <row r="4795" spans="34:38">
      <c r="AH4795" t="s">
        <v>2112</v>
      </c>
      <c r="AI4795" t="s">
        <v>67</v>
      </c>
      <c r="AJ4795" t="s">
        <v>2303</v>
      </c>
      <c r="AK4795" s="3" t="s">
        <v>27</v>
      </c>
      <c r="AL4795" s="3">
        <v>150.03613999999999</v>
      </c>
    </row>
    <row r="4796" spans="34:38">
      <c r="AH4796" t="s">
        <v>2112</v>
      </c>
      <c r="AI4796" t="s">
        <v>67</v>
      </c>
      <c r="AJ4796" t="s">
        <v>72</v>
      </c>
      <c r="AK4796" s="3" t="s">
        <v>27</v>
      </c>
      <c r="AL4796" s="3">
        <v>-1493.9638600000001</v>
      </c>
    </row>
    <row r="4797" spans="34:38">
      <c r="AH4797" t="s">
        <v>2112</v>
      </c>
      <c r="AI4797" t="s">
        <v>67</v>
      </c>
      <c r="AJ4797" t="s">
        <v>108</v>
      </c>
      <c r="AK4797" s="3" t="s">
        <v>27</v>
      </c>
      <c r="AL4797" s="3">
        <v>150.03613999999999</v>
      </c>
    </row>
    <row r="4798" spans="34:38">
      <c r="AH4798" t="s">
        <v>2112</v>
      </c>
      <c r="AI4798" t="s">
        <v>68</v>
      </c>
      <c r="AJ4798" t="s">
        <v>66</v>
      </c>
      <c r="AK4798" s="3" t="s">
        <v>27</v>
      </c>
      <c r="AL4798" s="3">
        <v>-5043.3</v>
      </c>
    </row>
    <row r="4799" spans="34:38">
      <c r="AH4799" t="s">
        <v>2112</v>
      </c>
      <c r="AI4799" t="s">
        <v>68</v>
      </c>
      <c r="AJ4799" t="s">
        <v>72</v>
      </c>
      <c r="AK4799" s="3" t="s">
        <v>27</v>
      </c>
      <c r="AL4799" s="3">
        <v>-4773.5454669999999</v>
      </c>
    </row>
    <row r="4800" spans="34:38">
      <c r="AH4800" t="s">
        <v>2112</v>
      </c>
      <c r="AI4800" t="s">
        <v>68</v>
      </c>
      <c r="AJ4800" t="s">
        <v>108</v>
      </c>
      <c r="AK4800" s="3" t="s">
        <v>27</v>
      </c>
      <c r="AL4800" s="3">
        <v>269.75453299999998</v>
      </c>
    </row>
    <row r="4801" spans="34:38">
      <c r="AH4801" t="s">
        <v>2112</v>
      </c>
      <c r="AI4801" t="s">
        <v>65</v>
      </c>
      <c r="AJ4801" t="s">
        <v>113</v>
      </c>
      <c r="AK4801" s="3" t="s">
        <v>27</v>
      </c>
      <c r="AL4801" s="3">
        <v>1224.7400911479999</v>
      </c>
    </row>
    <row r="4802" spans="34:38">
      <c r="AH4802" t="s">
        <v>2113</v>
      </c>
      <c r="AI4802" t="s">
        <v>68</v>
      </c>
      <c r="AJ4802" t="s">
        <v>72</v>
      </c>
      <c r="AK4802" s="3" t="s">
        <v>27</v>
      </c>
      <c r="AL4802" s="3">
        <v>-4393.1390179999999</v>
      </c>
    </row>
    <row r="4803" spans="34:38">
      <c r="AH4803" t="s">
        <v>2113</v>
      </c>
      <c r="AI4803" t="s">
        <v>68</v>
      </c>
      <c r="AJ4803" t="s">
        <v>108</v>
      </c>
      <c r="AK4803" s="3" t="s">
        <v>27</v>
      </c>
      <c r="AL4803" s="3">
        <v>260.16098199999999</v>
      </c>
    </row>
    <row r="4804" spans="34:38">
      <c r="AH4804" t="s">
        <v>2113</v>
      </c>
      <c r="AI4804" t="s">
        <v>65</v>
      </c>
      <c r="AJ4804" t="s">
        <v>113</v>
      </c>
      <c r="AK4804" s="3" t="s">
        <v>27</v>
      </c>
      <c r="AL4804" s="3">
        <v>1229.761240433</v>
      </c>
    </row>
    <row r="4805" spans="34:38">
      <c r="AH4805" t="s">
        <v>2113</v>
      </c>
      <c r="AI4805" t="s">
        <v>67</v>
      </c>
      <c r="AJ4805" t="s">
        <v>113</v>
      </c>
      <c r="AK4805" s="3" t="s">
        <v>27</v>
      </c>
      <c r="AL4805" s="3">
        <v>0</v>
      </c>
    </row>
    <row r="4806" spans="34:38">
      <c r="AH4806" t="s">
        <v>2113</v>
      </c>
      <c r="AI4806" t="s">
        <v>65</v>
      </c>
      <c r="AJ4806" t="s">
        <v>2303</v>
      </c>
      <c r="AK4806" s="3" t="s">
        <v>27</v>
      </c>
      <c r="AL4806" s="3">
        <v>-2174.1444773070002</v>
      </c>
    </row>
    <row r="4807" spans="34:38">
      <c r="AH4807" t="s">
        <v>2113</v>
      </c>
      <c r="AI4807" t="s">
        <v>65</v>
      </c>
      <c r="AJ4807" t="s">
        <v>113</v>
      </c>
      <c r="AK4807" s="3" t="s">
        <v>20</v>
      </c>
      <c r="AL4807" s="3">
        <v>47.538269280599998</v>
      </c>
    </row>
    <row r="4808" spans="34:38">
      <c r="AH4808" t="s">
        <v>2113</v>
      </c>
      <c r="AI4808" t="s">
        <v>67</v>
      </c>
      <c r="AJ4808" t="s">
        <v>2303</v>
      </c>
      <c r="AK4808" s="3" t="s">
        <v>27</v>
      </c>
      <c r="AL4808" s="3">
        <v>131.35166000000001</v>
      </c>
    </row>
    <row r="4809" spans="34:38">
      <c r="AH4809" t="s">
        <v>2113</v>
      </c>
      <c r="AI4809" t="s">
        <v>65</v>
      </c>
      <c r="AJ4809" t="s">
        <v>66</v>
      </c>
      <c r="AK4809" s="3" t="s">
        <v>27</v>
      </c>
      <c r="AL4809" s="3">
        <v>16027.3</v>
      </c>
    </row>
    <row r="4810" spans="34:38">
      <c r="AH4810" t="s">
        <v>2113</v>
      </c>
      <c r="AI4810" t="s">
        <v>65</v>
      </c>
      <c r="AJ4810" t="s">
        <v>72</v>
      </c>
      <c r="AK4810" s="3" t="s">
        <v>27</v>
      </c>
      <c r="AL4810" s="3">
        <v>15337.328538</v>
      </c>
    </row>
    <row r="4811" spans="34:38">
      <c r="AH4811" t="s">
        <v>2113</v>
      </c>
      <c r="AI4811" t="s">
        <v>65</v>
      </c>
      <c r="AJ4811" t="s">
        <v>108</v>
      </c>
      <c r="AK4811" s="3" t="s">
        <v>27</v>
      </c>
      <c r="AL4811" s="3">
        <v>-689.97146199999997</v>
      </c>
    </row>
    <row r="4812" spans="34:38">
      <c r="AH4812" t="s">
        <v>2113</v>
      </c>
      <c r="AI4812" t="s">
        <v>67</v>
      </c>
      <c r="AJ4812" t="s">
        <v>66</v>
      </c>
      <c r="AK4812" s="3" t="s">
        <v>27</v>
      </c>
      <c r="AL4812" s="3">
        <v>-862</v>
      </c>
    </row>
    <row r="4813" spans="34:38">
      <c r="AH4813" t="s">
        <v>2113</v>
      </c>
      <c r="AI4813" t="s">
        <v>67</v>
      </c>
      <c r="AJ4813" t="s">
        <v>72</v>
      </c>
      <c r="AK4813" s="3" t="s">
        <v>27</v>
      </c>
      <c r="AL4813" s="3">
        <v>-730.64833999999996</v>
      </c>
    </row>
    <row r="4814" spans="34:38">
      <c r="AH4814" t="s">
        <v>2113</v>
      </c>
      <c r="AI4814" t="s">
        <v>67</v>
      </c>
      <c r="AJ4814" t="s">
        <v>108</v>
      </c>
      <c r="AK4814" s="3" t="s">
        <v>27</v>
      </c>
      <c r="AL4814" s="3">
        <v>131.35166000000001</v>
      </c>
    </row>
    <row r="4815" spans="34:38">
      <c r="AH4815" t="s">
        <v>2113</v>
      </c>
      <c r="AI4815" t="s">
        <v>68</v>
      </c>
      <c r="AJ4815" t="s">
        <v>66</v>
      </c>
      <c r="AK4815" s="3" t="s">
        <v>27</v>
      </c>
      <c r="AL4815" s="3">
        <v>-4653.3</v>
      </c>
    </row>
    <row r="4816" spans="34:38">
      <c r="AH4816" t="s">
        <v>2114</v>
      </c>
      <c r="AI4816" t="s">
        <v>65</v>
      </c>
      <c r="AJ4816" t="s">
        <v>66</v>
      </c>
      <c r="AK4816" s="3" t="s">
        <v>27</v>
      </c>
      <c r="AL4816" s="3">
        <v>16527.3</v>
      </c>
    </row>
    <row r="4817" spans="34:38">
      <c r="AH4817" t="s">
        <v>2114</v>
      </c>
      <c r="AI4817" t="s">
        <v>65</v>
      </c>
      <c r="AJ4817" t="s">
        <v>72</v>
      </c>
      <c r="AK4817" s="3" t="s">
        <v>27</v>
      </c>
      <c r="AL4817" s="3">
        <v>15810.987924999999</v>
      </c>
    </row>
    <row r="4818" spans="34:38">
      <c r="AH4818" t="s">
        <v>2114</v>
      </c>
      <c r="AI4818" t="s">
        <v>65</v>
      </c>
      <c r="AJ4818" t="s">
        <v>108</v>
      </c>
      <c r="AK4818" s="3" t="s">
        <v>27</v>
      </c>
      <c r="AL4818" s="3">
        <v>-716.31207500000005</v>
      </c>
    </row>
    <row r="4819" spans="34:38">
      <c r="AH4819" t="s">
        <v>2114</v>
      </c>
      <c r="AI4819" t="s">
        <v>67</v>
      </c>
      <c r="AJ4819" t="s">
        <v>66</v>
      </c>
      <c r="AK4819" s="3" t="s">
        <v>27</v>
      </c>
      <c r="AL4819" s="3">
        <v>-2084</v>
      </c>
    </row>
    <row r="4820" spans="34:38">
      <c r="AH4820" t="s">
        <v>2114</v>
      </c>
      <c r="AI4820" t="s">
        <v>67</v>
      </c>
      <c r="AJ4820" t="s">
        <v>72</v>
      </c>
      <c r="AK4820" s="3" t="s">
        <v>27</v>
      </c>
      <c r="AL4820" s="3">
        <v>-1922.9829400000001</v>
      </c>
    </row>
    <row r="4821" spans="34:38">
      <c r="AH4821" t="s">
        <v>2114</v>
      </c>
      <c r="AI4821" t="s">
        <v>67</v>
      </c>
      <c r="AJ4821" t="s">
        <v>108</v>
      </c>
      <c r="AK4821" s="3" t="s">
        <v>27</v>
      </c>
      <c r="AL4821" s="3">
        <v>161.01705999999999</v>
      </c>
    </row>
    <row r="4822" spans="34:38">
      <c r="AH4822" t="s">
        <v>2114</v>
      </c>
      <c r="AI4822" t="s">
        <v>68</v>
      </c>
      <c r="AJ4822" t="s">
        <v>66</v>
      </c>
      <c r="AK4822" s="3" t="s">
        <v>27</v>
      </c>
      <c r="AL4822" s="3">
        <v>-4031.3</v>
      </c>
    </row>
    <row r="4823" spans="34:38">
      <c r="AH4823" t="s">
        <v>2114</v>
      </c>
      <c r="AI4823" t="s">
        <v>68</v>
      </c>
      <c r="AJ4823" t="s">
        <v>72</v>
      </c>
      <c r="AK4823" s="3" t="s">
        <v>27</v>
      </c>
      <c r="AL4823" s="3">
        <v>-3770.9627449999998</v>
      </c>
    </row>
    <row r="4824" spans="34:38">
      <c r="AH4824" t="s">
        <v>2114</v>
      </c>
      <c r="AI4824" t="s">
        <v>68</v>
      </c>
      <c r="AJ4824" t="s">
        <v>108</v>
      </c>
      <c r="AK4824" s="3" t="s">
        <v>27</v>
      </c>
      <c r="AL4824" s="3">
        <v>260.33725500000003</v>
      </c>
    </row>
    <row r="4825" spans="34:38">
      <c r="AH4825" t="s">
        <v>2114</v>
      </c>
      <c r="AI4825" t="s">
        <v>65</v>
      </c>
      <c r="AJ4825" t="s">
        <v>113</v>
      </c>
      <c r="AK4825" s="3" t="s">
        <v>27</v>
      </c>
      <c r="AL4825" s="3">
        <v>1229.6253106070001</v>
      </c>
    </row>
    <row r="4826" spans="34:38">
      <c r="AH4826" t="s">
        <v>2114</v>
      </c>
      <c r="AI4826" t="s">
        <v>67</v>
      </c>
      <c r="AJ4826" t="s">
        <v>113</v>
      </c>
      <c r="AK4826" s="3" t="s">
        <v>27</v>
      </c>
      <c r="AL4826" s="3">
        <v>0</v>
      </c>
    </row>
    <row r="4827" spans="34:38">
      <c r="AH4827" t="s">
        <v>2114</v>
      </c>
      <c r="AI4827" t="s">
        <v>65</v>
      </c>
      <c r="AJ4827" t="s">
        <v>2303</v>
      </c>
      <c r="AK4827" s="3" t="s">
        <v>27</v>
      </c>
      <c r="AL4827" s="3">
        <v>-2201.1592695210002</v>
      </c>
    </row>
    <row r="4828" spans="34:38">
      <c r="AH4828" t="s">
        <v>2114</v>
      </c>
      <c r="AI4828" t="s">
        <v>67</v>
      </c>
      <c r="AJ4828" t="s">
        <v>2303</v>
      </c>
      <c r="AK4828" s="3" t="s">
        <v>27</v>
      </c>
      <c r="AL4828" s="3">
        <v>161.01705999999999</v>
      </c>
    </row>
    <row r="4829" spans="34:38">
      <c r="AH4829" t="s">
        <v>2114</v>
      </c>
      <c r="AI4829" t="s">
        <v>65</v>
      </c>
      <c r="AJ4829" t="s">
        <v>113</v>
      </c>
      <c r="AK4829" s="3" t="s">
        <v>20</v>
      </c>
      <c r="AL4829" s="3">
        <v>46.880572149700001</v>
      </c>
    </row>
    <row r="4830" spans="34:38">
      <c r="AH4830" t="s">
        <v>2115</v>
      </c>
      <c r="AI4830" t="s">
        <v>65</v>
      </c>
      <c r="AJ4830" t="s">
        <v>66</v>
      </c>
      <c r="AK4830" s="3" t="s">
        <v>27</v>
      </c>
      <c r="AL4830" s="3">
        <v>16949.3</v>
      </c>
    </row>
    <row r="4831" spans="34:38">
      <c r="AH4831" t="s">
        <v>2115</v>
      </c>
      <c r="AI4831" t="s">
        <v>65</v>
      </c>
      <c r="AJ4831" t="s">
        <v>72</v>
      </c>
      <c r="AK4831" s="3" t="s">
        <v>27</v>
      </c>
      <c r="AL4831" s="3">
        <v>16226.240732</v>
      </c>
    </row>
    <row r="4832" spans="34:38">
      <c r="AH4832" t="s">
        <v>2115</v>
      </c>
      <c r="AI4832" t="s">
        <v>65</v>
      </c>
      <c r="AJ4832" t="s">
        <v>108</v>
      </c>
      <c r="AK4832" s="3" t="s">
        <v>27</v>
      </c>
      <c r="AL4832" s="3">
        <v>-723.05926799999997</v>
      </c>
    </row>
    <row r="4833" spans="34:38">
      <c r="AH4833" t="s">
        <v>2115</v>
      </c>
      <c r="AI4833" t="s">
        <v>67</v>
      </c>
      <c r="AJ4833" t="s">
        <v>66</v>
      </c>
      <c r="AK4833" s="3" t="s">
        <v>27</v>
      </c>
      <c r="AL4833" s="3">
        <v>-2006</v>
      </c>
    </row>
    <row r="4834" spans="34:38">
      <c r="AH4834" t="s">
        <v>2115</v>
      </c>
      <c r="AI4834" t="s">
        <v>67</v>
      </c>
      <c r="AJ4834" t="s">
        <v>72</v>
      </c>
      <c r="AK4834" s="3" t="s">
        <v>27</v>
      </c>
      <c r="AL4834" s="3">
        <v>-1865.8477800000001</v>
      </c>
    </row>
    <row r="4835" spans="34:38">
      <c r="AH4835" t="s">
        <v>2115</v>
      </c>
      <c r="AI4835" t="s">
        <v>67</v>
      </c>
      <c r="AJ4835" t="s">
        <v>108</v>
      </c>
      <c r="AK4835" s="3" t="s">
        <v>27</v>
      </c>
      <c r="AL4835" s="3">
        <v>140.15222</v>
      </c>
    </row>
    <row r="4836" spans="34:38">
      <c r="AH4836" t="s">
        <v>2115</v>
      </c>
      <c r="AI4836" t="s">
        <v>68</v>
      </c>
      <c r="AJ4836" t="s">
        <v>66</v>
      </c>
      <c r="AK4836" s="3" t="s">
        <v>27</v>
      </c>
      <c r="AL4836" s="3">
        <v>-4531.3</v>
      </c>
    </row>
    <row r="4837" spans="34:38">
      <c r="AH4837" t="s">
        <v>2115</v>
      </c>
      <c r="AI4837" t="s">
        <v>68</v>
      </c>
      <c r="AJ4837" t="s">
        <v>72</v>
      </c>
      <c r="AK4837" s="3" t="s">
        <v>27</v>
      </c>
      <c r="AL4837" s="3">
        <v>-4245.7292319999997</v>
      </c>
    </row>
    <row r="4838" spans="34:38">
      <c r="AH4838" t="s">
        <v>2115</v>
      </c>
      <c r="AI4838" t="s">
        <v>68</v>
      </c>
      <c r="AJ4838" t="s">
        <v>108</v>
      </c>
      <c r="AK4838" s="3" t="s">
        <v>27</v>
      </c>
      <c r="AL4838" s="3">
        <v>285.57076799999999</v>
      </c>
    </row>
    <row r="4839" spans="34:38">
      <c r="AH4839" t="s">
        <v>2115</v>
      </c>
      <c r="AI4839" t="s">
        <v>65</v>
      </c>
      <c r="AJ4839" t="s">
        <v>113</v>
      </c>
      <c r="AK4839" s="3" t="s">
        <v>27</v>
      </c>
      <c r="AL4839" s="3">
        <v>1234.7529475910001</v>
      </c>
    </row>
    <row r="4840" spans="34:38">
      <c r="AH4840" t="s">
        <v>2115</v>
      </c>
      <c r="AI4840" t="s">
        <v>67</v>
      </c>
      <c r="AJ4840" t="s">
        <v>113</v>
      </c>
      <c r="AK4840" s="3" t="s">
        <v>27</v>
      </c>
      <c r="AL4840" s="3">
        <v>0</v>
      </c>
    </row>
    <row r="4841" spans="34:38">
      <c r="AH4841" t="s">
        <v>2115</v>
      </c>
      <c r="AI4841" t="s">
        <v>65</v>
      </c>
      <c r="AJ4841" t="s">
        <v>2303</v>
      </c>
      <c r="AK4841" s="3" t="s">
        <v>27</v>
      </c>
      <c r="AL4841" s="3">
        <v>-2215.2918031310001</v>
      </c>
    </row>
    <row r="4842" spans="34:38">
      <c r="AH4842" t="s">
        <v>2115</v>
      </c>
      <c r="AI4842" t="s">
        <v>67</v>
      </c>
      <c r="AJ4842" t="s">
        <v>2303</v>
      </c>
      <c r="AK4842" s="3" t="s">
        <v>27</v>
      </c>
      <c r="AL4842" s="3">
        <v>140.15222</v>
      </c>
    </row>
    <row r="4843" spans="34:38">
      <c r="AH4843" t="s">
        <v>2115</v>
      </c>
      <c r="AI4843" t="s">
        <v>65</v>
      </c>
      <c r="AJ4843" t="s">
        <v>113</v>
      </c>
      <c r="AK4843" s="3" t="s">
        <v>20</v>
      </c>
      <c r="AL4843" s="3">
        <v>51.486441838399998</v>
      </c>
    </row>
    <row r="4844" spans="34:38">
      <c r="AH4844" t="s">
        <v>2116</v>
      </c>
      <c r="AI4844" t="s">
        <v>65</v>
      </c>
      <c r="AJ4844" t="s">
        <v>66</v>
      </c>
      <c r="AK4844" s="3" t="s">
        <v>27</v>
      </c>
      <c r="AL4844" s="3">
        <v>16781.3</v>
      </c>
    </row>
    <row r="4845" spans="34:38">
      <c r="AH4845" t="s">
        <v>2116</v>
      </c>
      <c r="AI4845" t="s">
        <v>65</v>
      </c>
      <c r="AJ4845" t="s">
        <v>72</v>
      </c>
      <c r="AK4845" s="3" t="s">
        <v>27</v>
      </c>
      <c r="AL4845" s="3">
        <v>16072.556925000001</v>
      </c>
    </row>
    <row r="4846" spans="34:38">
      <c r="AH4846" t="s">
        <v>2116</v>
      </c>
      <c r="AI4846" t="s">
        <v>65</v>
      </c>
      <c r="AJ4846" t="s">
        <v>108</v>
      </c>
      <c r="AK4846" s="3" t="s">
        <v>27</v>
      </c>
      <c r="AL4846" s="3">
        <v>-708.74307499999998</v>
      </c>
    </row>
    <row r="4847" spans="34:38">
      <c r="AH4847" t="s">
        <v>2116</v>
      </c>
      <c r="AI4847" t="s">
        <v>67</v>
      </c>
      <c r="AJ4847" t="s">
        <v>66</v>
      </c>
      <c r="AK4847" s="3" t="s">
        <v>27</v>
      </c>
      <c r="AL4847" s="3">
        <v>-1416</v>
      </c>
    </row>
    <row r="4848" spans="34:38">
      <c r="AH4848" t="s">
        <v>2116</v>
      </c>
      <c r="AI4848" t="s">
        <v>67</v>
      </c>
      <c r="AJ4848" t="s">
        <v>72</v>
      </c>
      <c r="AK4848" s="3" t="s">
        <v>27</v>
      </c>
      <c r="AL4848" s="3">
        <v>-1289.33656</v>
      </c>
    </row>
    <row r="4849" spans="34:38">
      <c r="AH4849" t="s">
        <v>2116</v>
      </c>
      <c r="AI4849" t="s">
        <v>67</v>
      </c>
      <c r="AJ4849" t="s">
        <v>108</v>
      </c>
      <c r="AK4849" s="3" t="s">
        <v>27</v>
      </c>
      <c r="AL4849" s="3">
        <v>126.66343999999999</v>
      </c>
    </row>
    <row r="4850" spans="34:38">
      <c r="AH4850" t="s">
        <v>2116</v>
      </c>
      <c r="AI4850" t="s">
        <v>68</v>
      </c>
      <c r="AJ4850" t="s">
        <v>66</v>
      </c>
      <c r="AK4850" s="3" t="s">
        <v>27</v>
      </c>
      <c r="AL4850" s="3">
        <v>-5003.3</v>
      </c>
    </row>
    <row r="4851" spans="34:38">
      <c r="AH4851" t="s">
        <v>2116</v>
      </c>
      <c r="AI4851" t="s">
        <v>68</v>
      </c>
      <c r="AJ4851" t="s">
        <v>72</v>
      </c>
      <c r="AK4851" s="3" t="s">
        <v>27</v>
      </c>
      <c r="AL4851" s="3">
        <v>-4717.8406450000002</v>
      </c>
    </row>
    <row r="4852" spans="34:38">
      <c r="AH4852" t="s">
        <v>2116</v>
      </c>
      <c r="AI4852" t="s">
        <v>68</v>
      </c>
      <c r="AJ4852" t="s">
        <v>108</v>
      </c>
      <c r="AK4852" s="3" t="s">
        <v>27</v>
      </c>
      <c r="AL4852" s="3">
        <v>285.45935500000002</v>
      </c>
    </row>
    <row r="4853" spans="34:38">
      <c r="AH4853" t="s">
        <v>2116</v>
      </c>
      <c r="AI4853" t="s">
        <v>65</v>
      </c>
      <c r="AJ4853" t="s">
        <v>113</v>
      </c>
      <c r="AK4853" s="3" t="s">
        <v>27</v>
      </c>
      <c r="AL4853" s="3">
        <v>1248.3772840480001</v>
      </c>
    </row>
    <row r="4854" spans="34:38">
      <c r="AH4854" t="s">
        <v>2116</v>
      </c>
      <c r="AI4854" t="s">
        <v>67</v>
      </c>
      <c r="AJ4854" t="s">
        <v>113</v>
      </c>
      <c r="AK4854" s="3" t="s">
        <v>27</v>
      </c>
      <c r="AL4854" s="3">
        <v>0</v>
      </c>
    </row>
    <row r="4855" spans="34:38">
      <c r="AH4855" t="s">
        <v>2116</v>
      </c>
      <c r="AI4855" t="s">
        <v>65</v>
      </c>
      <c r="AJ4855" t="s">
        <v>2303</v>
      </c>
      <c r="AK4855" s="3" t="s">
        <v>27</v>
      </c>
      <c r="AL4855" s="3">
        <v>-2207.2461615769998</v>
      </c>
    </row>
    <row r="4856" spans="34:38">
      <c r="AH4856" t="s">
        <v>2116</v>
      </c>
      <c r="AI4856" t="s">
        <v>67</v>
      </c>
      <c r="AJ4856" t="s">
        <v>2303</v>
      </c>
      <c r="AK4856" s="3" t="s">
        <v>27</v>
      </c>
      <c r="AL4856" s="3">
        <v>126.66343999999999</v>
      </c>
    </row>
    <row r="4857" spans="34:38">
      <c r="AH4857" t="s">
        <v>2116</v>
      </c>
      <c r="AI4857" t="s">
        <v>65</v>
      </c>
      <c r="AJ4857" t="s">
        <v>113</v>
      </c>
      <c r="AK4857" s="3" t="s">
        <v>20</v>
      </c>
      <c r="AL4857" s="3">
        <v>63.545476381199997</v>
      </c>
    </row>
    <row r="4858" spans="34:38">
      <c r="AH4858" t="s">
        <v>2117</v>
      </c>
      <c r="AI4858" t="s">
        <v>65</v>
      </c>
      <c r="AJ4858" t="s">
        <v>66</v>
      </c>
      <c r="AK4858" s="3" t="s">
        <v>27</v>
      </c>
      <c r="AL4858" s="3">
        <v>16943.3</v>
      </c>
    </row>
    <row r="4859" spans="34:38">
      <c r="AH4859" t="s">
        <v>2117</v>
      </c>
      <c r="AI4859" t="s">
        <v>65</v>
      </c>
      <c r="AJ4859" t="s">
        <v>72</v>
      </c>
      <c r="AK4859" s="3" t="s">
        <v>27</v>
      </c>
      <c r="AL4859" s="3">
        <v>16241.340604999999</v>
      </c>
    </row>
    <row r="4860" spans="34:38">
      <c r="AH4860" t="s">
        <v>2117</v>
      </c>
      <c r="AI4860" t="s">
        <v>65</v>
      </c>
      <c r="AJ4860" t="s">
        <v>108</v>
      </c>
      <c r="AK4860" s="3" t="s">
        <v>27</v>
      </c>
      <c r="AL4860" s="3">
        <v>-701.95939499999997</v>
      </c>
    </row>
    <row r="4861" spans="34:38">
      <c r="AH4861" t="s">
        <v>2117</v>
      </c>
      <c r="AI4861" t="s">
        <v>67</v>
      </c>
      <c r="AJ4861" t="s">
        <v>66</v>
      </c>
      <c r="AK4861" s="3" t="s">
        <v>27</v>
      </c>
      <c r="AL4861" s="3">
        <v>-1746</v>
      </c>
    </row>
    <row r="4862" spans="34:38">
      <c r="AH4862" t="s">
        <v>2117</v>
      </c>
      <c r="AI4862" t="s">
        <v>67</v>
      </c>
      <c r="AJ4862" t="s">
        <v>72</v>
      </c>
      <c r="AK4862" s="3" t="s">
        <v>27</v>
      </c>
      <c r="AL4862" s="3">
        <v>-1620.5065400000001</v>
      </c>
    </row>
    <row r="4863" spans="34:38">
      <c r="AH4863" t="s">
        <v>2117</v>
      </c>
      <c r="AI4863" t="s">
        <v>67</v>
      </c>
      <c r="AJ4863" t="s">
        <v>108</v>
      </c>
      <c r="AK4863" s="3" t="s">
        <v>27</v>
      </c>
      <c r="AL4863" s="3">
        <v>125.49346</v>
      </c>
    </row>
    <row r="4864" spans="34:38">
      <c r="AH4864" t="s">
        <v>2117</v>
      </c>
      <c r="AI4864" t="s">
        <v>68</v>
      </c>
      <c r="AJ4864" t="s">
        <v>66</v>
      </c>
      <c r="AK4864" s="3" t="s">
        <v>27</v>
      </c>
      <c r="AL4864" s="3">
        <v>-4685.3</v>
      </c>
    </row>
    <row r="4865" spans="34:38">
      <c r="AH4865" t="s">
        <v>2117</v>
      </c>
      <c r="AI4865" t="s">
        <v>68</v>
      </c>
      <c r="AJ4865" t="s">
        <v>72</v>
      </c>
      <c r="AK4865" s="3" t="s">
        <v>27</v>
      </c>
      <c r="AL4865" s="3">
        <v>-4430.8863849999998</v>
      </c>
    </row>
    <row r="4866" spans="34:38">
      <c r="AH4866" t="s">
        <v>2117</v>
      </c>
      <c r="AI4866" t="s">
        <v>68</v>
      </c>
      <c r="AJ4866" t="s">
        <v>108</v>
      </c>
      <c r="AK4866" s="3" t="s">
        <v>27</v>
      </c>
      <c r="AL4866" s="3">
        <v>254.41361499999999</v>
      </c>
    </row>
    <row r="4867" spans="34:38">
      <c r="AH4867" t="s">
        <v>2117</v>
      </c>
      <c r="AI4867" t="s">
        <v>65</v>
      </c>
      <c r="AJ4867" t="s">
        <v>113</v>
      </c>
      <c r="AK4867" s="3" t="s">
        <v>27</v>
      </c>
      <c r="AL4867" s="3">
        <v>1263.0502722629999</v>
      </c>
    </row>
    <row r="4868" spans="34:38">
      <c r="AH4868" t="s">
        <v>2117</v>
      </c>
      <c r="AI4868" t="s">
        <v>67</v>
      </c>
      <c r="AJ4868" t="s">
        <v>113</v>
      </c>
      <c r="AK4868" s="3" t="s">
        <v>27</v>
      </c>
      <c r="AL4868" s="3">
        <v>0</v>
      </c>
    </row>
    <row r="4869" spans="34:38">
      <c r="AH4869" t="s">
        <v>2117</v>
      </c>
      <c r="AI4869" t="s">
        <v>65</v>
      </c>
      <c r="AJ4869" t="s">
        <v>2303</v>
      </c>
      <c r="AK4869" s="3" t="s">
        <v>27</v>
      </c>
      <c r="AL4869" s="3">
        <v>-2217.333778278</v>
      </c>
    </row>
    <row r="4870" spans="34:38">
      <c r="AH4870" t="s">
        <v>2117</v>
      </c>
      <c r="AI4870" t="s">
        <v>67</v>
      </c>
      <c r="AJ4870" t="s">
        <v>2303</v>
      </c>
      <c r="AK4870" s="3" t="s">
        <v>27</v>
      </c>
      <c r="AL4870" s="3">
        <v>125.49346</v>
      </c>
    </row>
    <row r="4871" spans="34:38">
      <c r="AH4871" t="s">
        <v>2117</v>
      </c>
      <c r="AI4871" t="s">
        <v>65</v>
      </c>
      <c r="AJ4871" t="s">
        <v>113</v>
      </c>
      <c r="AK4871" s="3" t="s">
        <v>20</v>
      </c>
      <c r="AL4871" s="3">
        <v>77.696697308200001</v>
      </c>
    </row>
    <row r="4872" spans="34:38">
      <c r="AH4872" t="s">
        <v>2118</v>
      </c>
      <c r="AI4872" t="s">
        <v>65</v>
      </c>
      <c r="AJ4872" t="s">
        <v>66</v>
      </c>
      <c r="AK4872" s="3" t="s">
        <v>27</v>
      </c>
      <c r="AL4872" s="3">
        <v>16289.3</v>
      </c>
    </row>
    <row r="4873" spans="34:38">
      <c r="AH4873" t="s">
        <v>2118</v>
      </c>
      <c r="AI4873" t="s">
        <v>65</v>
      </c>
      <c r="AJ4873" t="s">
        <v>72</v>
      </c>
      <c r="AK4873" s="3" t="s">
        <v>27</v>
      </c>
      <c r="AL4873" s="3">
        <v>15662.181516000001</v>
      </c>
    </row>
    <row r="4874" spans="34:38">
      <c r="AH4874" t="s">
        <v>2118</v>
      </c>
      <c r="AI4874" t="s">
        <v>65</v>
      </c>
      <c r="AJ4874" t="s">
        <v>108</v>
      </c>
      <c r="AK4874" s="3" t="s">
        <v>27</v>
      </c>
      <c r="AL4874" s="3">
        <v>-627.11848399999997</v>
      </c>
    </row>
    <row r="4875" spans="34:38">
      <c r="AH4875" t="s">
        <v>2118</v>
      </c>
      <c r="AI4875" t="s">
        <v>67</v>
      </c>
      <c r="AJ4875" t="s">
        <v>66</v>
      </c>
      <c r="AK4875" s="3" t="s">
        <v>27</v>
      </c>
      <c r="AL4875" s="3">
        <v>-930</v>
      </c>
    </row>
    <row r="4876" spans="34:38">
      <c r="AH4876" t="s">
        <v>2118</v>
      </c>
      <c r="AI4876" t="s">
        <v>67</v>
      </c>
      <c r="AJ4876" t="s">
        <v>72</v>
      </c>
      <c r="AK4876" s="3" t="s">
        <v>27</v>
      </c>
      <c r="AL4876" s="3">
        <v>-830.59447999999998</v>
      </c>
    </row>
    <row r="4877" spans="34:38">
      <c r="AH4877" t="s">
        <v>2118</v>
      </c>
      <c r="AI4877" t="s">
        <v>67</v>
      </c>
      <c r="AJ4877" t="s">
        <v>108</v>
      </c>
      <c r="AK4877" s="3" t="s">
        <v>27</v>
      </c>
      <c r="AL4877" s="3">
        <v>99.405519999999996</v>
      </c>
    </row>
    <row r="4878" spans="34:38">
      <c r="AH4878" t="s">
        <v>2118</v>
      </c>
      <c r="AI4878" t="s">
        <v>68</v>
      </c>
      <c r="AJ4878" t="s">
        <v>66</v>
      </c>
      <c r="AK4878" s="3" t="s">
        <v>27</v>
      </c>
      <c r="AL4878" s="3">
        <v>-4547.3</v>
      </c>
    </row>
    <row r="4879" spans="34:38">
      <c r="AH4879" t="s">
        <v>2118</v>
      </c>
      <c r="AI4879" t="s">
        <v>68</v>
      </c>
      <c r="AJ4879" t="s">
        <v>72</v>
      </c>
      <c r="AK4879" s="3" t="s">
        <v>27</v>
      </c>
      <c r="AL4879" s="3">
        <v>-4363.865256</v>
      </c>
    </row>
    <row r="4880" spans="34:38">
      <c r="AH4880" t="s">
        <v>2118</v>
      </c>
      <c r="AI4880" t="s">
        <v>68</v>
      </c>
      <c r="AJ4880" t="s">
        <v>108</v>
      </c>
      <c r="AK4880" s="3" t="s">
        <v>27</v>
      </c>
      <c r="AL4880" s="3">
        <v>183.43474399999999</v>
      </c>
    </row>
    <row r="4881" spans="34:38">
      <c r="AH4881" t="s">
        <v>2118</v>
      </c>
      <c r="AI4881" t="s">
        <v>65</v>
      </c>
      <c r="AJ4881" t="s">
        <v>113</v>
      </c>
      <c r="AK4881" s="3" t="s">
        <v>27</v>
      </c>
      <c r="AL4881" s="3">
        <v>1275.369000124</v>
      </c>
    </row>
    <row r="4882" spans="34:38">
      <c r="AH4882" t="s">
        <v>2118</v>
      </c>
      <c r="AI4882" t="s">
        <v>67</v>
      </c>
      <c r="AJ4882" t="s">
        <v>113</v>
      </c>
      <c r="AK4882" s="3" t="s">
        <v>27</v>
      </c>
      <c r="AL4882" s="3">
        <v>0</v>
      </c>
    </row>
    <row r="4883" spans="34:38">
      <c r="AH4883" t="s">
        <v>2118</v>
      </c>
      <c r="AI4883" t="s">
        <v>65</v>
      </c>
      <c r="AJ4883" t="s">
        <v>2303</v>
      </c>
      <c r="AK4883" s="3" t="s">
        <v>27</v>
      </c>
      <c r="AL4883" s="3">
        <v>-2110.6774579409998</v>
      </c>
    </row>
    <row r="4884" spans="34:38">
      <c r="AH4884" t="s">
        <v>2118</v>
      </c>
      <c r="AI4884" t="s">
        <v>67</v>
      </c>
      <c r="AJ4884" t="s">
        <v>2303</v>
      </c>
      <c r="AK4884" s="3" t="s">
        <v>27</v>
      </c>
      <c r="AL4884" s="3">
        <v>99.405519999999996</v>
      </c>
    </row>
    <row r="4885" spans="34:38">
      <c r="AH4885" t="s">
        <v>2118</v>
      </c>
      <c r="AI4885" t="s">
        <v>65</v>
      </c>
      <c r="AJ4885" t="s">
        <v>113</v>
      </c>
      <c r="AK4885" s="3" t="s">
        <v>20</v>
      </c>
      <c r="AL4885" s="3">
        <v>89.493657869200007</v>
      </c>
    </row>
    <row r="4886" spans="34:38">
      <c r="AH4886" t="s">
        <v>2119</v>
      </c>
      <c r="AI4886" t="s">
        <v>67</v>
      </c>
      <c r="AJ4886" t="s">
        <v>2303</v>
      </c>
      <c r="AK4886" s="3" t="s">
        <v>27</v>
      </c>
      <c r="AL4886" s="3">
        <v>98.278300000000002</v>
      </c>
    </row>
    <row r="4887" spans="34:38">
      <c r="AH4887" t="s">
        <v>2119</v>
      </c>
      <c r="AI4887" t="s">
        <v>65</v>
      </c>
      <c r="AJ4887" t="s">
        <v>113</v>
      </c>
      <c r="AK4887" s="3" t="s">
        <v>20</v>
      </c>
      <c r="AL4887" s="3">
        <v>95.273618154199994</v>
      </c>
    </row>
    <row r="4888" spans="34:38">
      <c r="AH4888" t="s">
        <v>2119</v>
      </c>
      <c r="AI4888" t="s">
        <v>65</v>
      </c>
      <c r="AJ4888" t="s">
        <v>66</v>
      </c>
      <c r="AK4888" s="3" t="s">
        <v>27</v>
      </c>
      <c r="AL4888" s="3">
        <v>15739.3</v>
      </c>
    </row>
    <row r="4889" spans="34:38">
      <c r="AH4889" t="s">
        <v>2119</v>
      </c>
      <c r="AI4889" t="s">
        <v>65</v>
      </c>
      <c r="AJ4889" t="s">
        <v>72</v>
      </c>
      <c r="AK4889" s="3" t="s">
        <v>27</v>
      </c>
      <c r="AL4889" s="3">
        <v>15149.066036</v>
      </c>
    </row>
    <row r="4890" spans="34:38">
      <c r="AH4890" t="s">
        <v>2119</v>
      </c>
      <c r="AI4890" t="s">
        <v>65</v>
      </c>
      <c r="AJ4890" t="s">
        <v>108</v>
      </c>
      <c r="AK4890" s="3" t="s">
        <v>27</v>
      </c>
      <c r="AL4890" s="3">
        <v>-590.23396400000001</v>
      </c>
    </row>
    <row r="4891" spans="34:38">
      <c r="AH4891" t="s">
        <v>2119</v>
      </c>
      <c r="AI4891" t="s">
        <v>67</v>
      </c>
      <c r="AJ4891" t="s">
        <v>66</v>
      </c>
      <c r="AK4891" s="3" t="s">
        <v>27</v>
      </c>
      <c r="AL4891" s="3">
        <v>-1034</v>
      </c>
    </row>
    <row r="4892" spans="34:38">
      <c r="AH4892" t="s">
        <v>2119</v>
      </c>
      <c r="AI4892" t="s">
        <v>67</v>
      </c>
      <c r="AJ4892" t="s">
        <v>72</v>
      </c>
      <c r="AK4892" s="3" t="s">
        <v>27</v>
      </c>
      <c r="AL4892" s="3">
        <v>-935.72170000000006</v>
      </c>
    </row>
    <row r="4893" spans="34:38">
      <c r="AH4893" t="s">
        <v>2119</v>
      </c>
      <c r="AI4893" t="s">
        <v>67</v>
      </c>
      <c r="AJ4893" t="s">
        <v>108</v>
      </c>
      <c r="AK4893" s="3" t="s">
        <v>27</v>
      </c>
      <c r="AL4893" s="3">
        <v>98.278300000000002</v>
      </c>
    </row>
    <row r="4894" spans="34:38">
      <c r="AH4894" t="s">
        <v>2119</v>
      </c>
      <c r="AI4894" t="s">
        <v>68</v>
      </c>
      <c r="AJ4894" t="s">
        <v>66</v>
      </c>
      <c r="AK4894" s="3" t="s">
        <v>27</v>
      </c>
      <c r="AL4894" s="3">
        <v>-3943.3</v>
      </c>
    </row>
    <row r="4895" spans="34:38">
      <c r="AH4895" t="s">
        <v>2119</v>
      </c>
      <c r="AI4895" t="s">
        <v>68</v>
      </c>
      <c r="AJ4895" t="s">
        <v>72</v>
      </c>
      <c r="AK4895" s="3" t="s">
        <v>27</v>
      </c>
      <c r="AL4895" s="3">
        <v>-3797.236496</v>
      </c>
    </row>
    <row r="4896" spans="34:38">
      <c r="AH4896" t="s">
        <v>2119</v>
      </c>
      <c r="AI4896" t="s">
        <v>68</v>
      </c>
      <c r="AJ4896" t="s">
        <v>108</v>
      </c>
      <c r="AK4896" s="3" t="s">
        <v>27</v>
      </c>
      <c r="AL4896" s="3">
        <v>146.06350399999999</v>
      </c>
    </row>
    <row r="4897" spans="34:38">
      <c r="AH4897" t="s">
        <v>2119</v>
      </c>
      <c r="AI4897" t="s">
        <v>65</v>
      </c>
      <c r="AJ4897" t="s">
        <v>113</v>
      </c>
      <c r="AK4897" s="3" t="s">
        <v>27</v>
      </c>
      <c r="AL4897" s="3">
        <v>1281.670727723</v>
      </c>
    </row>
    <row r="4898" spans="34:38">
      <c r="AH4898" t="s">
        <v>2119</v>
      </c>
      <c r="AI4898" t="s">
        <v>67</v>
      </c>
      <c r="AJ4898" t="s">
        <v>113</v>
      </c>
      <c r="AK4898" s="3" t="s">
        <v>27</v>
      </c>
      <c r="AL4898" s="3">
        <v>0</v>
      </c>
    </row>
    <row r="4899" spans="34:38">
      <c r="AH4899" t="s">
        <v>2119</v>
      </c>
      <c r="AI4899" t="s">
        <v>65</v>
      </c>
      <c r="AJ4899" t="s">
        <v>2303</v>
      </c>
      <c r="AK4899" s="3" t="s">
        <v>27</v>
      </c>
      <c r="AL4899" s="3">
        <v>-2075.014115773</v>
      </c>
    </row>
    <row r="4900" spans="34:38">
      <c r="AH4900" t="s">
        <v>2120</v>
      </c>
      <c r="AI4900" t="s">
        <v>65</v>
      </c>
      <c r="AJ4900" t="s">
        <v>66</v>
      </c>
      <c r="AK4900" s="3" t="s">
        <v>27</v>
      </c>
      <c r="AL4900" s="3">
        <v>15559.3</v>
      </c>
    </row>
    <row r="4901" spans="34:38">
      <c r="AH4901" t="s">
        <v>2120</v>
      </c>
      <c r="AI4901" t="s">
        <v>65</v>
      </c>
      <c r="AJ4901" t="s">
        <v>72</v>
      </c>
      <c r="AK4901" s="3" t="s">
        <v>27</v>
      </c>
      <c r="AL4901" s="3">
        <v>14978.767476000001</v>
      </c>
    </row>
    <row r="4902" spans="34:38">
      <c r="AH4902" t="s">
        <v>2120</v>
      </c>
      <c r="AI4902" t="s">
        <v>65</v>
      </c>
      <c r="AJ4902" t="s">
        <v>108</v>
      </c>
      <c r="AK4902" s="3" t="s">
        <v>27</v>
      </c>
      <c r="AL4902" s="3">
        <v>-580.53252399999997</v>
      </c>
    </row>
    <row r="4903" spans="34:38">
      <c r="AH4903" t="s">
        <v>2120</v>
      </c>
      <c r="AI4903" t="s">
        <v>67</v>
      </c>
      <c r="AJ4903" t="s">
        <v>66</v>
      </c>
      <c r="AK4903" s="3" t="s">
        <v>27</v>
      </c>
      <c r="AL4903" s="3">
        <v>-1404</v>
      </c>
    </row>
    <row r="4904" spans="34:38">
      <c r="AH4904" t="s">
        <v>2120</v>
      </c>
      <c r="AI4904" t="s">
        <v>67</v>
      </c>
      <c r="AJ4904" t="s">
        <v>72</v>
      </c>
      <c r="AK4904" s="3" t="s">
        <v>27</v>
      </c>
      <c r="AL4904" s="3">
        <v>-1281.1456599999999</v>
      </c>
    </row>
    <row r="4905" spans="34:38">
      <c r="AH4905" t="s">
        <v>2120</v>
      </c>
      <c r="AI4905" t="s">
        <v>67</v>
      </c>
      <c r="AJ4905" t="s">
        <v>108</v>
      </c>
      <c r="AK4905" s="3" t="s">
        <v>27</v>
      </c>
      <c r="AL4905" s="3">
        <v>122.85433999999999</v>
      </c>
    </row>
    <row r="4906" spans="34:38">
      <c r="AH4906" t="s">
        <v>2120</v>
      </c>
      <c r="AI4906" t="s">
        <v>68</v>
      </c>
      <c r="AJ4906" t="s">
        <v>66</v>
      </c>
      <c r="AK4906" s="3" t="s">
        <v>27</v>
      </c>
      <c r="AL4906" s="3">
        <v>-3593.3</v>
      </c>
    </row>
    <row r="4907" spans="34:38">
      <c r="AH4907" t="s">
        <v>2120</v>
      </c>
      <c r="AI4907" t="s">
        <v>68</v>
      </c>
      <c r="AJ4907" t="s">
        <v>72</v>
      </c>
      <c r="AK4907" s="3" t="s">
        <v>27</v>
      </c>
      <c r="AL4907" s="3">
        <v>-3463.4134960000001</v>
      </c>
    </row>
    <row r="4908" spans="34:38">
      <c r="AH4908" t="s">
        <v>2120</v>
      </c>
      <c r="AI4908" t="s">
        <v>68</v>
      </c>
      <c r="AJ4908" t="s">
        <v>108</v>
      </c>
      <c r="AK4908" s="3" t="s">
        <v>27</v>
      </c>
      <c r="AL4908" s="3">
        <v>129.886504</v>
      </c>
    </row>
    <row r="4909" spans="34:38">
      <c r="AH4909" t="s">
        <v>2120</v>
      </c>
      <c r="AI4909" t="s">
        <v>65</v>
      </c>
      <c r="AJ4909" t="s">
        <v>113</v>
      </c>
      <c r="AK4909" s="3" t="s">
        <v>27</v>
      </c>
      <c r="AL4909" s="3">
        <v>1280.725969415</v>
      </c>
    </row>
    <row r="4910" spans="34:38">
      <c r="AH4910" t="s">
        <v>2120</v>
      </c>
      <c r="AI4910" t="s">
        <v>67</v>
      </c>
      <c r="AJ4910" t="s">
        <v>113</v>
      </c>
      <c r="AK4910" s="3" t="s">
        <v>27</v>
      </c>
      <c r="AL4910" s="3">
        <v>0</v>
      </c>
    </row>
    <row r="4911" spans="34:38">
      <c r="AH4911" t="s">
        <v>2120</v>
      </c>
      <c r="AI4911" t="s">
        <v>65</v>
      </c>
      <c r="AJ4911" t="s">
        <v>2303</v>
      </c>
      <c r="AK4911" s="3" t="s">
        <v>27</v>
      </c>
      <c r="AL4911" s="3">
        <v>-2061.6438110879999</v>
      </c>
    </row>
    <row r="4912" spans="34:38">
      <c r="AH4912" t="s">
        <v>2120</v>
      </c>
      <c r="AI4912" t="s">
        <v>67</v>
      </c>
      <c r="AJ4912" t="s">
        <v>2303</v>
      </c>
      <c r="AK4912" s="3" t="s">
        <v>27</v>
      </c>
      <c r="AL4912" s="3">
        <v>122.85433999999999</v>
      </c>
    </row>
    <row r="4913" spans="34:38">
      <c r="AH4913" t="s">
        <v>2120</v>
      </c>
      <c r="AI4913" t="s">
        <v>65</v>
      </c>
      <c r="AJ4913" t="s">
        <v>113</v>
      </c>
      <c r="AK4913" s="3" t="s">
        <v>20</v>
      </c>
      <c r="AL4913" s="3">
        <v>93.807092550899995</v>
      </c>
    </row>
    <row r="4914" spans="34:38">
      <c r="AH4914" t="s">
        <v>2121</v>
      </c>
      <c r="AI4914" t="s">
        <v>65</v>
      </c>
      <c r="AJ4914" t="s">
        <v>113</v>
      </c>
      <c r="AK4914" s="3" t="s">
        <v>20</v>
      </c>
      <c r="AL4914" s="3">
        <v>85.339151037600004</v>
      </c>
    </row>
    <row r="4915" spans="34:38">
      <c r="AH4915" t="s">
        <v>2121</v>
      </c>
      <c r="AI4915" t="s">
        <v>65</v>
      </c>
      <c r="AJ4915" t="s">
        <v>113</v>
      </c>
      <c r="AK4915" s="3" t="s">
        <v>27</v>
      </c>
      <c r="AL4915" s="3">
        <v>1273.8233298130001</v>
      </c>
    </row>
    <row r="4916" spans="34:38">
      <c r="AH4916" t="s">
        <v>2121</v>
      </c>
      <c r="AI4916" t="s">
        <v>67</v>
      </c>
      <c r="AJ4916" t="s">
        <v>113</v>
      </c>
      <c r="AK4916" s="3" t="s">
        <v>27</v>
      </c>
      <c r="AL4916" s="3">
        <v>0</v>
      </c>
    </row>
    <row r="4917" spans="34:38">
      <c r="AH4917" t="s">
        <v>2121</v>
      </c>
      <c r="AI4917" t="s">
        <v>65</v>
      </c>
      <c r="AJ4917" t="s">
        <v>2303</v>
      </c>
      <c r="AK4917" s="3" t="s">
        <v>27</v>
      </c>
      <c r="AL4917" s="3">
        <v>-2078.5503132140002</v>
      </c>
    </row>
    <row r="4918" spans="34:38">
      <c r="AH4918" t="s">
        <v>2121</v>
      </c>
      <c r="AI4918" t="s">
        <v>67</v>
      </c>
      <c r="AJ4918" t="s">
        <v>2303</v>
      </c>
      <c r="AK4918" s="3" t="s">
        <v>27</v>
      </c>
      <c r="AL4918" s="3">
        <v>160.29983999999999</v>
      </c>
    </row>
    <row r="4919" spans="34:38">
      <c r="AH4919" t="s">
        <v>2121</v>
      </c>
      <c r="AI4919" t="s">
        <v>65</v>
      </c>
      <c r="AJ4919" t="s">
        <v>66</v>
      </c>
      <c r="AK4919" s="3" t="s">
        <v>27</v>
      </c>
      <c r="AL4919" s="3">
        <v>15913.3</v>
      </c>
    </row>
    <row r="4920" spans="34:38">
      <c r="AH4920" t="s">
        <v>2121</v>
      </c>
      <c r="AI4920" t="s">
        <v>65</v>
      </c>
      <c r="AJ4920" t="s">
        <v>72</v>
      </c>
      <c r="AK4920" s="3" t="s">
        <v>27</v>
      </c>
      <c r="AL4920" s="3">
        <v>15307.374196000001</v>
      </c>
    </row>
    <row r="4921" spans="34:38">
      <c r="AH4921" t="s">
        <v>2121</v>
      </c>
      <c r="AI4921" t="s">
        <v>65</v>
      </c>
      <c r="AJ4921" t="s">
        <v>108</v>
      </c>
      <c r="AK4921" s="3" t="s">
        <v>27</v>
      </c>
      <c r="AL4921" s="3">
        <v>-605.92580399999997</v>
      </c>
    </row>
    <row r="4922" spans="34:38">
      <c r="AH4922" t="s">
        <v>2121</v>
      </c>
      <c r="AI4922" t="s">
        <v>67</v>
      </c>
      <c r="AJ4922" t="s">
        <v>66</v>
      </c>
      <c r="AK4922" s="3" t="s">
        <v>27</v>
      </c>
      <c r="AL4922" s="3">
        <v>-2088</v>
      </c>
    </row>
    <row r="4923" spans="34:38">
      <c r="AH4923" t="s">
        <v>2121</v>
      </c>
      <c r="AI4923" t="s">
        <v>67</v>
      </c>
      <c r="AJ4923" t="s">
        <v>72</v>
      </c>
      <c r="AK4923" s="3" t="s">
        <v>27</v>
      </c>
      <c r="AL4923" s="3">
        <v>-1927.7001600000001</v>
      </c>
    </row>
    <row r="4924" spans="34:38">
      <c r="AH4924" t="s">
        <v>2121</v>
      </c>
      <c r="AI4924" t="s">
        <v>67</v>
      </c>
      <c r="AJ4924" t="s">
        <v>108</v>
      </c>
      <c r="AK4924" s="3" t="s">
        <v>27</v>
      </c>
      <c r="AL4924" s="3">
        <v>160.29983999999999</v>
      </c>
    </row>
    <row r="4925" spans="34:38">
      <c r="AH4925" t="s">
        <v>2121</v>
      </c>
      <c r="AI4925" t="s">
        <v>68</v>
      </c>
      <c r="AJ4925" t="s">
        <v>66</v>
      </c>
      <c r="AK4925" s="3" t="s">
        <v>27</v>
      </c>
      <c r="AL4925" s="3">
        <v>-3263.3</v>
      </c>
    </row>
    <row r="4926" spans="34:38">
      <c r="AH4926" t="s">
        <v>2121</v>
      </c>
      <c r="AI4926" t="s">
        <v>68</v>
      </c>
      <c r="AJ4926" t="s">
        <v>72</v>
      </c>
      <c r="AK4926" s="3" t="s">
        <v>27</v>
      </c>
      <c r="AL4926" s="3">
        <v>-3145.5323960000001</v>
      </c>
    </row>
    <row r="4927" spans="34:38">
      <c r="AH4927" t="s">
        <v>2121</v>
      </c>
      <c r="AI4927" t="s">
        <v>68</v>
      </c>
      <c r="AJ4927" t="s">
        <v>108</v>
      </c>
      <c r="AK4927" s="3" t="s">
        <v>27</v>
      </c>
      <c r="AL4927" s="3">
        <v>117.76760400000001</v>
      </c>
    </row>
    <row r="4928" spans="34:38">
      <c r="AH4928" t="s">
        <v>2122</v>
      </c>
      <c r="AI4928" t="s">
        <v>65</v>
      </c>
      <c r="AJ4928" t="s">
        <v>113</v>
      </c>
      <c r="AK4928" s="3" t="s">
        <v>20</v>
      </c>
      <c r="AL4928" s="3">
        <v>94.612343823900005</v>
      </c>
    </row>
    <row r="4929" spans="34:38">
      <c r="AH4929" t="s">
        <v>2122</v>
      </c>
      <c r="AI4929" t="s">
        <v>65</v>
      </c>
      <c r="AJ4929" t="s">
        <v>66</v>
      </c>
      <c r="AK4929" s="3" t="s">
        <v>27</v>
      </c>
      <c r="AL4929" s="3">
        <v>15139.3</v>
      </c>
    </row>
    <row r="4930" spans="34:38">
      <c r="AH4930" t="s">
        <v>2122</v>
      </c>
      <c r="AI4930" t="s">
        <v>65</v>
      </c>
      <c r="AJ4930" t="s">
        <v>72</v>
      </c>
      <c r="AK4930" s="3" t="s">
        <v>27</v>
      </c>
      <c r="AL4930" s="3">
        <v>14581.287586</v>
      </c>
    </row>
    <row r="4931" spans="34:38">
      <c r="AH4931" t="s">
        <v>2122</v>
      </c>
      <c r="AI4931" t="s">
        <v>65</v>
      </c>
      <c r="AJ4931" t="s">
        <v>108</v>
      </c>
      <c r="AK4931" s="3" t="s">
        <v>27</v>
      </c>
      <c r="AL4931" s="3">
        <v>-558.01241400000004</v>
      </c>
    </row>
    <row r="4932" spans="34:38">
      <c r="AH4932" t="s">
        <v>2122</v>
      </c>
      <c r="AI4932" t="s">
        <v>67</v>
      </c>
      <c r="AJ4932" t="s">
        <v>66</v>
      </c>
      <c r="AK4932" s="3" t="s">
        <v>27</v>
      </c>
      <c r="AL4932" s="3">
        <v>-810</v>
      </c>
    </row>
    <row r="4933" spans="34:38">
      <c r="AH4933" t="s">
        <v>2122</v>
      </c>
      <c r="AI4933" t="s">
        <v>67</v>
      </c>
      <c r="AJ4933" t="s">
        <v>72</v>
      </c>
      <c r="AK4933" s="3" t="s">
        <v>27</v>
      </c>
      <c r="AL4933" s="3">
        <v>-722.10126000000002</v>
      </c>
    </row>
    <row r="4934" spans="34:38">
      <c r="AH4934" t="s">
        <v>2122</v>
      </c>
      <c r="AI4934" t="s">
        <v>67</v>
      </c>
      <c r="AJ4934" t="s">
        <v>108</v>
      </c>
      <c r="AK4934" s="3" t="s">
        <v>27</v>
      </c>
      <c r="AL4934" s="3">
        <v>87.898740000000004</v>
      </c>
    </row>
    <row r="4935" spans="34:38">
      <c r="AH4935" t="s">
        <v>2122</v>
      </c>
      <c r="AI4935" t="s">
        <v>68</v>
      </c>
      <c r="AJ4935" t="s">
        <v>66</v>
      </c>
      <c r="AK4935" s="3" t="s">
        <v>27</v>
      </c>
      <c r="AL4935" s="3">
        <v>-3567.3</v>
      </c>
    </row>
    <row r="4936" spans="34:38">
      <c r="AH4936" t="s">
        <v>2122</v>
      </c>
      <c r="AI4936" t="s">
        <v>68</v>
      </c>
      <c r="AJ4936" t="s">
        <v>72</v>
      </c>
      <c r="AK4936" s="3" t="s">
        <v>27</v>
      </c>
      <c r="AL4936" s="3">
        <v>-3426.7567260000001</v>
      </c>
    </row>
    <row r="4937" spans="34:38">
      <c r="AH4937" t="s">
        <v>2122</v>
      </c>
      <c r="AI4937" t="s">
        <v>68</v>
      </c>
      <c r="AJ4937" t="s">
        <v>108</v>
      </c>
      <c r="AK4937" s="3" t="s">
        <v>27</v>
      </c>
      <c r="AL4937" s="3">
        <v>140.543274</v>
      </c>
    </row>
    <row r="4938" spans="34:38">
      <c r="AH4938" t="s">
        <v>2122</v>
      </c>
      <c r="AI4938" t="s">
        <v>65</v>
      </c>
      <c r="AJ4938" t="s">
        <v>113</v>
      </c>
      <c r="AK4938" s="3" t="s">
        <v>27</v>
      </c>
      <c r="AL4938" s="3">
        <v>1283.618289899</v>
      </c>
    </row>
    <row r="4939" spans="34:38">
      <c r="AH4939" t="s">
        <v>2122</v>
      </c>
      <c r="AI4939" t="s">
        <v>67</v>
      </c>
      <c r="AJ4939" t="s">
        <v>113</v>
      </c>
      <c r="AK4939" s="3" t="s">
        <v>27</v>
      </c>
      <c r="AL4939" s="3">
        <v>0</v>
      </c>
    </row>
    <row r="4940" spans="34:38">
      <c r="AH4940" t="s">
        <v>2122</v>
      </c>
      <c r="AI4940" t="s">
        <v>65</v>
      </c>
      <c r="AJ4940" t="s">
        <v>2303</v>
      </c>
      <c r="AK4940" s="3" t="s">
        <v>27</v>
      </c>
      <c r="AL4940" s="3">
        <v>-2033.3439690979999</v>
      </c>
    </row>
    <row r="4941" spans="34:38">
      <c r="AH4941" t="s">
        <v>2122</v>
      </c>
      <c r="AI4941" t="s">
        <v>67</v>
      </c>
      <c r="AJ4941" t="s">
        <v>2303</v>
      </c>
      <c r="AK4941" s="3" t="s">
        <v>27</v>
      </c>
      <c r="AL4941" s="3">
        <v>87.898740000000004</v>
      </c>
    </row>
    <row r="4942" spans="34:38">
      <c r="AH4942" t="s">
        <v>2123</v>
      </c>
      <c r="AI4942" t="s">
        <v>65</v>
      </c>
      <c r="AJ4942" t="s">
        <v>66</v>
      </c>
      <c r="AK4942" s="3" t="s">
        <v>27</v>
      </c>
      <c r="AL4942" s="3">
        <v>15509.3</v>
      </c>
    </row>
    <row r="4943" spans="34:38">
      <c r="AH4943" t="s">
        <v>2123</v>
      </c>
      <c r="AI4943" t="s">
        <v>65</v>
      </c>
      <c r="AJ4943" t="s">
        <v>72</v>
      </c>
      <c r="AK4943" s="3" t="s">
        <v>27</v>
      </c>
      <c r="AL4943" s="3">
        <v>14977.589064</v>
      </c>
    </row>
    <row r="4944" spans="34:38">
      <c r="AH4944" t="s">
        <v>2123</v>
      </c>
      <c r="AI4944" t="s">
        <v>65</v>
      </c>
      <c r="AJ4944" t="s">
        <v>108</v>
      </c>
      <c r="AK4944" s="3" t="s">
        <v>27</v>
      </c>
      <c r="AL4944" s="3">
        <v>-531.71093599999995</v>
      </c>
    </row>
    <row r="4945" spans="34:38">
      <c r="AH4945" t="s">
        <v>2123</v>
      </c>
      <c r="AI4945" t="s">
        <v>67</v>
      </c>
      <c r="AJ4945" t="s">
        <v>66</v>
      </c>
      <c r="AK4945" s="3" t="s">
        <v>27</v>
      </c>
      <c r="AL4945" s="3">
        <v>-1954</v>
      </c>
    </row>
    <row r="4946" spans="34:38">
      <c r="AH4946" t="s">
        <v>2123</v>
      </c>
      <c r="AI4946" t="s">
        <v>67</v>
      </c>
      <c r="AJ4946" t="s">
        <v>72</v>
      </c>
      <c r="AK4946" s="3" t="s">
        <v>27</v>
      </c>
      <c r="AL4946" s="3">
        <v>-1815.3420799999999</v>
      </c>
    </row>
    <row r="4947" spans="34:38">
      <c r="AH4947" t="s">
        <v>2123</v>
      </c>
      <c r="AI4947" t="s">
        <v>67</v>
      </c>
      <c r="AJ4947" t="s">
        <v>108</v>
      </c>
      <c r="AK4947" s="3" t="s">
        <v>27</v>
      </c>
      <c r="AL4947" s="3">
        <v>138.65791999999999</v>
      </c>
    </row>
    <row r="4948" spans="34:38">
      <c r="AH4948" t="s">
        <v>2123</v>
      </c>
      <c r="AI4948" t="s">
        <v>68</v>
      </c>
      <c r="AJ4948" t="s">
        <v>66</v>
      </c>
      <c r="AK4948" s="3" t="s">
        <v>27</v>
      </c>
      <c r="AL4948" s="3">
        <v>-2793.3</v>
      </c>
    </row>
    <row r="4949" spans="34:38">
      <c r="AH4949" t="s">
        <v>2123</v>
      </c>
      <c r="AI4949" t="s">
        <v>68</v>
      </c>
      <c r="AJ4949" t="s">
        <v>72</v>
      </c>
      <c r="AK4949" s="3" t="s">
        <v>27</v>
      </c>
      <c r="AL4949" s="3">
        <v>-2710.505764</v>
      </c>
    </row>
    <row r="4950" spans="34:38">
      <c r="AH4950" t="s">
        <v>2123</v>
      </c>
      <c r="AI4950" t="s">
        <v>68</v>
      </c>
      <c r="AJ4950" t="s">
        <v>108</v>
      </c>
      <c r="AK4950" s="3" t="s">
        <v>27</v>
      </c>
      <c r="AL4950" s="3">
        <v>82.794235999999998</v>
      </c>
    </row>
    <row r="4951" spans="34:38">
      <c r="AH4951" t="s">
        <v>2123</v>
      </c>
      <c r="AI4951" t="s">
        <v>65</v>
      </c>
      <c r="AJ4951" t="s">
        <v>113</v>
      </c>
      <c r="AK4951" s="3" t="s">
        <v>27</v>
      </c>
      <c r="AL4951" s="3">
        <v>1306.4250798329999</v>
      </c>
    </row>
    <row r="4952" spans="34:38">
      <c r="AH4952" t="s">
        <v>2123</v>
      </c>
      <c r="AI4952" t="s">
        <v>67</v>
      </c>
      <c r="AJ4952" t="s">
        <v>113</v>
      </c>
      <c r="AK4952" s="3" t="s">
        <v>27</v>
      </c>
      <c r="AL4952" s="3">
        <v>0</v>
      </c>
    </row>
    <row r="4953" spans="34:38">
      <c r="AH4953" t="s">
        <v>2123</v>
      </c>
      <c r="AI4953" t="s">
        <v>65</v>
      </c>
      <c r="AJ4953" t="s">
        <v>2303</v>
      </c>
      <c r="AK4953" s="3" t="s">
        <v>27</v>
      </c>
      <c r="AL4953" s="3">
        <v>-1991.878033277</v>
      </c>
    </row>
    <row r="4954" spans="34:38">
      <c r="AH4954" t="s">
        <v>2123</v>
      </c>
      <c r="AI4954" t="s">
        <v>67</v>
      </c>
      <c r="AJ4954" t="s">
        <v>2303</v>
      </c>
      <c r="AK4954" s="3" t="s">
        <v>27</v>
      </c>
      <c r="AL4954" s="3">
        <v>138.65791999999999</v>
      </c>
    </row>
    <row r="4955" spans="34:38">
      <c r="AH4955" t="s">
        <v>2123</v>
      </c>
      <c r="AI4955" t="s">
        <v>65</v>
      </c>
      <c r="AJ4955" t="s">
        <v>113</v>
      </c>
      <c r="AK4955" s="3" t="s">
        <v>20</v>
      </c>
      <c r="AL4955" s="3">
        <v>116.8973664545</v>
      </c>
    </row>
    <row r="4956" spans="34:38">
      <c r="AH4956" t="s">
        <v>2124</v>
      </c>
      <c r="AI4956" t="s">
        <v>68</v>
      </c>
      <c r="AJ4956" t="s">
        <v>66</v>
      </c>
      <c r="AK4956" s="3" t="s">
        <v>27</v>
      </c>
      <c r="AL4956" s="3">
        <v>-3663.3</v>
      </c>
    </row>
    <row r="4957" spans="34:38">
      <c r="AH4957" t="s">
        <v>2124</v>
      </c>
      <c r="AI4957" t="s">
        <v>68</v>
      </c>
      <c r="AJ4957" t="s">
        <v>72</v>
      </c>
      <c r="AK4957" s="3" t="s">
        <v>27</v>
      </c>
      <c r="AL4957" s="3">
        <v>-3555.6605970000001</v>
      </c>
    </row>
    <row r="4958" spans="34:38">
      <c r="AH4958" t="s">
        <v>2124</v>
      </c>
      <c r="AI4958" t="s">
        <v>68</v>
      </c>
      <c r="AJ4958" t="s">
        <v>108</v>
      </c>
      <c r="AK4958" s="3" t="s">
        <v>27</v>
      </c>
      <c r="AL4958" s="3">
        <v>107.639403</v>
      </c>
    </row>
    <row r="4959" spans="34:38">
      <c r="AH4959" t="s">
        <v>2124</v>
      </c>
      <c r="AI4959" t="s">
        <v>65</v>
      </c>
      <c r="AJ4959" t="s">
        <v>113</v>
      </c>
      <c r="AK4959" s="3" t="s">
        <v>27</v>
      </c>
      <c r="AL4959" s="3">
        <v>1297.455436321</v>
      </c>
    </row>
    <row r="4960" spans="34:38">
      <c r="AH4960" t="s">
        <v>2124</v>
      </c>
      <c r="AI4960" t="s">
        <v>67</v>
      </c>
      <c r="AJ4960" t="s">
        <v>113</v>
      </c>
      <c r="AK4960" s="3" t="s">
        <v>27</v>
      </c>
      <c r="AL4960" s="3">
        <v>0</v>
      </c>
    </row>
    <row r="4961" spans="34:38">
      <c r="AH4961" t="s">
        <v>2124</v>
      </c>
      <c r="AI4961" t="s">
        <v>65</v>
      </c>
      <c r="AJ4961" t="s">
        <v>2303</v>
      </c>
      <c r="AK4961" s="3" t="s">
        <v>27</v>
      </c>
      <c r="AL4961" s="3">
        <v>-1960.3069808160001</v>
      </c>
    </row>
    <row r="4962" spans="34:38">
      <c r="AH4962" t="s">
        <v>2124</v>
      </c>
      <c r="AI4962" t="s">
        <v>67</v>
      </c>
      <c r="AJ4962" t="s">
        <v>2303</v>
      </c>
      <c r="AK4962" s="3" t="s">
        <v>27</v>
      </c>
      <c r="AL4962" s="3">
        <v>104.67792</v>
      </c>
    </row>
    <row r="4963" spans="34:38">
      <c r="AH4963" t="s">
        <v>2124</v>
      </c>
      <c r="AI4963" t="s">
        <v>65</v>
      </c>
      <c r="AJ4963" t="s">
        <v>113</v>
      </c>
      <c r="AK4963" s="3" t="s">
        <v>20</v>
      </c>
      <c r="AL4963" s="3">
        <v>107.40595564900001</v>
      </c>
    </row>
    <row r="4964" spans="34:38">
      <c r="AH4964" t="s">
        <v>2124</v>
      </c>
      <c r="AI4964" t="s">
        <v>65</v>
      </c>
      <c r="AJ4964" t="s">
        <v>66</v>
      </c>
      <c r="AK4964" s="3" t="s">
        <v>27</v>
      </c>
      <c r="AL4964" s="3">
        <v>14979.3</v>
      </c>
    </row>
    <row r="4965" spans="34:38">
      <c r="AH4965" t="s">
        <v>2124</v>
      </c>
      <c r="AI4965" t="s">
        <v>65</v>
      </c>
      <c r="AJ4965" t="s">
        <v>72</v>
      </c>
      <c r="AK4965" s="3" t="s">
        <v>27</v>
      </c>
      <c r="AL4965" s="3">
        <v>14468.160277000001</v>
      </c>
    </row>
    <row r="4966" spans="34:38">
      <c r="AH4966" t="s">
        <v>2124</v>
      </c>
      <c r="AI4966" t="s">
        <v>65</v>
      </c>
      <c r="AJ4966" t="s">
        <v>108</v>
      </c>
      <c r="AK4966" s="3" t="s">
        <v>27</v>
      </c>
      <c r="AL4966" s="3">
        <v>-511.139723</v>
      </c>
    </row>
    <row r="4967" spans="34:38">
      <c r="AH4967" t="s">
        <v>2124</v>
      </c>
      <c r="AI4967" t="s">
        <v>67</v>
      </c>
      <c r="AJ4967" t="s">
        <v>66</v>
      </c>
      <c r="AK4967" s="3" t="s">
        <v>27</v>
      </c>
      <c r="AL4967" s="3">
        <v>-1054</v>
      </c>
    </row>
    <row r="4968" spans="34:38">
      <c r="AH4968" t="s">
        <v>2124</v>
      </c>
      <c r="AI4968" t="s">
        <v>67</v>
      </c>
      <c r="AJ4968" t="s">
        <v>72</v>
      </c>
      <c r="AK4968" s="3" t="s">
        <v>27</v>
      </c>
      <c r="AL4968" s="3">
        <v>-949.32208000000003</v>
      </c>
    </row>
    <row r="4969" spans="34:38">
      <c r="AH4969" t="s">
        <v>2124</v>
      </c>
      <c r="AI4969" t="s">
        <v>67</v>
      </c>
      <c r="AJ4969" t="s">
        <v>108</v>
      </c>
      <c r="AK4969" s="3" t="s">
        <v>27</v>
      </c>
      <c r="AL4969" s="3">
        <v>104.67792</v>
      </c>
    </row>
    <row r="4970" spans="34:38">
      <c r="AH4970" t="s">
        <v>2125</v>
      </c>
      <c r="AI4970" t="s">
        <v>65</v>
      </c>
      <c r="AJ4970" t="s">
        <v>66</v>
      </c>
      <c r="AK4970" s="3" t="s">
        <v>27</v>
      </c>
      <c r="AL4970" s="3">
        <v>15769.3</v>
      </c>
    </row>
    <row r="4971" spans="34:38">
      <c r="AH4971" t="s">
        <v>2125</v>
      </c>
      <c r="AI4971" t="s">
        <v>65</v>
      </c>
      <c r="AJ4971" t="s">
        <v>72</v>
      </c>
      <c r="AK4971" s="3" t="s">
        <v>27</v>
      </c>
      <c r="AL4971" s="3">
        <v>15233.977323999999</v>
      </c>
    </row>
    <row r="4972" spans="34:38">
      <c r="AH4972" t="s">
        <v>2125</v>
      </c>
      <c r="AI4972" t="s">
        <v>65</v>
      </c>
      <c r="AJ4972" t="s">
        <v>108</v>
      </c>
      <c r="AK4972" s="3" t="s">
        <v>27</v>
      </c>
      <c r="AL4972" s="3">
        <v>-535.322676</v>
      </c>
    </row>
    <row r="4973" spans="34:38">
      <c r="AH4973" t="s">
        <v>2125</v>
      </c>
      <c r="AI4973" t="s">
        <v>67</v>
      </c>
      <c r="AJ4973" t="s">
        <v>66</v>
      </c>
      <c r="AK4973" s="3" t="s">
        <v>27</v>
      </c>
      <c r="AL4973" s="3">
        <v>-2374</v>
      </c>
    </row>
    <row r="4974" spans="34:38">
      <c r="AH4974" t="s">
        <v>2125</v>
      </c>
      <c r="AI4974" t="s">
        <v>67</v>
      </c>
      <c r="AJ4974" t="s">
        <v>72</v>
      </c>
      <c r="AK4974" s="3" t="s">
        <v>27</v>
      </c>
      <c r="AL4974" s="3">
        <v>-2224.3429999999998</v>
      </c>
    </row>
    <row r="4975" spans="34:38">
      <c r="AH4975" t="s">
        <v>2125</v>
      </c>
      <c r="AI4975" t="s">
        <v>67</v>
      </c>
      <c r="AJ4975" t="s">
        <v>108</v>
      </c>
      <c r="AK4975" s="3" t="s">
        <v>27</v>
      </c>
      <c r="AL4975" s="3">
        <v>149.65700000000001</v>
      </c>
    </row>
    <row r="4976" spans="34:38">
      <c r="AH4976" t="s">
        <v>2125</v>
      </c>
      <c r="AI4976" t="s">
        <v>68</v>
      </c>
      <c r="AJ4976" t="s">
        <v>66</v>
      </c>
      <c r="AK4976" s="3" t="s">
        <v>27</v>
      </c>
      <c r="AL4976" s="3">
        <v>-3133.3</v>
      </c>
    </row>
    <row r="4977" spans="34:38">
      <c r="AH4977" t="s">
        <v>2125</v>
      </c>
      <c r="AI4977" t="s">
        <v>68</v>
      </c>
      <c r="AJ4977" t="s">
        <v>72</v>
      </c>
      <c r="AK4977" s="3" t="s">
        <v>27</v>
      </c>
      <c r="AL4977" s="3">
        <v>-3045.8497640000001</v>
      </c>
    </row>
    <row r="4978" spans="34:38">
      <c r="AH4978" t="s">
        <v>2125</v>
      </c>
      <c r="AI4978" t="s">
        <v>68</v>
      </c>
      <c r="AJ4978" t="s">
        <v>108</v>
      </c>
      <c r="AK4978" s="3" t="s">
        <v>27</v>
      </c>
      <c r="AL4978" s="3">
        <v>87.450236000000004</v>
      </c>
    </row>
    <row r="4979" spans="34:38">
      <c r="AH4979" t="s">
        <v>2125</v>
      </c>
      <c r="AI4979" t="s">
        <v>65</v>
      </c>
      <c r="AJ4979" t="s">
        <v>113</v>
      </c>
      <c r="AK4979" s="3" t="s">
        <v>27</v>
      </c>
      <c r="AL4979" s="3">
        <v>1310.9663355990001</v>
      </c>
    </row>
    <row r="4980" spans="34:38">
      <c r="AH4980" t="s">
        <v>2125</v>
      </c>
      <c r="AI4980" t="s">
        <v>67</v>
      </c>
      <c r="AJ4980" t="s">
        <v>113</v>
      </c>
      <c r="AK4980" s="3" t="s">
        <v>27</v>
      </c>
      <c r="AL4980" s="3">
        <v>0</v>
      </c>
    </row>
    <row r="4981" spans="34:38">
      <c r="AH4981" t="s">
        <v>2125</v>
      </c>
      <c r="AI4981" t="s">
        <v>65</v>
      </c>
      <c r="AJ4981" t="s">
        <v>2303</v>
      </c>
      <c r="AK4981" s="3" t="s">
        <v>27</v>
      </c>
      <c r="AL4981" s="3">
        <v>-1994.9563374849999</v>
      </c>
    </row>
    <row r="4982" spans="34:38">
      <c r="AH4982" t="s">
        <v>2125</v>
      </c>
      <c r="AI4982" t="s">
        <v>67</v>
      </c>
      <c r="AJ4982" t="s">
        <v>2303</v>
      </c>
      <c r="AK4982" s="3" t="s">
        <v>27</v>
      </c>
      <c r="AL4982" s="3">
        <v>149.65700000000001</v>
      </c>
    </row>
    <row r="4983" spans="34:38">
      <c r="AH4983" t="s">
        <v>2125</v>
      </c>
      <c r="AI4983" t="s">
        <v>65</v>
      </c>
      <c r="AJ4983" t="s">
        <v>113</v>
      </c>
      <c r="AK4983" s="3" t="s">
        <v>20</v>
      </c>
      <c r="AL4983" s="3">
        <v>120.3950876297</v>
      </c>
    </row>
    <row r="4984" spans="34:38">
      <c r="AH4984" t="s">
        <v>2126</v>
      </c>
      <c r="AI4984" t="s">
        <v>65</v>
      </c>
      <c r="AJ4984" t="s">
        <v>66</v>
      </c>
      <c r="AK4984" s="3" t="s">
        <v>27</v>
      </c>
      <c r="AL4984" s="3">
        <v>16289.3</v>
      </c>
    </row>
    <row r="4985" spans="34:38">
      <c r="AH4985" t="s">
        <v>2126</v>
      </c>
      <c r="AI4985" t="s">
        <v>65</v>
      </c>
      <c r="AJ4985" t="s">
        <v>72</v>
      </c>
      <c r="AK4985" s="3" t="s">
        <v>27</v>
      </c>
      <c r="AL4985" s="3">
        <v>15685.642517</v>
      </c>
    </row>
    <row r="4986" spans="34:38">
      <c r="AH4986" t="s">
        <v>2126</v>
      </c>
      <c r="AI4986" t="s">
        <v>65</v>
      </c>
      <c r="AJ4986" t="s">
        <v>108</v>
      </c>
      <c r="AK4986" s="3" t="s">
        <v>27</v>
      </c>
      <c r="AL4986" s="3">
        <v>-603.65748299999996</v>
      </c>
    </row>
    <row r="4987" spans="34:38">
      <c r="AH4987" t="s">
        <v>2126</v>
      </c>
      <c r="AI4987" t="s">
        <v>67</v>
      </c>
      <c r="AJ4987" t="s">
        <v>66</v>
      </c>
      <c r="AK4987" s="3" t="s">
        <v>27</v>
      </c>
      <c r="AL4987" s="3">
        <v>-2104</v>
      </c>
    </row>
    <row r="4988" spans="34:38">
      <c r="AH4988" t="s">
        <v>2126</v>
      </c>
      <c r="AI4988" t="s">
        <v>67</v>
      </c>
      <c r="AJ4988" t="s">
        <v>72</v>
      </c>
      <c r="AK4988" s="3" t="s">
        <v>27</v>
      </c>
      <c r="AL4988" s="3">
        <v>-1907.1607799999999</v>
      </c>
    </row>
    <row r="4989" spans="34:38">
      <c r="AH4989" t="s">
        <v>2126</v>
      </c>
      <c r="AI4989" t="s">
        <v>67</v>
      </c>
      <c r="AJ4989" t="s">
        <v>108</v>
      </c>
      <c r="AK4989" s="3" t="s">
        <v>27</v>
      </c>
      <c r="AL4989" s="3">
        <v>196.83922000000001</v>
      </c>
    </row>
    <row r="4990" spans="34:38">
      <c r="AH4990" t="s">
        <v>2126</v>
      </c>
      <c r="AI4990" t="s">
        <v>68</v>
      </c>
      <c r="AJ4990" t="s">
        <v>66</v>
      </c>
      <c r="AK4990" s="3" t="s">
        <v>27</v>
      </c>
      <c r="AL4990" s="3">
        <v>-4123.3</v>
      </c>
    </row>
    <row r="4991" spans="34:38">
      <c r="AH4991" t="s">
        <v>2126</v>
      </c>
      <c r="AI4991" t="s">
        <v>68</v>
      </c>
      <c r="AJ4991" t="s">
        <v>72</v>
      </c>
      <c r="AK4991" s="3" t="s">
        <v>27</v>
      </c>
      <c r="AL4991" s="3">
        <v>-3995.589997</v>
      </c>
    </row>
    <row r="4992" spans="34:38">
      <c r="AH4992" t="s">
        <v>2126</v>
      </c>
      <c r="AI4992" t="s">
        <v>68</v>
      </c>
      <c r="AJ4992" t="s">
        <v>108</v>
      </c>
      <c r="AK4992" s="3" t="s">
        <v>27</v>
      </c>
      <c r="AL4992" s="3">
        <v>127.710003</v>
      </c>
    </row>
    <row r="4993" spans="34:38">
      <c r="AH4993" t="s">
        <v>2126</v>
      </c>
      <c r="AI4993" t="s">
        <v>65</v>
      </c>
      <c r="AJ4993" t="s">
        <v>113</v>
      </c>
      <c r="AK4993" s="3" t="s">
        <v>27</v>
      </c>
      <c r="AL4993" s="3">
        <v>1258.146316928</v>
      </c>
    </row>
    <row r="4994" spans="34:38">
      <c r="AH4994" t="s">
        <v>2126</v>
      </c>
      <c r="AI4994" t="s">
        <v>67</v>
      </c>
      <c r="AJ4994" t="s">
        <v>113</v>
      </c>
      <c r="AK4994" s="3" t="s">
        <v>27</v>
      </c>
      <c r="AL4994" s="3">
        <v>0</v>
      </c>
    </row>
    <row r="4995" spans="34:38">
      <c r="AH4995" t="s">
        <v>2126</v>
      </c>
      <c r="AI4995" t="s">
        <v>65</v>
      </c>
      <c r="AJ4995" t="s">
        <v>2303</v>
      </c>
      <c r="AK4995" s="3" t="s">
        <v>27</v>
      </c>
      <c r="AL4995" s="3">
        <v>-2003.777816028</v>
      </c>
    </row>
    <row r="4996" spans="34:38">
      <c r="AH4996" t="s">
        <v>2126</v>
      </c>
      <c r="AI4996" t="s">
        <v>67</v>
      </c>
      <c r="AJ4996" t="s">
        <v>2303</v>
      </c>
      <c r="AK4996" s="3" t="s">
        <v>27</v>
      </c>
      <c r="AL4996" s="3">
        <v>196.83922000000001</v>
      </c>
    </row>
    <row r="4997" spans="34:38">
      <c r="AH4997" t="s">
        <v>2126</v>
      </c>
      <c r="AI4997" t="s">
        <v>65</v>
      </c>
      <c r="AJ4997" t="s">
        <v>113</v>
      </c>
      <c r="AK4997" s="3" t="s">
        <v>20</v>
      </c>
      <c r="AL4997" s="3">
        <v>66.009767044100002</v>
      </c>
    </row>
    <row r="4998" spans="34:38">
      <c r="AH4998" t="s">
        <v>2127</v>
      </c>
      <c r="AI4998" t="s">
        <v>65</v>
      </c>
      <c r="AJ4998" t="s">
        <v>66</v>
      </c>
      <c r="AK4998" s="3" t="s">
        <v>27</v>
      </c>
      <c r="AL4998" s="3">
        <v>16239.3</v>
      </c>
    </row>
    <row r="4999" spans="34:38">
      <c r="AH4999" t="s">
        <v>2127</v>
      </c>
      <c r="AI4999" t="s">
        <v>65</v>
      </c>
      <c r="AJ4999" t="s">
        <v>72</v>
      </c>
      <c r="AK4999" s="3" t="s">
        <v>27</v>
      </c>
      <c r="AL4999" s="3">
        <v>15646.256604</v>
      </c>
    </row>
    <row r="5000" spans="34:38">
      <c r="AH5000" t="s">
        <v>2127</v>
      </c>
      <c r="AI5000" t="s">
        <v>65</v>
      </c>
      <c r="AJ5000" t="s">
        <v>108</v>
      </c>
      <c r="AK5000" s="3" t="s">
        <v>27</v>
      </c>
      <c r="AL5000" s="3">
        <v>-593.04339600000003</v>
      </c>
    </row>
    <row r="5001" spans="34:38">
      <c r="AH5001" t="s">
        <v>2127</v>
      </c>
      <c r="AI5001" t="s">
        <v>67</v>
      </c>
      <c r="AJ5001" t="s">
        <v>66</v>
      </c>
      <c r="AK5001" s="3" t="s">
        <v>27</v>
      </c>
      <c r="AL5001" s="3">
        <v>-1534</v>
      </c>
    </row>
    <row r="5002" spans="34:38">
      <c r="AH5002" t="s">
        <v>2127</v>
      </c>
      <c r="AI5002" t="s">
        <v>67</v>
      </c>
      <c r="AJ5002" t="s">
        <v>72</v>
      </c>
      <c r="AK5002" s="3" t="s">
        <v>27</v>
      </c>
      <c r="AL5002" s="3">
        <v>-1419.53134</v>
      </c>
    </row>
    <row r="5003" spans="34:38">
      <c r="AH5003" t="s">
        <v>2127</v>
      </c>
      <c r="AI5003" t="s">
        <v>67</v>
      </c>
      <c r="AJ5003" t="s">
        <v>108</v>
      </c>
      <c r="AK5003" s="3" t="s">
        <v>27</v>
      </c>
      <c r="AL5003" s="3">
        <v>114.46866</v>
      </c>
    </row>
    <row r="5004" spans="34:38">
      <c r="AH5004" t="s">
        <v>2127</v>
      </c>
      <c r="AI5004" t="s">
        <v>68</v>
      </c>
      <c r="AJ5004" t="s">
        <v>66</v>
      </c>
      <c r="AK5004" s="3" t="s">
        <v>27</v>
      </c>
      <c r="AL5004" s="3">
        <v>-4343.3</v>
      </c>
    </row>
    <row r="5005" spans="34:38">
      <c r="AH5005" t="s">
        <v>2127</v>
      </c>
      <c r="AI5005" t="s">
        <v>68</v>
      </c>
      <c r="AJ5005" t="s">
        <v>72</v>
      </c>
      <c r="AK5005" s="3" t="s">
        <v>27</v>
      </c>
      <c r="AL5005" s="3">
        <v>-4166.8871639999998</v>
      </c>
    </row>
    <row r="5006" spans="34:38">
      <c r="AH5006" t="s">
        <v>2127</v>
      </c>
      <c r="AI5006" t="s">
        <v>68</v>
      </c>
      <c r="AJ5006" t="s">
        <v>108</v>
      </c>
      <c r="AK5006" s="3" t="s">
        <v>27</v>
      </c>
      <c r="AL5006" s="3">
        <v>176.412836</v>
      </c>
    </row>
    <row r="5007" spans="34:38">
      <c r="AH5007" t="s">
        <v>2127</v>
      </c>
      <c r="AI5007" t="s">
        <v>65</v>
      </c>
      <c r="AJ5007" t="s">
        <v>113</v>
      </c>
      <c r="AK5007" s="3" t="s">
        <v>27</v>
      </c>
      <c r="AL5007" s="3">
        <v>1261.219852811</v>
      </c>
    </row>
    <row r="5008" spans="34:38">
      <c r="AH5008" t="s">
        <v>2127</v>
      </c>
      <c r="AI5008" t="s">
        <v>67</v>
      </c>
      <c r="AJ5008" t="s">
        <v>113</v>
      </c>
      <c r="AK5008" s="3" t="s">
        <v>27</v>
      </c>
      <c r="AL5008" s="3">
        <v>0</v>
      </c>
    </row>
    <row r="5009" spans="34:38">
      <c r="AH5009" t="s">
        <v>2127</v>
      </c>
      <c r="AI5009" t="s">
        <v>65</v>
      </c>
      <c r="AJ5009" t="s">
        <v>2303</v>
      </c>
      <c r="AK5009" s="3" t="s">
        <v>27</v>
      </c>
      <c r="AL5009" s="3">
        <v>-1995.120236255</v>
      </c>
    </row>
    <row r="5010" spans="34:38">
      <c r="AH5010" t="s">
        <v>2127</v>
      </c>
      <c r="AI5010" t="s">
        <v>67</v>
      </c>
      <c r="AJ5010" t="s">
        <v>2303</v>
      </c>
      <c r="AK5010" s="3" t="s">
        <v>27</v>
      </c>
      <c r="AL5010" s="3">
        <v>114.46866</v>
      </c>
    </row>
    <row r="5011" spans="34:38">
      <c r="AH5011" t="s">
        <v>2127</v>
      </c>
      <c r="AI5011" t="s">
        <v>65</v>
      </c>
      <c r="AJ5011" t="s">
        <v>113</v>
      </c>
      <c r="AK5011" s="3" t="s">
        <v>20</v>
      </c>
      <c r="AL5011" s="3">
        <v>68.561535630199998</v>
      </c>
    </row>
    <row r="5012" spans="34:38">
      <c r="AH5012" t="s">
        <v>2128</v>
      </c>
      <c r="AI5012" t="s">
        <v>65</v>
      </c>
      <c r="AJ5012" t="s">
        <v>66</v>
      </c>
      <c r="AK5012" s="3" t="s">
        <v>27</v>
      </c>
      <c r="AL5012" s="3">
        <v>16229.3</v>
      </c>
    </row>
    <row r="5013" spans="34:38">
      <c r="AH5013" t="s">
        <v>2128</v>
      </c>
      <c r="AI5013" t="s">
        <v>65</v>
      </c>
      <c r="AJ5013" t="s">
        <v>72</v>
      </c>
      <c r="AK5013" s="3" t="s">
        <v>27</v>
      </c>
      <c r="AL5013" s="3">
        <v>15657.635006</v>
      </c>
    </row>
    <row r="5014" spans="34:38">
      <c r="AH5014" t="s">
        <v>2128</v>
      </c>
      <c r="AI5014" t="s">
        <v>65</v>
      </c>
      <c r="AJ5014" t="s">
        <v>108</v>
      </c>
      <c r="AK5014" s="3" t="s">
        <v>27</v>
      </c>
      <c r="AL5014" s="3">
        <v>-571.66499399999998</v>
      </c>
    </row>
    <row r="5015" spans="34:38">
      <c r="AH5015" t="s">
        <v>2128</v>
      </c>
      <c r="AI5015" t="s">
        <v>67</v>
      </c>
      <c r="AJ5015" t="s">
        <v>66</v>
      </c>
      <c r="AK5015" s="3" t="s">
        <v>27</v>
      </c>
      <c r="AL5015" s="3">
        <v>-1574</v>
      </c>
    </row>
    <row r="5016" spans="34:38">
      <c r="AH5016" t="s">
        <v>2128</v>
      </c>
      <c r="AI5016" t="s">
        <v>67</v>
      </c>
      <c r="AJ5016" t="s">
        <v>72</v>
      </c>
      <c r="AK5016" s="3" t="s">
        <v>27</v>
      </c>
      <c r="AL5016" s="3">
        <v>-1459.6555000000001</v>
      </c>
    </row>
    <row r="5017" spans="34:38">
      <c r="AH5017" t="s">
        <v>2128</v>
      </c>
      <c r="AI5017" t="s">
        <v>67</v>
      </c>
      <c r="AJ5017" t="s">
        <v>108</v>
      </c>
      <c r="AK5017" s="3" t="s">
        <v>27</v>
      </c>
      <c r="AL5017" s="3">
        <v>114.3445</v>
      </c>
    </row>
    <row r="5018" spans="34:38">
      <c r="AH5018" t="s">
        <v>2128</v>
      </c>
      <c r="AI5018" t="s">
        <v>68</v>
      </c>
      <c r="AJ5018" t="s">
        <v>66</v>
      </c>
      <c r="AK5018" s="3" t="s">
        <v>27</v>
      </c>
      <c r="AL5018" s="3">
        <v>-4293.3</v>
      </c>
    </row>
    <row r="5019" spans="34:38">
      <c r="AH5019" t="s">
        <v>2128</v>
      </c>
      <c r="AI5019" t="s">
        <v>68</v>
      </c>
      <c r="AJ5019" t="s">
        <v>72</v>
      </c>
      <c r="AK5019" s="3" t="s">
        <v>27</v>
      </c>
      <c r="AL5019" s="3">
        <v>-4130.9351660000002</v>
      </c>
    </row>
    <row r="5020" spans="34:38">
      <c r="AH5020" t="s">
        <v>2128</v>
      </c>
      <c r="AI5020" t="s">
        <v>68</v>
      </c>
      <c r="AJ5020" t="s">
        <v>108</v>
      </c>
      <c r="AK5020" s="3" t="s">
        <v>27</v>
      </c>
      <c r="AL5020" s="3">
        <v>162.364834</v>
      </c>
    </row>
    <row r="5021" spans="34:38">
      <c r="AH5021" t="s">
        <v>2128</v>
      </c>
      <c r="AI5021" t="s">
        <v>65</v>
      </c>
      <c r="AJ5021" t="s">
        <v>113</v>
      </c>
      <c r="AK5021" s="3" t="s">
        <v>27</v>
      </c>
      <c r="AL5021" s="3">
        <v>1272.9609589859999</v>
      </c>
    </row>
    <row r="5022" spans="34:38">
      <c r="AH5022" t="s">
        <v>2128</v>
      </c>
      <c r="AI5022" t="s">
        <v>67</v>
      </c>
      <c r="AJ5022" t="s">
        <v>113</v>
      </c>
      <c r="AK5022" s="3" t="s">
        <v>27</v>
      </c>
      <c r="AL5022" s="3">
        <v>0</v>
      </c>
    </row>
    <row r="5023" spans="34:38">
      <c r="AH5023" t="s">
        <v>2128</v>
      </c>
      <c r="AI5023" t="s">
        <v>65</v>
      </c>
      <c r="AJ5023" t="s">
        <v>2303</v>
      </c>
      <c r="AK5023" s="3" t="s">
        <v>27</v>
      </c>
      <c r="AL5023" s="3">
        <v>-1973.7334287430001</v>
      </c>
    </row>
    <row r="5024" spans="34:38">
      <c r="AH5024" t="s">
        <v>2128</v>
      </c>
      <c r="AI5024" t="s">
        <v>67</v>
      </c>
      <c r="AJ5024" t="s">
        <v>2303</v>
      </c>
      <c r="AK5024" s="3" t="s">
        <v>27</v>
      </c>
      <c r="AL5024" s="3">
        <v>114.3445</v>
      </c>
    </row>
    <row r="5025" spans="34:38">
      <c r="AH5025" t="s">
        <v>2128</v>
      </c>
      <c r="AI5025" t="s">
        <v>65</v>
      </c>
      <c r="AJ5025" t="s">
        <v>113</v>
      </c>
      <c r="AK5025" s="3" t="s">
        <v>20</v>
      </c>
      <c r="AL5025" s="3">
        <v>79.780874514499999</v>
      </c>
    </row>
    <row r="5026" spans="34:38">
      <c r="AH5026" t="s">
        <v>2129</v>
      </c>
      <c r="AI5026" t="s">
        <v>65</v>
      </c>
      <c r="AJ5026" t="s">
        <v>66</v>
      </c>
      <c r="AK5026" s="3" t="s">
        <v>27</v>
      </c>
      <c r="AL5026" s="3">
        <v>14999.3</v>
      </c>
    </row>
    <row r="5027" spans="34:38">
      <c r="AH5027" t="s">
        <v>2129</v>
      </c>
      <c r="AI5027" t="s">
        <v>65</v>
      </c>
      <c r="AJ5027" t="s">
        <v>72</v>
      </c>
      <c r="AK5027" s="3" t="s">
        <v>27</v>
      </c>
      <c r="AL5027" s="3">
        <v>14553.924593</v>
      </c>
    </row>
    <row r="5028" spans="34:38">
      <c r="AH5028" t="s">
        <v>2129</v>
      </c>
      <c r="AI5028" t="s">
        <v>65</v>
      </c>
      <c r="AJ5028" t="s">
        <v>108</v>
      </c>
      <c r="AK5028" s="3" t="s">
        <v>27</v>
      </c>
      <c r="AL5028" s="3">
        <v>-445.375407</v>
      </c>
    </row>
    <row r="5029" spans="34:38">
      <c r="AH5029" t="s">
        <v>2129</v>
      </c>
      <c r="AI5029" t="s">
        <v>67</v>
      </c>
      <c r="AJ5029" t="s">
        <v>66</v>
      </c>
      <c r="AK5029" s="3" t="s">
        <v>27</v>
      </c>
      <c r="AL5029" s="3">
        <v>-354</v>
      </c>
    </row>
    <row r="5030" spans="34:38">
      <c r="AH5030" t="s">
        <v>2129</v>
      </c>
      <c r="AI5030" t="s">
        <v>67</v>
      </c>
      <c r="AJ5030" t="s">
        <v>72</v>
      </c>
      <c r="AK5030" s="3" t="s">
        <v>27</v>
      </c>
      <c r="AL5030" s="3">
        <v>-356.65375999999998</v>
      </c>
    </row>
    <row r="5031" spans="34:38">
      <c r="AH5031" t="s">
        <v>2129</v>
      </c>
      <c r="AI5031" t="s">
        <v>67</v>
      </c>
      <c r="AJ5031" t="s">
        <v>108</v>
      </c>
      <c r="AK5031" s="3" t="s">
        <v>27</v>
      </c>
      <c r="AL5031" s="3">
        <v>-2.6537600000000001</v>
      </c>
    </row>
    <row r="5032" spans="34:38">
      <c r="AH5032" t="s">
        <v>2129</v>
      </c>
      <c r="AI5032" t="s">
        <v>68</v>
      </c>
      <c r="AJ5032" t="s">
        <v>66</v>
      </c>
      <c r="AK5032" s="3" t="s">
        <v>27</v>
      </c>
      <c r="AL5032" s="3">
        <v>-4283.3</v>
      </c>
    </row>
    <row r="5033" spans="34:38">
      <c r="AH5033" t="s">
        <v>2129</v>
      </c>
      <c r="AI5033" t="s">
        <v>68</v>
      </c>
      <c r="AJ5033" t="s">
        <v>72</v>
      </c>
      <c r="AK5033" s="3" t="s">
        <v>27</v>
      </c>
      <c r="AL5033" s="3">
        <v>-4131.9195330000002</v>
      </c>
    </row>
    <row r="5034" spans="34:38">
      <c r="AH5034" t="s">
        <v>2129</v>
      </c>
      <c r="AI5034" t="s">
        <v>68</v>
      </c>
      <c r="AJ5034" t="s">
        <v>108</v>
      </c>
      <c r="AK5034" s="3" t="s">
        <v>27</v>
      </c>
      <c r="AL5034" s="3">
        <v>151.38046700000001</v>
      </c>
    </row>
    <row r="5035" spans="34:38">
      <c r="AH5035" t="s">
        <v>2129</v>
      </c>
      <c r="AI5035" t="s">
        <v>65</v>
      </c>
      <c r="AJ5035" t="s">
        <v>113</v>
      </c>
      <c r="AK5035" s="3" t="s">
        <v>27</v>
      </c>
      <c r="AL5035" s="3">
        <v>1403.311307578</v>
      </c>
    </row>
    <row r="5036" spans="34:38">
      <c r="AH5036" t="s">
        <v>2129</v>
      </c>
      <c r="AI5036" t="s">
        <v>67</v>
      </c>
      <c r="AJ5036" t="s">
        <v>113</v>
      </c>
      <c r="AK5036" s="3" t="s">
        <v>27</v>
      </c>
      <c r="AL5036" s="3">
        <v>0</v>
      </c>
    </row>
    <row r="5037" spans="34:38">
      <c r="AH5037" t="s">
        <v>2129</v>
      </c>
      <c r="AI5037" t="s">
        <v>65</v>
      </c>
      <c r="AJ5037" t="s">
        <v>2303</v>
      </c>
      <c r="AK5037" s="3" t="s">
        <v>27</v>
      </c>
      <c r="AL5037" s="3">
        <v>-1977.3144757299999</v>
      </c>
    </row>
    <row r="5038" spans="34:38">
      <c r="AH5038" t="s">
        <v>2129</v>
      </c>
      <c r="AI5038" t="s">
        <v>67</v>
      </c>
      <c r="AJ5038" t="s">
        <v>2303</v>
      </c>
      <c r="AK5038" s="3" t="s">
        <v>27</v>
      </c>
      <c r="AL5038" s="3">
        <v>-2.6537600000000001</v>
      </c>
    </row>
    <row r="5039" spans="34:38">
      <c r="AH5039" t="s">
        <v>2129</v>
      </c>
      <c r="AI5039" t="s">
        <v>65</v>
      </c>
      <c r="AJ5039" t="s">
        <v>113</v>
      </c>
      <c r="AK5039" s="3" t="s">
        <v>20</v>
      </c>
      <c r="AL5039" s="3">
        <v>209.60945579439999</v>
      </c>
    </row>
    <row r="5040" spans="34:38">
      <c r="AH5040" t="s">
        <v>2130</v>
      </c>
      <c r="AI5040" t="s">
        <v>65</v>
      </c>
      <c r="AJ5040" t="s">
        <v>66</v>
      </c>
      <c r="AK5040" s="3" t="s">
        <v>27</v>
      </c>
      <c r="AL5040" s="3">
        <v>15039.3</v>
      </c>
    </row>
    <row r="5041" spans="34:38">
      <c r="AH5041" t="s">
        <v>2130</v>
      </c>
      <c r="AI5041" t="s">
        <v>65</v>
      </c>
      <c r="AJ5041" t="s">
        <v>72</v>
      </c>
      <c r="AK5041" s="3" t="s">
        <v>27</v>
      </c>
      <c r="AL5041" s="3">
        <v>14567.291128999999</v>
      </c>
    </row>
    <row r="5042" spans="34:38">
      <c r="AH5042" t="s">
        <v>2130</v>
      </c>
      <c r="AI5042" t="s">
        <v>65</v>
      </c>
      <c r="AJ5042" t="s">
        <v>108</v>
      </c>
      <c r="AK5042" s="3" t="s">
        <v>27</v>
      </c>
      <c r="AL5042" s="3">
        <v>-472.008871</v>
      </c>
    </row>
    <row r="5043" spans="34:38">
      <c r="AH5043" t="s">
        <v>2130</v>
      </c>
      <c r="AI5043" t="s">
        <v>67</v>
      </c>
      <c r="AJ5043" t="s">
        <v>66</v>
      </c>
      <c r="AK5043" s="3" t="s">
        <v>27</v>
      </c>
      <c r="AL5043" s="3">
        <v>-1624</v>
      </c>
    </row>
    <row r="5044" spans="34:38">
      <c r="AH5044" t="s">
        <v>2130</v>
      </c>
      <c r="AI5044" t="s">
        <v>67</v>
      </c>
      <c r="AJ5044" t="s">
        <v>72</v>
      </c>
      <c r="AK5044" s="3" t="s">
        <v>27</v>
      </c>
      <c r="AL5044" s="3">
        <v>-1474.8588400000001</v>
      </c>
    </row>
    <row r="5045" spans="34:38">
      <c r="AH5045" t="s">
        <v>2130</v>
      </c>
      <c r="AI5045" t="s">
        <v>67</v>
      </c>
      <c r="AJ5045" t="s">
        <v>108</v>
      </c>
      <c r="AK5045" s="3" t="s">
        <v>27</v>
      </c>
      <c r="AL5045" s="3">
        <v>149.14116000000001</v>
      </c>
    </row>
    <row r="5046" spans="34:38">
      <c r="AH5046" t="s">
        <v>2130</v>
      </c>
      <c r="AI5046" t="s">
        <v>68</v>
      </c>
      <c r="AJ5046" t="s">
        <v>66</v>
      </c>
      <c r="AK5046" s="3" t="s">
        <v>27</v>
      </c>
      <c r="AL5046" s="3">
        <v>-3053.3</v>
      </c>
    </row>
    <row r="5047" spans="34:38">
      <c r="AH5047" t="s">
        <v>2130</v>
      </c>
      <c r="AI5047" t="s">
        <v>68</v>
      </c>
      <c r="AJ5047" t="s">
        <v>72</v>
      </c>
      <c r="AK5047" s="3" t="s">
        <v>27</v>
      </c>
      <c r="AL5047" s="3">
        <v>-3028.8995890000001</v>
      </c>
    </row>
    <row r="5048" spans="34:38">
      <c r="AH5048" t="s">
        <v>2130</v>
      </c>
      <c r="AI5048" t="s">
        <v>68</v>
      </c>
      <c r="AJ5048" t="s">
        <v>108</v>
      </c>
      <c r="AK5048" s="3" t="s">
        <v>27</v>
      </c>
      <c r="AL5048" s="3">
        <v>24.400410999999998</v>
      </c>
    </row>
    <row r="5049" spans="34:38">
      <c r="AH5049" t="s">
        <v>2130</v>
      </c>
      <c r="AI5049" t="s">
        <v>65</v>
      </c>
      <c r="AJ5049" t="s">
        <v>113</v>
      </c>
      <c r="AK5049" s="3" t="s">
        <v>27</v>
      </c>
      <c r="AL5049" s="3">
        <v>1373.5426952390001</v>
      </c>
    </row>
    <row r="5050" spans="34:38">
      <c r="AH5050" t="s">
        <v>2130</v>
      </c>
      <c r="AI5050" t="s">
        <v>67</v>
      </c>
      <c r="AJ5050" t="s">
        <v>113</v>
      </c>
      <c r="AK5050" s="3" t="s">
        <v>27</v>
      </c>
      <c r="AL5050" s="3">
        <v>0</v>
      </c>
    </row>
    <row r="5051" spans="34:38">
      <c r="AH5051" t="s">
        <v>2130</v>
      </c>
      <c r="AI5051" t="s">
        <v>65</v>
      </c>
      <c r="AJ5051" t="s">
        <v>2303</v>
      </c>
      <c r="AK5051" s="3" t="s">
        <v>27</v>
      </c>
      <c r="AL5051" s="3">
        <v>-1975.6172085210001</v>
      </c>
    </row>
    <row r="5052" spans="34:38">
      <c r="AH5052" t="s">
        <v>2130</v>
      </c>
      <c r="AI5052" t="s">
        <v>67</v>
      </c>
      <c r="AJ5052" t="s">
        <v>2303</v>
      </c>
      <c r="AK5052" s="3" t="s">
        <v>27</v>
      </c>
      <c r="AL5052" s="3">
        <v>149.14116000000001</v>
      </c>
    </row>
    <row r="5053" spans="34:38">
      <c r="AH5053" t="s">
        <v>2130</v>
      </c>
      <c r="AI5053" t="s">
        <v>65</v>
      </c>
      <c r="AJ5053" t="s">
        <v>113</v>
      </c>
      <c r="AK5053" s="3" t="s">
        <v>20</v>
      </c>
      <c r="AL5053" s="3">
        <v>179.31907615860001</v>
      </c>
    </row>
    <row r="5054" spans="34:38">
      <c r="AH5054" t="s">
        <v>2131</v>
      </c>
      <c r="AI5054" t="s">
        <v>65</v>
      </c>
      <c r="AJ5054" t="s">
        <v>66</v>
      </c>
      <c r="AK5054" s="3" t="s">
        <v>27</v>
      </c>
      <c r="AL5054" s="3">
        <v>15709.3</v>
      </c>
    </row>
    <row r="5055" spans="34:38">
      <c r="AH5055" t="s">
        <v>2131</v>
      </c>
      <c r="AI5055" t="s">
        <v>65</v>
      </c>
      <c r="AJ5055" t="s">
        <v>72</v>
      </c>
      <c r="AK5055" s="3" t="s">
        <v>27</v>
      </c>
      <c r="AL5055" s="3">
        <v>15230.576329</v>
      </c>
    </row>
    <row r="5056" spans="34:38">
      <c r="AH5056" t="s">
        <v>2131</v>
      </c>
      <c r="AI5056" t="s">
        <v>65</v>
      </c>
      <c r="AJ5056" t="s">
        <v>108</v>
      </c>
      <c r="AK5056" s="3" t="s">
        <v>27</v>
      </c>
      <c r="AL5056" s="3">
        <v>-478.72367100000002</v>
      </c>
    </row>
    <row r="5057" spans="34:38">
      <c r="AH5057" t="s">
        <v>2131</v>
      </c>
      <c r="AI5057" t="s">
        <v>67</v>
      </c>
      <c r="AJ5057" t="s">
        <v>66</v>
      </c>
      <c r="AK5057" s="3" t="s">
        <v>27</v>
      </c>
      <c r="AL5057" s="3">
        <v>-2254</v>
      </c>
    </row>
    <row r="5058" spans="34:38">
      <c r="AH5058" t="s">
        <v>2131</v>
      </c>
      <c r="AI5058" t="s">
        <v>67</v>
      </c>
      <c r="AJ5058" t="s">
        <v>72</v>
      </c>
      <c r="AK5058" s="3" t="s">
        <v>27</v>
      </c>
      <c r="AL5058" s="3">
        <v>-2127.3490200000001</v>
      </c>
    </row>
    <row r="5059" spans="34:38">
      <c r="AH5059" t="s">
        <v>2131</v>
      </c>
      <c r="AI5059" t="s">
        <v>67</v>
      </c>
      <c r="AJ5059" t="s">
        <v>108</v>
      </c>
      <c r="AK5059" s="3" t="s">
        <v>27</v>
      </c>
      <c r="AL5059" s="3">
        <v>126.65098</v>
      </c>
    </row>
    <row r="5060" spans="34:38">
      <c r="AH5060" t="s">
        <v>2131</v>
      </c>
      <c r="AI5060" t="s">
        <v>68</v>
      </c>
      <c r="AJ5060" t="s">
        <v>66</v>
      </c>
      <c r="AK5060" s="3" t="s">
        <v>27</v>
      </c>
      <c r="AL5060" s="3">
        <v>-3093.3</v>
      </c>
    </row>
    <row r="5061" spans="34:38">
      <c r="AH5061" t="s">
        <v>2131</v>
      </c>
      <c r="AI5061" t="s">
        <v>68</v>
      </c>
      <c r="AJ5061" t="s">
        <v>72</v>
      </c>
      <c r="AK5061" s="3" t="s">
        <v>27</v>
      </c>
      <c r="AL5061" s="3">
        <v>-3044.4971289999999</v>
      </c>
    </row>
    <row r="5062" spans="34:38">
      <c r="AH5062" t="s">
        <v>2131</v>
      </c>
      <c r="AI5062" t="s">
        <v>68</v>
      </c>
      <c r="AJ5062" t="s">
        <v>108</v>
      </c>
      <c r="AK5062" s="3" t="s">
        <v>27</v>
      </c>
      <c r="AL5062" s="3">
        <v>48.802871000000003</v>
      </c>
    </row>
    <row r="5063" spans="34:38">
      <c r="AH5063" t="s">
        <v>2131</v>
      </c>
      <c r="AI5063" t="s">
        <v>65</v>
      </c>
      <c r="AJ5063" t="s">
        <v>113</v>
      </c>
      <c r="AK5063" s="3" t="s">
        <v>27</v>
      </c>
      <c r="AL5063" s="3">
        <v>1392.113874144</v>
      </c>
    </row>
    <row r="5064" spans="34:38">
      <c r="AH5064" t="s">
        <v>2131</v>
      </c>
      <c r="AI5064" t="s">
        <v>67</v>
      </c>
      <c r="AJ5064" t="s">
        <v>113</v>
      </c>
      <c r="AK5064" s="3" t="s">
        <v>27</v>
      </c>
      <c r="AL5064" s="3">
        <v>0</v>
      </c>
    </row>
    <row r="5065" spans="34:38">
      <c r="AH5065" t="s">
        <v>2131</v>
      </c>
      <c r="AI5065" t="s">
        <v>65</v>
      </c>
      <c r="AJ5065" t="s">
        <v>2303</v>
      </c>
      <c r="AK5065" s="3" t="s">
        <v>27</v>
      </c>
      <c r="AL5065" s="3">
        <v>-2002.093448046</v>
      </c>
    </row>
    <row r="5066" spans="34:38">
      <c r="AH5066" t="s">
        <v>2131</v>
      </c>
      <c r="AI5066" t="s">
        <v>67</v>
      </c>
      <c r="AJ5066" t="s">
        <v>2303</v>
      </c>
      <c r="AK5066" s="3" t="s">
        <v>27</v>
      </c>
      <c r="AL5066" s="3">
        <v>126.65098</v>
      </c>
    </row>
    <row r="5067" spans="34:38">
      <c r="AH5067" t="s">
        <v>2131</v>
      </c>
      <c r="AI5067" t="s">
        <v>65</v>
      </c>
      <c r="AJ5067" t="s">
        <v>113</v>
      </c>
      <c r="AK5067" s="3" t="s">
        <v>20</v>
      </c>
      <c r="AL5067" s="3">
        <v>196.32495315770001</v>
      </c>
    </row>
    <row r="5068" spans="34:38">
      <c r="AH5068" t="s">
        <v>2132</v>
      </c>
      <c r="AI5068" t="s">
        <v>65</v>
      </c>
      <c r="AJ5068" t="s">
        <v>66</v>
      </c>
      <c r="AK5068" s="3" t="s">
        <v>27</v>
      </c>
      <c r="AL5068" s="3">
        <v>15809.3</v>
      </c>
    </row>
    <row r="5069" spans="34:38">
      <c r="AH5069" t="s">
        <v>2132</v>
      </c>
      <c r="AI5069" t="s">
        <v>65</v>
      </c>
      <c r="AJ5069" t="s">
        <v>72</v>
      </c>
      <c r="AK5069" s="3" t="s">
        <v>27</v>
      </c>
      <c r="AL5069" s="3">
        <v>15356.068071</v>
      </c>
    </row>
    <row r="5070" spans="34:38">
      <c r="AH5070" t="s">
        <v>2132</v>
      </c>
      <c r="AI5070" t="s">
        <v>65</v>
      </c>
      <c r="AJ5070" t="s">
        <v>108</v>
      </c>
      <c r="AK5070" s="3" t="s">
        <v>27</v>
      </c>
      <c r="AL5070" s="3">
        <v>-453.23192899999998</v>
      </c>
    </row>
    <row r="5071" spans="34:38">
      <c r="AH5071" t="s">
        <v>2132</v>
      </c>
      <c r="AI5071" t="s">
        <v>67</v>
      </c>
      <c r="AJ5071" t="s">
        <v>66</v>
      </c>
      <c r="AK5071" s="3" t="s">
        <v>27</v>
      </c>
      <c r="AL5071" s="3">
        <v>-1684</v>
      </c>
    </row>
    <row r="5072" spans="34:38">
      <c r="AH5072" t="s">
        <v>2132</v>
      </c>
      <c r="AI5072" t="s">
        <v>67</v>
      </c>
      <c r="AJ5072" t="s">
        <v>72</v>
      </c>
      <c r="AK5072" s="3" t="s">
        <v>27</v>
      </c>
      <c r="AL5072" s="3">
        <v>-1582.6237000000001</v>
      </c>
    </row>
    <row r="5073" spans="34:38">
      <c r="AH5073" t="s">
        <v>2132</v>
      </c>
      <c r="AI5073" t="s">
        <v>67</v>
      </c>
      <c r="AJ5073" t="s">
        <v>108</v>
      </c>
      <c r="AK5073" s="3" t="s">
        <v>27</v>
      </c>
      <c r="AL5073" s="3">
        <v>101.3763</v>
      </c>
    </row>
    <row r="5074" spans="34:38">
      <c r="AH5074" t="s">
        <v>2132</v>
      </c>
      <c r="AI5074" t="s">
        <v>68</v>
      </c>
      <c r="AJ5074" t="s">
        <v>66</v>
      </c>
      <c r="AK5074" s="3" t="s">
        <v>27</v>
      </c>
      <c r="AL5074" s="3">
        <v>-3763.3</v>
      </c>
    </row>
    <row r="5075" spans="34:38">
      <c r="AH5075" t="s">
        <v>2132</v>
      </c>
      <c r="AI5075" t="s">
        <v>68</v>
      </c>
      <c r="AJ5075" t="s">
        <v>72</v>
      </c>
      <c r="AK5075" s="3" t="s">
        <v>27</v>
      </c>
      <c r="AL5075" s="3">
        <v>-3711.7530109999998</v>
      </c>
    </row>
    <row r="5076" spans="34:38">
      <c r="AH5076" t="s">
        <v>2132</v>
      </c>
      <c r="AI5076" t="s">
        <v>68</v>
      </c>
      <c r="AJ5076" t="s">
        <v>108</v>
      </c>
      <c r="AK5076" s="3" t="s">
        <v>27</v>
      </c>
      <c r="AL5076" s="3">
        <v>51.546989000000004</v>
      </c>
    </row>
    <row r="5077" spans="34:38">
      <c r="AH5077" t="s">
        <v>2132</v>
      </c>
      <c r="AI5077" t="s">
        <v>65</v>
      </c>
      <c r="AJ5077" t="s">
        <v>113</v>
      </c>
      <c r="AK5077" s="3" t="s">
        <v>27</v>
      </c>
      <c r="AL5077" s="3">
        <v>1417.359559304</v>
      </c>
    </row>
    <row r="5078" spans="34:38">
      <c r="AH5078" t="s">
        <v>2132</v>
      </c>
      <c r="AI5078" t="s">
        <v>67</v>
      </c>
      <c r="AJ5078" t="s">
        <v>113</v>
      </c>
      <c r="AK5078" s="3" t="s">
        <v>27</v>
      </c>
      <c r="AL5078" s="3">
        <v>0</v>
      </c>
    </row>
    <row r="5079" spans="34:38">
      <c r="AH5079" t="s">
        <v>2132</v>
      </c>
      <c r="AI5079" t="s">
        <v>65</v>
      </c>
      <c r="AJ5079" t="s">
        <v>2303</v>
      </c>
      <c r="AK5079" s="3" t="s">
        <v>27</v>
      </c>
      <c r="AL5079" s="3">
        <v>-1996.8172034439999</v>
      </c>
    </row>
    <row r="5080" spans="34:38">
      <c r="AH5080" t="s">
        <v>2132</v>
      </c>
      <c r="AI5080" t="s">
        <v>67</v>
      </c>
      <c r="AJ5080" t="s">
        <v>2303</v>
      </c>
      <c r="AK5080" s="3" t="s">
        <v>27</v>
      </c>
      <c r="AL5080" s="3">
        <v>101.3763</v>
      </c>
    </row>
    <row r="5081" spans="34:38">
      <c r="AH5081" t="s">
        <v>2132</v>
      </c>
      <c r="AI5081" t="s">
        <v>65</v>
      </c>
      <c r="AJ5081" t="s">
        <v>113</v>
      </c>
      <c r="AK5081" s="3" t="s">
        <v>20</v>
      </c>
      <c r="AL5081" s="3">
        <v>221.04887101950001</v>
      </c>
    </row>
    <row r="5082" spans="34:38">
      <c r="AH5082" t="s">
        <v>2133</v>
      </c>
      <c r="AI5082" t="s">
        <v>65</v>
      </c>
      <c r="AJ5082" t="s">
        <v>66</v>
      </c>
      <c r="AK5082" s="3" t="s">
        <v>27</v>
      </c>
      <c r="AL5082" s="3">
        <v>15159.3</v>
      </c>
    </row>
    <row r="5083" spans="34:38">
      <c r="AH5083" t="s">
        <v>2133</v>
      </c>
      <c r="AI5083" t="s">
        <v>65</v>
      </c>
      <c r="AJ5083" t="s">
        <v>72</v>
      </c>
      <c r="AK5083" s="3" t="s">
        <v>27</v>
      </c>
      <c r="AL5083" s="3">
        <v>14693.194554</v>
      </c>
    </row>
    <row r="5084" spans="34:38">
      <c r="AH5084" t="s">
        <v>2133</v>
      </c>
      <c r="AI5084" t="s">
        <v>65</v>
      </c>
      <c r="AJ5084" t="s">
        <v>108</v>
      </c>
      <c r="AK5084" s="3" t="s">
        <v>27</v>
      </c>
      <c r="AL5084" s="3">
        <v>-466.10544599999997</v>
      </c>
    </row>
    <row r="5085" spans="34:38">
      <c r="AH5085" t="s">
        <v>2133</v>
      </c>
      <c r="AI5085" t="s">
        <v>67</v>
      </c>
      <c r="AJ5085" t="s">
        <v>66</v>
      </c>
      <c r="AK5085" s="3" t="s">
        <v>27</v>
      </c>
      <c r="AL5085" s="3">
        <v>-934</v>
      </c>
    </row>
    <row r="5086" spans="34:38">
      <c r="AH5086" t="s">
        <v>2133</v>
      </c>
      <c r="AI5086" t="s">
        <v>67</v>
      </c>
      <c r="AJ5086" t="s">
        <v>72</v>
      </c>
      <c r="AK5086" s="3" t="s">
        <v>27</v>
      </c>
      <c r="AL5086" s="3">
        <v>-788.20036000000005</v>
      </c>
    </row>
    <row r="5087" spans="34:38">
      <c r="AH5087" t="s">
        <v>2133</v>
      </c>
      <c r="AI5087" t="s">
        <v>67</v>
      </c>
      <c r="AJ5087" t="s">
        <v>108</v>
      </c>
      <c r="AK5087" s="3" t="s">
        <v>27</v>
      </c>
      <c r="AL5087" s="3">
        <v>145.79964000000001</v>
      </c>
    </row>
    <row r="5088" spans="34:38">
      <c r="AH5088" t="s">
        <v>2133</v>
      </c>
      <c r="AI5088" t="s">
        <v>68</v>
      </c>
      <c r="AJ5088" t="s">
        <v>66</v>
      </c>
      <c r="AK5088" s="3" t="s">
        <v>27</v>
      </c>
      <c r="AL5088" s="3">
        <v>-3863.3</v>
      </c>
    </row>
    <row r="5089" spans="34:38">
      <c r="AH5089" t="s">
        <v>2133</v>
      </c>
      <c r="AI5089" t="s">
        <v>68</v>
      </c>
      <c r="AJ5089" t="s">
        <v>72</v>
      </c>
      <c r="AK5089" s="3" t="s">
        <v>27</v>
      </c>
      <c r="AL5089" s="3">
        <v>-3834.735154</v>
      </c>
    </row>
    <row r="5090" spans="34:38">
      <c r="AH5090" t="s">
        <v>2133</v>
      </c>
      <c r="AI5090" t="s">
        <v>68</v>
      </c>
      <c r="AJ5090" t="s">
        <v>108</v>
      </c>
      <c r="AK5090" s="3" t="s">
        <v>27</v>
      </c>
      <c r="AL5090" s="3">
        <v>28.564845999999999</v>
      </c>
    </row>
    <row r="5091" spans="34:38">
      <c r="AH5091" t="s">
        <v>2133</v>
      </c>
      <c r="AI5091" t="s">
        <v>65</v>
      </c>
      <c r="AJ5091" t="s">
        <v>113</v>
      </c>
      <c r="AK5091" s="3" t="s">
        <v>27</v>
      </c>
      <c r="AL5091" s="3">
        <v>1383.8911973960001</v>
      </c>
    </row>
    <row r="5092" spans="34:38">
      <c r="AH5092" t="s">
        <v>2133</v>
      </c>
      <c r="AI5092" t="s">
        <v>67</v>
      </c>
      <c r="AJ5092" t="s">
        <v>113</v>
      </c>
      <c r="AK5092" s="3" t="s">
        <v>27</v>
      </c>
      <c r="AL5092" s="3">
        <v>0</v>
      </c>
    </row>
    <row r="5093" spans="34:38">
      <c r="AH5093" t="s">
        <v>2133</v>
      </c>
      <c r="AI5093" t="s">
        <v>65</v>
      </c>
      <c r="AJ5093" t="s">
        <v>2303</v>
      </c>
      <c r="AK5093" s="3" t="s">
        <v>27</v>
      </c>
      <c r="AL5093" s="3">
        <v>-1960.1629980390001</v>
      </c>
    </row>
    <row r="5094" spans="34:38">
      <c r="AH5094" t="s">
        <v>2133</v>
      </c>
      <c r="AI5094" t="s">
        <v>67</v>
      </c>
      <c r="AJ5094" t="s">
        <v>2303</v>
      </c>
      <c r="AK5094" s="3" t="s">
        <v>27</v>
      </c>
      <c r="AL5094" s="3">
        <v>145.79964000000001</v>
      </c>
    </row>
    <row r="5095" spans="34:38">
      <c r="AH5095" t="s">
        <v>2133</v>
      </c>
      <c r="AI5095" t="s">
        <v>65</v>
      </c>
      <c r="AJ5095" t="s">
        <v>113</v>
      </c>
      <c r="AK5095" s="3" t="s">
        <v>20</v>
      </c>
      <c r="AL5095" s="3">
        <v>187.0587418051</v>
      </c>
    </row>
    <row r="5096" spans="34:38">
      <c r="AH5096" t="s">
        <v>2134</v>
      </c>
      <c r="AI5096" t="s">
        <v>65</v>
      </c>
      <c r="AJ5096" t="s">
        <v>66</v>
      </c>
      <c r="AK5096" s="3" t="s">
        <v>27</v>
      </c>
      <c r="AL5096" s="3">
        <v>15659.3</v>
      </c>
    </row>
    <row r="5097" spans="34:38">
      <c r="AH5097" t="s">
        <v>2134</v>
      </c>
      <c r="AI5097" t="s">
        <v>65</v>
      </c>
      <c r="AJ5097" t="s">
        <v>72</v>
      </c>
      <c r="AK5097" s="3" t="s">
        <v>27</v>
      </c>
      <c r="AL5097" s="3">
        <v>15228.254294</v>
      </c>
    </row>
    <row r="5098" spans="34:38">
      <c r="AH5098" t="s">
        <v>2134</v>
      </c>
      <c r="AI5098" t="s">
        <v>65</v>
      </c>
      <c r="AJ5098" t="s">
        <v>108</v>
      </c>
      <c r="AK5098" s="3" t="s">
        <v>27</v>
      </c>
      <c r="AL5098" s="3">
        <v>-431.045706</v>
      </c>
    </row>
    <row r="5099" spans="34:38">
      <c r="AH5099" t="s">
        <v>2134</v>
      </c>
      <c r="AI5099" t="s">
        <v>67</v>
      </c>
      <c r="AJ5099" t="s">
        <v>66</v>
      </c>
      <c r="AK5099" s="3" t="s">
        <v>27</v>
      </c>
      <c r="AL5099" s="3">
        <v>-2084</v>
      </c>
    </row>
    <row r="5100" spans="34:38">
      <c r="AH5100" t="s">
        <v>2134</v>
      </c>
      <c r="AI5100" t="s">
        <v>67</v>
      </c>
      <c r="AJ5100" t="s">
        <v>72</v>
      </c>
      <c r="AK5100" s="3" t="s">
        <v>27</v>
      </c>
      <c r="AL5100" s="3">
        <v>-1997.1668199999999</v>
      </c>
    </row>
    <row r="5101" spans="34:38">
      <c r="AH5101" t="s">
        <v>2134</v>
      </c>
      <c r="AI5101" t="s">
        <v>67</v>
      </c>
      <c r="AJ5101" t="s">
        <v>108</v>
      </c>
      <c r="AK5101" s="3" t="s">
        <v>27</v>
      </c>
      <c r="AL5101" s="3">
        <v>86.833179999999999</v>
      </c>
    </row>
    <row r="5102" spans="34:38">
      <c r="AH5102" t="s">
        <v>2134</v>
      </c>
      <c r="AI5102" t="s">
        <v>68</v>
      </c>
      <c r="AJ5102" t="s">
        <v>66</v>
      </c>
      <c r="AK5102" s="3" t="s">
        <v>27</v>
      </c>
      <c r="AL5102" s="3">
        <v>-3463.3</v>
      </c>
    </row>
    <row r="5103" spans="34:38">
      <c r="AH5103" t="s">
        <v>2134</v>
      </c>
      <c r="AI5103" t="s">
        <v>68</v>
      </c>
      <c r="AJ5103" t="s">
        <v>72</v>
      </c>
      <c r="AK5103" s="3" t="s">
        <v>27</v>
      </c>
      <c r="AL5103" s="3">
        <v>-3416.0271539999999</v>
      </c>
    </row>
    <row r="5104" spans="34:38">
      <c r="AH5104" t="s">
        <v>2134</v>
      </c>
      <c r="AI5104" t="s">
        <v>68</v>
      </c>
      <c r="AJ5104" t="s">
        <v>108</v>
      </c>
      <c r="AK5104" s="3" t="s">
        <v>27</v>
      </c>
      <c r="AL5104" s="3">
        <v>47.272846000000001</v>
      </c>
    </row>
    <row r="5105" spans="34:38">
      <c r="AH5105" t="s">
        <v>2134</v>
      </c>
      <c r="AI5105" t="s">
        <v>65</v>
      </c>
      <c r="AJ5105" t="s">
        <v>113</v>
      </c>
      <c r="AK5105" s="3" t="s">
        <v>27</v>
      </c>
      <c r="AL5105" s="3">
        <v>1434.3984137909999</v>
      </c>
    </row>
    <row r="5106" spans="34:38">
      <c r="AH5106" t="s">
        <v>2134</v>
      </c>
      <c r="AI5106" t="s">
        <v>67</v>
      </c>
      <c r="AJ5106" t="s">
        <v>113</v>
      </c>
      <c r="AK5106" s="3" t="s">
        <v>27</v>
      </c>
      <c r="AL5106" s="3">
        <v>0</v>
      </c>
    </row>
    <row r="5107" spans="34:38">
      <c r="AH5107" t="s">
        <v>2134</v>
      </c>
      <c r="AI5107" t="s">
        <v>65</v>
      </c>
      <c r="AJ5107" t="s">
        <v>2303</v>
      </c>
      <c r="AK5107" s="3" t="s">
        <v>27</v>
      </c>
      <c r="AL5107" s="3">
        <v>-1973.0064933040001</v>
      </c>
    </row>
    <row r="5108" spans="34:38">
      <c r="AH5108" t="s">
        <v>2134</v>
      </c>
      <c r="AI5108" t="s">
        <v>67</v>
      </c>
      <c r="AJ5108" t="s">
        <v>2303</v>
      </c>
      <c r="AK5108" s="3" t="s">
        <v>27</v>
      </c>
      <c r="AL5108" s="3">
        <v>86.833179999999999</v>
      </c>
    </row>
    <row r="5109" spans="34:38">
      <c r="AH5109" t="s">
        <v>2134</v>
      </c>
      <c r="AI5109" t="s">
        <v>65</v>
      </c>
      <c r="AJ5109" t="s">
        <v>113</v>
      </c>
      <c r="AK5109" s="3" t="s">
        <v>20</v>
      </c>
      <c r="AL5109" s="3">
        <v>237.04419090170001</v>
      </c>
    </row>
    <row r="5110" spans="34:38">
      <c r="AH5110" t="s">
        <v>2135</v>
      </c>
      <c r="AI5110" t="s">
        <v>65</v>
      </c>
      <c r="AJ5110" t="s">
        <v>66</v>
      </c>
      <c r="AK5110" s="3" t="s">
        <v>27</v>
      </c>
      <c r="AL5110" s="3">
        <v>15459.3</v>
      </c>
    </row>
    <row r="5111" spans="34:38">
      <c r="AH5111" t="s">
        <v>2135</v>
      </c>
      <c r="AI5111" t="s">
        <v>65</v>
      </c>
      <c r="AJ5111" t="s">
        <v>72</v>
      </c>
      <c r="AK5111" s="3" t="s">
        <v>27</v>
      </c>
      <c r="AL5111" s="3">
        <v>15029.116781000001</v>
      </c>
    </row>
    <row r="5112" spans="34:38">
      <c r="AH5112" t="s">
        <v>2135</v>
      </c>
      <c r="AI5112" t="s">
        <v>65</v>
      </c>
      <c r="AJ5112" t="s">
        <v>108</v>
      </c>
      <c r="AK5112" s="3" t="s">
        <v>27</v>
      </c>
      <c r="AL5112" s="3">
        <v>-430.18321900000001</v>
      </c>
    </row>
    <row r="5113" spans="34:38">
      <c r="AH5113" t="s">
        <v>2135</v>
      </c>
      <c r="AI5113" t="s">
        <v>67</v>
      </c>
      <c r="AJ5113" t="s">
        <v>66</v>
      </c>
      <c r="AK5113" s="3" t="s">
        <v>27</v>
      </c>
      <c r="AL5113" s="3">
        <v>-1434</v>
      </c>
    </row>
    <row r="5114" spans="34:38">
      <c r="AH5114" t="s">
        <v>2135</v>
      </c>
      <c r="AI5114" t="s">
        <v>67</v>
      </c>
      <c r="AJ5114" t="s">
        <v>72</v>
      </c>
      <c r="AK5114" s="3" t="s">
        <v>27</v>
      </c>
      <c r="AL5114" s="3">
        <v>-1318.28044</v>
      </c>
    </row>
    <row r="5115" spans="34:38">
      <c r="AH5115" t="s">
        <v>2135</v>
      </c>
      <c r="AI5115" t="s">
        <v>67</v>
      </c>
      <c r="AJ5115" t="s">
        <v>108</v>
      </c>
      <c r="AK5115" s="3" t="s">
        <v>27</v>
      </c>
      <c r="AL5115" s="3">
        <v>115.71956</v>
      </c>
    </row>
    <row r="5116" spans="34:38">
      <c r="AH5116" t="s">
        <v>2135</v>
      </c>
      <c r="AI5116" t="s">
        <v>68</v>
      </c>
      <c r="AJ5116" t="s">
        <v>66</v>
      </c>
      <c r="AK5116" s="3" t="s">
        <v>27</v>
      </c>
      <c r="AL5116" s="3">
        <v>-4013.3</v>
      </c>
    </row>
    <row r="5117" spans="34:38">
      <c r="AH5117" t="s">
        <v>2135</v>
      </c>
      <c r="AI5117" t="s">
        <v>68</v>
      </c>
      <c r="AJ5117" t="s">
        <v>72</v>
      </c>
      <c r="AK5117" s="3" t="s">
        <v>27</v>
      </c>
      <c r="AL5117" s="3">
        <v>-3963.5353209999998</v>
      </c>
    </row>
    <row r="5118" spans="34:38">
      <c r="AH5118" t="s">
        <v>2135</v>
      </c>
      <c r="AI5118" t="s">
        <v>68</v>
      </c>
      <c r="AJ5118" t="s">
        <v>108</v>
      </c>
      <c r="AK5118" s="3" t="s">
        <v>27</v>
      </c>
      <c r="AL5118" s="3">
        <v>49.764679000000001</v>
      </c>
    </row>
    <row r="5119" spans="34:38">
      <c r="AH5119" t="s">
        <v>2135</v>
      </c>
      <c r="AI5119" t="s">
        <v>65</v>
      </c>
      <c r="AJ5119" t="s">
        <v>113</v>
      </c>
      <c r="AK5119" s="3" t="s">
        <v>27</v>
      </c>
      <c r="AL5119" s="3">
        <v>1431.905317382</v>
      </c>
    </row>
    <row r="5120" spans="34:38">
      <c r="AH5120" t="s">
        <v>2135</v>
      </c>
      <c r="AI5120" t="s">
        <v>67</v>
      </c>
      <c r="AJ5120" t="s">
        <v>113</v>
      </c>
      <c r="AK5120" s="3" t="s">
        <v>27</v>
      </c>
      <c r="AL5120" s="3">
        <v>0</v>
      </c>
    </row>
    <row r="5121" spans="34:38">
      <c r="AH5121" t="s">
        <v>2135</v>
      </c>
      <c r="AI5121" t="s">
        <v>65</v>
      </c>
      <c r="AJ5121" t="s">
        <v>2303</v>
      </c>
      <c r="AK5121" s="3" t="s">
        <v>27</v>
      </c>
      <c r="AL5121" s="3">
        <v>-1967.941190216</v>
      </c>
    </row>
    <row r="5122" spans="34:38">
      <c r="AH5122" t="s">
        <v>2135</v>
      </c>
      <c r="AI5122" t="s">
        <v>67</v>
      </c>
      <c r="AJ5122" t="s">
        <v>2303</v>
      </c>
      <c r="AK5122" s="3" t="s">
        <v>27</v>
      </c>
      <c r="AL5122" s="3">
        <v>115.71956</v>
      </c>
    </row>
    <row r="5123" spans="34:38">
      <c r="AH5123" t="s">
        <v>2135</v>
      </c>
      <c r="AI5123" t="s">
        <v>65</v>
      </c>
      <c r="AJ5123" t="s">
        <v>113</v>
      </c>
      <c r="AK5123" s="3" t="s">
        <v>20</v>
      </c>
      <c r="AL5123" s="3">
        <v>234.02932718619999</v>
      </c>
    </row>
    <row r="5124" spans="34:38">
      <c r="AH5124" t="s">
        <v>2136</v>
      </c>
      <c r="AI5124" t="s">
        <v>65</v>
      </c>
      <c r="AJ5124" t="s">
        <v>66</v>
      </c>
      <c r="AK5124" s="3" t="s">
        <v>27</v>
      </c>
      <c r="AL5124" s="3">
        <v>15759.3</v>
      </c>
    </row>
    <row r="5125" spans="34:38">
      <c r="AH5125" t="s">
        <v>2136</v>
      </c>
      <c r="AI5125" t="s">
        <v>65</v>
      </c>
      <c r="AJ5125" t="s">
        <v>72</v>
      </c>
      <c r="AK5125" s="3" t="s">
        <v>27</v>
      </c>
      <c r="AL5125" s="3">
        <v>15323.339754000001</v>
      </c>
    </row>
    <row r="5126" spans="34:38">
      <c r="AH5126" t="s">
        <v>2136</v>
      </c>
      <c r="AI5126" t="s">
        <v>65</v>
      </c>
      <c r="AJ5126" t="s">
        <v>108</v>
      </c>
      <c r="AK5126" s="3" t="s">
        <v>27</v>
      </c>
      <c r="AL5126" s="3">
        <v>-435.96024599999998</v>
      </c>
    </row>
    <row r="5127" spans="34:38">
      <c r="AH5127" t="s">
        <v>2136</v>
      </c>
      <c r="AI5127" t="s">
        <v>67</v>
      </c>
      <c r="AJ5127" t="s">
        <v>66</v>
      </c>
      <c r="AK5127" s="3" t="s">
        <v>27</v>
      </c>
      <c r="AL5127" s="3">
        <v>-1934</v>
      </c>
    </row>
    <row r="5128" spans="34:38">
      <c r="AH5128" t="s">
        <v>2136</v>
      </c>
      <c r="AI5128" t="s">
        <v>67</v>
      </c>
      <c r="AJ5128" t="s">
        <v>72</v>
      </c>
      <c r="AK5128" s="3" t="s">
        <v>27</v>
      </c>
      <c r="AL5128" s="3">
        <v>-1811.65066</v>
      </c>
    </row>
    <row r="5129" spans="34:38">
      <c r="AH5129" t="s">
        <v>2136</v>
      </c>
      <c r="AI5129" t="s">
        <v>67</v>
      </c>
      <c r="AJ5129" t="s">
        <v>108</v>
      </c>
      <c r="AK5129" s="3" t="s">
        <v>27</v>
      </c>
      <c r="AL5129" s="3">
        <v>122.34934</v>
      </c>
    </row>
    <row r="5130" spans="34:38">
      <c r="AH5130" t="s">
        <v>2136</v>
      </c>
      <c r="AI5130" t="s">
        <v>68</v>
      </c>
      <c r="AJ5130" t="s">
        <v>66</v>
      </c>
      <c r="AK5130" s="3" t="s">
        <v>27</v>
      </c>
      <c r="AL5130" s="3">
        <v>-3813.3</v>
      </c>
    </row>
    <row r="5131" spans="34:38">
      <c r="AH5131" t="s">
        <v>2136</v>
      </c>
      <c r="AI5131" t="s">
        <v>68</v>
      </c>
      <c r="AJ5131" t="s">
        <v>72</v>
      </c>
      <c r="AK5131" s="3" t="s">
        <v>27</v>
      </c>
      <c r="AL5131" s="3">
        <v>-3763.914354</v>
      </c>
    </row>
    <row r="5132" spans="34:38">
      <c r="AH5132" t="s">
        <v>2136</v>
      </c>
      <c r="AI5132" t="s">
        <v>68</v>
      </c>
      <c r="AJ5132" t="s">
        <v>108</v>
      </c>
      <c r="AK5132" s="3" t="s">
        <v>27</v>
      </c>
      <c r="AL5132" s="3">
        <v>49.385646000000001</v>
      </c>
    </row>
    <row r="5133" spans="34:38">
      <c r="AH5133" t="s">
        <v>2136</v>
      </c>
      <c r="AI5133" t="s">
        <v>65</v>
      </c>
      <c r="AJ5133" t="s">
        <v>113</v>
      </c>
      <c r="AK5133" s="3" t="s">
        <v>27</v>
      </c>
      <c r="AL5133" s="3">
        <v>1437.116618859</v>
      </c>
    </row>
    <row r="5134" spans="34:38">
      <c r="AH5134" t="s">
        <v>2136</v>
      </c>
      <c r="AI5134" t="s">
        <v>67</v>
      </c>
      <c r="AJ5134" t="s">
        <v>113</v>
      </c>
      <c r="AK5134" s="3" t="s">
        <v>27</v>
      </c>
      <c r="AL5134" s="3">
        <v>0</v>
      </c>
    </row>
    <row r="5135" spans="34:38">
      <c r="AH5135" t="s">
        <v>2136</v>
      </c>
      <c r="AI5135" t="s">
        <v>65</v>
      </c>
      <c r="AJ5135" t="s">
        <v>2303</v>
      </c>
      <c r="AK5135" s="3" t="s">
        <v>27</v>
      </c>
      <c r="AL5135" s="3">
        <v>-1977.8072599740001</v>
      </c>
    </row>
    <row r="5136" spans="34:38">
      <c r="AH5136" t="s">
        <v>2136</v>
      </c>
      <c r="AI5136" t="s">
        <v>67</v>
      </c>
      <c r="AJ5136" t="s">
        <v>2303</v>
      </c>
      <c r="AK5136" s="3" t="s">
        <v>27</v>
      </c>
      <c r="AL5136" s="3">
        <v>122.34934</v>
      </c>
    </row>
    <row r="5137" spans="34:38">
      <c r="AH5137" t="s">
        <v>2136</v>
      </c>
      <c r="AI5137" t="s">
        <v>65</v>
      </c>
      <c r="AJ5137" t="s">
        <v>113</v>
      </c>
      <c r="AK5137" s="3" t="s">
        <v>20</v>
      </c>
      <c r="AL5137" s="3">
        <v>237.67532676850001</v>
      </c>
    </row>
    <row r="5138" spans="34:38">
      <c r="AH5138" t="s">
        <v>2137</v>
      </c>
      <c r="AI5138" t="s">
        <v>65</v>
      </c>
      <c r="AJ5138" t="s">
        <v>66</v>
      </c>
      <c r="AK5138" s="3" t="s">
        <v>27</v>
      </c>
      <c r="AL5138" s="3">
        <v>15509.3</v>
      </c>
    </row>
    <row r="5139" spans="34:38">
      <c r="AH5139" t="s">
        <v>2137</v>
      </c>
      <c r="AI5139" t="s">
        <v>65</v>
      </c>
      <c r="AJ5139" t="s">
        <v>72</v>
      </c>
      <c r="AK5139" s="3" t="s">
        <v>27</v>
      </c>
      <c r="AL5139" s="3">
        <v>15078.636234</v>
      </c>
    </row>
    <row r="5140" spans="34:38">
      <c r="AH5140" t="s">
        <v>2137</v>
      </c>
      <c r="AI5140" t="s">
        <v>65</v>
      </c>
      <c r="AJ5140" t="s">
        <v>108</v>
      </c>
      <c r="AK5140" s="3" t="s">
        <v>27</v>
      </c>
      <c r="AL5140" s="3">
        <v>-430.66376600000001</v>
      </c>
    </row>
    <row r="5141" spans="34:38">
      <c r="AH5141" t="s">
        <v>2137</v>
      </c>
      <c r="AI5141" t="s">
        <v>67</v>
      </c>
      <c r="AJ5141" t="s">
        <v>66</v>
      </c>
      <c r="AK5141" s="3" t="s">
        <v>27</v>
      </c>
      <c r="AL5141" s="3">
        <v>-1334</v>
      </c>
    </row>
    <row r="5142" spans="34:38">
      <c r="AH5142" t="s">
        <v>2137</v>
      </c>
      <c r="AI5142" t="s">
        <v>67</v>
      </c>
      <c r="AJ5142" t="s">
        <v>72</v>
      </c>
      <c r="AK5142" s="3" t="s">
        <v>27</v>
      </c>
      <c r="AL5142" s="3">
        <v>-1228.30108</v>
      </c>
    </row>
    <row r="5143" spans="34:38">
      <c r="AH5143" t="s">
        <v>2137</v>
      </c>
      <c r="AI5143" t="s">
        <v>67</v>
      </c>
      <c r="AJ5143" t="s">
        <v>108</v>
      </c>
      <c r="AK5143" s="3" t="s">
        <v>27</v>
      </c>
      <c r="AL5143" s="3">
        <v>105.69892</v>
      </c>
    </row>
    <row r="5144" spans="34:38">
      <c r="AH5144" t="s">
        <v>2137</v>
      </c>
      <c r="AI5144" t="s">
        <v>68</v>
      </c>
      <c r="AJ5144" t="s">
        <v>66</v>
      </c>
      <c r="AK5144" s="3" t="s">
        <v>27</v>
      </c>
      <c r="AL5144" s="3">
        <v>-4113.3</v>
      </c>
    </row>
    <row r="5145" spans="34:38">
      <c r="AH5145" t="s">
        <v>2137</v>
      </c>
      <c r="AI5145" t="s">
        <v>68</v>
      </c>
      <c r="AJ5145" t="s">
        <v>72</v>
      </c>
      <c r="AK5145" s="3" t="s">
        <v>27</v>
      </c>
      <c r="AL5145" s="3">
        <v>-4056.4261540000002</v>
      </c>
    </row>
    <row r="5146" spans="34:38">
      <c r="AH5146" t="s">
        <v>2137</v>
      </c>
      <c r="AI5146" t="s">
        <v>68</v>
      </c>
      <c r="AJ5146" t="s">
        <v>108</v>
      </c>
      <c r="AK5146" s="3" t="s">
        <v>27</v>
      </c>
      <c r="AL5146" s="3">
        <v>56.873846</v>
      </c>
    </row>
    <row r="5147" spans="34:38">
      <c r="AH5147" t="s">
        <v>2137</v>
      </c>
      <c r="AI5147" t="s">
        <v>65</v>
      </c>
      <c r="AJ5147" t="s">
        <v>113</v>
      </c>
      <c r="AK5147" s="3" t="s">
        <v>27</v>
      </c>
      <c r="AL5147" s="3">
        <v>1437.4018980880001</v>
      </c>
    </row>
    <row r="5148" spans="34:38">
      <c r="AH5148" t="s">
        <v>2137</v>
      </c>
      <c r="AI5148" t="s">
        <v>67</v>
      </c>
      <c r="AJ5148" t="s">
        <v>113</v>
      </c>
      <c r="AK5148" s="3" t="s">
        <v>27</v>
      </c>
      <c r="AL5148" s="3">
        <v>0</v>
      </c>
    </row>
    <row r="5149" spans="34:38">
      <c r="AH5149" t="s">
        <v>2137</v>
      </c>
      <c r="AI5149" t="s">
        <v>65</v>
      </c>
      <c r="AJ5149" t="s">
        <v>2303</v>
      </c>
      <c r="AK5149" s="3" t="s">
        <v>27</v>
      </c>
      <c r="AL5149" s="3">
        <v>-1980.2748088850001</v>
      </c>
    </row>
    <row r="5150" spans="34:38">
      <c r="AH5150" t="s">
        <v>2137</v>
      </c>
      <c r="AI5150" t="s">
        <v>67</v>
      </c>
      <c r="AJ5150" t="s">
        <v>2303</v>
      </c>
      <c r="AK5150" s="3" t="s">
        <v>27</v>
      </c>
      <c r="AL5150" s="3">
        <v>105.69892</v>
      </c>
    </row>
    <row r="5151" spans="34:38">
      <c r="AH5151" t="s">
        <v>2137</v>
      </c>
      <c r="AI5151" t="s">
        <v>65</v>
      </c>
      <c r="AJ5151" t="s">
        <v>113</v>
      </c>
      <c r="AK5151" s="3" t="s">
        <v>20</v>
      </c>
      <c r="AL5151" s="3">
        <v>237.4388386903</v>
      </c>
    </row>
    <row r="5152" spans="34:38">
      <c r="AH5152" t="s">
        <v>2138</v>
      </c>
      <c r="AI5152" t="s">
        <v>65</v>
      </c>
      <c r="AJ5152" t="s">
        <v>66</v>
      </c>
      <c r="AK5152" s="3" t="s">
        <v>27</v>
      </c>
      <c r="AL5152" s="3">
        <v>15759.3</v>
      </c>
    </row>
    <row r="5153" spans="34:38">
      <c r="AH5153" t="s">
        <v>2138</v>
      </c>
      <c r="AI5153" t="s">
        <v>65</v>
      </c>
      <c r="AJ5153" t="s">
        <v>72</v>
      </c>
      <c r="AK5153" s="3" t="s">
        <v>27</v>
      </c>
      <c r="AL5153" s="3">
        <v>15317.035857999999</v>
      </c>
    </row>
    <row r="5154" spans="34:38">
      <c r="AH5154" t="s">
        <v>2138</v>
      </c>
      <c r="AI5154" t="s">
        <v>65</v>
      </c>
      <c r="AJ5154" t="s">
        <v>108</v>
      </c>
      <c r="AK5154" s="3" t="s">
        <v>27</v>
      </c>
      <c r="AL5154" s="3">
        <v>-442.26414199999999</v>
      </c>
    </row>
    <row r="5155" spans="34:38">
      <c r="AH5155" t="s">
        <v>2138</v>
      </c>
      <c r="AI5155" t="s">
        <v>67</v>
      </c>
      <c r="AJ5155" t="s">
        <v>66</v>
      </c>
      <c r="AK5155" s="3" t="s">
        <v>27</v>
      </c>
      <c r="AL5155" s="3">
        <v>-1834</v>
      </c>
    </row>
    <row r="5156" spans="34:38">
      <c r="AH5156" t="s">
        <v>2138</v>
      </c>
      <c r="AI5156" t="s">
        <v>67</v>
      </c>
      <c r="AJ5156" t="s">
        <v>72</v>
      </c>
      <c r="AK5156" s="3" t="s">
        <v>27</v>
      </c>
      <c r="AL5156" s="3">
        <v>-1699.49208</v>
      </c>
    </row>
    <row r="5157" spans="34:38">
      <c r="AH5157" t="s">
        <v>2138</v>
      </c>
      <c r="AI5157" t="s">
        <v>67</v>
      </c>
      <c r="AJ5157" t="s">
        <v>108</v>
      </c>
      <c r="AK5157" s="3" t="s">
        <v>27</v>
      </c>
      <c r="AL5157" s="3">
        <v>134.50792000000001</v>
      </c>
    </row>
    <row r="5158" spans="34:38">
      <c r="AH5158" t="s">
        <v>2138</v>
      </c>
      <c r="AI5158" t="s">
        <v>68</v>
      </c>
      <c r="AJ5158" t="s">
        <v>66</v>
      </c>
      <c r="AK5158" s="3" t="s">
        <v>27</v>
      </c>
      <c r="AL5158" s="3">
        <v>-3863.3</v>
      </c>
    </row>
    <row r="5159" spans="34:38">
      <c r="AH5159" t="s">
        <v>2138</v>
      </c>
      <c r="AI5159" t="s">
        <v>68</v>
      </c>
      <c r="AJ5159" t="s">
        <v>72</v>
      </c>
      <c r="AK5159" s="3" t="s">
        <v>27</v>
      </c>
      <c r="AL5159" s="3">
        <v>-3824.3638179999998</v>
      </c>
    </row>
    <row r="5160" spans="34:38">
      <c r="AH5160" t="s">
        <v>2138</v>
      </c>
      <c r="AI5160" t="s">
        <v>68</v>
      </c>
      <c r="AJ5160" t="s">
        <v>108</v>
      </c>
      <c r="AK5160" s="3" t="s">
        <v>27</v>
      </c>
      <c r="AL5160" s="3">
        <v>38.936182000000002</v>
      </c>
    </row>
    <row r="5161" spans="34:38">
      <c r="AH5161" t="s">
        <v>2138</v>
      </c>
      <c r="AI5161" t="s">
        <v>65</v>
      </c>
      <c r="AJ5161" t="s">
        <v>113</v>
      </c>
      <c r="AK5161" s="3" t="s">
        <v>27</v>
      </c>
      <c r="AL5161" s="3">
        <v>1438.3597343070001</v>
      </c>
    </row>
    <row r="5162" spans="34:38">
      <c r="AH5162" t="s">
        <v>2138</v>
      </c>
      <c r="AI5162" t="s">
        <v>67</v>
      </c>
      <c r="AJ5162" t="s">
        <v>113</v>
      </c>
      <c r="AK5162" s="3" t="s">
        <v>27</v>
      </c>
      <c r="AL5162" s="3">
        <v>0</v>
      </c>
    </row>
    <row r="5163" spans="34:38">
      <c r="AH5163" t="s">
        <v>2138</v>
      </c>
      <c r="AI5163" t="s">
        <v>65</v>
      </c>
      <c r="AJ5163" t="s">
        <v>2303</v>
      </c>
      <c r="AK5163" s="3" t="s">
        <v>27</v>
      </c>
      <c r="AL5163" s="3">
        <v>-1988.8477437700001</v>
      </c>
    </row>
    <row r="5164" spans="34:38">
      <c r="AH5164" t="s">
        <v>2138</v>
      </c>
      <c r="AI5164" t="s">
        <v>67</v>
      </c>
      <c r="AJ5164" t="s">
        <v>2303</v>
      </c>
      <c r="AK5164" s="3" t="s">
        <v>27</v>
      </c>
      <c r="AL5164" s="3">
        <v>134.50792000000001</v>
      </c>
    </row>
    <row r="5165" spans="34:38">
      <c r="AH5165" t="s">
        <v>2138</v>
      </c>
      <c r="AI5165" t="s">
        <v>65</v>
      </c>
      <c r="AJ5165" t="s">
        <v>113</v>
      </c>
      <c r="AK5165" s="3" t="s">
        <v>20</v>
      </c>
      <c r="AL5165" s="3">
        <v>237.87490760649999</v>
      </c>
    </row>
    <row r="5166" spans="34:38">
      <c r="AH5166" t="s">
        <v>2139</v>
      </c>
      <c r="AI5166" t="s">
        <v>65</v>
      </c>
      <c r="AJ5166" t="s">
        <v>66</v>
      </c>
      <c r="AK5166" s="3" t="s">
        <v>27</v>
      </c>
      <c r="AL5166" s="3">
        <v>15759.3</v>
      </c>
    </row>
    <row r="5167" spans="34:38">
      <c r="AH5167" t="s">
        <v>2139</v>
      </c>
      <c r="AI5167" t="s">
        <v>65</v>
      </c>
      <c r="AJ5167" t="s">
        <v>72</v>
      </c>
      <c r="AK5167" s="3" t="s">
        <v>27</v>
      </c>
      <c r="AL5167" s="3">
        <v>15313.658218</v>
      </c>
    </row>
    <row r="5168" spans="34:38">
      <c r="AH5168" t="s">
        <v>2139</v>
      </c>
      <c r="AI5168" t="s">
        <v>65</v>
      </c>
      <c r="AJ5168" t="s">
        <v>108</v>
      </c>
      <c r="AK5168" s="3" t="s">
        <v>27</v>
      </c>
      <c r="AL5168" s="3">
        <v>-445.64178199999998</v>
      </c>
    </row>
    <row r="5169" spans="34:38">
      <c r="AH5169" t="s">
        <v>2139</v>
      </c>
      <c r="AI5169" t="s">
        <v>67</v>
      </c>
      <c r="AJ5169" t="s">
        <v>66</v>
      </c>
      <c r="AK5169" s="3" t="s">
        <v>27</v>
      </c>
      <c r="AL5169" s="3">
        <v>-1584</v>
      </c>
    </row>
    <row r="5170" spans="34:38">
      <c r="AH5170" t="s">
        <v>2139</v>
      </c>
      <c r="AI5170" t="s">
        <v>67</v>
      </c>
      <c r="AJ5170" t="s">
        <v>72</v>
      </c>
      <c r="AK5170" s="3" t="s">
        <v>27</v>
      </c>
      <c r="AL5170" s="3">
        <v>-1464.39834</v>
      </c>
    </row>
    <row r="5171" spans="34:38">
      <c r="AH5171" t="s">
        <v>2139</v>
      </c>
      <c r="AI5171" t="s">
        <v>67</v>
      </c>
      <c r="AJ5171" t="s">
        <v>108</v>
      </c>
      <c r="AK5171" s="3" t="s">
        <v>27</v>
      </c>
      <c r="AL5171" s="3">
        <v>119.60166</v>
      </c>
    </row>
    <row r="5172" spans="34:38">
      <c r="AH5172" t="s">
        <v>2139</v>
      </c>
      <c r="AI5172" t="s">
        <v>68</v>
      </c>
      <c r="AJ5172" t="s">
        <v>66</v>
      </c>
      <c r="AK5172" s="3" t="s">
        <v>27</v>
      </c>
      <c r="AL5172" s="3">
        <v>-4113.3</v>
      </c>
    </row>
    <row r="5173" spans="34:38">
      <c r="AH5173" t="s">
        <v>2139</v>
      </c>
      <c r="AI5173" t="s">
        <v>68</v>
      </c>
      <c r="AJ5173" t="s">
        <v>72</v>
      </c>
      <c r="AK5173" s="3" t="s">
        <v>27</v>
      </c>
      <c r="AL5173" s="3">
        <v>-4058.8508179999999</v>
      </c>
    </row>
    <row r="5174" spans="34:38">
      <c r="AH5174" t="s">
        <v>2139</v>
      </c>
      <c r="AI5174" t="s">
        <v>68</v>
      </c>
      <c r="AJ5174" t="s">
        <v>108</v>
      </c>
      <c r="AK5174" s="3" t="s">
        <v>27</v>
      </c>
      <c r="AL5174" s="3">
        <v>54.449182</v>
      </c>
    </row>
    <row r="5175" spans="34:38">
      <c r="AH5175" t="s">
        <v>2139</v>
      </c>
      <c r="AI5175" t="s">
        <v>65</v>
      </c>
      <c r="AJ5175" t="s">
        <v>113</v>
      </c>
      <c r="AK5175" s="3" t="s">
        <v>27</v>
      </c>
      <c r="AL5175" s="3">
        <v>1430.2093959270001</v>
      </c>
    </row>
    <row r="5176" spans="34:38">
      <c r="AH5176" t="s">
        <v>2139</v>
      </c>
      <c r="AI5176" t="s">
        <v>67</v>
      </c>
      <c r="AJ5176" t="s">
        <v>113</v>
      </c>
      <c r="AK5176" s="3" t="s">
        <v>27</v>
      </c>
      <c r="AL5176" s="3">
        <v>0</v>
      </c>
    </row>
    <row r="5177" spans="34:38">
      <c r="AH5177" t="s">
        <v>2139</v>
      </c>
      <c r="AI5177" t="s">
        <v>65</v>
      </c>
      <c r="AJ5177" t="s">
        <v>2303</v>
      </c>
      <c r="AK5177" s="3" t="s">
        <v>27</v>
      </c>
      <c r="AL5177" s="3">
        <v>-1985.505964924</v>
      </c>
    </row>
    <row r="5178" spans="34:38">
      <c r="AH5178" t="s">
        <v>2139</v>
      </c>
      <c r="AI5178" t="s">
        <v>67</v>
      </c>
      <c r="AJ5178" t="s">
        <v>2303</v>
      </c>
      <c r="AK5178" s="3" t="s">
        <v>27</v>
      </c>
      <c r="AL5178" s="3">
        <v>119.60166</v>
      </c>
    </row>
    <row r="5179" spans="34:38">
      <c r="AH5179" t="s">
        <v>2139</v>
      </c>
      <c r="AI5179" t="s">
        <v>65</v>
      </c>
      <c r="AJ5179" t="s">
        <v>113</v>
      </c>
      <c r="AK5179" s="3" t="s">
        <v>20</v>
      </c>
      <c r="AL5179" s="3">
        <v>227.1157327201</v>
      </c>
    </row>
    <row r="5180" spans="34:38">
      <c r="AH5180" t="s">
        <v>2140</v>
      </c>
      <c r="AI5180" t="s">
        <v>65</v>
      </c>
      <c r="AJ5180" t="s">
        <v>66</v>
      </c>
      <c r="AK5180" s="3" t="s">
        <v>27</v>
      </c>
      <c r="AL5180" s="3">
        <v>15019.3</v>
      </c>
    </row>
    <row r="5181" spans="34:38">
      <c r="AH5181" t="s">
        <v>2140</v>
      </c>
      <c r="AI5181" t="s">
        <v>65</v>
      </c>
      <c r="AJ5181" t="s">
        <v>72</v>
      </c>
      <c r="AK5181" s="3" t="s">
        <v>27</v>
      </c>
      <c r="AL5181" s="3">
        <v>14610.722293000001</v>
      </c>
    </row>
    <row r="5182" spans="34:38">
      <c r="AH5182" t="s">
        <v>2140</v>
      </c>
      <c r="AI5182" t="s">
        <v>65</v>
      </c>
      <c r="AJ5182" t="s">
        <v>108</v>
      </c>
      <c r="AK5182" s="3" t="s">
        <v>27</v>
      </c>
      <c r="AL5182" s="3">
        <v>-408.57770699999998</v>
      </c>
    </row>
    <row r="5183" spans="34:38">
      <c r="AH5183" t="s">
        <v>2140</v>
      </c>
      <c r="AI5183" t="s">
        <v>67</v>
      </c>
      <c r="AJ5183" t="s">
        <v>66</v>
      </c>
      <c r="AK5183" s="3" t="s">
        <v>27</v>
      </c>
      <c r="AL5183" s="3">
        <v>-844</v>
      </c>
    </row>
    <row r="5184" spans="34:38">
      <c r="AH5184" t="s">
        <v>2140</v>
      </c>
      <c r="AI5184" t="s">
        <v>67</v>
      </c>
      <c r="AJ5184" t="s">
        <v>72</v>
      </c>
      <c r="AK5184" s="3" t="s">
        <v>27</v>
      </c>
      <c r="AL5184" s="3">
        <v>-755.58722</v>
      </c>
    </row>
    <row r="5185" spans="34:38">
      <c r="AH5185" t="s">
        <v>2140</v>
      </c>
      <c r="AI5185" t="s">
        <v>67</v>
      </c>
      <c r="AJ5185" t="s">
        <v>108</v>
      </c>
      <c r="AK5185" s="3" t="s">
        <v>27</v>
      </c>
      <c r="AL5185" s="3">
        <v>88.412779999999998</v>
      </c>
    </row>
    <row r="5186" spans="34:38">
      <c r="AH5186" t="s">
        <v>2140</v>
      </c>
      <c r="AI5186" t="s">
        <v>68</v>
      </c>
      <c r="AJ5186" t="s">
        <v>66</v>
      </c>
      <c r="AK5186" s="3" t="s">
        <v>27</v>
      </c>
      <c r="AL5186" s="3">
        <v>-4513.3</v>
      </c>
    </row>
    <row r="5187" spans="34:38">
      <c r="AH5187" t="s">
        <v>2140</v>
      </c>
      <c r="AI5187" t="s">
        <v>68</v>
      </c>
      <c r="AJ5187" t="s">
        <v>72</v>
      </c>
      <c r="AK5187" s="3" t="s">
        <v>27</v>
      </c>
      <c r="AL5187" s="3">
        <v>-4470.6573529999996</v>
      </c>
    </row>
    <row r="5188" spans="34:38">
      <c r="AH5188" t="s">
        <v>2140</v>
      </c>
      <c r="AI5188" t="s">
        <v>68</v>
      </c>
      <c r="AJ5188" t="s">
        <v>108</v>
      </c>
      <c r="AK5188" s="3" t="s">
        <v>27</v>
      </c>
      <c r="AL5188" s="3">
        <v>42.642646999999997</v>
      </c>
    </row>
    <row r="5189" spans="34:38">
      <c r="AH5189" t="s">
        <v>2140</v>
      </c>
      <c r="AI5189" t="s">
        <v>65</v>
      </c>
      <c r="AJ5189" t="s">
        <v>113</v>
      </c>
      <c r="AK5189" s="3" t="s">
        <v>27</v>
      </c>
      <c r="AL5189" s="3">
        <v>1420.7433664319999</v>
      </c>
    </row>
    <row r="5190" spans="34:38">
      <c r="AH5190" t="s">
        <v>2140</v>
      </c>
      <c r="AI5190" t="s">
        <v>67</v>
      </c>
      <c r="AJ5190" t="s">
        <v>113</v>
      </c>
      <c r="AK5190" s="3" t="s">
        <v>27</v>
      </c>
      <c r="AL5190" s="3">
        <v>0</v>
      </c>
    </row>
    <row r="5191" spans="34:38">
      <c r="AH5191" t="s">
        <v>2140</v>
      </c>
      <c r="AI5191" t="s">
        <v>65</v>
      </c>
      <c r="AJ5191" t="s">
        <v>2303</v>
      </c>
      <c r="AK5191" s="3" t="s">
        <v>27</v>
      </c>
      <c r="AL5191" s="3">
        <v>-1938.5992751880001</v>
      </c>
    </row>
    <row r="5192" spans="34:38">
      <c r="AH5192" t="s">
        <v>2140</v>
      </c>
      <c r="AI5192" t="s">
        <v>67</v>
      </c>
      <c r="AJ5192" t="s">
        <v>2303</v>
      </c>
      <c r="AK5192" s="3" t="s">
        <v>27</v>
      </c>
      <c r="AL5192" s="3">
        <v>88.412779999999998</v>
      </c>
    </row>
    <row r="5193" spans="34:38">
      <c r="AH5193" t="s">
        <v>2140</v>
      </c>
      <c r="AI5193" t="s">
        <v>65</v>
      </c>
      <c r="AJ5193" t="s">
        <v>113</v>
      </c>
      <c r="AK5193" s="3" t="s">
        <v>20</v>
      </c>
      <c r="AL5193" s="3">
        <v>217.12793592380001</v>
      </c>
    </row>
    <row r="5194" spans="34:38">
      <c r="AH5194" t="s">
        <v>2141</v>
      </c>
      <c r="AI5194" t="s">
        <v>65</v>
      </c>
      <c r="AJ5194" t="s">
        <v>66</v>
      </c>
      <c r="AK5194" s="3" t="s">
        <v>27</v>
      </c>
      <c r="AL5194" s="3">
        <v>17429.3</v>
      </c>
    </row>
    <row r="5195" spans="34:38">
      <c r="AH5195" t="s">
        <v>2141</v>
      </c>
      <c r="AI5195" t="s">
        <v>65</v>
      </c>
      <c r="AJ5195" t="s">
        <v>72</v>
      </c>
      <c r="AK5195" s="3" t="s">
        <v>27</v>
      </c>
      <c r="AL5195" s="3">
        <v>17394.061043000002</v>
      </c>
    </row>
    <row r="5196" spans="34:38">
      <c r="AH5196" t="s">
        <v>2141</v>
      </c>
      <c r="AI5196" t="s">
        <v>65</v>
      </c>
      <c r="AJ5196" t="s">
        <v>108</v>
      </c>
      <c r="AK5196" s="3" t="s">
        <v>27</v>
      </c>
      <c r="AL5196" s="3">
        <v>-35.238956999999999</v>
      </c>
    </row>
    <row r="5197" spans="34:38">
      <c r="AH5197" t="s">
        <v>2141</v>
      </c>
      <c r="AI5197" t="s">
        <v>67</v>
      </c>
      <c r="AJ5197" t="s">
        <v>66</v>
      </c>
      <c r="AK5197" s="3" t="s">
        <v>27</v>
      </c>
      <c r="AL5197" s="3">
        <v>-3944</v>
      </c>
    </row>
    <row r="5198" spans="34:38">
      <c r="AH5198" t="s">
        <v>2141</v>
      </c>
      <c r="AI5198" t="s">
        <v>67</v>
      </c>
      <c r="AJ5198" t="s">
        <v>72</v>
      </c>
      <c r="AK5198" s="3" t="s">
        <v>27</v>
      </c>
      <c r="AL5198" s="3">
        <v>-4194.3872799999999</v>
      </c>
    </row>
    <row r="5199" spans="34:38">
      <c r="AH5199" t="s">
        <v>2141</v>
      </c>
      <c r="AI5199" t="s">
        <v>67</v>
      </c>
      <c r="AJ5199" t="s">
        <v>108</v>
      </c>
      <c r="AK5199" s="3" t="s">
        <v>27</v>
      </c>
      <c r="AL5199" s="3">
        <v>-250.38728</v>
      </c>
    </row>
    <row r="5200" spans="34:38">
      <c r="AH5200" t="s">
        <v>2141</v>
      </c>
      <c r="AI5200" t="s">
        <v>68</v>
      </c>
      <c r="AJ5200" t="s">
        <v>66</v>
      </c>
      <c r="AK5200" s="3" t="s">
        <v>27</v>
      </c>
      <c r="AL5200" s="3">
        <v>-3823.3</v>
      </c>
    </row>
    <row r="5201" spans="34:38">
      <c r="AH5201" t="s">
        <v>2141</v>
      </c>
      <c r="AI5201" t="s">
        <v>68</v>
      </c>
      <c r="AJ5201" t="s">
        <v>72</v>
      </c>
      <c r="AK5201" s="3" t="s">
        <v>27</v>
      </c>
      <c r="AL5201" s="3">
        <v>-3814.4789230000001</v>
      </c>
    </row>
    <row r="5202" spans="34:38">
      <c r="AH5202" t="s">
        <v>2141</v>
      </c>
      <c r="AI5202" t="s">
        <v>68</v>
      </c>
      <c r="AJ5202" t="s">
        <v>108</v>
      </c>
      <c r="AK5202" s="3" t="s">
        <v>27</v>
      </c>
      <c r="AL5202" s="3">
        <v>8.8210770000000007</v>
      </c>
    </row>
    <row r="5203" spans="34:38">
      <c r="AH5203" t="s">
        <v>2141</v>
      </c>
      <c r="AI5203" t="s">
        <v>65</v>
      </c>
      <c r="AJ5203" t="s">
        <v>113</v>
      </c>
      <c r="AK5203" s="3" t="s">
        <v>27</v>
      </c>
      <c r="AL5203" s="3">
        <v>1863.6051674729999</v>
      </c>
    </row>
    <row r="5204" spans="34:38">
      <c r="AH5204" t="s">
        <v>2141</v>
      </c>
      <c r="AI5204" t="s">
        <v>67</v>
      </c>
      <c r="AJ5204" t="s">
        <v>113</v>
      </c>
      <c r="AK5204" s="3" t="s">
        <v>27</v>
      </c>
      <c r="AL5204" s="3">
        <v>0</v>
      </c>
    </row>
    <row r="5205" spans="34:38">
      <c r="AH5205" t="s">
        <v>2141</v>
      </c>
      <c r="AI5205" t="s">
        <v>65</v>
      </c>
      <c r="AJ5205" t="s">
        <v>2303</v>
      </c>
      <c r="AK5205" s="3" t="s">
        <v>27</v>
      </c>
      <c r="AL5205" s="3">
        <v>-2006.922686934</v>
      </c>
    </row>
    <row r="5206" spans="34:38">
      <c r="AH5206" t="s">
        <v>2141</v>
      </c>
      <c r="AI5206" t="s">
        <v>67</v>
      </c>
      <c r="AJ5206" t="s">
        <v>2303</v>
      </c>
      <c r="AK5206" s="3" t="s">
        <v>27</v>
      </c>
      <c r="AL5206" s="3">
        <v>-250.38728</v>
      </c>
    </row>
    <row r="5207" spans="34:38">
      <c r="AH5207" t="s">
        <v>2141</v>
      </c>
      <c r="AI5207" t="s">
        <v>65</v>
      </c>
      <c r="AJ5207" t="s">
        <v>113</v>
      </c>
      <c r="AK5207" s="3" t="s">
        <v>20</v>
      </c>
      <c r="AL5207" s="3">
        <v>659.46796966320005</v>
      </c>
    </row>
    <row r="5208" spans="34:38">
      <c r="AH5208" t="s">
        <v>2142</v>
      </c>
      <c r="AI5208" t="s">
        <v>65</v>
      </c>
      <c r="AJ5208" t="s">
        <v>113</v>
      </c>
      <c r="AK5208" s="3" t="s">
        <v>20</v>
      </c>
      <c r="AL5208" s="3">
        <v>282.45291714849998</v>
      </c>
    </row>
    <row r="5209" spans="34:38">
      <c r="AH5209" t="s">
        <v>2142</v>
      </c>
      <c r="AI5209" t="s">
        <v>65</v>
      </c>
      <c r="AJ5209" t="s">
        <v>66</v>
      </c>
      <c r="AK5209" s="3" t="s">
        <v>27</v>
      </c>
      <c r="AL5209" s="3">
        <v>15699.3</v>
      </c>
    </row>
    <row r="5210" spans="34:38">
      <c r="AH5210" t="s">
        <v>2142</v>
      </c>
      <c r="AI5210" t="s">
        <v>65</v>
      </c>
      <c r="AJ5210" t="s">
        <v>72</v>
      </c>
      <c r="AK5210" s="3" t="s">
        <v>27</v>
      </c>
      <c r="AL5210" s="3">
        <v>15351.164554000001</v>
      </c>
    </row>
    <row r="5211" spans="34:38">
      <c r="AH5211" t="s">
        <v>2142</v>
      </c>
      <c r="AI5211" t="s">
        <v>65</v>
      </c>
      <c r="AJ5211" t="s">
        <v>108</v>
      </c>
      <c r="AK5211" s="3" t="s">
        <v>27</v>
      </c>
      <c r="AL5211" s="3">
        <v>-348.135446</v>
      </c>
    </row>
    <row r="5212" spans="34:38">
      <c r="AH5212" t="s">
        <v>2142</v>
      </c>
      <c r="AI5212" t="s">
        <v>67</v>
      </c>
      <c r="AJ5212" t="s">
        <v>66</v>
      </c>
      <c r="AK5212" s="3" t="s">
        <v>27</v>
      </c>
      <c r="AL5212" s="3">
        <v>-2424</v>
      </c>
    </row>
    <row r="5213" spans="34:38">
      <c r="AH5213" t="s">
        <v>2142</v>
      </c>
      <c r="AI5213" t="s">
        <v>67</v>
      </c>
      <c r="AJ5213" t="s">
        <v>72</v>
      </c>
      <c r="AK5213" s="3" t="s">
        <v>27</v>
      </c>
      <c r="AL5213" s="3">
        <v>-2316.6711</v>
      </c>
    </row>
    <row r="5214" spans="34:38">
      <c r="AH5214" t="s">
        <v>2142</v>
      </c>
      <c r="AI5214" t="s">
        <v>67</v>
      </c>
      <c r="AJ5214" t="s">
        <v>108</v>
      </c>
      <c r="AK5214" s="3" t="s">
        <v>27</v>
      </c>
      <c r="AL5214" s="3">
        <v>107.3289</v>
      </c>
    </row>
    <row r="5215" spans="34:38">
      <c r="AH5215" t="s">
        <v>2142</v>
      </c>
      <c r="AI5215" t="s">
        <v>68</v>
      </c>
      <c r="AJ5215" t="s">
        <v>66</v>
      </c>
      <c r="AK5215" s="3" t="s">
        <v>27</v>
      </c>
      <c r="AL5215" s="3">
        <v>-3613.3</v>
      </c>
    </row>
    <row r="5216" spans="34:38">
      <c r="AH5216" t="s">
        <v>2142</v>
      </c>
      <c r="AI5216" t="s">
        <v>68</v>
      </c>
      <c r="AJ5216" t="s">
        <v>72</v>
      </c>
      <c r="AK5216" s="3" t="s">
        <v>27</v>
      </c>
      <c r="AL5216" s="3">
        <v>-3646.1765140000002</v>
      </c>
    </row>
    <row r="5217" spans="34:38">
      <c r="AH5217" t="s">
        <v>2142</v>
      </c>
      <c r="AI5217" t="s">
        <v>68</v>
      </c>
      <c r="AJ5217" t="s">
        <v>108</v>
      </c>
      <c r="AK5217" s="3" t="s">
        <v>27</v>
      </c>
      <c r="AL5217" s="3">
        <v>-32.876514</v>
      </c>
    </row>
    <row r="5218" spans="34:38">
      <c r="AH5218" t="s">
        <v>2142</v>
      </c>
      <c r="AI5218" t="s">
        <v>65</v>
      </c>
      <c r="AJ5218" t="s">
        <v>113</v>
      </c>
      <c r="AK5218" s="3" t="s">
        <v>27</v>
      </c>
      <c r="AL5218" s="3">
        <v>1487.111882254</v>
      </c>
    </row>
    <row r="5219" spans="34:38">
      <c r="AH5219" t="s">
        <v>2142</v>
      </c>
      <c r="AI5219" t="s">
        <v>67</v>
      </c>
      <c r="AJ5219" t="s">
        <v>113</v>
      </c>
      <c r="AK5219" s="3" t="s">
        <v>27</v>
      </c>
      <c r="AL5219" s="3">
        <v>0</v>
      </c>
    </row>
    <row r="5220" spans="34:38">
      <c r="AH5220" t="s">
        <v>2142</v>
      </c>
      <c r="AI5220" t="s">
        <v>65</v>
      </c>
      <c r="AJ5220" t="s">
        <v>2303</v>
      </c>
      <c r="AK5220" s="3" t="s">
        <v>27</v>
      </c>
      <c r="AL5220" s="3">
        <v>-1933.7164737180001</v>
      </c>
    </row>
    <row r="5221" spans="34:38">
      <c r="AH5221" t="s">
        <v>2142</v>
      </c>
      <c r="AI5221" t="s">
        <v>67</v>
      </c>
      <c r="AJ5221" t="s">
        <v>2303</v>
      </c>
      <c r="AK5221" s="3" t="s">
        <v>27</v>
      </c>
      <c r="AL5221" s="3">
        <v>107.3289</v>
      </c>
    </row>
    <row r="5222" spans="34:38">
      <c r="AH5222" t="s">
        <v>2143</v>
      </c>
      <c r="AI5222" t="s">
        <v>65</v>
      </c>
      <c r="AJ5222" t="s">
        <v>66</v>
      </c>
      <c r="AK5222" s="3" t="s">
        <v>27</v>
      </c>
      <c r="AL5222" s="3">
        <v>19117.3</v>
      </c>
    </row>
    <row r="5223" spans="34:38">
      <c r="AH5223" t="s">
        <v>2143</v>
      </c>
      <c r="AI5223" t="s">
        <v>65</v>
      </c>
      <c r="AJ5223" t="s">
        <v>72</v>
      </c>
      <c r="AK5223" s="3" t="s">
        <v>27</v>
      </c>
      <c r="AL5223" s="3">
        <v>19526.832012999999</v>
      </c>
    </row>
    <row r="5224" spans="34:38">
      <c r="AH5224" t="s">
        <v>2143</v>
      </c>
      <c r="AI5224" t="s">
        <v>65</v>
      </c>
      <c r="AJ5224" t="s">
        <v>108</v>
      </c>
      <c r="AK5224" s="3" t="s">
        <v>27</v>
      </c>
      <c r="AL5224" s="3">
        <v>409.53201300000001</v>
      </c>
    </row>
    <row r="5225" spans="34:38">
      <c r="AH5225" t="s">
        <v>2143</v>
      </c>
      <c r="AI5225" t="s">
        <v>67</v>
      </c>
      <c r="AJ5225" t="s">
        <v>66</v>
      </c>
      <c r="AK5225" s="3" t="s">
        <v>27</v>
      </c>
      <c r="AL5225" s="3">
        <v>-7522</v>
      </c>
    </row>
    <row r="5226" spans="34:38">
      <c r="AH5226" t="s">
        <v>2143</v>
      </c>
      <c r="AI5226" t="s">
        <v>67</v>
      </c>
      <c r="AJ5226" t="s">
        <v>72</v>
      </c>
      <c r="AK5226" s="3" t="s">
        <v>27</v>
      </c>
      <c r="AL5226" s="3">
        <v>-8469.4849400000003</v>
      </c>
    </row>
    <row r="5227" spans="34:38">
      <c r="AH5227" t="s">
        <v>2143</v>
      </c>
      <c r="AI5227" t="s">
        <v>67</v>
      </c>
      <c r="AJ5227" t="s">
        <v>108</v>
      </c>
      <c r="AK5227" s="3" t="s">
        <v>27</v>
      </c>
      <c r="AL5227" s="3">
        <v>-947.48494000000005</v>
      </c>
    </row>
    <row r="5228" spans="34:38">
      <c r="AH5228" t="s">
        <v>2143</v>
      </c>
      <c r="AI5228" t="s">
        <v>68</v>
      </c>
      <c r="AJ5228" t="s">
        <v>66</v>
      </c>
      <c r="AK5228" s="3" t="s">
        <v>27</v>
      </c>
      <c r="AL5228" s="3">
        <v>-1683.3</v>
      </c>
    </row>
    <row r="5229" spans="34:38">
      <c r="AH5229" t="s">
        <v>2143</v>
      </c>
      <c r="AI5229" t="s">
        <v>68</v>
      </c>
      <c r="AJ5229" t="s">
        <v>72</v>
      </c>
      <c r="AK5229" s="3" t="s">
        <v>27</v>
      </c>
      <c r="AL5229" s="3">
        <v>-1422.8016729999999</v>
      </c>
    </row>
    <row r="5230" spans="34:38">
      <c r="AH5230" t="s">
        <v>2143</v>
      </c>
      <c r="AI5230" t="s">
        <v>68</v>
      </c>
      <c r="AJ5230" t="s">
        <v>108</v>
      </c>
      <c r="AK5230" s="3" t="s">
        <v>27</v>
      </c>
      <c r="AL5230" s="3">
        <v>260.49832700000002</v>
      </c>
    </row>
    <row r="5231" spans="34:38">
      <c r="AH5231" t="s">
        <v>2143</v>
      </c>
      <c r="AI5231" t="s">
        <v>65</v>
      </c>
      <c r="AJ5231" t="s">
        <v>113</v>
      </c>
      <c r="AK5231" s="3" t="s">
        <v>27</v>
      </c>
      <c r="AL5231" s="3">
        <v>2328.0900029909999</v>
      </c>
    </row>
    <row r="5232" spans="34:38">
      <c r="AH5232" t="s">
        <v>2143</v>
      </c>
      <c r="AI5232" t="s">
        <v>67</v>
      </c>
      <c r="AJ5232" t="s">
        <v>113</v>
      </c>
      <c r="AK5232" s="3" t="s">
        <v>27</v>
      </c>
      <c r="AL5232" s="3">
        <v>0</v>
      </c>
    </row>
    <row r="5233" spans="34:38">
      <c r="AH5233" t="s">
        <v>2143</v>
      </c>
      <c r="AI5233" t="s">
        <v>65</v>
      </c>
      <c r="AJ5233" t="s">
        <v>2303</v>
      </c>
      <c r="AK5233" s="3" t="s">
        <v>27</v>
      </c>
      <c r="AL5233" s="3">
        <v>-1998.105112704</v>
      </c>
    </row>
    <row r="5234" spans="34:38">
      <c r="AH5234" t="s">
        <v>2143</v>
      </c>
      <c r="AI5234" t="s">
        <v>67</v>
      </c>
      <c r="AJ5234" t="s">
        <v>2303</v>
      </c>
      <c r="AK5234" s="3" t="s">
        <v>27</v>
      </c>
      <c r="AL5234" s="3">
        <v>-947.48494000000005</v>
      </c>
    </row>
    <row r="5235" spans="34:38">
      <c r="AH5235" t="s">
        <v>2143</v>
      </c>
      <c r="AI5235" t="s">
        <v>65</v>
      </c>
      <c r="AJ5235" t="s">
        <v>113</v>
      </c>
      <c r="AK5235" s="3" t="s">
        <v>20</v>
      </c>
      <c r="AL5235" s="3">
        <v>1122.9092705805001</v>
      </c>
    </row>
    <row r="5236" spans="34:38">
      <c r="AH5236" t="s">
        <v>2144</v>
      </c>
      <c r="AI5236" t="s">
        <v>65</v>
      </c>
      <c r="AJ5236" t="s">
        <v>66</v>
      </c>
      <c r="AK5236" s="3" t="s">
        <v>27</v>
      </c>
      <c r="AL5236" s="3">
        <v>19591.3</v>
      </c>
    </row>
    <row r="5237" spans="34:38">
      <c r="AH5237" t="s">
        <v>2144</v>
      </c>
      <c r="AI5237" t="s">
        <v>65</v>
      </c>
      <c r="AJ5237" t="s">
        <v>72</v>
      </c>
      <c r="AK5237" s="3" t="s">
        <v>27</v>
      </c>
      <c r="AL5237" s="3">
        <v>20139.657964999999</v>
      </c>
    </row>
    <row r="5238" spans="34:38">
      <c r="AH5238" t="s">
        <v>2144</v>
      </c>
      <c r="AI5238" t="s">
        <v>65</v>
      </c>
      <c r="AJ5238" t="s">
        <v>108</v>
      </c>
      <c r="AK5238" s="3" t="s">
        <v>27</v>
      </c>
      <c r="AL5238" s="3">
        <v>548.35796500000004</v>
      </c>
    </row>
    <row r="5239" spans="34:38">
      <c r="AH5239" t="s">
        <v>2144</v>
      </c>
      <c r="AI5239" t="s">
        <v>67</v>
      </c>
      <c r="AJ5239" t="s">
        <v>66</v>
      </c>
      <c r="AK5239" s="3" t="s">
        <v>27</v>
      </c>
      <c r="AL5239" s="3">
        <v>-6190</v>
      </c>
    </row>
    <row r="5240" spans="34:38">
      <c r="AH5240" t="s">
        <v>2144</v>
      </c>
      <c r="AI5240" t="s">
        <v>67</v>
      </c>
      <c r="AJ5240" t="s">
        <v>72</v>
      </c>
      <c r="AK5240" s="3" t="s">
        <v>27</v>
      </c>
      <c r="AL5240" s="3">
        <v>-7069.0407800000003</v>
      </c>
    </row>
    <row r="5241" spans="34:38">
      <c r="AH5241" t="s">
        <v>2144</v>
      </c>
      <c r="AI5241" t="s">
        <v>67</v>
      </c>
      <c r="AJ5241" t="s">
        <v>108</v>
      </c>
      <c r="AK5241" s="3" t="s">
        <v>27</v>
      </c>
      <c r="AL5241" s="3">
        <v>-879.04078000000004</v>
      </c>
    </row>
    <row r="5242" spans="34:38">
      <c r="AH5242" t="s">
        <v>2144</v>
      </c>
      <c r="AI5242" t="s">
        <v>68</v>
      </c>
      <c r="AJ5242" t="s">
        <v>66</v>
      </c>
      <c r="AK5242" s="3" t="s">
        <v>27</v>
      </c>
      <c r="AL5242" s="3">
        <v>-3189.3</v>
      </c>
    </row>
    <row r="5243" spans="34:38">
      <c r="AH5243" t="s">
        <v>2144</v>
      </c>
      <c r="AI5243" t="s">
        <v>68</v>
      </c>
      <c r="AJ5243" t="s">
        <v>72</v>
      </c>
      <c r="AK5243" s="3" t="s">
        <v>27</v>
      </c>
      <c r="AL5243" s="3">
        <v>-3131.3895849999999</v>
      </c>
    </row>
    <row r="5244" spans="34:38">
      <c r="AH5244" t="s">
        <v>2144</v>
      </c>
      <c r="AI5244" t="s">
        <v>68</v>
      </c>
      <c r="AJ5244" t="s">
        <v>108</v>
      </c>
      <c r="AK5244" s="3" t="s">
        <v>27</v>
      </c>
      <c r="AL5244" s="3">
        <v>57.910415</v>
      </c>
    </row>
    <row r="5245" spans="34:38">
      <c r="AH5245" t="s">
        <v>2144</v>
      </c>
      <c r="AI5245" t="s">
        <v>65</v>
      </c>
      <c r="AJ5245" t="s">
        <v>113</v>
      </c>
      <c r="AK5245" s="3" t="s">
        <v>27</v>
      </c>
      <c r="AL5245" s="3">
        <v>2436.0674557980001</v>
      </c>
    </row>
    <row r="5246" spans="34:38">
      <c r="AH5246" t="s">
        <v>2144</v>
      </c>
      <c r="AI5246" t="s">
        <v>67</v>
      </c>
      <c r="AJ5246" t="s">
        <v>113</v>
      </c>
      <c r="AK5246" s="3" t="s">
        <v>27</v>
      </c>
      <c r="AL5246" s="3">
        <v>0</v>
      </c>
    </row>
    <row r="5247" spans="34:38">
      <c r="AH5247" t="s">
        <v>2144</v>
      </c>
      <c r="AI5247" t="s">
        <v>65</v>
      </c>
      <c r="AJ5247" t="s">
        <v>2303</v>
      </c>
      <c r="AK5247" s="3" t="s">
        <v>27</v>
      </c>
      <c r="AL5247" s="3">
        <v>-1951.417827083</v>
      </c>
    </row>
    <row r="5248" spans="34:38">
      <c r="AH5248" t="s">
        <v>2144</v>
      </c>
      <c r="AI5248" t="s">
        <v>67</v>
      </c>
      <c r="AJ5248" t="s">
        <v>2303</v>
      </c>
      <c r="AK5248" s="3" t="s">
        <v>27</v>
      </c>
      <c r="AL5248" s="3">
        <v>-879.04078000000004</v>
      </c>
    </row>
    <row r="5249" spans="34:38">
      <c r="AH5249" t="s">
        <v>2144</v>
      </c>
      <c r="AI5249" t="s">
        <v>65</v>
      </c>
      <c r="AJ5249" t="s">
        <v>113</v>
      </c>
      <c r="AK5249" s="3" t="s">
        <v>20</v>
      </c>
      <c r="AL5249" s="3">
        <v>1229.3214214867</v>
      </c>
    </row>
    <row r="5250" spans="34:38">
      <c r="AH5250" t="s">
        <v>2145</v>
      </c>
      <c r="AI5250" t="s">
        <v>65</v>
      </c>
      <c r="AJ5250" t="s">
        <v>66</v>
      </c>
      <c r="AK5250" s="3" t="s">
        <v>27</v>
      </c>
      <c r="AL5250" s="3">
        <v>21555.3</v>
      </c>
    </row>
    <row r="5251" spans="34:38">
      <c r="AH5251" t="s">
        <v>2145</v>
      </c>
      <c r="AI5251" t="s">
        <v>65</v>
      </c>
      <c r="AJ5251" t="s">
        <v>72</v>
      </c>
      <c r="AK5251" s="3" t="s">
        <v>27</v>
      </c>
      <c r="AL5251" s="3">
        <v>21835.494761000002</v>
      </c>
    </row>
    <row r="5252" spans="34:38">
      <c r="AH5252" t="s">
        <v>2145</v>
      </c>
      <c r="AI5252" t="s">
        <v>65</v>
      </c>
      <c r="AJ5252" t="s">
        <v>108</v>
      </c>
      <c r="AK5252" s="3" t="s">
        <v>27</v>
      </c>
      <c r="AL5252" s="3">
        <v>280.19476100000003</v>
      </c>
    </row>
    <row r="5253" spans="34:38">
      <c r="AH5253" t="s">
        <v>2145</v>
      </c>
      <c r="AI5253" t="s">
        <v>67</v>
      </c>
      <c r="AJ5253" t="s">
        <v>66</v>
      </c>
      <c r="AK5253" s="3" t="s">
        <v>27</v>
      </c>
      <c r="AL5253" s="3">
        <v>-7730</v>
      </c>
    </row>
    <row r="5254" spans="34:38">
      <c r="AH5254" t="s">
        <v>2145</v>
      </c>
      <c r="AI5254" t="s">
        <v>67</v>
      </c>
      <c r="AJ5254" t="s">
        <v>72</v>
      </c>
      <c r="AK5254" s="3" t="s">
        <v>27</v>
      </c>
      <c r="AL5254" s="3">
        <v>-8195.3529500000004</v>
      </c>
    </row>
    <row r="5255" spans="34:38">
      <c r="AH5255" t="s">
        <v>2145</v>
      </c>
      <c r="AI5255" t="s">
        <v>67</v>
      </c>
      <c r="AJ5255" t="s">
        <v>108</v>
      </c>
      <c r="AK5255" s="3" t="s">
        <v>27</v>
      </c>
      <c r="AL5255" s="3">
        <v>-465.35295000000002</v>
      </c>
    </row>
    <row r="5256" spans="34:38">
      <c r="AH5256" t="s">
        <v>2145</v>
      </c>
      <c r="AI5256" t="s">
        <v>68</v>
      </c>
      <c r="AJ5256" t="s">
        <v>66</v>
      </c>
      <c r="AK5256" s="3" t="s">
        <v>27</v>
      </c>
      <c r="AL5256" s="3">
        <v>-3163.3</v>
      </c>
    </row>
    <row r="5257" spans="34:38">
      <c r="AH5257" t="s">
        <v>2145</v>
      </c>
      <c r="AI5257" t="s">
        <v>68</v>
      </c>
      <c r="AJ5257" t="s">
        <v>72</v>
      </c>
      <c r="AK5257" s="3" t="s">
        <v>27</v>
      </c>
      <c r="AL5257" s="3">
        <v>-3199.9018110000002</v>
      </c>
    </row>
    <row r="5258" spans="34:38">
      <c r="AH5258" t="s">
        <v>2145</v>
      </c>
      <c r="AI5258" t="s">
        <v>68</v>
      </c>
      <c r="AJ5258" t="s">
        <v>108</v>
      </c>
      <c r="AK5258" s="3" t="s">
        <v>27</v>
      </c>
      <c r="AL5258" s="3">
        <v>-36.601810999999998</v>
      </c>
    </row>
    <row r="5259" spans="34:38">
      <c r="AH5259" t="s">
        <v>2145</v>
      </c>
      <c r="AI5259" t="s">
        <v>65</v>
      </c>
      <c r="AJ5259" t="s">
        <v>113</v>
      </c>
      <c r="AK5259" s="3" t="s">
        <v>27</v>
      </c>
      <c r="AL5259" s="3">
        <v>2180.004516945</v>
      </c>
    </row>
    <row r="5260" spans="34:38">
      <c r="AH5260" t="s">
        <v>2145</v>
      </c>
      <c r="AI5260" t="s">
        <v>67</v>
      </c>
      <c r="AJ5260" t="s">
        <v>113</v>
      </c>
      <c r="AK5260" s="3" t="s">
        <v>27</v>
      </c>
      <c r="AL5260" s="3">
        <v>0</v>
      </c>
    </row>
    <row r="5261" spans="34:38">
      <c r="AH5261" t="s">
        <v>2145</v>
      </c>
      <c r="AI5261" t="s">
        <v>65</v>
      </c>
      <c r="AJ5261" t="s">
        <v>2303</v>
      </c>
      <c r="AK5261" s="3" t="s">
        <v>27</v>
      </c>
      <c r="AL5261" s="3">
        <v>-1908.8715715349999</v>
      </c>
    </row>
    <row r="5262" spans="34:38">
      <c r="AH5262" t="s">
        <v>2145</v>
      </c>
      <c r="AI5262" t="s">
        <v>67</v>
      </c>
      <c r="AJ5262" t="s">
        <v>2303</v>
      </c>
      <c r="AK5262" s="3" t="s">
        <v>27</v>
      </c>
      <c r="AL5262" s="3">
        <v>-465.35295000000002</v>
      </c>
    </row>
    <row r="5263" spans="34:38">
      <c r="AH5263" t="s">
        <v>2145</v>
      </c>
      <c r="AI5263" t="s">
        <v>65</v>
      </c>
      <c r="AJ5263" t="s">
        <v>113</v>
      </c>
      <c r="AK5263" s="3" t="s">
        <v>20</v>
      </c>
      <c r="AL5263" s="3">
        <v>972.7367153358</v>
      </c>
    </row>
    <row r="5264" spans="34:38">
      <c r="AH5264" t="s">
        <v>2146</v>
      </c>
      <c r="AI5264" t="s">
        <v>65</v>
      </c>
      <c r="AJ5264" t="s">
        <v>66</v>
      </c>
      <c r="AK5264" s="3" t="s">
        <v>27</v>
      </c>
      <c r="AL5264" s="3">
        <v>20733.3</v>
      </c>
    </row>
    <row r="5265" spans="34:38">
      <c r="AH5265" t="s">
        <v>2146</v>
      </c>
      <c r="AI5265" t="s">
        <v>65</v>
      </c>
      <c r="AJ5265" t="s">
        <v>72</v>
      </c>
      <c r="AK5265" s="3" t="s">
        <v>27</v>
      </c>
      <c r="AL5265" s="3">
        <v>21108.074109000001</v>
      </c>
    </row>
    <row r="5266" spans="34:38">
      <c r="AH5266" t="s">
        <v>2146</v>
      </c>
      <c r="AI5266" t="s">
        <v>65</v>
      </c>
      <c r="AJ5266" t="s">
        <v>108</v>
      </c>
      <c r="AK5266" s="3" t="s">
        <v>27</v>
      </c>
      <c r="AL5266" s="3">
        <v>374.77410900000001</v>
      </c>
    </row>
    <row r="5267" spans="34:38">
      <c r="AH5267" t="s">
        <v>2146</v>
      </c>
      <c r="AI5267" t="s">
        <v>67</v>
      </c>
      <c r="AJ5267" t="s">
        <v>66</v>
      </c>
      <c r="AK5267" s="3" t="s">
        <v>27</v>
      </c>
      <c r="AL5267" s="3">
        <v>-7008</v>
      </c>
    </row>
    <row r="5268" spans="34:38">
      <c r="AH5268" t="s">
        <v>2146</v>
      </c>
      <c r="AI5268" t="s">
        <v>67</v>
      </c>
      <c r="AJ5268" t="s">
        <v>72</v>
      </c>
      <c r="AK5268" s="3" t="s">
        <v>27</v>
      </c>
      <c r="AL5268" s="3">
        <v>-7521.2823900000003</v>
      </c>
    </row>
    <row r="5269" spans="34:38">
      <c r="AH5269" t="s">
        <v>2146</v>
      </c>
      <c r="AI5269" t="s">
        <v>67</v>
      </c>
      <c r="AJ5269" t="s">
        <v>108</v>
      </c>
      <c r="AK5269" s="3" t="s">
        <v>27</v>
      </c>
      <c r="AL5269" s="3">
        <v>-513.28238999999996</v>
      </c>
    </row>
    <row r="5270" spans="34:38">
      <c r="AH5270" t="s">
        <v>2146</v>
      </c>
      <c r="AI5270" t="s">
        <v>68</v>
      </c>
      <c r="AJ5270" t="s">
        <v>66</v>
      </c>
      <c r="AK5270" s="3" t="s">
        <v>27</v>
      </c>
      <c r="AL5270" s="3">
        <v>-2963.3</v>
      </c>
    </row>
    <row r="5271" spans="34:38">
      <c r="AH5271" t="s">
        <v>2146</v>
      </c>
      <c r="AI5271" t="s">
        <v>68</v>
      </c>
      <c r="AJ5271" t="s">
        <v>72</v>
      </c>
      <c r="AK5271" s="3" t="s">
        <v>27</v>
      </c>
      <c r="AL5271" s="3">
        <v>-3006.119839</v>
      </c>
    </row>
    <row r="5272" spans="34:38">
      <c r="AH5272" t="s">
        <v>2146</v>
      </c>
      <c r="AI5272" t="s">
        <v>68</v>
      </c>
      <c r="AJ5272" t="s">
        <v>108</v>
      </c>
      <c r="AK5272" s="3" t="s">
        <v>27</v>
      </c>
      <c r="AL5272" s="3">
        <v>-42.819839000000002</v>
      </c>
    </row>
    <row r="5273" spans="34:38">
      <c r="AH5273" t="s">
        <v>2146</v>
      </c>
      <c r="AI5273" t="s">
        <v>65</v>
      </c>
      <c r="AJ5273" t="s">
        <v>113</v>
      </c>
      <c r="AK5273" s="3" t="s">
        <v>27</v>
      </c>
      <c r="AL5273" s="3">
        <v>2155.1969919379999</v>
      </c>
    </row>
    <row r="5274" spans="34:38">
      <c r="AH5274" t="s">
        <v>2146</v>
      </c>
      <c r="AI5274" t="s">
        <v>67</v>
      </c>
      <c r="AJ5274" t="s">
        <v>113</v>
      </c>
      <c r="AK5274" s="3" t="s">
        <v>27</v>
      </c>
      <c r="AL5274" s="3">
        <v>0</v>
      </c>
    </row>
    <row r="5275" spans="34:38">
      <c r="AH5275" t="s">
        <v>2146</v>
      </c>
      <c r="AI5275" t="s">
        <v>65</v>
      </c>
      <c r="AJ5275" t="s">
        <v>2303</v>
      </c>
      <c r="AK5275" s="3" t="s">
        <v>27</v>
      </c>
      <c r="AL5275" s="3">
        <v>-1725.3444489349999</v>
      </c>
    </row>
    <row r="5276" spans="34:38">
      <c r="AH5276" t="s">
        <v>2146</v>
      </c>
      <c r="AI5276" t="s">
        <v>67</v>
      </c>
      <c r="AJ5276" t="s">
        <v>2303</v>
      </c>
      <c r="AK5276" s="3" t="s">
        <v>27</v>
      </c>
      <c r="AL5276" s="3">
        <v>-513.28238999999996</v>
      </c>
    </row>
    <row r="5277" spans="34:38">
      <c r="AH5277" t="s">
        <v>2146</v>
      </c>
      <c r="AI5277" t="s">
        <v>65</v>
      </c>
      <c r="AJ5277" t="s">
        <v>113</v>
      </c>
      <c r="AK5277" s="3" t="s">
        <v>20</v>
      </c>
      <c r="AL5277" s="3">
        <v>947.40742303050001</v>
      </c>
    </row>
    <row r="5278" spans="34:38">
      <c r="AH5278" t="s">
        <v>2147</v>
      </c>
      <c r="AI5278" t="s">
        <v>65</v>
      </c>
      <c r="AJ5278" t="s">
        <v>66</v>
      </c>
      <c r="AK5278" s="3" t="s">
        <v>27</v>
      </c>
      <c r="AL5278" s="3">
        <v>21155.3</v>
      </c>
    </row>
    <row r="5279" spans="34:38">
      <c r="AH5279" t="s">
        <v>2147</v>
      </c>
      <c r="AI5279" t="s">
        <v>65</v>
      </c>
      <c r="AJ5279" t="s">
        <v>72</v>
      </c>
      <c r="AK5279" s="3" t="s">
        <v>27</v>
      </c>
      <c r="AL5279" s="3">
        <v>21571.544698999998</v>
      </c>
    </row>
    <row r="5280" spans="34:38">
      <c r="AH5280" t="s">
        <v>2147</v>
      </c>
      <c r="AI5280" t="s">
        <v>65</v>
      </c>
      <c r="AJ5280" t="s">
        <v>108</v>
      </c>
      <c r="AK5280" s="3" t="s">
        <v>27</v>
      </c>
      <c r="AL5280" s="3">
        <v>416.24469900000003</v>
      </c>
    </row>
    <row r="5281" spans="34:38">
      <c r="AH5281" t="s">
        <v>2147</v>
      </c>
      <c r="AI5281" t="s">
        <v>67</v>
      </c>
      <c r="AJ5281" t="s">
        <v>66</v>
      </c>
      <c r="AK5281" s="3" t="s">
        <v>27</v>
      </c>
      <c r="AL5281" s="3">
        <v>-8302</v>
      </c>
    </row>
    <row r="5282" spans="34:38">
      <c r="AH5282" t="s">
        <v>2147</v>
      </c>
      <c r="AI5282" t="s">
        <v>67</v>
      </c>
      <c r="AJ5282" t="s">
        <v>72</v>
      </c>
      <c r="AK5282" s="3" t="s">
        <v>27</v>
      </c>
      <c r="AL5282" s="3">
        <v>-8868.6299600000002</v>
      </c>
    </row>
    <row r="5283" spans="34:38">
      <c r="AH5283" t="s">
        <v>2147</v>
      </c>
      <c r="AI5283" t="s">
        <v>67</v>
      </c>
      <c r="AJ5283" t="s">
        <v>108</v>
      </c>
      <c r="AK5283" s="3" t="s">
        <v>27</v>
      </c>
      <c r="AL5283" s="3">
        <v>-566.62995999999998</v>
      </c>
    </row>
    <row r="5284" spans="34:38">
      <c r="AH5284" t="s">
        <v>2147</v>
      </c>
      <c r="AI5284" t="s">
        <v>68</v>
      </c>
      <c r="AJ5284" t="s">
        <v>66</v>
      </c>
      <c r="AK5284" s="3" t="s">
        <v>27</v>
      </c>
      <c r="AL5284" s="3">
        <v>-2191.3000000000002</v>
      </c>
    </row>
    <row r="5285" spans="34:38">
      <c r="AH5285" t="s">
        <v>2147</v>
      </c>
      <c r="AI5285" t="s">
        <v>68</v>
      </c>
      <c r="AJ5285" t="s">
        <v>72</v>
      </c>
      <c r="AK5285" s="3" t="s">
        <v>27</v>
      </c>
      <c r="AL5285" s="3">
        <v>-2238.953739</v>
      </c>
    </row>
    <row r="5286" spans="34:38">
      <c r="AH5286" t="s">
        <v>2147</v>
      </c>
      <c r="AI5286" t="s">
        <v>68</v>
      </c>
      <c r="AJ5286" t="s">
        <v>108</v>
      </c>
      <c r="AK5286" s="3" t="s">
        <v>27</v>
      </c>
      <c r="AL5286" s="3">
        <v>-47.653739000000002</v>
      </c>
    </row>
    <row r="5287" spans="34:38">
      <c r="AH5287" t="s">
        <v>2147</v>
      </c>
      <c r="AI5287" t="s">
        <v>65</v>
      </c>
      <c r="AJ5287" t="s">
        <v>113</v>
      </c>
      <c r="AK5287" s="3" t="s">
        <v>27</v>
      </c>
      <c r="AL5287" s="3">
        <v>2202.8404324630001</v>
      </c>
    </row>
    <row r="5288" spans="34:38">
      <c r="AH5288" t="s">
        <v>2147</v>
      </c>
      <c r="AI5288" t="s">
        <v>67</v>
      </c>
      <c r="AJ5288" t="s">
        <v>113</v>
      </c>
      <c r="AK5288" s="3" t="s">
        <v>27</v>
      </c>
      <c r="AL5288" s="3">
        <v>0</v>
      </c>
    </row>
    <row r="5289" spans="34:38">
      <c r="AH5289" t="s">
        <v>2147</v>
      </c>
      <c r="AI5289" t="s">
        <v>65</v>
      </c>
      <c r="AJ5289" t="s">
        <v>2303</v>
      </c>
      <c r="AK5289" s="3" t="s">
        <v>27</v>
      </c>
      <c r="AL5289" s="3">
        <v>-1729.9842562209999</v>
      </c>
    </row>
    <row r="5290" spans="34:38">
      <c r="AH5290" t="s">
        <v>2147</v>
      </c>
      <c r="AI5290" t="s">
        <v>67</v>
      </c>
      <c r="AJ5290" t="s">
        <v>2303</v>
      </c>
      <c r="AK5290" s="3" t="s">
        <v>27</v>
      </c>
      <c r="AL5290" s="3">
        <v>-566.62995999999998</v>
      </c>
    </row>
    <row r="5291" spans="34:38">
      <c r="AH5291" t="s">
        <v>2147</v>
      </c>
      <c r="AI5291" t="s">
        <v>65</v>
      </c>
      <c r="AJ5291" t="s">
        <v>113</v>
      </c>
      <c r="AK5291" s="3" t="s">
        <v>20</v>
      </c>
      <c r="AL5291" s="3">
        <v>994.52909624740005</v>
      </c>
    </row>
    <row r="5292" spans="34:38">
      <c r="AH5292" t="s">
        <v>2148</v>
      </c>
      <c r="AI5292" t="s">
        <v>65</v>
      </c>
      <c r="AJ5292" t="s">
        <v>66</v>
      </c>
      <c r="AK5292" s="3" t="s">
        <v>27</v>
      </c>
      <c r="AL5292" s="3">
        <v>21065.3</v>
      </c>
    </row>
    <row r="5293" spans="34:38">
      <c r="AH5293" t="s">
        <v>2148</v>
      </c>
      <c r="AI5293" t="s">
        <v>65</v>
      </c>
      <c r="AJ5293" t="s">
        <v>72</v>
      </c>
      <c r="AK5293" s="3" t="s">
        <v>27</v>
      </c>
      <c r="AL5293" s="3">
        <v>21470.781233000002</v>
      </c>
    </row>
    <row r="5294" spans="34:38">
      <c r="AH5294" t="s">
        <v>2148</v>
      </c>
      <c r="AI5294" t="s">
        <v>65</v>
      </c>
      <c r="AJ5294" t="s">
        <v>108</v>
      </c>
      <c r="AK5294" s="3" t="s">
        <v>27</v>
      </c>
      <c r="AL5294" s="3">
        <v>405.48123299999997</v>
      </c>
    </row>
    <row r="5295" spans="34:38">
      <c r="AH5295" t="s">
        <v>2148</v>
      </c>
      <c r="AI5295" t="s">
        <v>67</v>
      </c>
      <c r="AJ5295" t="s">
        <v>66</v>
      </c>
      <c r="AK5295" s="3" t="s">
        <v>27</v>
      </c>
      <c r="AL5295" s="3">
        <v>-7790</v>
      </c>
    </row>
    <row r="5296" spans="34:38">
      <c r="AH5296" t="s">
        <v>2148</v>
      </c>
      <c r="AI5296" t="s">
        <v>67</v>
      </c>
      <c r="AJ5296" t="s">
        <v>72</v>
      </c>
      <c r="AK5296" s="3" t="s">
        <v>27</v>
      </c>
      <c r="AL5296" s="3">
        <v>-8305.3708700000007</v>
      </c>
    </row>
    <row r="5297" spans="34:38">
      <c r="AH5297" t="s">
        <v>2148</v>
      </c>
      <c r="AI5297" t="s">
        <v>67</v>
      </c>
      <c r="AJ5297" t="s">
        <v>108</v>
      </c>
      <c r="AK5297" s="3" t="s">
        <v>27</v>
      </c>
      <c r="AL5297" s="3">
        <v>-515.37086999999997</v>
      </c>
    </row>
    <row r="5298" spans="34:38">
      <c r="AH5298" t="s">
        <v>2148</v>
      </c>
      <c r="AI5298" t="s">
        <v>68</v>
      </c>
      <c r="AJ5298" t="s">
        <v>66</v>
      </c>
      <c r="AK5298" s="3" t="s">
        <v>27</v>
      </c>
      <c r="AL5298" s="3">
        <v>-2613.3000000000002</v>
      </c>
    </row>
    <row r="5299" spans="34:38">
      <c r="AH5299" t="s">
        <v>2148</v>
      </c>
      <c r="AI5299" t="s">
        <v>68</v>
      </c>
      <c r="AJ5299" t="s">
        <v>72</v>
      </c>
      <c r="AK5299" s="3" t="s">
        <v>27</v>
      </c>
      <c r="AL5299" s="3">
        <v>-2700.3473629999999</v>
      </c>
    </row>
    <row r="5300" spans="34:38">
      <c r="AH5300" t="s">
        <v>2148</v>
      </c>
      <c r="AI5300" t="s">
        <v>68</v>
      </c>
      <c r="AJ5300" t="s">
        <v>108</v>
      </c>
      <c r="AK5300" s="3" t="s">
        <v>27</v>
      </c>
      <c r="AL5300" s="3">
        <v>-87.047363000000004</v>
      </c>
    </row>
    <row r="5301" spans="34:38">
      <c r="AH5301" t="s">
        <v>2148</v>
      </c>
      <c r="AI5301" t="s">
        <v>65</v>
      </c>
      <c r="AJ5301" t="s">
        <v>113</v>
      </c>
      <c r="AK5301" s="3" t="s">
        <v>27</v>
      </c>
      <c r="AL5301" s="3">
        <v>2187.3706615010001</v>
      </c>
    </row>
    <row r="5302" spans="34:38">
      <c r="AH5302" t="s">
        <v>2148</v>
      </c>
      <c r="AI5302" t="s">
        <v>67</v>
      </c>
      <c r="AJ5302" t="s">
        <v>113</v>
      </c>
      <c r="AK5302" s="3" t="s">
        <v>27</v>
      </c>
      <c r="AL5302" s="3">
        <v>0</v>
      </c>
    </row>
    <row r="5303" spans="34:38">
      <c r="AH5303" t="s">
        <v>2148</v>
      </c>
      <c r="AI5303" t="s">
        <v>65</v>
      </c>
      <c r="AJ5303" t="s">
        <v>2303</v>
      </c>
      <c r="AK5303" s="3" t="s">
        <v>27</v>
      </c>
      <c r="AL5303" s="3">
        <v>-1720.520858593</v>
      </c>
    </row>
    <row r="5304" spans="34:38">
      <c r="AH5304" t="s">
        <v>2148</v>
      </c>
      <c r="AI5304" t="s">
        <v>67</v>
      </c>
      <c r="AJ5304" t="s">
        <v>2303</v>
      </c>
      <c r="AK5304" s="3" t="s">
        <v>27</v>
      </c>
      <c r="AL5304" s="3">
        <v>-515.37086999999997</v>
      </c>
    </row>
    <row r="5305" spans="34:38">
      <c r="AH5305" t="s">
        <v>2148</v>
      </c>
      <c r="AI5305" t="s">
        <v>65</v>
      </c>
      <c r="AJ5305" t="s">
        <v>113</v>
      </c>
      <c r="AK5305" s="3" t="s">
        <v>20</v>
      </c>
      <c r="AL5305" s="3">
        <v>978.53755797990004</v>
      </c>
    </row>
    <row r="5306" spans="34:38">
      <c r="AH5306" t="s">
        <v>2149</v>
      </c>
      <c r="AI5306" t="s">
        <v>65</v>
      </c>
      <c r="AJ5306" t="s">
        <v>113</v>
      </c>
      <c r="AK5306" s="3" t="s">
        <v>20</v>
      </c>
      <c r="AL5306" s="3">
        <v>992.56285017469997</v>
      </c>
    </row>
    <row r="5307" spans="34:38">
      <c r="AH5307" t="s">
        <v>2149</v>
      </c>
      <c r="AI5307" t="s">
        <v>65</v>
      </c>
      <c r="AJ5307" t="s">
        <v>66</v>
      </c>
      <c r="AK5307" s="3" t="s">
        <v>27</v>
      </c>
      <c r="AL5307" s="3">
        <v>21455.3</v>
      </c>
    </row>
    <row r="5308" spans="34:38">
      <c r="AH5308" t="s">
        <v>2149</v>
      </c>
      <c r="AI5308" t="s">
        <v>65</v>
      </c>
      <c r="AJ5308" t="s">
        <v>72</v>
      </c>
      <c r="AK5308" s="3" t="s">
        <v>27</v>
      </c>
      <c r="AL5308" s="3">
        <v>21871.005754000002</v>
      </c>
    </row>
    <row r="5309" spans="34:38">
      <c r="AH5309" t="s">
        <v>2149</v>
      </c>
      <c r="AI5309" t="s">
        <v>65</v>
      </c>
      <c r="AJ5309" t="s">
        <v>108</v>
      </c>
      <c r="AK5309" s="3" t="s">
        <v>27</v>
      </c>
      <c r="AL5309" s="3">
        <v>415.70575400000001</v>
      </c>
    </row>
    <row r="5310" spans="34:38">
      <c r="AH5310" t="s">
        <v>2149</v>
      </c>
      <c r="AI5310" t="s">
        <v>67</v>
      </c>
      <c r="AJ5310" t="s">
        <v>66</v>
      </c>
      <c r="AK5310" s="3" t="s">
        <v>27</v>
      </c>
      <c r="AL5310" s="3">
        <v>-8270</v>
      </c>
    </row>
    <row r="5311" spans="34:38">
      <c r="AH5311" t="s">
        <v>2149</v>
      </c>
      <c r="AI5311" t="s">
        <v>67</v>
      </c>
      <c r="AJ5311" t="s">
        <v>72</v>
      </c>
      <c r="AK5311" s="3" t="s">
        <v>27</v>
      </c>
      <c r="AL5311" s="3">
        <v>-8807.2834600000006</v>
      </c>
    </row>
    <row r="5312" spans="34:38">
      <c r="AH5312" t="s">
        <v>2149</v>
      </c>
      <c r="AI5312" t="s">
        <v>67</v>
      </c>
      <c r="AJ5312" t="s">
        <v>108</v>
      </c>
      <c r="AK5312" s="3" t="s">
        <v>27</v>
      </c>
      <c r="AL5312" s="3">
        <v>-537.28345999999999</v>
      </c>
    </row>
    <row r="5313" spans="34:38">
      <c r="AH5313" t="s">
        <v>2149</v>
      </c>
      <c r="AI5313" t="s">
        <v>68</v>
      </c>
      <c r="AJ5313" t="s">
        <v>66</v>
      </c>
      <c r="AK5313" s="3" t="s">
        <v>27</v>
      </c>
      <c r="AL5313" s="3">
        <v>-2523.3000000000002</v>
      </c>
    </row>
    <row r="5314" spans="34:38">
      <c r="AH5314" t="s">
        <v>2149</v>
      </c>
      <c r="AI5314" t="s">
        <v>68</v>
      </c>
      <c r="AJ5314" t="s">
        <v>72</v>
      </c>
      <c r="AK5314" s="3" t="s">
        <v>27</v>
      </c>
      <c r="AL5314" s="3">
        <v>-2601.066374</v>
      </c>
    </row>
    <row r="5315" spans="34:38">
      <c r="AH5315" t="s">
        <v>2149</v>
      </c>
      <c r="AI5315" t="s">
        <v>68</v>
      </c>
      <c r="AJ5315" t="s">
        <v>108</v>
      </c>
      <c r="AK5315" s="3" t="s">
        <v>27</v>
      </c>
      <c r="AL5315" s="3">
        <v>-77.766373999999999</v>
      </c>
    </row>
    <row r="5316" spans="34:38">
      <c r="AH5316" t="s">
        <v>2149</v>
      </c>
      <c r="AI5316" t="s">
        <v>65</v>
      </c>
      <c r="AJ5316" t="s">
        <v>113</v>
      </c>
      <c r="AK5316" s="3" t="s">
        <v>27</v>
      </c>
      <c r="AL5316" s="3">
        <v>2202.9612555970002</v>
      </c>
    </row>
    <row r="5317" spans="34:38">
      <c r="AH5317" t="s">
        <v>2149</v>
      </c>
      <c r="AI5317" t="s">
        <v>67</v>
      </c>
      <c r="AJ5317" t="s">
        <v>113</v>
      </c>
      <c r="AK5317" s="3" t="s">
        <v>27</v>
      </c>
      <c r="AL5317" s="3">
        <v>0</v>
      </c>
    </row>
    <row r="5318" spans="34:38">
      <c r="AH5318" t="s">
        <v>2149</v>
      </c>
      <c r="AI5318" t="s">
        <v>65</v>
      </c>
      <c r="AJ5318" t="s">
        <v>2303</v>
      </c>
      <c r="AK5318" s="3" t="s">
        <v>27</v>
      </c>
      <c r="AL5318" s="3">
        <v>-1724.6746985350001</v>
      </c>
    </row>
    <row r="5319" spans="34:38">
      <c r="AH5319" t="s">
        <v>2149</v>
      </c>
      <c r="AI5319" t="s">
        <v>67</v>
      </c>
      <c r="AJ5319" t="s">
        <v>2303</v>
      </c>
      <c r="AK5319" s="3" t="s">
        <v>27</v>
      </c>
      <c r="AL5319" s="3">
        <v>-537.28345999999999</v>
      </c>
    </row>
    <row r="5320" spans="34:38">
      <c r="AH5320" t="s">
        <v>2150</v>
      </c>
      <c r="AI5320" t="s">
        <v>65</v>
      </c>
      <c r="AJ5320" t="s">
        <v>66</v>
      </c>
      <c r="AK5320" s="3" t="s">
        <v>27</v>
      </c>
      <c r="AL5320" s="3">
        <v>20721.3</v>
      </c>
    </row>
    <row r="5321" spans="34:38">
      <c r="AH5321" t="s">
        <v>2150</v>
      </c>
      <c r="AI5321" t="s">
        <v>65</v>
      </c>
      <c r="AJ5321" t="s">
        <v>72</v>
      </c>
      <c r="AK5321" s="3" t="s">
        <v>27</v>
      </c>
      <c r="AL5321" s="3">
        <v>21215.997934999999</v>
      </c>
    </row>
    <row r="5322" spans="34:38">
      <c r="AH5322" t="s">
        <v>2150</v>
      </c>
      <c r="AI5322" t="s">
        <v>65</v>
      </c>
      <c r="AJ5322" t="s">
        <v>108</v>
      </c>
      <c r="AK5322" s="3" t="s">
        <v>27</v>
      </c>
      <c r="AL5322" s="3">
        <v>494.69793499999997</v>
      </c>
    </row>
    <row r="5323" spans="34:38">
      <c r="AH5323" t="s">
        <v>2150</v>
      </c>
      <c r="AI5323" t="s">
        <v>67</v>
      </c>
      <c r="AJ5323" t="s">
        <v>66</v>
      </c>
      <c r="AK5323" s="3" t="s">
        <v>27</v>
      </c>
      <c r="AL5323" s="3">
        <v>-7146</v>
      </c>
    </row>
    <row r="5324" spans="34:38">
      <c r="AH5324" t="s">
        <v>2150</v>
      </c>
      <c r="AI5324" t="s">
        <v>67</v>
      </c>
      <c r="AJ5324" t="s">
        <v>72</v>
      </c>
      <c r="AK5324" s="3" t="s">
        <v>27</v>
      </c>
      <c r="AL5324" s="3">
        <v>-7754.3463499999998</v>
      </c>
    </row>
    <row r="5325" spans="34:38">
      <c r="AH5325" t="s">
        <v>2150</v>
      </c>
      <c r="AI5325" t="s">
        <v>67</v>
      </c>
      <c r="AJ5325" t="s">
        <v>108</v>
      </c>
      <c r="AK5325" s="3" t="s">
        <v>27</v>
      </c>
      <c r="AL5325" s="3">
        <v>-608.34635000000003</v>
      </c>
    </row>
    <row r="5326" spans="34:38">
      <c r="AH5326" t="s">
        <v>2150</v>
      </c>
      <c r="AI5326" t="s">
        <v>68</v>
      </c>
      <c r="AJ5326" t="s">
        <v>66</v>
      </c>
      <c r="AK5326" s="3" t="s">
        <v>27</v>
      </c>
      <c r="AL5326" s="3">
        <v>-2913.3</v>
      </c>
    </row>
    <row r="5327" spans="34:38">
      <c r="AH5327" t="s">
        <v>2150</v>
      </c>
      <c r="AI5327" t="s">
        <v>68</v>
      </c>
      <c r="AJ5327" t="s">
        <v>72</v>
      </c>
      <c r="AK5327" s="3" t="s">
        <v>27</v>
      </c>
      <c r="AL5327" s="3">
        <v>-2992.3904250000001</v>
      </c>
    </row>
    <row r="5328" spans="34:38">
      <c r="AH5328" t="s">
        <v>2150</v>
      </c>
      <c r="AI5328" t="s">
        <v>68</v>
      </c>
      <c r="AJ5328" t="s">
        <v>108</v>
      </c>
      <c r="AK5328" s="3" t="s">
        <v>27</v>
      </c>
      <c r="AL5328" s="3">
        <v>-79.090424999999996</v>
      </c>
    </row>
    <row r="5329" spans="34:38">
      <c r="AH5329" t="s">
        <v>2150</v>
      </c>
      <c r="AI5329" t="s">
        <v>65</v>
      </c>
      <c r="AJ5329" t="s">
        <v>113</v>
      </c>
      <c r="AK5329" s="3" t="s">
        <v>27</v>
      </c>
      <c r="AL5329" s="3">
        <v>2249.1900517580002</v>
      </c>
    </row>
    <row r="5330" spans="34:38">
      <c r="AH5330" t="s">
        <v>2150</v>
      </c>
      <c r="AI5330" t="s">
        <v>67</v>
      </c>
      <c r="AJ5330" t="s">
        <v>113</v>
      </c>
      <c r="AK5330" s="3" t="s">
        <v>27</v>
      </c>
      <c r="AL5330" s="3">
        <v>0</v>
      </c>
    </row>
    <row r="5331" spans="34:38">
      <c r="AH5331" t="s">
        <v>2150</v>
      </c>
      <c r="AI5331" t="s">
        <v>65</v>
      </c>
      <c r="AJ5331" t="s">
        <v>2303</v>
      </c>
      <c r="AK5331" s="3" t="s">
        <v>27</v>
      </c>
      <c r="AL5331" s="3">
        <v>-1682.9721720780001</v>
      </c>
    </row>
    <row r="5332" spans="34:38">
      <c r="AH5332" t="s">
        <v>2150</v>
      </c>
      <c r="AI5332" t="s">
        <v>67</v>
      </c>
      <c r="AJ5332" t="s">
        <v>2303</v>
      </c>
      <c r="AK5332" s="3" t="s">
        <v>27</v>
      </c>
      <c r="AL5332" s="3">
        <v>-608.34635000000003</v>
      </c>
    </row>
    <row r="5333" spans="34:38">
      <c r="AH5333" t="s">
        <v>2150</v>
      </c>
      <c r="AI5333" t="s">
        <v>65</v>
      </c>
      <c r="AJ5333" t="s">
        <v>113</v>
      </c>
      <c r="AK5333" s="3" t="s">
        <v>20</v>
      </c>
      <c r="AL5333" s="3">
        <v>1038.2698790329</v>
      </c>
    </row>
    <row r="5334" spans="34:38">
      <c r="AH5334" t="s">
        <v>2151</v>
      </c>
      <c r="AI5334" t="s">
        <v>65</v>
      </c>
      <c r="AJ5334" t="s">
        <v>66</v>
      </c>
      <c r="AK5334" s="3" t="s">
        <v>27</v>
      </c>
      <c r="AL5334" s="3">
        <v>20154.3</v>
      </c>
    </row>
    <row r="5335" spans="34:38">
      <c r="AH5335" t="s">
        <v>2151</v>
      </c>
      <c r="AI5335" t="s">
        <v>65</v>
      </c>
      <c r="AJ5335" t="s">
        <v>72</v>
      </c>
      <c r="AK5335" s="3" t="s">
        <v>27</v>
      </c>
      <c r="AL5335" s="3">
        <v>20794.680977</v>
      </c>
    </row>
    <row r="5336" spans="34:38">
      <c r="AH5336" t="s">
        <v>2151</v>
      </c>
      <c r="AI5336" t="s">
        <v>65</v>
      </c>
      <c r="AJ5336" t="s">
        <v>108</v>
      </c>
      <c r="AK5336" s="3" t="s">
        <v>27</v>
      </c>
      <c r="AL5336" s="3">
        <v>640.38097700000003</v>
      </c>
    </row>
    <row r="5337" spans="34:38">
      <c r="AH5337" t="s">
        <v>2151</v>
      </c>
      <c r="AI5337" t="s">
        <v>67</v>
      </c>
      <c r="AJ5337" t="s">
        <v>66</v>
      </c>
      <c r="AK5337" s="3" t="s">
        <v>27</v>
      </c>
      <c r="AL5337" s="3">
        <v>-7313</v>
      </c>
    </row>
    <row r="5338" spans="34:38">
      <c r="AH5338" t="s">
        <v>2151</v>
      </c>
      <c r="AI5338" t="s">
        <v>67</v>
      </c>
      <c r="AJ5338" t="s">
        <v>72</v>
      </c>
      <c r="AK5338" s="3" t="s">
        <v>27</v>
      </c>
      <c r="AL5338" s="3">
        <v>-7969.9363800000001</v>
      </c>
    </row>
    <row r="5339" spans="34:38">
      <c r="AH5339" t="s">
        <v>2151</v>
      </c>
      <c r="AI5339" t="s">
        <v>67</v>
      </c>
      <c r="AJ5339" t="s">
        <v>108</v>
      </c>
      <c r="AK5339" s="3" t="s">
        <v>27</v>
      </c>
      <c r="AL5339" s="3">
        <v>-656.93637999999999</v>
      </c>
    </row>
    <row r="5340" spans="34:38">
      <c r="AH5340" t="s">
        <v>2151</v>
      </c>
      <c r="AI5340" t="s">
        <v>68</v>
      </c>
      <c r="AJ5340" t="s">
        <v>66</v>
      </c>
      <c r="AK5340" s="3" t="s">
        <v>27</v>
      </c>
      <c r="AL5340" s="3">
        <v>-2179.3000000000002</v>
      </c>
    </row>
    <row r="5341" spans="34:38">
      <c r="AH5341" t="s">
        <v>2151</v>
      </c>
      <c r="AI5341" t="s">
        <v>68</v>
      </c>
      <c r="AJ5341" t="s">
        <v>72</v>
      </c>
      <c r="AK5341" s="3" t="s">
        <v>27</v>
      </c>
      <c r="AL5341" s="3">
        <v>-2329.693957</v>
      </c>
    </row>
    <row r="5342" spans="34:38">
      <c r="AH5342" t="s">
        <v>2151</v>
      </c>
      <c r="AI5342" t="s">
        <v>68</v>
      </c>
      <c r="AJ5342" t="s">
        <v>108</v>
      </c>
      <c r="AK5342" s="3" t="s">
        <v>27</v>
      </c>
      <c r="AL5342" s="3">
        <v>-150.393957</v>
      </c>
    </row>
    <row r="5343" spans="34:38">
      <c r="AH5343" t="s">
        <v>2151</v>
      </c>
      <c r="AI5343" t="s">
        <v>65</v>
      </c>
      <c r="AJ5343" t="s">
        <v>113</v>
      </c>
      <c r="AK5343" s="3" t="s">
        <v>27</v>
      </c>
      <c r="AL5343" s="3">
        <v>2291.356611576</v>
      </c>
    </row>
    <row r="5344" spans="34:38">
      <c r="AH5344" t="s">
        <v>2151</v>
      </c>
      <c r="AI5344" t="s">
        <v>67</v>
      </c>
      <c r="AJ5344" t="s">
        <v>113</v>
      </c>
      <c r="AK5344" s="3" t="s">
        <v>27</v>
      </c>
      <c r="AL5344" s="3">
        <v>0</v>
      </c>
    </row>
    <row r="5345" spans="34:38">
      <c r="AH5345" t="s">
        <v>2151</v>
      </c>
      <c r="AI5345" t="s">
        <v>65</v>
      </c>
      <c r="AJ5345" t="s">
        <v>2303</v>
      </c>
      <c r="AK5345" s="3" t="s">
        <v>27</v>
      </c>
      <c r="AL5345" s="3">
        <v>-1526.054707448</v>
      </c>
    </row>
    <row r="5346" spans="34:38">
      <c r="AH5346" t="s">
        <v>2151</v>
      </c>
      <c r="AI5346" t="s">
        <v>67</v>
      </c>
      <c r="AJ5346" t="s">
        <v>2303</v>
      </c>
      <c r="AK5346" s="3" t="s">
        <v>27</v>
      </c>
      <c r="AL5346" s="3">
        <v>-656.93637999999999</v>
      </c>
    </row>
    <row r="5347" spans="34:38">
      <c r="AH5347" t="s">
        <v>2151</v>
      </c>
      <c r="AI5347" t="s">
        <v>65</v>
      </c>
      <c r="AJ5347" t="s">
        <v>113</v>
      </c>
      <c r="AK5347" s="3" t="s">
        <v>20</v>
      </c>
      <c r="AL5347" s="3">
        <v>1079.9146715598999</v>
      </c>
    </row>
    <row r="5348" spans="34:38">
      <c r="AH5348" t="s">
        <v>2152</v>
      </c>
      <c r="AI5348" t="s">
        <v>65</v>
      </c>
      <c r="AJ5348" t="s">
        <v>113</v>
      </c>
      <c r="AK5348" s="3" t="s">
        <v>20</v>
      </c>
      <c r="AL5348" s="3">
        <v>949.96069261529999</v>
      </c>
    </row>
    <row r="5349" spans="34:38">
      <c r="AH5349" t="s">
        <v>2152</v>
      </c>
      <c r="AI5349" t="s">
        <v>67</v>
      </c>
      <c r="AJ5349" t="s">
        <v>2303</v>
      </c>
      <c r="AK5349" s="3" t="s">
        <v>27</v>
      </c>
      <c r="AL5349" s="3">
        <v>-452.90814999999998</v>
      </c>
    </row>
    <row r="5350" spans="34:38">
      <c r="AH5350" t="s">
        <v>2152</v>
      </c>
      <c r="AI5350" t="s">
        <v>65</v>
      </c>
      <c r="AJ5350" t="s">
        <v>66</v>
      </c>
      <c r="AK5350" s="3" t="s">
        <v>27</v>
      </c>
      <c r="AL5350" s="3">
        <v>20805.3</v>
      </c>
    </row>
    <row r="5351" spans="34:38">
      <c r="AH5351" t="s">
        <v>2152</v>
      </c>
      <c r="AI5351" t="s">
        <v>65</v>
      </c>
      <c r="AJ5351" t="s">
        <v>72</v>
      </c>
      <c r="AK5351" s="3" t="s">
        <v>27</v>
      </c>
      <c r="AL5351" s="3">
        <v>21310.076991000002</v>
      </c>
    </row>
    <row r="5352" spans="34:38">
      <c r="AH5352" t="s">
        <v>2152</v>
      </c>
      <c r="AI5352" t="s">
        <v>65</v>
      </c>
      <c r="AJ5352" t="s">
        <v>108</v>
      </c>
      <c r="AK5352" s="3" t="s">
        <v>27</v>
      </c>
      <c r="AL5352" s="3">
        <v>504.77699100000001</v>
      </c>
    </row>
    <row r="5353" spans="34:38">
      <c r="AH5353" t="s">
        <v>2152</v>
      </c>
      <c r="AI5353" t="s">
        <v>67</v>
      </c>
      <c r="AJ5353" t="s">
        <v>66</v>
      </c>
      <c r="AK5353" s="3" t="s">
        <v>27</v>
      </c>
      <c r="AL5353" s="3">
        <v>-8531</v>
      </c>
    </row>
    <row r="5354" spans="34:38">
      <c r="AH5354" t="s">
        <v>2152</v>
      </c>
      <c r="AI5354" t="s">
        <v>67</v>
      </c>
      <c r="AJ5354" t="s">
        <v>72</v>
      </c>
      <c r="AK5354" s="3" t="s">
        <v>27</v>
      </c>
      <c r="AL5354" s="3">
        <v>-8983.9081499999993</v>
      </c>
    </row>
    <row r="5355" spans="34:38">
      <c r="AH5355" t="s">
        <v>2152</v>
      </c>
      <c r="AI5355" t="s">
        <v>67</v>
      </c>
      <c r="AJ5355" t="s">
        <v>108</v>
      </c>
      <c r="AK5355" s="3" t="s">
        <v>27</v>
      </c>
      <c r="AL5355" s="3">
        <v>-452.90814999999998</v>
      </c>
    </row>
    <row r="5356" spans="34:38">
      <c r="AH5356" t="s">
        <v>2152</v>
      </c>
      <c r="AI5356" t="s">
        <v>68</v>
      </c>
      <c r="AJ5356" t="s">
        <v>66</v>
      </c>
      <c r="AK5356" s="3" t="s">
        <v>27</v>
      </c>
      <c r="AL5356" s="3">
        <v>-1612.3</v>
      </c>
    </row>
    <row r="5357" spans="34:38">
      <c r="AH5357" t="s">
        <v>2152</v>
      </c>
      <c r="AI5357" t="s">
        <v>68</v>
      </c>
      <c r="AJ5357" t="s">
        <v>72</v>
      </c>
      <c r="AK5357" s="3" t="s">
        <v>27</v>
      </c>
      <c r="AL5357" s="3">
        <v>-1826.3478210000001</v>
      </c>
    </row>
    <row r="5358" spans="34:38">
      <c r="AH5358" t="s">
        <v>2152</v>
      </c>
      <c r="AI5358" t="s">
        <v>68</v>
      </c>
      <c r="AJ5358" t="s">
        <v>108</v>
      </c>
      <c r="AK5358" s="3" t="s">
        <v>27</v>
      </c>
      <c r="AL5358" s="3">
        <v>-214.047821</v>
      </c>
    </row>
    <row r="5359" spans="34:38">
      <c r="AH5359" t="s">
        <v>2152</v>
      </c>
      <c r="AI5359" t="s">
        <v>65</v>
      </c>
      <c r="AJ5359" t="s">
        <v>113</v>
      </c>
      <c r="AK5359" s="3" t="s">
        <v>27</v>
      </c>
      <c r="AL5359" s="3">
        <v>2161.9243999330001</v>
      </c>
    </row>
    <row r="5360" spans="34:38">
      <c r="AH5360" t="s">
        <v>2152</v>
      </c>
      <c r="AI5360" t="s">
        <v>67</v>
      </c>
      <c r="AJ5360" t="s">
        <v>113</v>
      </c>
      <c r="AK5360" s="3" t="s">
        <v>27</v>
      </c>
      <c r="AL5360" s="3">
        <v>0</v>
      </c>
    </row>
    <row r="5361" spans="34:38">
      <c r="AH5361" t="s">
        <v>2152</v>
      </c>
      <c r="AI5361" t="s">
        <v>65</v>
      </c>
      <c r="AJ5361" t="s">
        <v>2303</v>
      </c>
      <c r="AK5361" s="3" t="s">
        <v>27</v>
      </c>
      <c r="AL5361" s="3">
        <v>-1529.3648880119999</v>
      </c>
    </row>
    <row r="5362" spans="34:38">
      <c r="AH5362" t="s">
        <v>2153</v>
      </c>
      <c r="AI5362" t="s">
        <v>65</v>
      </c>
      <c r="AJ5362" t="s">
        <v>66</v>
      </c>
      <c r="AK5362" s="3" t="s">
        <v>27</v>
      </c>
      <c r="AL5362" s="3">
        <v>19271.3</v>
      </c>
    </row>
    <row r="5363" spans="34:38">
      <c r="AH5363" t="s">
        <v>2153</v>
      </c>
      <c r="AI5363" t="s">
        <v>65</v>
      </c>
      <c r="AJ5363" t="s">
        <v>72</v>
      </c>
      <c r="AK5363" s="3" t="s">
        <v>27</v>
      </c>
      <c r="AL5363" s="3">
        <v>19883.446997999999</v>
      </c>
    </row>
    <row r="5364" spans="34:38">
      <c r="AH5364" t="s">
        <v>2153</v>
      </c>
      <c r="AI5364" t="s">
        <v>65</v>
      </c>
      <c r="AJ5364" t="s">
        <v>108</v>
      </c>
      <c r="AK5364" s="3" t="s">
        <v>27</v>
      </c>
      <c r="AL5364" s="3">
        <v>612.14699800000005</v>
      </c>
    </row>
    <row r="5365" spans="34:38">
      <c r="AH5365" t="s">
        <v>2153</v>
      </c>
      <c r="AI5365" t="s">
        <v>67</v>
      </c>
      <c r="AJ5365" t="s">
        <v>66</v>
      </c>
      <c r="AK5365" s="3" t="s">
        <v>27</v>
      </c>
      <c r="AL5365" s="3">
        <v>-6346</v>
      </c>
    </row>
    <row r="5366" spans="34:38">
      <c r="AH5366" t="s">
        <v>2153</v>
      </c>
      <c r="AI5366" t="s">
        <v>67</v>
      </c>
      <c r="AJ5366" t="s">
        <v>72</v>
      </c>
      <c r="AK5366" s="3" t="s">
        <v>27</v>
      </c>
      <c r="AL5366" s="3">
        <v>-7042.8452600000001</v>
      </c>
    </row>
    <row r="5367" spans="34:38">
      <c r="AH5367" t="s">
        <v>2153</v>
      </c>
      <c r="AI5367" t="s">
        <v>67</v>
      </c>
      <c r="AJ5367" t="s">
        <v>108</v>
      </c>
      <c r="AK5367" s="3" t="s">
        <v>27</v>
      </c>
      <c r="AL5367" s="3">
        <v>-696.84526000000005</v>
      </c>
    </row>
    <row r="5368" spans="34:38">
      <c r="AH5368" t="s">
        <v>2153</v>
      </c>
      <c r="AI5368" t="s">
        <v>68</v>
      </c>
      <c r="AJ5368" t="s">
        <v>66</v>
      </c>
      <c r="AK5368" s="3" t="s">
        <v>27</v>
      </c>
      <c r="AL5368" s="3">
        <v>-2363.3000000000002</v>
      </c>
    </row>
    <row r="5369" spans="34:38">
      <c r="AH5369" t="s">
        <v>2153</v>
      </c>
      <c r="AI5369" t="s">
        <v>68</v>
      </c>
      <c r="AJ5369" t="s">
        <v>72</v>
      </c>
      <c r="AK5369" s="3" t="s">
        <v>27</v>
      </c>
      <c r="AL5369" s="3">
        <v>-2438.6269379999999</v>
      </c>
    </row>
    <row r="5370" spans="34:38">
      <c r="AH5370" t="s">
        <v>2153</v>
      </c>
      <c r="AI5370" t="s">
        <v>68</v>
      </c>
      <c r="AJ5370" t="s">
        <v>108</v>
      </c>
      <c r="AK5370" s="3" t="s">
        <v>27</v>
      </c>
      <c r="AL5370" s="3">
        <v>-75.326937999999998</v>
      </c>
    </row>
    <row r="5371" spans="34:38">
      <c r="AH5371" t="s">
        <v>2153</v>
      </c>
      <c r="AI5371" t="s">
        <v>65</v>
      </c>
      <c r="AJ5371" t="s">
        <v>113</v>
      </c>
      <c r="AK5371" s="3" t="s">
        <v>27</v>
      </c>
      <c r="AL5371" s="3">
        <v>2287.2071260930002</v>
      </c>
    </row>
    <row r="5372" spans="34:38">
      <c r="AH5372" t="s">
        <v>2153</v>
      </c>
      <c r="AI5372" t="s">
        <v>67</v>
      </c>
      <c r="AJ5372" t="s">
        <v>113</v>
      </c>
      <c r="AK5372" s="3" t="s">
        <v>27</v>
      </c>
      <c r="AL5372" s="3">
        <v>0</v>
      </c>
    </row>
    <row r="5373" spans="34:38">
      <c r="AH5373" t="s">
        <v>2153</v>
      </c>
      <c r="AI5373" t="s">
        <v>65</v>
      </c>
      <c r="AJ5373" t="s">
        <v>2303</v>
      </c>
      <c r="AK5373" s="3" t="s">
        <v>27</v>
      </c>
      <c r="AL5373" s="3">
        <v>-1544.911460905</v>
      </c>
    </row>
    <row r="5374" spans="34:38">
      <c r="AH5374" t="s">
        <v>2153</v>
      </c>
      <c r="AI5374" t="s">
        <v>67</v>
      </c>
      <c r="AJ5374" t="s">
        <v>2303</v>
      </c>
      <c r="AK5374" s="3" t="s">
        <v>27</v>
      </c>
      <c r="AL5374" s="3">
        <v>-696.84526000000005</v>
      </c>
    </row>
    <row r="5375" spans="34:38">
      <c r="AH5375" t="s">
        <v>2153</v>
      </c>
      <c r="AI5375" t="s">
        <v>65</v>
      </c>
      <c r="AJ5375" t="s">
        <v>113</v>
      </c>
      <c r="AK5375" s="3" t="s">
        <v>20</v>
      </c>
      <c r="AL5375" s="3">
        <v>1074.7216514646</v>
      </c>
    </row>
    <row r="5376" spans="34:38">
      <c r="AH5376" t="s">
        <v>2154</v>
      </c>
      <c r="AI5376" t="s">
        <v>65</v>
      </c>
      <c r="AJ5376" t="s">
        <v>66</v>
      </c>
      <c r="AK5376" s="3" t="s">
        <v>27</v>
      </c>
      <c r="AL5376" s="3">
        <v>19871.3</v>
      </c>
    </row>
    <row r="5377" spans="34:38">
      <c r="AH5377" t="s">
        <v>2154</v>
      </c>
      <c r="AI5377" t="s">
        <v>65</v>
      </c>
      <c r="AJ5377" t="s">
        <v>72</v>
      </c>
      <c r="AK5377" s="3" t="s">
        <v>27</v>
      </c>
      <c r="AL5377" s="3">
        <v>20485.909630999999</v>
      </c>
    </row>
    <row r="5378" spans="34:38">
      <c r="AH5378" t="s">
        <v>2154</v>
      </c>
      <c r="AI5378" t="s">
        <v>65</v>
      </c>
      <c r="AJ5378" t="s">
        <v>108</v>
      </c>
      <c r="AK5378" s="3" t="s">
        <v>27</v>
      </c>
      <c r="AL5378" s="3">
        <v>614.60963100000004</v>
      </c>
    </row>
    <row r="5379" spans="34:38">
      <c r="AH5379" t="s">
        <v>2154</v>
      </c>
      <c r="AI5379" t="s">
        <v>67</v>
      </c>
      <c r="AJ5379" t="s">
        <v>66</v>
      </c>
      <c r="AK5379" s="3" t="s">
        <v>27</v>
      </c>
      <c r="AL5379" s="3">
        <v>-6896</v>
      </c>
    </row>
    <row r="5380" spans="34:38">
      <c r="AH5380" t="s">
        <v>2154</v>
      </c>
      <c r="AI5380" t="s">
        <v>67</v>
      </c>
      <c r="AJ5380" t="s">
        <v>72</v>
      </c>
      <c r="AK5380" s="3" t="s">
        <v>27</v>
      </c>
      <c r="AL5380" s="3">
        <v>-7575.2620399999996</v>
      </c>
    </row>
    <row r="5381" spans="34:38">
      <c r="AH5381" t="s">
        <v>2154</v>
      </c>
      <c r="AI5381" t="s">
        <v>67</v>
      </c>
      <c r="AJ5381" t="s">
        <v>108</v>
      </c>
      <c r="AK5381" s="3" t="s">
        <v>27</v>
      </c>
      <c r="AL5381" s="3">
        <v>-679.26203999999996</v>
      </c>
    </row>
    <row r="5382" spans="34:38">
      <c r="AH5382" t="s">
        <v>2154</v>
      </c>
      <c r="AI5382" t="s">
        <v>68</v>
      </c>
      <c r="AJ5382" t="s">
        <v>66</v>
      </c>
      <c r="AK5382" s="3" t="s">
        <v>27</v>
      </c>
      <c r="AL5382" s="3">
        <v>-2413.3000000000002</v>
      </c>
    </row>
    <row r="5383" spans="34:38">
      <c r="AH5383" t="s">
        <v>2154</v>
      </c>
      <c r="AI5383" t="s">
        <v>68</v>
      </c>
      <c r="AJ5383" t="s">
        <v>72</v>
      </c>
      <c r="AK5383" s="3" t="s">
        <v>27</v>
      </c>
      <c r="AL5383" s="3">
        <v>-2507.0094709999998</v>
      </c>
    </row>
    <row r="5384" spans="34:38">
      <c r="AH5384" t="s">
        <v>2154</v>
      </c>
      <c r="AI5384" t="s">
        <v>68</v>
      </c>
      <c r="AJ5384" t="s">
        <v>108</v>
      </c>
      <c r="AK5384" s="3" t="s">
        <v>27</v>
      </c>
      <c r="AL5384" s="3">
        <v>-93.709470999999994</v>
      </c>
    </row>
    <row r="5385" spans="34:38">
      <c r="AH5385" t="s">
        <v>2154</v>
      </c>
      <c r="AI5385" t="s">
        <v>65</v>
      </c>
      <c r="AJ5385" t="s">
        <v>113</v>
      </c>
      <c r="AK5385" s="3" t="s">
        <v>27</v>
      </c>
      <c r="AL5385" s="3">
        <v>2292.8315410639998</v>
      </c>
    </row>
    <row r="5386" spans="34:38">
      <c r="AH5386" t="s">
        <v>2154</v>
      </c>
      <c r="AI5386" t="s">
        <v>67</v>
      </c>
      <c r="AJ5386" t="s">
        <v>113</v>
      </c>
      <c r="AK5386" s="3" t="s">
        <v>27</v>
      </c>
      <c r="AL5386" s="3">
        <v>0</v>
      </c>
    </row>
    <row r="5387" spans="34:38">
      <c r="AH5387" t="s">
        <v>2154</v>
      </c>
      <c r="AI5387" t="s">
        <v>65</v>
      </c>
      <c r="AJ5387" t="s">
        <v>2303</v>
      </c>
      <c r="AK5387" s="3" t="s">
        <v>27</v>
      </c>
      <c r="AL5387" s="3">
        <v>-1545.719920147</v>
      </c>
    </row>
    <row r="5388" spans="34:38">
      <c r="AH5388" t="s">
        <v>2154</v>
      </c>
      <c r="AI5388" t="s">
        <v>67</v>
      </c>
      <c r="AJ5388" t="s">
        <v>2303</v>
      </c>
      <c r="AK5388" s="3" t="s">
        <v>27</v>
      </c>
      <c r="AL5388" s="3">
        <v>-679.26203999999996</v>
      </c>
    </row>
    <row r="5389" spans="34:38">
      <c r="AH5389" t="s">
        <v>2154</v>
      </c>
      <c r="AI5389" t="s">
        <v>65</v>
      </c>
      <c r="AJ5389" t="s">
        <v>113</v>
      </c>
      <c r="AK5389" s="3" t="s">
        <v>20</v>
      </c>
      <c r="AL5389" s="3">
        <v>1078.7807645398</v>
      </c>
    </row>
    <row r="5390" spans="34:38">
      <c r="AH5390" t="s">
        <v>2155</v>
      </c>
      <c r="AI5390" t="s">
        <v>65</v>
      </c>
      <c r="AJ5390" t="s">
        <v>66</v>
      </c>
      <c r="AK5390" s="3" t="s">
        <v>27</v>
      </c>
      <c r="AL5390" s="3">
        <v>17624</v>
      </c>
    </row>
    <row r="5391" spans="34:38">
      <c r="AH5391" t="s">
        <v>2155</v>
      </c>
      <c r="AI5391" t="s">
        <v>65</v>
      </c>
      <c r="AJ5391" t="s">
        <v>72</v>
      </c>
      <c r="AK5391" s="3" t="s">
        <v>27</v>
      </c>
      <c r="AL5391" s="3">
        <v>18306.328239999999</v>
      </c>
    </row>
    <row r="5392" spans="34:38">
      <c r="AH5392" t="s">
        <v>2155</v>
      </c>
      <c r="AI5392" t="s">
        <v>65</v>
      </c>
      <c r="AJ5392" t="s">
        <v>108</v>
      </c>
      <c r="AK5392" s="3" t="s">
        <v>27</v>
      </c>
      <c r="AL5392" s="3">
        <v>682.32824000000005</v>
      </c>
    </row>
    <row r="5393" spans="34:38">
      <c r="AH5393" t="s">
        <v>2155</v>
      </c>
      <c r="AI5393" t="s">
        <v>67</v>
      </c>
      <c r="AJ5393" t="s">
        <v>66</v>
      </c>
      <c r="AK5393" s="3" t="s">
        <v>27</v>
      </c>
      <c r="AL5393" s="3">
        <v>-4048.7</v>
      </c>
    </row>
    <row r="5394" spans="34:38">
      <c r="AH5394" t="s">
        <v>2155</v>
      </c>
      <c r="AI5394" t="s">
        <v>67</v>
      </c>
      <c r="AJ5394" t="s">
        <v>72</v>
      </c>
      <c r="AK5394" s="3" t="s">
        <v>27</v>
      </c>
      <c r="AL5394" s="3">
        <v>-4791.4054850000002</v>
      </c>
    </row>
    <row r="5395" spans="34:38">
      <c r="AH5395" t="s">
        <v>2155</v>
      </c>
      <c r="AI5395" t="s">
        <v>67</v>
      </c>
      <c r="AJ5395" t="s">
        <v>108</v>
      </c>
      <c r="AK5395" s="3" t="s">
        <v>27</v>
      </c>
      <c r="AL5395" s="3">
        <v>-742.70548499999995</v>
      </c>
    </row>
    <row r="5396" spans="34:38">
      <c r="AH5396" t="s">
        <v>2155</v>
      </c>
      <c r="AI5396" t="s">
        <v>68</v>
      </c>
      <c r="AJ5396" t="s">
        <v>66</v>
      </c>
      <c r="AK5396" s="3" t="s">
        <v>27</v>
      </c>
      <c r="AL5396" s="3">
        <v>-3013.3</v>
      </c>
    </row>
    <row r="5397" spans="34:38">
      <c r="AH5397" t="s">
        <v>2155</v>
      </c>
      <c r="AI5397" t="s">
        <v>68</v>
      </c>
      <c r="AJ5397" t="s">
        <v>72</v>
      </c>
      <c r="AK5397" s="3" t="s">
        <v>27</v>
      </c>
      <c r="AL5397" s="3">
        <v>-3111.3914949999998</v>
      </c>
    </row>
    <row r="5398" spans="34:38">
      <c r="AH5398" t="s">
        <v>2155</v>
      </c>
      <c r="AI5398" t="s">
        <v>68</v>
      </c>
      <c r="AJ5398" t="s">
        <v>108</v>
      </c>
      <c r="AK5398" s="3" t="s">
        <v>27</v>
      </c>
      <c r="AL5398" s="3">
        <v>-98.091494999999995</v>
      </c>
    </row>
    <row r="5399" spans="34:38">
      <c r="AH5399" t="s">
        <v>2155</v>
      </c>
      <c r="AI5399" t="s">
        <v>65</v>
      </c>
      <c r="AJ5399" t="s">
        <v>113</v>
      </c>
      <c r="AK5399" s="3" t="s">
        <v>27</v>
      </c>
      <c r="AL5399" s="3">
        <v>2283.3371230050002</v>
      </c>
    </row>
    <row r="5400" spans="34:38">
      <c r="AH5400" t="s">
        <v>2155</v>
      </c>
      <c r="AI5400" t="s">
        <v>67</v>
      </c>
      <c r="AJ5400" t="s">
        <v>113</v>
      </c>
      <c r="AK5400" s="3" t="s">
        <v>27</v>
      </c>
      <c r="AL5400" s="3">
        <v>0</v>
      </c>
    </row>
    <row r="5401" spans="34:38">
      <c r="AH5401" t="s">
        <v>2155</v>
      </c>
      <c r="AI5401" t="s">
        <v>65</v>
      </c>
      <c r="AJ5401" t="s">
        <v>2303</v>
      </c>
      <c r="AK5401" s="3" t="s">
        <v>27</v>
      </c>
      <c r="AL5401" s="3">
        <v>-1515.2341717029999</v>
      </c>
    </row>
    <row r="5402" spans="34:38">
      <c r="AH5402" t="s">
        <v>2155</v>
      </c>
      <c r="AI5402" t="s">
        <v>67</v>
      </c>
      <c r="AJ5402" t="s">
        <v>2303</v>
      </c>
      <c r="AK5402" s="3" t="s">
        <v>27</v>
      </c>
      <c r="AL5402" s="3">
        <v>-694.16748500000006</v>
      </c>
    </row>
    <row r="5403" spans="34:38">
      <c r="AH5403" t="s">
        <v>2155</v>
      </c>
      <c r="AI5403" t="s">
        <v>65</v>
      </c>
      <c r="AJ5403" t="s">
        <v>113</v>
      </c>
      <c r="AK5403" s="3" t="s">
        <v>20</v>
      </c>
      <c r="AL5403" s="3">
        <v>1140.3150723232</v>
      </c>
    </row>
    <row r="5404" spans="34:38">
      <c r="AH5404" t="s">
        <v>2156</v>
      </c>
      <c r="AI5404" t="s">
        <v>65</v>
      </c>
      <c r="AJ5404" t="s">
        <v>66</v>
      </c>
      <c r="AK5404" s="3" t="s">
        <v>27</v>
      </c>
      <c r="AL5404" s="3">
        <v>17058</v>
      </c>
    </row>
    <row r="5405" spans="34:38">
      <c r="AH5405" t="s">
        <v>2156</v>
      </c>
      <c r="AI5405" t="s">
        <v>65</v>
      </c>
      <c r="AJ5405" t="s">
        <v>72</v>
      </c>
      <c r="AK5405" s="3" t="s">
        <v>27</v>
      </c>
      <c r="AL5405" s="3">
        <v>17643.749899999999</v>
      </c>
    </row>
    <row r="5406" spans="34:38">
      <c r="AH5406" t="s">
        <v>2156</v>
      </c>
      <c r="AI5406" t="s">
        <v>65</v>
      </c>
      <c r="AJ5406" t="s">
        <v>108</v>
      </c>
      <c r="AK5406" s="3" t="s">
        <v>27</v>
      </c>
      <c r="AL5406" s="3">
        <v>585.74990000000003</v>
      </c>
    </row>
    <row r="5407" spans="34:38">
      <c r="AH5407" t="s">
        <v>2156</v>
      </c>
      <c r="AI5407" t="s">
        <v>67</v>
      </c>
      <c r="AJ5407" t="s">
        <v>66</v>
      </c>
      <c r="AK5407" s="3" t="s">
        <v>27</v>
      </c>
      <c r="AL5407" s="3">
        <v>-5730</v>
      </c>
    </row>
    <row r="5408" spans="34:38">
      <c r="AH5408" t="s">
        <v>2156</v>
      </c>
      <c r="AI5408" t="s">
        <v>67</v>
      </c>
      <c r="AJ5408" t="s">
        <v>72</v>
      </c>
      <c r="AK5408" s="3" t="s">
        <v>27</v>
      </c>
      <c r="AL5408" s="3">
        <v>-6295.6224400000001</v>
      </c>
    </row>
    <row r="5409" spans="34:38">
      <c r="AH5409" t="s">
        <v>2156</v>
      </c>
      <c r="AI5409" t="s">
        <v>67</v>
      </c>
      <c r="AJ5409" t="s">
        <v>108</v>
      </c>
      <c r="AK5409" s="3" t="s">
        <v>27</v>
      </c>
      <c r="AL5409" s="3">
        <v>-565.62243999999998</v>
      </c>
    </row>
    <row r="5410" spans="34:38">
      <c r="AH5410" t="s">
        <v>2156</v>
      </c>
      <c r="AI5410" t="s">
        <v>68</v>
      </c>
      <c r="AJ5410" t="s">
        <v>66</v>
      </c>
      <c r="AK5410" s="3" t="s">
        <v>27</v>
      </c>
      <c r="AL5410" s="3">
        <v>-666</v>
      </c>
    </row>
    <row r="5411" spans="34:38">
      <c r="AH5411" t="s">
        <v>2156</v>
      </c>
      <c r="AI5411" t="s">
        <v>68</v>
      </c>
      <c r="AJ5411" t="s">
        <v>72</v>
      </c>
      <c r="AK5411" s="3" t="s">
        <v>27</v>
      </c>
      <c r="AL5411" s="3">
        <v>-831.53758000000005</v>
      </c>
    </row>
    <row r="5412" spans="34:38">
      <c r="AH5412" t="s">
        <v>2156</v>
      </c>
      <c r="AI5412" t="s">
        <v>68</v>
      </c>
      <c r="AJ5412" t="s">
        <v>108</v>
      </c>
      <c r="AK5412" s="3" t="s">
        <v>27</v>
      </c>
      <c r="AL5412" s="3">
        <v>-165.53757999999999</v>
      </c>
    </row>
    <row r="5413" spans="34:38">
      <c r="AH5413" t="s">
        <v>2156</v>
      </c>
      <c r="AI5413" t="s">
        <v>65</v>
      </c>
      <c r="AJ5413" t="s">
        <v>113</v>
      </c>
      <c r="AK5413" s="3" t="s">
        <v>27</v>
      </c>
      <c r="AL5413" s="3">
        <v>2206.5549864039999</v>
      </c>
    </row>
    <row r="5414" spans="34:38">
      <c r="AH5414" t="s">
        <v>2156</v>
      </c>
      <c r="AI5414" t="s">
        <v>67</v>
      </c>
      <c r="AJ5414" t="s">
        <v>113</v>
      </c>
      <c r="AK5414" s="3" t="s">
        <v>27</v>
      </c>
      <c r="AL5414" s="3">
        <v>0</v>
      </c>
    </row>
    <row r="5415" spans="34:38">
      <c r="AH5415" t="s">
        <v>2156</v>
      </c>
      <c r="AI5415" t="s">
        <v>65</v>
      </c>
      <c r="AJ5415" t="s">
        <v>2303</v>
      </c>
      <c r="AK5415" s="3" t="s">
        <v>27</v>
      </c>
      <c r="AL5415" s="3">
        <v>-1503.048638083</v>
      </c>
    </row>
    <row r="5416" spans="34:38">
      <c r="AH5416" t="s">
        <v>2156</v>
      </c>
      <c r="AI5416" t="s">
        <v>67</v>
      </c>
      <c r="AJ5416" t="s">
        <v>2303</v>
      </c>
      <c r="AK5416" s="3" t="s">
        <v>27</v>
      </c>
      <c r="AL5416" s="3">
        <v>-565.62243999999998</v>
      </c>
    </row>
    <row r="5417" spans="34:38">
      <c r="AH5417" t="s">
        <v>2156</v>
      </c>
      <c r="AI5417" t="s">
        <v>65</v>
      </c>
      <c r="AJ5417" t="s">
        <v>113</v>
      </c>
      <c r="AK5417" s="3" t="s">
        <v>20</v>
      </c>
      <c r="AL5417" s="3">
        <v>1063.0264388703999</v>
      </c>
    </row>
    <row r="5418" spans="34:38">
      <c r="AH5418" t="s">
        <v>2157</v>
      </c>
      <c r="AI5418" t="s">
        <v>65</v>
      </c>
      <c r="AJ5418" t="s">
        <v>66</v>
      </c>
      <c r="AK5418" s="3" t="s">
        <v>27</v>
      </c>
      <c r="AL5418" s="3">
        <v>17158</v>
      </c>
    </row>
    <row r="5419" spans="34:38">
      <c r="AH5419" t="s">
        <v>2157</v>
      </c>
      <c r="AI5419" t="s">
        <v>65</v>
      </c>
      <c r="AJ5419" t="s">
        <v>72</v>
      </c>
      <c r="AK5419" s="3" t="s">
        <v>27</v>
      </c>
      <c r="AL5419" s="3">
        <v>17745.820810000001</v>
      </c>
    </row>
    <row r="5420" spans="34:38">
      <c r="AH5420" t="s">
        <v>2157</v>
      </c>
      <c r="AI5420" t="s">
        <v>65</v>
      </c>
      <c r="AJ5420" t="s">
        <v>108</v>
      </c>
      <c r="AK5420" s="3" t="s">
        <v>27</v>
      </c>
      <c r="AL5420" s="3">
        <v>587.82081000000005</v>
      </c>
    </row>
    <row r="5421" spans="34:38">
      <c r="AH5421" t="s">
        <v>2157</v>
      </c>
      <c r="AI5421" t="s">
        <v>67</v>
      </c>
      <c r="AJ5421" t="s">
        <v>66</v>
      </c>
      <c r="AK5421" s="3" t="s">
        <v>27</v>
      </c>
      <c r="AL5421" s="3">
        <v>-6396</v>
      </c>
    </row>
    <row r="5422" spans="34:38">
      <c r="AH5422" t="s">
        <v>2157</v>
      </c>
      <c r="AI5422" t="s">
        <v>67</v>
      </c>
      <c r="AJ5422" t="s">
        <v>72</v>
      </c>
      <c r="AK5422" s="3" t="s">
        <v>27</v>
      </c>
      <c r="AL5422" s="3">
        <v>-7103.1406299999999</v>
      </c>
    </row>
    <row r="5423" spans="34:38">
      <c r="AH5423" t="s">
        <v>2157</v>
      </c>
      <c r="AI5423" t="s">
        <v>67</v>
      </c>
      <c r="AJ5423" t="s">
        <v>108</v>
      </c>
      <c r="AK5423" s="3" t="s">
        <v>27</v>
      </c>
      <c r="AL5423" s="3">
        <v>-707.14062999999999</v>
      </c>
    </row>
    <row r="5424" spans="34:38">
      <c r="AH5424" t="s">
        <v>2157</v>
      </c>
      <c r="AI5424" t="s">
        <v>68</v>
      </c>
      <c r="AJ5424" t="s">
        <v>66</v>
      </c>
      <c r="AK5424" s="3" t="s">
        <v>27</v>
      </c>
      <c r="AL5424" s="3">
        <v>-100</v>
      </c>
    </row>
    <row r="5425" spans="34:38">
      <c r="AH5425" t="s">
        <v>2157</v>
      </c>
      <c r="AI5425" t="s">
        <v>68</v>
      </c>
      <c r="AJ5425" t="s">
        <v>72</v>
      </c>
      <c r="AK5425" s="3" t="s">
        <v>27</v>
      </c>
      <c r="AL5425" s="3">
        <v>-124.5305</v>
      </c>
    </row>
    <row r="5426" spans="34:38">
      <c r="AH5426" t="s">
        <v>2157</v>
      </c>
      <c r="AI5426" t="s">
        <v>68</v>
      </c>
      <c r="AJ5426" t="s">
        <v>108</v>
      </c>
      <c r="AK5426" s="3" t="s">
        <v>27</v>
      </c>
      <c r="AL5426" s="3">
        <v>-24.5305</v>
      </c>
    </row>
    <row r="5427" spans="34:38">
      <c r="AH5427" t="s">
        <v>2157</v>
      </c>
      <c r="AI5427" t="s">
        <v>65</v>
      </c>
      <c r="AJ5427" t="s">
        <v>113</v>
      </c>
      <c r="AK5427" s="3" t="s">
        <v>27</v>
      </c>
      <c r="AL5427" s="3">
        <v>2214.7946647620001</v>
      </c>
    </row>
    <row r="5428" spans="34:38">
      <c r="AH5428" t="s">
        <v>2157</v>
      </c>
      <c r="AI5428" t="s">
        <v>67</v>
      </c>
      <c r="AJ5428" t="s">
        <v>113</v>
      </c>
      <c r="AK5428" s="3" t="s">
        <v>27</v>
      </c>
      <c r="AL5428" s="3">
        <v>0</v>
      </c>
    </row>
    <row r="5429" spans="34:38">
      <c r="AH5429" t="s">
        <v>2157</v>
      </c>
      <c r="AI5429" t="s">
        <v>65</v>
      </c>
      <c r="AJ5429" t="s">
        <v>2303</v>
      </c>
      <c r="AK5429" s="3" t="s">
        <v>27</v>
      </c>
      <c r="AL5429" s="3">
        <v>-1506.1919242219999</v>
      </c>
    </row>
    <row r="5430" spans="34:38">
      <c r="AH5430" t="s">
        <v>2157</v>
      </c>
      <c r="AI5430" t="s">
        <v>67</v>
      </c>
      <c r="AJ5430" t="s">
        <v>2303</v>
      </c>
      <c r="AK5430" s="3" t="s">
        <v>27</v>
      </c>
      <c r="AL5430" s="3">
        <v>-707.14062999999999</v>
      </c>
    </row>
    <row r="5431" spans="34:38">
      <c r="AH5431" t="s">
        <v>2157</v>
      </c>
      <c r="AI5431" t="s">
        <v>65</v>
      </c>
      <c r="AJ5431" t="s">
        <v>113</v>
      </c>
      <c r="AK5431" s="3" t="s">
        <v>20</v>
      </c>
      <c r="AL5431" s="3">
        <v>1070.7596203953999</v>
      </c>
    </row>
    <row r="5432" spans="34:38">
      <c r="AH5432" t="s">
        <v>2158</v>
      </c>
      <c r="AI5432" t="s">
        <v>65</v>
      </c>
      <c r="AJ5432" t="s">
        <v>66</v>
      </c>
      <c r="AK5432" s="3" t="s">
        <v>27</v>
      </c>
      <c r="AL5432" s="3">
        <v>17058</v>
      </c>
    </row>
    <row r="5433" spans="34:38">
      <c r="AH5433" t="s">
        <v>2158</v>
      </c>
      <c r="AI5433" t="s">
        <v>65</v>
      </c>
      <c r="AJ5433" t="s">
        <v>72</v>
      </c>
      <c r="AK5433" s="3" t="s">
        <v>27</v>
      </c>
      <c r="AL5433" s="3">
        <v>17658.592909999999</v>
      </c>
    </row>
    <row r="5434" spans="34:38">
      <c r="AH5434" t="s">
        <v>2158</v>
      </c>
      <c r="AI5434" t="s">
        <v>65</v>
      </c>
      <c r="AJ5434" t="s">
        <v>108</v>
      </c>
      <c r="AK5434" s="3" t="s">
        <v>27</v>
      </c>
      <c r="AL5434" s="3">
        <v>600.59290999999996</v>
      </c>
    </row>
    <row r="5435" spans="34:38">
      <c r="AH5435" t="s">
        <v>2158</v>
      </c>
      <c r="AI5435" t="s">
        <v>67</v>
      </c>
      <c r="AJ5435" t="s">
        <v>66</v>
      </c>
      <c r="AK5435" s="3" t="s">
        <v>27</v>
      </c>
      <c r="AL5435" s="3">
        <v>-6196</v>
      </c>
    </row>
    <row r="5436" spans="34:38">
      <c r="AH5436" t="s">
        <v>2158</v>
      </c>
      <c r="AI5436" t="s">
        <v>67</v>
      </c>
      <c r="AJ5436" t="s">
        <v>72</v>
      </c>
      <c r="AK5436" s="3" t="s">
        <v>27</v>
      </c>
      <c r="AL5436" s="3">
        <v>-6912.8988499999996</v>
      </c>
    </row>
    <row r="5437" spans="34:38">
      <c r="AH5437" t="s">
        <v>2158</v>
      </c>
      <c r="AI5437" t="s">
        <v>67</v>
      </c>
      <c r="AJ5437" t="s">
        <v>108</v>
      </c>
      <c r="AK5437" s="3" t="s">
        <v>27</v>
      </c>
      <c r="AL5437" s="3">
        <v>-716.89885000000004</v>
      </c>
    </row>
    <row r="5438" spans="34:38">
      <c r="AH5438" t="s">
        <v>2158</v>
      </c>
      <c r="AI5438" t="s">
        <v>68</v>
      </c>
      <c r="AJ5438" t="s">
        <v>66</v>
      </c>
      <c r="AK5438" s="3" t="s">
        <v>27</v>
      </c>
      <c r="AL5438" s="3">
        <v>-200</v>
      </c>
    </row>
    <row r="5439" spans="34:38">
      <c r="AH5439" t="s">
        <v>2158</v>
      </c>
      <c r="AI5439" t="s">
        <v>68</v>
      </c>
      <c r="AJ5439" t="s">
        <v>72</v>
      </c>
      <c r="AK5439" s="3" t="s">
        <v>27</v>
      </c>
      <c r="AL5439" s="3">
        <v>-226.25</v>
      </c>
    </row>
    <row r="5440" spans="34:38">
      <c r="AH5440" t="s">
        <v>2158</v>
      </c>
      <c r="AI5440" t="s">
        <v>68</v>
      </c>
      <c r="AJ5440" t="s">
        <v>108</v>
      </c>
      <c r="AK5440" s="3" t="s">
        <v>27</v>
      </c>
      <c r="AL5440" s="3">
        <v>-26.25</v>
      </c>
    </row>
    <row r="5441" spans="34:38">
      <c r="AH5441" t="s">
        <v>2158</v>
      </c>
      <c r="AI5441" t="s">
        <v>65</v>
      </c>
      <c r="AJ5441" t="s">
        <v>113</v>
      </c>
      <c r="AK5441" s="3" t="s">
        <v>27</v>
      </c>
      <c r="AL5441" s="3">
        <v>2215.5743676289999</v>
      </c>
    </row>
    <row r="5442" spans="34:38">
      <c r="AH5442" t="s">
        <v>2158</v>
      </c>
      <c r="AI5442" t="s">
        <v>67</v>
      </c>
      <c r="AJ5442" t="s">
        <v>113</v>
      </c>
      <c r="AK5442" s="3" t="s">
        <v>27</v>
      </c>
      <c r="AL5442" s="3">
        <v>0</v>
      </c>
    </row>
    <row r="5443" spans="34:38">
      <c r="AH5443" t="s">
        <v>2158</v>
      </c>
      <c r="AI5443" t="s">
        <v>65</v>
      </c>
      <c r="AJ5443" t="s">
        <v>2303</v>
      </c>
      <c r="AK5443" s="3" t="s">
        <v>27</v>
      </c>
      <c r="AL5443" s="3">
        <v>-1491.0278409289999</v>
      </c>
    </row>
    <row r="5444" spans="34:38">
      <c r="AH5444" t="s">
        <v>2158</v>
      </c>
      <c r="AI5444" t="s">
        <v>67</v>
      </c>
      <c r="AJ5444" t="s">
        <v>2303</v>
      </c>
      <c r="AK5444" s="3" t="s">
        <v>27</v>
      </c>
      <c r="AL5444" s="3">
        <v>-716.89885000000004</v>
      </c>
    </row>
    <row r="5445" spans="34:38">
      <c r="AH5445" t="s">
        <v>2158</v>
      </c>
      <c r="AI5445" t="s">
        <v>65</v>
      </c>
      <c r="AJ5445" t="s">
        <v>113</v>
      </c>
      <c r="AK5445" s="3" t="s">
        <v>20</v>
      </c>
      <c r="AL5445" s="3">
        <v>1071.0328264088</v>
      </c>
    </row>
    <row r="5446" spans="34:38">
      <c r="AH5446" t="s">
        <v>2159</v>
      </c>
      <c r="AI5446" t="s">
        <v>65</v>
      </c>
      <c r="AJ5446" t="s">
        <v>66</v>
      </c>
      <c r="AK5446" s="3" t="s">
        <v>27</v>
      </c>
      <c r="AL5446" s="3">
        <v>17214</v>
      </c>
    </row>
    <row r="5447" spans="34:38">
      <c r="AH5447" t="s">
        <v>2159</v>
      </c>
      <c r="AI5447" t="s">
        <v>65</v>
      </c>
      <c r="AJ5447" t="s">
        <v>72</v>
      </c>
      <c r="AK5447" s="3" t="s">
        <v>27</v>
      </c>
      <c r="AL5447" s="3">
        <v>17830.056260000001</v>
      </c>
    </row>
    <row r="5448" spans="34:38">
      <c r="AH5448" t="s">
        <v>2159</v>
      </c>
      <c r="AI5448" t="s">
        <v>65</v>
      </c>
      <c r="AJ5448" t="s">
        <v>108</v>
      </c>
      <c r="AK5448" s="3" t="s">
        <v>27</v>
      </c>
      <c r="AL5448" s="3">
        <v>616.05625999999995</v>
      </c>
    </row>
    <row r="5449" spans="34:38">
      <c r="AH5449" t="s">
        <v>2159</v>
      </c>
      <c r="AI5449" t="s">
        <v>67</v>
      </c>
      <c r="AJ5449" t="s">
        <v>66</v>
      </c>
      <c r="AK5449" s="3" t="s">
        <v>27</v>
      </c>
      <c r="AL5449" s="3">
        <v>-6452</v>
      </c>
    </row>
    <row r="5450" spans="34:38">
      <c r="AH5450" t="s">
        <v>2159</v>
      </c>
      <c r="AI5450" t="s">
        <v>67</v>
      </c>
      <c r="AJ5450" t="s">
        <v>72</v>
      </c>
      <c r="AK5450" s="3" t="s">
        <v>27</v>
      </c>
      <c r="AL5450" s="3">
        <v>-7180.3265199999996</v>
      </c>
    </row>
    <row r="5451" spans="34:38">
      <c r="AH5451" t="s">
        <v>2159</v>
      </c>
      <c r="AI5451" t="s">
        <v>67</v>
      </c>
      <c r="AJ5451" t="s">
        <v>108</v>
      </c>
      <c r="AK5451" s="3" t="s">
        <v>27</v>
      </c>
      <c r="AL5451" s="3">
        <v>-728.32651999999996</v>
      </c>
    </row>
    <row r="5452" spans="34:38">
      <c r="AH5452" t="s">
        <v>2159</v>
      </c>
      <c r="AI5452" t="s">
        <v>68</v>
      </c>
      <c r="AJ5452" t="s">
        <v>66</v>
      </c>
      <c r="AK5452" s="3" t="s">
        <v>27</v>
      </c>
      <c r="AL5452" s="3">
        <v>100</v>
      </c>
    </row>
    <row r="5453" spans="34:38">
      <c r="AH5453" t="s">
        <v>2159</v>
      </c>
      <c r="AI5453" t="s">
        <v>68</v>
      </c>
      <c r="AJ5453" t="s">
        <v>72</v>
      </c>
      <c r="AK5453" s="3" t="s">
        <v>27</v>
      </c>
      <c r="AL5453" s="3">
        <v>95.869</v>
      </c>
    </row>
    <row r="5454" spans="34:38">
      <c r="AH5454" t="s">
        <v>2159</v>
      </c>
      <c r="AI5454" t="s">
        <v>68</v>
      </c>
      <c r="AJ5454" t="s">
        <v>108</v>
      </c>
      <c r="AK5454" s="3" t="s">
        <v>27</v>
      </c>
      <c r="AL5454" s="3">
        <v>-4.1310000000000002</v>
      </c>
    </row>
    <row r="5455" spans="34:38">
      <c r="AH5455" t="s">
        <v>2159</v>
      </c>
      <c r="AI5455" t="s">
        <v>65</v>
      </c>
      <c r="AJ5455" t="s">
        <v>113</v>
      </c>
      <c r="AK5455" s="3" t="s">
        <v>27</v>
      </c>
      <c r="AL5455" s="3">
        <v>2242.7802992440002</v>
      </c>
    </row>
    <row r="5456" spans="34:38">
      <c r="AH5456" t="s">
        <v>2159</v>
      </c>
      <c r="AI5456" t="s">
        <v>67</v>
      </c>
      <c r="AJ5456" t="s">
        <v>113</v>
      </c>
      <c r="AK5456" s="3" t="s">
        <v>27</v>
      </c>
      <c r="AL5456" s="3">
        <v>0</v>
      </c>
    </row>
    <row r="5457" spans="34:38">
      <c r="AH5457" t="s">
        <v>2159</v>
      </c>
      <c r="AI5457" t="s">
        <v>65</v>
      </c>
      <c r="AJ5457" t="s">
        <v>2303</v>
      </c>
      <c r="AK5457" s="3" t="s">
        <v>27</v>
      </c>
      <c r="AL5457" s="3">
        <v>-1501.975624763</v>
      </c>
    </row>
    <row r="5458" spans="34:38">
      <c r="AH5458" t="s">
        <v>2159</v>
      </c>
      <c r="AI5458" t="s">
        <v>67</v>
      </c>
      <c r="AJ5458" t="s">
        <v>2303</v>
      </c>
      <c r="AK5458" s="3" t="s">
        <v>27</v>
      </c>
      <c r="AL5458" s="3">
        <v>-728.32651999999996</v>
      </c>
    </row>
    <row r="5459" spans="34:38">
      <c r="AH5459" t="s">
        <v>2159</v>
      </c>
      <c r="AI5459" t="s">
        <v>65</v>
      </c>
      <c r="AJ5459" t="s">
        <v>113</v>
      </c>
      <c r="AK5459" s="3" t="s">
        <v>20</v>
      </c>
      <c r="AL5459" s="3">
        <v>1096.7192674815999</v>
      </c>
    </row>
    <row r="5460" spans="34:38">
      <c r="AH5460" t="s">
        <v>2160</v>
      </c>
      <c r="AI5460" t="s">
        <v>65</v>
      </c>
      <c r="AJ5460" t="s">
        <v>66</v>
      </c>
      <c r="AK5460" s="3" t="s">
        <v>27</v>
      </c>
      <c r="AL5460" s="3">
        <v>17114</v>
      </c>
    </row>
    <row r="5461" spans="34:38">
      <c r="AH5461" t="s">
        <v>2160</v>
      </c>
      <c r="AI5461" t="s">
        <v>65</v>
      </c>
      <c r="AJ5461" t="s">
        <v>72</v>
      </c>
      <c r="AK5461" s="3" t="s">
        <v>27</v>
      </c>
      <c r="AL5461" s="3">
        <v>17737.380290000001</v>
      </c>
    </row>
    <row r="5462" spans="34:38">
      <c r="AH5462" t="s">
        <v>2160</v>
      </c>
      <c r="AI5462" t="s">
        <v>65</v>
      </c>
      <c r="AJ5462" t="s">
        <v>108</v>
      </c>
      <c r="AK5462" s="3" t="s">
        <v>27</v>
      </c>
      <c r="AL5462" s="3">
        <v>623.38028999999995</v>
      </c>
    </row>
    <row r="5463" spans="34:38">
      <c r="AH5463" t="s">
        <v>2160</v>
      </c>
      <c r="AI5463" t="s">
        <v>67</v>
      </c>
      <c r="AJ5463" t="s">
        <v>66</v>
      </c>
      <c r="AK5463" s="3" t="s">
        <v>27</v>
      </c>
      <c r="AL5463" s="3">
        <v>-6196</v>
      </c>
    </row>
    <row r="5464" spans="34:38">
      <c r="AH5464" t="s">
        <v>2160</v>
      </c>
      <c r="AI5464" t="s">
        <v>67</v>
      </c>
      <c r="AJ5464" t="s">
        <v>72</v>
      </c>
      <c r="AK5464" s="3" t="s">
        <v>27</v>
      </c>
      <c r="AL5464" s="3">
        <v>-6915.33223</v>
      </c>
    </row>
    <row r="5465" spans="34:38">
      <c r="AH5465" t="s">
        <v>2160</v>
      </c>
      <c r="AI5465" t="s">
        <v>67</v>
      </c>
      <c r="AJ5465" t="s">
        <v>108</v>
      </c>
      <c r="AK5465" s="3" t="s">
        <v>27</v>
      </c>
      <c r="AL5465" s="3">
        <v>-719.33222999999998</v>
      </c>
    </row>
    <row r="5466" spans="34:38">
      <c r="AH5466" t="s">
        <v>2160</v>
      </c>
      <c r="AI5466" t="s">
        <v>68</v>
      </c>
      <c r="AJ5466" t="s">
        <v>66</v>
      </c>
      <c r="AK5466" s="3" t="s">
        <v>27</v>
      </c>
      <c r="AL5466" s="3">
        <v>-56</v>
      </c>
    </row>
    <row r="5467" spans="34:38">
      <c r="AH5467" t="s">
        <v>2160</v>
      </c>
      <c r="AI5467" t="s">
        <v>68</v>
      </c>
      <c r="AJ5467" t="s">
        <v>72</v>
      </c>
      <c r="AK5467" s="3" t="s">
        <v>27</v>
      </c>
      <c r="AL5467" s="3">
        <v>-75.322199999999995</v>
      </c>
    </row>
    <row r="5468" spans="34:38">
      <c r="AH5468" t="s">
        <v>2160</v>
      </c>
      <c r="AI5468" t="s">
        <v>68</v>
      </c>
      <c r="AJ5468" t="s">
        <v>108</v>
      </c>
      <c r="AK5468" s="3" t="s">
        <v>27</v>
      </c>
      <c r="AL5468" s="3">
        <v>-19.322199999999999</v>
      </c>
    </row>
    <row r="5469" spans="34:38">
      <c r="AH5469" t="s">
        <v>2160</v>
      </c>
      <c r="AI5469" t="s">
        <v>65</v>
      </c>
      <c r="AJ5469" t="s">
        <v>113</v>
      </c>
      <c r="AK5469" s="3" t="s">
        <v>27</v>
      </c>
      <c r="AL5469" s="3">
        <v>2154.9133763919999</v>
      </c>
    </row>
    <row r="5470" spans="34:38">
      <c r="AH5470" t="s">
        <v>2160</v>
      </c>
      <c r="AI5470" t="s">
        <v>67</v>
      </c>
      <c r="AJ5470" t="s">
        <v>113</v>
      </c>
      <c r="AK5470" s="3" t="s">
        <v>27</v>
      </c>
      <c r="AL5470" s="3">
        <v>0</v>
      </c>
    </row>
    <row r="5471" spans="34:38">
      <c r="AH5471" t="s">
        <v>2160</v>
      </c>
      <c r="AI5471" t="s">
        <v>65</v>
      </c>
      <c r="AJ5471" t="s">
        <v>2303</v>
      </c>
      <c r="AK5471" s="3" t="s">
        <v>27</v>
      </c>
      <c r="AL5471" s="3">
        <v>-1414.2406798239999</v>
      </c>
    </row>
    <row r="5472" spans="34:38">
      <c r="AH5472" t="s">
        <v>2160</v>
      </c>
      <c r="AI5472" t="s">
        <v>67</v>
      </c>
      <c r="AJ5472" t="s">
        <v>2303</v>
      </c>
      <c r="AK5472" s="3" t="s">
        <v>27</v>
      </c>
      <c r="AL5472" s="3">
        <v>-711.20272999999997</v>
      </c>
    </row>
    <row r="5473" spans="34:38">
      <c r="AH5473" t="s">
        <v>2160</v>
      </c>
      <c r="AI5473" t="s">
        <v>65</v>
      </c>
      <c r="AJ5473" t="s">
        <v>113</v>
      </c>
      <c r="AK5473" s="3" t="s">
        <v>20</v>
      </c>
      <c r="AL5473" s="3">
        <v>1097.9780587810999</v>
      </c>
    </row>
    <row r="5474" spans="34:38">
      <c r="AH5474" t="s">
        <v>2161</v>
      </c>
      <c r="AI5474" t="s">
        <v>65</v>
      </c>
      <c r="AJ5474" t="s">
        <v>66</v>
      </c>
      <c r="AK5474" s="3" t="s">
        <v>27</v>
      </c>
      <c r="AL5474" s="3">
        <v>16616</v>
      </c>
    </row>
    <row r="5475" spans="34:38">
      <c r="AH5475" t="s">
        <v>2161</v>
      </c>
      <c r="AI5475" t="s">
        <v>65</v>
      </c>
      <c r="AJ5475" t="s">
        <v>72</v>
      </c>
      <c r="AK5475" s="3" t="s">
        <v>27</v>
      </c>
      <c r="AL5475" s="3">
        <v>17253.964240000001</v>
      </c>
    </row>
    <row r="5476" spans="34:38">
      <c r="AH5476" t="s">
        <v>2161</v>
      </c>
      <c r="AI5476" t="s">
        <v>65</v>
      </c>
      <c r="AJ5476" t="s">
        <v>108</v>
      </c>
      <c r="AK5476" s="3" t="s">
        <v>27</v>
      </c>
      <c r="AL5476" s="3">
        <v>637.96424000000002</v>
      </c>
    </row>
    <row r="5477" spans="34:38">
      <c r="AH5477" t="s">
        <v>2161</v>
      </c>
      <c r="AI5477" t="s">
        <v>67</v>
      </c>
      <c r="AJ5477" t="s">
        <v>66</v>
      </c>
      <c r="AK5477" s="3" t="s">
        <v>27</v>
      </c>
      <c r="AL5477" s="3">
        <v>-5798</v>
      </c>
    </row>
    <row r="5478" spans="34:38">
      <c r="AH5478" t="s">
        <v>2161</v>
      </c>
      <c r="AI5478" t="s">
        <v>67</v>
      </c>
      <c r="AJ5478" t="s">
        <v>72</v>
      </c>
      <c r="AK5478" s="3" t="s">
        <v>27</v>
      </c>
      <c r="AL5478" s="3">
        <v>-6519.9968399999998</v>
      </c>
    </row>
    <row r="5479" spans="34:38">
      <c r="AH5479" t="s">
        <v>2161</v>
      </c>
      <c r="AI5479" t="s">
        <v>67</v>
      </c>
      <c r="AJ5479" t="s">
        <v>108</v>
      </c>
      <c r="AK5479" s="3" t="s">
        <v>27</v>
      </c>
      <c r="AL5479" s="3">
        <v>-721.99684000000002</v>
      </c>
    </row>
    <row r="5480" spans="34:38">
      <c r="AH5480" t="s">
        <v>2161</v>
      </c>
      <c r="AI5480" t="s">
        <v>68</v>
      </c>
      <c r="AJ5480" t="s">
        <v>66</v>
      </c>
      <c r="AK5480" s="3" t="s">
        <v>27</v>
      </c>
      <c r="AL5480" s="3">
        <v>44</v>
      </c>
    </row>
    <row r="5481" spans="34:38">
      <c r="AH5481" t="s">
        <v>2161</v>
      </c>
      <c r="AI5481" t="s">
        <v>68</v>
      </c>
      <c r="AJ5481" t="s">
        <v>72</v>
      </c>
      <c r="AK5481" s="3" t="s">
        <v>27</v>
      </c>
      <c r="AL5481" s="3">
        <v>18.92164</v>
      </c>
    </row>
    <row r="5482" spans="34:38">
      <c r="AH5482" t="s">
        <v>2161</v>
      </c>
      <c r="AI5482" t="s">
        <v>68</v>
      </c>
      <c r="AJ5482" t="s">
        <v>108</v>
      </c>
      <c r="AK5482" s="3" t="s">
        <v>27</v>
      </c>
      <c r="AL5482" s="3">
        <v>-25.07836</v>
      </c>
    </row>
    <row r="5483" spans="34:38">
      <c r="AH5483" t="s">
        <v>2161</v>
      </c>
      <c r="AI5483" t="s">
        <v>65</v>
      </c>
      <c r="AJ5483" t="s">
        <v>113</v>
      </c>
      <c r="AK5483" s="3" t="s">
        <v>27</v>
      </c>
      <c r="AL5483" s="3">
        <v>2154.9133763919999</v>
      </c>
    </row>
    <row r="5484" spans="34:38">
      <c r="AH5484" t="s">
        <v>2161</v>
      </c>
      <c r="AI5484" t="s">
        <v>67</v>
      </c>
      <c r="AJ5484" t="s">
        <v>113</v>
      </c>
      <c r="AK5484" s="3" t="s">
        <v>27</v>
      </c>
      <c r="AL5484" s="3">
        <v>0</v>
      </c>
    </row>
    <row r="5485" spans="34:38">
      <c r="AH5485" t="s">
        <v>2161</v>
      </c>
      <c r="AI5485" t="s">
        <v>65</v>
      </c>
      <c r="AJ5485" t="s">
        <v>2303</v>
      </c>
      <c r="AK5485" s="3" t="s">
        <v>27</v>
      </c>
      <c r="AL5485" s="3">
        <v>-1425.0618417600001</v>
      </c>
    </row>
    <row r="5486" spans="34:38">
      <c r="AH5486" t="s">
        <v>2161</v>
      </c>
      <c r="AI5486" t="s">
        <v>67</v>
      </c>
      <c r="AJ5486" t="s">
        <v>2303</v>
      </c>
      <c r="AK5486" s="3" t="s">
        <v>27</v>
      </c>
      <c r="AL5486" s="3">
        <v>-684.45983999999999</v>
      </c>
    </row>
    <row r="5487" spans="34:38">
      <c r="AH5487" t="s">
        <v>2161</v>
      </c>
      <c r="AI5487" t="s">
        <v>65</v>
      </c>
      <c r="AJ5487" t="s">
        <v>113</v>
      </c>
      <c r="AK5487" s="3" t="s">
        <v>20</v>
      </c>
      <c r="AL5487" s="3">
        <v>1101.2465243182</v>
      </c>
    </row>
    <row r="5488" spans="34:38">
      <c r="AH5488" t="s">
        <v>2162</v>
      </c>
      <c r="AI5488" t="s">
        <v>65</v>
      </c>
      <c r="AJ5488" t="s">
        <v>66</v>
      </c>
      <c r="AK5488" s="3" t="s">
        <v>27</v>
      </c>
      <c r="AL5488" s="3">
        <v>17966</v>
      </c>
    </row>
    <row r="5489" spans="34:38">
      <c r="AH5489" t="s">
        <v>2162</v>
      </c>
      <c r="AI5489" t="s">
        <v>65</v>
      </c>
      <c r="AJ5489" t="s">
        <v>72</v>
      </c>
      <c r="AK5489" s="3" t="s">
        <v>27</v>
      </c>
      <c r="AL5489" s="3">
        <v>18653.887569999999</v>
      </c>
    </row>
    <row r="5490" spans="34:38">
      <c r="AH5490" t="s">
        <v>2162</v>
      </c>
      <c r="AI5490" t="s">
        <v>65</v>
      </c>
      <c r="AJ5490" t="s">
        <v>108</v>
      </c>
      <c r="AK5490" s="3" t="s">
        <v>27</v>
      </c>
      <c r="AL5490" s="3">
        <v>687.88756999999998</v>
      </c>
    </row>
    <row r="5491" spans="34:38">
      <c r="AH5491" t="s">
        <v>2162</v>
      </c>
      <c r="AI5491" t="s">
        <v>67</v>
      </c>
      <c r="AJ5491" t="s">
        <v>66</v>
      </c>
      <c r="AK5491" s="3" t="s">
        <v>27</v>
      </c>
      <c r="AL5491" s="3">
        <v>-7646</v>
      </c>
    </row>
    <row r="5492" spans="34:38">
      <c r="AH5492" t="s">
        <v>2162</v>
      </c>
      <c r="AI5492" t="s">
        <v>67</v>
      </c>
      <c r="AJ5492" t="s">
        <v>72</v>
      </c>
      <c r="AK5492" s="3" t="s">
        <v>27</v>
      </c>
      <c r="AL5492" s="3">
        <v>-8412.1827499999999</v>
      </c>
    </row>
    <row r="5493" spans="34:38">
      <c r="AH5493" t="s">
        <v>2162</v>
      </c>
      <c r="AI5493" t="s">
        <v>67</v>
      </c>
      <c r="AJ5493" t="s">
        <v>108</v>
      </c>
      <c r="AK5493" s="3" t="s">
        <v>27</v>
      </c>
      <c r="AL5493" s="3">
        <v>-766.18275000000006</v>
      </c>
    </row>
    <row r="5494" spans="34:38">
      <c r="AH5494" t="s">
        <v>2162</v>
      </c>
      <c r="AI5494" t="s">
        <v>68</v>
      </c>
      <c r="AJ5494" t="s">
        <v>66</v>
      </c>
      <c r="AK5494" s="3" t="s">
        <v>27</v>
      </c>
      <c r="AL5494" s="3">
        <v>542</v>
      </c>
    </row>
    <row r="5495" spans="34:38">
      <c r="AH5495" t="s">
        <v>2162</v>
      </c>
      <c r="AI5495" t="s">
        <v>68</v>
      </c>
      <c r="AJ5495" t="s">
        <v>72</v>
      </c>
      <c r="AK5495" s="3" t="s">
        <v>27</v>
      </c>
      <c r="AL5495" s="3">
        <v>516.60969999999998</v>
      </c>
    </row>
    <row r="5496" spans="34:38">
      <c r="AH5496" t="s">
        <v>2162</v>
      </c>
      <c r="AI5496" t="s">
        <v>68</v>
      </c>
      <c r="AJ5496" t="s">
        <v>108</v>
      </c>
      <c r="AK5496" s="3" t="s">
        <v>27</v>
      </c>
      <c r="AL5496" s="3">
        <v>-25.3903</v>
      </c>
    </row>
    <row r="5497" spans="34:38">
      <c r="AH5497" t="s">
        <v>2162</v>
      </c>
      <c r="AI5497" t="s">
        <v>65</v>
      </c>
      <c r="AJ5497" t="s">
        <v>113</v>
      </c>
      <c r="AK5497" s="3" t="s">
        <v>27</v>
      </c>
      <c r="AL5497" s="3">
        <v>2249.7892455330002</v>
      </c>
    </row>
    <row r="5498" spans="34:38">
      <c r="AH5498" t="s">
        <v>2162</v>
      </c>
      <c r="AI5498" t="s">
        <v>67</v>
      </c>
      <c r="AJ5498" t="s">
        <v>113</v>
      </c>
      <c r="AK5498" s="3" t="s">
        <v>27</v>
      </c>
      <c r="AL5498" s="3">
        <v>0</v>
      </c>
    </row>
    <row r="5499" spans="34:38">
      <c r="AH5499" t="s">
        <v>2162</v>
      </c>
      <c r="AI5499" t="s">
        <v>65</v>
      </c>
      <c r="AJ5499" t="s">
        <v>2303</v>
      </c>
      <c r="AK5499" s="3" t="s">
        <v>27</v>
      </c>
      <c r="AL5499" s="3">
        <v>-1463.2621821790001</v>
      </c>
    </row>
    <row r="5500" spans="34:38">
      <c r="AH5500" t="s">
        <v>2162</v>
      </c>
      <c r="AI5500" t="s">
        <v>67</v>
      </c>
      <c r="AJ5500" t="s">
        <v>2303</v>
      </c>
      <c r="AK5500" s="3" t="s">
        <v>27</v>
      </c>
      <c r="AL5500" s="3">
        <v>-766.18275000000006</v>
      </c>
    </row>
    <row r="5501" spans="34:38">
      <c r="AH5501" t="s">
        <v>2162</v>
      </c>
      <c r="AI5501" t="s">
        <v>65</v>
      </c>
      <c r="AJ5501" t="s">
        <v>113</v>
      </c>
      <c r="AK5501" s="3" t="s">
        <v>20</v>
      </c>
      <c r="AL5501" s="3">
        <v>1195.6394233793999</v>
      </c>
    </row>
    <row r="5502" spans="34:38">
      <c r="AH5502" t="s">
        <v>2163</v>
      </c>
      <c r="AI5502" t="s">
        <v>65</v>
      </c>
      <c r="AJ5502" t="s">
        <v>66</v>
      </c>
      <c r="AK5502" s="3" t="s">
        <v>27</v>
      </c>
      <c r="AL5502" s="3">
        <v>17766</v>
      </c>
    </row>
    <row r="5503" spans="34:38">
      <c r="AH5503" t="s">
        <v>2163</v>
      </c>
      <c r="AI5503" t="s">
        <v>65</v>
      </c>
      <c r="AJ5503" t="s">
        <v>72</v>
      </c>
      <c r="AK5503" s="3" t="s">
        <v>27</v>
      </c>
      <c r="AL5503" s="3">
        <v>18462.557639999999</v>
      </c>
    </row>
    <row r="5504" spans="34:38">
      <c r="AH5504" t="s">
        <v>2163</v>
      </c>
      <c r="AI5504" t="s">
        <v>65</v>
      </c>
      <c r="AJ5504" t="s">
        <v>108</v>
      </c>
      <c r="AK5504" s="3" t="s">
        <v>27</v>
      </c>
      <c r="AL5504" s="3">
        <v>696.55763999999999</v>
      </c>
    </row>
    <row r="5505" spans="34:38">
      <c r="AH5505" t="s">
        <v>2163</v>
      </c>
      <c r="AI5505" t="s">
        <v>67</v>
      </c>
      <c r="AJ5505" t="s">
        <v>66</v>
      </c>
      <c r="AK5505" s="3" t="s">
        <v>27</v>
      </c>
      <c r="AL5505" s="3">
        <v>-6096</v>
      </c>
    </row>
    <row r="5506" spans="34:38">
      <c r="AH5506" t="s">
        <v>2163</v>
      </c>
      <c r="AI5506" t="s">
        <v>67</v>
      </c>
      <c r="AJ5506" t="s">
        <v>72</v>
      </c>
      <c r="AK5506" s="3" t="s">
        <v>27</v>
      </c>
      <c r="AL5506" s="3">
        <v>-6825.68804</v>
      </c>
    </row>
    <row r="5507" spans="34:38">
      <c r="AH5507" t="s">
        <v>2163</v>
      </c>
      <c r="AI5507" t="s">
        <v>67</v>
      </c>
      <c r="AJ5507" t="s">
        <v>108</v>
      </c>
      <c r="AK5507" s="3" t="s">
        <v>27</v>
      </c>
      <c r="AL5507" s="3">
        <v>-729.68804</v>
      </c>
    </row>
    <row r="5508" spans="34:38">
      <c r="AH5508" t="s">
        <v>2163</v>
      </c>
      <c r="AI5508" t="s">
        <v>68</v>
      </c>
      <c r="AJ5508" t="s">
        <v>66</v>
      </c>
      <c r="AK5508" s="3" t="s">
        <v>27</v>
      </c>
      <c r="AL5508" s="3">
        <v>-808</v>
      </c>
    </row>
    <row r="5509" spans="34:38">
      <c r="AH5509" t="s">
        <v>2163</v>
      </c>
      <c r="AI5509" t="s">
        <v>68</v>
      </c>
      <c r="AJ5509" t="s">
        <v>72</v>
      </c>
      <c r="AK5509" s="3" t="s">
        <v>27</v>
      </c>
      <c r="AL5509" s="3">
        <v>-878.06079999999997</v>
      </c>
    </row>
    <row r="5510" spans="34:38">
      <c r="AH5510" t="s">
        <v>2163</v>
      </c>
      <c r="AI5510" t="s">
        <v>68</v>
      </c>
      <c r="AJ5510" t="s">
        <v>108</v>
      </c>
      <c r="AK5510" s="3" t="s">
        <v>27</v>
      </c>
      <c r="AL5510" s="3">
        <v>-70.0608</v>
      </c>
    </row>
    <row r="5511" spans="34:38">
      <c r="AH5511" t="s">
        <v>2163</v>
      </c>
      <c r="AI5511" t="s">
        <v>65</v>
      </c>
      <c r="AJ5511" t="s">
        <v>113</v>
      </c>
      <c r="AK5511" s="3" t="s">
        <v>27</v>
      </c>
      <c r="AL5511" s="3">
        <v>2245.9874084500002</v>
      </c>
    </row>
    <row r="5512" spans="34:38">
      <c r="AH5512" t="s">
        <v>2163</v>
      </c>
      <c r="AI5512" t="s">
        <v>67</v>
      </c>
      <c r="AJ5512" t="s">
        <v>113</v>
      </c>
      <c r="AK5512" s="3" t="s">
        <v>27</v>
      </c>
      <c r="AL5512" s="3">
        <v>0</v>
      </c>
    </row>
    <row r="5513" spans="34:38">
      <c r="AH5513" t="s">
        <v>2163</v>
      </c>
      <c r="AI5513" t="s">
        <v>65</v>
      </c>
      <c r="AJ5513" t="s">
        <v>2303</v>
      </c>
      <c r="AK5513" s="3" t="s">
        <v>27</v>
      </c>
      <c r="AL5513" s="3">
        <v>-1448.7991230529999</v>
      </c>
    </row>
    <row r="5514" spans="34:38">
      <c r="AH5514" t="s">
        <v>2163</v>
      </c>
      <c r="AI5514" t="s">
        <v>67</v>
      </c>
      <c r="AJ5514" t="s">
        <v>2303</v>
      </c>
      <c r="AK5514" s="3" t="s">
        <v>27</v>
      </c>
      <c r="AL5514" s="3">
        <v>-729.68804</v>
      </c>
    </row>
    <row r="5515" spans="34:38">
      <c r="AH5515" t="s">
        <v>2163</v>
      </c>
      <c r="AI5515" t="s">
        <v>65</v>
      </c>
      <c r="AJ5515" t="s">
        <v>113</v>
      </c>
      <c r="AK5515" s="3" t="s">
        <v>20</v>
      </c>
      <c r="AL5515" s="3">
        <v>1191.3546162207999</v>
      </c>
    </row>
    <row r="5516" spans="34:38">
      <c r="AH5516" t="s">
        <v>2164</v>
      </c>
      <c r="AI5516" t="s">
        <v>65</v>
      </c>
      <c r="AJ5516" t="s">
        <v>66</v>
      </c>
      <c r="AK5516" s="3" t="s">
        <v>27</v>
      </c>
      <c r="AL5516" s="3">
        <v>17016</v>
      </c>
    </row>
    <row r="5517" spans="34:38">
      <c r="AH5517" t="s">
        <v>2164</v>
      </c>
      <c r="AI5517" t="s">
        <v>65</v>
      </c>
      <c r="AJ5517" t="s">
        <v>72</v>
      </c>
      <c r="AK5517" s="3" t="s">
        <v>27</v>
      </c>
      <c r="AL5517" s="3">
        <v>17751.933659999999</v>
      </c>
    </row>
    <row r="5518" spans="34:38">
      <c r="AH5518" t="s">
        <v>2164</v>
      </c>
      <c r="AI5518" t="s">
        <v>65</v>
      </c>
      <c r="AJ5518" t="s">
        <v>108</v>
      </c>
      <c r="AK5518" s="3" t="s">
        <v>27</v>
      </c>
      <c r="AL5518" s="3">
        <v>735.93366000000003</v>
      </c>
    </row>
    <row r="5519" spans="34:38">
      <c r="AH5519" t="s">
        <v>2164</v>
      </c>
      <c r="AI5519" t="s">
        <v>67</v>
      </c>
      <c r="AJ5519" t="s">
        <v>66</v>
      </c>
      <c r="AK5519" s="3" t="s">
        <v>27</v>
      </c>
      <c r="AL5519" s="3">
        <v>-5546</v>
      </c>
    </row>
    <row r="5520" spans="34:38">
      <c r="AH5520" t="s">
        <v>2164</v>
      </c>
      <c r="AI5520" t="s">
        <v>67</v>
      </c>
      <c r="AJ5520" t="s">
        <v>72</v>
      </c>
      <c r="AK5520" s="3" t="s">
        <v>27</v>
      </c>
      <c r="AL5520" s="3">
        <v>-6316.5004399999998</v>
      </c>
    </row>
    <row r="5521" spans="34:38">
      <c r="AH5521" t="s">
        <v>2164</v>
      </c>
      <c r="AI5521" t="s">
        <v>67</v>
      </c>
      <c r="AJ5521" t="s">
        <v>108</v>
      </c>
      <c r="AK5521" s="3" t="s">
        <v>27</v>
      </c>
      <c r="AL5521" s="3">
        <v>-770.50044000000003</v>
      </c>
    </row>
    <row r="5522" spans="34:38">
      <c r="AH5522" t="s">
        <v>2164</v>
      </c>
      <c r="AI5522" t="s">
        <v>68</v>
      </c>
      <c r="AJ5522" t="s">
        <v>66</v>
      </c>
      <c r="AK5522" s="3" t="s">
        <v>27</v>
      </c>
      <c r="AL5522" s="3">
        <v>-250</v>
      </c>
    </row>
    <row r="5523" spans="34:38">
      <c r="AH5523" t="s">
        <v>2164</v>
      </c>
      <c r="AI5523" t="s">
        <v>68</v>
      </c>
      <c r="AJ5523" t="s">
        <v>72</v>
      </c>
      <c r="AK5523" s="3" t="s">
        <v>27</v>
      </c>
      <c r="AL5523" s="3">
        <v>-312.71050000000002</v>
      </c>
    </row>
    <row r="5524" spans="34:38">
      <c r="AH5524" t="s">
        <v>2164</v>
      </c>
      <c r="AI5524" t="s">
        <v>68</v>
      </c>
      <c r="AJ5524" t="s">
        <v>108</v>
      </c>
      <c r="AK5524" s="3" t="s">
        <v>27</v>
      </c>
      <c r="AL5524" s="3">
        <v>-62.710500000000003</v>
      </c>
    </row>
    <row r="5525" spans="34:38">
      <c r="AH5525" t="s">
        <v>2164</v>
      </c>
      <c r="AI5525" t="s">
        <v>65</v>
      </c>
      <c r="AJ5525" t="s">
        <v>113</v>
      </c>
      <c r="AK5525" s="3" t="s">
        <v>27</v>
      </c>
      <c r="AL5525" s="3">
        <v>2256.0826138890002</v>
      </c>
    </row>
    <row r="5526" spans="34:38">
      <c r="AH5526" t="s">
        <v>2164</v>
      </c>
      <c r="AI5526" t="s">
        <v>67</v>
      </c>
      <c r="AJ5526" t="s">
        <v>113</v>
      </c>
      <c r="AK5526" s="3" t="s">
        <v>27</v>
      </c>
      <c r="AL5526" s="3">
        <v>0</v>
      </c>
    </row>
    <row r="5527" spans="34:38">
      <c r="AH5527" t="s">
        <v>2164</v>
      </c>
      <c r="AI5527" t="s">
        <v>65</v>
      </c>
      <c r="AJ5527" t="s">
        <v>2303</v>
      </c>
      <c r="AK5527" s="3" t="s">
        <v>27</v>
      </c>
      <c r="AL5527" s="3">
        <v>-1429.2159431</v>
      </c>
    </row>
    <row r="5528" spans="34:38">
      <c r="AH5528" t="s">
        <v>2164</v>
      </c>
      <c r="AI5528" t="s">
        <v>67</v>
      </c>
      <c r="AJ5528" t="s">
        <v>2303</v>
      </c>
      <c r="AK5528" s="3" t="s">
        <v>27</v>
      </c>
      <c r="AL5528" s="3">
        <v>-762.85044000000005</v>
      </c>
    </row>
    <row r="5529" spans="34:38">
      <c r="AH5529" t="s">
        <v>2164</v>
      </c>
      <c r="AI5529" t="s">
        <v>65</v>
      </c>
      <c r="AJ5529" t="s">
        <v>113</v>
      </c>
      <c r="AK5529" s="3" t="s">
        <v>20</v>
      </c>
      <c r="AL5529" s="3">
        <v>1210.2132735091</v>
      </c>
    </row>
    <row r="5530" spans="34:38">
      <c r="AH5530" t="s">
        <v>2165</v>
      </c>
      <c r="AI5530" t="s">
        <v>65</v>
      </c>
      <c r="AJ5530" t="s">
        <v>66</v>
      </c>
      <c r="AK5530" s="3" t="s">
        <v>27</v>
      </c>
      <c r="AL5530" s="3">
        <v>17316</v>
      </c>
    </row>
    <row r="5531" spans="34:38">
      <c r="AH5531" t="s">
        <v>2165</v>
      </c>
      <c r="AI5531" t="s">
        <v>65</v>
      </c>
      <c r="AJ5531" t="s">
        <v>72</v>
      </c>
      <c r="AK5531" s="3" t="s">
        <v>27</v>
      </c>
      <c r="AL5531" s="3">
        <v>18029.718919999999</v>
      </c>
    </row>
    <row r="5532" spans="34:38">
      <c r="AH5532" t="s">
        <v>2165</v>
      </c>
      <c r="AI5532" t="s">
        <v>65</v>
      </c>
      <c r="AJ5532" t="s">
        <v>108</v>
      </c>
      <c r="AK5532" s="3" t="s">
        <v>27</v>
      </c>
      <c r="AL5532" s="3">
        <v>713.71892000000003</v>
      </c>
    </row>
    <row r="5533" spans="34:38">
      <c r="AH5533" t="s">
        <v>2165</v>
      </c>
      <c r="AI5533" t="s">
        <v>67</v>
      </c>
      <c r="AJ5533" t="s">
        <v>66</v>
      </c>
      <c r="AK5533" s="3" t="s">
        <v>27</v>
      </c>
      <c r="AL5533" s="3">
        <v>-6596</v>
      </c>
    </row>
    <row r="5534" spans="34:38">
      <c r="AH5534" t="s">
        <v>2165</v>
      </c>
      <c r="AI5534" t="s">
        <v>67</v>
      </c>
      <c r="AJ5534" t="s">
        <v>72</v>
      </c>
      <c r="AK5534" s="3" t="s">
        <v>27</v>
      </c>
      <c r="AL5534" s="3">
        <v>-7303.8597799999998</v>
      </c>
    </row>
    <row r="5535" spans="34:38">
      <c r="AH5535" t="s">
        <v>2165</v>
      </c>
      <c r="AI5535" t="s">
        <v>67</v>
      </c>
      <c r="AJ5535" t="s">
        <v>108</v>
      </c>
      <c r="AK5535" s="3" t="s">
        <v>27</v>
      </c>
      <c r="AL5535" s="3">
        <v>-707.85978</v>
      </c>
    </row>
    <row r="5536" spans="34:38">
      <c r="AH5536" t="s">
        <v>2165</v>
      </c>
      <c r="AI5536" t="s">
        <v>68</v>
      </c>
      <c r="AJ5536" t="s">
        <v>66</v>
      </c>
      <c r="AK5536" s="3" t="s">
        <v>27</v>
      </c>
      <c r="AL5536" s="3">
        <v>700</v>
      </c>
    </row>
    <row r="5537" spans="34:38">
      <c r="AH5537" t="s">
        <v>2165</v>
      </c>
      <c r="AI5537" t="s">
        <v>68</v>
      </c>
      <c r="AJ5537" t="s">
        <v>72</v>
      </c>
      <c r="AK5537" s="3" t="s">
        <v>27</v>
      </c>
      <c r="AL5537" s="3">
        <v>630.29549999999995</v>
      </c>
    </row>
    <row r="5538" spans="34:38">
      <c r="AH5538" t="s">
        <v>2165</v>
      </c>
      <c r="AI5538" t="s">
        <v>68</v>
      </c>
      <c r="AJ5538" t="s">
        <v>108</v>
      </c>
      <c r="AK5538" s="3" t="s">
        <v>27</v>
      </c>
      <c r="AL5538" s="3">
        <v>-69.704499999999996</v>
      </c>
    </row>
    <row r="5539" spans="34:38">
      <c r="AH5539" t="s">
        <v>2165</v>
      </c>
      <c r="AI5539" t="s">
        <v>65</v>
      </c>
      <c r="AJ5539" t="s">
        <v>113</v>
      </c>
      <c r="AK5539" s="3" t="s">
        <v>27</v>
      </c>
      <c r="AL5539" s="3">
        <v>2217.711473888</v>
      </c>
    </row>
    <row r="5540" spans="34:38">
      <c r="AH5540" t="s">
        <v>2165</v>
      </c>
      <c r="AI5540" t="s">
        <v>67</v>
      </c>
      <c r="AJ5540" t="s">
        <v>113</v>
      </c>
      <c r="AK5540" s="3" t="s">
        <v>27</v>
      </c>
      <c r="AL5540" s="3">
        <v>0</v>
      </c>
    </row>
    <row r="5541" spans="34:38">
      <c r="AH5541" t="s">
        <v>2165</v>
      </c>
      <c r="AI5541" t="s">
        <v>65</v>
      </c>
      <c r="AJ5541" t="s">
        <v>2303</v>
      </c>
      <c r="AK5541" s="3" t="s">
        <v>27</v>
      </c>
      <c r="AL5541" s="3">
        <v>-1408.010045683</v>
      </c>
    </row>
    <row r="5542" spans="34:38">
      <c r="AH5542" t="s">
        <v>2165</v>
      </c>
      <c r="AI5542" t="s">
        <v>67</v>
      </c>
      <c r="AJ5542" t="s">
        <v>2303</v>
      </c>
      <c r="AK5542" s="3" t="s">
        <v>27</v>
      </c>
      <c r="AL5542" s="3">
        <v>-715.65527999999995</v>
      </c>
    </row>
    <row r="5543" spans="34:38">
      <c r="AH5543" t="s">
        <v>2165</v>
      </c>
      <c r="AI5543" t="s">
        <v>65</v>
      </c>
      <c r="AJ5543" t="s">
        <v>113</v>
      </c>
      <c r="AK5543" s="3" t="s">
        <v>20</v>
      </c>
      <c r="AL5543" s="3">
        <v>1186.301474607</v>
      </c>
    </row>
    <row r="5544" spans="34:38">
      <c r="AH5544" t="s">
        <v>2166</v>
      </c>
      <c r="AI5544" t="s">
        <v>67</v>
      </c>
      <c r="AJ5544" t="s">
        <v>113</v>
      </c>
      <c r="AK5544" s="3" t="s">
        <v>27</v>
      </c>
      <c r="AL5544" s="3">
        <v>0</v>
      </c>
    </row>
    <row r="5545" spans="34:38">
      <c r="AH5545" t="s">
        <v>2166</v>
      </c>
      <c r="AI5545" t="s">
        <v>65</v>
      </c>
      <c r="AJ5545" t="s">
        <v>2303</v>
      </c>
      <c r="AK5545" s="3" t="s">
        <v>27</v>
      </c>
      <c r="AL5545" s="3">
        <v>-1358.486874383</v>
      </c>
    </row>
    <row r="5546" spans="34:38">
      <c r="AH5546" t="s">
        <v>2166</v>
      </c>
      <c r="AI5546" t="s">
        <v>67</v>
      </c>
      <c r="AJ5546" t="s">
        <v>2303</v>
      </c>
      <c r="AK5546" s="3" t="s">
        <v>27</v>
      </c>
      <c r="AL5546" s="3">
        <v>-772.14346999999998</v>
      </c>
    </row>
    <row r="5547" spans="34:38">
      <c r="AH5547" t="s">
        <v>2166</v>
      </c>
      <c r="AI5547" t="s">
        <v>65</v>
      </c>
      <c r="AJ5547" t="s">
        <v>113</v>
      </c>
      <c r="AK5547" s="3" t="s">
        <v>20</v>
      </c>
      <c r="AL5547" s="3">
        <v>1212.7345261025</v>
      </c>
    </row>
    <row r="5548" spans="34:38">
      <c r="AH5548" t="s">
        <v>2166</v>
      </c>
      <c r="AI5548" t="s">
        <v>65</v>
      </c>
      <c r="AJ5548" t="s">
        <v>66</v>
      </c>
      <c r="AK5548" s="3" t="s">
        <v>27</v>
      </c>
      <c r="AL5548" s="3">
        <v>17866</v>
      </c>
    </row>
    <row r="5549" spans="34:38">
      <c r="AH5549" t="s">
        <v>2166</v>
      </c>
      <c r="AI5549" t="s">
        <v>65</v>
      </c>
      <c r="AJ5549" t="s">
        <v>72</v>
      </c>
      <c r="AK5549" s="3" t="s">
        <v>27</v>
      </c>
      <c r="AL5549" s="3">
        <v>18632.824530000002</v>
      </c>
    </row>
    <row r="5550" spans="34:38">
      <c r="AH5550" t="s">
        <v>2166</v>
      </c>
      <c r="AI5550" t="s">
        <v>65</v>
      </c>
      <c r="AJ5550" t="s">
        <v>108</v>
      </c>
      <c r="AK5550" s="3" t="s">
        <v>27</v>
      </c>
      <c r="AL5550" s="3">
        <v>766.82452999999998</v>
      </c>
    </row>
    <row r="5551" spans="34:38">
      <c r="AH5551" t="s">
        <v>2166</v>
      </c>
      <c r="AI5551" t="s">
        <v>67</v>
      </c>
      <c r="AJ5551" t="s">
        <v>66</v>
      </c>
      <c r="AK5551" s="3" t="s">
        <v>27</v>
      </c>
      <c r="AL5551" s="3">
        <v>-6846</v>
      </c>
    </row>
    <row r="5552" spans="34:38">
      <c r="AH5552" t="s">
        <v>2166</v>
      </c>
      <c r="AI5552" t="s">
        <v>67</v>
      </c>
      <c r="AJ5552" t="s">
        <v>72</v>
      </c>
      <c r="AK5552" s="3" t="s">
        <v>27</v>
      </c>
      <c r="AL5552" s="3">
        <v>-7618.14347</v>
      </c>
    </row>
    <row r="5553" spans="34:38">
      <c r="AH5553" t="s">
        <v>2166</v>
      </c>
      <c r="AI5553" t="s">
        <v>67</v>
      </c>
      <c r="AJ5553" t="s">
        <v>108</v>
      </c>
      <c r="AK5553" s="3" t="s">
        <v>27</v>
      </c>
      <c r="AL5553" s="3">
        <v>-772.14346999999998</v>
      </c>
    </row>
    <row r="5554" spans="34:38">
      <c r="AH5554" t="s">
        <v>2166</v>
      </c>
      <c r="AI5554" t="s">
        <v>68</v>
      </c>
      <c r="AJ5554" t="s">
        <v>66</v>
      </c>
      <c r="AK5554" s="3" t="s">
        <v>27</v>
      </c>
      <c r="AL5554" s="3">
        <v>400</v>
      </c>
    </row>
    <row r="5555" spans="34:38">
      <c r="AH5555" t="s">
        <v>2166</v>
      </c>
      <c r="AI5555" t="s">
        <v>68</v>
      </c>
      <c r="AJ5555" t="s">
        <v>72</v>
      </c>
      <c r="AK5555" s="3" t="s">
        <v>27</v>
      </c>
      <c r="AL5555" s="3">
        <v>362.01900000000001</v>
      </c>
    </row>
    <row r="5556" spans="34:38">
      <c r="AH5556" t="s">
        <v>2166</v>
      </c>
      <c r="AI5556" t="s">
        <v>68</v>
      </c>
      <c r="AJ5556" t="s">
        <v>108</v>
      </c>
      <c r="AK5556" s="3" t="s">
        <v>27</v>
      </c>
      <c r="AL5556" s="3">
        <v>-37.981000000000002</v>
      </c>
    </row>
    <row r="5557" spans="34:38">
      <c r="AH5557" t="s">
        <v>2166</v>
      </c>
      <c r="AI5557" t="s">
        <v>65</v>
      </c>
      <c r="AJ5557" t="s">
        <v>113</v>
      </c>
      <c r="AK5557" s="3" t="s">
        <v>27</v>
      </c>
      <c r="AL5557" s="3">
        <v>2251.0815118669998</v>
      </c>
    </row>
    <row r="5558" spans="34:38">
      <c r="AH5558" t="s">
        <v>2167</v>
      </c>
      <c r="AI5558" t="s">
        <v>65</v>
      </c>
      <c r="AJ5558" t="s">
        <v>66</v>
      </c>
      <c r="AK5558" s="3" t="s">
        <v>27</v>
      </c>
      <c r="AL5558" s="3">
        <v>17566</v>
      </c>
    </row>
    <row r="5559" spans="34:38">
      <c r="AH5559" t="s">
        <v>2167</v>
      </c>
      <c r="AI5559" t="s">
        <v>65</v>
      </c>
      <c r="AJ5559" t="s">
        <v>72</v>
      </c>
      <c r="AK5559" s="3" t="s">
        <v>27</v>
      </c>
      <c r="AL5559" s="3">
        <v>18357.563569999998</v>
      </c>
    </row>
    <row r="5560" spans="34:38">
      <c r="AH5560" t="s">
        <v>2167</v>
      </c>
      <c r="AI5560" t="s">
        <v>65</v>
      </c>
      <c r="AJ5560" t="s">
        <v>108</v>
      </c>
      <c r="AK5560" s="3" t="s">
        <v>27</v>
      </c>
      <c r="AL5560" s="3">
        <v>791.56357000000003</v>
      </c>
    </row>
    <row r="5561" spans="34:38">
      <c r="AH5561" t="s">
        <v>2167</v>
      </c>
      <c r="AI5561" t="s">
        <v>67</v>
      </c>
      <c r="AJ5561" t="s">
        <v>66</v>
      </c>
      <c r="AK5561" s="3" t="s">
        <v>27</v>
      </c>
      <c r="AL5561" s="3">
        <v>-5996</v>
      </c>
    </row>
    <row r="5562" spans="34:38">
      <c r="AH5562" t="s">
        <v>2167</v>
      </c>
      <c r="AI5562" t="s">
        <v>67</v>
      </c>
      <c r="AJ5562" t="s">
        <v>72</v>
      </c>
      <c r="AK5562" s="3" t="s">
        <v>27</v>
      </c>
      <c r="AL5562" s="3">
        <v>-6781.3010100000001</v>
      </c>
    </row>
    <row r="5563" spans="34:38">
      <c r="AH5563" t="s">
        <v>2167</v>
      </c>
      <c r="AI5563" t="s">
        <v>67</v>
      </c>
      <c r="AJ5563" t="s">
        <v>108</v>
      </c>
      <c r="AK5563" s="3" t="s">
        <v>27</v>
      </c>
      <c r="AL5563" s="3">
        <v>-785.30101000000002</v>
      </c>
    </row>
    <row r="5564" spans="34:38">
      <c r="AH5564" t="s">
        <v>2167</v>
      </c>
      <c r="AI5564" t="s">
        <v>68</v>
      </c>
      <c r="AJ5564" t="s">
        <v>66</v>
      </c>
      <c r="AK5564" s="3" t="s">
        <v>27</v>
      </c>
      <c r="AL5564" s="3">
        <v>-200</v>
      </c>
    </row>
    <row r="5565" spans="34:38">
      <c r="AH5565" t="s">
        <v>2167</v>
      </c>
      <c r="AI5565" t="s">
        <v>68</v>
      </c>
      <c r="AJ5565" t="s">
        <v>72</v>
      </c>
      <c r="AK5565" s="3" t="s">
        <v>27</v>
      </c>
      <c r="AL5565" s="3">
        <v>-187.95</v>
      </c>
    </row>
    <row r="5566" spans="34:38">
      <c r="AH5566" t="s">
        <v>2167</v>
      </c>
      <c r="AI5566" t="s">
        <v>68</v>
      </c>
      <c r="AJ5566" t="s">
        <v>108</v>
      </c>
      <c r="AK5566" s="3" t="s">
        <v>27</v>
      </c>
      <c r="AL5566" s="3">
        <v>12.05</v>
      </c>
    </row>
    <row r="5567" spans="34:38">
      <c r="AH5567" t="s">
        <v>2167</v>
      </c>
      <c r="AI5567" t="s">
        <v>65</v>
      </c>
      <c r="AJ5567" t="s">
        <v>113</v>
      </c>
      <c r="AK5567" s="3" t="s">
        <v>27</v>
      </c>
      <c r="AL5567" s="3">
        <v>2251.0815118669998</v>
      </c>
    </row>
    <row r="5568" spans="34:38">
      <c r="AH5568" t="s">
        <v>2167</v>
      </c>
      <c r="AI5568" t="s">
        <v>67</v>
      </c>
      <c r="AJ5568" t="s">
        <v>113</v>
      </c>
      <c r="AK5568" s="3" t="s">
        <v>27</v>
      </c>
      <c r="AL5568" s="3">
        <v>0</v>
      </c>
    </row>
    <row r="5569" spans="34:38">
      <c r="AH5569" t="s">
        <v>2167</v>
      </c>
      <c r="AI5569" t="s">
        <v>65</v>
      </c>
      <c r="AJ5569" t="s">
        <v>2303</v>
      </c>
      <c r="AK5569" s="3" t="s">
        <v>27</v>
      </c>
      <c r="AL5569" s="3">
        <v>-1316.394777789</v>
      </c>
    </row>
    <row r="5570" spans="34:38">
      <c r="AH5570" t="s">
        <v>2167</v>
      </c>
      <c r="AI5570" t="s">
        <v>67</v>
      </c>
      <c r="AJ5570" t="s">
        <v>2303</v>
      </c>
      <c r="AK5570" s="3" t="s">
        <v>27</v>
      </c>
      <c r="AL5570" s="3">
        <v>-785.30101000000002</v>
      </c>
    </row>
    <row r="5571" spans="34:38">
      <c r="AH5571" t="s">
        <v>2167</v>
      </c>
      <c r="AI5571" t="s">
        <v>65</v>
      </c>
      <c r="AJ5571" t="s">
        <v>113</v>
      </c>
      <c r="AK5571" s="3" t="s">
        <v>20</v>
      </c>
      <c r="AL5571" s="3">
        <v>1218.7187373116999</v>
      </c>
    </row>
    <row r="5572" spans="34:38">
      <c r="AH5572" t="s">
        <v>2168</v>
      </c>
      <c r="AI5572" t="s">
        <v>65</v>
      </c>
      <c r="AJ5572" t="s">
        <v>66</v>
      </c>
      <c r="AK5572" s="3" t="s">
        <v>27</v>
      </c>
      <c r="AL5572" s="3">
        <v>17616</v>
      </c>
    </row>
    <row r="5573" spans="34:38">
      <c r="AH5573" t="s">
        <v>2168</v>
      </c>
      <c r="AI5573" t="s">
        <v>65</v>
      </c>
      <c r="AJ5573" t="s">
        <v>72</v>
      </c>
      <c r="AK5573" s="3" t="s">
        <v>27</v>
      </c>
      <c r="AL5573" s="3">
        <v>18421.617119999999</v>
      </c>
    </row>
    <row r="5574" spans="34:38">
      <c r="AH5574" t="s">
        <v>2168</v>
      </c>
      <c r="AI5574" t="s">
        <v>65</v>
      </c>
      <c r="AJ5574" t="s">
        <v>108</v>
      </c>
      <c r="AK5574" s="3" t="s">
        <v>27</v>
      </c>
      <c r="AL5574" s="3">
        <v>805.61712</v>
      </c>
    </row>
    <row r="5575" spans="34:38">
      <c r="AH5575" t="s">
        <v>2168</v>
      </c>
      <c r="AI5575" t="s">
        <v>67</v>
      </c>
      <c r="AJ5575" t="s">
        <v>66</v>
      </c>
      <c r="AK5575" s="3" t="s">
        <v>27</v>
      </c>
      <c r="AL5575" s="3">
        <v>-6246</v>
      </c>
    </row>
    <row r="5576" spans="34:38">
      <c r="AH5576" t="s">
        <v>2168</v>
      </c>
      <c r="AI5576" t="s">
        <v>67</v>
      </c>
      <c r="AJ5576" t="s">
        <v>72</v>
      </c>
      <c r="AK5576" s="3" t="s">
        <v>27</v>
      </c>
      <c r="AL5576" s="3">
        <v>-7043.8571599999996</v>
      </c>
    </row>
    <row r="5577" spans="34:38">
      <c r="AH5577" t="s">
        <v>2168</v>
      </c>
      <c r="AI5577" t="s">
        <v>67</v>
      </c>
      <c r="AJ5577" t="s">
        <v>108</v>
      </c>
      <c r="AK5577" s="3" t="s">
        <v>27</v>
      </c>
      <c r="AL5577" s="3">
        <v>-797.85716000000002</v>
      </c>
    </row>
    <row r="5578" spans="34:38">
      <c r="AH5578" t="s">
        <v>2168</v>
      </c>
      <c r="AI5578" t="s">
        <v>68</v>
      </c>
      <c r="AJ5578" t="s">
        <v>66</v>
      </c>
      <c r="AK5578" s="3" t="s">
        <v>27</v>
      </c>
      <c r="AL5578" s="3">
        <v>0</v>
      </c>
    </row>
    <row r="5579" spans="34:38">
      <c r="AH5579" t="s">
        <v>2168</v>
      </c>
      <c r="AI5579" t="s">
        <v>68</v>
      </c>
      <c r="AJ5579" t="s">
        <v>72</v>
      </c>
      <c r="AK5579" s="3" t="s">
        <v>27</v>
      </c>
      <c r="AL5579" s="3">
        <v>10.584</v>
      </c>
    </row>
    <row r="5580" spans="34:38">
      <c r="AH5580" t="s">
        <v>2168</v>
      </c>
      <c r="AI5580" t="s">
        <v>68</v>
      </c>
      <c r="AJ5580" t="s">
        <v>108</v>
      </c>
      <c r="AK5580" s="3" t="s">
        <v>27</v>
      </c>
      <c r="AL5580" s="3">
        <v>10.584</v>
      </c>
    </row>
    <row r="5581" spans="34:38">
      <c r="AH5581" t="s">
        <v>2168</v>
      </c>
      <c r="AI5581" t="s">
        <v>65</v>
      </c>
      <c r="AJ5581" t="s">
        <v>113</v>
      </c>
      <c r="AK5581" s="3" t="s">
        <v>27</v>
      </c>
      <c r="AL5581" s="3">
        <v>2265.9959968550002</v>
      </c>
    </row>
    <row r="5582" spans="34:38">
      <c r="AH5582" t="s">
        <v>2168</v>
      </c>
      <c r="AI5582" t="s">
        <v>67</v>
      </c>
      <c r="AJ5582" t="s">
        <v>113</v>
      </c>
      <c r="AK5582" s="3" t="s">
        <v>27</v>
      </c>
      <c r="AL5582" s="3">
        <v>0</v>
      </c>
    </row>
    <row r="5583" spans="34:38">
      <c r="AH5583" t="s">
        <v>2168</v>
      </c>
      <c r="AI5583" t="s">
        <v>65</v>
      </c>
      <c r="AJ5583" t="s">
        <v>2303</v>
      </c>
      <c r="AK5583" s="3" t="s">
        <v>27</v>
      </c>
      <c r="AL5583" s="3">
        <v>-1317.873981968</v>
      </c>
    </row>
    <row r="5584" spans="34:38">
      <c r="AH5584" t="s">
        <v>2168</v>
      </c>
      <c r="AI5584" t="s">
        <v>67</v>
      </c>
      <c r="AJ5584" t="s">
        <v>2303</v>
      </c>
      <c r="AK5584" s="3" t="s">
        <v>27</v>
      </c>
      <c r="AL5584" s="3">
        <v>-797.85716000000002</v>
      </c>
    </row>
    <row r="5585" spans="34:38">
      <c r="AH5585" t="s">
        <v>2168</v>
      </c>
      <c r="AI5585" t="s">
        <v>65</v>
      </c>
      <c r="AJ5585" t="s">
        <v>113</v>
      </c>
      <c r="AK5585" s="3" t="s">
        <v>20</v>
      </c>
      <c r="AL5585" s="3">
        <v>1233.1568346642</v>
      </c>
    </row>
    <row r="5586" spans="34:38">
      <c r="AH5586" t="s">
        <v>2169</v>
      </c>
      <c r="AI5586" t="s">
        <v>65</v>
      </c>
      <c r="AJ5586" t="s">
        <v>66</v>
      </c>
      <c r="AK5586" s="3" t="s">
        <v>27</v>
      </c>
      <c r="AL5586" s="3">
        <v>17766</v>
      </c>
    </row>
    <row r="5587" spans="34:38">
      <c r="AH5587" t="s">
        <v>2169</v>
      </c>
      <c r="AI5587" t="s">
        <v>65</v>
      </c>
      <c r="AJ5587" t="s">
        <v>72</v>
      </c>
      <c r="AK5587" s="3" t="s">
        <v>27</v>
      </c>
      <c r="AL5587" s="3">
        <v>18547.886050000001</v>
      </c>
    </row>
    <row r="5588" spans="34:38">
      <c r="AH5588" t="s">
        <v>2169</v>
      </c>
      <c r="AI5588" t="s">
        <v>65</v>
      </c>
      <c r="AJ5588" t="s">
        <v>108</v>
      </c>
      <c r="AK5588" s="3" t="s">
        <v>27</v>
      </c>
      <c r="AL5588" s="3">
        <v>781.88604999999995</v>
      </c>
    </row>
    <row r="5589" spans="34:38">
      <c r="AH5589" t="s">
        <v>2169</v>
      </c>
      <c r="AI5589" t="s">
        <v>67</v>
      </c>
      <c r="AJ5589" t="s">
        <v>66</v>
      </c>
      <c r="AK5589" s="3" t="s">
        <v>27</v>
      </c>
      <c r="AL5589" s="3">
        <v>-6446</v>
      </c>
    </row>
    <row r="5590" spans="34:38">
      <c r="AH5590" t="s">
        <v>2169</v>
      </c>
      <c r="AI5590" t="s">
        <v>67</v>
      </c>
      <c r="AJ5590" t="s">
        <v>72</v>
      </c>
      <c r="AK5590" s="3" t="s">
        <v>27</v>
      </c>
      <c r="AL5590" s="3">
        <v>-7197.9898700000003</v>
      </c>
    </row>
    <row r="5591" spans="34:38">
      <c r="AH5591" t="s">
        <v>2169</v>
      </c>
      <c r="AI5591" t="s">
        <v>67</v>
      </c>
      <c r="AJ5591" t="s">
        <v>108</v>
      </c>
      <c r="AK5591" s="3" t="s">
        <v>27</v>
      </c>
      <c r="AL5591" s="3">
        <v>-751.98987</v>
      </c>
    </row>
    <row r="5592" spans="34:38">
      <c r="AH5592" t="s">
        <v>2169</v>
      </c>
      <c r="AI5592" t="s">
        <v>68</v>
      </c>
      <c r="AJ5592" t="s">
        <v>66</v>
      </c>
      <c r="AK5592" s="3" t="s">
        <v>27</v>
      </c>
      <c r="AL5592" s="3">
        <v>300</v>
      </c>
    </row>
    <row r="5593" spans="34:38">
      <c r="AH5593" t="s">
        <v>2169</v>
      </c>
      <c r="AI5593" t="s">
        <v>68</v>
      </c>
      <c r="AJ5593" t="s">
        <v>72</v>
      </c>
      <c r="AK5593" s="3" t="s">
        <v>27</v>
      </c>
      <c r="AL5593" s="3">
        <v>300.49950000000001</v>
      </c>
    </row>
    <row r="5594" spans="34:38">
      <c r="AH5594" t="s">
        <v>2169</v>
      </c>
      <c r="AI5594" t="s">
        <v>68</v>
      </c>
      <c r="AJ5594" t="s">
        <v>108</v>
      </c>
      <c r="AK5594" s="3" t="s">
        <v>27</v>
      </c>
      <c r="AL5594" s="3">
        <v>0.4995</v>
      </c>
    </row>
    <row r="5595" spans="34:38">
      <c r="AH5595" t="s">
        <v>2169</v>
      </c>
      <c r="AI5595" t="s">
        <v>65</v>
      </c>
      <c r="AJ5595" t="s">
        <v>113</v>
      </c>
      <c r="AK5595" s="3" t="s">
        <v>27</v>
      </c>
      <c r="AL5595" s="3">
        <v>2245.281739435</v>
      </c>
    </row>
    <row r="5596" spans="34:38">
      <c r="AH5596" t="s">
        <v>2169</v>
      </c>
      <c r="AI5596" t="s">
        <v>67</v>
      </c>
      <c r="AJ5596" t="s">
        <v>113</v>
      </c>
      <c r="AK5596" s="3" t="s">
        <v>27</v>
      </c>
      <c r="AL5596" s="3">
        <v>0</v>
      </c>
    </row>
    <row r="5597" spans="34:38">
      <c r="AH5597" t="s">
        <v>2169</v>
      </c>
      <c r="AI5597" t="s">
        <v>65</v>
      </c>
      <c r="AJ5597" t="s">
        <v>2303</v>
      </c>
      <c r="AK5597" s="3" t="s">
        <v>27</v>
      </c>
      <c r="AL5597" s="3">
        <v>-1316.8596788980001</v>
      </c>
    </row>
    <row r="5598" spans="34:38">
      <c r="AH5598" t="s">
        <v>2169</v>
      </c>
      <c r="AI5598" t="s">
        <v>67</v>
      </c>
      <c r="AJ5598" t="s">
        <v>2303</v>
      </c>
      <c r="AK5598" s="3" t="s">
        <v>27</v>
      </c>
      <c r="AL5598" s="3">
        <v>-751.98987</v>
      </c>
    </row>
    <row r="5599" spans="34:38">
      <c r="AH5599" t="s">
        <v>2169</v>
      </c>
      <c r="AI5599" t="s">
        <v>65</v>
      </c>
      <c r="AJ5599" t="s">
        <v>113</v>
      </c>
      <c r="AK5599" s="3" t="s">
        <v>20</v>
      </c>
      <c r="AL5599" s="3">
        <v>1211.0134143512</v>
      </c>
    </row>
    <row r="5600" spans="34:38">
      <c r="AH5600" t="s">
        <v>2170</v>
      </c>
      <c r="AI5600" t="s">
        <v>65</v>
      </c>
      <c r="AJ5600" t="s">
        <v>66</v>
      </c>
      <c r="AK5600" s="3" t="s">
        <v>27</v>
      </c>
      <c r="AL5600" s="3">
        <v>17306</v>
      </c>
    </row>
    <row r="5601" spans="34:38">
      <c r="AH5601" t="s">
        <v>2170</v>
      </c>
      <c r="AI5601" t="s">
        <v>65</v>
      </c>
      <c r="AJ5601" t="s">
        <v>72</v>
      </c>
      <c r="AK5601" s="3" t="s">
        <v>27</v>
      </c>
      <c r="AL5601" s="3">
        <v>18085.30459</v>
      </c>
    </row>
    <row r="5602" spans="34:38">
      <c r="AH5602" t="s">
        <v>2170</v>
      </c>
      <c r="AI5602" t="s">
        <v>65</v>
      </c>
      <c r="AJ5602" t="s">
        <v>108</v>
      </c>
      <c r="AK5602" s="3" t="s">
        <v>27</v>
      </c>
      <c r="AL5602" s="3">
        <v>779.30458999999996</v>
      </c>
    </row>
    <row r="5603" spans="34:38">
      <c r="AH5603" t="s">
        <v>2170</v>
      </c>
      <c r="AI5603" t="s">
        <v>67</v>
      </c>
      <c r="AJ5603" t="s">
        <v>66</v>
      </c>
      <c r="AK5603" s="3" t="s">
        <v>27</v>
      </c>
      <c r="AL5603" s="3">
        <v>-5836</v>
      </c>
    </row>
    <row r="5604" spans="34:38">
      <c r="AH5604" t="s">
        <v>2170</v>
      </c>
      <c r="AI5604" t="s">
        <v>67</v>
      </c>
      <c r="AJ5604" t="s">
        <v>72</v>
      </c>
      <c r="AK5604" s="3" t="s">
        <v>27</v>
      </c>
      <c r="AL5604" s="3">
        <v>-6606.5559700000003</v>
      </c>
    </row>
    <row r="5605" spans="34:38">
      <c r="AH5605" t="s">
        <v>2170</v>
      </c>
      <c r="AI5605" t="s">
        <v>67</v>
      </c>
      <c r="AJ5605" t="s">
        <v>108</v>
      </c>
      <c r="AK5605" s="3" t="s">
        <v>27</v>
      </c>
      <c r="AL5605" s="3">
        <v>-770.55597</v>
      </c>
    </row>
    <row r="5606" spans="34:38">
      <c r="AH5606" t="s">
        <v>2170</v>
      </c>
      <c r="AI5606" t="s">
        <v>68</v>
      </c>
      <c r="AJ5606" t="s">
        <v>66</v>
      </c>
      <c r="AK5606" s="3" t="s">
        <v>27</v>
      </c>
      <c r="AL5606" s="3">
        <v>150</v>
      </c>
    </row>
    <row r="5607" spans="34:38">
      <c r="AH5607" t="s">
        <v>2170</v>
      </c>
      <c r="AI5607" t="s">
        <v>68</v>
      </c>
      <c r="AJ5607" t="s">
        <v>72</v>
      </c>
      <c r="AK5607" s="3" t="s">
        <v>27</v>
      </c>
      <c r="AL5607" s="3">
        <v>177.172</v>
      </c>
    </row>
    <row r="5608" spans="34:38">
      <c r="AH5608" t="s">
        <v>2170</v>
      </c>
      <c r="AI5608" t="s">
        <v>68</v>
      </c>
      <c r="AJ5608" t="s">
        <v>108</v>
      </c>
      <c r="AK5608" s="3" t="s">
        <v>27</v>
      </c>
      <c r="AL5608" s="3">
        <v>27.172000000000001</v>
      </c>
    </row>
    <row r="5609" spans="34:38">
      <c r="AH5609" t="s">
        <v>2170</v>
      </c>
      <c r="AI5609" t="s">
        <v>65</v>
      </c>
      <c r="AJ5609" t="s">
        <v>113</v>
      </c>
      <c r="AK5609" s="3" t="s">
        <v>27</v>
      </c>
      <c r="AL5609" s="3">
        <v>2212.4363597880001</v>
      </c>
    </row>
    <row r="5610" spans="34:38">
      <c r="AH5610" t="s">
        <v>2170</v>
      </c>
      <c r="AI5610" t="s">
        <v>67</v>
      </c>
      <c r="AJ5610" t="s">
        <v>113</v>
      </c>
      <c r="AK5610" s="3" t="s">
        <v>27</v>
      </c>
      <c r="AL5610" s="3">
        <v>0</v>
      </c>
    </row>
    <row r="5611" spans="34:38">
      <c r="AH5611" t="s">
        <v>2170</v>
      </c>
      <c r="AI5611" t="s">
        <v>65</v>
      </c>
      <c r="AJ5611" t="s">
        <v>2303</v>
      </c>
      <c r="AK5611" s="3" t="s">
        <v>27</v>
      </c>
      <c r="AL5611" s="3">
        <v>-1280.348311467</v>
      </c>
    </row>
    <row r="5612" spans="34:38">
      <c r="AH5612" t="s">
        <v>2170</v>
      </c>
      <c r="AI5612" t="s">
        <v>67</v>
      </c>
      <c r="AJ5612" t="s">
        <v>2303</v>
      </c>
      <c r="AK5612" s="3" t="s">
        <v>27</v>
      </c>
      <c r="AL5612" s="3">
        <v>-770.55597</v>
      </c>
    </row>
    <row r="5613" spans="34:38">
      <c r="AH5613" t="s">
        <v>2170</v>
      </c>
      <c r="AI5613" t="s">
        <v>65</v>
      </c>
      <c r="AJ5613" t="s">
        <v>113</v>
      </c>
      <c r="AK5613" s="3" t="s">
        <v>20</v>
      </c>
      <c r="AL5613" s="3">
        <v>1177.6916470648</v>
      </c>
    </row>
    <row r="5614" spans="34:38">
      <c r="AH5614" t="s">
        <v>2171</v>
      </c>
      <c r="AI5614" t="s">
        <v>65</v>
      </c>
      <c r="AJ5614" t="s">
        <v>66</v>
      </c>
      <c r="AK5614" s="3" t="s">
        <v>27</v>
      </c>
      <c r="AL5614" s="3">
        <v>18266</v>
      </c>
    </row>
    <row r="5615" spans="34:38">
      <c r="AH5615" t="s">
        <v>2171</v>
      </c>
      <c r="AI5615" t="s">
        <v>65</v>
      </c>
      <c r="AJ5615" t="s">
        <v>72</v>
      </c>
      <c r="AK5615" s="3" t="s">
        <v>27</v>
      </c>
      <c r="AL5615" s="3">
        <v>19090.395860000001</v>
      </c>
    </row>
    <row r="5616" spans="34:38">
      <c r="AH5616" t="s">
        <v>2171</v>
      </c>
      <c r="AI5616" t="s">
        <v>65</v>
      </c>
      <c r="AJ5616" t="s">
        <v>108</v>
      </c>
      <c r="AK5616" s="3" t="s">
        <v>27</v>
      </c>
      <c r="AL5616" s="3">
        <v>824.39585999999997</v>
      </c>
    </row>
    <row r="5617" spans="34:38">
      <c r="AH5617" t="s">
        <v>2171</v>
      </c>
      <c r="AI5617" t="s">
        <v>67</v>
      </c>
      <c r="AJ5617" t="s">
        <v>66</v>
      </c>
      <c r="AK5617" s="3" t="s">
        <v>27</v>
      </c>
      <c r="AL5617" s="3">
        <v>-7256</v>
      </c>
    </row>
    <row r="5618" spans="34:38">
      <c r="AH5618" t="s">
        <v>2171</v>
      </c>
      <c r="AI5618" t="s">
        <v>67</v>
      </c>
      <c r="AJ5618" t="s">
        <v>72</v>
      </c>
      <c r="AK5618" s="3" t="s">
        <v>27</v>
      </c>
      <c r="AL5618" s="3">
        <v>-8066.0785599999999</v>
      </c>
    </row>
    <row r="5619" spans="34:38">
      <c r="AH5619" t="s">
        <v>2171</v>
      </c>
      <c r="AI5619" t="s">
        <v>67</v>
      </c>
      <c r="AJ5619" t="s">
        <v>108</v>
      </c>
      <c r="AK5619" s="3" t="s">
        <v>27</v>
      </c>
      <c r="AL5619" s="3">
        <v>-810.07856000000004</v>
      </c>
    </row>
    <row r="5620" spans="34:38">
      <c r="AH5620" t="s">
        <v>2171</v>
      </c>
      <c r="AI5620" t="s">
        <v>68</v>
      </c>
      <c r="AJ5620" t="s">
        <v>66</v>
      </c>
      <c r="AK5620" s="3" t="s">
        <v>27</v>
      </c>
      <c r="AL5620" s="3">
        <v>610</v>
      </c>
    </row>
    <row r="5621" spans="34:38">
      <c r="AH5621" t="s">
        <v>2171</v>
      </c>
      <c r="AI5621" t="s">
        <v>68</v>
      </c>
      <c r="AJ5621" t="s">
        <v>72</v>
      </c>
      <c r="AK5621" s="3" t="s">
        <v>27</v>
      </c>
      <c r="AL5621" s="3">
        <v>652.85419999999999</v>
      </c>
    </row>
    <row r="5622" spans="34:38">
      <c r="AH5622" t="s">
        <v>2171</v>
      </c>
      <c r="AI5622" t="s">
        <v>68</v>
      </c>
      <c r="AJ5622" t="s">
        <v>108</v>
      </c>
      <c r="AK5622" s="3" t="s">
        <v>27</v>
      </c>
      <c r="AL5622" s="3">
        <v>42.854199999999999</v>
      </c>
    </row>
    <row r="5623" spans="34:38">
      <c r="AH5623" t="s">
        <v>2171</v>
      </c>
      <c r="AI5623" t="s">
        <v>65</v>
      </c>
      <c r="AJ5623" t="s">
        <v>113</v>
      </c>
      <c r="AK5623" s="3" t="s">
        <v>27</v>
      </c>
      <c r="AL5623" s="3">
        <v>2266.7051714610002</v>
      </c>
    </row>
    <row r="5624" spans="34:38">
      <c r="AH5624" t="s">
        <v>2171</v>
      </c>
      <c r="AI5624" t="s">
        <v>67</v>
      </c>
      <c r="AJ5624" t="s">
        <v>113</v>
      </c>
      <c r="AK5624" s="3" t="s">
        <v>27</v>
      </c>
      <c r="AL5624" s="3">
        <v>0</v>
      </c>
    </row>
    <row r="5625" spans="34:38">
      <c r="AH5625" t="s">
        <v>2171</v>
      </c>
      <c r="AI5625" t="s">
        <v>65</v>
      </c>
      <c r="AJ5625" t="s">
        <v>2303</v>
      </c>
      <c r="AK5625" s="3" t="s">
        <v>27</v>
      </c>
      <c r="AL5625" s="3">
        <v>-1258.8662973329999</v>
      </c>
    </row>
    <row r="5626" spans="34:38">
      <c r="AH5626" t="s">
        <v>2171</v>
      </c>
      <c r="AI5626" t="s">
        <v>67</v>
      </c>
      <c r="AJ5626" t="s">
        <v>2303</v>
      </c>
      <c r="AK5626" s="3" t="s">
        <v>27</v>
      </c>
      <c r="AL5626" s="3">
        <v>-810.07856000000004</v>
      </c>
    </row>
    <row r="5627" spans="34:38">
      <c r="AH5627" t="s">
        <v>2171</v>
      </c>
      <c r="AI5627" t="s">
        <v>65</v>
      </c>
      <c r="AJ5627" t="s">
        <v>113</v>
      </c>
      <c r="AK5627" s="3" t="s">
        <v>20</v>
      </c>
      <c r="AL5627" s="3">
        <v>1231.4840710987</v>
      </c>
    </row>
    <row r="5628" spans="34:38">
      <c r="AH5628" t="s">
        <v>2172</v>
      </c>
      <c r="AI5628" t="s">
        <v>65</v>
      </c>
      <c r="AJ5628" t="s">
        <v>66</v>
      </c>
      <c r="AK5628" s="3" t="s">
        <v>27</v>
      </c>
      <c r="AL5628" s="3">
        <v>18066</v>
      </c>
    </row>
    <row r="5629" spans="34:38">
      <c r="AH5629" t="s">
        <v>2172</v>
      </c>
      <c r="AI5629" t="s">
        <v>65</v>
      </c>
      <c r="AJ5629" t="s">
        <v>72</v>
      </c>
      <c r="AK5629" s="3" t="s">
        <v>27</v>
      </c>
      <c r="AL5629" s="3">
        <v>18903.454450000001</v>
      </c>
    </row>
    <row r="5630" spans="34:38">
      <c r="AH5630" t="s">
        <v>2172</v>
      </c>
      <c r="AI5630" t="s">
        <v>65</v>
      </c>
      <c r="AJ5630" t="s">
        <v>108</v>
      </c>
      <c r="AK5630" s="3" t="s">
        <v>27</v>
      </c>
      <c r="AL5630" s="3">
        <v>837.45444999999995</v>
      </c>
    </row>
    <row r="5631" spans="34:38">
      <c r="AH5631" t="s">
        <v>2172</v>
      </c>
      <c r="AI5631" t="s">
        <v>67</v>
      </c>
      <c r="AJ5631" t="s">
        <v>66</v>
      </c>
      <c r="AK5631" s="3" t="s">
        <v>27</v>
      </c>
      <c r="AL5631" s="3">
        <v>-6096</v>
      </c>
    </row>
    <row r="5632" spans="34:38">
      <c r="AH5632" t="s">
        <v>2172</v>
      </c>
      <c r="AI5632" t="s">
        <v>67</v>
      </c>
      <c r="AJ5632" t="s">
        <v>72</v>
      </c>
      <c r="AK5632" s="3" t="s">
        <v>27</v>
      </c>
      <c r="AL5632" s="3">
        <v>-6897.1439700000001</v>
      </c>
    </row>
    <row r="5633" spans="34:38">
      <c r="AH5633" t="s">
        <v>2172</v>
      </c>
      <c r="AI5633" t="s">
        <v>67</v>
      </c>
      <c r="AJ5633" t="s">
        <v>108</v>
      </c>
      <c r="AK5633" s="3" t="s">
        <v>27</v>
      </c>
      <c r="AL5633" s="3">
        <v>-801.14396999999997</v>
      </c>
    </row>
    <row r="5634" spans="34:38">
      <c r="AH5634" t="s">
        <v>2172</v>
      </c>
      <c r="AI5634" t="s">
        <v>68</v>
      </c>
      <c r="AJ5634" t="s">
        <v>66</v>
      </c>
      <c r="AK5634" s="3" t="s">
        <v>27</v>
      </c>
      <c r="AL5634" s="3">
        <v>-350</v>
      </c>
    </row>
    <row r="5635" spans="34:38">
      <c r="AH5635" t="s">
        <v>2172</v>
      </c>
      <c r="AI5635" t="s">
        <v>68</v>
      </c>
      <c r="AJ5635" t="s">
        <v>72</v>
      </c>
      <c r="AK5635" s="3" t="s">
        <v>27</v>
      </c>
      <c r="AL5635" s="3">
        <v>-325.92349999999999</v>
      </c>
    </row>
    <row r="5636" spans="34:38">
      <c r="AH5636" t="s">
        <v>2172</v>
      </c>
      <c r="AI5636" t="s">
        <v>68</v>
      </c>
      <c r="AJ5636" t="s">
        <v>108</v>
      </c>
      <c r="AK5636" s="3" t="s">
        <v>27</v>
      </c>
      <c r="AL5636" s="3">
        <v>24.076499999999999</v>
      </c>
    </row>
    <row r="5637" spans="34:38">
      <c r="AH5637" t="s">
        <v>2172</v>
      </c>
      <c r="AI5637" t="s">
        <v>65</v>
      </c>
      <c r="AJ5637" t="s">
        <v>113</v>
      </c>
      <c r="AK5637" s="3" t="s">
        <v>27</v>
      </c>
      <c r="AL5637" s="3">
        <v>2267.9661355180001</v>
      </c>
    </row>
    <row r="5638" spans="34:38">
      <c r="AH5638" t="s">
        <v>2172</v>
      </c>
      <c r="AI5638" t="s">
        <v>67</v>
      </c>
      <c r="AJ5638" t="s">
        <v>113</v>
      </c>
      <c r="AK5638" s="3" t="s">
        <v>27</v>
      </c>
      <c r="AL5638" s="3">
        <v>0</v>
      </c>
    </row>
    <row r="5639" spans="34:38">
      <c r="AH5639" t="s">
        <v>2172</v>
      </c>
      <c r="AI5639" t="s">
        <v>65</v>
      </c>
      <c r="AJ5639" t="s">
        <v>2303</v>
      </c>
      <c r="AK5639" s="3" t="s">
        <v>27</v>
      </c>
      <c r="AL5639" s="3">
        <v>-1241.580430301</v>
      </c>
    </row>
    <row r="5640" spans="34:38">
      <c r="AH5640" t="s">
        <v>2172</v>
      </c>
      <c r="AI5640" t="s">
        <v>67</v>
      </c>
      <c r="AJ5640" t="s">
        <v>2303</v>
      </c>
      <c r="AK5640" s="3" t="s">
        <v>27</v>
      </c>
      <c r="AL5640" s="3">
        <v>-801.14396999999997</v>
      </c>
    </row>
    <row r="5641" spans="34:38">
      <c r="AH5641" t="s">
        <v>2172</v>
      </c>
      <c r="AI5641" t="s">
        <v>65</v>
      </c>
      <c r="AJ5641" t="s">
        <v>113</v>
      </c>
      <c r="AK5641" s="3" t="s">
        <v>20</v>
      </c>
      <c r="AL5641" s="3">
        <v>1232.2686475303999</v>
      </c>
    </row>
    <row r="5642" spans="34:38">
      <c r="AH5642" t="s">
        <v>2173</v>
      </c>
      <c r="AI5642" t="s">
        <v>65</v>
      </c>
      <c r="AJ5642" t="s">
        <v>66</v>
      </c>
      <c r="AK5642" s="3" t="s">
        <v>27</v>
      </c>
      <c r="AL5642" s="3">
        <v>17816</v>
      </c>
    </row>
    <row r="5643" spans="34:38">
      <c r="AH5643" t="s">
        <v>2173</v>
      </c>
      <c r="AI5643" t="s">
        <v>65</v>
      </c>
      <c r="AJ5643" t="s">
        <v>72</v>
      </c>
      <c r="AK5643" s="3" t="s">
        <v>27</v>
      </c>
      <c r="AL5643" s="3">
        <v>18665.642230000001</v>
      </c>
    </row>
    <row r="5644" spans="34:38">
      <c r="AH5644" t="s">
        <v>2173</v>
      </c>
      <c r="AI5644" t="s">
        <v>65</v>
      </c>
      <c r="AJ5644" t="s">
        <v>108</v>
      </c>
      <c r="AK5644" s="3" t="s">
        <v>27</v>
      </c>
      <c r="AL5644" s="3">
        <v>849.64223000000004</v>
      </c>
    </row>
    <row r="5645" spans="34:38">
      <c r="AH5645" t="s">
        <v>2173</v>
      </c>
      <c r="AI5645" t="s">
        <v>67</v>
      </c>
      <c r="AJ5645" t="s">
        <v>66</v>
      </c>
      <c r="AK5645" s="3" t="s">
        <v>27</v>
      </c>
      <c r="AL5645" s="3">
        <v>-6046</v>
      </c>
    </row>
    <row r="5646" spans="34:38">
      <c r="AH5646" t="s">
        <v>2173</v>
      </c>
      <c r="AI5646" t="s">
        <v>67</v>
      </c>
      <c r="AJ5646" t="s">
        <v>72</v>
      </c>
      <c r="AK5646" s="3" t="s">
        <v>27</v>
      </c>
      <c r="AL5646" s="3">
        <v>-6844.2902299999996</v>
      </c>
    </row>
    <row r="5647" spans="34:38">
      <c r="AH5647" t="s">
        <v>2173</v>
      </c>
      <c r="AI5647" t="s">
        <v>67</v>
      </c>
      <c r="AJ5647" t="s">
        <v>108</v>
      </c>
      <c r="AK5647" s="3" t="s">
        <v>27</v>
      </c>
      <c r="AL5647" s="3">
        <v>-798.29022999999995</v>
      </c>
    </row>
    <row r="5648" spans="34:38">
      <c r="AH5648" t="s">
        <v>2173</v>
      </c>
      <c r="AI5648" t="s">
        <v>68</v>
      </c>
      <c r="AJ5648" t="s">
        <v>66</v>
      </c>
      <c r="AK5648" s="3" t="s">
        <v>27</v>
      </c>
      <c r="AL5648" s="3">
        <v>-150</v>
      </c>
    </row>
    <row r="5649" spans="34:38">
      <c r="AH5649" t="s">
        <v>2173</v>
      </c>
      <c r="AI5649" t="s">
        <v>68</v>
      </c>
      <c r="AJ5649" t="s">
        <v>72</v>
      </c>
      <c r="AK5649" s="3" t="s">
        <v>27</v>
      </c>
      <c r="AL5649" s="3">
        <v>-135.49100000000001</v>
      </c>
    </row>
    <row r="5650" spans="34:38">
      <c r="AH5650" t="s">
        <v>2173</v>
      </c>
      <c r="AI5650" t="s">
        <v>68</v>
      </c>
      <c r="AJ5650" t="s">
        <v>108</v>
      </c>
      <c r="AK5650" s="3" t="s">
        <v>27</v>
      </c>
      <c r="AL5650" s="3">
        <v>14.509</v>
      </c>
    </row>
    <row r="5651" spans="34:38">
      <c r="AH5651" t="s">
        <v>2173</v>
      </c>
      <c r="AI5651" t="s">
        <v>65</v>
      </c>
      <c r="AJ5651" t="s">
        <v>113</v>
      </c>
      <c r="AK5651" s="3" t="s">
        <v>27</v>
      </c>
      <c r="AL5651" s="3">
        <v>2261.79031618</v>
      </c>
    </row>
    <row r="5652" spans="34:38">
      <c r="AH5652" t="s">
        <v>2173</v>
      </c>
      <c r="AI5652" t="s">
        <v>67</v>
      </c>
      <c r="AJ5652" t="s">
        <v>113</v>
      </c>
      <c r="AK5652" s="3" t="s">
        <v>27</v>
      </c>
      <c r="AL5652" s="3">
        <v>0</v>
      </c>
    </row>
    <row r="5653" spans="34:38">
      <c r="AH5653" t="s">
        <v>2173</v>
      </c>
      <c r="AI5653" t="s">
        <v>65</v>
      </c>
      <c r="AJ5653" t="s">
        <v>2303</v>
      </c>
      <c r="AK5653" s="3" t="s">
        <v>27</v>
      </c>
      <c r="AL5653" s="3">
        <v>-1212.111947375</v>
      </c>
    </row>
    <row r="5654" spans="34:38">
      <c r="AH5654" t="s">
        <v>2173</v>
      </c>
      <c r="AI5654" t="s">
        <v>67</v>
      </c>
      <c r="AJ5654" t="s">
        <v>2303</v>
      </c>
      <c r="AK5654" s="3" t="s">
        <v>27</v>
      </c>
      <c r="AL5654" s="3">
        <v>-798.29022999999995</v>
      </c>
    </row>
    <row r="5655" spans="34:38">
      <c r="AH5655" t="s">
        <v>2173</v>
      </c>
      <c r="AI5655" t="s">
        <v>65</v>
      </c>
      <c r="AJ5655" t="s">
        <v>113</v>
      </c>
      <c r="AK5655" s="3" t="s">
        <v>20</v>
      </c>
      <c r="AL5655" s="3">
        <v>1225.6164405495999</v>
      </c>
    </row>
    <row r="5656" spans="34:38">
      <c r="AH5656" t="s">
        <v>2174</v>
      </c>
      <c r="AI5656" t="s">
        <v>65</v>
      </c>
      <c r="AJ5656" t="s">
        <v>66</v>
      </c>
      <c r="AK5656" s="3" t="s">
        <v>27</v>
      </c>
      <c r="AL5656" s="3">
        <v>18266</v>
      </c>
    </row>
    <row r="5657" spans="34:38">
      <c r="AH5657" t="s">
        <v>2174</v>
      </c>
      <c r="AI5657" t="s">
        <v>65</v>
      </c>
      <c r="AJ5657" t="s">
        <v>72</v>
      </c>
      <c r="AK5657" s="3" t="s">
        <v>27</v>
      </c>
      <c r="AL5657" s="3">
        <v>19107.666840000002</v>
      </c>
    </row>
    <row r="5658" spans="34:38">
      <c r="AH5658" t="s">
        <v>2174</v>
      </c>
      <c r="AI5658" t="s">
        <v>65</v>
      </c>
      <c r="AJ5658" t="s">
        <v>108</v>
      </c>
      <c r="AK5658" s="3" t="s">
        <v>27</v>
      </c>
      <c r="AL5658" s="3">
        <v>841.66683999999998</v>
      </c>
    </row>
    <row r="5659" spans="34:38">
      <c r="AH5659" t="s">
        <v>2174</v>
      </c>
      <c r="AI5659" t="s">
        <v>67</v>
      </c>
      <c r="AJ5659" t="s">
        <v>66</v>
      </c>
      <c r="AK5659" s="3" t="s">
        <v>27</v>
      </c>
      <c r="AL5659" s="3">
        <v>-6746</v>
      </c>
    </row>
    <row r="5660" spans="34:38">
      <c r="AH5660" t="s">
        <v>2174</v>
      </c>
      <c r="AI5660" t="s">
        <v>67</v>
      </c>
      <c r="AJ5660" t="s">
        <v>72</v>
      </c>
      <c r="AK5660" s="3" t="s">
        <v>27</v>
      </c>
      <c r="AL5660" s="3">
        <v>-7538.3925600000002</v>
      </c>
    </row>
    <row r="5661" spans="34:38">
      <c r="AH5661" t="s">
        <v>2174</v>
      </c>
      <c r="AI5661" t="s">
        <v>67</v>
      </c>
      <c r="AJ5661" t="s">
        <v>108</v>
      </c>
      <c r="AK5661" s="3" t="s">
        <v>27</v>
      </c>
      <c r="AL5661" s="3">
        <v>-792.39256</v>
      </c>
    </row>
    <row r="5662" spans="34:38">
      <c r="AH5662" t="s">
        <v>2174</v>
      </c>
      <c r="AI5662" t="s">
        <v>68</v>
      </c>
      <c r="AJ5662" t="s">
        <v>66</v>
      </c>
      <c r="AK5662" s="3" t="s">
        <v>27</v>
      </c>
      <c r="AL5662" s="3">
        <v>100</v>
      </c>
    </row>
    <row r="5663" spans="34:38">
      <c r="AH5663" t="s">
        <v>2174</v>
      </c>
      <c r="AI5663" t="s">
        <v>68</v>
      </c>
      <c r="AJ5663" t="s">
        <v>72</v>
      </c>
      <c r="AK5663" s="3" t="s">
        <v>27</v>
      </c>
      <c r="AL5663" s="3">
        <v>116.3095</v>
      </c>
    </row>
    <row r="5664" spans="34:38">
      <c r="AH5664" t="s">
        <v>2174</v>
      </c>
      <c r="AI5664" t="s">
        <v>68</v>
      </c>
      <c r="AJ5664" t="s">
        <v>108</v>
      </c>
      <c r="AK5664" s="3" t="s">
        <v>27</v>
      </c>
      <c r="AL5664" s="3">
        <v>16.3095</v>
      </c>
    </row>
    <row r="5665" spans="34:38">
      <c r="AH5665" t="s">
        <v>2174</v>
      </c>
      <c r="AI5665" t="s">
        <v>65</v>
      </c>
      <c r="AJ5665" t="s">
        <v>113</v>
      </c>
      <c r="AK5665" s="3" t="s">
        <v>27</v>
      </c>
      <c r="AL5665" s="3">
        <v>2271.0554623859998</v>
      </c>
    </row>
    <row r="5666" spans="34:38">
      <c r="AH5666" t="s">
        <v>2174</v>
      </c>
      <c r="AI5666" t="s">
        <v>67</v>
      </c>
      <c r="AJ5666" t="s">
        <v>113</v>
      </c>
      <c r="AK5666" s="3" t="s">
        <v>27</v>
      </c>
      <c r="AL5666" s="3">
        <v>0</v>
      </c>
    </row>
    <row r="5667" spans="34:38">
      <c r="AH5667" t="s">
        <v>2174</v>
      </c>
      <c r="AI5667" t="s">
        <v>65</v>
      </c>
      <c r="AJ5667" t="s">
        <v>2303</v>
      </c>
      <c r="AK5667" s="3" t="s">
        <v>27</v>
      </c>
      <c r="AL5667" s="3">
        <v>-1231.296096216</v>
      </c>
    </row>
    <row r="5668" spans="34:38">
      <c r="AH5668" t="s">
        <v>2174</v>
      </c>
      <c r="AI5668" t="s">
        <v>67</v>
      </c>
      <c r="AJ5668" t="s">
        <v>2303</v>
      </c>
      <c r="AK5668" s="3" t="s">
        <v>27</v>
      </c>
      <c r="AL5668" s="3">
        <v>-792.39256</v>
      </c>
    </row>
    <row r="5669" spans="34:38">
      <c r="AH5669" t="s">
        <v>2174</v>
      </c>
      <c r="AI5669" t="s">
        <v>65</v>
      </c>
      <c r="AJ5669" t="s">
        <v>113</v>
      </c>
      <c r="AK5669" s="3" t="s">
        <v>20</v>
      </c>
      <c r="AL5669" s="3">
        <v>1233.4524238603001</v>
      </c>
    </row>
    <row r="5670" spans="34:38">
      <c r="AH5670" t="s">
        <v>2175</v>
      </c>
      <c r="AI5670" t="s">
        <v>65</v>
      </c>
      <c r="AJ5670" t="s">
        <v>66</v>
      </c>
      <c r="AK5670" s="3" t="s">
        <v>27</v>
      </c>
      <c r="AL5670" s="3">
        <v>17816</v>
      </c>
    </row>
    <row r="5671" spans="34:38">
      <c r="AH5671" t="s">
        <v>2175</v>
      </c>
      <c r="AI5671" t="s">
        <v>65</v>
      </c>
      <c r="AJ5671" t="s">
        <v>72</v>
      </c>
      <c r="AK5671" s="3" t="s">
        <v>27</v>
      </c>
      <c r="AL5671" s="3">
        <v>18649.181420000001</v>
      </c>
    </row>
    <row r="5672" spans="34:38">
      <c r="AH5672" t="s">
        <v>2175</v>
      </c>
      <c r="AI5672" t="s">
        <v>65</v>
      </c>
      <c r="AJ5672" t="s">
        <v>108</v>
      </c>
      <c r="AK5672" s="3" t="s">
        <v>27</v>
      </c>
      <c r="AL5672" s="3">
        <v>833.18142</v>
      </c>
    </row>
    <row r="5673" spans="34:38">
      <c r="AH5673" t="s">
        <v>2175</v>
      </c>
      <c r="AI5673" t="s">
        <v>67</v>
      </c>
      <c r="AJ5673" t="s">
        <v>66</v>
      </c>
      <c r="AK5673" s="3" t="s">
        <v>27</v>
      </c>
      <c r="AL5673" s="3">
        <v>-5846</v>
      </c>
    </row>
    <row r="5674" spans="34:38">
      <c r="AH5674" t="s">
        <v>2175</v>
      </c>
      <c r="AI5674" t="s">
        <v>67</v>
      </c>
      <c r="AJ5674" t="s">
        <v>72</v>
      </c>
      <c r="AK5674" s="3" t="s">
        <v>27</v>
      </c>
      <c r="AL5674" s="3">
        <v>-6635.44614</v>
      </c>
    </row>
    <row r="5675" spans="34:38">
      <c r="AH5675" t="s">
        <v>2175</v>
      </c>
      <c r="AI5675" t="s">
        <v>67</v>
      </c>
      <c r="AJ5675" t="s">
        <v>108</v>
      </c>
      <c r="AK5675" s="3" t="s">
        <v>27</v>
      </c>
      <c r="AL5675" s="3">
        <v>-789.44614000000001</v>
      </c>
    </row>
    <row r="5676" spans="34:38">
      <c r="AH5676" t="s">
        <v>2175</v>
      </c>
      <c r="AI5676" t="s">
        <v>68</v>
      </c>
      <c r="AJ5676" t="s">
        <v>66</v>
      </c>
      <c r="AK5676" s="3" t="s">
        <v>27</v>
      </c>
      <c r="AL5676" s="3">
        <v>-350</v>
      </c>
    </row>
    <row r="5677" spans="34:38">
      <c r="AH5677" t="s">
        <v>2175</v>
      </c>
      <c r="AI5677" t="s">
        <v>68</v>
      </c>
      <c r="AJ5677" t="s">
        <v>72</v>
      </c>
      <c r="AK5677" s="3" t="s">
        <v>27</v>
      </c>
      <c r="AL5677" s="3">
        <v>-326.15449999999998</v>
      </c>
    </row>
    <row r="5678" spans="34:38">
      <c r="AH5678" t="s">
        <v>2175</v>
      </c>
      <c r="AI5678" t="s">
        <v>68</v>
      </c>
      <c r="AJ5678" t="s">
        <v>108</v>
      </c>
      <c r="AK5678" s="3" t="s">
        <v>27</v>
      </c>
      <c r="AL5678" s="3">
        <v>23.845500000000001</v>
      </c>
    </row>
    <row r="5679" spans="34:38">
      <c r="AH5679" t="s">
        <v>2175</v>
      </c>
      <c r="AI5679" t="s">
        <v>65</v>
      </c>
      <c r="AJ5679" t="s">
        <v>113</v>
      </c>
      <c r="AK5679" s="3" t="s">
        <v>27</v>
      </c>
      <c r="AL5679" s="3">
        <v>2236.7548065989999</v>
      </c>
    </row>
    <row r="5680" spans="34:38">
      <c r="AH5680" t="s">
        <v>2175</v>
      </c>
      <c r="AI5680" t="s">
        <v>67</v>
      </c>
      <c r="AJ5680" t="s">
        <v>113</v>
      </c>
      <c r="AK5680" s="3" t="s">
        <v>27</v>
      </c>
      <c r="AL5680" s="3">
        <v>0</v>
      </c>
    </row>
    <row r="5681" spans="34:38">
      <c r="AH5681" t="s">
        <v>2175</v>
      </c>
      <c r="AI5681" t="s">
        <v>65</v>
      </c>
      <c r="AJ5681" t="s">
        <v>2303</v>
      </c>
      <c r="AK5681" s="3" t="s">
        <v>27</v>
      </c>
      <c r="AL5681" s="3">
        <v>-1204.2008046020001</v>
      </c>
    </row>
    <row r="5682" spans="34:38">
      <c r="AH5682" t="s">
        <v>2175</v>
      </c>
      <c r="AI5682" t="s">
        <v>67</v>
      </c>
      <c r="AJ5682" t="s">
        <v>2303</v>
      </c>
      <c r="AK5682" s="3" t="s">
        <v>27</v>
      </c>
      <c r="AL5682" s="3">
        <v>-789.44614000000001</v>
      </c>
    </row>
    <row r="5683" spans="34:38">
      <c r="AH5683" t="s">
        <v>2175</v>
      </c>
      <c r="AI5683" t="s">
        <v>65</v>
      </c>
      <c r="AJ5683" t="s">
        <v>113</v>
      </c>
      <c r="AK5683" s="3" t="s">
        <v>20</v>
      </c>
      <c r="AL5683" s="3">
        <v>1198.6764244763999</v>
      </c>
    </row>
    <row r="5684" spans="34:38">
      <c r="AH5684" t="s">
        <v>2176</v>
      </c>
      <c r="AI5684" t="s">
        <v>65</v>
      </c>
      <c r="AJ5684" t="s">
        <v>66</v>
      </c>
      <c r="AK5684" s="3" t="s">
        <v>27</v>
      </c>
      <c r="AL5684" s="3">
        <v>17266</v>
      </c>
    </row>
    <row r="5685" spans="34:38">
      <c r="AH5685" t="s">
        <v>2176</v>
      </c>
      <c r="AI5685" t="s">
        <v>65</v>
      </c>
      <c r="AJ5685" t="s">
        <v>72</v>
      </c>
      <c r="AK5685" s="3" t="s">
        <v>27</v>
      </c>
      <c r="AL5685" s="3">
        <v>17931.429649999998</v>
      </c>
    </row>
    <row r="5686" spans="34:38">
      <c r="AH5686" t="s">
        <v>2176</v>
      </c>
      <c r="AI5686" t="s">
        <v>65</v>
      </c>
      <c r="AJ5686" t="s">
        <v>108</v>
      </c>
      <c r="AK5686" s="3" t="s">
        <v>27</v>
      </c>
      <c r="AL5686" s="3">
        <v>665.42965000000004</v>
      </c>
    </row>
    <row r="5687" spans="34:38">
      <c r="AH5687" t="s">
        <v>2176</v>
      </c>
      <c r="AI5687" t="s">
        <v>67</v>
      </c>
      <c r="AJ5687" t="s">
        <v>66</v>
      </c>
      <c r="AK5687" s="3" t="s">
        <v>27</v>
      </c>
      <c r="AL5687" s="3">
        <v>-5746</v>
      </c>
    </row>
    <row r="5688" spans="34:38">
      <c r="AH5688" t="s">
        <v>2176</v>
      </c>
      <c r="AI5688" t="s">
        <v>67</v>
      </c>
      <c r="AJ5688" t="s">
        <v>72</v>
      </c>
      <c r="AK5688" s="3" t="s">
        <v>27</v>
      </c>
      <c r="AL5688" s="3">
        <v>-6377.6126899999999</v>
      </c>
    </row>
    <row r="5689" spans="34:38">
      <c r="AH5689" t="s">
        <v>2176</v>
      </c>
      <c r="AI5689" t="s">
        <v>67</v>
      </c>
      <c r="AJ5689" t="s">
        <v>108</v>
      </c>
      <c r="AK5689" s="3" t="s">
        <v>27</v>
      </c>
      <c r="AL5689" s="3">
        <v>-631.61269000000004</v>
      </c>
    </row>
    <row r="5690" spans="34:38">
      <c r="AH5690" t="s">
        <v>2176</v>
      </c>
      <c r="AI5690" t="s">
        <v>68</v>
      </c>
      <c r="AJ5690" t="s">
        <v>66</v>
      </c>
      <c r="AK5690" s="3" t="s">
        <v>27</v>
      </c>
      <c r="AL5690" s="3">
        <v>100</v>
      </c>
    </row>
    <row r="5691" spans="34:38">
      <c r="AH5691" t="s">
        <v>2176</v>
      </c>
      <c r="AI5691" t="s">
        <v>68</v>
      </c>
      <c r="AJ5691" t="s">
        <v>72</v>
      </c>
      <c r="AK5691" s="3" t="s">
        <v>27</v>
      </c>
      <c r="AL5691" s="3">
        <v>134.98150000000001</v>
      </c>
    </row>
    <row r="5692" spans="34:38">
      <c r="AH5692" t="s">
        <v>2176</v>
      </c>
      <c r="AI5692" t="s">
        <v>68</v>
      </c>
      <c r="AJ5692" t="s">
        <v>108</v>
      </c>
      <c r="AK5692" s="3" t="s">
        <v>27</v>
      </c>
      <c r="AL5692" s="3">
        <v>34.981499999999997</v>
      </c>
    </row>
    <row r="5693" spans="34:38">
      <c r="AH5693" t="s">
        <v>2176</v>
      </c>
      <c r="AI5693" t="s">
        <v>65</v>
      </c>
      <c r="AJ5693" t="s">
        <v>113</v>
      </c>
      <c r="AK5693" s="3" t="s">
        <v>27</v>
      </c>
      <c r="AL5693" s="3">
        <v>2057.9360348559999</v>
      </c>
    </row>
    <row r="5694" spans="34:38">
      <c r="AH5694" t="s">
        <v>2176</v>
      </c>
      <c r="AI5694" t="s">
        <v>67</v>
      </c>
      <c r="AJ5694" t="s">
        <v>113</v>
      </c>
      <c r="AK5694" s="3" t="s">
        <v>27</v>
      </c>
      <c r="AL5694" s="3">
        <v>0</v>
      </c>
    </row>
    <row r="5695" spans="34:38">
      <c r="AH5695" t="s">
        <v>2176</v>
      </c>
      <c r="AI5695" t="s">
        <v>65</v>
      </c>
      <c r="AJ5695" t="s">
        <v>2303</v>
      </c>
      <c r="AK5695" s="3" t="s">
        <v>27</v>
      </c>
      <c r="AL5695" s="3">
        <v>-1189.1109232209999</v>
      </c>
    </row>
    <row r="5696" spans="34:38">
      <c r="AH5696" t="s">
        <v>2176</v>
      </c>
      <c r="AI5696" t="s">
        <v>67</v>
      </c>
      <c r="AJ5696" t="s">
        <v>2303</v>
      </c>
      <c r="AK5696" s="3" t="s">
        <v>27</v>
      </c>
      <c r="AL5696" s="3">
        <v>-631.61269000000004</v>
      </c>
    </row>
    <row r="5697" spans="34:38">
      <c r="AH5697" t="s">
        <v>2176</v>
      </c>
      <c r="AI5697" t="s">
        <v>65</v>
      </c>
      <c r="AJ5697" t="s">
        <v>113</v>
      </c>
      <c r="AK5697" s="3" t="s">
        <v>20</v>
      </c>
      <c r="AL5697" s="3">
        <v>1019.380672912</v>
      </c>
    </row>
    <row r="5698" spans="34:38">
      <c r="AH5698" t="s">
        <v>2177</v>
      </c>
      <c r="AI5698" t="s">
        <v>65</v>
      </c>
      <c r="AJ5698" t="s">
        <v>66</v>
      </c>
      <c r="AK5698" s="3" t="s">
        <v>27</v>
      </c>
      <c r="AL5698" s="3">
        <v>17616</v>
      </c>
    </row>
    <row r="5699" spans="34:38">
      <c r="AH5699" t="s">
        <v>2177</v>
      </c>
      <c r="AI5699" t="s">
        <v>65</v>
      </c>
      <c r="AJ5699" t="s">
        <v>72</v>
      </c>
      <c r="AK5699" s="3" t="s">
        <v>27</v>
      </c>
      <c r="AL5699" s="3">
        <v>18284.162349999999</v>
      </c>
    </row>
    <row r="5700" spans="34:38">
      <c r="AH5700" t="s">
        <v>2177</v>
      </c>
      <c r="AI5700" t="s">
        <v>65</v>
      </c>
      <c r="AJ5700" t="s">
        <v>108</v>
      </c>
      <c r="AK5700" s="3" t="s">
        <v>27</v>
      </c>
      <c r="AL5700" s="3">
        <v>668.16234999999995</v>
      </c>
    </row>
    <row r="5701" spans="34:38">
      <c r="AH5701" t="s">
        <v>2177</v>
      </c>
      <c r="AI5701" t="s">
        <v>67</v>
      </c>
      <c r="AJ5701" t="s">
        <v>66</v>
      </c>
      <c r="AK5701" s="3" t="s">
        <v>27</v>
      </c>
      <c r="AL5701" s="3">
        <v>-6646</v>
      </c>
    </row>
    <row r="5702" spans="34:38">
      <c r="AH5702" t="s">
        <v>2177</v>
      </c>
      <c r="AI5702" t="s">
        <v>67</v>
      </c>
      <c r="AJ5702" t="s">
        <v>72</v>
      </c>
      <c r="AK5702" s="3" t="s">
        <v>27</v>
      </c>
      <c r="AL5702" s="3">
        <v>-7453.0327699999998</v>
      </c>
    </row>
    <row r="5703" spans="34:38">
      <c r="AH5703" t="s">
        <v>2177</v>
      </c>
      <c r="AI5703" t="s">
        <v>67</v>
      </c>
      <c r="AJ5703" t="s">
        <v>108</v>
      </c>
      <c r="AK5703" s="3" t="s">
        <v>27</v>
      </c>
      <c r="AL5703" s="3">
        <v>-807.03277000000003</v>
      </c>
    </row>
    <row r="5704" spans="34:38">
      <c r="AH5704" t="s">
        <v>2177</v>
      </c>
      <c r="AI5704" t="s">
        <v>68</v>
      </c>
      <c r="AJ5704" t="s">
        <v>66</v>
      </c>
      <c r="AK5704" s="3" t="s">
        <v>27</v>
      </c>
      <c r="AL5704" s="3">
        <v>650</v>
      </c>
    </row>
    <row r="5705" spans="34:38">
      <c r="AH5705" t="s">
        <v>2177</v>
      </c>
      <c r="AI5705" t="s">
        <v>68</v>
      </c>
      <c r="AJ5705" t="s">
        <v>72</v>
      </c>
      <c r="AK5705" s="3" t="s">
        <v>27</v>
      </c>
      <c r="AL5705" s="3">
        <v>858.01549999999997</v>
      </c>
    </row>
    <row r="5706" spans="34:38">
      <c r="AH5706" t="s">
        <v>2177</v>
      </c>
      <c r="AI5706" t="s">
        <v>68</v>
      </c>
      <c r="AJ5706" t="s">
        <v>108</v>
      </c>
      <c r="AK5706" s="3" t="s">
        <v>27</v>
      </c>
      <c r="AL5706" s="3">
        <v>208.0155</v>
      </c>
    </row>
    <row r="5707" spans="34:38">
      <c r="AH5707" t="s">
        <v>2177</v>
      </c>
      <c r="AI5707" t="s">
        <v>65</v>
      </c>
      <c r="AJ5707" t="s">
        <v>113</v>
      </c>
      <c r="AK5707" s="3" t="s">
        <v>27</v>
      </c>
      <c r="AL5707" s="3">
        <v>2072.9082499239998</v>
      </c>
    </row>
    <row r="5708" spans="34:38">
      <c r="AH5708" t="s">
        <v>2177</v>
      </c>
      <c r="AI5708" t="s">
        <v>67</v>
      </c>
      <c r="AJ5708" t="s">
        <v>113</v>
      </c>
      <c r="AK5708" s="3" t="s">
        <v>27</v>
      </c>
      <c r="AL5708" s="3">
        <v>0</v>
      </c>
    </row>
    <row r="5709" spans="34:38">
      <c r="AH5709" t="s">
        <v>2177</v>
      </c>
      <c r="AI5709" t="s">
        <v>65</v>
      </c>
      <c r="AJ5709" t="s">
        <v>2303</v>
      </c>
      <c r="AK5709" s="3" t="s">
        <v>27</v>
      </c>
      <c r="AL5709" s="3">
        <v>-1201.555021657</v>
      </c>
    </row>
    <row r="5710" spans="34:38">
      <c r="AH5710" t="s">
        <v>2177</v>
      </c>
      <c r="AI5710" t="s">
        <v>67</v>
      </c>
      <c r="AJ5710" t="s">
        <v>2303</v>
      </c>
      <c r="AK5710" s="3" t="s">
        <v>27</v>
      </c>
      <c r="AL5710" s="3">
        <v>-807.03277000000003</v>
      </c>
    </row>
    <row r="5711" spans="34:38">
      <c r="AH5711" t="s">
        <v>2177</v>
      </c>
      <c r="AI5711" t="s">
        <v>65</v>
      </c>
      <c r="AJ5711" t="s">
        <v>113</v>
      </c>
      <c r="AK5711" s="3" t="s">
        <v>20</v>
      </c>
      <c r="AL5711" s="3">
        <v>1033.8765004352999</v>
      </c>
    </row>
    <row r="5712" spans="34:38">
      <c r="AH5712" t="s">
        <v>2178</v>
      </c>
      <c r="AI5712" t="s">
        <v>65</v>
      </c>
      <c r="AJ5712" t="s">
        <v>66</v>
      </c>
      <c r="AK5712" s="3" t="s">
        <v>27</v>
      </c>
      <c r="AL5712" s="3">
        <v>17666</v>
      </c>
    </row>
    <row r="5713" spans="34:38">
      <c r="AH5713" t="s">
        <v>2178</v>
      </c>
      <c r="AI5713" t="s">
        <v>65</v>
      </c>
      <c r="AJ5713" t="s">
        <v>72</v>
      </c>
      <c r="AK5713" s="3" t="s">
        <v>27</v>
      </c>
      <c r="AL5713" s="3">
        <v>18334.29681</v>
      </c>
    </row>
    <row r="5714" spans="34:38">
      <c r="AH5714" t="s">
        <v>2178</v>
      </c>
      <c r="AI5714" t="s">
        <v>65</v>
      </c>
      <c r="AJ5714" t="s">
        <v>108</v>
      </c>
      <c r="AK5714" s="3" t="s">
        <v>27</v>
      </c>
      <c r="AL5714" s="3">
        <v>668.29681000000005</v>
      </c>
    </row>
    <row r="5715" spans="34:38">
      <c r="AH5715" t="s">
        <v>2178</v>
      </c>
      <c r="AI5715" t="s">
        <v>67</v>
      </c>
      <c r="AJ5715" t="s">
        <v>66</v>
      </c>
      <c r="AK5715" s="3" t="s">
        <v>27</v>
      </c>
      <c r="AL5715" s="3">
        <v>-6346</v>
      </c>
    </row>
    <row r="5716" spans="34:38">
      <c r="AH5716" t="s">
        <v>2178</v>
      </c>
      <c r="AI5716" t="s">
        <v>67</v>
      </c>
      <c r="AJ5716" t="s">
        <v>72</v>
      </c>
      <c r="AK5716" s="3" t="s">
        <v>27</v>
      </c>
      <c r="AL5716" s="3">
        <v>-7149.1830300000001</v>
      </c>
    </row>
    <row r="5717" spans="34:38">
      <c r="AH5717" t="s">
        <v>2178</v>
      </c>
      <c r="AI5717" t="s">
        <v>67</v>
      </c>
      <c r="AJ5717" t="s">
        <v>108</v>
      </c>
      <c r="AK5717" s="3" t="s">
        <v>27</v>
      </c>
      <c r="AL5717" s="3">
        <v>-803.18303000000003</v>
      </c>
    </row>
    <row r="5718" spans="34:38">
      <c r="AH5718" t="s">
        <v>2178</v>
      </c>
      <c r="AI5718" t="s">
        <v>68</v>
      </c>
      <c r="AJ5718" t="s">
        <v>66</v>
      </c>
      <c r="AK5718" s="3" t="s">
        <v>27</v>
      </c>
      <c r="AL5718" s="3">
        <v>300</v>
      </c>
    </row>
    <row r="5719" spans="34:38">
      <c r="AH5719" t="s">
        <v>2178</v>
      </c>
      <c r="AI5719" t="s">
        <v>68</v>
      </c>
      <c r="AJ5719" t="s">
        <v>72</v>
      </c>
      <c r="AK5719" s="3" t="s">
        <v>27</v>
      </c>
      <c r="AL5719" s="3">
        <v>505.66449999999998</v>
      </c>
    </row>
    <row r="5720" spans="34:38">
      <c r="AH5720" t="s">
        <v>2178</v>
      </c>
      <c r="AI5720" t="s">
        <v>68</v>
      </c>
      <c r="AJ5720" t="s">
        <v>108</v>
      </c>
      <c r="AK5720" s="3" t="s">
        <v>27</v>
      </c>
      <c r="AL5720" s="3">
        <v>205.6645</v>
      </c>
    </row>
    <row r="5721" spans="34:38">
      <c r="AH5721" t="s">
        <v>2178</v>
      </c>
      <c r="AI5721" t="s">
        <v>65</v>
      </c>
      <c r="AJ5721" t="s">
        <v>113</v>
      </c>
      <c r="AK5721" s="3" t="s">
        <v>27</v>
      </c>
      <c r="AL5721" s="3">
        <v>2072.9391484900002</v>
      </c>
    </row>
    <row r="5722" spans="34:38">
      <c r="AH5722" t="s">
        <v>2178</v>
      </c>
      <c r="AI5722" t="s">
        <v>67</v>
      </c>
      <c r="AJ5722" t="s">
        <v>113</v>
      </c>
      <c r="AK5722" s="3" t="s">
        <v>27</v>
      </c>
      <c r="AL5722" s="3">
        <v>0</v>
      </c>
    </row>
    <row r="5723" spans="34:38">
      <c r="AH5723" t="s">
        <v>2178</v>
      </c>
      <c r="AI5723" t="s">
        <v>65</v>
      </c>
      <c r="AJ5723" t="s">
        <v>2303</v>
      </c>
      <c r="AK5723" s="3" t="s">
        <v>27</v>
      </c>
      <c r="AL5723" s="3">
        <v>-1199.5442401820001</v>
      </c>
    </row>
    <row r="5724" spans="34:38">
      <c r="AH5724" t="s">
        <v>2178</v>
      </c>
      <c r="AI5724" t="s">
        <v>67</v>
      </c>
      <c r="AJ5724" t="s">
        <v>2303</v>
      </c>
      <c r="AK5724" s="3" t="s">
        <v>27</v>
      </c>
      <c r="AL5724" s="3">
        <v>-803.18303000000003</v>
      </c>
    </row>
    <row r="5725" spans="34:38">
      <c r="AH5725" t="s">
        <v>2178</v>
      </c>
      <c r="AI5725" t="s">
        <v>65</v>
      </c>
      <c r="AJ5725" t="s">
        <v>113</v>
      </c>
      <c r="AK5725" s="3" t="s">
        <v>20</v>
      </c>
      <c r="AL5725" s="3">
        <v>1033.431011463</v>
      </c>
    </row>
    <row r="5726" spans="34:38">
      <c r="AH5726" t="s">
        <v>2179</v>
      </c>
      <c r="AI5726" t="s">
        <v>65</v>
      </c>
      <c r="AJ5726" t="s">
        <v>66</v>
      </c>
      <c r="AK5726" s="3" t="s">
        <v>27</v>
      </c>
      <c r="AL5726" s="3">
        <v>17316</v>
      </c>
    </row>
    <row r="5727" spans="34:38">
      <c r="AH5727" t="s">
        <v>2179</v>
      </c>
      <c r="AI5727" t="s">
        <v>65</v>
      </c>
      <c r="AJ5727" t="s">
        <v>72</v>
      </c>
      <c r="AK5727" s="3" t="s">
        <v>27</v>
      </c>
      <c r="AL5727" s="3">
        <v>17875.791959999999</v>
      </c>
    </row>
    <row r="5728" spans="34:38">
      <c r="AH5728" t="s">
        <v>2179</v>
      </c>
      <c r="AI5728" t="s">
        <v>65</v>
      </c>
      <c r="AJ5728" t="s">
        <v>108</v>
      </c>
      <c r="AK5728" s="3" t="s">
        <v>27</v>
      </c>
      <c r="AL5728" s="3">
        <v>559.79196000000002</v>
      </c>
    </row>
    <row r="5729" spans="34:38">
      <c r="AH5729" t="s">
        <v>2179</v>
      </c>
      <c r="AI5729" t="s">
        <v>67</v>
      </c>
      <c r="AJ5729" t="s">
        <v>66</v>
      </c>
      <c r="AK5729" s="3" t="s">
        <v>27</v>
      </c>
      <c r="AL5729" s="3">
        <v>-5946</v>
      </c>
    </row>
    <row r="5730" spans="34:38">
      <c r="AH5730" t="s">
        <v>2179</v>
      </c>
      <c r="AI5730" t="s">
        <v>67</v>
      </c>
      <c r="AJ5730" t="s">
        <v>72</v>
      </c>
      <c r="AK5730" s="3" t="s">
        <v>27</v>
      </c>
      <c r="AL5730" s="3">
        <v>-6643.1298999999999</v>
      </c>
    </row>
    <row r="5731" spans="34:38">
      <c r="AH5731" t="s">
        <v>2179</v>
      </c>
      <c r="AI5731" t="s">
        <v>67</v>
      </c>
      <c r="AJ5731" t="s">
        <v>108</v>
      </c>
      <c r="AK5731" s="3" t="s">
        <v>27</v>
      </c>
      <c r="AL5731" s="3">
        <v>-697.12990000000002</v>
      </c>
    </row>
    <row r="5732" spans="34:38">
      <c r="AH5732" t="s">
        <v>2179</v>
      </c>
      <c r="AI5732" t="s">
        <v>68</v>
      </c>
      <c r="AJ5732" t="s">
        <v>66</v>
      </c>
      <c r="AK5732" s="3" t="s">
        <v>27</v>
      </c>
      <c r="AL5732" s="3">
        <v>250</v>
      </c>
    </row>
    <row r="5733" spans="34:38">
      <c r="AH5733" t="s">
        <v>2179</v>
      </c>
      <c r="AI5733" t="s">
        <v>68</v>
      </c>
      <c r="AJ5733" t="s">
        <v>72</v>
      </c>
      <c r="AK5733" s="3" t="s">
        <v>27</v>
      </c>
      <c r="AL5733" s="3">
        <v>457.42500000000001</v>
      </c>
    </row>
    <row r="5734" spans="34:38">
      <c r="AH5734" t="s">
        <v>2179</v>
      </c>
      <c r="AI5734" t="s">
        <v>68</v>
      </c>
      <c r="AJ5734" t="s">
        <v>108</v>
      </c>
      <c r="AK5734" s="3" t="s">
        <v>27</v>
      </c>
      <c r="AL5734" s="3">
        <v>207.42500000000001</v>
      </c>
    </row>
    <row r="5735" spans="34:38">
      <c r="AH5735" t="s">
        <v>2179</v>
      </c>
      <c r="AI5735" t="s">
        <v>65</v>
      </c>
      <c r="AJ5735" t="s">
        <v>113</v>
      </c>
      <c r="AK5735" s="3" t="s">
        <v>27</v>
      </c>
      <c r="AL5735" s="3">
        <v>1959.722186015</v>
      </c>
    </row>
    <row r="5736" spans="34:38">
      <c r="AH5736" t="s">
        <v>2179</v>
      </c>
      <c r="AI5736" t="s">
        <v>67</v>
      </c>
      <c r="AJ5736" t="s">
        <v>113</v>
      </c>
      <c r="AK5736" s="3" t="s">
        <v>27</v>
      </c>
      <c r="AL5736" s="3">
        <v>0</v>
      </c>
    </row>
    <row r="5737" spans="34:38">
      <c r="AH5737" t="s">
        <v>2179</v>
      </c>
      <c r="AI5737" t="s">
        <v>65</v>
      </c>
      <c r="AJ5737" t="s">
        <v>2303</v>
      </c>
      <c r="AK5737" s="3" t="s">
        <v>27</v>
      </c>
      <c r="AL5737" s="3">
        <v>-1194.842213615</v>
      </c>
    </row>
    <row r="5738" spans="34:38">
      <c r="AH5738" t="s">
        <v>2179</v>
      </c>
      <c r="AI5738" t="s">
        <v>67</v>
      </c>
      <c r="AJ5738" t="s">
        <v>2303</v>
      </c>
      <c r="AK5738" s="3" t="s">
        <v>27</v>
      </c>
      <c r="AL5738" s="3">
        <v>-697.12990000000002</v>
      </c>
    </row>
    <row r="5739" spans="34:38">
      <c r="AH5739" t="s">
        <v>2179</v>
      </c>
      <c r="AI5739" t="s">
        <v>65</v>
      </c>
      <c r="AJ5739" t="s">
        <v>113</v>
      </c>
      <c r="AK5739" s="3" t="s">
        <v>20</v>
      </c>
      <c r="AL5739" s="3">
        <v>918.78488635810004</v>
      </c>
    </row>
    <row r="5740" spans="34:38">
      <c r="AH5740" t="s">
        <v>2180</v>
      </c>
      <c r="AI5740" t="s">
        <v>65</v>
      </c>
      <c r="AJ5740" t="s">
        <v>66</v>
      </c>
      <c r="AK5740" s="3" t="s">
        <v>27</v>
      </c>
      <c r="AL5740" s="3">
        <v>17616</v>
      </c>
    </row>
    <row r="5741" spans="34:38">
      <c r="AH5741" t="s">
        <v>2180</v>
      </c>
      <c r="AI5741" t="s">
        <v>65</v>
      </c>
      <c r="AJ5741" t="s">
        <v>72</v>
      </c>
      <c r="AK5741" s="3" t="s">
        <v>27</v>
      </c>
      <c r="AL5741" s="3">
        <v>18286.791300000001</v>
      </c>
    </row>
    <row r="5742" spans="34:38">
      <c r="AH5742" t="s">
        <v>2180</v>
      </c>
      <c r="AI5742" t="s">
        <v>65</v>
      </c>
      <c r="AJ5742" t="s">
        <v>108</v>
      </c>
      <c r="AK5742" s="3" t="s">
        <v>27</v>
      </c>
      <c r="AL5742" s="3">
        <v>670.79129999999998</v>
      </c>
    </row>
    <row r="5743" spans="34:38">
      <c r="AH5743" t="s">
        <v>2180</v>
      </c>
      <c r="AI5743" t="s">
        <v>67</v>
      </c>
      <c r="AJ5743" t="s">
        <v>66</v>
      </c>
      <c r="AK5743" s="3" t="s">
        <v>27</v>
      </c>
      <c r="AL5743" s="3">
        <v>-6596</v>
      </c>
    </row>
    <row r="5744" spans="34:38">
      <c r="AH5744" t="s">
        <v>2180</v>
      </c>
      <c r="AI5744" t="s">
        <v>67</v>
      </c>
      <c r="AJ5744" t="s">
        <v>72</v>
      </c>
      <c r="AK5744" s="3" t="s">
        <v>27</v>
      </c>
      <c r="AL5744" s="3">
        <v>-7512.2231599999996</v>
      </c>
    </row>
    <row r="5745" spans="34:38">
      <c r="AH5745" t="s">
        <v>2180</v>
      </c>
      <c r="AI5745" t="s">
        <v>67</v>
      </c>
      <c r="AJ5745" t="s">
        <v>108</v>
      </c>
      <c r="AK5745" s="3" t="s">
        <v>27</v>
      </c>
      <c r="AL5745" s="3">
        <v>-916.22316000000001</v>
      </c>
    </row>
    <row r="5746" spans="34:38">
      <c r="AH5746" t="s">
        <v>2180</v>
      </c>
      <c r="AI5746" t="s">
        <v>68</v>
      </c>
      <c r="AJ5746" t="s">
        <v>66</v>
      </c>
      <c r="AK5746" s="3" t="s">
        <v>27</v>
      </c>
      <c r="AL5746" s="3">
        <v>700</v>
      </c>
    </row>
    <row r="5747" spans="34:38">
      <c r="AH5747" t="s">
        <v>2180</v>
      </c>
      <c r="AI5747" t="s">
        <v>68</v>
      </c>
      <c r="AJ5747" t="s">
        <v>72</v>
      </c>
      <c r="AK5747" s="3" t="s">
        <v>27</v>
      </c>
      <c r="AL5747" s="3">
        <v>1003.6955</v>
      </c>
    </row>
    <row r="5748" spans="34:38">
      <c r="AH5748" t="s">
        <v>2180</v>
      </c>
      <c r="AI5748" t="s">
        <v>68</v>
      </c>
      <c r="AJ5748" t="s">
        <v>108</v>
      </c>
      <c r="AK5748" s="3" t="s">
        <v>27</v>
      </c>
      <c r="AL5748" s="3">
        <v>303.69549999999998</v>
      </c>
    </row>
    <row r="5749" spans="34:38">
      <c r="AH5749" t="s">
        <v>2180</v>
      </c>
      <c r="AI5749" t="s">
        <v>65</v>
      </c>
      <c r="AJ5749" t="s">
        <v>113</v>
      </c>
      <c r="AK5749" s="3" t="s">
        <v>27</v>
      </c>
      <c r="AL5749" s="3">
        <v>2079.2710754290001</v>
      </c>
    </row>
    <row r="5750" spans="34:38">
      <c r="AH5750" t="s">
        <v>2180</v>
      </c>
      <c r="AI5750" t="s">
        <v>67</v>
      </c>
      <c r="AJ5750" t="s">
        <v>113</v>
      </c>
      <c r="AK5750" s="3" t="s">
        <v>27</v>
      </c>
      <c r="AL5750" s="3">
        <v>0</v>
      </c>
    </row>
    <row r="5751" spans="34:38">
      <c r="AH5751" t="s">
        <v>2180</v>
      </c>
      <c r="AI5751" t="s">
        <v>65</v>
      </c>
      <c r="AJ5751" t="s">
        <v>2303</v>
      </c>
      <c r="AK5751" s="3" t="s">
        <v>27</v>
      </c>
      <c r="AL5751" s="3">
        <v>-1203.5380682540001</v>
      </c>
    </row>
    <row r="5752" spans="34:38">
      <c r="AH5752" t="s">
        <v>2180</v>
      </c>
      <c r="AI5752" t="s">
        <v>67</v>
      </c>
      <c r="AJ5752" t="s">
        <v>2303</v>
      </c>
      <c r="AK5752" s="3" t="s">
        <v>27</v>
      </c>
      <c r="AL5752" s="3">
        <v>-916.22316000000001</v>
      </c>
    </row>
    <row r="5753" spans="34:38">
      <c r="AH5753" t="s">
        <v>2180</v>
      </c>
      <c r="AI5753" t="s">
        <v>65</v>
      </c>
      <c r="AJ5753" t="s">
        <v>113</v>
      </c>
      <c r="AK5753" s="3" t="s">
        <v>20</v>
      </c>
      <c r="AL5753" s="3">
        <v>1037.8573882257999</v>
      </c>
    </row>
    <row r="5754" spans="34:38">
      <c r="AH5754" t="s">
        <v>2181</v>
      </c>
      <c r="AI5754" t="s">
        <v>65</v>
      </c>
      <c r="AJ5754" t="s">
        <v>66</v>
      </c>
      <c r="AK5754" s="3" t="s">
        <v>27</v>
      </c>
      <c r="AL5754" s="3">
        <v>17616</v>
      </c>
    </row>
    <row r="5755" spans="34:38">
      <c r="AH5755" t="s">
        <v>2181</v>
      </c>
      <c r="AI5755" t="s">
        <v>65</v>
      </c>
      <c r="AJ5755" t="s">
        <v>72</v>
      </c>
      <c r="AK5755" s="3" t="s">
        <v>27</v>
      </c>
      <c r="AL5755" s="3">
        <v>18291.330829999999</v>
      </c>
    </row>
    <row r="5756" spans="34:38">
      <c r="AH5756" t="s">
        <v>2181</v>
      </c>
      <c r="AI5756" t="s">
        <v>65</v>
      </c>
      <c r="AJ5756" t="s">
        <v>108</v>
      </c>
      <c r="AK5756" s="3" t="s">
        <v>27</v>
      </c>
      <c r="AL5756" s="3">
        <v>675.33082999999999</v>
      </c>
    </row>
    <row r="5757" spans="34:38">
      <c r="AH5757" t="s">
        <v>2181</v>
      </c>
      <c r="AI5757" t="s">
        <v>67</v>
      </c>
      <c r="AJ5757" t="s">
        <v>66</v>
      </c>
      <c r="AK5757" s="3" t="s">
        <v>27</v>
      </c>
      <c r="AL5757" s="3">
        <v>-6246</v>
      </c>
    </row>
    <row r="5758" spans="34:38">
      <c r="AH5758" t="s">
        <v>2181</v>
      </c>
      <c r="AI5758" t="s">
        <v>67</v>
      </c>
      <c r="AJ5758" t="s">
        <v>72</v>
      </c>
      <c r="AK5758" s="3" t="s">
        <v>27</v>
      </c>
      <c r="AL5758" s="3">
        <v>-7054.2016299999996</v>
      </c>
    </row>
    <row r="5759" spans="34:38">
      <c r="AH5759" t="s">
        <v>2181</v>
      </c>
      <c r="AI5759" t="s">
        <v>67</v>
      </c>
      <c r="AJ5759" t="s">
        <v>108</v>
      </c>
      <c r="AK5759" s="3" t="s">
        <v>27</v>
      </c>
      <c r="AL5759" s="3">
        <v>-808.20163000000002</v>
      </c>
    </row>
    <row r="5760" spans="34:38">
      <c r="AH5760" t="s">
        <v>2181</v>
      </c>
      <c r="AI5760" t="s">
        <v>68</v>
      </c>
      <c r="AJ5760" t="s">
        <v>66</v>
      </c>
      <c r="AK5760" s="3" t="s">
        <v>27</v>
      </c>
      <c r="AL5760" s="3">
        <v>350</v>
      </c>
    </row>
    <row r="5761" spans="34:38">
      <c r="AH5761" t="s">
        <v>2181</v>
      </c>
      <c r="AI5761" t="s">
        <v>68</v>
      </c>
      <c r="AJ5761" t="s">
        <v>72</v>
      </c>
      <c r="AK5761" s="3" t="s">
        <v>27</v>
      </c>
      <c r="AL5761" s="3">
        <v>545.46550000000002</v>
      </c>
    </row>
    <row r="5762" spans="34:38">
      <c r="AH5762" t="s">
        <v>2181</v>
      </c>
      <c r="AI5762" t="s">
        <v>68</v>
      </c>
      <c r="AJ5762" t="s">
        <v>108</v>
      </c>
      <c r="AK5762" s="3" t="s">
        <v>27</v>
      </c>
      <c r="AL5762" s="3">
        <v>195.46549999999999</v>
      </c>
    </row>
    <row r="5763" spans="34:38">
      <c r="AH5763" t="s">
        <v>2181</v>
      </c>
      <c r="AI5763" t="s">
        <v>65</v>
      </c>
      <c r="AJ5763" t="s">
        <v>113</v>
      </c>
      <c r="AK5763" s="3" t="s">
        <v>27</v>
      </c>
      <c r="AL5763" s="3">
        <v>2080.0814404100001</v>
      </c>
    </row>
    <row r="5764" spans="34:38">
      <c r="AH5764" t="s">
        <v>2181</v>
      </c>
      <c r="AI5764" t="s">
        <v>67</v>
      </c>
      <c r="AJ5764" t="s">
        <v>113</v>
      </c>
      <c r="AK5764" s="3" t="s">
        <v>27</v>
      </c>
      <c r="AL5764" s="3">
        <v>0</v>
      </c>
    </row>
    <row r="5765" spans="34:38">
      <c r="AH5765" t="s">
        <v>2181</v>
      </c>
      <c r="AI5765" t="s">
        <v>65</v>
      </c>
      <c r="AJ5765" t="s">
        <v>2303</v>
      </c>
      <c r="AK5765" s="3" t="s">
        <v>27</v>
      </c>
      <c r="AL5765" s="3">
        <v>-1192.1204687530001</v>
      </c>
    </row>
    <row r="5766" spans="34:38">
      <c r="AH5766" t="s">
        <v>2181</v>
      </c>
      <c r="AI5766" t="s">
        <v>67</v>
      </c>
      <c r="AJ5766" t="s">
        <v>2303</v>
      </c>
      <c r="AK5766" s="3" t="s">
        <v>27</v>
      </c>
      <c r="AL5766" s="3">
        <v>-808.20163000000002</v>
      </c>
    </row>
    <row r="5767" spans="34:38">
      <c r="AH5767" t="s">
        <v>2181</v>
      </c>
      <c r="AI5767" t="s">
        <v>65</v>
      </c>
      <c r="AJ5767" t="s">
        <v>113</v>
      </c>
      <c r="AK5767" s="3" t="s">
        <v>20</v>
      </c>
      <c r="AL5767" s="3">
        <v>1038.1913656603001</v>
      </c>
    </row>
    <row r="5768" spans="34:38">
      <c r="AH5768" t="s">
        <v>2182</v>
      </c>
      <c r="AI5768" t="s">
        <v>65</v>
      </c>
      <c r="AJ5768" t="s">
        <v>113</v>
      </c>
      <c r="AK5768" s="3" t="s">
        <v>20</v>
      </c>
      <c r="AL5768" s="3">
        <v>1040.8163841907999</v>
      </c>
    </row>
    <row r="5769" spans="34:38">
      <c r="AH5769" t="s">
        <v>2182</v>
      </c>
      <c r="AI5769" t="s">
        <v>65</v>
      </c>
      <c r="AJ5769" t="s">
        <v>66</v>
      </c>
      <c r="AK5769" s="3" t="s">
        <v>27</v>
      </c>
      <c r="AL5769" s="3">
        <v>17416</v>
      </c>
    </row>
    <row r="5770" spans="34:38">
      <c r="AH5770" t="s">
        <v>2182</v>
      </c>
      <c r="AI5770" t="s">
        <v>65</v>
      </c>
      <c r="AJ5770" t="s">
        <v>72</v>
      </c>
      <c r="AK5770" s="3" t="s">
        <v>27</v>
      </c>
      <c r="AL5770" s="3">
        <v>18098.266869999999</v>
      </c>
    </row>
    <row r="5771" spans="34:38">
      <c r="AH5771" t="s">
        <v>2182</v>
      </c>
      <c r="AI5771" t="s">
        <v>65</v>
      </c>
      <c r="AJ5771" t="s">
        <v>108</v>
      </c>
      <c r="AK5771" s="3" t="s">
        <v>27</v>
      </c>
      <c r="AL5771" s="3">
        <v>682.26687000000004</v>
      </c>
    </row>
    <row r="5772" spans="34:38">
      <c r="AH5772" t="s">
        <v>2182</v>
      </c>
      <c r="AI5772" t="s">
        <v>67</v>
      </c>
      <c r="AJ5772" t="s">
        <v>66</v>
      </c>
      <c r="AK5772" s="3" t="s">
        <v>27</v>
      </c>
      <c r="AL5772" s="3">
        <v>-6096</v>
      </c>
    </row>
    <row r="5773" spans="34:38">
      <c r="AH5773" t="s">
        <v>2182</v>
      </c>
      <c r="AI5773" t="s">
        <v>67</v>
      </c>
      <c r="AJ5773" t="s">
        <v>72</v>
      </c>
      <c r="AK5773" s="3" t="s">
        <v>27</v>
      </c>
      <c r="AL5773" s="3">
        <v>-6908.6990100000003</v>
      </c>
    </row>
    <row r="5774" spans="34:38">
      <c r="AH5774" t="s">
        <v>2182</v>
      </c>
      <c r="AI5774" t="s">
        <v>67</v>
      </c>
      <c r="AJ5774" t="s">
        <v>108</v>
      </c>
      <c r="AK5774" s="3" t="s">
        <v>27</v>
      </c>
      <c r="AL5774" s="3">
        <v>-812.69901000000004</v>
      </c>
    </row>
    <row r="5775" spans="34:38">
      <c r="AH5775" t="s">
        <v>2182</v>
      </c>
      <c r="AI5775" t="s">
        <v>68</v>
      </c>
      <c r="AJ5775" t="s">
        <v>66</v>
      </c>
      <c r="AK5775" s="3" t="s">
        <v>27</v>
      </c>
      <c r="AL5775" s="3">
        <v>350</v>
      </c>
    </row>
    <row r="5776" spans="34:38">
      <c r="AH5776" t="s">
        <v>2182</v>
      </c>
      <c r="AI5776" t="s">
        <v>68</v>
      </c>
      <c r="AJ5776" t="s">
        <v>72</v>
      </c>
      <c r="AK5776" s="3" t="s">
        <v>27</v>
      </c>
      <c r="AL5776" s="3">
        <v>545.51149999999996</v>
      </c>
    </row>
    <row r="5777" spans="34:38">
      <c r="AH5777" t="s">
        <v>2182</v>
      </c>
      <c r="AI5777" t="s">
        <v>68</v>
      </c>
      <c r="AJ5777" t="s">
        <v>108</v>
      </c>
      <c r="AK5777" s="3" t="s">
        <v>27</v>
      </c>
      <c r="AL5777" s="3">
        <v>195.51150000000001</v>
      </c>
    </row>
    <row r="5778" spans="34:38">
      <c r="AH5778" t="s">
        <v>2182</v>
      </c>
      <c r="AI5778" t="s">
        <v>65</v>
      </c>
      <c r="AJ5778" t="s">
        <v>113</v>
      </c>
      <c r="AK5778" s="3" t="s">
        <v>27</v>
      </c>
      <c r="AL5778" s="3">
        <v>2083.1828464700002</v>
      </c>
    </row>
    <row r="5779" spans="34:38">
      <c r="AH5779" t="s">
        <v>2182</v>
      </c>
      <c r="AI5779" t="s">
        <v>67</v>
      </c>
      <c r="AJ5779" t="s">
        <v>113</v>
      </c>
      <c r="AK5779" s="3" t="s">
        <v>27</v>
      </c>
      <c r="AL5779" s="3">
        <v>0</v>
      </c>
    </row>
    <row r="5780" spans="34:38">
      <c r="AH5780" t="s">
        <v>2182</v>
      </c>
      <c r="AI5780" t="s">
        <v>65</v>
      </c>
      <c r="AJ5780" t="s">
        <v>2303</v>
      </c>
      <c r="AK5780" s="3" t="s">
        <v>27</v>
      </c>
      <c r="AL5780" s="3">
        <v>-1189.240518738</v>
      </c>
    </row>
    <row r="5781" spans="34:38">
      <c r="AH5781" t="s">
        <v>2182</v>
      </c>
      <c r="AI5781" t="s">
        <v>67</v>
      </c>
      <c r="AJ5781" t="s">
        <v>2303</v>
      </c>
      <c r="AK5781" s="3" t="s">
        <v>27</v>
      </c>
      <c r="AL5781" s="3">
        <v>-812.69901000000004</v>
      </c>
    </row>
    <row r="5782" spans="34:38">
      <c r="AH5782" t="s">
        <v>2183</v>
      </c>
      <c r="AI5782" t="s">
        <v>65</v>
      </c>
      <c r="AJ5782" t="s">
        <v>66</v>
      </c>
      <c r="AK5782" s="3" t="s">
        <v>27</v>
      </c>
      <c r="AL5782" s="3">
        <v>17416</v>
      </c>
    </row>
    <row r="5783" spans="34:38">
      <c r="AH5783" t="s">
        <v>2183</v>
      </c>
      <c r="AI5783" t="s">
        <v>65</v>
      </c>
      <c r="AJ5783" t="s">
        <v>72</v>
      </c>
      <c r="AK5783" s="3" t="s">
        <v>27</v>
      </c>
      <c r="AL5783" s="3">
        <v>18098.905709999999</v>
      </c>
    </row>
    <row r="5784" spans="34:38">
      <c r="AH5784" t="s">
        <v>2183</v>
      </c>
      <c r="AI5784" t="s">
        <v>65</v>
      </c>
      <c r="AJ5784" t="s">
        <v>108</v>
      </c>
      <c r="AK5784" s="3" t="s">
        <v>27</v>
      </c>
      <c r="AL5784" s="3">
        <v>682.90571</v>
      </c>
    </row>
    <row r="5785" spans="34:38">
      <c r="AH5785" t="s">
        <v>2183</v>
      </c>
      <c r="AI5785" t="s">
        <v>67</v>
      </c>
      <c r="AJ5785" t="s">
        <v>66</v>
      </c>
      <c r="AK5785" s="3" t="s">
        <v>27</v>
      </c>
      <c r="AL5785" s="3">
        <v>-6296</v>
      </c>
    </row>
    <row r="5786" spans="34:38">
      <c r="AH5786" t="s">
        <v>2183</v>
      </c>
      <c r="AI5786" t="s">
        <v>67</v>
      </c>
      <c r="AJ5786" t="s">
        <v>72</v>
      </c>
      <c r="AK5786" s="3" t="s">
        <v>27</v>
      </c>
      <c r="AL5786" s="3">
        <v>-7101.6568500000003</v>
      </c>
    </row>
    <row r="5787" spans="34:38">
      <c r="AH5787" t="s">
        <v>2183</v>
      </c>
      <c r="AI5787" t="s">
        <v>67</v>
      </c>
      <c r="AJ5787" t="s">
        <v>108</v>
      </c>
      <c r="AK5787" s="3" t="s">
        <v>27</v>
      </c>
      <c r="AL5787" s="3">
        <v>-805.65684999999996</v>
      </c>
    </row>
    <row r="5788" spans="34:38">
      <c r="AH5788" t="s">
        <v>2183</v>
      </c>
      <c r="AI5788" t="s">
        <v>68</v>
      </c>
      <c r="AJ5788" t="s">
        <v>66</v>
      </c>
      <c r="AK5788" s="3" t="s">
        <v>27</v>
      </c>
      <c r="AL5788" s="3">
        <v>550</v>
      </c>
    </row>
    <row r="5789" spans="34:38">
      <c r="AH5789" t="s">
        <v>2183</v>
      </c>
      <c r="AI5789" t="s">
        <v>68</v>
      </c>
      <c r="AJ5789" t="s">
        <v>72</v>
      </c>
      <c r="AK5789" s="3" t="s">
        <v>27</v>
      </c>
      <c r="AL5789" s="3">
        <v>738.46950000000004</v>
      </c>
    </row>
    <row r="5790" spans="34:38">
      <c r="AH5790" t="s">
        <v>2183</v>
      </c>
      <c r="AI5790" t="s">
        <v>68</v>
      </c>
      <c r="AJ5790" t="s">
        <v>108</v>
      </c>
      <c r="AK5790" s="3" t="s">
        <v>27</v>
      </c>
      <c r="AL5790" s="3">
        <v>188.46950000000001</v>
      </c>
    </row>
    <row r="5791" spans="34:38">
      <c r="AH5791" t="s">
        <v>2183</v>
      </c>
      <c r="AI5791" t="s">
        <v>65</v>
      </c>
      <c r="AJ5791" t="s">
        <v>113</v>
      </c>
      <c r="AK5791" s="3" t="s">
        <v>27</v>
      </c>
      <c r="AL5791" s="3">
        <v>2635.5677585540002</v>
      </c>
    </row>
    <row r="5792" spans="34:38">
      <c r="AH5792" t="s">
        <v>2183</v>
      </c>
      <c r="AI5792" t="s">
        <v>67</v>
      </c>
      <c r="AJ5792" t="s">
        <v>113</v>
      </c>
      <c r="AK5792" s="3" t="s">
        <v>27</v>
      </c>
      <c r="AL5792" s="3">
        <v>0</v>
      </c>
    </row>
    <row r="5793" spans="34:38">
      <c r="AH5793" t="s">
        <v>2183</v>
      </c>
      <c r="AI5793" t="s">
        <v>65</v>
      </c>
      <c r="AJ5793" t="s">
        <v>2303</v>
      </c>
      <c r="AK5793" s="3" t="s">
        <v>27</v>
      </c>
      <c r="AL5793" s="3">
        <v>-1739.939121206</v>
      </c>
    </row>
    <row r="5794" spans="34:38">
      <c r="AH5794" t="s">
        <v>2183</v>
      </c>
      <c r="AI5794" t="s">
        <v>67</v>
      </c>
      <c r="AJ5794" t="s">
        <v>2303</v>
      </c>
      <c r="AK5794" s="3" t="s">
        <v>27</v>
      </c>
      <c r="AL5794" s="3">
        <v>-805.65684999999996</v>
      </c>
    </row>
    <row r="5795" spans="34:38">
      <c r="AH5795" t="s">
        <v>2183</v>
      </c>
      <c r="AI5795" t="s">
        <v>65</v>
      </c>
      <c r="AJ5795" t="s">
        <v>113</v>
      </c>
      <c r="AK5795" s="3" t="s">
        <v>20</v>
      </c>
      <c r="AL5795" s="3">
        <v>1041.1510494192</v>
      </c>
    </row>
    <row r="5796" spans="34:38">
      <c r="AH5796" t="s">
        <v>2184</v>
      </c>
      <c r="AI5796" t="s">
        <v>65</v>
      </c>
      <c r="AJ5796" t="s">
        <v>113</v>
      </c>
      <c r="AK5796" s="3" t="s">
        <v>20</v>
      </c>
      <c r="AL5796" s="3">
        <v>1039.9226459961999</v>
      </c>
    </row>
    <row r="5797" spans="34:38">
      <c r="AH5797" t="s">
        <v>2184</v>
      </c>
      <c r="AI5797" t="s">
        <v>65</v>
      </c>
      <c r="AJ5797" t="s">
        <v>66</v>
      </c>
      <c r="AK5797" s="3" t="s">
        <v>27</v>
      </c>
      <c r="AL5797" s="3">
        <v>17616</v>
      </c>
    </row>
    <row r="5798" spans="34:38">
      <c r="AH5798" t="s">
        <v>2184</v>
      </c>
      <c r="AI5798" t="s">
        <v>65</v>
      </c>
      <c r="AJ5798" t="s">
        <v>72</v>
      </c>
      <c r="AK5798" s="3" t="s">
        <v>27</v>
      </c>
      <c r="AL5798" s="3">
        <v>18306.188730000002</v>
      </c>
    </row>
    <row r="5799" spans="34:38">
      <c r="AH5799" t="s">
        <v>2184</v>
      </c>
      <c r="AI5799" t="s">
        <v>65</v>
      </c>
      <c r="AJ5799" t="s">
        <v>108</v>
      </c>
      <c r="AK5799" s="3" t="s">
        <v>27</v>
      </c>
      <c r="AL5799" s="3">
        <v>690.18872999999996</v>
      </c>
    </row>
    <row r="5800" spans="34:38">
      <c r="AH5800" t="s">
        <v>2184</v>
      </c>
      <c r="AI5800" t="s">
        <v>67</v>
      </c>
      <c r="AJ5800" t="s">
        <v>66</v>
      </c>
      <c r="AK5800" s="3" t="s">
        <v>27</v>
      </c>
      <c r="AL5800" s="3">
        <v>-6496</v>
      </c>
    </row>
    <row r="5801" spans="34:38">
      <c r="AH5801" t="s">
        <v>2184</v>
      </c>
      <c r="AI5801" t="s">
        <v>67</v>
      </c>
      <c r="AJ5801" t="s">
        <v>72</v>
      </c>
      <c r="AK5801" s="3" t="s">
        <v>27</v>
      </c>
      <c r="AL5801" s="3">
        <v>-7309.4049699999996</v>
      </c>
    </row>
    <row r="5802" spans="34:38">
      <c r="AH5802" t="s">
        <v>2184</v>
      </c>
      <c r="AI5802" t="s">
        <v>67</v>
      </c>
      <c r="AJ5802" t="s">
        <v>108</v>
      </c>
      <c r="AK5802" s="3" t="s">
        <v>27</v>
      </c>
      <c r="AL5802" s="3">
        <v>-813.40497000000005</v>
      </c>
    </row>
    <row r="5803" spans="34:38">
      <c r="AH5803" t="s">
        <v>2184</v>
      </c>
      <c r="AI5803" t="s">
        <v>68</v>
      </c>
      <c r="AJ5803" t="s">
        <v>66</v>
      </c>
      <c r="AK5803" s="3" t="s">
        <v>27</v>
      </c>
      <c r="AL5803" s="3">
        <v>550</v>
      </c>
    </row>
    <row r="5804" spans="34:38">
      <c r="AH5804" t="s">
        <v>2184</v>
      </c>
      <c r="AI5804" t="s">
        <v>68</v>
      </c>
      <c r="AJ5804" t="s">
        <v>72</v>
      </c>
      <c r="AK5804" s="3" t="s">
        <v>27</v>
      </c>
      <c r="AL5804" s="3">
        <v>739.63499999999999</v>
      </c>
    </row>
    <row r="5805" spans="34:38">
      <c r="AH5805" t="s">
        <v>2184</v>
      </c>
      <c r="AI5805" t="s">
        <v>68</v>
      </c>
      <c r="AJ5805" t="s">
        <v>108</v>
      </c>
      <c r="AK5805" s="3" t="s">
        <v>27</v>
      </c>
      <c r="AL5805" s="3">
        <v>189.63499999999999</v>
      </c>
    </row>
    <row r="5806" spans="34:38">
      <c r="AH5806" t="s">
        <v>2184</v>
      </c>
      <c r="AI5806" t="s">
        <v>65</v>
      </c>
      <c r="AJ5806" t="s">
        <v>113</v>
      </c>
      <c r="AK5806" s="3" t="s">
        <v>27</v>
      </c>
      <c r="AL5806" s="3">
        <v>2084.1946584490001</v>
      </c>
    </row>
    <row r="5807" spans="34:38">
      <c r="AH5807" t="s">
        <v>2184</v>
      </c>
      <c r="AI5807" t="s">
        <v>67</v>
      </c>
      <c r="AJ5807" t="s">
        <v>113</v>
      </c>
      <c r="AK5807" s="3" t="s">
        <v>27</v>
      </c>
      <c r="AL5807" s="3">
        <v>0</v>
      </c>
    </row>
    <row r="5808" spans="34:38">
      <c r="AH5808" t="s">
        <v>2184</v>
      </c>
      <c r="AI5808" t="s">
        <v>65</v>
      </c>
      <c r="AJ5808" t="s">
        <v>2303</v>
      </c>
      <c r="AK5808" s="3" t="s">
        <v>27</v>
      </c>
      <c r="AL5808" s="3">
        <v>-1177.3395264139999</v>
      </c>
    </row>
    <row r="5809" spans="34:38">
      <c r="AH5809" t="s">
        <v>2184</v>
      </c>
      <c r="AI5809" t="s">
        <v>67</v>
      </c>
      <c r="AJ5809" t="s">
        <v>2303</v>
      </c>
      <c r="AK5809" s="3" t="s">
        <v>27</v>
      </c>
      <c r="AL5809" s="3">
        <v>-813.40497000000005</v>
      </c>
    </row>
    <row r="5810" spans="34:38">
      <c r="AH5810" t="s">
        <v>2185</v>
      </c>
      <c r="AI5810" t="s">
        <v>65</v>
      </c>
      <c r="AJ5810" t="s">
        <v>66</v>
      </c>
      <c r="AK5810" s="3" t="s">
        <v>27</v>
      </c>
      <c r="AL5810" s="3">
        <v>17196</v>
      </c>
    </row>
    <row r="5811" spans="34:38">
      <c r="AH5811" t="s">
        <v>2185</v>
      </c>
      <c r="AI5811" t="s">
        <v>65</v>
      </c>
      <c r="AJ5811" t="s">
        <v>72</v>
      </c>
      <c r="AK5811" s="3" t="s">
        <v>27</v>
      </c>
      <c r="AL5811" s="3">
        <v>17845.852129999999</v>
      </c>
    </row>
    <row r="5812" spans="34:38">
      <c r="AH5812" t="s">
        <v>2185</v>
      </c>
      <c r="AI5812" t="s">
        <v>65</v>
      </c>
      <c r="AJ5812" t="s">
        <v>108</v>
      </c>
      <c r="AK5812" s="3" t="s">
        <v>27</v>
      </c>
      <c r="AL5812" s="3">
        <v>649.85212999999999</v>
      </c>
    </row>
    <row r="5813" spans="34:38">
      <c r="AH5813" t="s">
        <v>2185</v>
      </c>
      <c r="AI5813" t="s">
        <v>67</v>
      </c>
      <c r="AJ5813" t="s">
        <v>66</v>
      </c>
      <c r="AK5813" s="3" t="s">
        <v>27</v>
      </c>
      <c r="AL5813" s="3">
        <v>-5876</v>
      </c>
    </row>
    <row r="5814" spans="34:38">
      <c r="AH5814" t="s">
        <v>2185</v>
      </c>
      <c r="AI5814" t="s">
        <v>67</v>
      </c>
      <c r="AJ5814" t="s">
        <v>72</v>
      </c>
      <c r="AK5814" s="3" t="s">
        <v>27</v>
      </c>
      <c r="AL5814" s="3">
        <v>-6655.4251700000004</v>
      </c>
    </row>
    <row r="5815" spans="34:38">
      <c r="AH5815" t="s">
        <v>2185</v>
      </c>
      <c r="AI5815" t="s">
        <v>67</v>
      </c>
      <c r="AJ5815" t="s">
        <v>108</v>
      </c>
      <c r="AK5815" s="3" t="s">
        <v>27</v>
      </c>
      <c r="AL5815" s="3">
        <v>-779.42516999999998</v>
      </c>
    </row>
    <row r="5816" spans="34:38">
      <c r="AH5816" t="s">
        <v>2185</v>
      </c>
      <c r="AI5816" t="s">
        <v>68</v>
      </c>
      <c r="AJ5816" t="s">
        <v>66</v>
      </c>
      <c r="AK5816" s="3" t="s">
        <v>27</v>
      </c>
      <c r="AL5816" s="3">
        <v>400</v>
      </c>
    </row>
    <row r="5817" spans="34:38">
      <c r="AH5817" t="s">
        <v>2185</v>
      </c>
      <c r="AI5817" t="s">
        <v>68</v>
      </c>
      <c r="AJ5817" t="s">
        <v>72</v>
      </c>
      <c r="AK5817" s="3" t="s">
        <v>27</v>
      </c>
      <c r="AL5817" s="3">
        <v>556.21600000000001</v>
      </c>
    </row>
    <row r="5818" spans="34:38">
      <c r="AH5818" t="s">
        <v>2185</v>
      </c>
      <c r="AI5818" t="s">
        <v>68</v>
      </c>
      <c r="AJ5818" t="s">
        <v>108</v>
      </c>
      <c r="AK5818" s="3" t="s">
        <v>27</v>
      </c>
      <c r="AL5818" s="3">
        <v>156.21600000000001</v>
      </c>
    </row>
    <row r="5819" spans="34:38">
      <c r="AH5819" t="s">
        <v>2185</v>
      </c>
      <c r="AI5819" t="s">
        <v>65</v>
      </c>
      <c r="AJ5819" t="s">
        <v>113</v>
      </c>
      <c r="AK5819" s="3" t="s">
        <v>27</v>
      </c>
      <c r="AL5819" s="3">
        <v>2039.535437413</v>
      </c>
    </row>
    <row r="5820" spans="34:38">
      <c r="AH5820" t="s">
        <v>2185</v>
      </c>
      <c r="AI5820" t="s">
        <v>67</v>
      </c>
      <c r="AJ5820" t="s">
        <v>113</v>
      </c>
      <c r="AK5820" s="3" t="s">
        <v>27</v>
      </c>
      <c r="AL5820" s="3">
        <v>0</v>
      </c>
    </row>
    <row r="5821" spans="34:38">
      <c r="AH5821" t="s">
        <v>2185</v>
      </c>
      <c r="AI5821" t="s">
        <v>65</v>
      </c>
      <c r="AJ5821" t="s">
        <v>2303</v>
      </c>
      <c r="AK5821" s="3" t="s">
        <v>27</v>
      </c>
      <c r="AL5821" s="3">
        <v>-1169.6777713460001</v>
      </c>
    </row>
    <row r="5822" spans="34:38">
      <c r="AH5822" t="s">
        <v>2185</v>
      </c>
      <c r="AI5822" t="s">
        <v>67</v>
      </c>
      <c r="AJ5822" t="s">
        <v>2303</v>
      </c>
      <c r="AK5822" s="3" t="s">
        <v>27</v>
      </c>
      <c r="AL5822" s="3">
        <v>-779.42516999999998</v>
      </c>
    </row>
    <row r="5823" spans="34:38">
      <c r="AH5823" t="s">
        <v>2185</v>
      </c>
      <c r="AI5823" t="s">
        <v>65</v>
      </c>
      <c r="AJ5823" t="s">
        <v>113</v>
      </c>
      <c r="AK5823" s="3" t="s">
        <v>20</v>
      </c>
      <c r="AL5823" s="3">
        <v>994.78703741959998</v>
      </c>
    </row>
    <row r="5824" spans="34:38">
      <c r="AH5824" t="s">
        <v>2186</v>
      </c>
      <c r="AI5824" t="s">
        <v>65</v>
      </c>
      <c r="AJ5824" t="s">
        <v>113</v>
      </c>
      <c r="AK5824" s="3" t="s">
        <v>20</v>
      </c>
      <c r="AL5824" s="3">
        <v>1243.9981932651999</v>
      </c>
    </row>
    <row r="5825" spans="34:38">
      <c r="AH5825" t="s">
        <v>2186</v>
      </c>
      <c r="AI5825" t="s">
        <v>65</v>
      </c>
      <c r="AJ5825" t="s">
        <v>66</v>
      </c>
      <c r="AK5825" s="3" t="s">
        <v>27</v>
      </c>
      <c r="AL5825" s="3">
        <v>18053</v>
      </c>
    </row>
    <row r="5826" spans="34:38">
      <c r="AH5826" t="s">
        <v>2186</v>
      </c>
      <c r="AI5826" t="s">
        <v>65</v>
      </c>
      <c r="AJ5826" t="s">
        <v>72</v>
      </c>
      <c r="AK5826" s="3" t="s">
        <v>27</v>
      </c>
      <c r="AL5826" s="3">
        <v>18956.067800000001</v>
      </c>
    </row>
    <row r="5827" spans="34:38">
      <c r="AH5827" t="s">
        <v>2186</v>
      </c>
      <c r="AI5827" t="s">
        <v>65</v>
      </c>
      <c r="AJ5827" t="s">
        <v>108</v>
      </c>
      <c r="AK5827" s="3" t="s">
        <v>27</v>
      </c>
      <c r="AL5827" s="3">
        <v>903.06780000000003</v>
      </c>
    </row>
    <row r="5828" spans="34:38">
      <c r="AH5828" t="s">
        <v>2186</v>
      </c>
      <c r="AI5828" t="s">
        <v>67</v>
      </c>
      <c r="AJ5828" t="s">
        <v>66</v>
      </c>
      <c r="AK5828" s="3" t="s">
        <v>27</v>
      </c>
      <c r="AL5828" s="3">
        <v>-7153</v>
      </c>
    </row>
    <row r="5829" spans="34:38">
      <c r="AH5829" t="s">
        <v>2186</v>
      </c>
      <c r="AI5829" t="s">
        <v>67</v>
      </c>
      <c r="AJ5829" t="s">
        <v>72</v>
      </c>
      <c r="AK5829" s="3" t="s">
        <v>27</v>
      </c>
      <c r="AL5829" s="3">
        <v>-8218.0805400000008</v>
      </c>
    </row>
    <row r="5830" spans="34:38">
      <c r="AH5830" t="s">
        <v>2186</v>
      </c>
      <c r="AI5830" t="s">
        <v>67</v>
      </c>
      <c r="AJ5830" t="s">
        <v>108</v>
      </c>
      <c r="AK5830" s="3" t="s">
        <v>27</v>
      </c>
      <c r="AL5830" s="3">
        <v>-1065.0805399999999</v>
      </c>
    </row>
    <row r="5831" spans="34:38">
      <c r="AH5831" t="s">
        <v>2186</v>
      </c>
      <c r="AI5831" t="s">
        <v>68</v>
      </c>
      <c r="AJ5831" t="s">
        <v>66</v>
      </c>
      <c r="AK5831" s="3" t="s">
        <v>27</v>
      </c>
      <c r="AL5831" s="3">
        <v>820</v>
      </c>
    </row>
    <row r="5832" spans="34:38">
      <c r="AH5832" t="s">
        <v>2186</v>
      </c>
      <c r="AI5832" t="s">
        <v>68</v>
      </c>
      <c r="AJ5832" t="s">
        <v>72</v>
      </c>
      <c r="AK5832" s="3" t="s">
        <v>27</v>
      </c>
      <c r="AL5832" s="3">
        <v>1018.1395</v>
      </c>
    </row>
    <row r="5833" spans="34:38">
      <c r="AH5833" t="s">
        <v>2186</v>
      </c>
      <c r="AI5833" t="s">
        <v>68</v>
      </c>
      <c r="AJ5833" t="s">
        <v>108</v>
      </c>
      <c r="AK5833" s="3" t="s">
        <v>27</v>
      </c>
      <c r="AL5833" s="3">
        <v>198.1395</v>
      </c>
    </row>
    <row r="5834" spans="34:38">
      <c r="AH5834" t="s">
        <v>2186</v>
      </c>
      <c r="AI5834" t="s">
        <v>65</v>
      </c>
      <c r="AJ5834" t="s">
        <v>113</v>
      </c>
      <c r="AK5834" s="3" t="s">
        <v>27</v>
      </c>
      <c r="AL5834" s="3">
        <v>2289.2229807949998</v>
      </c>
    </row>
    <row r="5835" spans="34:38">
      <c r="AH5835" t="s">
        <v>2186</v>
      </c>
      <c r="AI5835" t="s">
        <v>67</v>
      </c>
      <c r="AJ5835" t="s">
        <v>113</v>
      </c>
      <c r="AK5835" s="3" t="s">
        <v>27</v>
      </c>
      <c r="AL5835" s="3">
        <v>0</v>
      </c>
    </row>
    <row r="5836" spans="34:38">
      <c r="AH5836" t="s">
        <v>2186</v>
      </c>
      <c r="AI5836" t="s">
        <v>65</v>
      </c>
      <c r="AJ5836" t="s">
        <v>2303</v>
      </c>
      <c r="AK5836" s="3" t="s">
        <v>27</v>
      </c>
      <c r="AL5836" s="3">
        <v>-1154.6378372839999</v>
      </c>
    </row>
    <row r="5837" spans="34:38">
      <c r="AH5837" t="s">
        <v>2186</v>
      </c>
      <c r="AI5837" t="s">
        <v>67</v>
      </c>
      <c r="AJ5837" t="s">
        <v>2303</v>
      </c>
      <c r="AK5837" s="3" t="s">
        <v>27</v>
      </c>
      <c r="AL5837" s="3">
        <v>-1065.0805399999999</v>
      </c>
    </row>
    <row r="5838" spans="34:38">
      <c r="AH5838" t="s">
        <v>2187</v>
      </c>
      <c r="AI5838" t="s">
        <v>65</v>
      </c>
      <c r="AJ5838" t="s">
        <v>113</v>
      </c>
      <c r="AK5838" s="3" t="s">
        <v>20</v>
      </c>
      <c r="AL5838" s="3">
        <v>1239.3244630240999</v>
      </c>
    </row>
    <row r="5839" spans="34:38">
      <c r="AH5839" t="s">
        <v>2187</v>
      </c>
      <c r="AI5839" t="s">
        <v>65</v>
      </c>
      <c r="AJ5839" t="s">
        <v>66</v>
      </c>
      <c r="AK5839" s="3" t="s">
        <v>27</v>
      </c>
      <c r="AL5839" s="3">
        <v>18003</v>
      </c>
    </row>
    <row r="5840" spans="34:38">
      <c r="AH5840" t="s">
        <v>2187</v>
      </c>
      <c r="AI5840" t="s">
        <v>65</v>
      </c>
      <c r="AJ5840" t="s">
        <v>72</v>
      </c>
      <c r="AK5840" s="3" t="s">
        <v>27</v>
      </c>
      <c r="AL5840" s="3">
        <v>18896.37844</v>
      </c>
    </row>
    <row r="5841" spans="34:38">
      <c r="AH5841" t="s">
        <v>2187</v>
      </c>
      <c r="AI5841" t="s">
        <v>65</v>
      </c>
      <c r="AJ5841" t="s">
        <v>108</v>
      </c>
      <c r="AK5841" s="3" t="s">
        <v>27</v>
      </c>
      <c r="AL5841" s="3">
        <v>893.37843999999996</v>
      </c>
    </row>
    <row r="5842" spans="34:38">
      <c r="AH5842" t="s">
        <v>2187</v>
      </c>
      <c r="AI5842" t="s">
        <v>67</v>
      </c>
      <c r="AJ5842" t="s">
        <v>66</v>
      </c>
      <c r="AK5842" s="3" t="s">
        <v>27</v>
      </c>
      <c r="AL5842" s="3">
        <v>-6296</v>
      </c>
    </row>
    <row r="5843" spans="34:38">
      <c r="AH5843" t="s">
        <v>2187</v>
      </c>
      <c r="AI5843" t="s">
        <v>67</v>
      </c>
      <c r="AJ5843" t="s">
        <v>72</v>
      </c>
      <c r="AK5843" s="3" t="s">
        <v>27</v>
      </c>
      <c r="AL5843" s="3">
        <v>-7115.5429000000004</v>
      </c>
    </row>
    <row r="5844" spans="34:38">
      <c r="AH5844" t="s">
        <v>2187</v>
      </c>
      <c r="AI5844" t="s">
        <v>67</v>
      </c>
      <c r="AJ5844" t="s">
        <v>108</v>
      </c>
      <c r="AK5844" s="3" t="s">
        <v>27</v>
      </c>
      <c r="AL5844" s="3">
        <v>-819.54290000000003</v>
      </c>
    </row>
    <row r="5845" spans="34:38">
      <c r="AH5845" t="s">
        <v>2187</v>
      </c>
      <c r="AI5845" t="s">
        <v>68</v>
      </c>
      <c r="AJ5845" t="s">
        <v>66</v>
      </c>
      <c r="AK5845" s="3" t="s">
        <v>27</v>
      </c>
      <c r="AL5845" s="3">
        <v>213</v>
      </c>
    </row>
    <row r="5846" spans="34:38">
      <c r="AH5846" t="s">
        <v>2187</v>
      </c>
      <c r="AI5846" t="s">
        <v>68</v>
      </c>
      <c r="AJ5846" t="s">
        <v>72</v>
      </c>
      <c r="AK5846" s="3" t="s">
        <v>27</v>
      </c>
      <c r="AL5846" s="3">
        <v>197.92792</v>
      </c>
    </row>
    <row r="5847" spans="34:38">
      <c r="AH5847" t="s">
        <v>2187</v>
      </c>
      <c r="AI5847" t="s">
        <v>68</v>
      </c>
      <c r="AJ5847" t="s">
        <v>108</v>
      </c>
      <c r="AK5847" s="3" t="s">
        <v>27</v>
      </c>
      <c r="AL5847" s="3">
        <v>-15.07208</v>
      </c>
    </row>
    <row r="5848" spans="34:38">
      <c r="AH5848" t="s">
        <v>2187</v>
      </c>
      <c r="AI5848" t="s">
        <v>65</v>
      </c>
      <c r="AJ5848" t="s">
        <v>113</v>
      </c>
      <c r="AK5848" s="3" t="s">
        <v>27</v>
      </c>
      <c r="AL5848" s="3">
        <v>2285.0256381039999</v>
      </c>
    </row>
    <row r="5849" spans="34:38">
      <c r="AH5849" t="s">
        <v>2187</v>
      </c>
      <c r="AI5849" t="s">
        <v>67</v>
      </c>
      <c r="AJ5849" t="s">
        <v>113</v>
      </c>
      <c r="AK5849" s="3" t="s">
        <v>27</v>
      </c>
      <c r="AL5849" s="3">
        <v>0</v>
      </c>
    </row>
    <row r="5850" spans="34:38">
      <c r="AH5850" t="s">
        <v>2187</v>
      </c>
      <c r="AI5850" t="s">
        <v>65</v>
      </c>
      <c r="AJ5850" t="s">
        <v>2303</v>
      </c>
      <c r="AK5850" s="3" t="s">
        <v>27</v>
      </c>
      <c r="AL5850" s="3">
        <v>-1165.2139311840001</v>
      </c>
    </row>
    <row r="5851" spans="34:38">
      <c r="AH5851" t="s">
        <v>2187</v>
      </c>
      <c r="AI5851" t="s">
        <v>67</v>
      </c>
      <c r="AJ5851" t="s">
        <v>2303</v>
      </c>
      <c r="AK5851" s="3" t="s">
        <v>27</v>
      </c>
      <c r="AL5851" s="3">
        <v>-819.54290000000003</v>
      </c>
    </row>
    <row r="5852" spans="34:38">
      <c r="AH5852" t="s">
        <v>2188</v>
      </c>
      <c r="AI5852" t="s">
        <v>65</v>
      </c>
      <c r="AJ5852" t="s">
        <v>66</v>
      </c>
      <c r="AK5852" s="3" t="s">
        <v>27</v>
      </c>
      <c r="AL5852" s="3">
        <v>19099.5</v>
      </c>
    </row>
    <row r="5853" spans="34:38">
      <c r="AH5853" t="s">
        <v>2188</v>
      </c>
      <c r="AI5853" t="s">
        <v>65</v>
      </c>
      <c r="AJ5853" t="s">
        <v>72</v>
      </c>
      <c r="AK5853" s="3" t="s">
        <v>27</v>
      </c>
      <c r="AL5853" s="3">
        <v>20252.341655</v>
      </c>
    </row>
    <row r="5854" spans="34:38">
      <c r="AH5854" t="s">
        <v>2188</v>
      </c>
      <c r="AI5854" t="s">
        <v>65</v>
      </c>
      <c r="AJ5854" t="s">
        <v>108</v>
      </c>
      <c r="AK5854" s="3" t="s">
        <v>27</v>
      </c>
      <c r="AL5854" s="3">
        <v>1152.8416549999999</v>
      </c>
    </row>
    <row r="5855" spans="34:38">
      <c r="AH5855" t="s">
        <v>2188</v>
      </c>
      <c r="AI5855" t="s">
        <v>67</v>
      </c>
      <c r="AJ5855" t="s">
        <v>66</v>
      </c>
      <c r="AK5855" s="3" t="s">
        <v>27</v>
      </c>
      <c r="AL5855" s="3">
        <v>-7392.5</v>
      </c>
    </row>
    <row r="5856" spans="34:38">
      <c r="AH5856" t="s">
        <v>2188</v>
      </c>
      <c r="AI5856" t="s">
        <v>67</v>
      </c>
      <c r="AJ5856" t="s">
        <v>72</v>
      </c>
      <c r="AK5856" s="3" t="s">
        <v>27</v>
      </c>
      <c r="AL5856" s="3">
        <v>-8463.0053050000006</v>
      </c>
    </row>
    <row r="5857" spans="34:38">
      <c r="AH5857" t="s">
        <v>2188</v>
      </c>
      <c r="AI5857" t="s">
        <v>67</v>
      </c>
      <c r="AJ5857" t="s">
        <v>108</v>
      </c>
      <c r="AK5857" s="3" t="s">
        <v>27</v>
      </c>
      <c r="AL5857" s="3">
        <v>-1070.5053049999999</v>
      </c>
    </row>
    <row r="5858" spans="34:38">
      <c r="AH5858" t="s">
        <v>2188</v>
      </c>
      <c r="AI5858" t="s">
        <v>68</v>
      </c>
      <c r="AJ5858" t="s">
        <v>66</v>
      </c>
      <c r="AK5858" s="3" t="s">
        <v>27</v>
      </c>
      <c r="AL5858" s="3">
        <v>263</v>
      </c>
    </row>
    <row r="5859" spans="34:38">
      <c r="AH5859" t="s">
        <v>2188</v>
      </c>
      <c r="AI5859" t="s">
        <v>68</v>
      </c>
      <c r="AJ5859" t="s">
        <v>72</v>
      </c>
      <c r="AK5859" s="3" t="s">
        <v>27</v>
      </c>
      <c r="AL5859" s="3">
        <v>251.33669</v>
      </c>
    </row>
    <row r="5860" spans="34:38">
      <c r="AH5860" t="s">
        <v>2188</v>
      </c>
      <c r="AI5860" t="s">
        <v>68</v>
      </c>
      <c r="AJ5860" t="s">
        <v>108</v>
      </c>
      <c r="AK5860" s="3" t="s">
        <v>27</v>
      </c>
      <c r="AL5860" s="3">
        <v>-11.663309999999999</v>
      </c>
    </row>
    <row r="5861" spans="34:38">
      <c r="AH5861" t="s">
        <v>2188</v>
      </c>
      <c r="AI5861" t="s">
        <v>65</v>
      </c>
      <c r="AJ5861" t="s">
        <v>113</v>
      </c>
      <c r="AK5861" s="3" t="s">
        <v>27</v>
      </c>
      <c r="AL5861" s="3">
        <v>2635.5677585540002</v>
      </c>
    </row>
    <row r="5862" spans="34:38">
      <c r="AH5862" t="s">
        <v>2188</v>
      </c>
      <c r="AI5862" t="s">
        <v>67</v>
      </c>
      <c r="AJ5862" t="s">
        <v>113</v>
      </c>
      <c r="AK5862" s="3" t="s">
        <v>27</v>
      </c>
      <c r="AL5862" s="3">
        <v>0</v>
      </c>
    </row>
    <row r="5863" spans="34:38">
      <c r="AH5863" t="s">
        <v>2188</v>
      </c>
      <c r="AI5863" t="s">
        <v>65</v>
      </c>
      <c r="AJ5863" t="s">
        <v>2303</v>
      </c>
      <c r="AK5863" s="3" t="s">
        <v>27</v>
      </c>
      <c r="AL5863" s="3">
        <v>-1227.391400273</v>
      </c>
    </row>
    <row r="5864" spans="34:38">
      <c r="AH5864" t="s">
        <v>2188</v>
      </c>
      <c r="AI5864" t="s">
        <v>67</v>
      </c>
      <c r="AJ5864" t="s">
        <v>2303</v>
      </c>
      <c r="AK5864" s="3" t="s">
        <v>27</v>
      </c>
      <c r="AL5864" s="3">
        <v>-1081.7498049999999</v>
      </c>
    </row>
    <row r="5865" spans="34:38">
      <c r="AH5865" t="s">
        <v>2188</v>
      </c>
      <c r="AI5865" t="s">
        <v>65</v>
      </c>
      <c r="AJ5865" t="s">
        <v>113</v>
      </c>
      <c r="AK5865" s="3" t="s">
        <v>20</v>
      </c>
      <c r="AL5865" s="3">
        <v>1509.6293041786</v>
      </c>
    </row>
    <row r="5866" spans="34:38">
      <c r="AH5866" t="s">
        <v>2189</v>
      </c>
      <c r="AI5866" t="s">
        <v>65</v>
      </c>
      <c r="AJ5866" t="s">
        <v>113</v>
      </c>
      <c r="AK5866" s="3" t="s">
        <v>20</v>
      </c>
      <c r="AL5866" s="3">
        <v>1589.7277096854</v>
      </c>
    </row>
    <row r="5867" spans="34:38">
      <c r="AH5867" t="s">
        <v>2189</v>
      </c>
      <c r="AI5867" t="s">
        <v>65</v>
      </c>
      <c r="AJ5867" t="s">
        <v>66</v>
      </c>
      <c r="AK5867" s="3" t="s">
        <v>27</v>
      </c>
      <c r="AL5867" s="3">
        <v>19462.5</v>
      </c>
    </row>
    <row r="5868" spans="34:38">
      <c r="AH5868" t="s">
        <v>2189</v>
      </c>
      <c r="AI5868" t="s">
        <v>65</v>
      </c>
      <c r="AJ5868" t="s">
        <v>72</v>
      </c>
      <c r="AK5868" s="3" t="s">
        <v>27</v>
      </c>
      <c r="AL5868" s="3">
        <v>20704.480384999999</v>
      </c>
    </row>
    <row r="5869" spans="34:38">
      <c r="AH5869" t="s">
        <v>2189</v>
      </c>
      <c r="AI5869" t="s">
        <v>65</v>
      </c>
      <c r="AJ5869" t="s">
        <v>108</v>
      </c>
      <c r="AK5869" s="3" t="s">
        <v>27</v>
      </c>
      <c r="AL5869" s="3">
        <v>1241.9803850000001</v>
      </c>
    </row>
    <row r="5870" spans="34:38">
      <c r="AH5870" t="s">
        <v>2189</v>
      </c>
      <c r="AI5870" t="s">
        <v>67</v>
      </c>
      <c r="AJ5870" t="s">
        <v>66</v>
      </c>
      <c r="AK5870" s="3" t="s">
        <v>27</v>
      </c>
      <c r="AL5870" s="3">
        <v>-7855.5</v>
      </c>
    </row>
    <row r="5871" spans="34:38">
      <c r="AH5871" t="s">
        <v>2189</v>
      </c>
      <c r="AI5871" t="s">
        <v>67</v>
      </c>
      <c r="AJ5871" t="s">
        <v>72</v>
      </c>
      <c r="AK5871" s="3" t="s">
        <v>27</v>
      </c>
      <c r="AL5871" s="3">
        <v>-9113.1368949999996</v>
      </c>
    </row>
    <row r="5872" spans="34:38">
      <c r="AH5872" t="s">
        <v>2189</v>
      </c>
      <c r="AI5872" t="s">
        <v>67</v>
      </c>
      <c r="AJ5872" t="s">
        <v>108</v>
      </c>
      <c r="AK5872" s="3" t="s">
        <v>27</v>
      </c>
      <c r="AL5872" s="3">
        <v>-1257.6368950000001</v>
      </c>
    </row>
    <row r="5873" spans="34:38">
      <c r="AH5873" t="s">
        <v>2189</v>
      </c>
      <c r="AI5873" t="s">
        <v>68</v>
      </c>
      <c r="AJ5873" t="s">
        <v>66</v>
      </c>
      <c r="AK5873" s="3" t="s">
        <v>27</v>
      </c>
      <c r="AL5873" s="3">
        <v>363</v>
      </c>
    </row>
    <row r="5874" spans="34:38">
      <c r="AH5874" t="s">
        <v>2189</v>
      </c>
      <c r="AI5874" t="s">
        <v>68</v>
      </c>
      <c r="AJ5874" t="s">
        <v>72</v>
      </c>
      <c r="AK5874" s="3" t="s">
        <v>27</v>
      </c>
      <c r="AL5874" s="3">
        <v>450.47577000000001</v>
      </c>
    </row>
    <row r="5875" spans="34:38">
      <c r="AH5875" t="s">
        <v>2189</v>
      </c>
      <c r="AI5875" t="s">
        <v>68</v>
      </c>
      <c r="AJ5875" t="s">
        <v>108</v>
      </c>
      <c r="AK5875" s="3" t="s">
        <v>27</v>
      </c>
      <c r="AL5875" s="3">
        <v>87.475769999999997</v>
      </c>
    </row>
    <row r="5876" spans="34:38">
      <c r="AH5876" t="s">
        <v>2189</v>
      </c>
      <c r="AI5876" t="s">
        <v>65</v>
      </c>
      <c r="AJ5876" t="s">
        <v>113</v>
      </c>
      <c r="AK5876" s="3" t="s">
        <v>27</v>
      </c>
      <c r="AL5876" s="3">
        <v>2637.334434937</v>
      </c>
    </row>
    <row r="5877" spans="34:38">
      <c r="AH5877" t="s">
        <v>2189</v>
      </c>
      <c r="AI5877" t="s">
        <v>67</v>
      </c>
      <c r="AJ5877" t="s">
        <v>113</v>
      </c>
      <c r="AK5877" s="3" t="s">
        <v>27</v>
      </c>
      <c r="AL5877" s="3">
        <v>0</v>
      </c>
    </row>
    <row r="5878" spans="34:38">
      <c r="AH5878" t="s">
        <v>2189</v>
      </c>
      <c r="AI5878" t="s">
        <v>65</v>
      </c>
      <c r="AJ5878" t="s">
        <v>2303</v>
      </c>
      <c r="AK5878" s="3" t="s">
        <v>27</v>
      </c>
      <c r="AL5878" s="3">
        <v>-1137.364418768</v>
      </c>
    </row>
    <row r="5879" spans="34:38">
      <c r="AH5879" t="s">
        <v>2189</v>
      </c>
      <c r="AI5879" t="s">
        <v>67</v>
      </c>
      <c r="AJ5879" t="s">
        <v>2303</v>
      </c>
      <c r="AK5879" s="3" t="s">
        <v>27</v>
      </c>
      <c r="AL5879" s="3">
        <v>-1268.906395</v>
      </c>
    </row>
    <row r="5880" spans="34:38">
      <c r="AH5880" t="s">
        <v>2190</v>
      </c>
      <c r="AI5880" t="s">
        <v>65</v>
      </c>
      <c r="AJ5880" t="s">
        <v>113</v>
      </c>
      <c r="AK5880" s="3" t="s">
        <v>20</v>
      </c>
      <c r="AL5880" s="3">
        <v>1557.8467425295</v>
      </c>
    </row>
    <row r="5881" spans="34:38">
      <c r="AH5881" t="s">
        <v>2190</v>
      </c>
      <c r="AI5881" t="s">
        <v>65</v>
      </c>
      <c r="AJ5881" t="s">
        <v>66</v>
      </c>
      <c r="AK5881" s="3" t="s">
        <v>27</v>
      </c>
      <c r="AL5881" s="3">
        <v>19062.5</v>
      </c>
    </row>
    <row r="5882" spans="34:38">
      <c r="AH5882" t="s">
        <v>2190</v>
      </c>
      <c r="AI5882" t="s">
        <v>65</v>
      </c>
      <c r="AJ5882" t="s">
        <v>72</v>
      </c>
      <c r="AK5882" s="3" t="s">
        <v>27</v>
      </c>
      <c r="AL5882" s="3">
        <v>20311.458005</v>
      </c>
    </row>
    <row r="5883" spans="34:38">
      <c r="AH5883" t="s">
        <v>2190</v>
      </c>
      <c r="AI5883" t="s">
        <v>65</v>
      </c>
      <c r="AJ5883" t="s">
        <v>108</v>
      </c>
      <c r="AK5883" s="3" t="s">
        <v>27</v>
      </c>
      <c r="AL5883" s="3">
        <v>1248.958005</v>
      </c>
    </row>
    <row r="5884" spans="34:38">
      <c r="AH5884" t="s">
        <v>2190</v>
      </c>
      <c r="AI5884" t="s">
        <v>67</v>
      </c>
      <c r="AJ5884" t="s">
        <v>66</v>
      </c>
      <c r="AK5884" s="3" t="s">
        <v>27</v>
      </c>
      <c r="AL5884" s="3">
        <v>-7192.5</v>
      </c>
    </row>
    <row r="5885" spans="34:38">
      <c r="AH5885" t="s">
        <v>2190</v>
      </c>
      <c r="AI5885" t="s">
        <v>67</v>
      </c>
      <c r="AJ5885" t="s">
        <v>72</v>
      </c>
      <c r="AK5885" s="3" t="s">
        <v>27</v>
      </c>
      <c r="AL5885" s="3">
        <v>-8355.9451850000005</v>
      </c>
    </row>
    <row r="5886" spans="34:38">
      <c r="AH5886" t="s">
        <v>2190</v>
      </c>
      <c r="AI5886" t="s">
        <v>67</v>
      </c>
      <c r="AJ5886" t="s">
        <v>108</v>
      </c>
      <c r="AK5886" s="3" t="s">
        <v>27</v>
      </c>
      <c r="AL5886" s="3">
        <v>-1163.445185</v>
      </c>
    </row>
    <row r="5887" spans="34:38">
      <c r="AH5887" t="s">
        <v>2190</v>
      </c>
      <c r="AI5887" t="s">
        <v>68</v>
      </c>
      <c r="AJ5887" t="s">
        <v>66</v>
      </c>
      <c r="AK5887" s="3" t="s">
        <v>27</v>
      </c>
      <c r="AL5887" s="3">
        <v>0</v>
      </c>
    </row>
    <row r="5888" spans="34:38">
      <c r="AH5888" t="s">
        <v>2190</v>
      </c>
      <c r="AI5888" t="s">
        <v>68</v>
      </c>
      <c r="AJ5888" t="s">
        <v>72</v>
      </c>
      <c r="AK5888" s="3" t="s">
        <v>27</v>
      </c>
      <c r="AL5888" s="3">
        <v>0</v>
      </c>
    </row>
    <row r="5889" spans="34:38">
      <c r="AH5889" t="s">
        <v>2190</v>
      </c>
      <c r="AI5889" t="s">
        <v>68</v>
      </c>
      <c r="AJ5889" t="s">
        <v>108</v>
      </c>
      <c r="AK5889" s="3" t="s">
        <v>27</v>
      </c>
      <c r="AL5889" s="3">
        <v>0</v>
      </c>
    </row>
    <row r="5890" spans="34:38">
      <c r="AH5890" t="s">
        <v>2190</v>
      </c>
      <c r="AI5890" t="s">
        <v>65</v>
      </c>
      <c r="AJ5890" t="s">
        <v>113</v>
      </c>
      <c r="AK5890" s="3" t="s">
        <v>27</v>
      </c>
      <c r="AL5890" s="3">
        <v>2605.9298553220001</v>
      </c>
    </row>
    <row r="5891" spans="34:38">
      <c r="AH5891" t="s">
        <v>2190</v>
      </c>
      <c r="AI5891" t="s">
        <v>67</v>
      </c>
      <c r="AJ5891" t="s">
        <v>113</v>
      </c>
      <c r="AK5891" s="3" t="s">
        <v>27</v>
      </c>
      <c r="AL5891" s="3">
        <v>0</v>
      </c>
    </row>
    <row r="5892" spans="34:38">
      <c r="AH5892" t="s">
        <v>2190</v>
      </c>
      <c r="AI5892" t="s">
        <v>65</v>
      </c>
      <c r="AJ5892" t="s">
        <v>2303</v>
      </c>
      <c r="AK5892" s="3" t="s">
        <v>27</v>
      </c>
      <c r="AL5892" s="3">
        <v>-1092.473706619</v>
      </c>
    </row>
    <row r="5893" spans="34:38">
      <c r="AH5893" t="s">
        <v>2190</v>
      </c>
      <c r="AI5893" t="s">
        <v>67</v>
      </c>
      <c r="AJ5893" t="s">
        <v>2303</v>
      </c>
      <c r="AK5893" s="3" t="s">
        <v>27</v>
      </c>
      <c r="AL5893" s="3">
        <v>-1163.445185</v>
      </c>
    </row>
    <row r="5894" spans="34:38">
      <c r="AH5894" t="s">
        <v>2191</v>
      </c>
      <c r="AI5894" t="s">
        <v>65</v>
      </c>
      <c r="AJ5894" t="s">
        <v>66</v>
      </c>
      <c r="AK5894" s="3" t="s">
        <v>27</v>
      </c>
      <c r="AL5894" s="3">
        <v>19512.5</v>
      </c>
    </row>
    <row r="5895" spans="34:38">
      <c r="AH5895" t="s">
        <v>2191</v>
      </c>
      <c r="AI5895" t="s">
        <v>65</v>
      </c>
      <c r="AJ5895" t="s">
        <v>72</v>
      </c>
      <c r="AK5895" s="3" t="s">
        <v>27</v>
      </c>
      <c r="AL5895" s="3">
        <v>20795.369585</v>
      </c>
    </row>
    <row r="5896" spans="34:38">
      <c r="AH5896" t="s">
        <v>2191</v>
      </c>
      <c r="AI5896" t="s">
        <v>65</v>
      </c>
      <c r="AJ5896" t="s">
        <v>108</v>
      </c>
      <c r="AK5896" s="3" t="s">
        <v>27</v>
      </c>
      <c r="AL5896" s="3">
        <v>1282.8695849999999</v>
      </c>
    </row>
    <row r="5897" spans="34:38">
      <c r="AH5897" t="s">
        <v>2191</v>
      </c>
      <c r="AI5897" t="s">
        <v>67</v>
      </c>
      <c r="AJ5897" t="s">
        <v>66</v>
      </c>
      <c r="AK5897" s="3" t="s">
        <v>27</v>
      </c>
      <c r="AL5897" s="3">
        <v>-8042.5</v>
      </c>
    </row>
    <row r="5898" spans="34:38">
      <c r="AH5898" t="s">
        <v>2191</v>
      </c>
      <c r="AI5898" t="s">
        <v>67</v>
      </c>
      <c r="AJ5898" t="s">
        <v>72</v>
      </c>
      <c r="AK5898" s="3" t="s">
        <v>27</v>
      </c>
      <c r="AL5898" s="3">
        <v>-9251.8547450000005</v>
      </c>
    </row>
    <row r="5899" spans="34:38">
      <c r="AH5899" t="s">
        <v>2191</v>
      </c>
      <c r="AI5899" t="s">
        <v>67</v>
      </c>
      <c r="AJ5899" t="s">
        <v>108</v>
      </c>
      <c r="AK5899" s="3" t="s">
        <v>27</v>
      </c>
      <c r="AL5899" s="3">
        <v>-1209.3547450000001</v>
      </c>
    </row>
    <row r="5900" spans="34:38">
      <c r="AH5900" t="s">
        <v>2191</v>
      </c>
      <c r="AI5900" t="s">
        <v>68</v>
      </c>
      <c r="AJ5900" t="s">
        <v>66</v>
      </c>
      <c r="AK5900" s="3" t="s">
        <v>27</v>
      </c>
      <c r="AL5900" s="3">
        <v>400</v>
      </c>
    </row>
    <row r="5901" spans="34:38">
      <c r="AH5901" t="s">
        <v>2191</v>
      </c>
      <c r="AI5901" t="s">
        <v>68</v>
      </c>
      <c r="AJ5901" t="s">
        <v>72</v>
      </c>
      <c r="AK5901" s="3" t="s">
        <v>27</v>
      </c>
      <c r="AL5901" s="3">
        <v>419.47</v>
      </c>
    </row>
    <row r="5902" spans="34:38">
      <c r="AH5902" t="s">
        <v>2191</v>
      </c>
      <c r="AI5902" t="s">
        <v>68</v>
      </c>
      <c r="AJ5902" t="s">
        <v>108</v>
      </c>
      <c r="AK5902" s="3" t="s">
        <v>27</v>
      </c>
      <c r="AL5902" s="3">
        <v>19.47</v>
      </c>
    </row>
    <row r="5903" spans="34:38">
      <c r="AH5903" t="s">
        <v>2191</v>
      </c>
      <c r="AI5903" t="s">
        <v>65</v>
      </c>
      <c r="AJ5903" t="s">
        <v>113</v>
      </c>
      <c r="AK5903" s="3" t="s">
        <v>27</v>
      </c>
      <c r="AL5903" s="3">
        <v>2635.7025946099998</v>
      </c>
    </row>
    <row r="5904" spans="34:38">
      <c r="AH5904" t="s">
        <v>2191</v>
      </c>
      <c r="AI5904" t="s">
        <v>67</v>
      </c>
      <c r="AJ5904" t="s">
        <v>113</v>
      </c>
      <c r="AK5904" s="3" t="s">
        <v>27</v>
      </c>
      <c r="AL5904" s="3">
        <v>0</v>
      </c>
    </row>
    <row r="5905" spans="34:38">
      <c r="AH5905" t="s">
        <v>2191</v>
      </c>
      <c r="AI5905" t="s">
        <v>65</v>
      </c>
      <c r="AJ5905" t="s">
        <v>2303</v>
      </c>
      <c r="AK5905" s="3" t="s">
        <v>27</v>
      </c>
      <c r="AL5905" s="3">
        <v>-1070.298772722</v>
      </c>
    </row>
    <row r="5906" spans="34:38">
      <c r="AH5906" t="s">
        <v>2191</v>
      </c>
      <c r="AI5906" t="s">
        <v>67</v>
      </c>
      <c r="AJ5906" t="s">
        <v>2303</v>
      </c>
      <c r="AK5906" s="3" t="s">
        <v>27</v>
      </c>
      <c r="AL5906" s="3">
        <v>-1211.7847449999999</v>
      </c>
    </row>
    <row r="5907" spans="34:38">
      <c r="AH5907" t="s">
        <v>2191</v>
      </c>
      <c r="AI5907" t="s">
        <v>65</v>
      </c>
      <c r="AJ5907" t="s">
        <v>113</v>
      </c>
      <c r="AK5907" s="3" t="s">
        <v>20</v>
      </c>
      <c r="AL5907" s="3">
        <v>1591.5055655040001</v>
      </c>
    </row>
    <row r="5908" spans="34:38">
      <c r="AH5908" t="s">
        <v>2192</v>
      </c>
      <c r="AI5908" t="s">
        <v>65</v>
      </c>
      <c r="AJ5908" t="s">
        <v>113</v>
      </c>
      <c r="AK5908" s="3" t="s">
        <v>20</v>
      </c>
      <c r="AL5908" s="3">
        <v>1579.036047865</v>
      </c>
    </row>
    <row r="5909" spans="34:38">
      <c r="AH5909" t="s">
        <v>2192</v>
      </c>
      <c r="AI5909" t="s">
        <v>65</v>
      </c>
      <c r="AJ5909" t="s">
        <v>66</v>
      </c>
      <c r="AK5909" s="3" t="s">
        <v>27</v>
      </c>
      <c r="AL5909" s="3">
        <v>19152.5</v>
      </c>
    </row>
    <row r="5910" spans="34:38">
      <c r="AH5910" t="s">
        <v>2192</v>
      </c>
      <c r="AI5910" t="s">
        <v>65</v>
      </c>
      <c r="AJ5910" t="s">
        <v>72</v>
      </c>
      <c r="AK5910" s="3" t="s">
        <v>27</v>
      </c>
      <c r="AL5910" s="3">
        <v>20451.134975000001</v>
      </c>
    </row>
    <row r="5911" spans="34:38">
      <c r="AH5911" t="s">
        <v>2192</v>
      </c>
      <c r="AI5911" t="s">
        <v>65</v>
      </c>
      <c r="AJ5911" t="s">
        <v>108</v>
      </c>
      <c r="AK5911" s="3" t="s">
        <v>27</v>
      </c>
      <c r="AL5911" s="3">
        <v>1298.6349749999999</v>
      </c>
    </row>
    <row r="5912" spans="34:38">
      <c r="AH5912" t="s">
        <v>2192</v>
      </c>
      <c r="AI5912" t="s">
        <v>67</v>
      </c>
      <c r="AJ5912" t="s">
        <v>66</v>
      </c>
      <c r="AK5912" s="3" t="s">
        <v>27</v>
      </c>
      <c r="AL5912" s="3">
        <v>-7282.5</v>
      </c>
    </row>
    <row r="5913" spans="34:38">
      <c r="AH5913" t="s">
        <v>2192</v>
      </c>
      <c r="AI5913" t="s">
        <v>67</v>
      </c>
      <c r="AJ5913" t="s">
        <v>72</v>
      </c>
      <c r="AK5913" s="3" t="s">
        <v>27</v>
      </c>
      <c r="AL5913" s="3">
        <v>-8470.8494950000004</v>
      </c>
    </row>
    <row r="5914" spans="34:38">
      <c r="AH5914" t="s">
        <v>2192</v>
      </c>
      <c r="AI5914" t="s">
        <v>67</v>
      </c>
      <c r="AJ5914" t="s">
        <v>108</v>
      </c>
      <c r="AK5914" s="3" t="s">
        <v>27</v>
      </c>
      <c r="AL5914" s="3">
        <v>-1188.3494949999999</v>
      </c>
    </row>
    <row r="5915" spans="34:38">
      <c r="AH5915" t="s">
        <v>2192</v>
      </c>
      <c r="AI5915" t="s">
        <v>68</v>
      </c>
      <c r="AJ5915" t="s">
        <v>66</v>
      </c>
      <c r="AK5915" s="3" t="s">
        <v>27</v>
      </c>
      <c r="AL5915" s="3">
        <v>0</v>
      </c>
    </row>
    <row r="5916" spans="34:38">
      <c r="AH5916" t="s">
        <v>2192</v>
      </c>
      <c r="AI5916" t="s">
        <v>68</v>
      </c>
      <c r="AJ5916" t="s">
        <v>72</v>
      </c>
      <c r="AK5916" s="3" t="s">
        <v>27</v>
      </c>
      <c r="AL5916" s="3">
        <v>0</v>
      </c>
    </row>
    <row r="5917" spans="34:38">
      <c r="AH5917" t="s">
        <v>2192</v>
      </c>
      <c r="AI5917" t="s">
        <v>68</v>
      </c>
      <c r="AJ5917" t="s">
        <v>108</v>
      </c>
      <c r="AK5917" s="3" t="s">
        <v>27</v>
      </c>
      <c r="AL5917" s="3">
        <v>0</v>
      </c>
    </row>
    <row r="5918" spans="34:38">
      <c r="AH5918" t="s">
        <v>2192</v>
      </c>
      <c r="AI5918" t="s">
        <v>65</v>
      </c>
      <c r="AJ5918" t="s">
        <v>113</v>
      </c>
      <c r="AK5918" s="3" t="s">
        <v>27</v>
      </c>
      <c r="AL5918" s="3">
        <v>2623.7071624129999</v>
      </c>
    </row>
    <row r="5919" spans="34:38">
      <c r="AH5919" t="s">
        <v>2192</v>
      </c>
      <c r="AI5919" t="s">
        <v>67</v>
      </c>
      <c r="AJ5919" t="s">
        <v>113</v>
      </c>
      <c r="AK5919" s="3" t="s">
        <v>27</v>
      </c>
      <c r="AL5919" s="3">
        <v>0</v>
      </c>
    </row>
    <row r="5920" spans="34:38">
      <c r="AH5920" t="s">
        <v>2192</v>
      </c>
      <c r="AI5920" t="s">
        <v>65</v>
      </c>
      <c r="AJ5920" t="s">
        <v>2303</v>
      </c>
      <c r="AK5920" s="3" t="s">
        <v>27</v>
      </c>
      <c r="AL5920" s="3">
        <v>-1020.919343956</v>
      </c>
    </row>
    <row r="5921" spans="34:38">
      <c r="AH5921" t="s">
        <v>2192</v>
      </c>
      <c r="AI5921" t="s">
        <v>67</v>
      </c>
      <c r="AJ5921" t="s">
        <v>2303</v>
      </c>
      <c r="AK5921" s="3" t="s">
        <v>27</v>
      </c>
      <c r="AL5921" s="3">
        <v>-1191.1214950000001</v>
      </c>
    </row>
    <row r="5922" spans="34:38">
      <c r="AH5922" t="s">
        <v>2193</v>
      </c>
      <c r="AI5922" t="s">
        <v>65</v>
      </c>
      <c r="AJ5922" t="s">
        <v>66</v>
      </c>
      <c r="AK5922" s="3" t="s">
        <v>27</v>
      </c>
      <c r="AL5922" s="3">
        <v>18892.5</v>
      </c>
    </row>
    <row r="5923" spans="34:38">
      <c r="AH5923" t="s">
        <v>2193</v>
      </c>
      <c r="AI5923" t="s">
        <v>65</v>
      </c>
      <c r="AJ5923" t="s">
        <v>72</v>
      </c>
      <c r="AK5923" s="3" t="s">
        <v>27</v>
      </c>
      <c r="AL5923" s="3">
        <v>20179.159944999999</v>
      </c>
    </row>
    <row r="5924" spans="34:38">
      <c r="AH5924" t="s">
        <v>2193</v>
      </c>
      <c r="AI5924" t="s">
        <v>65</v>
      </c>
      <c r="AJ5924" t="s">
        <v>108</v>
      </c>
      <c r="AK5924" s="3" t="s">
        <v>27</v>
      </c>
      <c r="AL5924" s="3">
        <v>1286.6599450000001</v>
      </c>
    </row>
    <row r="5925" spans="34:38">
      <c r="AH5925" t="s">
        <v>2193</v>
      </c>
      <c r="AI5925" t="s">
        <v>67</v>
      </c>
      <c r="AJ5925" t="s">
        <v>66</v>
      </c>
      <c r="AK5925" s="3" t="s">
        <v>27</v>
      </c>
      <c r="AL5925" s="3">
        <v>-7332.5</v>
      </c>
    </row>
    <row r="5926" spans="34:38">
      <c r="AH5926" t="s">
        <v>2193</v>
      </c>
      <c r="AI5926" t="s">
        <v>67</v>
      </c>
      <c r="AJ5926" t="s">
        <v>72</v>
      </c>
      <c r="AK5926" s="3" t="s">
        <v>27</v>
      </c>
      <c r="AL5926" s="3">
        <v>-8513.9321650000002</v>
      </c>
    </row>
    <row r="5927" spans="34:38">
      <c r="AH5927" t="s">
        <v>2193</v>
      </c>
      <c r="AI5927" t="s">
        <v>67</v>
      </c>
      <c r="AJ5927" t="s">
        <v>108</v>
      </c>
      <c r="AK5927" s="3" t="s">
        <v>27</v>
      </c>
      <c r="AL5927" s="3">
        <v>-1181.4321649999999</v>
      </c>
    </row>
    <row r="5928" spans="34:38">
      <c r="AH5928" t="s">
        <v>2193</v>
      </c>
      <c r="AI5928" t="s">
        <v>68</v>
      </c>
      <c r="AJ5928" t="s">
        <v>66</v>
      </c>
      <c r="AK5928" s="3" t="s">
        <v>27</v>
      </c>
      <c r="AL5928" s="3">
        <v>360</v>
      </c>
    </row>
    <row r="5929" spans="34:38">
      <c r="AH5929" t="s">
        <v>2193</v>
      </c>
      <c r="AI5929" t="s">
        <v>68</v>
      </c>
      <c r="AJ5929" t="s">
        <v>72</v>
      </c>
      <c r="AK5929" s="3" t="s">
        <v>27</v>
      </c>
      <c r="AL5929" s="3">
        <v>371.93509999999998</v>
      </c>
    </row>
    <row r="5930" spans="34:38">
      <c r="AH5930" t="s">
        <v>2193</v>
      </c>
      <c r="AI5930" t="s">
        <v>68</v>
      </c>
      <c r="AJ5930" t="s">
        <v>108</v>
      </c>
      <c r="AK5930" s="3" t="s">
        <v>27</v>
      </c>
      <c r="AL5930" s="3">
        <v>11.9351</v>
      </c>
    </row>
    <row r="5931" spans="34:38">
      <c r="AH5931" t="s">
        <v>2193</v>
      </c>
      <c r="AI5931" t="s">
        <v>65</v>
      </c>
      <c r="AJ5931" t="s">
        <v>113</v>
      </c>
      <c r="AK5931" s="3" t="s">
        <v>27</v>
      </c>
      <c r="AL5931" s="3">
        <v>2607.3681403760002</v>
      </c>
    </row>
    <row r="5932" spans="34:38">
      <c r="AH5932" t="s">
        <v>2193</v>
      </c>
      <c r="AI5932" t="s">
        <v>67</v>
      </c>
      <c r="AJ5932" t="s">
        <v>113</v>
      </c>
      <c r="AK5932" s="3" t="s">
        <v>27</v>
      </c>
      <c r="AL5932" s="3">
        <v>0</v>
      </c>
    </row>
    <row r="5933" spans="34:38">
      <c r="AH5933" t="s">
        <v>2193</v>
      </c>
      <c r="AI5933" t="s">
        <v>65</v>
      </c>
      <c r="AJ5933" t="s">
        <v>2303</v>
      </c>
      <c r="AK5933" s="3" t="s">
        <v>27</v>
      </c>
      <c r="AL5933" s="3">
        <v>-1000.134538998</v>
      </c>
    </row>
    <row r="5934" spans="34:38">
      <c r="AH5934" t="s">
        <v>2193</v>
      </c>
      <c r="AI5934" t="s">
        <v>67</v>
      </c>
      <c r="AJ5934" t="s">
        <v>2303</v>
      </c>
      <c r="AK5934" s="3" t="s">
        <v>27</v>
      </c>
      <c r="AL5934" s="3">
        <v>-1190.2511649999999</v>
      </c>
    </row>
    <row r="5935" spans="34:38">
      <c r="AH5935" t="s">
        <v>2193</v>
      </c>
      <c r="AI5935" t="s">
        <v>65</v>
      </c>
      <c r="AJ5935" t="s">
        <v>113</v>
      </c>
      <c r="AK5935" s="3" t="s">
        <v>20</v>
      </c>
      <c r="AL5935" s="3">
        <v>1558.5485800539</v>
      </c>
    </row>
    <row r="5936" spans="34:38">
      <c r="AH5936" t="s">
        <v>2194</v>
      </c>
      <c r="AI5936" t="s">
        <v>65</v>
      </c>
      <c r="AJ5936" t="s">
        <v>113</v>
      </c>
      <c r="AK5936" s="3" t="s">
        <v>20</v>
      </c>
      <c r="AL5936" s="3">
        <v>1593.0375988924</v>
      </c>
    </row>
    <row r="5937" spans="34:38">
      <c r="AH5937" t="s">
        <v>2194</v>
      </c>
      <c r="AI5937" t="s">
        <v>65</v>
      </c>
      <c r="AJ5937" t="s">
        <v>66</v>
      </c>
      <c r="AK5937" s="3" t="s">
        <v>27</v>
      </c>
      <c r="AL5937" s="3">
        <v>19252.5</v>
      </c>
    </row>
    <row r="5938" spans="34:38">
      <c r="AH5938" t="s">
        <v>2194</v>
      </c>
      <c r="AI5938" t="s">
        <v>65</v>
      </c>
      <c r="AJ5938" t="s">
        <v>72</v>
      </c>
      <c r="AK5938" s="3" t="s">
        <v>27</v>
      </c>
      <c r="AL5938" s="3">
        <v>20583.764169999999</v>
      </c>
    </row>
    <row r="5939" spans="34:38">
      <c r="AH5939" t="s">
        <v>2194</v>
      </c>
      <c r="AI5939" t="s">
        <v>65</v>
      </c>
      <c r="AJ5939" t="s">
        <v>108</v>
      </c>
      <c r="AK5939" s="3" t="s">
        <v>27</v>
      </c>
      <c r="AL5939" s="3">
        <v>1331.2641699999999</v>
      </c>
    </row>
    <row r="5940" spans="34:38">
      <c r="AH5940" t="s">
        <v>2194</v>
      </c>
      <c r="AI5940" t="s">
        <v>67</v>
      </c>
      <c r="AJ5940" t="s">
        <v>66</v>
      </c>
      <c r="AK5940" s="3" t="s">
        <v>27</v>
      </c>
      <c r="AL5940" s="3">
        <v>-7952.5</v>
      </c>
    </row>
    <row r="5941" spans="34:38">
      <c r="AH5941" t="s">
        <v>2194</v>
      </c>
      <c r="AI5941" t="s">
        <v>67</v>
      </c>
      <c r="AJ5941" t="s">
        <v>72</v>
      </c>
      <c r="AK5941" s="3" t="s">
        <v>27</v>
      </c>
      <c r="AL5941" s="3">
        <v>-9190.0500900000006</v>
      </c>
    </row>
    <row r="5942" spans="34:38">
      <c r="AH5942" t="s">
        <v>2194</v>
      </c>
      <c r="AI5942" t="s">
        <v>67</v>
      </c>
      <c r="AJ5942" t="s">
        <v>108</v>
      </c>
      <c r="AK5942" s="3" t="s">
        <v>27</v>
      </c>
      <c r="AL5942" s="3">
        <v>-1237.55009</v>
      </c>
    </row>
    <row r="5943" spans="34:38">
      <c r="AH5943" t="s">
        <v>2194</v>
      </c>
      <c r="AI5943" t="s">
        <v>68</v>
      </c>
      <c r="AJ5943" t="s">
        <v>66</v>
      </c>
      <c r="AK5943" s="3" t="s">
        <v>27</v>
      </c>
      <c r="AL5943" s="3">
        <v>620</v>
      </c>
    </row>
    <row r="5944" spans="34:38">
      <c r="AH5944" t="s">
        <v>2194</v>
      </c>
      <c r="AI5944" t="s">
        <v>68</v>
      </c>
      <c r="AJ5944" t="s">
        <v>72</v>
      </c>
      <c r="AK5944" s="3" t="s">
        <v>27</v>
      </c>
      <c r="AL5944" s="3">
        <v>651.45690000000002</v>
      </c>
    </row>
    <row r="5945" spans="34:38">
      <c r="AH5945" t="s">
        <v>2194</v>
      </c>
      <c r="AI5945" t="s">
        <v>68</v>
      </c>
      <c r="AJ5945" t="s">
        <v>108</v>
      </c>
      <c r="AK5945" s="3" t="s">
        <v>27</v>
      </c>
      <c r="AL5945" s="3">
        <v>31.456900000000001</v>
      </c>
    </row>
    <row r="5946" spans="34:38">
      <c r="AH5946" t="s">
        <v>2194</v>
      </c>
      <c r="AI5946" t="s">
        <v>65</v>
      </c>
      <c r="AJ5946" t="s">
        <v>113</v>
      </c>
      <c r="AK5946" s="3" t="s">
        <v>27</v>
      </c>
      <c r="AL5946" s="3">
        <v>2643.282378551</v>
      </c>
    </row>
    <row r="5947" spans="34:38">
      <c r="AH5947" t="s">
        <v>2194</v>
      </c>
      <c r="AI5947" t="s">
        <v>67</v>
      </c>
      <c r="AJ5947" t="s">
        <v>113</v>
      </c>
      <c r="AK5947" s="3" t="s">
        <v>27</v>
      </c>
      <c r="AL5947" s="3">
        <v>0</v>
      </c>
    </row>
    <row r="5948" spans="34:38">
      <c r="AH5948" t="s">
        <v>2194</v>
      </c>
      <c r="AI5948" t="s">
        <v>65</v>
      </c>
      <c r="AJ5948" t="s">
        <v>2303</v>
      </c>
      <c r="AK5948" s="3" t="s">
        <v>27</v>
      </c>
      <c r="AL5948" s="3">
        <v>-983.64529556299999</v>
      </c>
    </row>
    <row r="5949" spans="34:38">
      <c r="AH5949" t="s">
        <v>2194</v>
      </c>
      <c r="AI5949" t="s">
        <v>67</v>
      </c>
      <c r="AJ5949" t="s">
        <v>2303</v>
      </c>
      <c r="AK5949" s="3" t="s">
        <v>27</v>
      </c>
      <c r="AL5949" s="3">
        <v>-1238.32509</v>
      </c>
    </row>
    <row r="5950" spans="34:38">
      <c r="AH5950" t="s">
        <v>2195</v>
      </c>
      <c r="AI5950" t="s">
        <v>65</v>
      </c>
      <c r="AJ5950" t="s">
        <v>66</v>
      </c>
      <c r="AK5950" s="3" t="s">
        <v>27</v>
      </c>
      <c r="AL5950" s="3">
        <v>19002.5</v>
      </c>
    </row>
    <row r="5951" spans="34:38">
      <c r="AH5951" t="s">
        <v>2195</v>
      </c>
      <c r="AI5951" t="s">
        <v>65</v>
      </c>
      <c r="AJ5951" t="s">
        <v>72</v>
      </c>
      <c r="AK5951" s="3" t="s">
        <v>27</v>
      </c>
      <c r="AL5951" s="3">
        <v>20293.172084999998</v>
      </c>
    </row>
    <row r="5952" spans="34:38">
      <c r="AH5952" t="s">
        <v>2195</v>
      </c>
      <c r="AI5952" t="s">
        <v>65</v>
      </c>
      <c r="AJ5952" t="s">
        <v>108</v>
      </c>
      <c r="AK5952" s="3" t="s">
        <v>27</v>
      </c>
      <c r="AL5952" s="3">
        <v>1290.6720849999999</v>
      </c>
    </row>
    <row r="5953" spans="34:38">
      <c r="AH5953" t="s">
        <v>2195</v>
      </c>
      <c r="AI5953" t="s">
        <v>67</v>
      </c>
      <c r="AJ5953" t="s">
        <v>66</v>
      </c>
      <c r="AK5953" s="3" t="s">
        <v>27</v>
      </c>
      <c r="AL5953" s="3">
        <v>-7342.5</v>
      </c>
    </row>
    <row r="5954" spans="34:38">
      <c r="AH5954" t="s">
        <v>2195</v>
      </c>
      <c r="AI5954" t="s">
        <v>67</v>
      </c>
      <c r="AJ5954" t="s">
        <v>72</v>
      </c>
      <c r="AK5954" s="3" t="s">
        <v>27</v>
      </c>
      <c r="AL5954" s="3">
        <v>-8505.7408250000008</v>
      </c>
    </row>
    <row r="5955" spans="34:38">
      <c r="AH5955" t="s">
        <v>2195</v>
      </c>
      <c r="AI5955" t="s">
        <v>67</v>
      </c>
      <c r="AJ5955" t="s">
        <v>108</v>
      </c>
      <c r="AK5955" s="3" t="s">
        <v>27</v>
      </c>
      <c r="AL5955" s="3">
        <v>-1163.2408250000001</v>
      </c>
    </row>
    <row r="5956" spans="34:38">
      <c r="AH5956" t="s">
        <v>2195</v>
      </c>
      <c r="AI5956" t="s">
        <v>68</v>
      </c>
      <c r="AJ5956" t="s">
        <v>66</v>
      </c>
      <c r="AK5956" s="3" t="s">
        <v>27</v>
      </c>
      <c r="AL5956" s="3">
        <v>160</v>
      </c>
    </row>
    <row r="5957" spans="34:38">
      <c r="AH5957" t="s">
        <v>2195</v>
      </c>
      <c r="AI5957" t="s">
        <v>68</v>
      </c>
      <c r="AJ5957" t="s">
        <v>72</v>
      </c>
      <c r="AK5957" s="3" t="s">
        <v>27</v>
      </c>
      <c r="AL5957" s="3">
        <v>151.9024</v>
      </c>
    </row>
    <row r="5958" spans="34:38">
      <c r="AH5958" t="s">
        <v>2195</v>
      </c>
      <c r="AI5958" t="s">
        <v>68</v>
      </c>
      <c r="AJ5958" t="s">
        <v>108</v>
      </c>
      <c r="AK5958" s="3" t="s">
        <v>27</v>
      </c>
      <c r="AL5958" s="3">
        <v>-8.0975999999999999</v>
      </c>
    </row>
    <row r="5959" spans="34:38">
      <c r="AH5959" t="s">
        <v>2195</v>
      </c>
      <c r="AI5959" t="s">
        <v>65</v>
      </c>
      <c r="AJ5959" t="s">
        <v>113</v>
      </c>
      <c r="AK5959" s="3" t="s">
        <v>27</v>
      </c>
      <c r="AL5959" s="3">
        <v>2588.6094238310002</v>
      </c>
    </row>
    <row r="5960" spans="34:38">
      <c r="AH5960" t="s">
        <v>2195</v>
      </c>
      <c r="AI5960" t="s">
        <v>67</v>
      </c>
      <c r="AJ5960" t="s">
        <v>113</v>
      </c>
      <c r="AK5960" s="3" t="s">
        <v>27</v>
      </c>
      <c r="AL5960" s="3">
        <v>0</v>
      </c>
    </row>
    <row r="5961" spans="34:38">
      <c r="AH5961" t="s">
        <v>2195</v>
      </c>
      <c r="AI5961" t="s">
        <v>65</v>
      </c>
      <c r="AJ5961" t="s">
        <v>2303</v>
      </c>
      <c r="AK5961" s="3" t="s">
        <v>27</v>
      </c>
      <c r="AL5961" s="3">
        <v>-969.12957857499998</v>
      </c>
    </row>
    <row r="5962" spans="34:38">
      <c r="AH5962" t="s">
        <v>2195</v>
      </c>
      <c r="AI5962" t="s">
        <v>67</v>
      </c>
      <c r="AJ5962" t="s">
        <v>2303</v>
      </c>
      <c r="AK5962" s="3" t="s">
        <v>27</v>
      </c>
      <c r="AL5962" s="3">
        <v>-1163.2408250000001</v>
      </c>
    </row>
    <row r="5963" spans="34:38">
      <c r="AH5963" t="s">
        <v>2195</v>
      </c>
      <c r="AI5963" t="s">
        <v>65</v>
      </c>
      <c r="AJ5963" t="s">
        <v>113</v>
      </c>
      <c r="AK5963" s="3" t="s">
        <v>20</v>
      </c>
      <c r="AL5963" s="3">
        <v>1537.8895710612001</v>
      </c>
    </row>
    <row r="5964" spans="34:38">
      <c r="AH5964" t="s">
        <v>2196</v>
      </c>
      <c r="AI5964" t="s">
        <v>65</v>
      </c>
      <c r="AJ5964" t="s">
        <v>113</v>
      </c>
      <c r="AK5964" s="3" t="s">
        <v>20</v>
      </c>
      <c r="AL5964" s="3">
        <v>1571.9687011351</v>
      </c>
    </row>
    <row r="5965" spans="34:38">
      <c r="AH5965" t="s">
        <v>2196</v>
      </c>
      <c r="AI5965" t="s">
        <v>65</v>
      </c>
      <c r="AJ5965" t="s">
        <v>66</v>
      </c>
      <c r="AK5965" s="3" t="s">
        <v>27</v>
      </c>
      <c r="AL5965" s="3">
        <v>19212.5</v>
      </c>
    </row>
    <row r="5966" spans="34:38">
      <c r="AH5966" t="s">
        <v>2196</v>
      </c>
      <c r="AI5966" t="s">
        <v>65</v>
      </c>
      <c r="AJ5966" t="s">
        <v>72</v>
      </c>
      <c r="AK5966" s="3" t="s">
        <v>27</v>
      </c>
      <c r="AL5966" s="3">
        <v>20546.028095000001</v>
      </c>
    </row>
    <row r="5967" spans="34:38">
      <c r="AH5967" t="s">
        <v>2196</v>
      </c>
      <c r="AI5967" t="s">
        <v>65</v>
      </c>
      <c r="AJ5967" t="s">
        <v>108</v>
      </c>
      <c r="AK5967" s="3" t="s">
        <v>27</v>
      </c>
      <c r="AL5967" s="3">
        <v>1333.5280949999999</v>
      </c>
    </row>
    <row r="5968" spans="34:38">
      <c r="AH5968" t="s">
        <v>2196</v>
      </c>
      <c r="AI5968" t="s">
        <v>67</v>
      </c>
      <c r="AJ5968" t="s">
        <v>66</v>
      </c>
      <c r="AK5968" s="3" t="s">
        <v>27</v>
      </c>
      <c r="AL5968" s="3">
        <v>-7802.5</v>
      </c>
    </row>
    <row r="5969" spans="34:38">
      <c r="AH5969" t="s">
        <v>2196</v>
      </c>
      <c r="AI5969" t="s">
        <v>67</v>
      </c>
      <c r="AJ5969" t="s">
        <v>72</v>
      </c>
      <c r="AK5969" s="3" t="s">
        <v>27</v>
      </c>
      <c r="AL5969" s="3">
        <v>-9048.1907950000004</v>
      </c>
    </row>
    <row r="5970" spans="34:38">
      <c r="AH5970" t="s">
        <v>2196</v>
      </c>
      <c r="AI5970" t="s">
        <v>67</v>
      </c>
      <c r="AJ5970" t="s">
        <v>108</v>
      </c>
      <c r="AK5970" s="3" t="s">
        <v>27</v>
      </c>
      <c r="AL5970" s="3">
        <v>-1245.690795</v>
      </c>
    </row>
    <row r="5971" spans="34:38">
      <c r="AH5971" t="s">
        <v>2196</v>
      </c>
      <c r="AI5971" t="s">
        <v>68</v>
      </c>
      <c r="AJ5971" t="s">
        <v>66</v>
      </c>
      <c r="AK5971" s="3" t="s">
        <v>27</v>
      </c>
      <c r="AL5971" s="3">
        <v>410</v>
      </c>
    </row>
    <row r="5972" spans="34:38">
      <c r="AH5972" t="s">
        <v>2196</v>
      </c>
      <c r="AI5972" t="s">
        <v>68</v>
      </c>
      <c r="AJ5972" t="s">
        <v>72</v>
      </c>
      <c r="AK5972" s="3" t="s">
        <v>27</v>
      </c>
      <c r="AL5972" s="3">
        <v>445.34739999999999</v>
      </c>
    </row>
    <row r="5973" spans="34:38">
      <c r="AH5973" t="s">
        <v>2196</v>
      </c>
      <c r="AI5973" t="s">
        <v>68</v>
      </c>
      <c r="AJ5973" t="s">
        <v>108</v>
      </c>
      <c r="AK5973" s="3" t="s">
        <v>27</v>
      </c>
      <c r="AL5973" s="3">
        <v>35.3474</v>
      </c>
    </row>
    <row r="5974" spans="34:38">
      <c r="AH5974" t="s">
        <v>2196</v>
      </c>
      <c r="AI5974" t="s">
        <v>65</v>
      </c>
      <c r="AJ5974" t="s">
        <v>113</v>
      </c>
      <c r="AK5974" s="3" t="s">
        <v>27</v>
      </c>
      <c r="AL5974" s="3">
        <v>2623.1636270250001</v>
      </c>
    </row>
    <row r="5975" spans="34:38">
      <c r="AH5975" t="s">
        <v>2196</v>
      </c>
      <c r="AI5975" t="s">
        <v>67</v>
      </c>
      <c r="AJ5975" t="s">
        <v>113</v>
      </c>
      <c r="AK5975" s="3" t="s">
        <v>27</v>
      </c>
      <c r="AL5975" s="3">
        <v>0</v>
      </c>
    </row>
    <row r="5976" spans="34:38">
      <c r="AH5976" t="s">
        <v>2196</v>
      </c>
      <c r="AI5976" t="s">
        <v>65</v>
      </c>
      <c r="AJ5976" t="s">
        <v>2303</v>
      </c>
      <c r="AK5976" s="3" t="s">
        <v>27</v>
      </c>
      <c r="AL5976" s="3">
        <v>-957.81619215299997</v>
      </c>
    </row>
    <row r="5977" spans="34:38">
      <c r="AH5977" t="s">
        <v>2196</v>
      </c>
      <c r="AI5977" t="s">
        <v>67</v>
      </c>
      <c r="AJ5977" t="s">
        <v>2303</v>
      </c>
      <c r="AK5977" s="3" t="s">
        <v>27</v>
      </c>
      <c r="AL5977" s="3">
        <v>-1245.690795</v>
      </c>
    </row>
    <row r="5978" spans="34:38">
      <c r="AH5978" t="s">
        <v>2197</v>
      </c>
      <c r="AI5978" t="s">
        <v>65</v>
      </c>
      <c r="AJ5978" t="s">
        <v>66</v>
      </c>
      <c r="AK5978" s="3" t="s">
        <v>27</v>
      </c>
      <c r="AL5978" s="3">
        <v>19462.5</v>
      </c>
    </row>
    <row r="5979" spans="34:38">
      <c r="AH5979" t="s">
        <v>2197</v>
      </c>
      <c r="AI5979" t="s">
        <v>65</v>
      </c>
      <c r="AJ5979" t="s">
        <v>72</v>
      </c>
      <c r="AK5979" s="3" t="s">
        <v>27</v>
      </c>
      <c r="AL5979" s="3">
        <v>20792.589400000001</v>
      </c>
    </row>
    <row r="5980" spans="34:38">
      <c r="AH5980" t="s">
        <v>2197</v>
      </c>
      <c r="AI5980" t="s">
        <v>65</v>
      </c>
      <c r="AJ5980" t="s">
        <v>108</v>
      </c>
      <c r="AK5980" s="3" t="s">
        <v>27</v>
      </c>
      <c r="AL5980" s="3">
        <v>1330.0894000000001</v>
      </c>
    </row>
    <row r="5981" spans="34:38">
      <c r="AH5981" t="s">
        <v>2197</v>
      </c>
      <c r="AI5981" t="s">
        <v>67</v>
      </c>
      <c r="AJ5981" t="s">
        <v>66</v>
      </c>
      <c r="AK5981" s="3" t="s">
        <v>27</v>
      </c>
      <c r="AL5981" s="3">
        <v>-7842.5</v>
      </c>
    </row>
    <row r="5982" spans="34:38">
      <c r="AH5982" t="s">
        <v>2197</v>
      </c>
      <c r="AI5982" t="s">
        <v>67</v>
      </c>
      <c r="AJ5982" t="s">
        <v>72</v>
      </c>
      <c r="AK5982" s="3" t="s">
        <v>27</v>
      </c>
      <c r="AL5982" s="3">
        <v>-9048.2842600000004</v>
      </c>
    </row>
    <row r="5983" spans="34:38">
      <c r="AH5983" t="s">
        <v>2197</v>
      </c>
      <c r="AI5983" t="s">
        <v>67</v>
      </c>
      <c r="AJ5983" t="s">
        <v>108</v>
      </c>
      <c r="AK5983" s="3" t="s">
        <v>27</v>
      </c>
      <c r="AL5983" s="3">
        <v>-1205.7842599999999</v>
      </c>
    </row>
    <row r="5984" spans="34:38">
      <c r="AH5984" t="s">
        <v>2197</v>
      </c>
      <c r="AI5984" t="s">
        <v>68</v>
      </c>
      <c r="AJ5984" t="s">
        <v>66</v>
      </c>
      <c r="AK5984" s="3" t="s">
        <v>27</v>
      </c>
      <c r="AL5984" s="3">
        <v>200</v>
      </c>
    </row>
    <row r="5985" spans="34:38">
      <c r="AH5985" t="s">
        <v>2197</v>
      </c>
      <c r="AI5985" t="s">
        <v>68</v>
      </c>
      <c r="AJ5985" t="s">
        <v>72</v>
      </c>
      <c r="AK5985" s="3" t="s">
        <v>27</v>
      </c>
      <c r="AL5985" s="3">
        <v>196.38800000000001</v>
      </c>
    </row>
    <row r="5986" spans="34:38">
      <c r="AH5986" t="s">
        <v>2197</v>
      </c>
      <c r="AI5986" t="s">
        <v>68</v>
      </c>
      <c r="AJ5986" t="s">
        <v>108</v>
      </c>
      <c r="AK5986" s="3" t="s">
        <v>27</v>
      </c>
      <c r="AL5986" s="3">
        <v>-3.6120000000000001</v>
      </c>
    </row>
    <row r="5987" spans="34:38">
      <c r="AH5987" t="s">
        <v>2197</v>
      </c>
      <c r="AI5987" t="s">
        <v>65</v>
      </c>
      <c r="AJ5987" t="s">
        <v>113</v>
      </c>
      <c r="AK5987" s="3" t="s">
        <v>27</v>
      </c>
      <c r="AL5987" s="3">
        <v>2628.6406152740001</v>
      </c>
    </row>
    <row r="5988" spans="34:38">
      <c r="AH5988" t="s">
        <v>2197</v>
      </c>
      <c r="AI5988" t="s">
        <v>67</v>
      </c>
      <c r="AJ5988" t="s">
        <v>113</v>
      </c>
      <c r="AK5988" s="3" t="s">
        <v>27</v>
      </c>
      <c r="AL5988" s="3">
        <v>0</v>
      </c>
    </row>
    <row r="5989" spans="34:38">
      <c r="AH5989" t="s">
        <v>2197</v>
      </c>
      <c r="AI5989" t="s">
        <v>65</v>
      </c>
      <c r="AJ5989" t="s">
        <v>2303</v>
      </c>
      <c r="AK5989" s="3" t="s">
        <v>27</v>
      </c>
      <c r="AL5989" s="3">
        <v>-970.84177685600002</v>
      </c>
    </row>
    <row r="5990" spans="34:38">
      <c r="AH5990" t="s">
        <v>2197</v>
      </c>
      <c r="AI5990" t="s">
        <v>67</v>
      </c>
      <c r="AJ5990" t="s">
        <v>2303</v>
      </c>
      <c r="AK5990" s="3" t="s">
        <v>27</v>
      </c>
      <c r="AL5990" s="3">
        <v>-1205.7842599999999</v>
      </c>
    </row>
    <row r="5991" spans="34:38">
      <c r="AH5991" t="s">
        <v>2197</v>
      </c>
      <c r="AI5991" t="s">
        <v>65</v>
      </c>
      <c r="AJ5991" t="s">
        <v>113</v>
      </c>
      <c r="AK5991" s="3" t="s">
        <v>20</v>
      </c>
      <c r="AL5991" s="3">
        <v>1576.9706162749001</v>
      </c>
    </row>
    <row r="5992" spans="34:38">
      <c r="AH5992" t="s">
        <v>2198</v>
      </c>
      <c r="AI5992" t="s">
        <v>65</v>
      </c>
      <c r="AJ5992" t="s">
        <v>113</v>
      </c>
      <c r="AK5992" s="3" t="s">
        <v>20</v>
      </c>
      <c r="AL5992" s="3">
        <v>1570.1624863577999</v>
      </c>
    </row>
    <row r="5993" spans="34:38">
      <c r="AH5993" t="s">
        <v>2198</v>
      </c>
      <c r="AI5993" t="s">
        <v>65</v>
      </c>
      <c r="AJ5993" t="s">
        <v>66</v>
      </c>
      <c r="AK5993" s="3" t="s">
        <v>27</v>
      </c>
      <c r="AL5993" s="3">
        <v>19372.5</v>
      </c>
    </row>
    <row r="5994" spans="34:38">
      <c r="AH5994" t="s">
        <v>2198</v>
      </c>
      <c r="AI5994" t="s">
        <v>65</v>
      </c>
      <c r="AJ5994" t="s">
        <v>72</v>
      </c>
      <c r="AK5994" s="3" t="s">
        <v>27</v>
      </c>
      <c r="AL5994" s="3">
        <v>20704.862499999999</v>
      </c>
    </row>
    <row r="5995" spans="34:38">
      <c r="AH5995" t="s">
        <v>2198</v>
      </c>
      <c r="AI5995" t="s">
        <v>65</v>
      </c>
      <c r="AJ5995" t="s">
        <v>108</v>
      </c>
      <c r="AK5995" s="3" t="s">
        <v>27</v>
      </c>
      <c r="AL5995" s="3">
        <v>1332.3625</v>
      </c>
    </row>
    <row r="5996" spans="34:38">
      <c r="AH5996" t="s">
        <v>2198</v>
      </c>
      <c r="AI5996" t="s">
        <v>67</v>
      </c>
      <c r="AJ5996" t="s">
        <v>66</v>
      </c>
      <c r="AK5996" s="3" t="s">
        <v>27</v>
      </c>
      <c r="AL5996" s="3">
        <v>-7552.5</v>
      </c>
    </row>
    <row r="5997" spans="34:38">
      <c r="AH5997" t="s">
        <v>2198</v>
      </c>
      <c r="AI5997" t="s">
        <v>67</v>
      </c>
      <c r="AJ5997" t="s">
        <v>72</v>
      </c>
      <c r="AK5997" s="3" t="s">
        <v>27</v>
      </c>
      <c r="AL5997" s="3">
        <v>-8755.8428600000007</v>
      </c>
    </row>
    <row r="5998" spans="34:38">
      <c r="AH5998" t="s">
        <v>2198</v>
      </c>
      <c r="AI5998" t="s">
        <v>67</v>
      </c>
      <c r="AJ5998" t="s">
        <v>108</v>
      </c>
      <c r="AK5998" s="3" t="s">
        <v>27</v>
      </c>
      <c r="AL5998" s="3">
        <v>-1203.34286</v>
      </c>
    </row>
    <row r="5999" spans="34:38">
      <c r="AH5999" t="s">
        <v>2198</v>
      </c>
      <c r="AI5999" t="s">
        <v>68</v>
      </c>
      <c r="AJ5999" t="s">
        <v>66</v>
      </c>
      <c r="AK5999" s="3" t="s">
        <v>27</v>
      </c>
      <c r="AL5999" s="3">
        <v>0</v>
      </c>
    </row>
    <row r="6000" spans="34:38">
      <c r="AH6000" t="s">
        <v>2198</v>
      </c>
      <c r="AI6000" t="s">
        <v>68</v>
      </c>
      <c r="AJ6000" t="s">
        <v>72</v>
      </c>
      <c r="AK6000" s="3" t="s">
        <v>27</v>
      </c>
      <c r="AL6000" s="3">
        <v>0</v>
      </c>
    </row>
    <row r="6001" spans="34:38">
      <c r="AH6001" t="s">
        <v>2198</v>
      </c>
      <c r="AI6001" t="s">
        <v>68</v>
      </c>
      <c r="AJ6001" t="s">
        <v>108</v>
      </c>
      <c r="AK6001" s="3" t="s">
        <v>27</v>
      </c>
      <c r="AL6001" s="3">
        <v>0</v>
      </c>
    </row>
    <row r="6002" spans="34:38">
      <c r="AH6002" t="s">
        <v>2198</v>
      </c>
      <c r="AI6002" t="s">
        <v>65</v>
      </c>
      <c r="AJ6002" t="s">
        <v>113</v>
      </c>
      <c r="AK6002" s="3" t="s">
        <v>27</v>
      </c>
      <c r="AL6002" s="3">
        <v>2622.307558471</v>
      </c>
    </row>
    <row r="6003" spans="34:38">
      <c r="AH6003" t="s">
        <v>2198</v>
      </c>
      <c r="AI6003" t="s">
        <v>67</v>
      </c>
      <c r="AJ6003" t="s">
        <v>113</v>
      </c>
      <c r="AK6003" s="3" t="s">
        <v>27</v>
      </c>
      <c r="AL6003" s="3">
        <v>0</v>
      </c>
    </row>
    <row r="6004" spans="34:38">
      <c r="AH6004" t="s">
        <v>2198</v>
      </c>
      <c r="AI6004" t="s">
        <v>65</v>
      </c>
      <c r="AJ6004" t="s">
        <v>2303</v>
      </c>
      <c r="AK6004" s="3" t="s">
        <v>27</v>
      </c>
      <c r="AL6004" s="3">
        <v>-951.51349175300004</v>
      </c>
    </row>
    <row r="6005" spans="34:38">
      <c r="AH6005" t="s">
        <v>2198</v>
      </c>
      <c r="AI6005" t="s">
        <v>67</v>
      </c>
      <c r="AJ6005" t="s">
        <v>2303</v>
      </c>
      <c r="AK6005" s="3" t="s">
        <v>27</v>
      </c>
      <c r="AL6005" s="3">
        <v>-1203.34286</v>
      </c>
    </row>
    <row r="6006" spans="34:38">
      <c r="AH6006" t="s">
        <v>2199</v>
      </c>
      <c r="AI6006" t="s">
        <v>65</v>
      </c>
      <c r="AJ6006" t="s">
        <v>66</v>
      </c>
      <c r="AK6006" s="3" t="s">
        <v>27</v>
      </c>
      <c r="AL6006" s="3">
        <v>19562.5</v>
      </c>
    </row>
    <row r="6007" spans="34:38">
      <c r="AH6007" t="s">
        <v>2199</v>
      </c>
      <c r="AI6007" t="s">
        <v>65</v>
      </c>
      <c r="AJ6007" t="s">
        <v>72</v>
      </c>
      <c r="AK6007" s="3" t="s">
        <v>27</v>
      </c>
      <c r="AL6007" s="3">
        <v>20909.881270000002</v>
      </c>
    </row>
    <row r="6008" spans="34:38">
      <c r="AH6008" t="s">
        <v>2199</v>
      </c>
      <c r="AI6008" t="s">
        <v>65</v>
      </c>
      <c r="AJ6008" t="s">
        <v>108</v>
      </c>
      <c r="AK6008" s="3" t="s">
        <v>27</v>
      </c>
      <c r="AL6008" s="3">
        <v>1347.3812700000001</v>
      </c>
    </row>
    <row r="6009" spans="34:38">
      <c r="AH6009" t="s">
        <v>2199</v>
      </c>
      <c r="AI6009" t="s">
        <v>67</v>
      </c>
      <c r="AJ6009" t="s">
        <v>66</v>
      </c>
      <c r="AK6009" s="3" t="s">
        <v>27</v>
      </c>
      <c r="AL6009" s="3">
        <v>-7782.5</v>
      </c>
    </row>
    <row r="6010" spans="34:38">
      <c r="AH6010" t="s">
        <v>2199</v>
      </c>
      <c r="AI6010" t="s">
        <v>67</v>
      </c>
      <c r="AJ6010" t="s">
        <v>72</v>
      </c>
      <c r="AK6010" s="3" t="s">
        <v>27</v>
      </c>
      <c r="AL6010" s="3">
        <v>-8999.1090899999999</v>
      </c>
    </row>
    <row r="6011" spans="34:38">
      <c r="AH6011" t="s">
        <v>2199</v>
      </c>
      <c r="AI6011" t="s">
        <v>67</v>
      </c>
      <c r="AJ6011" t="s">
        <v>108</v>
      </c>
      <c r="AK6011" s="3" t="s">
        <v>27</v>
      </c>
      <c r="AL6011" s="3">
        <v>-1216.6090899999999</v>
      </c>
    </row>
    <row r="6012" spans="34:38">
      <c r="AH6012" t="s">
        <v>2199</v>
      </c>
      <c r="AI6012" t="s">
        <v>68</v>
      </c>
      <c r="AJ6012" t="s">
        <v>66</v>
      </c>
      <c r="AK6012" s="3" t="s">
        <v>27</v>
      </c>
      <c r="AL6012" s="3">
        <v>90</v>
      </c>
    </row>
    <row r="6013" spans="34:38">
      <c r="AH6013" t="s">
        <v>2199</v>
      </c>
      <c r="AI6013" t="s">
        <v>68</v>
      </c>
      <c r="AJ6013" t="s">
        <v>72</v>
      </c>
      <c r="AK6013" s="3" t="s">
        <v>27</v>
      </c>
      <c r="AL6013" s="3">
        <v>96.124600000000001</v>
      </c>
    </row>
    <row r="6014" spans="34:38">
      <c r="AH6014" t="s">
        <v>2199</v>
      </c>
      <c r="AI6014" t="s">
        <v>68</v>
      </c>
      <c r="AJ6014" t="s">
        <v>108</v>
      </c>
      <c r="AK6014" s="3" t="s">
        <v>27</v>
      </c>
      <c r="AL6014" s="3">
        <v>6.1246</v>
      </c>
    </row>
    <row r="6015" spans="34:38">
      <c r="AH6015" t="s">
        <v>2199</v>
      </c>
      <c r="AI6015" t="s">
        <v>65</v>
      </c>
      <c r="AJ6015" t="s">
        <v>113</v>
      </c>
      <c r="AK6015" s="3" t="s">
        <v>27</v>
      </c>
      <c r="AL6015" s="3">
        <v>2630.5747734860001</v>
      </c>
    </row>
    <row r="6016" spans="34:38">
      <c r="AH6016" t="s">
        <v>2199</v>
      </c>
      <c r="AI6016" t="s">
        <v>67</v>
      </c>
      <c r="AJ6016" t="s">
        <v>113</v>
      </c>
      <c r="AK6016" s="3" t="s">
        <v>27</v>
      </c>
      <c r="AL6016" s="3">
        <v>0</v>
      </c>
    </row>
    <row r="6017" spans="34:38">
      <c r="AH6017" t="s">
        <v>2199</v>
      </c>
      <c r="AI6017" t="s">
        <v>65</v>
      </c>
      <c r="AJ6017" t="s">
        <v>2303</v>
      </c>
      <c r="AK6017" s="3" t="s">
        <v>27</v>
      </c>
      <c r="AL6017" s="3">
        <v>-938.066876299</v>
      </c>
    </row>
    <row r="6018" spans="34:38">
      <c r="AH6018" t="s">
        <v>2199</v>
      </c>
      <c r="AI6018" t="s">
        <v>67</v>
      </c>
      <c r="AJ6018" t="s">
        <v>2303</v>
      </c>
      <c r="AK6018" s="3" t="s">
        <v>27</v>
      </c>
      <c r="AL6018" s="3">
        <v>-1217.71209</v>
      </c>
    </row>
    <row r="6019" spans="34:38">
      <c r="AH6019" t="s">
        <v>2199</v>
      </c>
      <c r="AI6019" t="s">
        <v>65</v>
      </c>
      <c r="AJ6019" t="s">
        <v>113</v>
      </c>
      <c r="AK6019" s="3" t="s">
        <v>20</v>
      </c>
      <c r="AL6019" s="3">
        <v>1575.8319498538999</v>
      </c>
    </row>
    <row r="6020" spans="34:38">
      <c r="AH6020" t="s">
        <v>2200</v>
      </c>
      <c r="AI6020" t="s">
        <v>65</v>
      </c>
      <c r="AJ6020" t="s">
        <v>113</v>
      </c>
      <c r="AK6020" s="3" t="s">
        <v>20</v>
      </c>
      <c r="AL6020" s="3">
        <v>1573.265754303</v>
      </c>
    </row>
    <row r="6021" spans="34:38">
      <c r="AH6021" t="s">
        <v>2200</v>
      </c>
      <c r="AI6021" t="s">
        <v>65</v>
      </c>
      <c r="AJ6021" t="s">
        <v>66</v>
      </c>
      <c r="AK6021" s="3" t="s">
        <v>27</v>
      </c>
      <c r="AL6021" s="3">
        <v>19462.5</v>
      </c>
    </row>
    <row r="6022" spans="34:38">
      <c r="AH6022" t="s">
        <v>2200</v>
      </c>
      <c r="AI6022" t="s">
        <v>65</v>
      </c>
      <c r="AJ6022" t="s">
        <v>72</v>
      </c>
      <c r="AK6022" s="3" t="s">
        <v>27</v>
      </c>
      <c r="AL6022" s="3">
        <v>20814.997859999999</v>
      </c>
    </row>
    <row r="6023" spans="34:38">
      <c r="AH6023" t="s">
        <v>2200</v>
      </c>
      <c r="AI6023" t="s">
        <v>65</v>
      </c>
      <c r="AJ6023" t="s">
        <v>108</v>
      </c>
      <c r="AK6023" s="3" t="s">
        <v>27</v>
      </c>
      <c r="AL6023" s="3">
        <v>1352.4978599999999</v>
      </c>
    </row>
    <row r="6024" spans="34:38">
      <c r="AH6024" t="s">
        <v>2200</v>
      </c>
      <c r="AI6024" t="s">
        <v>67</v>
      </c>
      <c r="AJ6024" t="s">
        <v>66</v>
      </c>
      <c r="AK6024" s="3" t="s">
        <v>27</v>
      </c>
      <c r="AL6024" s="3">
        <v>-7642.5</v>
      </c>
    </row>
    <row r="6025" spans="34:38">
      <c r="AH6025" t="s">
        <v>2200</v>
      </c>
      <c r="AI6025" t="s">
        <v>67</v>
      </c>
      <c r="AJ6025" t="s">
        <v>72</v>
      </c>
      <c r="AK6025" s="3" t="s">
        <v>27</v>
      </c>
      <c r="AL6025" s="3">
        <v>-8857.1730800000005</v>
      </c>
    </row>
    <row r="6026" spans="34:38">
      <c r="AH6026" t="s">
        <v>2200</v>
      </c>
      <c r="AI6026" t="s">
        <v>67</v>
      </c>
      <c r="AJ6026" t="s">
        <v>108</v>
      </c>
      <c r="AK6026" s="3" t="s">
        <v>27</v>
      </c>
      <c r="AL6026" s="3">
        <v>-1214.67308</v>
      </c>
    </row>
    <row r="6027" spans="34:38">
      <c r="AH6027" t="s">
        <v>2200</v>
      </c>
      <c r="AI6027" t="s">
        <v>68</v>
      </c>
      <c r="AJ6027" t="s">
        <v>66</v>
      </c>
      <c r="AK6027" s="3" t="s">
        <v>27</v>
      </c>
      <c r="AL6027" s="3">
        <v>50</v>
      </c>
    </row>
    <row r="6028" spans="34:38">
      <c r="AH6028" t="s">
        <v>2200</v>
      </c>
      <c r="AI6028" t="s">
        <v>68</v>
      </c>
      <c r="AJ6028" t="s">
        <v>72</v>
      </c>
      <c r="AK6028" s="3" t="s">
        <v>27</v>
      </c>
      <c r="AL6028" s="3">
        <v>51.128</v>
      </c>
    </row>
    <row r="6029" spans="34:38">
      <c r="AH6029" t="s">
        <v>2200</v>
      </c>
      <c r="AI6029" t="s">
        <v>68</v>
      </c>
      <c r="AJ6029" t="s">
        <v>108</v>
      </c>
      <c r="AK6029" s="3" t="s">
        <v>27</v>
      </c>
      <c r="AL6029" s="3">
        <v>1.1279999999999999</v>
      </c>
    </row>
    <row r="6030" spans="34:38">
      <c r="AH6030" t="s">
        <v>2200</v>
      </c>
      <c r="AI6030" t="s">
        <v>65</v>
      </c>
      <c r="AJ6030" t="s">
        <v>113</v>
      </c>
      <c r="AK6030" s="3" t="s">
        <v>27</v>
      </c>
      <c r="AL6030" s="3">
        <v>2628.4842893301002</v>
      </c>
    </row>
    <row r="6031" spans="34:38">
      <c r="AH6031" t="s">
        <v>2200</v>
      </c>
      <c r="AI6031" t="s">
        <v>67</v>
      </c>
      <c r="AJ6031" t="s">
        <v>113</v>
      </c>
      <c r="AK6031" s="3" t="s">
        <v>27</v>
      </c>
      <c r="AL6031" s="3">
        <v>0</v>
      </c>
    </row>
    <row r="6032" spans="34:38">
      <c r="AH6032" t="s">
        <v>2200</v>
      </c>
      <c r="AI6032" t="s">
        <v>65</v>
      </c>
      <c r="AJ6032" t="s">
        <v>2303</v>
      </c>
      <c r="AK6032" s="3" t="s">
        <v>27</v>
      </c>
      <c r="AL6032" s="3">
        <v>-927.85521754110005</v>
      </c>
    </row>
    <row r="6033" spans="34:38">
      <c r="AH6033" t="s">
        <v>2200</v>
      </c>
      <c r="AI6033" t="s">
        <v>67</v>
      </c>
      <c r="AJ6033" t="s">
        <v>2303</v>
      </c>
      <c r="AK6033" s="3" t="s">
        <v>27</v>
      </c>
      <c r="AL6033" s="3">
        <v>-1214.67308</v>
      </c>
    </row>
    <row r="6034" spans="34:38">
      <c r="AH6034" t="s">
        <v>2201</v>
      </c>
      <c r="AI6034" t="s">
        <v>65</v>
      </c>
      <c r="AJ6034" t="s">
        <v>66</v>
      </c>
      <c r="AK6034" s="3" t="s">
        <v>27</v>
      </c>
      <c r="AL6034" s="3">
        <v>19062.5</v>
      </c>
    </row>
    <row r="6035" spans="34:38">
      <c r="AH6035" t="s">
        <v>2201</v>
      </c>
      <c r="AI6035" t="s">
        <v>65</v>
      </c>
      <c r="AJ6035" t="s">
        <v>72</v>
      </c>
      <c r="AK6035" s="3" t="s">
        <v>27</v>
      </c>
      <c r="AL6035" s="3">
        <v>20391.648085000001</v>
      </c>
    </row>
    <row r="6036" spans="34:38">
      <c r="AH6036" t="s">
        <v>2201</v>
      </c>
      <c r="AI6036" t="s">
        <v>65</v>
      </c>
      <c r="AJ6036" t="s">
        <v>108</v>
      </c>
      <c r="AK6036" s="3" t="s">
        <v>27</v>
      </c>
      <c r="AL6036" s="3">
        <v>1329.148085</v>
      </c>
    </row>
    <row r="6037" spans="34:38">
      <c r="AH6037" t="s">
        <v>2201</v>
      </c>
      <c r="AI6037" t="s">
        <v>67</v>
      </c>
      <c r="AJ6037" t="s">
        <v>66</v>
      </c>
      <c r="AK6037" s="3" t="s">
        <v>27</v>
      </c>
      <c r="AL6037" s="3">
        <v>-7192.5</v>
      </c>
    </row>
    <row r="6038" spans="34:38">
      <c r="AH6038" t="s">
        <v>2201</v>
      </c>
      <c r="AI6038" t="s">
        <v>67</v>
      </c>
      <c r="AJ6038" t="s">
        <v>72</v>
      </c>
      <c r="AK6038" s="3" t="s">
        <v>27</v>
      </c>
      <c r="AL6038" s="3">
        <v>-8372.0859849999997</v>
      </c>
    </row>
    <row r="6039" spans="34:38">
      <c r="AH6039" t="s">
        <v>2201</v>
      </c>
      <c r="AI6039" t="s">
        <v>67</v>
      </c>
      <c r="AJ6039" t="s">
        <v>108</v>
      </c>
      <c r="AK6039" s="3" t="s">
        <v>27</v>
      </c>
      <c r="AL6039" s="3">
        <v>-1179.5859849999999</v>
      </c>
    </row>
    <row r="6040" spans="34:38">
      <c r="AH6040" t="s">
        <v>2201</v>
      </c>
      <c r="AI6040" t="s">
        <v>68</v>
      </c>
      <c r="AJ6040" t="s">
        <v>66</v>
      </c>
      <c r="AK6040" s="3" t="s">
        <v>27</v>
      </c>
      <c r="AL6040" s="3">
        <v>150</v>
      </c>
    </row>
    <row r="6041" spans="34:38">
      <c r="AH6041" t="s">
        <v>2201</v>
      </c>
      <c r="AI6041" t="s">
        <v>68</v>
      </c>
      <c r="AJ6041" t="s">
        <v>72</v>
      </c>
      <c r="AK6041" s="3" t="s">
        <v>27</v>
      </c>
      <c r="AL6041" s="3">
        <v>146.81200000000001</v>
      </c>
    </row>
    <row r="6042" spans="34:38">
      <c r="AH6042" t="s">
        <v>2201</v>
      </c>
      <c r="AI6042" t="s">
        <v>68</v>
      </c>
      <c r="AJ6042" t="s">
        <v>108</v>
      </c>
      <c r="AK6042" s="3" t="s">
        <v>27</v>
      </c>
      <c r="AL6042" s="3">
        <v>-3.1880000000000002</v>
      </c>
    </row>
    <row r="6043" spans="34:38">
      <c r="AH6043" t="s">
        <v>2201</v>
      </c>
      <c r="AI6043" t="s">
        <v>65</v>
      </c>
      <c r="AJ6043" t="s">
        <v>113</v>
      </c>
      <c r="AK6043" s="3" t="s">
        <v>27</v>
      </c>
      <c r="AL6043" s="3">
        <v>2627.7954138300001</v>
      </c>
    </row>
    <row r="6044" spans="34:38">
      <c r="AH6044" t="s">
        <v>2201</v>
      </c>
      <c r="AI6044" t="s">
        <v>67</v>
      </c>
      <c r="AJ6044" t="s">
        <v>113</v>
      </c>
      <c r="AK6044" s="3" t="s">
        <v>27</v>
      </c>
      <c r="AL6044" s="3">
        <v>0</v>
      </c>
    </row>
    <row r="6045" spans="34:38">
      <c r="AH6045" t="s">
        <v>2201</v>
      </c>
      <c r="AI6045" t="s">
        <v>65</v>
      </c>
      <c r="AJ6045" t="s">
        <v>2303</v>
      </c>
      <c r="AK6045" s="3" t="s">
        <v>27</v>
      </c>
      <c r="AL6045" s="3">
        <v>-937.96504656900004</v>
      </c>
    </row>
    <row r="6046" spans="34:38">
      <c r="AH6046" t="s">
        <v>2201</v>
      </c>
      <c r="AI6046" t="s">
        <v>67</v>
      </c>
      <c r="AJ6046" t="s">
        <v>2303</v>
      </c>
      <c r="AK6046" s="3" t="s">
        <v>27</v>
      </c>
      <c r="AL6046" s="3">
        <v>-1179.5859849999999</v>
      </c>
    </row>
    <row r="6047" spans="34:38">
      <c r="AH6047" t="s">
        <v>2201</v>
      </c>
      <c r="AI6047" t="s">
        <v>65</v>
      </c>
      <c r="AJ6047" t="s">
        <v>113</v>
      </c>
      <c r="AK6047" s="3" t="s">
        <v>20</v>
      </c>
      <c r="AL6047" s="3">
        <v>1528.4346582907001</v>
      </c>
    </row>
    <row r="6048" spans="34:38">
      <c r="AH6048" t="s">
        <v>2202</v>
      </c>
      <c r="AI6048" t="s">
        <v>65</v>
      </c>
      <c r="AJ6048" t="s">
        <v>113</v>
      </c>
      <c r="AK6048" s="3" t="s">
        <v>20</v>
      </c>
      <c r="AL6048" s="3">
        <v>1571.6254559834999</v>
      </c>
    </row>
    <row r="6049" spans="34:38">
      <c r="AH6049" t="s">
        <v>2202</v>
      </c>
      <c r="AI6049" t="s">
        <v>65</v>
      </c>
      <c r="AJ6049" t="s">
        <v>66</v>
      </c>
      <c r="AK6049" s="3" t="s">
        <v>27</v>
      </c>
      <c r="AL6049" s="3">
        <v>19562.5</v>
      </c>
    </row>
    <row r="6050" spans="34:38">
      <c r="AH6050" t="s">
        <v>2202</v>
      </c>
      <c r="AI6050" t="s">
        <v>65</v>
      </c>
      <c r="AJ6050" t="s">
        <v>72</v>
      </c>
      <c r="AK6050" s="3" t="s">
        <v>27</v>
      </c>
      <c r="AL6050" s="3">
        <v>20953.011035</v>
      </c>
    </row>
    <row r="6051" spans="34:38">
      <c r="AH6051" t="s">
        <v>2202</v>
      </c>
      <c r="AI6051" t="s">
        <v>65</v>
      </c>
      <c r="AJ6051" t="s">
        <v>108</v>
      </c>
      <c r="AK6051" s="3" t="s">
        <v>27</v>
      </c>
      <c r="AL6051" s="3">
        <v>1390.511035</v>
      </c>
    </row>
    <row r="6052" spans="34:38">
      <c r="AH6052" t="s">
        <v>2202</v>
      </c>
      <c r="AI6052" t="s">
        <v>67</v>
      </c>
      <c r="AJ6052" t="s">
        <v>66</v>
      </c>
      <c r="AK6052" s="3" t="s">
        <v>27</v>
      </c>
      <c r="AL6052" s="3">
        <v>-8092.5</v>
      </c>
    </row>
    <row r="6053" spans="34:38">
      <c r="AH6053" t="s">
        <v>2202</v>
      </c>
      <c r="AI6053" t="s">
        <v>67</v>
      </c>
      <c r="AJ6053" t="s">
        <v>72</v>
      </c>
      <c r="AK6053" s="3" t="s">
        <v>27</v>
      </c>
      <c r="AL6053" s="3">
        <v>-9359.1365150000001</v>
      </c>
    </row>
    <row r="6054" spans="34:38">
      <c r="AH6054" t="s">
        <v>2202</v>
      </c>
      <c r="AI6054" t="s">
        <v>67</v>
      </c>
      <c r="AJ6054" t="s">
        <v>108</v>
      </c>
      <c r="AK6054" s="3" t="s">
        <v>27</v>
      </c>
      <c r="AL6054" s="3">
        <v>-1266.6365149999999</v>
      </c>
    </row>
    <row r="6055" spans="34:38">
      <c r="AH6055" t="s">
        <v>2202</v>
      </c>
      <c r="AI6055" t="s">
        <v>68</v>
      </c>
      <c r="AJ6055" t="s">
        <v>66</v>
      </c>
      <c r="AK6055" s="3" t="s">
        <v>27</v>
      </c>
      <c r="AL6055" s="3">
        <v>550</v>
      </c>
    </row>
    <row r="6056" spans="34:38">
      <c r="AH6056" t="s">
        <v>2202</v>
      </c>
      <c r="AI6056" t="s">
        <v>68</v>
      </c>
      <c r="AJ6056" t="s">
        <v>72</v>
      </c>
      <c r="AK6056" s="3" t="s">
        <v>27</v>
      </c>
      <c r="AL6056" s="3">
        <v>585.82399999999996</v>
      </c>
    </row>
    <row r="6057" spans="34:38">
      <c r="AH6057" t="s">
        <v>2202</v>
      </c>
      <c r="AI6057" t="s">
        <v>68</v>
      </c>
      <c r="AJ6057" t="s">
        <v>108</v>
      </c>
      <c r="AK6057" s="3" t="s">
        <v>27</v>
      </c>
      <c r="AL6057" s="3">
        <v>35.823999999999998</v>
      </c>
    </row>
    <row r="6058" spans="34:38">
      <c r="AH6058" t="s">
        <v>2202</v>
      </c>
      <c r="AI6058" t="s">
        <v>65</v>
      </c>
      <c r="AJ6058" t="s">
        <v>113</v>
      </c>
      <c r="AK6058" s="3" t="s">
        <v>27</v>
      </c>
      <c r="AL6058" s="3">
        <v>2627.7954138300001</v>
      </c>
    </row>
    <row r="6059" spans="34:38">
      <c r="AH6059" t="s">
        <v>2202</v>
      </c>
      <c r="AI6059" t="s">
        <v>67</v>
      </c>
      <c r="AJ6059" t="s">
        <v>113</v>
      </c>
      <c r="AK6059" s="3" t="s">
        <v>27</v>
      </c>
      <c r="AL6059" s="3">
        <v>0</v>
      </c>
    </row>
    <row r="6060" spans="34:38">
      <c r="AH6060" t="s">
        <v>2202</v>
      </c>
      <c r="AI6060" t="s">
        <v>65</v>
      </c>
      <c r="AJ6060" t="s">
        <v>2303</v>
      </c>
      <c r="AK6060" s="3" t="s">
        <v>27</v>
      </c>
      <c r="AL6060" s="3">
        <v>-862.79574281099997</v>
      </c>
    </row>
    <row r="6061" spans="34:38">
      <c r="AH6061" t="s">
        <v>2202</v>
      </c>
      <c r="AI6061" t="s">
        <v>67</v>
      </c>
      <c r="AJ6061" t="s">
        <v>2303</v>
      </c>
      <c r="AK6061" s="3" t="s">
        <v>27</v>
      </c>
      <c r="AL6061" s="3">
        <v>-1266.6365149999999</v>
      </c>
    </row>
    <row r="6062" spans="34:38">
      <c r="AH6062" t="s">
        <v>2203</v>
      </c>
      <c r="AI6062" t="s">
        <v>65</v>
      </c>
      <c r="AJ6062" t="s">
        <v>66</v>
      </c>
      <c r="AK6062" s="3" t="s">
        <v>27</v>
      </c>
      <c r="AL6062" s="3">
        <v>19612.5</v>
      </c>
    </row>
    <row r="6063" spans="34:38">
      <c r="AH6063" t="s">
        <v>2203</v>
      </c>
      <c r="AI6063" t="s">
        <v>65</v>
      </c>
      <c r="AJ6063" t="s">
        <v>72</v>
      </c>
      <c r="AK6063" s="3" t="s">
        <v>27</v>
      </c>
      <c r="AL6063" s="3">
        <v>21011.924765</v>
      </c>
    </row>
    <row r="6064" spans="34:38">
      <c r="AH6064" t="s">
        <v>2203</v>
      </c>
      <c r="AI6064" t="s">
        <v>65</v>
      </c>
      <c r="AJ6064" t="s">
        <v>108</v>
      </c>
      <c r="AK6064" s="3" t="s">
        <v>27</v>
      </c>
      <c r="AL6064" s="3">
        <v>1399.424765</v>
      </c>
    </row>
    <row r="6065" spans="34:38">
      <c r="AH6065" t="s">
        <v>2203</v>
      </c>
      <c r="AI6065" t="s">
        <v>67</v>
      </c>
      <c r="AJ6065" t="s">
        <v>66</v>
      </c>
      <c r="AK6065" s="3" t="s">
        <v>27</v>
      </c>
      <c r="AL6065" s="3">
        <v>-7642.5</v>
      </c>
    </row>
    <row r="6066" spans="34:38">
      <c r="AH6066" t="s">
        <v>2203</v>
      </c>
      <c r="AI6066" t="s">
        <v>67</v>
      </c>
      <c r="AJ6066" t="s">
        <v>72</v>
      </c>
      <c r="AK6066" s="3" t="s">
        <v>27</v>
      </c>
      <c r="AL6066" s="3">
        <v>-8879.2862050000003</v>
      </c>
    </row>
    <row r="6067" spans="34:38">
      <c r="AH6067" t="s">
        <v>2203</v>
      </c>
      <c r="AI6067" t="s">
        <v>67</v>
      </c>
      <c r="AJ6067" t="s">
        <v>108</v>
      </c>
      <c r="AK6067" s="3" t="s">
        <v>27</v>
      </c>
      <c r="AL6067" s="3">
        <v>-1236.7862050000001</v>
      </c>
    </row>
    <row r="6068" spans="34:38">
      <c r="AH6068" t="s">
        <v>2203</v>
      </c>
      <c r="AI6068" t="s">
        <v>68</v>
      </c>
      <c r="AJ6068" t="s">
        <v>66</v>
      </c>
      <c r="AK6068" s="3" t="s">
        <v>27</v>
      </c>
      <c r="AL6068" s="3">
        <v>50</v>
      </c>
    </row>
    <row r="6069" spans="34:38">
      <c r="AH6069" t="s">
        <v>2203</v>
      </c>
      <c r="AI6069" t="s">
        <v>68</v>
      </c>
      <c r="AJ6069" t="s">
        <v>72</v>
      </c>
      <c r="AK6069" s="3" t="s">
        <v>27</v>
      </c>
      <c r="AL6069" s="3">
        <v>52.7425</v>
      </c>
    </row>
    <row r="6070" spans="34:38">
      <c r="AH6070" t="s">
        <v>2203</v>
      </c>
      <c r="AI6070" t="s">
        <v>68</v>
      </c>
      <c r="AJ6070" t="s">
        <v>108</v>
      </c>
      <c r="AK6070" s="3" t="s">
        <v>27</v>
      </c>
      <c r="AL6070" s="3">
        <v>2.7425000000000002</v>
      </c>
    </row>
    <row r="6071" spans="34:38">
      <c r="AH6071" t="s">
        <v>2203</v>
      </c>
      <c r="AI6071" t="s">
        <v>65</v>
      </c>
      <c r="AJ6071" t="s">
        <v>113</v>
      </c>
      <c r="AK6071" s="3" t="s">
        <v>27</v>
      </c>
      <c r="AL6071" s="3">
        <v>2633.6598804730002</v>
      </c>
    </row>
    <row r="6072" spans="34:38">
      <c r="AH6072" t="s">
        <v>2203</v>
      </c>
      <c r="AI6072" t="s">
        <v>67</v>
      </c>
      <c r="AJ6072" t="s">
        <v>113</v>
      </c>
      <c r="AK6072" s="3" t="s">
        <v>27</v>
      </c>
      <c r="AL6072" s="3">
        <v>0</v>
      </c>
    </row>
    <row r="6073" spans="34:38">
      <c r="AH6073" t="s">
        <v>2203</v>
      </c>
      <c r="AI6073" t="s">
        <v>65</v>
      </c>
      <c r="AJ6073" t="s">
        <v>2303</v>
      </c>
      <c r="AK6073" s="3" t="s">
        <v>27</v>
      </c>
      <c r="AL6073" s="3">
        <v>-855.31525116</v>
      </c>
    </row>
    <row r="6074" spans="34:38">
      <c r="AH6074" t="s">
        <v>2203</v>
      </c>
      <c r="AI6074" t="s">
        <v>67</v>
      </c>
      <c r="AJ6074" t="s">
        <v>2303</v>
      </c>
      <c r="AK6074" s="3" t="s">
        <v>27</v>
      </c>
      <c r="AL6074" s="3">
        <v>-1236.7862050000001</v>
      </c>
    </row>
    <row r="6075" spans="34:38">
      <c r="AH6075" t="s">
        <v>2203</v>
      </c>
      <c r="AI6075" t="s">
        <v>65</v>
      </c>
      <c r="AJ6075" t="s">
        <v>113</v>
      </c>
      <c r="AK6075" s="3" t="s">
        <v>20</v>
      </c>
      <c r="AL6075" s="3">
        <v>1577.0142112384001</v>
      </c>
    </row>
    <row r="6076" spans="34:38">
      <c r="AH6076" t="s">
        <v>2204</v>
      </c>
      <c r="AI6076" t="s">
        <v>65</v>
      </c>
      <c r="AJ6076" t="s">
        <v>113</v>
      </c>
      <c r="AK6076" s="3" t="s">
        <v>20</v>
      </c>
      <c r="AL6076" s="3">
        <v>1534.6010301238</v>
      </c>
    </row>
    <row r="6077" spans="34:38">
      <c r="AH6077" t="s">
        <v>2204</v>
      </c>
      <c r="AI6077" t="s">
        <v>65</v>
      </c>
      <c r="AJ6077" t="s">
        <v>66</v>
      </c>
      <c r="AK6077" s="3" t="s">
        <v>27</v>
      </c>
      <c r="AL6077" s="3">
        <v>19012.5</v>
      </c>
    </row>
    <row r="6078" spans="34:38">
      <c r="AH6078" t="s">
        <v>2204</v>
      </c>
      <c r="AI6078" t="s">
        <v>65</v>
      </c>
      <c r="AJ6078" t="s">
        <v>72</v>
      </c>
      <c r="AK6078" s="3" t="s">
        <v>27</v>
      </c>
      <c r="AL6078" s="3">
        <v>20384.784360000001</v>
      </c>
    </row>
    <row r="6079" spans="34:38">
      <c r="AH6079" t="s">
        <v>2204</v>
      </c>
      <c r="AI6079" t="s">
        <v>65</v>
      </c>
      <c r="AJ6079" t="s">
        <v>108</v>
      </c>
      <c r="AK6079" s="3" t="s">
        <v>27</v>
      </c>
      <c r="AL6079" s="3">
        <v>1372.2843600000001</v>
      </c>
    </row>
    <row r="6080" spans="34:38">
      <c r="AH6080" t="s">
        <v>2204</v>
      </c>
      <c r="AI6080" t="s">
        <v>67</v>
      </c>
      <c r="AJ6080" t="s">
        <v>66</v>
      </c>
      <c r="AK6080" s="3" t="s">
        <v>27</v>
      </c>
      <c r="AL6080" s="3">
        <v>-6992.5</v>
      </c>
    </row>
    <row r="6081" spans="34:38">
      <c r="AH6081" t="s">
        <v>2204</v>
      </c>
      <c r="AI6081" t="s">
        <v>67</v>
      </c>
      <c r="AJ6081" t="s">
        <v>72</v>
      </c>
      <c r="AK6081" s="3" t="s">
        <v>27</v>
      </c>
      <c r="AL6081" s="3">
        <v>-8194.4228600000006</v>
      </c>
    </row>
    <row r="6082" spans="34:38">
      <c r="AH6082" t="s">
        <v>2204</v>
      </c>
      <c r="AI6082" t="s">
        <v>67</v>
      </c>
      <c r="AJ6082" t="s">
        <v>108</v>
      </c>
      <c r="AK6082" s="3" t="s">
        <v>27</v>
      </c>
      <c r="AL6082" s="3">
        <v>-1201.9228599999999</v>
      </c>
    </row>
    <row r="6083" spans="34:38">
      <c r="AH6083" t="s">
        <v>2204</v>
      </c>
      <c r="AI6083" t="s">
        <v>68</v>
      </c>
      <c r="AJ6083" t="s">
        <v>66</v>
      </c>
      <c r="AK6083" s="3" t="s">
        <v>27</v>
      </c>
      <c r="AL6083" s="3">
        <v>0</v>
      </c>
    </row>
    <row r="6084" spans="34:38">
      <c r="AH6084" t="s">
        <v>2204</v>
      </c>
      <c r="AI6084" t="s">
        <v>68</v>
      </c>
      <c r="AJ6084" t="s">
        <v>72</v>
      </c>
      <c r="AK6084" s="3" t="s">
        <v>27</v>
      </c>
      <c r="AL6084" s="3">
        <v>0</v>
      </c>
    </row>
    <row r="6085" spans="34:38">
      <c r="AH6085" t="s">
        <v>2204</v>
      </c>
      <c r="AI6085" t="s">
        <v>68</v>
      </c>
      <c r="AJ6085" t="s">
        <v>108</v>
      </c>
      <c r="AK6085" s="3" t="s">
        <v>27</v>
      </c>
      <c r="AL6085" s="3">
        <v>0</v>
      </c>
    </row>
    <row r="6086" spans="34:38">
      <c r="AH6086" t="s">
        <v>2204</v>
      </c>
      <c r="AI6086" t="s">
        <v>65</v>
      </c>
      <c r="AJ6086" t="s">
        <v>113</v>
      </c>
      <c r="AK6086" s="3" t="s">
        <v>27</v>
      </c>
      <c r="AL6086" s="3">
        <v>2592.6738335660002</v>
      </c>
    </row>
    <row r="6087" spans="34:38">
      <c r="AH6087" t="s">
        <v>2204</v>
      </c>
      <c r="AI6087" t="s">
        <v>67</v>
      </c>
      <c r="AJ6087" t="s">
        <v>113</v>
      </c>
      <c r="AK6087" s="3" t="s">
        <v>27</v>
      </c>
      <c r="AL6087" s="3">
        <v>0</v>
      </c>
    </row>
    <row r="6088" spans="34:38">
      <c r="AH6088" t="s">
        <v>2204</v>
      </c>
      <c r="AI6088" t="s">
        <v>65</v>
      </c>
      <c r="AJ6088" t="s">
        <v>2303</v>
      </c>
      <c r="AK6088" s="3" t="s">
        <v>27</v>
      </c>
      <c r="AL6088" s="3">
        <v>-834.16034778000005</v>
      </c>
    </row>
    <row r="6089" spans="34:38">
      <c r="AH6089" t="s">
        <v>2204</v>
      </c>
      <c r="AI6089" t="s">
        <v>67</v>
      </c>
      <c r="AJ6089" t="s">
        <v>2303</v>
      </c>
      <c r="AK6089" s="3" t="s">
        <v>27</v>
      </c>
      <c r="AL6089" s="3">
        <v>-1201.9228599999999</v>
      </c>
    </row>
    <row r="6090" spans="34:38">
      <c r="AH6090" t="s">
        <v>2205</v>
      </c>
      <c r="AI6090" t="s">
        <v>65</v>
      </c>
      <c r="AJ6090" t="s">
        <v>66</v>
      </c>
      <c r="AK6090" s="3" t="s">
        <v>27</v>
      </c>
      <c r="AL6090" s="3">
        <v>19042.5</v>
      </c>
    </row>
    <row r="6091" spans="34:38">
      <c r="AH6091" t="s">
        <v>2205</v>
      </c>
      <c r="AI6091" t="s">
        <v>65</v>
      </c>
      <c r="AJ6091" t="s">
        <v>72</v>
      </c>
      <c r="AK6091" s="3" t="s">
        <v>27</v>
      </c>
      <c r="AL6091" s="3">
        <v>20333.336664999999</v>
      </c>
    </row>
    <row r="6092" spans="34:38">
      <c r="AH6092" t="s">
        <v>2205</v>
      </c>
      <c r="AI6092" t="s">
        <v>65</v>
      </c>
      <c r="AJ6092" t="s">
        <v>108</v>
      </c>
      <c r="AK6092" s="3" t="s">
        <v>27</v>
      </c>
      <c r="AL6092" s="3">
        <v>1290.836665</v>
      </c>
    </row>
    <row r="6093" spans="34:38">
      <c r="AH6093" t="s">
        <v>2205</v>
      </c>
      <c r="AI6093" t="s">
        <v>67</v>
      </c>
      <c r="AJ6093" t="s">
        <v>66</v>
      </c>
      <c r="AK6093" s="3" t="s">
        <v>27</v>
      </c>
      <c r="AL6093" s="3">
        <v>-7622.5</v>
      </c>
    </row>
    <row r="6094" spans="34:38">
      <c r="AH6094" t="s">
        <v>2205</v>
      </c>
      <c r="AI6094" t="s">
        <v>67</v>
      </c>
      <c r="AJ6094" t="s">
        <v>72</v>
      </c>
      <c r="AK6094" s="3" t="s">
        <v>27</v>
      </c>
      <c r="AL6094" s="3">
        <v>-8771.1262449999995</v>
      </c>
    </row>
    <row r="6095" spans="34:38">
      <c r="AH6095" t="s">
        <v>2205</v>
      </c>
      <c r="AI6095" t="s">
        <v>67</v>
      </c>
      <c r="AJ6095" t="s">
        <v>108</v>
      </c>
      <c r="AK6095" s="3" t="s">
        <v>27</v>
      </c>
      <c r="AL6095" s="3">
        <v>-1148.6262449999999</v>
      </c>
    </row>
    <row r="6096" spans="34:38">
      <c r="AH6096" t="s">
        <v>2205</v>
      </c>
      <c r="AI6096" t="s">
        <v>68</v>
      </c>
      <c r="AJ6096" t="s">
        <v>66</v>
      </c>
      <c r="AK6096" s="3" t="s">
        <v>27</v>
      </c>
      <c r="AL6096" s="3">
        <v>600</v>
      </c>
    </row>
    <row r="6097" spans="34:38">
      <c r="AH6097" t="s">
        <v>2205</v>
      </c>
      <c r="AI6097" t="s">
        <v>68</v>
      </c>
      <c r="AJ6097" t="s">
        <v>72</v>
      </c>
      <c r="AK6097" s="3" t="s">
        <v>27</v>
      </c>
      <c r="AL6097" s="3">
        <v>632.87549999999999</v>
      </c>
    </row>
    <row r="6098" spans="34:38">
      <c r="AH6098" t="s">
        <v>2205</v>
      </c>
      <c r="AI6098" t="s">
        <v>68</v>
      </c>
      <c r="AJ6098" t="s">
        <v>108</v>
      </c>
      <c r="AK6098" s="3" t="s">
        <v>27</v>
      </c>
      <c r="AL6098" s="3">
        <v>32.875500000000002</v>
      </c>
    </row>
    <row r="6099" spans="34:38">
      <c r="AH6099" t="s">
        <v>2205</v>
      </c>
      <c r="AI6099" t="s">
        <v>65</v>
      </c>
      <c r="AJ6099" t="s">
        <v>113</v>
      </c>
      <c r="AK6099" s="3" t="s">
        <v>27</v>
      </c>
      <c r="AL6099" s="3">
        <v>2513.2178712640002</v>
      </c>
    </row>
    <row r="6100" spans="34:38">
      <c r="AH6100" t="s">
        <v>2205</v>
      </c>
      <c r="AI6100" t="s">
        <v>67</v>
      </c>
      <c r="AJ6100" t="s">
        <v>113</v>
      </c>
      <c r="AK6100" s="3" t="s">
        <v>27</v>
      </c>
      <c r="AL6100" s="3">
        <v>0</v>
      </c>
    </row>
    <row r="6101" spans="34:38">
      <c r="AH6101" t="s">
        <v>2205</v>
      </c>
      <c r="AI6101" t="s">
        <v>65</v>
      </c>
      <c r="AJ6101" t="s">
        <v>2303</v>
      </c>
      <c r="AK6101" s="3" t="s">
        <v>27</v>
      </c>
      <c r="AL6101" s="3">
        <v>-831.60351679200005</v>
      </c>
    </row>
    <row r="6102" spans="34:38">
      <c r="AH6102" t="s">
        <v>2205</v>
      </c>
      <c r="AI6102" t="s">
        <v>67</v>
      </c>
      <c r="AJ6102" t="s">
        <v>2303</v>
      </c>
      <c r="AK6102" s="3" t="s">
        <v>27</v>
      </c>
      <c r="AL6102" s="3">
        <v>-1148.6262449999999</v>
      </c>
    </row>
    <row r="6103" spans="34:38">
      <c r="AH6103" t="s">
        <v>2205</v>
      </c>
      <c r="AI6103" t="s">
        <v>65</v>
      </c>
      <c r="AJ6103" t="s">
        <v>113</v>
      </c>
      <c r="AK6103" s="3" t="s">
        <v>20</v>
      </c>
      <c r="AL6103" s="3">
        <v>1454.6693564267</v>
      </c>
    </row>
    <row r="6104" spans="34:38">
      <c r="AH6104" t="s">
        <v>2206</v>
      </c>
      <c r="AI6104" t="s">
        <v>65</v>
      </c>
      <c r="AJ6104" t="s">
        <v>113</v>
      </c>
      <c r="AK6104" s="3" t="s">
        <v>20</v>
      </c>
      <c r="AL6104" s="3">
        <v>1176.6200872495001</v>
      </c>
    </row>
    <row r="6105" spans="34:38">
      <c r="AH6105" t="s">
        <v>2206</v>
      </c>
      <c r="AI6105" t="s">
        <v>65</v>
      </c>
      <c r="AJ6105" t="s">
        <v>66</v>
      </c>
      <c r="AK6105" s="3" t="s">
        <v>27</v>
      </c>
      <c r="AL6105" s="3">
        <v>17219.477999999999</v>
      </c>
    </row>
    <row r="6106" spans="34:38">
      <c r="AH6106" t="s">
        <v>2206</v>
      </c>
      <c r="AI6106" t="s">
        <v>65</v>
      </c>
      <c r="AJ6106" t="s">
        <v>72</v>
      </c>
      <c r="AK6106" s="3" t="s">
        <v>27</v>
      </c>
      <c r="AL6106" s="3">
        <v>18202.786840280001</v>
      </c>
    </row>
    <row r="6107" spans="34:38">
      <c r="AH6107" t="s">
        <v>2206</v>
      </c>
      <c r="AI6107" t="s">
        <v>65</v>
      </c>
      <c r="AJ6107" t="s">
        <v>108</v>
      </c>
      <c r="AK6107" s="3" t="s">
        <v>27</v>
      </c>
      <c r="AL6107" s="3">
        <v>983.30884028000003</v>
      </c>
    </row>
    <row r="6108" spans="34:38">
      <c r="AH6108" t="s">
        <v>2206</v>
      </c>
      <c r="AI6108" t="s">
        <v>67</v>
      </c>
      <c r="AJ6108" t="s">
        <v>66</v>
      </c>
      <c r="AK6108" s="3" t="s">
        <v>27</v>
      </c>
      <c r="AL6108" s="3">
        <v>-5769.4780000000001</v>
      </c>
    </row>
    <row r="6109" spans="34:38">
      <c r="AH6109" t="s">
        <v>2206</v>
      </c>
      <c r="AI6109" t="s">
        <v>67</v>
      </c>
      <c r="AJ6109" t="s">
        <v>72</v>
      </c>
      <c r="AK6109" s="3" t="s">
        <v>27</v>
      </c>
      <c r="AL6109" s="3">
        <v>-6695.7235602800001</v>
      </c>
    </row>
    <row r="6110" spans="34:38">
      <c r="AH6110" t="s">
        <v>2206</v>
      </c>
      <c r="AI6110" t="s">
        <v>67</v>
      </c>
      <c r="AJ6110" t="s">
        <v>108</v>
      </c>
      <c r="AK6110" s="3" t="s">
        <v>27</v>
      </c>
      <c r="AL6110" s="3">
        <v>-926.24556027999995</v>
      </c>
    </row>
    <row r="6111" spans="34:38">
      <c r="AH6111" t="s">
        <v>2206</v>
      </c>
      <c r="AI6111" t="s">
        <v>68</v>
      </c>
      <c r="AJ6111" t="s">
        <v>66</v>
      </c>
      <c r="AK6111" s="3" t="s">
        <v>27</v>
      </c>
      <c r="AL6111" s="3">
        <v>570</v>
      </c>
    </row>
    <row r="6112" spans="34:38">
      <c r="AH6112" t="s">
        <v>2206</v>
      </c>
      <c r="AI6112" t="s">
        <v>68</v>
      </c>
      <c r="AJ6112" t="s">
        <v>72</v>
      </c>
      <c r="AK6112" s="3" t="s">
        <v>27</v>
      </c>
      <c r="AL6112" s="3">
        <v>689.21900000000005</v>
      </c>
    </row>
    <row r="6113" spans="34:38">
      <c r="AH6113" t="s">
        <v>2206</v>
      </c>
      <c r="AI6113" t="s">
        <v>68</v>
      </c>
      <c r="AJ6113" t="s">
        <v>108</v>
      </c>
      <c r="AK6113" s="3" t="s">
        <v>27</v>
      </c>
      <c r="AL6113" s="3">
        <v>119.21899999999999</v>
      </c>
    </row>
    <row r="6114" spans="34:38">
      <c r="AH6114" t="s">
        <v>2206</v>
      </c>
      <c r="AI6114" t="s">
        <v>65</v>
      </c>
      <c r="AJ6114" t="s">
        <v>113</v>
      </c>
      <c r="AK6114" s="3" t="s">
        <v>27</v>
      </c>
      <c r="AL6114" s="3">
        <v>2235.6443134890001</v>
      </c>
    </row>
    <row r="6115" spans="34:38">
      <c r="AH6115" t="s">
        <v>2206</v>
      </c>
      <c r="AI6115" t="s">
        <v>67</v>
      </c>
      <c r="AJ6115" t="s">
        <v>113</v>
      </c>
      <c r="AK6115" s="3" t="s">
        <v>27</v>
      </c>
      <c r="AL6115" s="3">
        <v>0</v>
      </c>
    </row>
    <row r="6116" spans="34:38">
      <c r="AH6116" t="s">
        <v>2206</v>
      </c>
      <c r="AI6116" t="s">
        <v>65</v>
      </c>
      <c r="AJ6116" t="s">
        <v>2303</v>
      </c>
      <c r="AK6116" s="3" t="s">
        <v>27</v>
      </c>
      <c r="AL6116" s="3">
        <v>-860.91867715199999</v>
      </c>
    </row>
    <row r="6117" spans="34:38">
      <c r="AH6117" t="s">
        <v>2206</v>
      </c>
      <c r="AI6117" t="s">
        <v>67</v>
      </c>
      <c r="AJ6117" t="s">
        <v>2303</v>
      </c>
      <c r="AK6117" s="3" t="s">
        <v>27</v>
      </c>
      <c r="AL6117" s="3">
        <v>-926.24556027999995</v>
      </c>
    </row>
    <row r="6118" spans="34:38">
      <c r="AH6118" t="s">
        <v>2207</v>
      </c>
      <c r="AI6118" t="s">
        <v>65</v>
      </c>
      <c r="AJ6118" t="s">
        <v>66</v>
      </c>
      <c r="AK6118" s="3" t="s">
        <v>27</v>
      </c>
      <c r="AL6118" s="3">
        <v>17619.477999999999</v>
      </c>
    </row>
    <row r="6119" spans="34:38">
      <c r="AH6119" t="s">
        <v>2207</v>
      </c>
      <c r="AI6119" t="s">
        <v>65</v>
      </c>
      <c r="AJ6119" t="s">
        <v>72</v>
      </c>
      <c r="AK6119" s="3" t="s">
        <v>27</v>
      </c>
      <c r="AL6119" s="3">
        <v>18620.83390274</v>
      </c>
    </row>
    <row r="6120" spans="34:38">
      <c r="AH6120" t="s">
        <v>2207</v>
      </c>
      <c r="AI6120" t="s">
        <v>65</v>
      </c>
      <c r="AJ6120" t="s">
        <v>108</v>
      </c>
      <c r="AK6120" s="3" t="s">
        <v>27</v>
      </c>
      <c r="AL6120" s="3">
        <v>1001.35590274</v>
      </c>
    </row>
    <row r="6121" spans="34:38">
      <c r="AH6121" t="s">
        <v>2207</v>
      </c>
      <c r="AI6121" t="s">
        <v>67</v>
      </c>
      <c r="AJ6121" t="s">
        <v>66</v>
      </c>
      <c r="AK6121" s="3" t="s">
        <v>27</v>
      </c>
      <c r="AL6121" s="3">
        <v>-7442.5</v>
      </c>
    </row>
    <row r="6122" spans="34:38">
      <c r="AH6122" t="s">
        <v>2207</v>
      </c>
      <c r="AI6122" t="s">
        <v>67</v>
      </c>
      <c r="AJ6122" t="s">
        <v>72</v>
      </c>
      <c r="AK6122" s="3" t="s">
        <v>27</v>
      </c>
      <c r="AL6122" s="3">
        <v>-8717.1589499999991</v>
      </c>
    </row>
    <row r="6123" spans="34:38">
      <c r="AH6123" t="s">
        <v>2207</v>
      </c>
      <c r="AI6123" t="s">
        <v>67</v>
      </c>
      <c r="AJ6123" t="s">
        <v>108</v>
      </c>
      <c r="AK6123" s="3" t="s">
        <v>27</v>
      </c>
      <c r="AL6123" s="3">
        <v>-1274.65895</v>
      </c>
    </row>
    <row r="6124" spans="34:38">
      <c r="AH6124" t="s">
        <v>2207</v>
      </c>
      <c r="AI6124" t="s">
        <v>68</v>
      </c>
      <c r="AJ6124" t="s">
        <v>66</v>
      </c>
      <c r="AK6124" s="3" t="s">
        <v>27</v>
      </c>
      <c r="AL6124" s="3">
        <v>1843.0219999999999</v>
      </c>
    </row>
    <row r="6125" spans="34:38">
      <c r="AH6125" t="s">
        <v>2207</v>
      </c>
      <c r="AI6125" t="s">
        <v>68</v>
      </c>
      <c r="AJ6125" t="s">
        <v>72</v>
      </c>
      <c r="AK6125" s="3" t="s">
        <v>27</v>
      </c>
      <c r="AL6125" s="3">
        <v>2299.2553472599998</v>
      </c>
    </row>
    <row r="6126" spans="34:38">
      <c r="AH6126" t="s">
        <v>2207</v>
      </c>
      <c r="AI6126" t="s">
        <v>68</v>
      </c>
      <c r="AJ6126" t="s">
        <v>108</v>
      </c>
      <c r="AK6126" s="3" t="s">
        <v>27</v>
      </c>
      <c r="AL6126" s="3">
        <v>456.23334726000002</v>
      </c>
    </row>
    <row r="6127" spans="34:38">
      <c r="AH6127" t="s">
        <v>2207</v>
      </c>
      <c r="AI6127" t="s">
        <v>65</v>
      </c>
      <c r="AJ6127" t="s">
        <v>113</v>
      </c>
      <c r="AK6127" s="3" t="s">
        <v>27</v>
      </c>
      <c r="AL6127" s="3">
        <v>2251.2788398359999</v>
      </c>
    </row>
    <row r="6128" spans="34:38">
      <c r="AH6128" t="s">
        <v>2207</v>
      </c>
      <c r="AI6128" t="s">
        <v>67</v>
      </c>
      <c r="AJ6128" t="s">
        <v>113</v>
      </c>
      <c r="AK6128" s="3" t="s">
        <v>27</v>
      </c>
      <c r="AL6128" s="3">
        <v>0</v>
      </c>
    </row>
    <row r="6129" spans="34:38">
      <c r="AH6129" t="s">
        <v>2207</v>
      </c>
      <c r="AI6129" t="s">
        <v>65</v>
      </c>
      <c r="AJ6129" t="s">
        <v>2303</v>
      </c>
      <c r="AK6129" s="3" t="s">
        <v>27</v>
      </c>
      <c r="AL6129" s="3">
        <v>-849.94497429700004</v>
      </c>
    </row>
    <row r="6130" spans="34:38">
      <c r="AH6130" t="s">
        <v>2207</v>
      </c>
      <c r="AI6130" t="s">
        <v>67</v>
      </c>
      <c r="AJ6130" t="s">
        <v>2303</v>
      </c>
      <c r="AK6130" s="3" t="s">
        <v>27</v>
      </c>
      <c r="AL6130" s="3">
        <v>-1274.65895</v>
      </c>
    </row>
    <row r="6131" spans="34:38">
      <c r="AH6131" t="s">
        <v>2207</v>
      </c>
      <c r="AI6131" t="s">
        <v>65</v>
      </c>
      <c r="AJ6131" t="s">
        <v>113</v>
      </c>
      <c r="AK6131" s="3" t="s">
        <v>20</v>
      </c>
      <c r="AL6131" s="3">
        <v>1191.7789021937001</v>
      </c>
    </row>
    <row r="6132" spans="34:38">
      <c r="AH6132" t="s">
        <v>2208</v>
      </c>
      <c r="AI6132" t="s">
        <v>65</v>
      </c>
      <c r="AJ6132" t="s">
        <v>113</v>
      </c>
      <c r="AK6132" s="3" t="s">
        <v>20</v>
      </c>
      <c r="AL6132" s="3">
        <v>1243.3092508578</v>
      </c>
    </row>
    <row r="6133" spans="34:38">
      <c r="AH6133" t="s">
        <v>2208</v>
      </c>
      <c r="AI6133" t="s">
        <v>65</v>
      </c>
      <c r="AJ6133" t="s">
        <v>66</v>
      </c>
      <c r="AK6133" s="3" t="s">
        <v>27</v>
      </c>
      <c r="AL6133" s="3">
        <v>17739.477999999999</v>
      </c>
    </row>
    <row r="6134" spans="34:38">
      <c r="AH6134" t="s">
        <v>2208</v>
      </c>
      <c r="AI6134" t="s">
        <v>65</v>
      </c>
      <c r="AJ6134" t="s">
        <v>72</v>
      </c>
      <c r="AK6134" s="3" t="s">
        <v>27</v>
      </c>
      <c r="AL6134" s="3">
        <v>18815.90808696</v>
      </c>
    </row>
    <row r="6135" spans="34:38">
      <c r="AH6135" t="s">
        <v>2208</v>
      </c>
      <c r="AI6135" t="s">
        <v>65</v>
      </c>
      <c r="AJ6135" t="s">
        <v>108</v>
      </c>
      <c r="AK6135" s="3" t="s">
        <v>27</v>
      </c>
      <c r="AL6135" s="3">
        <v>1076.4300869599999</v>
      </c>
    </row>
    <row r="6136" spans="34:38">
      <c r="AH6136" t="s">
        <v>2208</v>
      </c>
      <c r="AI6136" t="s">
        <v>67</v>
      </c>
      <c r="AJ6136" t="s">
        <v>66</v>
      </c>
      <c r="AK6136" s="3" t="s">
        <v>27</v>
      </c>
      <c r="AL6136" s="3">
        <v>-7812.5</v>
      </c>
    </row>
    <row r="6137" spans="34:38">
      <c r="AH6137" t="s">
        <v>2208</v>
      </c>
      <c r="AI6137" t="s">
        <v>67</v>
      </c>
      <c r="AJ6137" t="s">
        <v>72</v>
      </c>
      <c r="AK6137" s="3" t="s">
        <v>27</v>
      </c>
      <c r="AL6137" s="3">
        <v>-9120.8720549999998</v>
      </c>
    </row>
    <row r="6138" spans="34:38">
      <c r="AH6138" t="s">
        <v>2208</v>
      </c>
      <c r="AI6138" t="s">
        <v>67</v>
      </c>
      <c r="AJ6138" t="s">
        <v>108</v>
      </c>
      <c r="AK6138" s="3" t="s">
        <v>27</v>
      </c>
      <c r="AL6138" s="3">
        <v>-1308.372055</v>
      </c>
    </row>
    <row r="6139" spans="34:38">
      <c r="AH6139" t="s">
        <v>2208</v>
      </c>
      <c r="AI6139" t="s">
        <v>68</v>
      </c>
      <c r="AJ6139" t="s">
        <v>66</v>
      </c>
      <c r="AK6139" s="3" t="s">
        <v>27</v>
      </c>
      <c r="AL6139" s="3">
        <v>2193.0219999999999</v>
      </c>
    </row>
    <row r="6140" spans="34:38">
      <c r="AH6140" t="s">
        <v>2208</v>
      </c>
      <c r="AI6140" t="s">
        <v>68</v>
      </c>
      <c r="AJ6140" t="s">
        <v>72</v>
      </c>
      <c r="AK6140" s="3" t="s">
        <v>27</v>
      </c>
      <c r="AL6140" s="3">
        <v>2624.63150804</v>
      </c>
    </row>
    <row r="6141" spans="34:38">
      <c r="AH6141" t="s">
        <v>2208</v>
      </c>
      <c r="AI6141" t="s">
        <v>68</v>
      </c>
      <c r="AJ6141" t="s">
        <v>108</v>
      </c>
      <c r="AK6141" s="3" t="s">
        <v>27</v>
      </c>
      <c r="AL6141" s="3">
        <v>431.60950803999998</v>
      </c>
    </row>
    <row r="6142" spans="34:38">
      <c r="AH6142" t="s">
        <v>2208</v>
      </c>
      <c r="AI6142" t="s">
        <v>65</v>
      </c>
      <c r="AJ6142" t="s">
        <v>113</v>
      </c>
      <c r="AK6142" s="3" t="s">
        <v>27</v>
      </c>
      <c r="AL6142" s="3">
        <v>2303.2848998989998</v>
      </c>
    </row>
    <row r="6143" spans="34:38">
      <c r="AH6143" t="s">
        <v>2208</v>
      </c>
      <c r="AI6143" t="s">
        <v>67</v>
      </c>
      <c r="AJ6143" t="s">
        <v>113</v>
      </c>
      <c r="AK6143" s="3" t="s">
        <v>27</v>
      </c>
      <c r="AL6143" s="3">
        <v>0</v>
      </c>
    </row>
    <row r="6144" spans="34:38">
      <c r="AH6144" t="s">
        <v>2208</v>
      </c>
      <c r="AI6144" t="s">
        <v>65</v>
      </c>
      <c r="AJ6144" t="s">
        <v>2303</v>
      </c>
      <c r="AK6144" s="3" t="s">
        <v>27</v>
      </c>
      <c r="AL6144" s="3">
        <v>-823.72082837100004</v>
      </c>
    </row>
    <row r="6145" spans="34:38">
      <c r="AH6145" t="s">
        <v>2208</v>
      </c>
      <c r="AI6145" t="s">
        <v>67</v>
      </c>
      <c r="AJ6145" t="s">
        <v>2303</v>
      </c>
      <c r="AK6145" s="3" t="s">
        <v>27</v>
      </c>
      <c r="AL6145" s="3">
        <v>-1308.372055</v>
      </c>
    </row>
    <row r="6146" spans="34:38">
      <c r="AH6146" t="s">
        <v>2209</v>
      </c>
      <c r="AI6146" t="s">
        <v>65</v>
      </c>
      <c r="AJ6146" t="s">
        <v>113</v>
      </c>
      <c r="AK6146" s="3" t="s">
        <v>20</v>
      </c>
      <c r="AL6146" s="3">
        <v>1306.2722338164999</v>
      </c>
    </row>
    <row r="6147" spans="34:38">
      <c r="AH6147" t="s">
        <v>2209</v>
      </c>
      <c r="AI6147" t="s">
        <v>65</v>
      </c>
      <c r="AJ6147" t="s">
        <v>66</v>
      </c>
      <c r="AK6147" s="3" t="s">
        <v>27</v>
      </c>
      <c r="AL6147" s="3">
        <v>17458.477999999999</v>
      </c>
    </row>
    <row r="6148" spans="34:38">
      <c r="AH6148" t="s">
        <v>2209</v>
      </c>
      <c r="AI6148" t="s">
        <v>65</v>
      </c>
      <c r="AJ6148" t="s">
        <v>72</v>
      </c>
      <c r="AK6148" s="3" t="s">
        <v>27</v>
      </c>
      <c r="AL6148" s="3">
        <v>18607.579004520001</v>
      </c>
    </row>
    <row r="6149" spans="34:38">
      <c r="AH6149" t="s">
        <v>2209</v>
      </c>
      <c r="AI6149" t="s">
        <v>65</v>
      </c>
      <c r="AJ6149" t="s">
        <v>108</v>
      </c>
      <c r="AK6149" s="3" t="s">
        <v>27</v>
      </c>
      <c r="AL6149" s="3">
        <v>1149.1010045200001</v>
      </c>
    </row>
    <row r="6150" spans="34:38">
      <c r="AH6150" t="s">
        <v>2209</v>
      </c>
      <c r="AI6150" t="s">
        <v>67</v>
      </c>
      <c r="AJ6150" t="s">
        <v>66</v>
      </c>
      <c r="AK6150" s="3" t="s">
        <v>27</v>
      </c>
      <c r="AL6150" s="3">
        <v>-7511.5</v>
      </c>
    </row>
    <row r="6151" spans="34:38">
      <c r="AH6151" t="s">
        <v>2209</v>
      </c>
      <c r="AI6151" t="s">
        <v>67</v>
      </c>
      <c r="AJ6151" t="s">
        <v>72</v>
      </c>
      <c r="AK6151" s="3" t="s">
        <v>27</v>
      </c>
      <c r="AL6151" s="3">
        <v>-8811.8168050000004</v>
      </c>
    </row>
    <row r="6152" spans="34:38">
      <c r="AH6152" t="s">
        <v>2209</v>
      </c>
      <c r="AI6152" t="s">
        <v>67</v>
      </c>
      <c r="AJ6152" t="s">
        <v>108</v>
      </c>
      <c r="AK6152" s="3" t="s">
        <v>27</v>
      </c>
      <c r="AL6152" s="3">
        <v>-1300.3168049999999</v>
      </c>
    </row>
    <row r="6153" spans="34:38">
      <c r="AH6153" t="s">
        <v>2209</v>
      </c>
      <c r="AI6153" t="s">
        <v>68</v>
      </c>
      <c r="AJ6153" t="s">
        <v>66</v>
      </c>
      <c r="AK6153" s="3" t="s">
        <v>27</v>
      </c>
      <c r="AL6153" s="3">
        <v>2173.0219999999999</v>
      </c>
    </row>
    <row r="6154" spans="34:38">
      <c r="AH6154" t="s">
        <v>2209</v>
      </c>
      <c r="AI6154" t="s">
        <v>68</v>
      </c>
      <c r="AJ6154" t="s">
        <v>72</v>
      </c>
      <c r="AK6154" s="3" t="s">
        <v>27</v>
      </c>
      <c r="AL6154" s="3">
        <v>2532.8692404799999</v>
      </c>
    </row>
    <row r="6155" spans="34:38">
      <c r="AH6155" t="s">
        <v>2209</v>
      </c>
      <c r="AI6155" t="s">
        <v>68</v>
      </c>
      <c r="AJ6155" t="s">
        <v>108</v>
      </c>
      <c r="AK6155" s="3" t="s">
        <v>27</v>
      </c>
      <c r="AL6155" s="3">
        <v>359.84724047999998</v>
      </c>
    </row>
    <row r="6156" spans="34:38">
      <c r="AH6156" t="s">
        <v>2209</v>
      </c>
      <c r="AI6156" t="s">
        <v>65</v>
      </c>
      <c r="AJ6156" t="s">
        <v>113</v>
      </c>
      <c r="AK6156" s="3" t="s">
        <v>27</v>
      </c>
      <c r="AL6156" s="3">
        <v>2367.6750170629998</v>
      </c>
    </row>
    <row r="6157" spans="34:38">
      <c r="AH6157" t="s">
        <v>2209</v>
      </c>
      <c r="AI6157" t="s">
        <v>67</v>
      </c>
      <c r="AJ6157" t="s">
        <v>113</v>
      </c>
      <c r="AK6157" s="3" t="s">
        <v>27</v>
      </c>
      <c r="AL6157" s="3">
        <v>0</v>
      </c>
    </row>
    <row r="6158" spans="34:38">
      <c r="AH6158" t="s">
        <v>2209</v>
      </c>
      <c r="AI6158" t="s">
        <v>65</v>
      </c>
      <c r="AJ6158" t="s">
        <v>2303</v>
      </c>
      <c r="AK6158" s="3" t="s">
        <v>27</v>
      </c>
      <c r="AL6158" s="3">
        <v>-806.86761526800001</v>
      </c>
    </row>
    <row r="6159" spans="34:38">
      <c r="AH6159" t="s">
        <v>2209</v>
      </c>
      <c r="AI6159" t="s">
        <v>67</v>
      </c>
      <c r="AJ6159" t="s">
        <v>2303</v>
      </c>
      <c r="AK6159" s="3" t="s">
        <v>27</v>
      </c>
      <c r="AL6159" s="3">
        <v>-1300.3168049999999</v>
      </c>
    </row>
    <row r="6160" spans="34:38">
      <c r="AH6160" t="s">
        <v>2210</v>
      </c>
      <c r="AI6160" t="s">
        <v>65</v>
      </c>
      <c r="AJ6160" t="s">
        <v>66</v>
      </c>
      <c r="AK6160" s="3" t="s">
        <v>27</v>
      </c>
      <c r="AL6160" s="3">
        <v>17849.477999999999</v>
      </c>
    </row>
    <row r="6161" spans="34:38">
      <c r="AH6161" t="s">
        <v>2210</v>
      </c>
      <c r="AI6161" t="s">
        <v>65</v>
      </c>
      <c r="AJ6161" t="s">
        <v>72</v>
      </c>
      <c r="AK6161" s="3" t="s">
        <v>27</v>
      </c>
      <c r="AL6161" s="3">
        <v>18988.427823419999</v>
      </c>
    </row>
    <row r="6162" spans="34:38">
      <c r="AH6162" t="s">
        <v>2210</v>
      </c>
      <c r="AI6162" t="s">
        <v>65</v>
      </c>
      <c r="AJ6162" t="s">
        <v>108</v>
      </c>
      <c r="AK6162" s="3" t="s">
        <v>27</v>
      </c>
      <c r="AL6162" s="3">
        <v>1138.94982342</v>
      </c>
    </row>
    <row r="6163" spans="34:38">
      <c r="AH6163" t="s">
        <v>2210</v>
      </c>
      <c r="AI6163" t="s">
        <v>67</v>
      </c>
      <c r="AJ6163" t="s">
        <v>66</v>
      </c>
      <c r="AK6163" s="3" t="s">
        <v>27</v>
      </c>
      <c r="AL6163" s="3">
        <v>-7983.5</v>
      </c>
    </row>
    <row r="6164" spans="34:38">
      <c r="AH6164" t="s">
        <v>2210</v>
      </c>
      <c r="AI6164" t="s">
        <v>67</v>
      </c>
      <c r="AJ6164" t="s">
        <v>72</v>
      </c>
      <c r="AK6164" s="3" t="s">
        <v>27</v>
      </c>
      <c r="AL6164" s="3">
        <v>-9214.5879150000001</v>
      </c>
    </row>
    <row r="6165" spans="34:38">
      <c r="AH6165" t="s">
        <v>2210</v>
      </c>
      <c r="AI6165" t="s">
        <v>67</v>
      </c>
      <c r="AJ6165" t="s">
        <v>108</v>
      </c>
      <c r="AK6165" s="3" t="s">
        <v>27</v>
      </c>
      <c r="AL6165" s="3">
        <v>-1231.0879150000001</v>
      </c>
    </row>
    <row r="6166" spans="34:38">
      <c r="AH6166" t="s">
        <v>2210</v>
      </c>
      <c r="AI6166" t="s">
        <v>68</v>
      </c>
      <c r="AJ6166" t="s">
        <v>66</v>
      </c>
      <c r="AK6166" s="3" t="s">
        <v>27</v>
      </c>
      <c r="AL6166" s="3">
        <v>2454.0219999999999</v>
      </c>
    </row>
    <row r="6167" spans="34:38">
      <c r="AH6167" t="s">
        <v>2210</v>
      </c>
      <c r="AI6167" t="s">
        <v>68</v>
      </c>
      <c r="AJ6167" t="s">
        <v>72</v>
      </c>
      <c r="AK6167" s="3" t="s">
        <v>27</v>
      </c>
      <c r="AL6167" s="3">
        <v>2750.4693715799999</v>
      </c>
    </row>
    <row r="6168" spans="34:38">
      <c r="AH6168" t="s">
        <v>2210</v>
      </c>
      <c r="AI6168" t="s">
        <v>68</v>
      </c>
      <c r="AJ6168" t="s">
        <v>108</v>
      </c>
      <c r="AK6168" s="3" t="s">
        <v>27</v>
      </c>
      <c r="AL6168" s="3">
        <v>296.44737157999998</v>
      </c>
    </row>
    <row r="6169" spans="34:38">
      <c r="AH6169" t="s">
        <v>2210</v>
      </c>
      <c r="AI6169" t="s">
        <v>65</v>
      </c>
      <c r="AJ6169" t="s">
        <v>113</v>
      </c>
      <c r="AK6169" s="3" t="s">
        <v>27</v>
      </c>
      <c r="AL6169" s="3">
        <v>2364.352559851</v>
      </c>
    </row>
    <row r="6170" spans="34:38">
      <c r="AH6170" t="s">
        <v>2210</v>
      </c>
      <c r="AI6170" t="s">
        <v>67</v>
      </c>
      <c r="AJ6170" t="s">
        <v>113</v>
      </c>
      <c r="AK6170" s="3" t="s">
        <v>27</v>
      </c>
      <c r="AL6170" s="3">
        <v>0</v>
      </c>
    </row>
    <row r="6171" spans="34:38">
      <c r="AH6171" t="s">
        <v>2210</v>
      </c>
      <c r="AI6171" t="s">
        <v>65</v>
      </c>
      <c r="AJ6171" t="s">
        <v>2303</v>
      </c>
      <c r="AK6171" s="3" t="s">
        <v>27</v>
      </c>
      <c r="AL6171" s="3">
        <v>-812.42146259000003</v>
      </c>
    </row>
    <row r="6172" spans="34:38">
      <c r="AH6172" t="s">
        <v>2210</v>
      </c>
      <c r="AI6172" t="s">
        <v>67</v>
      </c>
      <c r="AJ6172" t="s">
        <v>2303</v>
      </c>
      <c r="AK6172" s="3" t="s">
        <v>27</v>
      </c>
      <c r="AL6172" s="3">
        <v>-1231.0879150000001</v>
      </c>
    </row>
    <row r="6173" spans="34:38">
      <c r="AH6173" t="s">
        <v>2210</v>
      </c>
      <c r="AI6173" t="s">
        <v>65</v>
      </c>
      <c r="AJ6173" t="s">
        <v>113</v>
      </c>
      <c r="AK6173" s="3" t="s">
        <v>20</v>
      </c>
      <c r="AL6173" s="3">
        <v>1302.4740652057001</v>
      </c>
    </row>
    <row r="6174" spans="34:38">
      <c r="AH6174" t="s">
        <v>2211</v>
      </c>
      <c r="AI6174" t="s">
        <v>65</v>
      </c>
      <c r="AJ6174" t="s">
        <v>113</v>
      </c>
      <c r="AK6174" s="3" t="s">
        <v>20</v>
      </c>
      <c r="AL6174" s="3">
        <v>1394.1159582150001</v>
      </c>
    </row>
    <row r="6175" spans="34:38">
      <c r="AH6175" t="s">
        <v>2211</v>
      </c>
      <c r="AI6175" t="s">
        <v>65</v>
      </c>
      <c r="AJ6175" t="s">
        <v>66</v>
      </c>
      <c r="AK6175" s="3" t="s">
        <v>27</v>
      </c>
      <c r="AL6175" s="3">
        <v>18254.560399999998</v>
      </c>
    </row>
    <row r="6176" spans="34:38">
      <c r="AH6176" t="s">
        <v>2211</v>
      </c>
      <c r="AI6176" t="s">
        <v>65</v>
      </c>
      <c r="AJ6176" t="s">
        <v>72</v>
      </c>
      <c r="AK6176" s="3" t="s">
        <v>27</v>
      </c>
      <c r="AL6176" s="3">
        <v>19498.825489031999</v>
      </c>
    </row>
    <row r="6177" spans="34:38">
      <c r="AH6177" t="s">
        <v>2211</v>
      </c>
      <c r="AI6177" t="s">
        <v>65</v>
      </c>
      <c r="AJ6177" t="s">
        <v>108</v>
      </c>
      <c r="AK6177" s="3" t="s">
        <v>27</v>
      </c>
      <c r="AL6177" s="3">
        <v>1244.2650890320001</v>
      </c>
    </row>
    <row r="6178" spans="34:38">
      <c r="AH6178" t="s">
        <v>2211</v>
      </c>
      <c r="AI6178" t="s">
        <v>67</v>
      </c>
      <c r="AJ6178" t="s">
        <v>66</v>
      </c>
      <c r="AK6178" s="3" t="s">
        <v>27</v>
      </c>
      <c r="AL6178" s="3">
        <v>-8197.5823999999993</v>
      </c>
    </row>
    <row r="6179" spans="34:38">
      <c r="AH6179" t="s">
        <v>2211</v>
      </c>
      <c r="AI6179" t="s">
        <v>67</v>
      </c>
      <c r="AJ6179" t="s">
        <v>72</v>
      </c>
      <c r="AK6179" s="3" t="s">
        <v>27</v>
      </c>
      <c r="AL6179" s="3">
        <v>-9536.2552120519995</v>
      </c>
    </row>
    <row r="6180" spans="34:38">
      <c r="AH6180" t="s">
        <v>2211</v>
      </c>
      <c r="AI6180" t="s">
        <v>67</v>
      </c>
      <c r="AJ6180" t="s">
        <v>108</v>
      </c>
      <c r="AK6180" s="3" t="s">
        <v>27</v>
      </c>
      <c r="AL6180" s="3">
        <v>-1338.6728120519999</v>
      </c>
    </row>
    <row r="6181" spans="34:38">
      <c r="AH6181" t="s">
        <v>2211</v>
      </c>
      <c r="AI6181" t="s">
        <v>68</v>
      </c>
      <c r="AJ6181" t="s">
        <v>66</v>
      </c>
      <c r="AK6181" s="3" t="s">
        <v>27</v>
      </c>
      <c r="AL6181" s="3">
        <v>2263.0219999999999</v>
      </c>
    </row>
    <row r="6182" spans="34:38">
      <c r="AH6182" t="s">
        <v>2211</v>
      </c>
      <c r="AI6182" t="s">
        <v>68</v>
      </c>
      <c r="AJ6182" t="s">
        <v>72</v>
      </c>
      <c r="AK6182" s="3" t="s">
        <v>27</v>
      </c>
      <c r="AL6182" s="3">
        <v>2565.86398302</v>
      </c>
    </row>
    <row r="6183" spans="34:38">
      <c r="AH6183" t="s">
        <v>2211</v>
      </c>
      <c r="AI6183" t="s">
        <v>68</v>
      </c>
      <c r="AJ6183" t="s">
        <v>108</v>
      </c>
      <c r="AK6183" s="3" t="s">
        <v>27</v>
      </c>
      <c r="AL6183" s="3">
        <v>302.84198301999999</v>
      </c>
    </row>
    <row r="6184" spans="34:38">
      <c r="AH6184" t="s">
        <v>2211</v>
      </c>
      <c r="AI6184" t="s">
        <v>65</v>
      </c>
      <c r="AJ6184" t="s">
        <v>113</v>
      </c>
      <c r="AK6184" s="3" t="s">
        <v>27</v>
      </c>
      <c r="AL6184" s="3">
        <v>2456.4701642529999</v>
      </c>
    </row>
    <row r="6185" spans="34:38">
      <c r="AH6185" t="s">
        <v>2211</v>
      </c>
      <c r="AI6185" t="s">
        <v>67</v>
      </c>
      <c r="AJ6185" t="s">
        <v>113</v>
      </c>
      <c r="AK6185" s="3" t="s">
        <v>27</v>
      </c>
      <c r="AL6185" s="3">
        <v>0</v>
      </c>
    </row>
    <row r="6186" spans="34:38">
      <c r="AH6186" t="s">
        <v>2211</v>
      </c>
      <c r="AI6186" t="s">
        <v>65</v>
      </c>
      <c r="AJ6186" t="s">
        <v>2303</v>
      </c>
      <c r="AK6186" s="3" t="s">
        <v>27</v>
      </c>
      <c r="AL6186" s="3">
        <v>-795.87080764999996</v>
      </c>
    </row>
    <row r="6187" spans="34:38">
      <c r="AH6187" t="s">
        <v>2211</v>
      </c>
      <c r="AI6187" t="s">
        <v>67</v>
      </c>
      <c r="AJ6187" t="s">
        <v>2303</v>
      </c>
      <c r="AK6187" s="3" t="s">
        <v>27</v>
      </c>
      <c r="AL6187" s="3">
        <v>-1338.6728120519999</v>
      </c>
    </row>
    <row r="6188" spans="34:38">
      <c r="AH6188" t="s">
        <v>2212</v>
      </c>
      <c r="AI6188" t="s">
        <v>65</v>
      </c>
      <c r="AJ6188" t="s">
        <v>66</v>
      </c>
      <c r="AK6188" s="3" t="s">
        <v>27</v>
      </c>
      <c r="AL6188" s="3">
        <v>18354.560399999998</v>
      </c>
    </row>
    <row r="6189" spans="34:38">
      <c r="AH6189" t="s">
        <v>2212</v>
      </c>
      <c r="AI6189" t="s">
        <v>65</v>
      </c>
      <c r="AJ6189" t="s">
        <v>72</v>
      </c>
      <c r="AK6189" s="3" t="s">
        <v>27</v>
      </c>
      <c r="AL6189" s="3">
        <v>19599.511935039998</v>
      </c>
    </row>
    <row r="6190" spans="34:38">
      <c r="AH6190" t="s">
        <v>2212</v>
      </c>
      <c r="AI6190" t="s">
        <v>65</v>
      </c>
      <c r="AJ6190" t="s">
        <v>108</v>
      </c>
      <c r="AK6190" s="3" t="s">
        <v>27</v>
      </c>
      <c r="AL6190" s="3">
        <v>1244.95153504</v>
      </c>
    </row>
    <row r="6191" spans="34:38">
      <c r="AH6191" t="s">
        <v>2212</v>
      </c>
      <c r="AI6191" t="s">
        <v>67</v>
      </c>
      <c r="AJ6191" t="s">
        <v>66</v>
      </c>
      <c r="AK6191" s="3" t="s">
        <v>27</v>
      </c>
      <c r="AL6191" s="3">
        <v>-7792.5</v>
      </c>
    </row>
    <row r="6192" spans="34:38">
      <c r="AH6192" t="s">
        <v>2212</v>
      </c>
      <c r="AI6192" t="s">
        <v>67</v>
      </c>
      <c r="AJ6192" t="s">
        <v>72</v>
      </c>
      <c r="AK6192" s="3" t="s">
        <v>27</v>
      </c>
      <c r="AL6192" s="3">
        <v>-9048.0461450000003</v>
      </c>
    </row>
    <row r="6193" spans="34:38">
      <c r="AH6193" t="s">
        <v>2212</v>
      </c>
      <c r="AI6193" t="s">
        <v>67</v>
      </c>
      <c r="AJ6193" t="s">
        <v>108</v>
      </c>
      <c r="AK6193" s="3" t="s">
        <v>27</v>
      </c>
      <c r="AL6193" s="3">
        <v>-1255.546145</v>
      </c>
    </row>
    <row r="6194" spans="34:38">
      <c r="AH6194" t="s">
        <v>2212</v>
      </c>
      <c r="AI6194" t="s">
        <v>68</v>
      </c>
      <c r="AJ6194" t="s">
        <v>66</v>
      </c>
      <c r="AK6194" s="3" t="s">
        <v>27</v>
      </c>
      <c r="AL6194" s="3">
        <v>1957.9395999999999</v>
      </c>
    </row>
    <row r="6195" spans="34:38">
      <c r="AH6195" t="s">
        <v>2212</v>
      </c>
      <c r="AI6195" t="s">
        <v>68</v>
      </c>
      <c r="AJ6195" t="s">
        <v>72</v>
      </c>
      <c r="AK6195" s="3" t="s">
        <v>27</v>
      </c>
      <c r="AL6195" s="3">
        <v>2168.5385899600001</v>
      </c>
    </row>
    <row r="6196" spans="34:38">
      <c r="AH6196" t="s">
        <v>2212</v>
      </c>
      <c r="AI6196" t="s">
        <v>68</v>
      </c>
      <c r="AJ6196" t="s">
        <v>108</v>
      </c>
      <c r="AK6196" s="3" t="s">
        <v>27</v>
      </c>
      <c r="AL6196" s="3">
        <v>210.59898996000001</v>
      </c>
    </row>
    <row r="6197" spans="34:38">
      <c r="AH6197" t="s">
        <v>2212</v>
      </c>
      <c r="AI6197" t="s">
        <v>65</v>
      </c>
      <c r="AJ6197" t="s">
        <v>113</v>
      </c>
      <c r="AK6197" s="3" t="s">
        <v>27</v>
      </c>
      <c r="AL6197" s="3">
        <v>2460.5223533560002</v>
      </c>
    </row>
    <row r="6198" spans="34:38">
      <c r="AH6198" t="s">
        <v>2212</v>
      </c>
      <c r="AI6198" t="s">
        <v>67</v>
      </c>
      <c r="AJ6198" t="s">
        <v>113</v>
      </c>
      <c r="AK6198" s="3" t="s">
        <v>27</v>
      </c>
      <c r="AL6198" s="3">
        <v>0</v>
      </c>
    </row>
    <row r="6199" spans="34:38">
      <c r="AH6199" t="s">
        <v>2212</v>
      </c>
      <c r="AI6199" t="s">
        <v>65</v>
      </c>
      <c r="AJ6199" t="s">
        <v>2303</v>
      </c>
      <c r="AK6199" s="3" t="s">
        <v>27</v>
      </c>
      <c r="AL6199" s="3">
        <v>-801.75206899800003</v>
      </c>
    </row>
    <row r="6200" spans="34:38">
      <c r="AH6200" t="s">
        <v>2212</v>
      </c>
      <c r="AI6200" t="s">
        <v>67</v>
      </c>
      <c r="AJ6200" t="s">
        <v>2303</v>
      </c>
      <c r="AK6200" s="3" t="s">
        <v>27</v>
      </c>
      <c r="AL6200" s="3">
        <v>-1255.546145</v>
      </c>
    </row>
    <row r="6201" spans="34:38">
      <c r="AH6201" t="s">
        <v>2212</v>
      </c>
      <c r="AI6201" t="s">
        <v>65</v>
      </c>
      <c r="AJ6201" t="s">
        <v>113</v>
      </c>
      <c r="AK6201" s="3" t="s">
        <v>20</v>
      </c>
      <c r="AL6201" s="3">
        <v>1397.6924359119</v>
      </c>
    </row>
    <row r="6202" spans="34:38">
      <c r="AH6202" t="s">
        <v>2213</v>
      </c>
      <c r="AI6202" t="s">
        <v>65</v>
      </c>
      <c r="AJ6202" t="s">
        <v>113</v>
      </c>
      <c r="AK6202" s="3" t="s">
        <v>20</v>
      </c>
      <c r="AL6202" s="3">
        <v>1399.6604195268001</v>
      </c>
    </row>
    <row r="6203" spans="34:38">
      <c r="AH6203" t="s">
        <v>2213</v>
      </c>
      <c r="AI6203" t="s">
        <v>65</v>
      </c>
      <c r="AJ6203" t="s">
        <v>66</v>
      </c>
      <c r="AK6203" s="3" t="s">
        <v>27</v>
      </c>
      <c r="AL6203" s="3">
        <v>18104.560399999998</v>
      </c>
    </row>
    <row r="6204" spans="34:38">
      <c r="AH6204" t="s">
        <v>2213</v>
      </c>
      <c r="AI6204" t="s">
        <v>65</v>
      </c>
      <c r="AJ6204" t="s">
        <v>72</v>
      </c>
      <c r="AK6204" s="3" t="s">
        <v>27</v>
      </c>
      <c r="AL6204" s="3">
        <v>19350.960816416002</v>
      </c>
    </row>
    <row r="6205" spans="34:38">
      <c r="AH6205" t="s">
        <v>2213</v>
      </c>
      <c r="AI6205" t="s">
        <v>65</v>
      </c>
      <c r="AJ6205" t="s">
        <v>108</v>
      </c>
      <c r="AK6205" s="3" t="s">
        <v>27</v>
      </c>
      <c r="AL6205" s="3">
        <v>1246.4004164160001</v>
      </c>
    </row>
    <row r="6206" spans="34:38">
      <c r="AH6206" t="s">
        <v>2213</v>
      </c>
      <c r="AI6206" t="s">
        <v>67</v>
      </c>
      <c r="AJ6206" t="s">
        <v>66</v>
      </c>
      <c r="AK6206" s="3" t="s">
        <v>27</v>
      </c>
      <c r="AL6206" s="3">
        <v>-7692.5</v>
      </c>
    </row>
    <row r="6207" spans="34:38">
      <c r="AH6207" t="s">
        <v>2213</v>
      </c>
      <c r="AI6207" t="s">
        <v>67</v>
      </c>
      <c r="AJ6207" t="s">
        <v>72</v>
      </c>
      <c r="AK6207" s="3" t="s">
        <v>27</v>
      </c>
      <c r="AL6207" s="3">
        <v>-8943.4615300000005</v>
      </c>
    </row>
    <row r="6208" spans="34:38">
      <c r="AH6208" t="s">
        <v>2213</v>
      </c>
      <c r="AI6208" t="s">
        <v>67</v>
      </c>
      <c r="AJ6208" t="s">
        <v>108</v>
      </c>
      <c r="AK6208" s="3" t="s">
        <v>27</v>
      </c>
      <c r="AL6208" s="3">
        <v>-1250.96153</v>
      </c>
    </row>
    <row r="6209" spans="34:38">
      <c r="AH6209" t="s">
        <v>2213</v>
      </c>
      <c r="AI6209" t="s">
        <v>68</v>
      </c>
      <c r="AJ6209" t="s">
        <v>66</v>
      </c>
      <c r="AK6209" s="3" t="s">
        <v>27</v>
      </c>
      <c r="AL6209" s="3">
        <v>2157.9396000000002</v>
      </c>
    </row>
    <row r="6210" spans="34:38">
      <c r="AH6210" t="s">
        <v>2213</v>
      </c>
      <c r="AI6210" t="s">
        <v>68</v>
      </c>
      <c r="AJ6210" t="s">
        <v>72</v>
      </c>
      <c r="AK6210" s="3" t="s">
        <v>27</v>
      </c>
      <c r="AL6210" s="3">
        <v>2363.8559135840001</v>
      </c>
    </row>
    <row r="6211" spans="34:38">
      <c r="AH6211" t="s">
        <v>2213</v>
      </c>
      <c r="AI6211" t="s">
        <v>68</v>
      </c>
      <c r="AJ6211" t="s">
        <v>108</v>
      </c>
      <c r="AK6211" s="3" t="s">
        <v>27</v>
      </c>
      <c r="AL6211" s="3">
        <v>205.91631358399999</v>
      </c>
    </row>
    <row r="6212" spans="34:38">
      <c r="AH6212" t="s">
        <v>2213</v>
      </c>
      <c r="AI6212" t="s">
        <v>65</v>
      </c>
      <c r="AJ6212" t="s">
        <v>113</v>
      </c>
      <c r="AK6212" s="3" t="s">
        <v>27</v>
      </c>
      <c r="AL6212" s="3">
        <v>2462.9660483739999</v>
      </c>
    </row>
    <row r="6213" spans="34:38">
      <c r="AH6213" t="s">
        <v>2213</v>
      </c>
      <c r="AI6213" t="s">
        <v>67</v>
      </c>
      <c r="AJ6213" t="s">
        <v>113</v>
      </c>
      <c r="AK6213" s="3" t="s">
        <v>27</v>
      </c>
      <c r="AL6213" s="3">
        <v>0</v>
      </c>
    </row>
    <row r="6214" spans="34:38">
      <c r="AH6214" t="s">
        <v>2213</v>
      </c>
      <c r="AI6214" t="s">
        <v>65</v>
      </c>
      <c r="AJ6214" t="s">
        <v>2303</v>
      </c>
      <c r="AK6214" s="3" t="s">
        <v>27</v>
      </c>
      <c r="AL6214" s="3">
        <v>-801.12471200100003</v>
      </c>
    </row>
    <row r="6215" spans="34:38">
      <c r="AH6215" t="s">
        <v>2213</v>
      </c>
      <c r="AI6215" t="s">
        <v>67</v>
      </c>
      <c r="AJ6215" t="s">
        <v>2303</v>
      </c>
      <c r="AK6215" s="3" t="s">
        <v>27</v>
      </c>
      <c r="AL6215" s="3">
        <v>-1250.96153</v>
      </c>
    </row>
    <row r="6216" spans="34:38">
      <c r="AH6216" t="s">
        <v>2214</v>
      </c>
      <c r="AI6216" t="s">
        <v>65</v>
      </c>
      <c r="AJ6216" t="s">
        <v>66</v>
      </c>
      <c r="AK6216" s="3" t="s">
        <v>27</v>
      </c>
      <c r="AL6216" s="3">
        <v>17962.5</v>
      </c>
    </row>
    <row r="6217" spans="34:38">
      <c r="AH6217" t="s">
        <v>2214</v>
      </c>
      <c r="AI6217" t="s">
        <v>65</v>
      </c>
      <c r="AJ6217" t="s">
        <v>72</v>
      </c>
      <c r="AK6217" s="3" t="s">
        <v>27</v>
      </c>
      <c r="AL6217" s="3">
        <v>19469.09461</v>
      </c>
    </row>
    <row r="6218" spans="34:38">
      <c r="AH6218" t="s">
        <v>2214</v>
      </c>
      <c r="AI6218" t="s">
        <v>65</v>
      </c>
      <c r="AJ6218" t="s">
        <v>108</v>
      </c>
      <c r="AK6218" s="3" t="s">
        <v>27</v>
      </c>
      <c r="AL6218" s="3">
        <v>1506.5946100000001</v>
      </c>
    </row>
    <row r="6219" spans="34:38">
      <c r="AH6219" t="s">
        <v>2214</v>
      </c>
      <c r="AI6219" t="s">
        <v>67</v>
      </c>
      <c r="AJ6219" t="s">
        <v>66</v>
      </c>
      <c r="AK6219" s="3" t="s">
        <v>27</v>
      </c>
      <c r="AL6219" s="3">
        <v>-7650.4395999999997</v>
      </c>
    </row>
    <row r="6220" spans="34:38">
      <c r="AH6220" t="s">
        <v>2214</v>
      </c>
      <c r="AI6220" t="s">
        <v>67</v>
      </c>
      <c r="AJ6220" t="s">
        <v>72</v>
      </c>
      <c r="AK6220" s="3" t="s">
        <v>27</v>
      </c>
      <c r="AL6220" s="3">
        <v>-9164.0709002959993</v>
      </c>
    </row>
    <row r="6221" spans="34:38">
      <c r="AH6221" t="s">
        <v>2214</v>
      </c>
      <c r="AI6221" t="s">
        <v>67</v>
      </c>
      <c r="AJ6221" t="s">
        <v>108</v>
      </c>
      <c r="AK6221" s="3" t="s">
        <v>27</v>
      </c>
      <c r="AL6221" s="3">
        <v>-1513.6313002960001</v>
      </c>
    </row>
    <row r="6222" spans="34:38">
      <c r="AH6222" t="s">
        <v>2214</v>
      </c>
      <c r="AI6222" t="s">
        <v>68</v>
      </c>
      <c r="AJ6222" t="s">
        <v>66</v>
      </c>
      <c r="AK6222" s="3" t="s">
        <v>27</v>
      </c>
      <c r="AL6222" s="3">
        <v>2457.9396000000002</v>
      </c>
    </row>
    <row r="6223" spans="34:38">
      <c r="AH6223" t="s">
        <v>2214</v>
      </c>
      <c r="AI6223" t="s">
        <v>68</v>
      </c>
      <c r="AJ6223" t="s">
        <v>72</v>
      </c>
      <c r="AK6223" s="3" t="s">
        <v>27</v>
      </c>
      <c r="AL6223" s="3">
        <v>2663.695010296</v>
      </c>
    </row>
    <row r="6224" spans="34:38">
      <c r="AH6224" t="s">
        <v>2214</v>
      </c>
      <c r="AI6224" t="s">
        <v>68</v>
      </c>
      <c r="AJ6224" t="s">
        <v>108</v>
      </c>
      <c r="AK6224" s="3" t="s">
        <v>27</v>
      </c>
      <c r="AL6224" s="3">
        <v>205.75541029600001</v>
      </c>
    </row>
    <row r="6225" spans="34:38">
      <c r="AH6225" t="s">
        <v>2214</v>
      </c>
      <c r="AI6225" t="s">
        <v>65</v>
      </c>
      <c r="AJ6225" t="s">
        <v>113</v>
      </c>
      <c r="AK6225" s="3" t="s">
        <v>27</v>
      </c>
      <c r="AL6225" s="3">
        <v>2728.0995319519998</v>
      </c>
    </row>
    <row r="6226" spans="34:38">
      <c r="AH6226" t="s">
        <v>2214</v>
      </c>
      <c r="AI6226" t="s">
        <v>67</v>
      </c>
      <c r="AJ6226" t="s">
        <v>113</v>
      </c>
      <c r="AK6226" s="3" t="s">
        <v>27</v>
      </c>
      <c r="AL6226" s="3">
        <v>0</v>
      </c>
    </row>
    <row r="6227" spans="34:38">
      <c r="AH6227" t="s">
        <v>2214</v>
      </c>
      <c r="AI6227" t="s">
        <v>65</v>
      </c>
      <c r="AJ6227" t="s">
        <v>2303</v>
      </c>
      <c r="AK6227" s="3" t="s">
        <v>27</v>
      </c>
      <c r="AL6227" s="3">
        <v>-805.58837027000004</v>
      </c>
    </row>
    <row r="6228" spans="34:38">
      <c r="AH6228" t="s">
        <v>2214</v>
      </c>
      <c r="AI6228" t="s">
        <v>67</v>
      </c>
      <c r="AJ6228" t="s">
        <v>2303</v>
      </c>
      <c r="AK6228" s="3" t="s">
        <v>27</v>
      </c>
      <c r="AL6228" s="3">
        <v>-1513.6313002960001</v>
      </c>
    </row>
    <row r="6229" spans="34:38">
      <c r="AH6229" t="s">
        <v>2214</v>
      </c>
      <c r="AI6229" t="s">
        <v>65</v>
      </c>
      <c r="AJ6229" t="s">
        <v>113</v>
      </c>
      <c r="AK6229" s="3" t="s">
        <v>20</v>
      </c>
      <c r="AL6229" s="3">
        <v>1663.3667689061999</v>
      </c>
    </row>
    <row r="6230" spans="34:38">
      <c r="AH6230" t="s">
        <v>2215</v>
      </c>
      <c r="AI6230" t="s">
        <v>65</v>
      </c>
      <c r="AJ6230" t="s">
        <v>113</v>
      </c>
      <c r="AK6230" s="3" t="s">
        <v>20</v>
      </c>
      <c r="AL6230" s="3">
        <v>1655.8356467263</v>
      </c>
    </row>
    <row r="6231" spans="34:38">
      <c r="AH6231" t="s">
        <v>2215</v>
      </c>
      <c r="AI6231" t="s">
        <v>65</v>
      </c>
      <c r="AJ6231" t="s">
        <v>66</v>
      </c>
      <c r="AK6231" s="3" t="s">
        <v>27</v>
      </c>
      <c r="AL6231" s="3">
        <v>18412.5</v>
      </c>
    </row>
    <row r="6232" spans="34:38">
      <c r="AH6232" t="s">
        <v>2215</v>
      </c>
      <c r="AI6232" t="s">
        <v>65</v>
      </c>
      <c r="AJ6232" t="s">
        <v>72</v>
      </c>
      <c r="AK6232" s="3" t="s">
        <v>27</v>
      </c>
      <c r="AL6232" s="3">
        <v>19914.917385000001</v>
      </c>
    </row>
    <row r="6233" spans="34:38">
      <c r="AH6233" t="s">
        <v>2215</v>
      </c>
      <c r="AI6233" t="s">
        <v>65</v>
      </c>
      <c r="AJ6233" t="s">
        <v>108</v>
      </c>
      <c r="AK6233" s="3" t="s">
        <v>27</v>
      </c>
      <c r="AL6233" s="3">
        <v>1502.417385</v>
      </c>
    </row>
    <row r="6234" spans="34:38">
      <c r="AH6234" t="s">
        <v>2215</v>
      </c>
      <c r="AI6234" t="s">
        <v>67</v>
      </c>
      <c r="AJ6234" t="s">
        <v>66</v>
      </c>
      <c r="AK6234" s="3" t="s">
        <v>27</v>
      </c>
      <c r="AL6234" s="3">
        <v>-8042.5</v>
      </c>
    </row>
    <row r="6235" spans="34:38">
      <c r="AH6235" t="s">
        <v>2215</v>
      </c>
      <c r="AI6235" t="s">
        <v>67</v>
      </c>
      <c r="AJ6235" t="s">
        <v>72</v>
      </c>
      <c r="AK6235" s="3" t="s">
        <v>27</v>
      </c>
      <c r="AL6235" s="3">
        <v>-9278.4181449999996</v>
      </c>
    </row>
    <row r="6236" spans="34:38">
      <c r="AH6236" t="s">
        <v>2215</v>
      </c>
      <c r="AI6236" t="s">
        <v>67</v>
      </c>
      <c r="AJ6236" t="s">
        <v>108</v>
      </c>
      <c r="AK6236" s="3" t="s">
        <v>27</v>
      </c>
      <c r="AL6236" s="3">
        <v>-1235.9181450000001</v>
      </c>
    </row>
    <row r="6237" spans="34:38">
      <c r="AH6237" t="s">
        <v>2215</v>
      </c>
      <c r="AI6237" t="s">
        <v>68</v>
      </c>
      <c r="AJ6237" t="s">
        <v>66</v>
      </c>
      <c r="AK6237" s="3" t="s">
        <v>27</v>
      </c>
      <c r="AL6237" s="3">
        <v>2600</v>
      </c>
    </row>
    <row r="6238" spans="34:38">
      <c r="AH6238" t="s">
        <v>2215</v>
      </c>
      <c r="AI6238" t="s">
        <v>68</v>
      </c>
      <c r="AJ6238" t="s">
        <v>72</v>
      </c>
      <c r="AK6238" s="3" t="s">
        <v>27</v>
      </c>
      <c r="AL6238" s="3">
        <v>2546.6165000000001</v>
      </c>
    </row>
    <row r="6239" spans="34:38">
      <c r="AH6239" t="s">
        <v>2215</v>
      </c>
      <c r="AI6239" t="s">
        <v>68</v>
      </c>
      <c r="AJ6239" t="s">
        <v>108</v>
      </c>
      <c r="AK6239" s="3" t="s">
        <v>27</v>
      </c>
      <c r="AL6239" s="3">
        <v>-53.383499999999998</v>
      </c>
    </row>
    <row r="6240" spans="34:38">
      <c r="AH6240" t="s">
        <v>2215</v>
      </c>
      <c r="AI6240" t="s">
        <v>65</v>
      </c>
      <c r="AJ6240" t="s">
        <v>113</v>
      </c>
      <c r="AK6240" s="3" t="s">
        <v>27</v>
      </c>
      <c r="AL6240" s="3">
        <v>2721.0441211789998</v>
      </c>
    </row>
    <row r="6241" spans="34:38">
      <c r="AH6241" t="s">
        <v>2215</v>
      </c>
      <c r="AI6241" t="s">
        <v>67</v>
      </c>
      <c r="AJ6241" t="s">
        <v>113</v>
      </c>
      <c r="AK6241" s="3" t="s">
        <v>27</v>
      </c>
      <c r="AL6241" s="3">
        <v>0</v>
      </c>
    </row>
    <row r="6242" spans="34:38">
      <c r="AH6242" t="s">
        <v>2215</v>
      </c>
      <c r="AI6242" t="s">
        <v>65</v>
      </c>
      <c r="AJ6242" t="s">
        <v>2303</v>
      </c>
      <c r="AK6242" s="3" t="s">
        <v>27</v>
      </c>
      <c r="AL6242" s="3">
        <v>-799.47989790899999</v>
      </c>
    </row>
    <row r="6243" spans="34:38">
      <c r="AH6243" t="s">
        <v>2215</v>
      </c>
      <c r="AI6243" t="s">
        <v>67</v>
      </c>
      <c r="AJ6243" t="s">
        <v>2303</v>
      </c>
      <c r="AK6243" s="3" t="s">
        <v>27</v>
      </c>
      <c r="AL6243" s="3">
        <v>-1235.9181450000001</v>
      </c>
    </row>
    <row r="6244" spans="34:38">
      <c r="AH6244" t="s">
        <v>2216</v>
      </c>
      <c r="AI6244" t="s">
        <v>65</v>
      </c>
      <c r="AJ6244" t="s">
        <v>66</v>
      </c>
      <c r="AK6244" s="3" t="s">
        <v>27</v>
      </c>
      <c r="AL6244" s="3">
        <v>18212.5</v>
      </c>
    </row>
    <row r="6245" spans="34:38">
      <c r="AH6245" t="s">
        <v>2216</v>
      </c>
      <c r="AI6245" t="s">
        <v>65</v>
      </c>
      <c r="AJ6245" t="s">
        <v>72</v>
      </c>
      <c r="AK6245" s="3" t="s">
        <v>27</v>
      </c>
      <c r="AL6245" s="3">
        <v>19717.805315000001</v>
      </c>
    </row>
    <row r="6246" spans="34:38">
      <c r="AH6246" t="s">
        <v>2216</v>
      </c>
      <c r="AI6246" t="s">
        <v>65</v>
      </c>
      <c r="AJ6246" t="s">
        <v>108</v>
      </c>
      <c r="AK6246" s="3" t="s">
        <v>27</v>
      </c>
      <c r="AL6246" s="3">
        <v>1505.3053150000001</v>
      </c>
    </row>
    <row r="6247" spans="34:38">
      <c r="AH6247" t="s">
        <v>2216</v>
      </c>
      <c r="AI6247" t="s">
        <v>67</v>
      </c>
      <c r="AJ6247" t="s">
        <v>66</v>
      </c>
      <c r="AK6247" s="3" t="s">
        <v>27</v>
      </c>
      <c r="AL6247" s="3">
        <v>-7392.5</v>
      </c>
    </row>
    <row r="6248" spans="34:38">
      <c r="AH6248" t="s">
        <v>2216</v>
      </c>
      <c r="AI6248" t="s">
        <v>67</v>
      </c>
      <c r="AJ6248" t="s">
        <v>72</v>
      </c>
      <c r="AK6248" s="3" t="s">
        <v>27</v>
      </c>
      <c r="AL6248" s="3">
        <v>-8640.645955</v>
      </c>
    </row>
    <row r="6249" spans="34:38">
      <c r="AH6249" t="s">
        <v>2216</v>
      </c>
      <c r="AI6249" t="s">
        <v>67</v>
      </c>
      <c r="AJ6249" t="s">
        <v>108</v>
      </c>
      <c r="AK6249" s="3" t="s">
        <v>27</v>
      </c>
      <c r="AL6249" s="3">
        <v>-1248.145955</v>
      </c>
    </row>
    <row r="6250" spans="34:38">
      <c r="AH6250" t="s">
        <v>2216</v>
      </c>
      <c r="AI6250" t="s">
        <v>68</v>
      </c>
      <c r="AJ6250" t="s">
        <v>66</v>
      </c>
      <c r="AK6250" s="3" t="s">
        <v>27</v>
      </c>
      <c r="AL6250" s="3">
        <v>2150</v>
      </c>
    </row>
    <row r="6251" spans="34:38">
      <c r="AH6251" t="s">
        <v>2216</v>
      </c>
      <c r="AI6251" t="s">
        <v>68</v>
      </c>
      <c r="AJ6251" t="s">
        <v>72</v>
      </c>
      <c r="AK6251" s="3" t="s">
        <v>27</v>
      </c>
      <c r="AL6251" s="3">
        <v>2103.9005000000002</v>
      </c>
    </row>
    <row r="6252" spans="34:38">
      <c r="AH6252" t="s">
        <v>2216</v>
      </c>
      <c r="AI6252" t="s">
        <v>68</v>
      </c>
      <c r="AJ6252" t="s">
        <v>108</v>
      </c>
      <c r="AK6252" s="3" t="s">
        <v>27</v>
      </c>
      <c r="AL6252" s="3">
        <v>-46.099499999999999</v>
      </c>
    </row>
    <row r="6253" spans="34:38">
      <c r="AH6253" t="s">
        <v>2216</v>
      </c>
      <c r="AI6253" t="s">
        <v>65</v>
      </c>
      <c r="AJ6253" t="s">
        <v>113</v>
      </c>
      <c r="AK6253" s="3" t="s">
        <v>27</v>
      </c>
      <c r="AL6253" s="3">
        <v>2725.1478810180001</v>
      </c>
    </row>
    <row r="6254" spans="34:38">
      <c r="AH6254" t="s">
        <v>2216</v>
      </c>
      <c r="AI6254" t="s">
        <v>67</v>
      </c>
      <c r="AJ6254" t="s">
        <v>113</v>
      </c>
      <c r="AK6254" s="3" t="s">
        <v>27</v>
      </c>
      <c r="AL6254" s="3">
        <v>0</v>
      </c>
    </row>
    <row r="6255" spans="34:38">
      <c r="AH6255" t="s">
        <v>2216</v>
      </c>
      <c r="AI6255" t="s">
        <v>65</v>
      </c>
      <c r="AJ6255" t="s">
        <v>2303</v>
      </c>
      <c r="AK6255" s="3" t="s">
        <v>27</v>
      </c>
      <c r="AL6255" s="3">
        <v>-801.46292493399994</v>
      </c>
    </row>
    <row r="6256" spans="34:38">
      <c r="AH6256" t="s">
        <v>2216</v>
      </c>
      <c r="AI6256" t="s">
        <v>67</v>
      </c>
      <c r="AJ6256" t="s">
        <v>2303</v>
      </c>
      <c r="AK6256" s="3" t="s">
        <v>27</v>
      </c>
      <c r="AL6256" s="3">
        <v>-1248.145955</v>
      </c>
    </row>
    <row r="6257" spans="34:38">
      <c r="AH6257" t="s">
        <v>2216</v>
      </c>
      <c r="AI6257" t="s">
        <v>65</v>
      </c>
      <c r="AJ6257" t="s">
        <v>113</v>
      </c>
      <c r="AK6257" s="3" t="s">
        <v>20</v>
      </c>
      <c r="AL6257" s="3">
        <v>1659.4636951711</v>
      </c>
    </row>
    <row r="6258" spans="34:38">
      <c r="AH6258" t="s">
        <v>2217</v>
      </c>
      <c r="AI6258" t="s">
        <v>65</v>
      </c>
      <c r="AJ6258" t="s">
        <v>113</v>
      </c>
      <c r="AK6258" s="3" t="s">
        <v>20</v>
      </c>
      <c r="AL6258" s="3">
        <v>1655.1435307396</v>
      </c>
    </row>
    <row r="6259" spans="34:38">
      <c r="AH6259" t="s">
        <v>2217</v>
      </c>
      <c r="AI6259" t="s">
        <v>65</v>
      </c>
      <c r="AJ6259" t="s">
        <v>66</v>
      </c>
      <c r="AK6259" s="3" t="s">
        <v>27</v>
      </c>
      <c r="AL6259" s="3">
        <v>17692.477999999999</v>
      </c>
    </row>
    <row r="6260" spans="34:38">
      <c r="AH6260" t="s">
        <v>2217</v>
      </c>
      <c r="AI6260" t="s">
        <v>65</v>
      </c>
      <c r="AJ6260" t="s">
        <v>72</v>
      </c>
      <c r="AK6260" s="3" t="s">
        <v>27</v>
      </c>
      <c r="AL6260" s="3">
        <v>19206.25675094</v>
      </c>
    </row>
    <row r="6261" spans="34:38">
      <c r="AH6261" t="s">
        <v>2217</v>
      </c>
      <c r="AI6261" t="s">
        <v>65</v>
      </c>
      <c r="AJ6261" t="s">
        <v>108</v>
      </c>
      <c r="AK6261" s="3" t="s">
        <v>27</v>
      </c>
      <c r="AL6261" s="3">
        <v>1513.77875094</v>
      </c>
    </row>
    <row r="6262" spans="34:38">
      <c r="AH6262" t="s">
        <v>2217</v>
      </c>
      <c r="AI6262" t="s">
        <v>67</v>
      </c>
      <c r="AJ6262" t="s">
        <v>66</v>
      </c>
      <c r="AK6262" s="3" t="s">
        <v>27</v>
      </c>
      <c r="AL6262" s="3">
        <v>-7072.4780000000001</v>
      </c>
    </row>
    <row r="6263" spans="34:38">
      <c r="AH6263" t="s">
        <v>2217</v>
      </c>
      <c r="AI6263" t="s">
        <v>67</v>
      </c>
      <c r="AJ6263" t="s">
        <v>72</v>
      </c>
      <c r="AK6263" s="3" t="s">
        <v>27</v>
      </c>
      <c r="AL6263" s="3">
        <v>-8326.2694509400008</v>
      </c>
    </row>
    <row r="6264" spans="34:38">
      <c r="AH6264" t="s">
        <v>2217</v>
      </c>
      <c r="AI6264" t="s">
        <v>67</v>
      </c>
      <c r="AJ6264" t="s">
        <v>108</v>
      </c>
      <c r="AK6264" s="3" t="s">
        <v>27</v>
      </c>
      <c r="AL6264" s="3">
        <v>-1253.79145094</v>
      </c>
    </row>
    <row r="6265" spans="34:38">
      <c r="AH6265" t="s">
        <v>2217</v>
      </c>
      <c r="AI6265" t="s">
        <v>68</v>
      </c>
      <c r="AJ6265" t="s">
        <v>66</v>
      </c>
      <c r="AK6265" s="3" t="s">
        <v>27</v>
      </c>
      <c r="AL6265" s="3">
        <v>2350</v>
      </c>
    </row>
    <row r="6266" spans="34:38">
      <c r="AH6266" t="s">
        <v>2217</v>
      </c>
      <c r="AI6266" t="s">
        <v>68</v>
      </c>
      <c r="AJ6266" t="s">
        <v>72</v>
      </c>
      <c r="AK6266" s="3" t="s">
        <v>27</v>
      </c>
      <c r="AL6266" s="3">
        <v>2299.0610000000001</v>
      </c>
    </row>
    <row r="6267" spans="34:38">
      <c r="AH6267" t="s">
        <v>2217</v>
      </c>
      <c r="AI6267" t="s">
        <v>68</v>
      </c>
      <c r="AJ6267" t="s">
        <v>108</v>
      </c>
      <c r="AK6267" s="3" t="s">
        <v>27</v>
      </c>
      <c r="AL6267" s="3">
        <v>-50.939</v>
      </c>
    </row>
    <row r="6268" spans="34:38">
      <c r="AH6268" t="s">
        <v>2217</v>
      </c>
      <c r="AI6268" t="s">
        <v>65</v>
      </c>
      <c r="AJ6268" t="s">
        <v>113</v>
      </c>
      <c r="AK6268" s="3" t="s">
        <v>27</v>
      </c>
      <c r="AL6268" s="3">
        <v>2721.3034279849999</v>
      </c>
    </row>
    <row r="6269" spans="34:38">
      <c r="AH6269" t="s">
        <v>2217</v>
      </c>
      <c r="AI6269" t="s">
        <v>67</v>
      </c>
      <c r="AJ6269" t="s">
        <v>113</v>
      </c>
      <c r="AK6269" s="3" t="s">
        <v>27</v>
      </c>
      <c r="AL6269" s="3">
        <v>0</v>
      </c>
    </row>
    <row r="6270" spans="34:38">
      <c r="AH6270" t="s">
        <v>2217</v>
      </c>
      <c r="AI6270" t="s">
        <v>65</v>
      </c>
      <c r="AJ6270" t="s">
        <v>2303</v>
      </c>
      <c r="AK6270" s="3" t="s">
        <v>27</v>
      </c>
      <c r="AL6270" s="3">
        <v>-790.48446722000006</v>
      </c>
    </row>
    <row r="6271" spans="34:38">
      <c r="AH6271" t="s">
        <v>2217</v>
      </c>
      <c r="AI6271" t="s">
        <v>67</v>
      </c>
      <c r="AJ6271" t="s">
        <v>2303</v>
      </c>
      <c r="AK6271" s="3" t="s">
        <v>27</v>
      </c>
      <c r="AL6271" s="3">
        <v>-1253.79145094</v>
      </c>
    </row>
    <row r="6272" spans="34:38">
      <c r="AH6272" t="s">
        <v>2218</v>
      </c>
      <c r="AI6272" t="s">
        <v>65</v>
      </c>
      <c r="AJ6272" t="s">
        <v>66</v>
      </c>
      <c r="AK6272" s="3" t="s">
        <v>27</v>
      </c>
      <c r="AL6272" s="3">
        <v>17892.477999999999</v>
      </c>
    </row>
    <row r="6273" spans="34:38">
      <c r="AH6273" t="s">
        <v>2218</v>
      </c>
      <c r="AI6273" t="s">
        <v>65</v>
      </c>
      <c r="AJ6273" t="s">
        <v>72</v>
      </c>
      <c r="AK6273" s="3" t="s">
        <v>27</v>
      </c>
      <c r="AL6273" s="3">
        <v>19373.701318740001</v>
      </c>
    </row>
    <row r="6274" spans="34:38">
      <c r="AH6274" t="s">
        <v>2218</v>
      </c>
      <c r="AI6274" t="s">
        <v>65</v>
      </c>
      <c r="AJ6274" t="s">
        <v>108</v>
      </c>
      <c r="AK6274" s="3" t="s">
        <v>27</v>
      </c>
      <c r="AL6274" s="3">
        <v>1481.22331874</v>
      </c>
    </row>
    <row r="6275" spans="34:38">
      <c r="AH6275" t="s">
        <v>2218</v>
      </c>
      <c r="AI6275" t="s">
        <v>67</v>
      </c>
      <c r="AJ6275" t="s">
        <v>66</v>
      </c>
      <c r="AK6275" s="3" t="s">
        <v>27</v>
      </c>
      <c r="AL6275" s="3">
        <v>-7792.5</v>
      </c>
    </row>
    <row r="6276" spans="34:38">
      <c r="AH6276" t="s">
        <v>2218</v>
      </c>
      <c r="AI6276" t="s">
        <v>67</v>
      </c>
      <c r="AJ6276" t="s">
        <v>72</v>
      </c>
      <c r="AK6276" s="3" t="s">
        <v>27</v>
      </c>
      <c r="AL6276" s="3">
        <v>-9003.5292599999993</v>
      </c>
    </row>
    <row r="6277" spans="34:38">
      <c r="AH6277" t="s">
        <v>2218</v>
      </c>
      <c r="AI6277" t="s">
        <v>67</v>
      </c>
      <c r="AJ6277" t="s">
        <v>108</v>
      </c>
      <c r="AK6277" s="3" t="s">
        <v>27</v>
      </c>
      <c r="AL6277" s="3">
        <v>-1211.02926</v>
      </c>
    </row>
    <row r="6278" spans="34:38">
      <c r="AH6278" t="s">
        <v>2218</v>
      </c>
      <c r="AI6278" t="s">
        <v>68</v>
      </c>
      <c r="AJ6278" t="s">
        <v>66</v>
      </c>
      <c r="AK6278" s="3" t="s">
        <v>27</v>
      </c>
      <c r="AL6278" s="3">
        <v>2870.0219999999999</v>
      </c>
    </row>
    <row r="6279" spans="34:38">
      <c r="AH6279" t="s">
        <v>2218</v>
      </c>
      <c r="AI6279" t="s">
        <v>68</v>
      </c>
      <c r="AJ6279" t="s">
        <v>72</v>
      </c>
      <c r="AK6279" s="3" t="s">
        <v>27</v>
      </c>
      <c r="AL6279" s="3">
        <v>2809.15250126</v>
      </c>
    </row>
    <row r="6280" spans="34:38">
      <c r="AH6280" t="s">
        <v>2218</v>
      </c>
      <c r="AI6280" t="s">
        <v>68</v>
      </c>
      <c r="AJ6280" t="s">
        <v>108</v>
      </c>
      <c r="AK6280" s="3" t="s">
        <v>27</v>
      </c>
      <c r="AL6280" s="3">
        <v>-60.869498739999997</v>
      </c>
    </row>
    <row r="6281" spans="34:38">
      <c r="AH6281" t="s">
        <v>2218</v>
      </c>
      <c r="AI6281" t="s">
        <v>65</v>
      </c>
      <c r="AJ6281" t="s">
        <v>113</v>
      </c>
      <c r="AK6281" s="3" t="s">
        <v>27</v>
      </c>
      <c r="AL6281" s="3">
        <v>2696.0389320680001</v>
      </c>
    </row>
    <row r="6282" spans="34:38">
      <c r="AH6282" t="s">
        <v>2218</v>
      </c>
      <c r="AI6282" t="s">
        <v>67</v>
      </c>
      <c r="AJ6282" t="s">
        <v>113</v>
      </c>
      <c r="AK6282" s="3" t="s">
        <v>27</v>
      </c>
      <c r="AL6282" s="3">
        <v>0</v>
      </c>
    </row>
    <row r="6283" spans="34:38">
      <c r="AH6283" t="s">
        <v>2218</v>
      </c>
      <c r="AI6283" t="s">
        <v>65</v>
      </c>
      <c r="AJ6283" t="s">
        <v>2303</v>
      </c>
      <c r="AK6283" s="3" t="s">
        <v>27</v>
      </c>
      <c r="AL6283" s="3">
        <v>-798.423948473</v>
      </c>
    </row>
    <row r="6284" spans="34:38">
      <c r="AH6284" t="s">
        <v>2218</v>
      </c>
      <c r="AI6284" t="s">
        <v>67</v>
      </c>
      <c r="AJ6284" t="s">
        <v>2303</v>
      </c>
      <c r="AK6284" s="3" t="s">
        <v>27</v>
      </c>
      <c r="AL6284" s="3">
        <v>-1211.02926</v>
      </c>
    </row>
    <row r="6285" spans="34:38">
      <c r="AH6285" t="s">
        <v>2218</v>
      </c>
      <c r="AI6285" t="s">
        <v>65</v>
      </c>
      <c r="AJ6285" t="s">
        <v>113</v>
      </c>
      <c r="AK6285" s="3" t="s">
        <v>20</v>
      </c>
      <c r="AL6285" s="3">
        <v>1629.4033234128001</v>
      </c>
    </row>
    <row r="6286" spans="34:38">
      <c r="AH6286" t="s">
        <v>2219</v>
      </c>
      <c r="AI6286" t="s">
        <v>65</v>
      </c>
      <c r="AJ6286" t="s">
        <v>113</v>
      </c>
      <c r="AK6286" s="3" t="s">
        <v>20</v>
      </c>
      <c r="AL6286" s="3">
        <v>1598.7740736599001</v>
      </c>
    </row>
    <row r="6287" spans="34:38">
      <c r="AH6287" t="s">
        <v>2219</v>
      </c>
      <c r="AI6287" t="s">
        <v>65</v>
      </c>
      <c r="AJ6287" t="s">
        <v>66</v>
      </c>
      <c r="AK6287" s="3" t="s">
        <v>27</v>
      </c>
      <c r="AL6287" s="3">
        <v>19462.5</v>
      </c>
    </row>
    <row r="6288" spans="34:38">
      <c r="AH6288" t="s">
        <v>2219</v>
      </c>
      <c r="AI6288" t="s">
        <v>65</v>
      </c>
      <c r="AJ6288" t="s">
        <v>72</v>
      </c>
      <c r="AK6288" s="3" t="s">
        <v>27</v>
      </c>
      <c r="AL6288" s="3">
        <v>20912.447889999999</v>
      </c>
    </row>
    <row r="6289" spans="34:38">
      <c r="AH6289" t="s">
        <v>2219</v>
      </c>
      <c r="AI6289" t="s">
        <v>65</v>
      </c>
      <c r="AJ6289" t="s">
        <v>108</v>
      </c>
      <c r="AK6289" s="3" t="s">
        <v>27</v>
      </c>
      <c r="AL6289" s="3">
        <v>1449.9478899999999</v>
      </c>
    </row>
    <row r="6290" spans="34:38">
      <c r="AH6290" t="s">
        <v>2219</v>
      </c>
      <c r="AI6290" t="s">
        <v>67</v>
      </c>
      <c r="AJ6290" t="s">
        <v>66</v>
      </c>
      <c r="AK6290" s="3" t="s">
        <v>27</v>
      </c>
      <c r="AL6290" s="3">
        <v>-9162.5220000000008</v>
      </c>
    </row>
    <row r="6291" spans="34:38">
      <c r="AH6291" t="s">
        <v>2219</v>
      </c>
      <c r="AI6291" t="s">
        <v>67</v>
      </c>
      <c r="AJ6291" t="s">
        <v>72</v>
      </c>
      <c r="AK6291" s="3" t="s">
        <v>27</v>
      </c>
      <c r="AL6291" s="3">
        <v>-10377.89998774</v>
      </c>
    </row>
    <row r="6292" spans="34:38">
      <c r="AH6292" t="s">
        <v>2219</v>
      </c>
      <c r="AI6292" t="s">
        <v>67</v>
      </c>
      <c r="AJ6292" t="s">
        <v>108</v>
      </c>
      <c r="AK6292" s="3" t="s">
        <v>27</v>
      </c>
      <c r="AL6292" s="3">
        <v>-1215.37798774</v>
      </c>
    </row>
    <row r="6293" spans="34:38">
      <c r="AH6293" t="s">
        <v>2219</v>
      </c>
      <c r="AI6293" t="s">
        <v>68</v>
      </c>
      <c r="AJ6293" t="s">
        <v>66</v>
      </c>
      <c r="AK6293" s="3" t="s">
        <v>27</v>
      </c>
      <c r="AL6293" s="3">
        <v>2670.0219999999999</v>
      </c>
    </row>
    <row r="6294" spans="34:38">
      <c r="AH6294" t="s">
        <v>2219</v>
      </c>
      <c r="AI6294" t="s">
        <v>68</v>
      </c>
      <c r="AJ6294" t="s">
        <v>72</v>
      </c>
      <c r="AK6294" s="3" t="s">
        <v>27</v>
      </c>
      <c r="AL6294" s="3">
        <v>2641.5977977399998</v>
      </c>
    </row>
    <row r="6295" spans="34:38">
      <c r="AH6295" t="s">
        <v>2219</v>
      </c>
      <c r="AI6295" t="s">
        <v>68</v>
      </c>
      <c r="AJ6295" t="s">
        <v>108</v>
      </c>
      <c r="AK6295" s="3" t="s">
        <v>27</v>
      </c>
      <c r="AL6295" s="3">
        <v>-28.424202260000001</v>
      </c>
    </row>
    <row r="6296" spans="34:38">
      <c r="AH6296" t="s">
        <v>2219</v>
      </c>
      <c r="AI6296" t="s">
        <v>65</v>
      </c>
      <c r="AJ6296" t="s">
        <v>113</v>
      </c>
      <c r="AK6296" s="3" t="s">
        <v>27</v>
      </c>
      <c r="AL6296" s="3">
        <v>2666.8368165209999</v>
      </c>
    </row>
    <row r="6297" spans="34:38">
      <c r="AH6297" t="s">
        <v>2219</v>
      </c>
      <c r="AI6297" t="s">
        <v>67</v>
      </c>
      <c r="AJ6297" t="s">
        <v>113</v>
      </c>
      <c r="AK6297" s="3" t="s">
        <v>27</v>
      </c>
      <c r="AL6297" s="3">
        <v>0</v>
      </c>
    </row>
    <row r="6298" spans="34:38">
      <c r="AH6298" t="s">
        <v>2219</v>
      </c>
      <c r="AI6298" t="s">
        <v>65</v>
      </c>
      <c r="AJ6298" t="s">
        <v>2303</v>
      </c>
      <c r="AK6298" s="3" t="s">
        <v>27</v>
      </c>
      <c r="AL6298" s="3">
        <v>-802.28209853400006</v>
      </c>
    </row>
    <row r="6299" spans="34:38">
      <c r="AH6299" t="s">
        <v>2219</v>
      </c>
      <c r="AI6299" t="s">
        <v>67</v>
      </c>
      <c r="AJ6299" t="s">
        <v>2303</v>
      </c>
      <c r="AK6299" s="3" t="s">
        <v>27</v>
      </c>
      <c r="AL6299" s="3">
        <v>-1215.37798774</v>
      </c>
    </row>
    <row r="6300" spans="34:38">
      <c r="AH6300" t="s">
        <v>2220</v>
      </c>
      <c r="AI6300" t="s">
        <v>65</v>
      </c>
      <c r="AJ6300" t="s">
        <v>66</v>
      </c>
      <c r="AK6300" s="3" t="s">
        <v>27</v>
      </c>
      <c r="AL6300" s="3">
        <v>19462.5</v>
      </c>
    </row>
    <row r="6301" spans="34:38">
      <c r="AH6301" t="s">
        <v>2220</v>
      </c>
      <c r="AI6301" t="s">
        <v>65</v>
      </c>
      <c r="AJ6301" t="s">
        <v>72</v>
      </c>
      <c r="AK6301" s="3" t="s">
        <v>27</v>
      </c>
      <c r="AL6301" s="3">
        <v>20912.59951</v>
      </c>
    </row>
    <row r="6302" spans="34:38">
      <c r="AH6302" t="s">
        <v>2220</v>
      </c>
      <c r="AI6302" t="s">
        <v>65</v>
      </c>
      <c r="AJ6302" t="s">
        <v>108</v>
      </c>
      <c r="AK6302" s="3" t="s">
        <v>27</v>
      </c>
      <c r="AL6302" s="3">
        <v>1450.09951</v>
      </c>
    </row>
    <row r="6303" spans="34:38">
      <c r="AH6303" t="s">
        <v>2220</v>
      </c>
      <c r="AI6303" t="s">
        <v>67</v>
      </c>
      <c r="AJ6303" t="s">
        <v>66</v>
      </c>
      <c r="AK6303" s="3" t="s">
        <v>27</v>
      </c>
      <c r="AL6303" s="3">
        <v>-7592.5</v>
      </c>
    </row>
    <row r="6304" spans="34:38">
      <c r="AH6304" t="s">
        <v>2220</v>
      </c>
      <c r="AI6304" t="s">
        <v>67</v>
      </c>
      <c r="AJ6304" t="s">
        <v>72</v>
      </c>
      <c r="AK6304" s="3" t="s">
        <v>27</v>
      </c>
      <c r="AL6304" s="3">
        <v>-8837.0976900000005</v>
      </c>
    </row>
    <row r="6305" spans="34:38">
      <c r="AH6305" t="s">
        <v>2220</v>
      </c>
      <c r="AI6305" t="s">
        <v>67</v>
      </c>
      <c r="AJ6305" t="s">
        <v>108</v>
      </c>
      <c r="AK6305" s="3" t="s">
        <v>27</v>
      </c>
      <c r="AL6305" s="3">
        <v>-1244.5976900000001</v>
      </c>
    </row>
    <row r="6306" spans="34:38">
      <c r="AH6306" t="s">
        <v>2220</v>
      </c>
      <c r="AI6306" t="s">
        <v>68</v>
      </c>
      <c r="AJ6306" t="s">
        <v>66</v>
      </c>
      <c r="AK6306" s="3" t="s">
        <v>27</v>
      </c>
      <c r="AL6306" s="3">
        <v>1100</v>
      </c>
    </row>
    <row r="6307" spans="34:38">
      <c r="AH6307" t="s">
        <v>2220</v>
      </c>
      <c r="AI6307" t="s">
        <v>68</v>
      </c>
      <c r="AJ6307" t="s">
        <v>72</v>
      </c>
      <c r="AK6307" s="3" t="s">
        <v>27</v>
      </c>
      <c r="AL6307" s="3">
        <v>1100.5975000000001</v>
      </c>
    </row>
    <row r="6308" spans="34:38">
      <c r="AH6308" t="s">
        <v>2220</v>
      </c>
      <c r="AI6308" t="s">
        <v>68</v>
      </c>
      <c r="AJ6308" t="s">
        <v>108</v>
      </c>
      <c r="AK6308" s="3" t="s">
        <v>27</v>
      </c>
      <c r="AL6308" s="3">
        <v>0.59750000000000003</v>
      </c>
    </row>
    <row r="6309" spans="34:38">
      <c r="AH6309" t="s">
        <v>2220</v>
      </c>
      <c r="AI6309" t="s">
        <v>65</v>
      </c>
      <c r="AJ6309" t="s">
        <v>113</v>
      </c>
      <c r="AK6309" s="3" t="s">
        <v>27</v>
      </c>
      <c r="AL6309" s="3">
        <v>2667.7169808230001</v>
      </c>
    </row>
    <row r="6310" spans="34:38">
      <c r="AH6310" t="s">
        <v>2220</v>
      </c>
      <c r="AI6310" t="s">
        <v>67</v>
      </c>
      <c r="AJ6310" t="s">
        <v>113</v>
      </c>
      <c r="AK6310" s="3" t="s">
        <v>27</v>
      </c>
      <c r="AL6310" s="3">
        <v>0</v>
      </c>
    </row>
    <row r="6311" spans="34:38">
      <c r="AH6311" t="s">
        <v>2220</v>
      </c>
      <c r="AI6311" t="s">
        <v>65</v>
      </c>
      <c r="AJ6311" t="s">
        <v>2303</v>
      </c>
      <c r="AK6311" s="3" t="s">
        <v>27</v>
      </c>
      <c r="AL6311" s="3">
        <v>-802.86207597099997</v>
      </c>
    </row>
    <row r="6312" spans="34:38">
      <c r="AH6312" t="s">
        <v>2220</v>
      </c>
      <c r="AI6312" t="s">
        <v>67</v>
      </c>
      <c r="AJ6312" t="s">
        <v>2303</v>
      </c>
      <c r="AK6312" s="3" t="s">
        <v>27</v>
      </c>
      <c r="AL6312" s="3">
        <v>-1244.5976900000001</v>
      </c>
    </row>
    <row r="6313" spans="34:38">
      <c r="AH6313" t="s">
        <v>2220</v>
      </c>
      <c r="AI6313" t="s">
        <v>65</v>
      </c>
      <c r="AJ6313" t="s">
        <v>113</v>
      </c>
      <c r="AK6313" s="3" t="s">
        <v>20</v>
      </c>
      <c r="AL6313" s="3">
        <v>1599.1785265673</v>
      </c>
    </row>
    <row r="6314" spans="34:38">
      <c r="AH6314" t="s">
        <v>2221</v>
      </c>
      <c r="AI6314" t="s">
        <v>65</v>
      </c>
      <c r="AJ6314" t="s">
        <v>113</v>
      </c>
      <c r="AK6314" s="3" t="s">
        <v>20</v>
      </c>
      <c r="AL6314" s="3">
        <v>1599.5829794747999</v>
      </c>
    </row>
    <row r="6315" spans="34:38">
      <c r="AH6315" t="s">
        <v>2221</v>
      </c>
      <c r="AI6315" t="s">
        <v>65</v>
      </c>
      <c r="AJ6315" t="s">
        <v>66</v>
      </c>
      <c r="AK6315" s="3" t="s">
        <v>27</v>
      </c>
      <c r="AL6315" s="3">
        <v>19462.5</v>
      </c>
    </row>
    <row r="6316" spans="34:38">
      <c r="AH6316" t="s">
        <v>2221</v>
      </c>
      <c r="AI6316" t="s">
        <v>65</v>
      </c>
      <c r="AJ6316" t="s">
        <v>72</v>
      </c>
      <c r="AK6316" s="3" t="s">
        <v>27</v>
      </c>
      <c r="AL6316" s="3">
        <v>20916.351745</v>
      </c>
    </row>
    <row r="6317" spans="34:38">
      <c r="AH6317" t="s">
        <v>2221</v>
      </c>
      <c r="AI6317" t="s">
        <v>65</v>
      </c>
      <c r="AJ6317" t="s">
        <v>108</v>
      </c>
      <c r="AK6317" s="3" t="s">
        <v>27</v>
      </c>
      <c r="AL6317" s="3">
        <v>1453.8517449999999</v>
      </c>
    </row>
    <row r="6318" spans="34:38">
      <c r="AH6318" t="s">
        <v>2221</v>
      </c>
      <c r="AI6318" t="s">
        <v>67</v>
      </c>
      <c r="AJ6318" t="s">
        <v>66</v>
      </c>
      <c r="AK6318" s="3" t="s">
        <v>27</v>
      </c>
      <c r="AL6318" s="3">
        <v>-7592.5</v>
      </c>
    </row>
    <row r="6319" spans="34:38">
      <c r="AH6319" t="s">
        <v>2221</v>
      </c>
      <c r="AI6319" t="s">
        <v>67</v>
      </c>
      <c r="AJ6319" t="s">
        <v>72</v>
      </c>
      <c r="AK6319" s="3" t="s">
        <v>27</v>
      </c>
      <c r="AL6319" s="3">
        <v>-8837.4182249999994</v>
      </c>
    </row>
    <row r="6320" spans="34:38">
      <c r="AH6320" t="s">
        <v>2221</v>
      </c>
      <c r="AI6320" t="s">
        <v>67</v>
      </c>
      <c r="AJ6320" t="s">
        <v>108</v>
      </c>
      <c r="AK6320" s="3" t="s">
        <v>27</v>
      </c>
      <c r="AL6320" s="3">
        <v>-1244.9182249999999</v>
      </c>
    </row>
    <row r="6321" spans="34:38">
      <c r="AH6321" t="s">
        <v>2221</v>
      </c>
      <c r="AI6321" t="s">
        <v>68</v>
      </c>
      <c r="AJ6321" t="s">
        <v>66</v>
      </c>
      <c r="AK6321" s="3" t="s">
        <v>27</v>
      </c>
      <c r="AL6321" s="3">
        <v>1100</v>
      </c>
    </row>
    <row r="6322" spans="34:38">
      <c r="AH6322" t="s">
        <v>2221</v>
      </c>
      <c r="AI6322" t="s">
        <v>68</v>
      </c>
      <c r="AJ6322" t="s">
        <v>72</v>
      </c>
      <c r="AK6322" s="3" t="s">
        <v>27</v>
      </c>
      <c r="AL6322" s="3">
        <v>1100.848</v>
      </c>
    </row>
    <row r="6323" spans="34:38">
      <c r="AH6323" t="s">
        <v>2221</v>
      </c>
      <c r="AI6323" t="s">
        <v>68</v>
      </c>
      <c r="AJ6323" t="s">
        <v>108</v>
      </c>
      <c r="AK6323" s="3" t="s">
        <v>27</v>
      </c>
      <c r="AL6323" s="3">
        <v>0.84799999999999998</v>
      </c>
    </row>
    <row r="6324" spans="34:38">
      <c r="AH6324" t="s">
        <v>2221</v>
      </c>
      <c r="AI6324" t="s">
        <v>65</v>
      </c>
      <c r="AJ6324" t="s">
        <v>113</v>
      </c>
      <c r="AK6324" s="3" t="s">
        <v>27</v>
      </c>
      <c r="AL6324" s="3">
        <v>2668.5971451340001</v>
      </c>
    </row>
    <row r="6325" spans="34:38">
      <c r="AH6325" t="s">
        <v>2221</v>
      </c>
      <c r="AI6325" t="s">
        <v>67</v>
      </c>
      <c r="AJ6325" t="s">
        <v>113</v>
      </c>
      <c r="AK6325" s="3" t="s">
        <v>27</v>
      </c>
      <c r="AL6325" s="3">
        <v>0</v>
      </c>
    </row>
    <row r="6326" spans="34:38">
      <c r="AH6326" t="s">
        <v>2221</v>
      </c>
      <c r="AI6326" t="s">
        <v>65</v>
      </c>
      <c r="AJ6326" t="s">
        <v>2303</v>
      </c>
      <c r="AK6326" s="3" t="s">
        <v>27</v>
      </c>
      <c r="AL6326" s="3">
        <v>-794.91014410800005</v>
      </c>
    </row>
    <row r="6327" spans="34:38">
      <c r="AH6327" t="s">
        <v>2221</v>
      </c>
      <c r="AI6327" t="s">
        <v>67</v>
      </c>
      <c r="AJ6327" t="s">
        <v>2303</v>
      </c>
      <c r="AK6327" s="3" t="s">
        <v>27</v>
      </c>
      <c r="AL6327" s="3">
        <v>-1244.9182249999999</v>
      </c>
    </row>
    <row r="6328" spans="34:38">
      <c r="AH6328" t="s">
        <v>2222</v>
      </c>
      <c r="AI6328" t="s">
        <v>65</v>
      </c>
      <c r="AJ6328" t="s">
        <v>66</v>
      </c>
      <c r="AK6328" s="3" t="s">
        <v>27</v>
      </c>
      <c r="AL6328" s="3">
        <v>19312.5</v>
      </c>
    </row>
    <row r="6329" spans="34:38">
      <c r="AH6329" t="s">
        <v>2222</v>
      </c>
      <c r="AI6329" t="s">
        <v>65</v>
      </c>
      <c r="AJ6329" t="s">
        <v>72</v>
      </c>
      <c r="AK6329" s="3" t="s">
        <v>27</v>
      </c>
      <c r="AL6329" s="3">
        <v>20763.357230000001</v>
      </c>
    </row>
    <row r="6330" spans="34:38">
      <c r="AH6330" t="s">
        <v>2222</v>
      </c>
      <c r="AI6330" t="s">
        <v>65</v>
      </c>
      <c r="AJ6330" t="s">
        <v>108</v>
      </c>
      <c r="AK6330" s="3" t="s">
        <v>27</v>
      </c>
      <c r="AL6330" s="3">
        <v>1450.8572300000001</v>
      </c>
    </row>
    <row r="6331" spans="34:38">
      <c r="AH6331" t="s">
        <v>2222</v>
      </c>
      <c r="AI6331" t="s">
        <v>67</v>
      </c>
      <c r="AJ6331" t="s">
        <v>66</v>
      </c>
      <c r="AK6331" s="3" t="s">
        <v>27</v>
      </c>
      <c r="AL6331" s="3">
        <v>-7442.5</v>
      </c>
    </row>
    <row r="6332" spans="34:38">
      <c r="AH6332" t="s">
        <v>2222</v>
      </c>
      <c r="AI6332" t="s">
        <v>67</v>
      </c>
      <c r="AJ6332" t="s">
        <v>72</v>
      </c>
      <c r="AK6332" s="3" t="s">
        <v>27</v>
      </c>
      <c r="AL6332" s="3">
        <v>-8685.4426299999996</v>
      </c>
    </row>
    <row r="6333" spans="34:38">
      <c r="AH6333" t="s">
        <v>2222</v>
      </c>
      <c r="AI6333" t="s">
        <v>67</v>
      </c>
      <c r="AJ6333" t="s">
        <v>108</v>
      </c>
      <c r="AK6333" s="3" t="s">
        <v>27</v>
      </c>
      <c r="AL6333" s="3">
        <v>-1242.94263</v>
      </c>
    </row>
    <row r="6334" spans="34:38">
      <c r="AH6334" t="s">
        <v>2222</v>
      </c>
      <c r="AI6334" t="s">
        <v>68</v>
      </c>
      <c r="AJ6334" t="s">
        <v>66</v>
      </c>
      <c r="AK6334" s="3" t="s">
        <v>27</v>
      </c>
      <c r="AL6334" s="3">
        <v>1100</v>
      </c>
    </row>
    <row r="6335" spans="34:38">
      <c r="AH6335" t="s">
        <v>2222</v>
      </c>
      <c r="AI6335" t="s">
        <v>68</v>
      </c>
      <c r="AJ6335" t="s">
        <v>72</v>
      </c>
      <c r="AK6335" s="3" t="s">
        <v>27</v>
      </c>
      <c r="AL6335" s="3">
        <v>1100.6824999999999</v>
      </c>
    </row>
    <row r="6336" spans="34:38">
      <c r="AH6336" t="s">
        <v>2222</v>
      </c>
      <c r="AI6336" t="s">
        <v>68</v>
      </c>
      <c r="AJ6336" t="s">
        <v>108</v>
      </c>
      <c r="AK6336" s="3" t="s">
        <v>27</v>
      </c>
      <c r="AL6336" s="3">
        <v>0.6825</v>
      </c>
    </row>
    <row r="6337" spans="34:38">
      <c r="AH6337" t="s">
        <v>2222</v>
      </c>
      <c r="AI6337" t="s">
        <v>65</v>
      </c>
      <c r="AJ6337" t="s">
        <v>113</v>
      </c>
      <c r="AK6337" s="3" t="s">
        <v>27</v>
      </c>
      <c r="AL6337" s="3">
        <v>2661.7346898961</v>
      </c>
    </row>
    <row r="6338" spans="34:38">
      <c r="AH6338" t="s">
        <v>2222</v>
      </c>
      <c r="AI6338" t="s">
        <v>67</v>
      </c>
      <c r="AJ6338" t="s">
        <v>113</v>
      </c>
      <c r="AK6338" s="3" t="s">
        <v>27</v>
      </c>
      <c r="AL6338" s="3">
        <v>0</v>
      </c>
    </row>
    <row r="6339" spans="34:38">
      <c r="AH6339" t="s">
        <v>2222</v>
      </c>
      <c r="AI6339" t="s">
        <v>65</v>
      </c>
      <c r="AJ6339" t="s">
        <v>2303</v>
      </c>
      <c r="AK6339" s="3" t="s">
        <v>27</v>
      </c>
      <c r="AL6339" s="3">
        <v>-791.61475291310001</v>
      </c>
    </row>
    <row r="6340" spans="34:38">
      <c r="AH6340" t="s">
        <v>2222</v>
      </c>
      <c r="AI6340" t="s">
        <v>67</v>
      </c>
      <c r="AJ6340" t="s">
        <v>2303</v>
      </c>
      <c r="AK6340" s="3" t="s">
        <v>27</v>
      </c>
      <c r="AL6340" s="3">
        <v>-1242.94263</v>
      </c>
    </row>
    <row r="6341" spans="34:38">
      <c r="AH6341" t="s">
        <v>2222</v>
      </c>
      <c r="AI6341" t="s">
        <v>65</v>
      </c>
      <c r="AJ6341" t="s">
        <v>113</v>
      </c>
      <c r="AK6341" s="3" t="s">
        <v>20</v>
      </c>
      <c r="AL6341" s="3">
        <v>1592.2448128505</v>
      </c>
    </row>
    <row r="6342" spans="34:38">
      <c r="AH6342" t="s">
        <v>2223</v>
      </c>
      <c r="AI6342" t="s">
        <v>65</v>
      </c>
      <c r="AJ6342" t="s">
        <v>113</v>
      </c>
      <c r="AK6342" s="3" t="s">
        <v>20</v>
      </c>
      <c r="AL6342" s="3">
        <v>1600.8800799378</v>
      </c>
    </row>
    <row r="6343" spans="34:38">
      <c r="AH6343" t="s">
        <v>2223</v>
      </c>
      <c r="AI6343" t="s">
        <v>65</v>
      </c>
      <c r="AJ6343" t="s">
        <v>66</v>
      </c>
      <c r="AK6343" s="3" t="s">
        <v>27</v>
      </c>
      <c r="AL6343" s="3">
        <v>19612.5</v>
      </c>
    </row>
    <row r="6344" spans="34:38">
      <c r="AH6344" t="s">
        <v>2223</v>
      </c>
      <c r="AI6344" t="s">
        <v>65</v>
      </c>
      <c r="AJ6344" t="s">
        <v>72</v>
      </c>
      <c r="AK6344" s="3" t="s">
        <v>27</v>
      </c>
      <c r="AL6344" s="3">
        <v>21063.065825000001</v>
      </c>
    </row>
    <row r="6345" spans="34:38">
      <c r="AH6345" t="s">
        <v>2223</v>
      </c>
      <c r="AI6345" t="s">
        <v>65</v>
      </c>
      <c r="AJ6345" t="s">
        <v>108</v>
      </c>
      <c r="AK6345" s="3" t="s">
        <v>27</v>
      </c>
      <c r="AL6345" s="3">
        <v>1450.5658249999999</v>
      </c>
    </row>
    <row r="6346" spans="34:38">
      <c r="AH6346" t="s">
        <v>2223</v>
      </c>
      <c r="AI6346" t="s">
        <v>67</v>
      </c>
      <c r="AJ6346" t="s">
        <v>66</v>
      </c>
      <c r="AK6346" s="3" t="s">
        <v>27</v>
      </c>
      <c r="AL6346" s="3">
        <v>-7942.5</v>
      </c>
    </row>
    <row r="6347" spans="34:38">
      <c r="AH6347" t="s">
        <v>2223</v>
      </c>
      <c r="AI6347" t="s">
        <v>67</v>
      </c>
      <c r="AJ6347" t="s">
        <v>72</v>
      </c>
      <c r="AK6347" s="3" t="s">
        <v>27</v>
      </c>
      <c r="AL6347" s="3">
        <v>-9187.5396049999999</v>
      </c>
    </row>
    <row r="6348" spans="34:38">
      <c r="AH6348" t="s">
        <v>2223</v>
      </c>
      <c r="AI6348" t="s">
        <v>67</v>
      </c>
      <c r="AJ6348" t="s">
        <v>108</v>
      </c>
      <c r="AK6348" s="3" t="s">
        <v>27</v>
      </c>
      <c r="AL6348" s="3">
        <v>-1245.0396049999999</v>
      </c>
    </row>
    <row r="6349" spans="34:38">
      <c r="AH6349" t="s">
        <v>2223</v>
      </c>
      <c r="AI6349" t="s">
        <v>68</v>
      </c>
      <c r="AJ6349" t="s">
        <v>66</v>
      </c>
      <c r="AK6349" s="3" t="s">
        <v>27</v>
      </c>
      <c r="AL6349" s="3">
        <v>1300</v>
      </c>
    </row>
    <row r="6350" spans="34:38">
      <c r="AH6350" t="s">
        <v>2223</v>
      </c>
      <c r="AI6350" t="s">
        <v>68</v>
      </c>
      <c r="AJ6350" t="s">
        <v>72</v>
      </c>
      <c r="AK6350" s="3" t="s">
        <v>27</v>
      </c>
      <c r="AL6350" s="3">
        <v>1302.2529999999999</v>
      </c>
    </row>
    <row r="6351" spans="34:38">
      <c r="AH6351" t="s">
        <v>2223</v>
      </c>
      <c r="AI6351" t="s">
        <v>68</v>
      </c>
      <c r="AJ6351" t="s">
        <v>108</v>
      </c>
      <c r="AK6351" s="3" t="s">
        <v>27</v>
      </c>
      <c r="AL6351" s="3">
        <v>2.2530000000000001</v>
      </c>
    </row>
    <row r="6352" spans="34:38">
      <c r="AH6352" t="s">
        <v>2223</v>
      </c>
      <c r="AI6352" t="s">
        <v>65</v>
      </c>
      <c r="AJ6352" t="s">
        <v>113</v>
      </c>
      <c r="AK6352" s="3" t="s">
        <v>27</v>
      </c>
      <c r="AL6352" s="3">
        <v>2670.8456683970999</v>
      </c>
    </row>
    <row r="6353" spans="34:38">
      <c r="AH6353" t="s">
        <v>2223</v>
      </c>
      <c r="AI6353" t="s">
        <v>67</v>
      </c>
      <c r="AJ6353" t="s">
        <v>113</v>
      </c>
      <c r="AK6353" s="3" t="s">
        <v>27</v>
      </c>
      <c r="AL6353" s="3">
        <v>0</v>
      </c>
    </row>
    <row r="6354" spans="34:38">
      <c r="AH6354" t="s">
        <v>2223</v>
      </c>
      <c r="AI6354" t="s">
        <v>65</v>
      </c>
      <c r="AJ6354" t="s">
        <v>2303</v>
      </c>
      <c r="AK6354" s="3" t="s">
        <v>27</v>
      </c>
      <c r="AL6354" s="3">
        <v>-800.35699168309998</v>
      </c>
    </row>
    <row r="6355" spans="34:38">
      <c r="AH6355" t="s">
        <v>2223</v>
      </c>
      <c r="AI6355" t="s">
        <v>67</v>
      </c>
      <c r="AJ6355" t="s">
        <v>2303</v>
      </c>
      <c r="AK6355" s="3" t="s">
        <v>27</v>
      </c>
      <c r="AL6355" s="3">
        <v>-1245.0396049999999</v>
      </c>
    </row>
    <row r="6356" spans="34:38">
      <c r="AH6356" t="s">
        <v>2224</v>
      </c>
      <c r="AI6356" t="s">
        <v>65</v>
      </c>
      <c r="AJ6356" t="s">
        <v>66</v>
      </c>
      <c r="AK6356" s="3" t="s">
        <v>27</v>
      </c>
      <c r="AL6356" s="3">
        <v>20612.5</v>
      </c>
    </row>
    <row r="6357" spans="34:38">
      <c r="AH6357" t="s">
        <v>2224</v>
      </c>
      <c r="AI6357" t="s">
        <v>65</v>
      </c>
      <c r="AJ6357" t="s">
        <v>72</v>
      </c>
      <c r="AK6357" s="3" t="s">
        <v>27</v>
      </c>
      <c r="AL6357" s="3">
        <v>22051.617504999998</v>
      </c>
    </row>
    <row r="6358" spans="34:38">
      <c r="AH6358" t="s">
        <v>2224</v>
      </c>
      <c r="AI6358" t="s">
        <v>65</v>
      </c>
      <c r="AJ6358" t="s">
        <v>108</v>
      </c>
      <c r="AK6358" s="3" t="s">
        <v>27</v>
      </c>
      <c r="AL6358" s="3">
        <v>1439.1175049999999</v>
      </c>
    </row>
    <row r="6359" spans="34:38">
      <c r="AH6359" t="s">
        <v>2224</v>
      </c>
      <c r="AI6359" t="s">
        <v>67</v>
      </c>
      <c r="AJ6359" t="s">
        <v>66</v>
      </c>
      <c r="AK6359" s="3" t="s">
        <v>27</v>
      </c>
      <c r="AL6359" s="3">
        <v>-8642.5</v>
      </c>
    </row>
    <row r="6360" spans="34:38">
      <c r="AH6360" t="s">
        <v>2224</v>
      </c>
      <c r="AI6360" t="s">
        <v>67</v>
      </c>
      <c r="AJ6360" t="s">
        <v>72</v>
      </c>
      <c r="AK6360" s="3" t="s">
        <v>27</v>
      </c>
      <c r="AL6360" s="3">
        <v>-9872.9902050000001</v>
      </c>
    </row>
    <row r="6361" spans="34:38">
      <c r="AH6361" t="s">
        <v>2224</v>
      </c>
      <c r="AI6361" t="s">
        <v>67</v>
      </c>
      <c r="AJ6361" t="s">
        <v>108</v>
      </c>
      <c r="AK6361" s="3" t="s">
        <v>27</v>
      </c>
      <c r="AL6361" s="3">
        <v>-1230.4902050000001</v>
      </c>
    </row>
    <row r="6362" spans="34:38">
      <c r="AH6362" t="s">
        <v>2224</v>
      </c>
      <c r="AI6362" t="s">
        <v>68</v>
      </c>
      <c r="AJ6362" t="s">
        <v>66</v>
      </c>
      <c r="AK6362" s="3" t="s">
        <v>27</v>
      </c>
      <c r="AL6362" s="3">
        <v>1000</v>
      </c>
    </row>
    <row r="6363" spans="34:38">
      <c r="AH6363" t="s">
        <v>2224</v>
      </c>
      <c r="AI6363" t="s">
        <v>68</v>
      </c>
      <c r="AJ6363" t="s">
        <v>72</v>
      </c>
      <c r="AK6363" s="3" t="s">
        <v>27</v>
      </c>
      <c r="AL6363" s="3">
        <v>1001.9355</v>
      </c>
    </row>
    <row r="6364" spans="34:38">
      <c r="AH6364" t="s">
        <v>2224</v>
      </c>
      <c r="AI6364" t="s">
        <v>68</v>
      </c>
      <c r="AJ6364" t="s">
        <v>108</v>
      </c>
      <c r="AK6364" s="3" t="s">
        <v>27</v>
      </c>
      <c r="AL6364" s="3">
        <v>1.9355</v>
      </c>
    </row>
    <row r="6365" spans="34:38">
      <c r="AH6365" t="s">
        <v>2224</v>
      </c>
      <c r="AI6365" t="s">
        <v>65</v>
      </c>
      <c r="AJ6365" t="s">
        <v>113</v>
      </c>
      <c r="AK6365" s="3" t="s">
        <v>27</v>
      </c>
      <c r="AL6365" s="3">
        <v>2670.7383043831001</v>
      </c>
    </row>
    <row r="6366" spans="34:38">
      <c r="AH6366" t="s">
        <v>2224</v>
      </c>
      <c r="AI6366" t="s">
        <v>67</v>
      </c>
      <c r="AJ6366" t="s">
        <v>113</v>
      </c>
      <c r="AK6366" s="3" t="s">
        <v>27</v>
      </c>
      <c r="AL6366" s="3">
        <v>0</v>
      </c>
    </row>
    <row r="6367" spans="34:38">
      <c r="AH6367" t="s">
        <v>2224</v>
      </c>
      <c r="AI6367" t="s">
        <v>65</v>
      </c>
      <c r="AJ6367" t="s">
        <v>2303</v>
      </c>
      <c r="AK6367" s="3" t="s">
        <v>27</v>
      </c>
      <c r="AL6367" s="3">
        <v>-807.68978131710003</v>
      </c>
    </row>
    <row r="6368" spans="34:38">
      <c r="AH6368" t="s">
        <v>2224</v>
      </c>
      <c r="AI6368" t="s">
        <v>67</v>
      </c>
      <c r="AJ6368" t="s">
        <v>2303</v>
      </c>
      <c r="AK6368" s="3" t="s">
        <v>27</v>
      </c>
      <c r="AL6368" s="3">
        <v>-1230.4902050000001</v>
      </c>
    </row>
    <row r="6369" spans="34:38">
      <c r="AH6369" t="s">
        <v>2224</v>
      </c>
      <c r="AI6369" t="s">
        <v>65</v>
      </c>
      <c r="AJ6369" t="s">
        <v>113</v>
      </c>
      <c r="AK6369" s="3" t="s">
        <v>20</v>
      </c>
      <c r="AL6369" s="3">
        <v>1597.9184475233999</v>
      </c>
    </row>
    <row r="6370" spans="34:38">
      <c r="AH6370" t="s">
        <v>2225</v>
      </c>
      <c r="AI6370" t="s">
        <v>65</v>
      </c>
      <c r="AJ6370" t="s">
        <v>113</v>
      </c>
      <c r="AK6370" s="3" t="s">
        <v>20</v>
      </c>
      <c r="AL6370" s="3">
        <v>1607.0793374156999</v>
      </c>
    </row>
    <row r="6371" spans="34:38">
      <c r="AH6371" t="s">
        <v>2225</v>
      </c>
      <c r="AI6371" t="s">
        <v>65</v>
      </c>
      <c r="AJ6371" t="s">
        <v>66</v>
      </c>
      <c r="AK6371" s="3" t="s">
        <v>27</v>
      </c>
      <c r="AL6371" s="3">
        <v>20162.5</v>
      </c>
    </row>
    <row r="6372" spans="34:38">
      <c r="AH6372" t="s">
        <v>2225</v>
      </c>
      <c r="AI6372" t="s">
        <v>65</v>
      </c>
      <c r="AJ6372" t="s">
        <v>72</v>
      </c>
      <c r="AK6372" s="3" t="s">
        <v>27</v>
      </c>
      <c r="AL6372" s="3">
        <v>21605.47366</v>
      </c>
    </row>
    <row r="6373" spans="34:38">
      <c r="AH6373" t="s">
        <v>2225</v>
      </c>
      <c r="AI6373" t="s">
        <v>65</v>
      </c>
      <c r="AJ6373" t="s">
        <v>108</v>
      </c>
      <c r="AK6373" s="3" t="s">
        <v>27</v>
      </c>
      <c r="AL6373" s="3">
        <v>1442.9736600000001</v>
      </c>
    </row>
    <row r="6374" spans="34:38">
      <c r="AH6374" t="s">
        <v>2225</v>
      </c>
      <c r="AI6374" t="s">
        <v>67</v>
      </c>
      <c r="AJ6374" t="s">
        <v>66</v>
      </c>
      <c r="AK6374" s="3" t="s">
        <v>27</v>
      </c>
      <c r="AL6374" s="3">
        <v>-7192.5</v>
      </c>
    </row>
    <row r="6375" spans="34:38">
      <c r="AH6375" t="s">
        <v>2225</v>
      </c>
      <c r="AI6375" t="s">
        <v>67</v>
      </c>
      <c r="AJ6375" t="s">
        <v>72</v>
      </c>
      <c r="AK6375" s="3" t="s">
        <v>27</v>
      </c>
      <c r="AL6375" s="3">
        <v>-8424.7401200000004</v>
      </c>
    </row>
    <row r="6376" spans="34:38">
      <c r="AH6376" t="s">
        <v>2225</v>
      </c>
      <c r="AI6376" t="s">
        <v>67</v>
      </c>
      <c r="AJ6376" t="s">
        <v>108</v>
      </c>
      <c r="AK6376" s="3" t="s">
        <v>27</v>
      </c>
      <c r="AL6376" s="3">
        <v>-1232.2401199999999</v>
      </c>
    </row>
    <row r="6377" spans="34:38">
      <c r="AH6377" t="s">
        <v>2225</v>
      </c>
      <c r="AI6377" t="s">
        <v>68</v>
      </c>
      <c r="AJ6377" t="s">
        <v>66</v>
      </c>
      <c r="AK6377" s="3" t="s">
        <v>27</v>
      </c>
      <c r="AL6377" s="3">
        <v>0</v>
      </c>
    </row>
    <row r="6378" spans="34:38">
      <c r="AH6378" t="s">
        <v>2225</v>
      </c>
      <c r="AI6378" t="s">
        <v>68</v>
      </c>
      <c r="AJ6378" t="s">
        <v>72</v>
      </c>
      <c r="AK6378" s="3" t="s">
        <v>27</v>
      </c>
      <c r="AL6378" s="3">
        <v>0</v>
      </c>
    </row>
    <row r="6379" spans="34:38">
      <c r="AH6379" t="s">
        <v>2225</v>
      </c>
      <c r="AI6379" t="s">
        <v>68</v>
      </c>
      <c r="AJ6379" t="s">
        <v>108</v>
      </c>
      <c r="AK6379" s="3" t="s">
        <v>27</v>
      </c>
      <c r="AL6379" s="3">
        <v>0</v>
      </c>
    </row>
    <row r="6380" spans="34:38">
      <c r="AH6380" t="s">
        <v>2225</v>
      </c>
      <c r="AI6380" t="s">
        <v>65</v>
      </c>
      <c r="AJ6380" t="s">
        <v>113</v>
      </c>
      <c r="AK6380" s="3" t="s">
        <v>27</v>
      </c>
      <c r="AL6380" s="3">
        <v>2680.3749056770998</v>
      </c>
    </row>
    <row r="6381" spans="34:38">
      <c r="AH6381" t="s">
        <v>2225</v>
      </c>
      <c r="AI6381" t="s">
        <v>67</v>
      </c>
      <c r="AJ6381" t="s">
        <v>113</v>
      </c>
      <c r="AK6381" s="3" t="s">
        <v>27</v>
      </c>
      <c r="AL6381" s="3">
        <v>0</v>
      </c>
    </row>
    <row r="6382" spans="34:38">
      <c r="AH6382" t="s">
        <v>2225</v>
      </c>
      <c r="AI6382" t="s">
        <v>65</v>
      </c>
      <c r="AJ6382" t="s">
        <v>2303</v>
      </c>
      <c r="AK6382" s="3" t="s">
        <v>27</v>
      </c>
      <c r="AL6382" s="3">
        <v>-813.87275405109995</v>
      </c>
    </row>
    <row r="6383" spans="34:38">
      <c r="AH6383" t="s">
        <v>2225</v>
      </c>
      <c r="AI6383" t="s">
        <v>67</v>
      </c>
      <c r="AJ6383" t="s">
        <v>2303</v>
      </c>
      <c r="AK6383" s="3" t="s">
        <v>27</v>
      </c>
      <c r="AL6383" s="3">
        <v>-1232.2401199999999</v>
      </c>
    </row>
    <row r="6384" spans="34:38">
      <c r="AH6384" t="s">
        <v>2226</v>
      </c>
      <c r="AI6384" t="s">
        <v>65</v>
      </c>
      <c r="AJ6384" t="s">
        <v>66</v>
      </c>
      <c r="AK6384" s="3" t="s">
        <v>27</v>
      </c>
      <c r="AL6384" s="3">
        <v>20312.5</v>
      </c>
    </row>
    <row r="6385" spans="34:38">
      <c r="AH6385" t="s">
        <v>2226</v>
      </c>
      <c r="AI6385" t="s">
        <v>65</v>
      </c>
      <c r="AJ6385" t="s">
        <v>72</v>
      </c>
      <c r="AK6385" s="3" t="s">
        <v>27</v>
      </c>
      <c r="AL6385" s="3">
        <v>21778.004475000002</v>
      </c>
    </row>
    <row r="6386" spans="34:38">
      <c r="AH6386" t="s">
        <v>2226</v>
      </c>
      <c r="AI6386" t="s">
        <v>65</v>
      </c>
      <c r="AJ6386" t="s">
        <v>108</v>
      </c>
      <c r="AK6386" s="3" t="s">
        <v>27</v>
      </c>
      <c r="AL6386" s="3">
        <v>1465.504475</v>
      </c>
    </row>
    <row r="6387" spans="34:38">
      <c r="AH6387" t="s">
        <v>2226</v>
      </c>
      <c r="AI6387" t="s">
        <v>67</v>
      </c>
      <c r="AJ6387" t="s">
        <v>66</v>
      </c>
      <c r="AK6387" s="3" t="s">
        <v>27</v>
      </c>
      <c r="AL6387" s="3">
        <v>-7792.5</v>
      </c>
    </row>
    <row r="6388" spans="34:38">
      <c r="AH6388" t="s">
        <v>2226</v>
      </c>
      <c r="AI6388" t="s">
        <v>67</v>
      </c>
      <c r="AJ6388" t="s">
        <v>72</v>
      </c>
      <c r="AK6388" s="3" t="s">
        <v>27</v>
      </c>
      <c r="AL6388" s="3">
        <v>-9057.6499349999995</v>
      </c>
    </row>
    <row r="6389" spans="34:38">
      <c r="AH6389" t="s">
        <v>2226</v>
      </c>
      <c r="AI6389" t="s">
        <v>67</v>
      </c>
      <c r="AJ6389" t="s">
        <v>108</v>
      </c>
      <c r="AK6389" s="3" t="s">
        <v>27</v>
      </c>
      <c r="AL6389" s="3">
        <v>-1265.1499349999999</v>
      </c>
    </row>
    <row r="6390" spans="34:38">
      <c r="AH6390" t="s">
        <v>2226</v>
      </c>
      <c r="AI6390" t="s">
        <v>68</v>
      </c>
      <c r="AJ6390" t="s">
        <v>66</v>
      </c>
      <c r="AK6390" s="3" t="s">
        <v>27</v>
      </c>
      <c r="AL6390" s="3">
        <v>500</v>
      </c>
    </row>
    <row r="6391" spans="34:38">
      <c r="AH6391" t="s">
        <v>2226</v>
      </c>
      <c r="AI6391" t="s">
        <v>68</v>
      </c>
      <c r="AJ6391" t="s">
        <v>72</v>
      </c>
      <c r="AK6391" s="3" t="s">
        <v>27</v>
      </c>
      <c r="AL6391" s="3">
        <v>507.80599999999998</v>
      </c>
    </row>
    <row r="6392" spans="34:38">
      <c r="AH6392" t="s">
        <v>2226</v>
      </c>
      <c r="AI6392" t="s">
        <v>68</v>
      </c>
      <c r="AJ6392" t="s">
        <v>108</v>
      </c>
      <c r="AK6392" s="3" t="s">
        <v>27</v>
      </c>
      <c r="AL6392" s="3">
        <v>7.806</v>
      </c>
    </row>
    <row r="6393" spans="34:38">
      <c r="AH6393" t="s">
        <v>2226</v>
      </c>
      <c r="AI6393" t="s">
        <v>65</v>
      </c>
      <c r="AJ6393" t="s">
        <v>113</v>
      </c>
      <c r="AK6393" s="3" t="s">
        <v>27</v>
      </c>
      <c r="AL6393" s="3">
        <v>2707.3065423231001</v>
      </c>
    </row>
    <row r="6394" spans="34:38">
      <c r="AH6394" t="s">
        <v>2226</v>
      </c>
      <c r="AI6394" t="s">
        <v>67</v>
      </c>
      <c r="AJ6394" t="s">
        <v>113</v>
      </c>
      <c r="AK6394" s="3" t="s">
        <v>27</v>
      </c>
      <c r="AL6394" s="3">
        <v>0</v>
      </c>
    </row>
    <row r="6395" spans="34:38">
      <c r="AH6395" t="s">
        <v>2226</v>
      </c>
      <c r="AI6395" t="s">
        <v>65</v>
      </c>
      <c r="AJ6395" t="s">
        <v>2303</v>
      </c>
      <c r="AK6395" s="3" t="s">
        <v>27</v>
      </c>
      <c r="AL6395" s="3">
        <v>-822.71528777109995</v>
      </c>
    </row>
    <row r="6396" spans="34:38">
      <c r="AH6396" t="s">
        <v>2226</v>
      </c>
      <c r="AI6396" t="s">
        <v>67</v>
      </c>
      <c r="AJ6396" t="s">
        <v>2303</v>
      </c>
      <c r="AK6396" s="3" t="s">
        <v>27</v>
      </c>
      <c r="AL6396" s="3">
        <v>-1265.1499349999999</v>
      </c>
    </row>
    <row r="6397" spans="34:38">
      <c r="AH6397" t="s">
        <v>2226</v>
      </c>
      <c r="AI6397" t="s">
        <v>65</v>
      </c>
      <c r="AJ6397" t="s">
        <v>113</v>
      </c>
      <c r="AK6397" s="3" t="s">
        <v>20</v>
      </c>
      <c r="AL6397" s="3">
        <v>1632.5838398551</v>
      </c>
    </row>
    <row r="6398" spans="34:38">
      <c r="AH6398" t="s">
        <v>2227</v>
      </c>
      <c r="AI6398" t="s">
        <v>65</v>
      </c>
      <c r="AJ6398" t="s">
        <v>113</v>
      </c>
      <c r="AK6398" s="3" t="s">
        <v>20</v>
      </c>
      <c r="AL6398" s="3">
        <v>1653.9678422616</v>
      </c>
    </row>
    <row r="6399" spans="34:38">
      <c r="AH6399" t="s">
        <v>2227</v>
      </c>
      <c r="AI6399" t="s">
        <v>65</v>
      </c>
      <c r="AJ6399" t="s">
        <v>66</v>
      </c>
      <c r="AK6399" s="3" t="s">
        <v>27</v>
      </c>
      <c r="AL6399" s="3">
        <v>19412.5</v>
      </c>
    </row>
    <row r="6400" spans="34:38">
      <c r="AH6400" t="s">
        <v>2227</v>
      </c>
      <c r="AI6400" t="s">
        <v>65</v>
      </c>
      <c r="AJ6400" t="s">
        <v>72</v>
      </c>
      <c r="AK6400" s="3" t="s">
        <v>27</v>
      </c>
      <c r="AL6400" s="3">
        <v>20922.185519999999</v>
      </c>
    </row>
    <row r="6401" spans="34:38">
      <c r="AH6401" t="s">
        <v>2227</v>
      </c>
      <c r="AI6401" t="s">
        <v>65</v>
      </c>
      <c r="AJ6401" t="s">
        <v>108</v>
      </c>
      <c r="AK6401" s="3" t="s">
        <v>27</v>
      </c>
      <c r="AL6401" s="3">
        <v>1509.68552</v>
      </c>
    </row>
    <row r="6402" spans="34:38">
      <c r="AH6402" t="s">
        <v>2227</v>
      </c>
      <c r="AI6402" t="s">
        <v>67</v>
      </c>
      <c r="AJ6402" t="s">
        <v>66</v>
      </c>
      <c r="AK6402" s="3" t="s">
        <v>27</v>
      </c>
      <c r="AL6402" s="3">
        <v>-6992.5</v>
      </c>
    </row>
    <row r="6403" spans="34:38">
      <c r="AH6403" t="s">
        <v>2227</v>
      </c>
      <c r="AI6403" t="s">
        <v>67</v>
      </c>
      <c r="AJ6403" t="s">
        <v>72</v>
      </c>
      <c r="AK6403" s="3" t="s">
        <v>27</v>
      </c>
      <c r="AL6403" s="3">
        <v>-8300.8537199999992</v>
      </c>
    </row>
    <row r="6404" spans="34:38">
      <c r="AH6404" t="s">
        <v>2227</v>
      </c>
      <c r="AI6404" t="s">
        <v>67</v>
      </c>
      <c r="AJ6404" t="s">
        <v>108</v>
      </c>
      <c r="AK6404" s="3" t="s">
        <v>27</v>
      </c>
      <c r="AL6404" s="3">
        <v>-1308.3537200000001</v>
      </c>
    </row>
    <row r="6405" spans="34:38">
      <c r="AH6405" t="s">
        <v>2227</v>
      </c>
      <c r="AI6405" t="s">
        <v>68</v>
      </c>
      <c r="AJ6405" t="s">
        <v>66</v>
      </c>
      <c r="AK6405" s="3" t="s">
        <v>27</v>
      </c>
      <c r="AL6405" s="3">
        <v>600</v>
      </c>
    </row>
    <row r="6406" spans="34:38">
      <c r="AH6406" t="s">
        <v>2227</v>
      </c>
      <c r="AI6406" t="s">
        <v>68</v>
      </c>
      <c r="AJ6406" t="s">
        <v>72</v>
      </c>
      <c r="AK6406" s="3" t="s">
        <v>27</v>
      </c>
      <c r="AL6406" s="3">
        <v>605.56500000000005</v>
      </c>
    </row>
    <row r="6407" spans="34:38">
      <c r="AH6407" t="s">
        <v>2227</v>
      </c>
      <c r="AI6407" t="s">
        <v>68</v>
      </c>
      <c r="AJ6407" t="s">
        <v>108</v>
      </c>
      <c r="AK6407" s="3" t="s">
        <v>27</v>
      </c>
      <c r="AL6407" s="3">
        <v>5.5650000000000004</v>
      </c>
    </row>
    <row r="6408" spans="34:38">
      <c r="AH6408" t="s">
        <v>2227</v>
      </c>
      <c r="AI6408" t="s">
        <v>65</v>
      </c>
      <c r="AJ6408" t="s">
        <v>113</v>
      </c>
      <c r="AK6408" s="3" t="s">
        <v>27</v>
      </c>
      <c r="AL6408" s="3">
        <v>2729.1662561360999</v>
      </c>
    </row>
    <row r="6409" spans="34:38">
      <c r="AH6409" t="s">
        <v>2227</v>
      </c>
      <c r="AI6409" t="s">
        <v>67</v>
      </c>
      <c r="AJ6409" t="s">
        <v>113</v>
      </c>
      <c r="AK6409" s="3" t="s">
        <v>27</v>
      </c>
      <c r="AL6409" s="3">
        <v>0</v>
      </c>
    </row>
    <row r="6410" spans="34:38">
      <c r="AH6410" t="s">
        <v>2227</v>
      </c>
      <c r="AI6410" t="s">
        <v>65</v>
      </c>
      <c r="AJ6410" t="s">
        <v>2303</v>
      </c>
      <c r="AK6410" s="3" t="s">
        <v>27</v>
      </c>
      <c r="AL6410" s="3">
        <v>-796.03149406310001</v>
      </c>
    </row>
    <row r="6411" spans="34:38">
      <c r="AH6411" t="s">
        <v>2227</v>
      </c>
      <c r="AI6411" t="s">
        <v>67</v>
      </c>
      <c r="AJ6411" t="s">
        <v>2303</v>
      </c>
      <c r="AK6411" s="3" t="s">
        <v>27</v>
      </c>
      <c r="AL6411" s="3">
        <v>-1308.3537200000001</v>
      </c>
    </row>
    <row r="6412" spans="34:38">
      <c r="AH6412" t="s">
        <v>2228</v>
      </c>
      <c r="AI6412" t="s">
        <v>65</v>
      </c>
      <c r="AJ6412" t="s">
        <v>66</v>
      </c>
      <c r="AK6412" s="3" t="s">
        <v>27</v>
      </c>
      <c r="AL6412" s="3">
        <v>20112.5</v>
      </c>
    </row>
    <row r="6413" spans="34:38">
      <c r="AH6413" t="s">
        <v>2228</v>
      </c>
      <c r="AI6413" t="s">
        <v>65</v>
      </c>
      <c r="AJ6413" t="s">
        <v>72</v>
      </c>
      <c r="AK6413" s="3" t="s">
        <v>27</v>
      </c>
      <c r="AL6413" s="3">
        <v>21628.656845000001</v>
      </c>
    </row>
    <row r="6414" spans="34:38">
      <c r="AH6414" t="s">
        <v>2228</v>
      </c>
      <c r="AI6414" t="s">
        <v>65</v>
      </c>
      <c r="AJ6414" t="s">
        <v>108</v>
      </c>
      <c r="AK6414" s="3" t="s">
        <v>27</v>
      </c>
      <c r="AL6414" s="3">
        <v>1516.156845</v>
      </c>
    </row>
    <row r="6415" spans="34:38">
      <c r="AH6415" t="s">
        <v>2228</v>
      </c>
      <c r="AI6415" t="s">
        <v>67</v>
      </c>
      <c r="AJ6415" t="s">
        <v>66</v>
      </c>
      <c r="AK6415" s="3" t="s">
        <v>27</v>
      </c>
      <c r="AL6415" s="3">
        <v>-8392.5</v>
      </c>
    </row>
    <row r="6416" spans="34:38">
      <c r="AH6416" t="s">
        <v>2228</v>
      </c>
      <c r="AI6416" t="s">
        <v>67</v>
      </c>
      <c r="AJ6416" t="s">
        <v>72</v>
      </c>
      <c r="AK6416" s="3" t="s">
        <v>27</v>
      </c>
      <c r="AL6416" s="3">
        <v>-9622.3981249999997</v>
      </c>
    </row>
    <row r="6417" spans="34:38">
      <c r="AH6417" t="s">
        <v>2228</v>
      </c>
      <c r="AI6417" t="s">
        <v>67</v>
      </c>
      <c r="AJ6417" t="s">
        <v>108</v>
      </c>
      <c r="AK6417" s="3" t="s">
        <v>27</v>
      </c>
      <c r="AL6417" s="3">
        <v>-1229.8981249999999</v>
      </c>
    </row>
    <row r="6418" spans="34:38">
      <c r="AH6418" t="s">
        <v>2228</v>
      </c>
      <c r="AI6418" t="s">
        <v>68</v>
      </c>
      <c r="AJ6418" t="s">
        <v>66</v>
      </c>
      <c r="AK6418" s="3" t="s">
        <v>27</v>
      </c>
      <c r="AL6418" s="3">
        <v>1600</v>
      </c>
    </row>
    <row r="6419" spans="34:38">
      <c r="AH6419" t="s">
        <v>2228</v>
      </c>
      <c r="AI6419" t="s">
        <v>68</v>
      </c>
      <c r="AJ6419" t="s">
        <v>72</v>
      </c>
      <c r="AK6419" s="3" t="s">
        <v>27</v>
      </c>
      <c r="AL6419" s="3">
        <v>1580.114</v>
      </c>
    </row>
    <row r="6420" spans="34:38">
      <c r="AH6420" t="s">
        <v>2228</v>
      </c>
      <c r="AI6420" t="s">
        <v>68</v>
      </c>
      <c r="AJ6420" t="s">
        <v>108</v>
      </c>
      <c r="AK6420" s="3" t="s">
        <v>27</v>
      </c>
      <c r="AL6420" s="3">
        <v>-19.885999999999999</v>
      </c>
    </row>
    <row r="6421" spans="34:38">
      <c r="AH6421" t="s">
        <v>2228</v>
      </c>
      <c r="AI6421" t="s">
        <v>65</v>
      </c>
      <c r="AJ6421" t="s">
        <v>113</v>
      </c>
      <c r="AK6421" s="3" t="s">
        <v>27</v>
      </c>
      <c r="AL6421" s="3">
        <v>2721.1560047741</v>
      </c>
    </row>
    <row r="6422" spans="34:38">
      <c r="AH6422" t="s">
        <v>2228</v>
      </c>
      <c r="AI6422" t="s">
        <v>67</v>
      </c>
      <c r="AJ6422" t="s">
        <v>113</v>
      </c>
      <c r="AK6422" s="3" t="s">
        <v>27</v>
      </c>
      <c r="AL6422" s="3">
        <v>3748.6912349999998</v>
      </c>
    </row>
    <row r="6423" spans="34:38">
      <c r="AH6423" t="s">
        <v>2228</v>
      </c>
      <c r="AI6423" t="s">
        <v>65</v>
      </c>
      <c r="AJ6423" t="s">
        <v>2303</v>
      </c>
      <c r="AK6423" s="3" t="s">
        <v>27</v>
      </c>
      <c r="AL6423" s="3">
        <v>-757.61174869909996</v>
      </c>
    </row>
    <row r="6424" spans="34:38">
      <c r="AH6424" t="s">
        <v>2228</v>
      </c>
      <c r="AI6424" t="s">
        <v>67</v>
      </c>
      <c r="AJ6424" t="s">
        <v>2303</v>
      </c>
      <c r="AK6424" s="3" t="s">
        <v>27</v>
      </c>
      <c r="AL6424" s="3">
        <v>-4978.5893599999999</v>
      </c>
    </row>
    <row r="6425" spans="34:38">
      <c r="AH6425" t="s">
        <v>2228</v>
      </c>
      <c r="AI6425" t="s">
        <v>65</v>
      </c>
      <c r="AJ6425" t="s">
        <v>113</v>
      </c>
      <c r="AK6425" s="3" t="s">
        <v>20</v>
      </c>
      <c r="AL6425" s="3">
        <v>1645.4818795132001</v>
      </c>
    </row>
    <row r="6426" spans="34:38">
      <c r="AH6426" t="s">
        <v>2229</v>
      </c>
      <c r="AI6426" t="s">
        <v>65</v>
      </c>
      <c r="AJ6426" t="s">
        <v>113</v>
      </c>
      <c r="AK6426" s="3" t="s">
        <v>20</v>
      </c>
      <c r="AL6426" s="3">
        <v>1635.4379954775</v>
      </c>
    </row>
    <row r="6427" spans="34:38">
      <c r="AH6427" t="s">
        <v>2229</v>
      </c>
      <c r="AI6427" t="s">
        <v>65</v>
      </c>
      <c r="AJ6427" t="s">
        <v>66</v>
      </c>
      <c r="AK6427" s="3" t="s">
        <v>27</v>
      </c>
      <c r="AL6427" s="3">
        <v>19962.5</v>
      </c>
    </row>
    <row r="6428" spans="34:38">
      <c r="AH6428" t="s">
        <v>2229</v>
      </c>
      <c r="AI6428" t="s">
        <v>65</v>
      </c>
      <c r="AJ6428" t="s">
        <v>72</v>
      </c>
      <c r="AK6428" s="3" t="s">
        <v>27</v>
      </c>
      <c r="AL6428" s="3">
        <v>21476.777454999999</v>
      </c>
    </row>
    <row r="6429" spans="34:38">
      <c r="AH6429" t="s">
        <v>2229</v>
      </c>
      <c r="AI6429" t="s">
        <v>65</v>
      </c>
      <c r="AJ6429" t="s">
        <v>108</v>
      </c>
      <c r="AK6429" s="3" t="s">
        <v>27</v>
      </c>
      <c r="AL6429" s="3">
        <v>1514.2774549999999</v>
      </c>
    </row>
    <row r="6430" spans="34:38">
      <c r="AH6430" t="s">
        <v>2229</v>
      </c>
      <c r="AI6430" t="s">
        <v>67</v>
      </c>
      <c r="AJ6430" t="s">
        <v>66</v>
      </c>
      <c r="AK6430" s="3" t="s">
        <v>27</v>
      </c>
      <c r="AL6430" s="3">
        <v>-7442.5</v>
      </c>
    </row>
    <row r="6431" spans="34:38">
      <c r="AH6431" t="s">
        <v>2229</v>
      </c>
      <c r="AI6431" t="s">
        <v>67</v>
      </c>
      <c r="AJ6431" t="s">
        <v>72</v>
      </c>
      <c r="AK6431" s="3" t="s">
        <v>27</v>
      </c>
      <c r="AL6431" s="3">
        <v>-8667.3870349999997</v>
      </c>
    </row>
    <row r="6432" spans="34:38">
      <c r="AH6432" t="s">
        <v>2229</v>
      </c>
      <c r="AI6432" t="s">
        <v>67</v>
      </c>
      <c r="AJ6432" t="s">
        <v>108</v>
      </c>
      <c r="AK6432" s="3" t="s">
        <v>27</v>
      </c>
      <c r="AL6432" s="3">
        <v>-1224.887035</v>
      </c>
    </row>
    <row r="6433" spans="34:38">
      <c r="AH6433" t="s">
        <v>2229</v>
      </c>
      <c r="AI6433" t="s">
        <v>68</v>
      </c>
      <c r="AJ6433" t="s">
        <v>66</v>
      </c>
      <c r="AK6433" s="3" t="s">
        <v>27</v>
      </c>
      <c r="AL6433" s="3">
        <v>900</v>
      </c>
    </row>
    <row r="6434" spans="34:38">
      <c r="AH6434" t="s">
        <v>2229</v>
      </c>
      <c r="AI6434" t="s">
        <v>68</v>
      </c>
      <c r="AJ6434" t="s">
        <v>72</v>
      </c>
      <c r="AK6434" s="3" t="s">
        <v>27</v>
      </c>
      <c r="AL6434" s="3">
        <v>899.24699999999996</v>
      </c>
    </row>
    <row r="6435" spans="34:38">
      <c r="AH6435" t="s">
        <v>2229</v>
      </c>
      <c r="AI6435" t="s">
        <v>68</v>
      </c>
      <c r="AJ6435" t="s">
        <v>108</v>
      </c>
      <c r="AK6435" s="3" t="s">
        <v>27</v>
      </c>
      <c r="AL6435" s="3">
        <v>-0.753</v>
      </c>
    </row>
    <row r="6436" spans="34:38">
      <c r="AH6436" t="s">
        <v>2229</v>
      </c>
      <c r="AI6436" t="s">
        <v>65</v>
      </c>
      <c r="AJ6436" t="s">
        <v>113</v>
      </c>
      <c r="AK6436" s="3" t="s">
        <v>27</v>
      </c>
      <c r="AL6436" s="3">
        <v>2711.5878321441</v>
      </c>
    </row>
    <row r="6437" spans="34:38">
      <c r="AH6437" t="s">
        <v>2229</v>
      </c>
      <c r="AI6437" t="s">
        <v>67</v>
      </c>
      <c r="AJ6437" t="s">
        <v>113</v>
      </c>
      <c r="AK6437" s="3" t="s">
        <v>27</v>
      </c>
      <c r="AL6437" s="3">
        <v>3748.6912349999998</v>
      </c>
    </row>
    <row r="6438" spans="34:38">
      <c r="AH6438" t="s">
        <v>2229</v>
      </c>
      <c r="AI6438" t="s">
        <v>65</v>
      </c>
      <c r="AJ6438" t="s">
        <v>2303</v>
      </c>
      <c r="AK6438" s="3" t="s">
        <v>27</v>
      </c>
      <c r="AL6438" s="3">
        <v>-744.06356562209999</v>
      </c>
    </row>
    <row r="6439" spans="34:38">
      <c r="AH6439" t="s">
        <v>2229</v>
      </c>
      <c r="AI6439" t="s">
        <v>67</v>
      </c>
      <c r="AJ6439" t="s">
        <v>2303</v>
      </c>
      <c r="AK6439" s="3" t="s">
        <v>27</v>
      </c>
      <c r="AL6439" s="3">
        <v>-4973.57827</v>
      </c>
    </row>
    <row r="6440" spans="34:38">
      <c r="AH6440" t="s">
        <v>2230</v>
      </c>
      <c r="AI6440" t="s">
        <v>65</v>
      </c>
      <c r="AJ6440" t="s">
        <v>66</v>
      </c>
      <c r="AK6440" s="3" t="s">
        <v>27</v>
      </c>
      <c r="AL6440" s="3">
        <v>20262.5</v>
      </c>
    </row>
    <row r="6441" spans="34:38">
      <c r="AH6441" t="s">
        <v>2230</v>
      </c>
      <c r="AI6441" t="s">
        <v>65</v>
      </c>
      <c r="AJ6441" t="s">
        <v>72</v>
      </c>
      <c r="AK6441" s="3" t="s">
        <v>27</v>
      </c>
      <c r="AL6441" s="3">
        <v>21772.034439999999</v>
      </c>
    </row>
    <row r="6442" spans="34:38">
      <c r="AH6442" t="s">
        <v>2230</v>
      </c>
      <c r="AI6442" t="s">
        <v>65</v>
      </c>
      <c r="AJ6442" t="s">
        <v>108</v>
      </c>
      <c r="AK6442" s="3" t="s">
        <v>27</v>
      </c>
      <c r="AL6442" s="3">
        <v>1509.5344399999999</v>
      </c>
    </row>
    <row r="6443" spans="34:38">
      <c r="AH6443" t="s">
        <v>2230</v>
      </c>
      <c r="AI6443" t="s">
        <v>67</v>
      </c>
      <c r="AJ6443" t="s">
        <v>66</v>
      </c>
      <c r="AK6443" s="3" t="s">
        <v>27</v>
      </c>
      <c r="AL6443" s="3">
        <v>-7842.5</v>
      </c>
    </row>
    <row r="6444" spans="34:38">
      <c r="AH6444" t="s">
        <v>2230</v>
      </c>
      <c r="AI6444" t="s">
        <v>67</v>
      </c>
      <c r="AJ6444" t="s">
        <v>72</v>
      </c>
      <c r="AK6444" s="3" t="s">
        <v>27</v>
      </c>
      <c r="AL6444" s="3">
        <v>-9060.3610399999998</v>
      </c>
    </row>
    <row r="6445" spans="34:38">
      <c r="AH6445" t="s">
        <v>2230</v>
      </c>
      <c r="AI6445" t="s">
        <v>67</v>
      </c>
      <c r="AJ6445" t="s">
        <v>108</v>
      </c>
      <c r="AK6445" s="3" t="s">
        <v>27</v>
      </c>
      <c r="AL6445" s="3">
        <v>-1217.86104</v>
      </c>
    </row>
    <row r="6446" spans="34:38">
      <c r="AH6446" t="s">
        <v>2230</v>
      </c>
      <c r="AI6446" t="s">
        <v>68</v>
      </c>
      <c r="AJ6446" t="s">
        <v>66</v>
      </c>
      <c r="AK6446" s="3" t="s">
        <v>27</v>
      </c>
      <c r="AL6446" s="3">
        <v>1000</v>
      </c>
    </row>
    <row r="6447" spans="34:38">
      <c r="AH6447" t="s">
        <v>2230</v>
      </c>
      <c r="AI6447" t="s">
        <v>68</v>
      </c>
      <c r="AJ6447" t="s">
        <v>72</v>
      </c>
      <c r="AK6447" s="3" t="s">
        <v>27</v>
      </c>
      <c r="AL6447" s="3">
        <v>998.20899999999995</v>
      </c>
    </row>
    <row r="6448" spans="34:38">
      <c r="AH6448" t="s">
        <v>2230</v>
      </c>
      <c r="AI6448" t="s">
        <v>68</v>
      </c>
      <c r="AJ6448" t="s">
        <v>108</v>
      </c>
      <c r="AK6448" s="3" t="s">
        <v>27</v>
      </c>
      <c r="AL6448" s="3">
        <v>-1.7909999999999999</v>
      </c>
    </row>
    <row r="6449" spans="34:38">
      <c r="AH6449" t="s">
        <v>2230</v>
      </c>
      <c r="AI6449" t="s">
        <v>65</v>
      </c>
      <c r="AJ6449" t="s">
        <v>113</v>
      </c>
      <c r="AK6449" s="3" t="s">
        <v>27</v>
      </c>
      <c r="AL6449" s="3">
        <v>2713.7835424630998</v>
      </c>
    </row>
    <row r="6450" spans="34:38">
      <c r="AH6450" t="s">
        <v>2230</v>
      </c>
      <c r="AI6450" t="s">
        <v>67</v>
      </c>
      <c r="AJ6450" t="s">
        <v>113</v>
      </c>
      <c r="AK6450" s="3" t="s">
        <v>27</v>
      </c>
      <c r="AL6450" s="3">
        <v>3748.6912349999998</v>
      </c>
    </row>
    <row r="6451" spans="34:38">
      <c r="AH6451" t="s">
        <v>2230</v>
      </c>
      <c r="AI6451" t="s">
        <v>65</v>
      </c>
      <c r="AJ6451" t="s">
        <v>2303</v>
      </c>
      <c r="AK6451" s="3" t="s">
        <v>27</v>
      </c>
      <c r="AL6451" s="3">
        <v>-749.89376480010003</v>
      </c>
    </row>
    <row r="6452" spans="34:38">
      <c r="AH6452" t="s">
        <v>2230</v>
      </c>
      <c r="AI6452" t="s">
        <v>67</v>
      </c>
      <c r="AJ6452" t="s">
        <v>2303</v>
      </c>
      <c r="AK6452" s="3" t="s">
        <v>27</v>
      </c>
      <c r="AL6452" s="3">
        <v>-4966.552275</v>
      </c>
    </row>
    <row r="6453" spans="34:38">
      <c r="AH6453" t="s">
        <v>2230</v>
      </c>
      <c r="AI6453" t="s">
        <v>65</v>
      </c>
      <c r="AJ6453" t="s">
        <v>113</v>
      </c>
      <c r="AK6453" s="3" t="s">
        <v>20</v>
      </c>
      <c r="AL6453" s="3">
        <v>1637.1579943997999</v>
      </c>
    </row>
    <row r="6454" spans="34:38">
      <c r="AH6454" t="s">
        <v>2231</v>
      </c>
      <c r="AI6454" t="s">
        <v>65</v>
      </c>
      <c r="AJ6454" t="s">
        <v>113</v>
      </c>
      <c r="AK6454" s="3" t="s">
        <v>20</v>
      </c>
      <c r="AL6454" s="3">
        <v>1588.6436663292</v>
      </c>
    </row>
    <row r="6455" spans="34:38">
      <c r="AH6455" t="s">
        <v>2231</v>
      </c>
      <c r="AI6455" t="s">
        <v>65</v>
      </c>
      <c r="AJ6455" t="s">
        <v>66</v>
      </c>
      <c r="AK6455" s="3" t="s">
        <v>27</v>
      </c>
      <c r="AL6455" s="3">
        <v>19462.5</v>
      </c>
    </row>
    <row r="6456" spans="34:38">
      <c r="AH6456" t="s">
        <v>2231</v>
      </c>
      <c r="AI6456" t="s">
        <v>65</v>
      </c>
      <c r="AJ6456" t="s">
        <v>72</v>
      </c>
      <c r="AK6456" s="3" t="s">
        <v>27</v>
      </c>
      <c r="AL6456" s="3">
        <v>20934.800179999998</v>
      </c>
    </row>
    <row r="6457" spans="34:38">
      <c r="AH6457" t="s">
        <v>2231</v>
      </c>
      <c r="AI6457" t="s">
        <v>65</v>
      </c>
      <c r="AJ6457" t="s">
        <v>108</v>
      </c>
      <c r="AK6457" s="3" t="s">
        <v>27</v>
      </c>
      <c r="AL6457" s="3">
        <v>1472.30018</v>
      </c>
    </row>
    <row r="6458" spans="34:38">
      <c r="AH6458" t="s">
        <v>2231</v>
      </c>
      <c r="AI6458" t="s">
        <v>67</v>
      </c>
      <c r="AJ6458" t="s">
        <v>66</v>
      </c>
      <c r="AK6458" s="3" t="s">
        <v>27</v>
      </c>
      <c r="AL6458" s="3">
        <v>-6792.5</v>
      </c>
    </row>
    <row r="6459" spans="34:38">
      <c r="AH6459" t="s">
        <v>2231</v>
      </c>
      <c r="AI6459" t="s">
        <v>67</v>
      </c>
      <c r="AJ6459" t="s">
        <v>72</v>
      </c>
      <c r="AK6459" s="3" t="s">
        <v>27</v>
      </c>
      <c r="AL6459" s="3">
        <v>-7991.0707000000002</v>
      </c>
    </row>
    <row r="6460" spans="34:38">
      <c r="AH6460" t="s">
        <v>2231</v>
      </c>
      <c r="AI6460" t="s">
        <v>67</v>
      </c>
      <c r="AJ6460" t="s">
        <v>108</v>
      </c>
      <c r="AK6460" s="3" t="s">
        <v>27</v>
      </c>
      <c r="AL6460" s="3">
        <v>-1198.5707</v>
      </c>
    </row>
    <row r="6461" spans="34:38">
      <c r="AH6461" t="s">
        <v>2231</v>
      </c>
      <c r="AI6461" t="s">
        <v>68</v>
      </c>
      <c r="AJ6461" t="s">
        <v>66</v>
      </c>
      <c r="AK6461" s="3" t="s">
        <v>27</v>
      </c>
      <c r="AL6461" s="3">
        <v>700</v>
      </c>
    </row>
    <row r="6462" spans="34:38">
      <c r="AH6462" t="s">
        <v>2231</v>
      </c>
      <c r="AI6462" t="s">
        <v>68</v>
      </c>
      <c r="AJ6462" t="s">
        <v>72</v>
      </c>
      <c r="AK6462" s="3" t="s">
        <v>27</v>
      </c>
      <c r="AL6462" s="3">
        <v>704.46400000000006</v>
      </c>
    </row>
    <row r="6463" spans="34:38">
      <c r="AH6463" t="s">
        <v>2231</v>
      </c>
      <c r="AI6463" t="s">
        <v>68</v>
      </c>
      <c r="AJ6463" t="s">
        <v>108</v>
      </c>
      <c r="AK6463" s="3" t="s">
        <v>27</v>
      </c>
      <c r="AL6463" s="3">
        <v>4.4640000000000004</v>
      </c>
    </row>
    <row r="6464" spans="34:38">
      <c r="AH6464" t="s">
        <v>2231</v>
      </c>
      <c r="AI6464" t="s">
        <v>65</v>
      </c>
      <c r="AJ6464" t="s">
        <v>113</v>
      </c>
      <c r="AK6464" s="3" t="s">
        <v>27</v>
      </c>
      <c r="AL6464" s="3">
        <v>2666.6963485931001</v>
      </c>
    </row>
    <row r="6465" spans="34:38">
      <c r="AH6465" t="s">
        <v>2231</v>
      </c>
      <c r="AI6465" t="s">
        <v>67</v>
      </c>
      <c r="AJ6465" t="s">
        <v>113</v>
      </c>
      <c r="AK6465" s="3" t="s">
        <v>27</v>
      </c>
      <c r="AL6465" s="3">
        <v>3748.6912349999998</v>
      </c>
    </row>
    <row r="6466" spans="34:38">
      <c r="AH6466" t="s">
        <v>2231</v>
      </c>
      <c r="AI6466" t="s">
        <v>65</v>
      </c>
      <c r="AJ6466" t="s">
        <v>2303</v>
      </c>
      <c r="AK6466" s="3" t="s">
        <v>27</v>
      </c>
      <c r="AL6466" s="3">
        <v>-739.35276939710002</v>
      </c>
    </row>
    <row r="6467" spans="34:38">
      <c r="AH6467" t="s">
        <v>2231</v>
      </c>
      <c r="AI6467" t="s">
        <v>67</v>
      </c>
      <c r="AJ6467" t="s">
        <v>2303</v>
      </c>
      <c r="AK6467" s="3" t="s">
        <v>27</v>
      </c>
      <c r="AL6467" s="3">
        <v>-4947.2619350000004</v>
      </c>
    </row>
    <row r="6468" spans="34:38">
      <c r="AH6468" t="s">
        <v>2232</v>
      </c>
      <c r="AI6468" t="s">
        <v>65</v>
      </c>
      <c r="AJ6468" t="s">
        <v>66</v>
      </c>
      <c r="AK6468" s="3" t="s">
        <v>27</v>
      </c>
      <c r="AL6468" s="3">
        <v>18902.5</v>
      </c>
    </row>
    <row r="6469" spans="34:38">
      <c r="AH6469" t="s">
        <v>2232</v>
      </c>
      <c r="AI6469" t="s">
        <v>65</v>
      </c>
      <c r="AJ6469" t="s">
        <v>72</v>
      </c>
      <c r="AK6469" s="3" t="s">
        <v>27</v>
      </c>
      <c r="AL6469" s="3">
        <v>20366.491545000001</v>
      </c>
    </row>
    <row r="6470" spans="34:38">
      <c r="AH6470" t="s">
        <v>2232</v>
      </c>
      <c r="AI6470" t="s">
        <v>65</v>
      </c>
      <c r="AJ6470" t="s">
        <v>108</v>
      </c>
      <c r="AK6470" s="3" t="s">
        <v>27</v>
      </c>
      <c r="AL6470" s="3">
        <v>1463.9915450000001</v>
      </c>
    </row>
    <row r="6471" spans="34:38">
      <c r="AH6471" t="s">
        <v>2232</v>
      </c>
      <c r="AI6471" t="s">
        <v>67</v>
      </c>
      <c r="AJ6471" t="s">
        <v>66</v>
      </c>
      <c r="AK6471" s="3" t="s">
        <v>27</v>
      </c>
      <c r="AL6471" s="3">
        <v>-7032.5</v>
      </c>
    </row>
    <row r="6472" spans="34:38">
      <c r="AH6472" t="s">
        <v>2232</v>
      </c>
      <c r="AI6472" t="s">
        <v>67</v>
      </c>
      <c r="AJ6472" t="s">
        <v>72</v>
      </c>
      <c r="AK6472" s="3" t="s">
        <v>27</v>
      </c>
      <c r="AL6472" s="3">
        <v>-8257.5694249999997</v>
      </c>
    </row>
    <row r="6473" spans="34:38">
      <c r="AH6473" t="s">
        <v>2232</v>
      </c>
      <c r="AI6473" t="s">
        <v>67</v>
      </c>
      <c r="AJ6473" t="s">
        <v>108</v>
      </c>
      <c r="AK6473" s="3" t="s">
        <v>27</v>
      </c>
      <c r="AL6473" s="3">
        <v>-1225.0694249999999</v>
      </c>
    </row>
    <row r="6474" spans="34:38">
      <c r="AH6474" t="s">
        <v>2232</v>
      </c>
      <c r="AI6474" t="s">
        <v>68</v>
      </c>
      <c r="AJ6474" t="s">
        <v>66</v>
      </c>
      <c r="AK6474" s="3" t="s">
        <v>27</v>
      </c>
      <c r="AL6474" s="3">
        <v>1500</v>
      </c>
    </row>
    <row r="6475" spans="34:38">
      <c r="AH6475" t="s">
        <v>2232</v>
      </c>
      <c r="AI6475" t="s">
        <v>68</v>
      </c>
      <c r="AJ6475" t="s">
        <v>72</v>
      </c>
      <c r="AK6475" s="3" t="s">
        <v>27</v>
      </c>
      <c r="AL6475" s="3">
        <v>1542.5364999999999</v>
      </c>
    </row>
    <row r="6476" spans="34:38">
      <c r="AH6476" t="s">
        <v>2232</v>
      </c>
      <c r="AI6476" t="s">
        <v>68</v>
      </c>
      <c r="AJ6476" t="s">
        <v>108</v>
      </c>
      <c r="AK6476" s="3" t="s">
        <v>27</v>
      </c>
      <c r="AL6476" s="3">
        <v>42.536499999999997</v>
      </c>
    </row>
    <row r="6477" spans="34:38">
      <c r="AH6477" t="s">
        <v>2232</v>
      </c>
      <c r="AI6477" t="s">
        <v>65</v>
      </c>
      <c r="AJ6477" t="s">
        <v>113</v>
      </c>
      <c r="AK6477" s="3" t="s">
        <v>27</v>
      </c>
      <c r="AL6477" s="3">
        <v>2641.0448257281</v>
      </c>
    </row>
    <row r="6478" spans="34:38">
      <c r="AH6478" t="s">
        <v>2232</v>
      </c>
      <c r="AI6478" t="s">
        <v>67</v>
      </c>
      <c r="AJ6478" t="s">
        <v>113</v>
      </c>
      <c r="AK6478" s="3" t="s">
        <v>27</v>
      </c>
      <c r="AL6478" s="3">
        <v>3748.6912349999998</v>
      </c>
    </row>
    <row r="6479" spans="34:38">
      <c r="AH6479" t="s">
        <v>2232</v>
      </c>
      <c r="AI6479" t="s">
        <v>65</v>
      </c>
      <c r="AJ6479" t="s">
        <v>2303</v>
      </c>
      <c r="AK6479" s="3" t="s">
        <v>27</v>
      </c>
      <c r="AL6479" s="3">
        <v>-718.34258349310005</v>
      </c>
    </row>
    <row r="6480" spans="34:38">
      <c r="AH6480" t="s">
        <v>2232</v>
      </c>
      <c r="AI6480" t="s">
        <v>67</v>
      </c>
      <c r="AJ6480" t="s">
        <v>2303</v>
      </c>
      <c r="AK6480" s="3" t="s">
        <v>27</v>
      </c>
      <c r="AL6480" s="3">
        <v>-4973.7606599999999</v>
      </c>
    </row>
    <row r="6481" spans="34:38">
      <c r="AH6481" t="s">
        <v>2232</v>
      </c>
      <c r="AI6481" t="s">
        <v>65</v>
      </c>
      <c r="AJ6481" t="s">
        <v>113</v>
      </c>
      <c r="AK6481" s="3" t="s">
        <v>20</v>
      </c>
      <c r="AL6481" s="3">
        <v>1562.5164320679</v>
      </c>
    </row>
    <row r="6482" spans="34:38">
      <c r="AH6482" t="s">
        <v>2233</v>
      </c>
      <c r="AI6482" t="s">
        <v>65</v>
      </c>
      <c r="AJ6482" t="s">
        <v>113</v>
      </c>
      <c r="AK6482" s="3" t="s">
        <v>20</v>
      </c>
      <c r="AL6482" s="3">
        <v>1528.9936146158</v>
      </c>
    </row>
    <row r="6483" spans="34:38">
      <c r="AH6483" t="s">
        <v>2233</v>
      </c>
      <c r="AI6483" t="s">
        <v>65</v>
      </c>
      <c r="AJ6483" t="s">
        <v>66</v>
      </c>
      <c r="AK6483" s="3" t="s">
        <v>27</v>
      </c>
      <c r="AL6483" s="3">
        <v>19002.5</v>
      </c>
    </row>
    <row r="6484" spans="34:38">
      <c r="AH6484" t="s">
        <v>2233</v>
      </c>
      <c r="AI6484" t="s">
        <v>65</v>
      </c>
      <c r="AJ6484" t="s">
        <v>72</v>
      </c>
      <c r="AK6484" s="3" t="s">
        <v>27</v>
      </c>
      <c r="AL6484" s="3">
        <v>20438.451525</v>
      </c>
    </row>
    <row r="6485" spans="34:38">
      <c r="AH6485" t="s">
        <v>2233</v>
      </c>
      <c r="AI6485" t="s">
        <v>65</v>
      </c>
      <c r="AJ6485" t="s">
        <v>108</v>
      </c>
      <c r="AK6485" s="3" t="s">
        <v>27</v>
      </c>
      <c r="AL6485" s="3">
        <v>1435.9515249999999</v>
      </c>
    </row>
    <row r="6486" spans="34:38">
      <c r="AH6486" t="s">
        <v>2233</v>
      </c>
      <c r="AI6486" t="s">
        <v>67</v>
      </c>
      <c r="AJ6486" t="s">
        <v>66</v>
      </c>
      <c r="AK6486" s="3" t="s">
        <v>27</v>
      </c>
      <c r="AL6486" s="3">
        <v>-6982.5</v>
      </c>
    </row>
    <row r="6487" spans="34:38">
      <c r="AH6487" t="s">
        <v>2233</v>
      </c>
      <c r="AI6487" t="s">
        <v>67</v>
      </c>
      <c r="AJ6487" t="s">
        <v>72</v>
      </c>
      <c r="AK6487" s="3" t="s">
        <v>27</v>
      </c>
      <c r="AL6487" s="3">
        <v>-8158.4253049999998</v>
      </c>
    </row>
    <row r="6488" spans="34:38">
      <c r="AH6488" t="s">
        <v>2233</v>
      </c>
      <c r="AI6488" t="s">
        <v>67</v>
      </c>
      <c r="AJ6488" t="s">
        <v>108</v>
      </c>
      <c r="AK6488" s="3" t="s">
        <v>27</v>
      </c>
      <c r="AL6488" s="3">
        <v>-1175.925305</v>
      </c>
    </row>
    <row r="6489" spans="34:38">
      <c r="AH6489" t="s">
        <v>2233</v>
      </c>
      <c r="AI6489" t="s">
        <v>68</v>
      </c>
      <c r="AJ6489" t="s">
        <v>66</v>
      </c>
      <c r="AK6489" s="3" t="s">
        <v>27</v>
      </c>
      <c r="AL6489" s="3">
        <v>1350</v>
      </c>
    </row>
    <row r="6490" spans="34:38">
      <c r="AH6490" t="s">
        <v>2233</v>
      </c>
      <c r="AI6490" t="s">
        <v>68</v>
      </c>
      <c r="AJ6490" t="s">
        <v>72</v>
      </c>
      <c r="AK6490" s="3" t="s">
        <v>27</v>
      </c>
      <c r="AL6490" s="3">
        <v>1374.6034999999999</v>
      </c>
    </row>
    <row r="6491" spans="34:38">
      <c r="AH6491" t="s">
        <v>2233</v>
      </c>
      <c r="AI6491" t="s">
        <v>68</v>
      </c>
      <c r="AJ6491" t="s">
        <v>108</v>
      </c>
      <c r="AK6491" s="3" t="s">
        <v>27</v>
      </c>
      <c r="AL6491" s="3">
        <v>24.6035</v>
      </c>
    </row>
    <row r="6492" spans="34:38">
      <c r="AH6492" t="s">
        <v>2233</v>
      </c>
      <c r="AI6492" t="s">
        <v>65</v>
      </c>
      <c r="AJ6492" t="s">
        <v>113</v>
      </c>
      <c r="AK6492" s="3" t="s">
        <v>27</v>
      </c>
      <c r="AL6492" s="3">
        <v>2607.9977196821001</v>
      </c>
    </row>
    <row r="6493" spans="34:38">
      <c r="AH6493" t="s">
        <v>2233</v>
      </c>
      <c r="AI6493" t="s">
        <v>67</v>
      </c>
      <c r="AJ6493" t="s">
        <v>113</v>
      </c>
      <c r="AK6493" s="3" t="s">
        <v>27</v>
      </c>
      <c r="AL6493" s="3">
        <v>3748.6912349999998</v>
      </c>
    </row>
    <row r="6494" spans="34:38">
      <c r="AH6494" t="s">
        <v>2233</v>
      </c>
      <c r="AI6494" t="s">
        <v>65</v>
      </c>
      <c r="AJ6494" t="s">
        <v>2303</v>
      </c>
      <c r="AK6494" s="3" t="s">
        <v>27</v>
      </c>
      <c r="AL6494" s="3">
        <v>-710.57505047510006</v>
      </c>
    </row>
    <row r="6495" spans="34:38">
      <c r="AH6495" t="s">
        <v>2233</v>
      </c>
      <c r="AI6495" t="s">
        <v>67</v>
      </c>
      <c r="AJ6495" t="s">
        <v>2303</v>
      </c>
      <c r="AK6495" s="3" t="s">
        <v>27</v>
      </c>
      <c r="AL6495" s="3">
        <v>-4924.61654</v>
      </c>
    </row>
    <row r="6496" spans="34:38">
      <c r="AH6496" t="s">
        <v>2234</v>
      </c>
      <c r="AI6496" t="s">
        <v>65</v>
      </c>
      <c r="AJ6496" t="s">
        <v>66</v>
      </c>
      <c r="AK6496" s="3" t="s">
        <v>27</v>
      </c>
      <c r="AL6496" s="3">
        <v>19252.5</v>
      </c>
    </row>
    <row r="6497" spans="34:38">
      <c r="AH6497" t="s">
        <v>2234</v>
      </c>
      <c r="AI6497" t="s">
        <v>65</v>
      </c>
      <c r="AJ6497" t="s">
        <v>72</v>
      </c>
      <c r="AK6497" s="3" t="s">
        <v>27</v>
      </c>
      <c r="AL6497" s="3">
        <v>20707.19137</v>
      </c>
    </row>
    <row r="6498" spans="34:38">
      <c r="AH6498" t="s">
        <v>2234</v>
      </c>
      <c r="AI6498" t="s">
        <v>65</v>
      </c>
      <c r="AJ6498" t="s">
        <v>108</v>
      </c>
      <c r="AK6498" s="3" t="s">
        <v>27</v>
      </c>
      <c r="AL6498" s="3">
        <v>1454.69137</v>
      </c>
    </row>
    <row r="6499" spans="34:38">
      <c r="AH6499" t="s">
        <v>2234</v>
      </c>
      <c r="AI6499" t="s">
        <v>67</v>
      </c>
      <c r="AJ6499" t="s">
        <v>66</v>
      </c>
      <c r="AK6499" s="3" t="s">
        <v>27</v>
      </c>
      <c r="AL6499" s="3">
        <v>-7832.5</v>
      </c>
    </row>
    <row r="6500" spans="34:38">
      <c r="AH6500" t="s">
        <v>2234</v>
      </c>
      <c r="AI6500" t="s">
        <v>67</v>
      </c>
      <c r="AJ6500" t="s">
        <v>72</v>
      </c>
      <c r="AK6500" s="3" t="s">
        <v>27</v>
      </c>
      <c r="AL6500" s="3">
        <v>-9068.4459100000004</v>
      </c>
    </row>
    <row r="6501" spans="34:38">
      <c r="AH6501" t="s">
        <v>2234</v>
      </c>
      <c r="AI6501" t="s">
        <v>67</v>
      </c>
      <c r="AJ6501" t="s">
        <v>108</v>
      </c>
      <c r="AK6501" s="3" t="s">
        <v>27</v>
      </c>
      <c r="AL6501" s="3">
        <v>-1235.9459099999999</v>
      </c>
    </row>
    <row r="6502" spans="34:38">
      <c r="AH6502" t="s">
        <v>2234</v>
      </c>
      <c r="AI6502" t="s">
        <v>68</v>
      </c>
      <c r="AJ6502" t="s">
        <v>66</v>
      </c>
      <c r="AK6502" s="3" t="s">
        <v>27</v>
      </c>
      <c r="AL6502" s="3">
        <v>1400</v>
      </c>
    </row>
    <row r="6503" spans="34:38">
      <c r="AH6503" t="s">
        <v>2234</v>
      </c>
      <c r="AI6503" t="s">
        <v>68</v>
      </c>
      <c r="AJ6503" t="s">
        <v>72</v>
      </c>
      <c r="AK6503" s="3" t="s">
        <v>27</v>
      </c>
      <c r="AL6503" s="3">
        <v>1469.105</v>
      </c>
    </row>
    <row r="6504" spans="34:38">
      <c r="AH6504" t="s">
        <v>2234</v>
      </c>
      <c r="AI6504" t="s">
        <v>68</v>
      </c>
      <c r="AJ6504" t="s">
        <v>108</v>
      </c>
      <c r="AK6504" s="3" t="s">
        <v>27</v>
      </c>
      <c r="AL6504" s="3">
        <v>69.105000000000004</v>
      </c>
    </row>
    <row r="6505" spans="34:38">
      <c r="AH6505" t="s">
        <v>2234</v>
      </c>
      <c r="AI6505" t="s">
        <v>65</v>
      </c>
      <c r="AJ6505" t="s">
        <v>113</v>
      </c>
      <c r="AK6505" s="3" t="s">
        <v>27</v>
      </c>
      <c r="AL6505" s="3">
        <v>2699.3693503570998</v>
      </c>
    </row>
    <row r="6506" spans="34:38">
      <c r="AH6506" t="s">
        <v>2234</v>
      </c>
      <c r="AI6506" t="s">
        <v>67</v>
      </c>
      <c r="AJ6506" t="s">
        <v>113</v>
      </c>
      <c r="AK6506" s="3" t="s">
        <v>27</v>
      </c>
      <c r="AL6506" s="3">
        <v>3748.6912349999998</v>
      </c>
    </row>
    <row r="6507" spans="34:38">
      <c r="AH6507" t="s">
        <v>2234</v>
      </c>
      <c r="AI6507" t="s">
        <v>65</v>
      </c>
      <c r="AJ6507" t="s">
        <v>2303</v>
      </c>
      <c r="AK6507" s="3" t="s">
        <v>27</v>
      </c>
      <c r="AL6507" s="3">
        <v>-786.76210487210005</v>
      </c>
    </row>
    <row r="6508" spans="34:38">
      <c r="AH6508" t="s">
        <v>2234</v>
      </c>
      <c r="AI6508" t="s">
        <v>67</v>
      </c>
      <c r="AJ6508" t="s">
        <v>2303</v>
      </c>
      <c r="AK6508" s="3" t="s">
        <v>27</v>
      </c>
      <c r="AL6508" s="3">
        <v>-4984.6371449999997</v>
      </c>
    </row>
    <row r="6509" spans="34:38">
      <c r="AH6509" t="s">
        <v>2234</v>
      </c>
      <c r="AI6509" t="s">
        <v>65</v>
      </c>
      <c r="AJ6509" t="s">
        <v>113</v>
      </c>
      <c r="AK6509" s="3" t="s">
        <v>20</v>
      </c>
      <c r="AL6509" s="3">
        <v>1554.6033497589001</v>
      </c>
    </row>
    <row r="6510" spans="34:38">
      <c r="AH6510" t="s">
        <v>2235</v>
      </c>
      <c r="AI6510" t="s">
        <v>65</v>
      </c>
      <c r="AJ6510" t="s">
        <v>113</v>
      </c>
      <c r="AK6510" s="3" t="s">
        <v>20</v>
      </c>
      <c r="AL6510" s="3">
        <v>1619.4138224839</v>
      </c>
    </row>
    <row r="6511" spans="34:38">
      <c r="AH6511" t="s">
        <v>2235</v>
      </c>
      <c r="AI6511" t="s">
        <v>65</v>
      </c>
      <c r="AJ6511" t="s">
        <v>66</v>
      </c>
      <c r="AK6511" s="3" t="s">
        <v>27</v>
      </c>
      <c r="AL6511" s="3">
        <v>18602.5</v>
      </c>
    </row>
    <row r="6512" spans="34:38">
      <c r="AH6512" t="s">
        <v>2235</v>
      </c>
      <c r="AI6512" t="s">
        <v>65</v>
      </c>
      <c r="AJ6512" t="s">
        <v>72</v>
      </c>
      <c r="AK6512" s="3" t="s">
        <v>27</v>
      </c>
      <c r="AL6512" s="3">
        <v>20119.565259999999</v>
      </c>
    </row>
    <row r="6513" spans="34:38">
      <c r="AH6513" t="s">
        <v>2235</v>
      </c>
      <c r="AI6513" t="s">
        <v>65</v>
      </c>
      <c r="AJ6513" t="s">
        <v>108</v>
      </c>
      <c r="AK6513" s="3" t="s">
        <v>27</v>
      </c>
      <c r="AL6513" s="3">
        <v>1517.0652600000001</v>
      </c>
    </row>
    <row r="6514" spans="34:38">
      <c r="AH6514" t="s">
        <v>2235</v>
      </c>
      <c r="AI6514" t="s">
        <v>67</v>
      </c>
      <c r="AJ6514" t="s">
        <v>66</v>
      </c>
      <c r="AK6514" s="3" t="s">
        <v>27</v>
      </c>
      <c r="AL6514" s="3">
        <v>-6782.5</v>
      </c>
    </row>
    <row r="6515" spans="34:38">
      <c r="AH6515" t="s">
        <v>2235</v>
      </c>
      <c r="AI6515" t="s">
        <v>67</v>
      </c>
      <c r="AJ6515" t="s">
        <v>72</v>
      </c>
      <c r="AK6515" s="3" t="s">
        <v>27</v>
      </c>
      <c r="AL6515" s="3">
        <v>-8044.97282</v>
      </c>
    </row>
    <row r="6516" spans="34:38">
      <c r="AH6516" t="s">
        <v>2235</v>
      </c>
      <c r="AI6516" t="s">
        <v>67</v>
      </c>
      <c r="AJ6516" t="s">
        <v>108</v>
      </c>
      <c r="AK6516" s="3" t="s">
        <v>27</v>
      </c>
      <c r="AL6516" s="3">
        <v>-1262.47282</v>
      </c>
    </row>
    <row r="6517" spans="34:38">
      <c r="AH6517" t="s">
        <v>2235</v>
      </c>
      <c r="AI6517" t="s">
        <v>68</v>
      </c>
      <c r="AJ6517" t="s">
        <v>66</v>
      </c>
      <c r="AK6517" s="3" t="s">
        <v>27</v>
      </c>
      <c r="AL6517" s="3">
        <v>1150</v>
      </c>
    </row>
    <row r="6518" spans="34:38">
      <c r="AH6518" t="s">
        <v>2235</v>
      </c>
      <c r="AI6518" t="s">
        <v>68</v>
      </c>
      <c r="AJ6518" t="s">
        <v>72</v>
      </c>
      <c r="AK6518" s="3" t="s">
        <v>27</v>
      </c>
      <c r="AL6518" s="3">
        <v>1196.7715000000001</v>
      </c>
    </row>
    <row r="6519" spans="34:38">
      <c r="AH6519" t="s">
        <v>2235</v>
      </c>
      <c r="AI6519" t="s">
        <v>68</v>
      </c>
      <c r="AJ6519" t="s">
        <v>108</v>
      </c>
      <c r="AK6519" s="3" t="s">
        <v>27</v>
      </c>
      <c r="AL6519" s="3">
        <v>46.771500000000003</v>
      </c>
    </row>
    <row r="6520" spans="34:38">
      <c r="AH6520" t="s">
        <v>2235</v>
      </c>
      <c r="AI6520" t="s">
        <v>65</v>
      </c>
      <c r="AJ6520" t="s">
        <v>113</v>
      </c>
      <c r="AK6520" s="3" t="s">
        <v>27</v>
      </c>
      <c r="AL6520" s="3">
        <v>2682.7251354271002</v>
      </c>
    </row>
    <row r="6521" spans="34:38">
      <c r="AH6521" t="s">
        <v>2235</v>
      </c>
      <c r="AI6521" t="s">
        <v>67</v>
      </c>
      <c r="AJ6521" t="s">
        <v>113</v>
      </c>
      <c r="AK6521" s="3" t="s">
        <v>27</v>
      </c>
      <c r="AL6521" s="3">
        <v>3748.6912349999998</v>
      </c>
    </row>
    <row r="6522" spans="34:38">
      <c r="AH6522" t="s">
        <v>2235</v>
      </c>
      <c r="AI6522" t="s">
        <v>65</v>
      </c>
      <c r="AJ6522" t="s">
        <v>2303</v>
      </c>
      <c r="AK6522" s="3" t="s">
        <v>27</v>
      </c>
      <c r="AL6522" s="3">
        <v>-707.3519004771</v>
      </c>
    </row>
    <row r="6523" spans="34:38">
      <c r="AH6523" t="s">
        <v>2235</v>
      </c>
      <c r="AI6523" t="s">
        <v>67</v>
      </c>
      <c r="AJ6523" t="s">
        <v>2303</v>
      </c>
      <c r="AK6523" s="3" t="s">
        <v>27</v>
      </c>
      <c r="AL6523" s="3">
        <v>-5011.1640550000002</v>
      </c>
    </row>
    <row r="6524" spans="34:38">
      <c r="AH6524" t="s">
        <v>2236</v>
      </c>
      <c r="AI6524" t="s">
        <v>65</v>
      </c>
      <c r="AJ6524" t="s">
        <v>66</v>
      </c>
      <c r="AK6524" s="3" t="s">
        <v>27</v>
      </c>
      <c r="AL6524" s="3">
        <v>19902.5</v>
      </c>
    </row>
    <row r="6525" spans="34:38">
      <c r="AH6525" t="s">
        <v>2236</v>
      </c>
      <c r="AI6525" t="s">
        <v>65</v>
      </c>
      <c r="AJ6525" t="s">
        <v>72</v>
      </c>
      <c r="AK6525" s="3" t="s">
        <v>27</v>
      </c>
      <c r="AL6525" s="3">
        <v>21394.348669999999</v>
      </c>
    </row>
    <row r="6526" spans="34:38">
      <c r="AH6526" t="s">
        <v>2236</v>
      </c>
      <c r="AI6526" t="s">
        <v>65</v>
      </c>
      <c r="AJ6526" t="s">
        <v>108</v>
      </c>
      <c r="AK6526" s="3" t="s">
        <v>27</v>
      </c>
      <c r="AL6526" s="3">
        <v>1491.8486700000001</v>
      </c>
    </row>
    <row r="6527" spans="34:38">
      <c r="AH6527" t="s">
        <v>2236</v>
      </c>
      <c r="AI6527" t="s">
        <v>67</v>
      </c>
      <c r="AJ6527" t="s">
        <v>66</v>
      </c>
      <c r="AK6527" s="3" t="s">
        <v>27</v>
      </c>
      <c r="AL6527" s="3">
        <v>-8782.5</v>
      </c>
    </row>
    <row r="6528" spans="34:38">
      <c r="AH6528" t="s">
        <v>2236</v>
      </c>
      <c r="AI6528" t="s">
        <v>67</v>
      </c>
      <c r="AJ6528" t="s">
        <v>72</v>
      </c>
      <c r="AK6528" s="3" t="s">
        <v>27</v>
      </c>
      <c r="AL6528" s="3">
        <v>-9955.9150100000006</v>
      </c>
    </row>
    <row r="6529" spans="34:38">
      <c r="AH6529" t="s">
        <v>2236</v>
      </c>
      <c r="AI6529" t="s">
        <v>67</v>
      </c>
      <c r="AJ6529" t="s">
        <v>108</v>
      </c>
      <c r="AK6529" s="3" t="s">
        <v>27</v>
      </c>
      <c r="AL6529" s="3">
        <v>-1173.4150099999999</v>
      </c>
    </row>
    <row r="6530" spans="34:38">
      <c r="AH6530" t="s">
        <v>2236</v>
      </c>
      <c r="AI6530" t="s">
        <v>68</v>
      </c>
      <c r="AJ6530" t="s">
        <v>66</v>
      </c>
      <c r="AK6530" s="3" t="s">
        <v>27</v>
      </c>
      <c r="AL6530" s="3">
        <v>1850</v>
      </c>
    </row>
    <row r="6531" spans="34:38">
      <c r="AH6531" t="s">
        <v>2236</v>
      </c>
      <c r="AI6531" t="s">
        <v>68</v>
      </c>
      <c r="AJ6531" t="s">
        <v>72</v>
      </c>
      <c r="AK6531" s="3" t="s">
        <v>27</v>
      </c>
      <c r="AL6531" s="3">
        <v>1832.4794999999999</v>
      </c>
    </row>
    <row r="6532" spans="34:38">
      <c r="AH6532" t="s">
        <v>2236</v>
      </c>
      <c r="AI6532" t="s">
        <v>68</v>
      </c>
      <c r="AJ6532" t="s">
        <v>108</v>
      </c>
      <c r="AK6532" s="3" t="s">
        <v>27</v>
      </c>
      <c r="AL6532" s="3">
        <v>-17.520499999999998</v>
      </c>
    </row>
    <row r="6533" spans="34:38">
      <c r="AH6533" t="s">
        <v>2236</v>
      </c>
      <c r="AI6533" t="s">
        <v>65</v>
      </c>
      <c r="AJ6533" t="s">
        <v>113</v>
      </c>
      <c r="AK6533" s="3" t="s">
        <v>27</v>
      </c>
      <c r="AL6533" s="3">
        <v>2684.4941430591002</v>
      </c>
    </row>
    <row r="6534" spans="34:38">
      <c r="AH6534" t="s">
        <v>2236</v>
      </c>
      <c r="AI6534" t="s">
        <v>67</v>
      </c>
      <c r="AJ6534" t="s">
        <v>113</v>
      </c>
      <c r="AK6534" s="3" t="s">
        <v>27</v>
      </c>
      <c r="AL6534" s="3">
        <v>3748.6912349999998</v>
      </c>
    </row>
    <row r="6535" spans="34:38">
      <c r="AH6535" t="s">
        <v>2236</v>
      </c>
      <c r="AI6535" t="s">
        <v>65</v>
      </c>
      <c r="AJ6535" t="s">
        <v>2303</v>
      </c>
      <c r="AK6535" s="3" t="s">
        <v>27</v>
      </c>
      <c r="AL6535" s="3">
        <v>-734.17248809010005</v>
      </c>
    </row>
    <row r="6536" spans="34:38">
      <c r="AH6536" t="s">
        <v>2236</v>
      </c>
      <c r="AI6536" t="s">
        <v>67</v>
      </c>
      <c r="AJ6536" t="s">
        <v>2303</v>
      </c>
      <c r="AK6536" s="3" t="s">
        <v>27</v>
      </c>
      <c r="AL6536" s="3">
        <v>-4922.1062449999999</v>
      </c>
    </row>
    <row r="6537" spans="34:38">
      <c r="AH6537" t="s">
        <v>2236</v>
      </c>
      <c r="AI6537" t="s">
        <v>65</v>
      </c>
      <c r="AJ6537" t="s">
        <v>113</v>
      </c>
      <c r="AK6537" s="3" t="s">
        <v>20</v>
      </c>
      <c r="AL6537" s="3">
        <v>1603.1114809853</v>
      </c>
    </row>
    <row r="6538" spans="34:38">
      <c r="AH6538" t="s">
        <v>2237</v>
      </c>
      <c r="AI6538" t="s">
        <v>65</v>
      </c>
      <c r="AJ6538" t="s">
        <v>113</v>
      </c>
      <c r="AK6538" s="3" t="s">
        <v>20</v>
      </c>
      <c r="AL6538" s="3">
        <v>1589.4129651834</v>
      </c>
    </row>
    <row r="6539" spans="34:38">
      <c r="AH6539" t="s">
        <v>2237</v>
      </c>
      <c r="AI6539" t="s">
        <v>65</v>
      </c>
      <c r="AJ6539" t="s">
        <v>66</v>
      </c>
      <c r="AK6539" s="3" t="s">
        <v>27</v>
      </c>
      <c r="AL6539" s="3">
        <v>19752.5</v>
      </c>
    </row>
    <row r="6540" spans="34:38">
      <c r="AH6540" t="s">
        <v>2237</v>
      </c>
      <c r="AI6540" t="s">
        <v>65</v>
      </c>
      <c r="AJ6540" t="s">
        <v>72</v>
      </c>
      <c r="AK6540" s="3" t="s">
        <v>27</v>
      </c>
      <c r="AL6540" s="3">
        <v>21232.459470000002</v>
      </c>
    </row>
    <row r="6541" spans="34:38">
      <c r="AH6541" t="s">
        <v>2237</v>
      </c>
      <c r="AI6541" t="s">
        <v>65</v>
      </c>
      <c r="AJ6541" t="s">
        <v>108</v>
      </c>
      <c r="AK6541" s="3" t="s">
        <v>27</v>
      </c>
      <c r="AL6541" s="3">
        <v>1479.95947</v>
      </c>
    </row>
    <row r="6542" spans="34:38">
      <c r="AH6542" t="s">
        <v>2237</v>
      </c>
      <c r="AI6542" t="s">
        <v>67</v>
      </c>
      <c r="AJ6542" t="s">
        <v>66</v>
      </c>
      <c r="AK6542" s="3" t="s">
        <v>27</v>
      </c>
      <c r="AL6542" s="3">
        <v>-6982.5</v>
      </c>
    </row>
    <row r="6543" spans="34:38">
      <c r="AH6543" t="s">
        <v>2237</v>
      </c>
      <c r="AI6543" t="s">
        <v>67</v>
      </c>
      <c r="AJ6543" t="s">
        <v>72</v>
      </c>
      <c r="AK6543" s="3" t="s">
        <v>27</v>
      </c>
      <c r="AL6543" s="3">
        <v>-8173.3499099999999</v>
      </c>
    </row>
    <row r="6544" spans="34:38">
      <c r="AH6544" t="s">
        <v>2237</v>
      </c>
      <c r="AI6544" t="s">
        <v>67</v>
      </c>
      <c r="AJ6544" t="s">
        <v>108</v>
      </c>
      <c r="AK6544" s="3" t="s">
        <v>27</v>
      </c>
      <c r="AL6544" s="3">
        <v>-1190.8499099999999</v>
      </c>
    </row>
    <row r="6545" spans="34:38">
      <c r="AH6545" t="s">
        <v>2237</v>
      </c>
      <c r="AI6545" t="s">
        <v>68</v>
      </c>
      <c r="AJ6545" t="s">
        <v>66</v>
      </c>
      <c r="AK6545" s="3" t="s">
        <v>27</v>
      </c>
      <c r="AL6545" s="3">
        <v>250</v>
      </c>
    </row>
    <row r="6546" spans="34:38">
      <c r="AH6546" t="s">
        <v>2237</v>
      </c>
      <c r="AI6546" t="s">
        <v>68</v>
      </c>
      <c r="AJ6546" t="s">
        <v>72</v>
      </c>
      <c r="AK6546" s="3" t="s">
        <v>27</v>
      </c>
      <c r="AL6546" s="3">
        <v>261.041</v>
      </c>
    </row>
    <row r="6547" spans="34:38">
      <c r="AH6547" t="s">
        <v>2237</v>
      </c>
      <c r="AI6547" t="s">
        <v>68</v>
      </c>
      <c r="AJ6547" t="s">
        <v>108</v>
      </c>
      <c r="AK6547" s="3" t="s">
        <v>27</v>
      </c>
      <c r="AL6547" s="3">
        <v>11.041</v>
      </c>
    </row>
    <row r="6548" spans="34:38">
      <c r="AH6548" t="s">
        <v>2237</v>
      </c>
      <c r="AI6548" t="s">
        <v>65</v>
      </c>
      <c r="AJ6548" t="s">
        <v>113</v>
      </c>
      <c r="AK6548" s="3" t="s">
        <v>27</v>
      </c>
      <c r="AL6548" s="3">
        <v>2671.2713386551</v>
      </c>
    </row>
    <row r="6549" spans="34:38">
      <c r="AH6549" t="s">
        <v>2237</v>
      </c>
      <c r="AI6549" t="s">
        <v>67</v>
      </c>
      <c r="AJ6549" t="s">
        <v>113</v>
      </c>
      <c r="AK6549" s="3" t="s">
        <v>27</v>
      </c>
      <c r="AL6549" s="3">
        <v>3748.6912349999998</v>
      </c>
    </row>
    <row r="6550" spans="34:38">
      <c r="AH6550" t="s">
        <v>2237</v>
      </c>
      <c r="AI6550" t="s">
        <v>65</v>
      </c>
      <c r="AJ6550" t="s">
        <v>2303</v>
      </c>
      <c r="AK6550" s="3" t="s">
        <v>27</v>
      </c>
      <c r="AL6550" s="3">
        <v>-731.67257023310003</v>
      </c>
    </row>
    <row r="6551" spans="34:38">
      <c r="AH6551" t="s">
        <v>2237</v>
      </c>
      <c r="AI6551" t="s">
        <v>67</v>
      </c>
      <c r="AJ6551" t="s">
        <v>2303</v>
      </c>
      <c r="AK6551" s="3" t="s">
        <v>27</v>
      </c>
      <c r="AL6551" s="3">
        <v>-4939.5411450000001</v>
      </c>
    </row>
    <row r="6552" spans="34:38">
      <c r="AH6552" t="s">
        <v>2238</v>
      </c>
      <c r="AI6552" t="s">
        <v>65</v>
      </c>
      <c r="AJ6552" t="s">
        <v>113</v>
      </c>
      <c r="AK6552" s="3" t="s">
        <v>20</v>
      </c>
      <c r="AL6552" s="3">
        <v>1579.4637912646001</v>
      </c>
    </row>
    <row r="6553" spans="34:38">
      <c r="AH6553" t="s">
        <v>2238</v>
      </c>
      <c r="AI6553" t="s">
        <v>65</v>
      </c>
      <c r="AJ6553" t="s">
        <v>66</v>
      </c>
      <c r="AK6553" s="3" t="s">
        <v>27</v>
      </c>
      <c r="AL6553" s="3">
        <v>19697.560399999998</v>
      </c>
    </row>
    <row r="6554" spans="34:38">
      <c r="AH6554" t="s">
        <v>2238</v>
      </c>
      <c r="AI6554" t="s">
        <v>65</v>
      </c>
      <c r="AJ6554" t="s">
        <v>72</v>
      </c>
      <c r="AK6554" s="3" t="s">
        <v>27</v>
      </c>
      <c r="AL6554" s="3">
        <v>21181.735985531999</v>
      </c>
    </row>
    <row r="6555" spans="34:38">
      <c r="AH6555" t="s">
        <v>2238</v>
      </c>
      <c r="AI6555" t="s">
        <v>65</v>
      </c>
      <c r="AJ6555" t="s">
        <v>108</v>
      </c>
      <c r="AK6555" s="3" t="s">
        <v>27</v>
      </c>
      <c r="AL6555" s="3">
        <v>1484.175585532</v>
      </c>
    </row>
    <row r="6556" spans="34:38">
      <c r="AH6556" t="s">
        <v>2238</v>
      </c>
      <c r="AI6556" t="s">
        <v>67</v>
      </c>
      <c r="AJ6556" t="s">
        <v>66</v>
      </c>
      <c r="AK6556" s="3" t="s">
        <v>27</v>
      </c>
      <c r="AL6556" s="3">
        <v>-7327.5604000000003</v>
      </c>
    </row>
    <row r="6557" spans="34:38">
      <c r="AH6557" t="s">
        <v>2238</v>
      </c>
      <c r="AI6557" t="s">
        <v>67</v>
      </c>
      <c r="AJ6557" t="s">
        <v>72</v>
      </c>
      <c r="AK6557" s="3" t="s">
        <v>27</v>
      </c>
      <c r="AL6557" s="3">
        <v>-8534.568685532</v>
      </c>
    </row>
    <row r="6558" spans="34:38">
      <c r="AH6558" t="s">
        <v>2238</v>
      </c>
      <c r="AI6558" t="s">
        <v>67</v>
      </c>
      <c r="AJ6558" t="s">
        <v>108</v>
      </c>
      <c r="AK6558" s="3" t="s">
        <v>27</v>
      </c>
      <c r="AL6558" s="3">
        <v>-1207.0082855319999</v>
      </c>
    </row>
    <row r="6559" spans="34:38">
      <c r="AH6559" t="s">
        <v>2238</v>
      </c>
      <c r="AI6559" t="s">
        <v>68</v>
      </c>
      <c r="AJ6559" t="s">
        <v>66</v>
      </c>
      <c r="AK6559" s="3" t="s">
        <v>27</v>
      </c>
      <c r="AL6559" s="3">
        <v>350</v>
      </c>
    </row>
    <row r="6560" spans="34:38">
      <c r="AH6560" t="s">
        <v>2238</v>
      </c>
      <c r="AI6560" t="s">
        <v>68</v>
      </c>
      <c r="AJ6560" t="s">
        <v>72</v>
      </c>
      <c r="AK6560" s="3" t="s">
        <v>27</v>
      </c>
      <c r="AL6560" s="3">
        <v>374.82</v>
      </c>
    </row>
    <row r="6561" spans="34:38">
      <c r="AH6561" t="s">
        <v>2238</v>
      </c>
      <c r="AI6561" t="s">
        <v>68</v>
      </c>
      <c r="AJ6561" t="s">
        <v>108</v>
      </c>
      <c r="AK6561" s="3" t="s">
        <v>27</v>
      </c>
      <c r="AL6561" s="3">
        <v>24.82</v>
      </c>
    </row>
    <row r="6562" spans="34:38">
      <c r="AH6562" t="s">
        <v>2238</v>
      </c>
      <c r="AI6562" t="s">
        <v>65</v>
      </c>
      <c r="AJ6562" t="s">
        <v>113</v>
      </c>
      <c r="AK6562" s="3" t="s">
        <v>27</v>
      </c>
      <c r="AL6562" s="3">
        <v>2680.8132620431002</v>
      </c>
    </row>
    <row r="6563" spans="34:38">
      <c r="AH6563" t="s">
        <v>2238</v>
      </c>
      <c r="AI6563" t="s">
        <v>67</v>
      </c>
      <c r="AJ6563" t="s">
        <v>113</v>
      </c>
      <c r="AK6563" s="3" t="s">
        <v>27</v>
      </c>
      <c r="AL6563" s="3">
        <v>3748.6912349999998</v>
      </c>
    </row>
    <row r="6564" spans="34:38">
      <c r="AH6564" t="s">
        <v>2238</v>
      </c>
      <c r="AI6564" t="s">
        <v>65</v>
      </c>
      <c r="AJ6564" t="s">
        <v>2303</v>
      </c>
      <c r="AK6564" s="3" t="s">
        <v>27</v>
      </c>
      <c r="AL6564" s="3">
        <v>-736.20396772710001</v>
      </c>
    </row>
    <row r="6565" spans="34:38">
      <c r="AH6565" t="s">
        <v>2238</v>
      </c>
      <c r="AI6565" t="s">
        <v>67</v>
      </c>
      <c r="AJ6565" t="s">
        <v>2303</v>
      </c>
      <c r="AK6565" s="3" t="s">
        <v>27</v>
      </c>
      <c r="AL6565" s="3">
        <v>-4955.699520532</v>
      </c>
    </row>
    <row r="6566" spans="34:38">
      <c r="AH6566" t="s">
        <v>2239</v>
      </c>
      <c r="AI6566" t="s">
        <v>65</v>
      </c>
      <c r="AJ6566" t="s">
        <v>113</v>
      </c>
      <c r="AK6566" s="3" t="s">
        <v>20</v>
      </c>
      <c r="AL6566" s="3">
        <v>1598.0034657701001</v>
      </c>
    </row>
    <row r="6567" spans="34:38">
      <c r="AH6567" t="s">
        <v>2239</v>
      </c>
      <c r="AI6567" t="s">
        <v>65</v>
      </c>
      <c r="AJ6567" t="s">
        <v>66</v>
      </c>
      <c r="AK6567" s="3" t="s">
        <v>27</v>
      </c>
      <c r="AL6567" s="3">
        <v>19947.560399999998</v>
      </c>
    </row>
    <row r="6568" spans="34:38">
      <c r="AH6568" t="s">
        <v>2239</v>
      </c>
      <c r="AI6568" t="s">
        <v>65</v>
      </c>
      <c r="AJ6568" t="s">
        <v>72</v>
      </c>
      <c r="AK6568" s="3" t="s">
        <v>27</v>
      </c>
      <c r="AL6568" s="3">
        <v>21446.924402511999</v>
      </c>
    </row>
    <row r="6569" spans="34:38">
      <c r="AH6569" t="s">
        <v>2239</v>
      </c>
      <c r="AI6569" t="s">
        <v>65</v>
      </c>
      <c r="AJ6569" t="s">
        <v>108</v>
      </c>
      <c r="AK6569" s="3" t="s">
        <v>27</v>
      </c>
      <c r="AL6569" s="3">
        <v>1499.3640025120001</v>
      </c>
    </row>
    <row r="6570" spans="34:38">
      <c r="AH6570" t="s">
        <v>2239</v>
      </c>
      <c r="AI6570" t="s">
        <v>67</v>
      </c>
      <c r="AJ6570" t="s">
        <v>66</v>
      </c>
      <c r="AK6570" s="3" t="s">
        <v>27</v>
      </c>
      <c r="AL6570" s="3">
        <v>-7682.5</v>
      </c>
    </row>
    <row r="6571" spans="34:38">
      <c r="AH6571" t="s">
        <v>2239</v>
      </c>
      <c r="AI6571" t="s">
        <v>67</v>
      </c>
      <c r="AJ6571" t="s">
        <v>72</v>
      </c>
      <c r="AK6571" s="3" t="s">
        <v>27</v>
      </c>
      <c r="AL6571" s="3">
        <v>-8914.9853199999998</v>
      </c>
    </row>
    <row r="6572" spans="34:38">
      <c r="AH6572" t="s">
        <v>2239</v>
      </c>
      <c r="AI6572" t="s">
        <v>67</v>
      </c>
      <c r="AJ6572" t="s">
        <v>108</v>
      </c>
      <c r="AK6572" s="3" t="s">
        <v>27</v>
      </c>
      <c r="AL6572" s="3">
        <v>-1232.48532</v>
      </c>
    </row>
    <row r="6573" spans="34:38">
      <c r="AH6573" t="s">
        <v>2239</v>
      </c>
      <c r="AI6573" t="s">
        <v>68</v>
      </c>
      <c r="AJ6573" t="s">
        <v>66</v>
      </c>
      <c r="AK6573" s="3" t="s">
        <v>27</v>
      </c>
      <c r="AL6573" s="3">
        <v>404.93959999999998</v>
      </c>
    </row>
    <row r="6574" spans="34:38">
      <c r="AH6574" t="s">
        <v>2239</v>
      </c>
      <c r="AI6574" t="s">
        <v>68</v>
      </c>
      <c r="AJ6574" t="s">
        <v>72</v>
      </c>
      <c r="AK6574" s="3" t="s">
        <v>27</v>
      </c>
      <c r="AL6574" s="3">
        <v>438.92787748799998</v>
      </c>
    </row>
    <row r="6575" spans="34:38">
      <c r="AH6575" t="s">
        <v>2239</v>
      </c>
      <c r="AI6575" t="s">
        <v>68</v>
      </c>
      <c r="AJ6575" t="s">
        <v>108</v>
      </c>
      <c r="AK6575" s="3" t="s">
        <v>27</v>
      </c>
      <c r="AL6575" s="3">
        <v>33.988277488000001</v>
      </c>
    </row>
    <row r="6576" spans="34:38">
      <c r="AH6576" t="s">
        <v>2239</v>
      </c>
      <c r="AI6576" t="s">
        <v>65</v>
      </c>
      <c r="AJ6576" t="s">
        <v>113</v>
      </c>
      <c r="AK6576" s="3" t="s">
        <v>27</v>
      </c>
      <c r="AL6576" s="3">
        <v>2603.4338098860999</v>
      </c>
    </row>
    <row r="6577" spans="34:38">
      <c r="AH6577" t="s">
        <v>2239</v>
      </c>
      <c r="AI6577" t="s">
        <v>67</v>
      </c>
      <c r="AJ6577" t="s">
        <v>113</v>
      </c>
      <c r="AK6577" s="3" t="s">
        <v>27</v>
      </c>
      <c r="AL6577" s="3">
        <v>3748.6912349999998</v>
      </c>
    </row>
    <row r="6578" spans="34:38">
      <c r="AH6578" t="s">
        <v>2239</v>
      </c>
      <c r="AI6578" t="s">
        <v>65</v>
      </c>
      <c r="AJ6578" t="s">
        <v>2303</v>
      </c>
      <c r="AK6578" s="3" t="s">
        <v>27</v>
      </c>
      <c r="AL6578" s="3">
        <v>-645.18522927310005</v>
      </c>
    </row>
    <row r="6579" spans="34:38">
      <c r="AH6579" t="s">
        <v>2239</v>
      </c>
      <c r="AI6579" t="s">
        <v>67</v>
      </c>
      <c r="AJ6579" t="s">
        <v>2303</v>
      </c>
      <c r="AK6579" s="3" t="s">
        <v>27</v>
      </c>
      <c r="AL6579" s="3">
        <v>-4981.176555</v>
      </c>
    </row>
    <row r="6580" spans="34:38">
      <c r="AH6580" t="s">
        <v>2240</v>
      </c>
      <c r="AI6580" t="s">
        <v>65</v>
      </c>
      <c r="AJ6580" t="s">
        <v>113</v>
      </c>
      <c r="AK6580" s="3" t="s">
        <v>20</v>
      </c>
      <c r="AL6580" s="3">
        <v>1521.2784151945</v>
      </c>
    </row>
    <row r="6581" spans="34:38">
      <c r="AH6581" t="s">
        <v>2240</v>
      </c>
      <c r="AI6581" t="s">
        <v>65</v>
      </c>
      <c r="AJ6581" t="s">
        <v>66</v>
      </c>
      <c r="AK6581" s="3" t="s">
        <v>27</v>
      </c>
      <c r="AL6581" s="3">
        <v>19297.560399999998</v>
      </c>
    </row>
    <row r="6582" spans="34:38">
      <c r="AH6582" t="s">
        <v>2240</v>
      </c>
      <c r="AI6582" t="s">
        <v>65</v>
      </c>
      <c r="AJ6582" t="s">
        <v>72</v>
      </c>
      <c r="AK6582" s="3" t="s">
        <v>27</v>
      </c>
      <c r="AL6582" s="3">
        <v>20738.712729687999</v>
      </c>
    </row>
    <row r="6583" spans="34:38">
      <c r="AH6583" t="s">
        <v>2240</v>
      </c>
      <c r="AI6583" t="s">
        <v>65</v>
      </c>
      <c r="AJ6583" t="s">
        <v>108</v>
      </c>
      <c r="AK6583" s="3" t="s">
        <v>27</v>
      </c>
      <c r="AL6583" s="3">
        <v>1441.152329688</v>
      </c>
    </row>
    <row r="6584" spans="34:38">
      <c r="AH6584" t="s">
        <v>2240</v>
      </c>
      <c r="AI6584" t="s">
        <v>67</v>
      </c>
      <c r="AJ6584" t="s">
        <v>66</v>
      </c>
      <c r="AK6584" s="3" t="s">
        <v>27</v>
      </c>
      <c r="AL6584" s="3">
        <v>-7092.5</v>
      </c>
    </row>
    <row r="6585" spans="34:38">
      <c r="AH6585" t="s">
        <v>2240</v>
      </c>
      <c r="AI6585" t="s">
        <v>67</v>
      </c>
      <c r="AJ6585" t="s">
        <v>72</v>
      </c>
      <c r="AK6585" s="3" t="s">
        <v>27</v>
      </c>
      <c r="AL6585" s="3">
        <v>-8275.8942299999999</v>
      </c>
    </row>
    <row r="6586" spans="34:38">
      <c r="AH6586" t="s">
        <v>2240</v>
      </c>
      <c r="AI6586" t="s">
        <v>67</v>
      </c>
      <c r="AJ6586" t="s">
        <v>108</v>
      </c>
      <c r="AK6586" s="3" t="s">
        <v>27</v>
      </c>
      <c r="AL6586" s="3">
        <v>-1183.3942300000001</v>
      </c>
    </row>
    <row r="6587" spans="34:38">
      <c r="AH6587" t="s">
        <v>2240</v>
      </c>
      <c r="AI6587" t="s">
        <v>68</v>
      </c>
      <c r="AJ6587" t="s">
        <v>66</v>
      </c>
      <c r="AK6587" s="3" t="s">
        <v>27</v>
      </c>
      <c r="AL6587" s="3">
        <v>464.93959999999998</v>
      </c>
    </row>
    <row r="6588" spans="34:38">
      <c r="AH6588" t="s">
        <v>2240</v>
      </c>
      <c r="AI6588" t="s">
        <v>68</v>
      </c>
      <c r="AJ6588" t="s">
        <v>72</v>
      </c>
      <c r="AK6588" s="3" t="s">
        <v>27</v>
      </c>
      <c r="AL6588" s="3">
        <v>523.58436031199994</v>
      </c>
    </row>
    <row r="6589" spans="34:38">
      <c r="AH6589" t="s">
        <v>2240</v>
      </c>
      <c r="AI6589" t="s">
        <v>68</v>
      </c>
      <c r="AJ6589" t="s">
        <v>108</v>
      </c>
      <c r="AK6589" s="3" t="s">
        <v>27</v>
      </c>
      <c r="AL6589" s="3">
        <v>58.644760312000003</v>
      </c>
    </row>
    <row r="6590" spans="34:38">
      <c r="AH6590" t="s">
        <v>2240</v>
      </c>
      <c r="AI6590" t="s">
        <v>65</v>
      </c>
      <c r="AJ6590" t="s">
        <v>113</v>
      </c>
      <c r="AK6590" s="3" t="s">
        <v>27</v>
      </c>
      <c r="AL6590" s="3">
        <v>2605.9910570750999</v>
      </c>
    </row>
    <row r="6591" spans="34:38">
      <c r="AH6591" t="s">
        <v>2240</v>
      </c>
      <c r="AI6591" t="s">
        <v>67</v>
      </c>
      <c r="AJ6591" t="s">
        <v>113</v>
      </c>
      <c r="AK6591" s="3" t="s">
        <v>27</v>
      </c>
      <c r="AL6591" s="3">
        <v>3748.6912349999998</v>
      </c>
    </row>
    <row r="6592" spans="34:38">
      <c r="AH6592" t="s">
        <v>2240</v>
      </c>
      <c r="AI6592" t="s">
        <v>65</v>
      </c>
      <c r="AJ6592" t="s">
        <v>2303</v>
      </c>
      <c r="AK6592" s="3" t="s">
        <v>27</v>
      </c>
      <c r="AL6592" s="3">
        <v>-694.9595983511</v>
      </c>
    </row>
    <row r="6593" spans="34:38">
      <c r="AH6593" t="s">
        <v>2240</v>
      </c>
      <c r="AI6593" t="s">
        <v>67</v>
      </c>
      <c r="AJ6593" t="s">
        <v>2303</v>
      </c>
      <c r="AK6593" s="3" t="s">
        <v>27</v>
      </c>
      <c r="AL6593" s="3">
        <v>-4932.0854650000001</v>
      </c>
    </row>
    <row r="6594" spans="34:38">
      <c r="AH6594" t="s">
        <v>2241</v>
      </c>
      <c r="AI6594" t="s">
        <v>65</v>
      </c>
      <c r="AJ6594" t="s">
        <v>66</v>
      </c>
      <c r="AK6594" s="3" t="s">
        <v>27</v>
      </c>
      <c r="AL6594" s="3">
        <v>19407.560399999998</v>
      </c>
    </row>
    <row r="6595" spans="34:38">
      <c r="AH6595" t="s">
        <v>2241</v>
      </c>
      <c r="AI6595" t="s">
        <v>65</v>
      </c>
      <c r="AJ6595" t="s">
        <v>72</v>
      </c>
      <c r="AK6595" s="3" t="s">
        <v>27</v>
      </c>
      <c r="AL6595" s="3">
        <v>20881.73056684</v>
      </c>
    </row>
    <row r="6596" spans="34:38">
      <c r="AH6596" t="s">
        <v>2241</v>
      </c>
      <c r="AI6596" t="s">
        <v>65</v>
      </c>
      <c r="AJ6596" t="s">
        <v>108</v>
      </c>
      <c r="AK6596" s="3" t="s">
        <v>27</v>
      </c>
      <c r="AL6596" s="3">
        <v>1474.1701668400001</v>
      </c>
    </row>
    <row r="6597" spans="34:38">
      <c r="AH6597" t="s">
        <v>2241</v>
      </c>
      <c r="AI6597" t="s">
        <v>67</v>
      </c>
      <c r="AJ6597" t="s">
        <v>66</v>
      </c>
      <c r="AK6597" s="3" t="s">
        <v>27</v>
      </c>
      <c r="AL6597" s="3">
        <v>-7702.5</v>
      </c>
    </row>
    <row r="6598" spans="34:38">
      <c r="AH6598" t="s">
        <v>2241</v>
      </c>
      <c r="AI6598" t="s">
        <v>67</v>
      </c>
      <c r="AJ6598" t="s">
        <v>72</v>
      </c>
      <c r="AK6598" s="3" t="s">
        <v>27</v>
      </c>
      <c r="AL6598" s="3">
        <v>-9007.2470850000009</v>
      </c>
    </row>
    <row r="6599" spans="34:38">
      <c r="AH6599" t="s">
        <v>2241</v>
      </c>
      <c r="AI6599" t="s">
        <v>67</v>
      </c>
      <c r="AJ6599" t="s">
        <v>108</v>
      </c>
      <c r="AK6599" s="3" t="s">
        <v>27</v>
      </c>
      <c r="AL6599" s="3">
        <v>-1304.747085</v>
      </c>
    </row>
    <row r="6600" spans="34:38">
      <c r="AH6600" t="s">
        <v>2241</v>
      </c>
      <c r="AI6600" t="s">
        <v>68</v>
      </c>
      <c r="AJ6600" t="s">
        <v>66</v>
      </c>
      <c r="AK6600" s="3" t="s">
        <v>27</v>
      </c>
      <c r="AL6600" s="3">
        <v>1114.9395999999999</v>
      </c>
    </row>
    <row r="6601" spans="34:38">
      <c r="AH6601" t="s">
        <v>2241</v>
      </c>
      <c r="AI6601" t="s">
        <v>68</v>
      </c>
      <c r="AJ6601" t="s">
        <v>72</v>
      </c>
      <c r="AK6601" s="3" t="s">
        <v>27</v>
      </c>
      <c r="AL6601" s="3">
        <v>1246.89485816</v>
      </c>
    </row>
    <row r="6602" spans="34:38">
      <c r="AH6602" t="s">
        <v>2241</v>
      </c>
      <c r="AI6602" t="s">
        <v>68</v>
      </c>
      <c r="AJ6602" t="s">
        <v>108</v>
      </c>
      <c r="AK6602" s="3" t="s">
        <v>27</v>
      </c>
      <c r="AL6602" s="3">
        <v>131.95525816</v>
      </c>
    </row>
    <row r="6603" spans="34:38">
      <c r="AH6603" t="s">
        <v>2241</v>
      </c>
      <c r="AI6603" t="s">
        <v>65</v>
      </c>
      <c r="AJ6603" t="s">
        <v>113</v>
      </c>
      <c r="AK6603" s="3" t="s">
        <v>27</v>
      </c>
      <c r="AL6603" s="3">
        <v>2652.1552702930999</v>
      </c>
    </row>
    <row r="6604" spans="34:38">
      <c r="AH6604" t="s">
        <v>2241</v>
      </c>
      <c r="AI6604" t="s">
        <v>67</v>
      </c>
      <c r="AJ6604" t="s">
        <v>113</v>
      </c>
      <c r="AK6604" s="3" t="s">
        <v>27</v>
      </c>
      <c r="AL6604" s="3">
        <v>3748.6912349999998</v>
      </c>
    </row>
    <row r="6605" spans="34:38">
      <c r="AH6605" t="s">
        <v>2241</v>
      </c>
      <c r="AI6605" t="s">
        <v>65</v>
      </c>
      <c r="AJ6605" t="s">
        <v>2303</v>
      </c>
      <c r="AK6605" s="3" t="s">
        <v>27</v>
      </c>
      <c r="AL6605" s="3">
        <v>-724.23165007310001</v>
      </c>
    </row>
    <row r="6606" spans="34:38">
      <c r="AH6606" t="s">
        <v>2241</v>
      </c>
      <c r="AI6606" t="s">
        <v>67</v>
      </c>
      <c r="AJ6606" t="s">
        <v>2303</v>
      </c>
      <c r="AK6606" s="3" t="s">
        <v>27</v>
      </c>
      <c r="AL6606" s="3">
        <v>-5053.4383200000002</v>
      </c>
    </row>
    <row r="6607" spans="34:38">
      <c r="AH6607" t="s">
        <v>2241</v>
      </c>
      <c r="AI6607" t="s">
        <v>65</v>
      </c>
      <c r="AJ6607" t="s">
        <v>113</v>
      </c>
      <c r="AK6607" s="3" t="s">
        <v>20</v>
      </c>
      <c r="AL6607" s="3">
        <v>1566.9669170109</v>
      </c>
    </row>
    <row r="6608" spans="34:38">
      <c r="AH6608" t="s">
        <v>2242</v>
      </c>
      <c r="AI6608" t="s">
        <v>65</v>
      </c>
      <c r="AJ6608" t="s">
        <v>113</v>
      </c>
      <c r="AK6608" s="3" t="s">
        <v>20</v>
      </c>
      <c r="AL6608" s="3">
        <v>1559.2475041903999</v>
      </c>
    </row>
    <row r="6609" spans="34:38">
      <c r="AH6609" t="s">
        <v>2242</v>
      </c>
      <c r="AI6609" t="s">
        <v>65</v>
      </c>
      <c r="AJ6609" t="s">
        <v>66</v>
      </c>
      <c r="AK6609" s="3" t="s">
        <v>27</v>
      </c>
      <c r="AL6609" s="3">
        <v>19757.560399999998</v>
      </c>
    </row>
    <row r="6610" spans="34:38">
      <c r="AH6610" t="s">
        <v>2242</v>
      </c>
      <c r="AI6610" t="s">
        <v>65</v>
      </c>
      <c r="AJ6610" t="s">
        <v>72</v>
      </c>
      <c r="AK6610" s="3" t="s">
        <v>27</v>
      </c>
      <c r="AL6610" s="3">
        <v>21292.690150147999</v>
      </c>
    </row>
    <row r="6611" spans="34:38">
      <c r="AH6611" t="s">
        <v>2242</v>
      </c>
      <c r="AI6611" t="s">
        <v>65</v>
      </c>
      <c r="AJ6611" t="s">
        <v>108</v>
      </c>
      <c r="AK6611" s="3" t="s">
        <v>27</v>
      </c>
      <c r="AL6611" s="3">
        <v>1535.1297501480001</v>
      </c>
    </row>
    <row r="6612" spans="34:38">
      <c r="AH6612" t="s">
        <v>2242</v>
      </c>
      <c r="AI6612" t="s">
        <v>67</v>
      </c>
      <c r="AJ6612" t="s">
        <v>66</v>
      </c>
      <c r="AK6612" s="3" t="s">
        <v>27</v>
      </c>
      <c r="AL6612" s="3">
        <v>-8442.5</v>
      </c>
    </row>
    <row r="6613" spans="34:38">
      <c r="AH6613" t="s">
        <v>2242</v>
      </c>
      <c r="AI6613" t="s">
        <v>67</v>
      </c>
      <c r="AJ6613" t="s">
        <v>72</v>
      </c>
      <c r="AK6613" s="3" t="s">
        <v>27</v>
      </c>
      <c r="AL6613" s="3">
        <v>-9696.4734399999998</v>
      </c>
    </row>
    <row r="6614" spans="34:38">
      <c r="AH6614" t="s">
        <v>2242</v>
      </c>
      <c r="AI6614" t="s">
        <v>67</v>
      </c>
      <c r="AJ6614" t="s">
        <v>108</v>
      </c>
      <c r="AK6614" s="3" t="s">
        <v>27</v>
      </c>
      <c r="AL6614" s="3">
        <v>-1253.97344</v>
      </c>
    </row>
    <row r="6615" spans="34:38">
      <c r="AH6615" t="s">
        <v>2242</v>
      </c>
      <c r="AI6615" t="s">
        <v>68</v>
      </c>
      <c r="AJ6615" t="s">
        <v>66</v>
      </c>
      <c r="AK6615" s="3" t="s">
        <v>27</v>
      </c>
      <c r="AL6615" s="3">
        <v>1504.9395999999999</v>
      </c>
    </row>
    <row r="6616" spans="34:38">
      <c r="AH6616" t="s">
        <v>2242</v>
      </c>
      <c r="AI6616" t="s">
        <v>68</v>
      </c>
      <c r="AJ6616" t="s">
        <v>72</v>
      </c>
      <c r="AK6616" s="3" t="s">
        <v>27</v>
      </c>
      <c r="AL6616" s="3">
        <v>1595.050589852</v>
      </c>
    </row>
    <row r="6617" spans="34:38">
      <c r="AH6617" t="s">
        <v>2242</v>
      </c>
      <c r="AI6617" t="s">
        <v>68</v>
      </c>
      <c r="AJ6617" t="s">
        <v>108</v>
      </c>
      <c r="AK6617" s="3" t="s">
        <v>27</v>
      </c>
      <c r="AL6617" s="3">
        <v>90.110989852000003</v>
      </c>
    </row>
    <row r="6618" spans="34:38">
      <c r="AH6618" t="s">
        <v>2242</v>
      </c>
      <c r="AI6618" t="s">
        <v>65</v>
      </c>
      <c r="AJ6618" t="s">
        <v>113</v>
      </c>
      <c r="AK6618" s="3" t="s">
        <v>27</v>
      </c>
      <c r="AL6618" s="3">
        <v>2542.9740687920998</v>
      </c>
    </row>
    <row r="6619" spans="34:38">
      <c r="AH6619" t="s">
        <v>2242</v>
      </c>
      <c r="AI6619" t="s">
        <v>67</v>
      </c>
      <c r="AJ6619" t="s">
        <v>113</v>
      </c>
      <c r="AK6619" s="3" t="s">
        <v>27</v>
      </c>
      <c r="AL6619" s="3">
        <v>3748.6912349999998</v>
      </c>
    </row>
    <row r="6620" spans="34:38">
      <c r="AH6620" t="s">
        <v>2242</v>
      </c>
      <c r="AI6620" t="s">
        <v>65</v>
      </c>
      <c r="AJ6620" t="s">
        <v>2303</v>
      </c>
      <c r="AK6620" s="3" t="s">
        <v>27</v>
      </c>
      <c r="AL6620" s="3">
        <v>-481.10728034210001</v>
      </c>
    </row>
    <row r="6621" spans="34:38">
      <c r="AH6621" t="s">
        <v>2242</v>
      </c>
      <c r="AI6621" t="s">
        <v>67</v>
      </c>
      <c r="AJ6621" t="s">
        <v>2303</v>
      </c>
      <c r="AK6621" s="3" t="s">
        <v>27</v>
      </c>
      <c r="AL6621" s="3">
        <v>-5002.664675</v>
      </c>
    </row>
    <row r="6622" spans="34:38">
      <c r="AH6622" t="s">
        <v>2243</v>
      </c>
      <c r="AI6622" t="s">
        <v>65</v>
      </c>
      <c r="AJ6622" t="s">
        <v>66</v>
      </c>
      <c r="AK6622" s="3" t="s">
        <v>27</v>
      </c>
      <c r="AL6622" s="3">
        <v>19657.560399999998</v>
      </c>
    </row>
    <row r="6623" spans="34:38">
      <c r="AH6623" t="s">
        <v>2243</v>
      </c>
      <c r="AI6623" t="s">
        <v>65</v>
      </c>
      <c r="AJ6623" t="s">
        <v>72</v>
      </c>
      <c r="AK6623" s="3" t="s">
        <v>27</v>
      </c>
      <c r="AL6623" s="3">
        <v>21085.587004812001</v>
      </c>
    </row>
    <row r="6624" spans="34:38">
      <c r="AH6624" t="s">
        <v>2243</v>
      </c>
      <c r="AI6624" t="s">
        <v>65</v>
      </c>
      <c r="AJ6624" t="s">
        <v>108</v>
      </c>
      <c r="AK6624" s="3" t="s">
        <v>27</v>
      </c>
      <c r="AL6624" s="3">
        <v>1428.026604812</v>
      </c>
    </row>
    <row r="6625" spans="34:38">
      <c r="AH6625" t="s">
        <v>2243</v>
      </c>
      <c r="AI6625" t="s">
        <v>67</v>
      </c>
      <c r="AJ6625" t="s">
        <v>66</v>
      </c>
      <c r="AK6625" s="3" t="s">
        <v>27</v>
      </c>
      <c r="AL6625" s="3">
        <v>-7492.5</v>
      </c>
    </row>
    <row r="6626" spans="34:38">
      <c r="AH6626" t="s">
        <v>2243</v>
      </c>
      <c r="AI6626" t="s">
        <v>67</v>
      </c>
      <c r="AJ6626" t="s">
        <v>72</v>
      </c>
      <c r="AK6626" s="3" t="s">
        <v>27</v>
      </c>
      <c r="AL6626" s="3">
        <v>-8642.2332449999994</v>
      </c>
    </row>
    <row r="6627" spans="34:38">
      <c r="AH6627" t="s">
        <v>2243</v>
      </c>
      <c r="AI6627" t="s">
        <v>67</v>
      </c>
      <c r="AJ6627" t="s">
        <v>108</v>
      </c>
      <c r="AK6627" s="3" t="s">
        <v>27</v>
      </c>
      <c r="AL6627" s="3">
        <v>-1149.7332449999999</v>
      </c>
    </row>
    <row r="6628" spans="34:38">
      <c r="AH6628" t="s">
        <v>2243</v>
      </c>
      <c r="AI6628" t="s">
        <v>68</v>
      </c>
      <c r="AJ6628" t="s">
        <v>66</v>
      </c>
      <c r="AK6628" s="3" t="s">
        <v>27</v>
      </c>
      <c r="AL6628" s="3">
        <v>954.93960000000004</v>
      </c>
    </row>
    <row r="6629" spans="34:38">
      <c r="AH6629" t="s">
        <v>2243</v>
      </c>
      <c r="AI6629" t="s">
        <v>68</v>
      </c>
      <c r="AJ6629" t="s">
        <v>72</v>
      </c>
      <c r="AK6629" s="3" t="s">
        <v>27</v>
      </c>
      <c r="AL6629" s="3">
        <v>1053.5887801880001</v>
      </c>
    </row>
    <row r="6630" spans="34:38">
      <c r="AH6630" t="s">
        <v>2243</v>
      </c>
      <c r="AI6630" t="s">
        <v>68</v>
      </c>
      <c r="AJ6630" t="s">
        <v>108</v>
      </c>
      <c r="AK6630" s="3" t="s">
        <v>27</v>
      </c>
      <c r="AL6630" s="3">
        <v>98.649180188000003</v>
      </c>
    </row>
    <row r="6631" spans="34:38">
      <c r="AH6631" t="s">
        <v>2243</v>
      </c>
      <c r="AI6631" t="s">
        <v>65</v>
      </c>
      <c r="AJ6631" t="s">
        <v>113</v>
      </c>
      <c r="AK6631" s="3" t="s">
        <v>27</v>
      </c>
      <c r="AL6631" s="3">
        <v>2542.9740687920998</v>
      </c>
    </row>
    <row r="6632" spans="34:38">
      <c r="AH6632" t="s">
        <v>2243</v>
      </c>
      <c r="AI6632" t="s">
        <v>67</v>
      </c>
      <c r="AJ6632" t="s">
        <v>113</v>
      </c>
      <c r="AK6632" s="3" t="s">
        <v>27</v>
      </c>
      <c r="AL6632" s="3">
        <v>3748.6912349999998</v>
      </c>
    </row>
    <row r="6633" spans="34:38">
      <c r="AH6633" t="s">
        <v>2243</v>
      </c>
      <c r="AI6633" t="s">
        <v>65</v>
      </c>
      <c r="AJ6633" t="s">
        <v>2303</v>
      </c>
      <c r="AK6633" s="3" t="s">
        <v>27</v>
      </c>
      <c r="AL6633" s="3">
        <v>-589.64373196710005</v>
      </c>
    </row>
    <row r="6634" spans="34:38">
      <c r="AH6634" t="s">
        <v>2243</v>
      </c>
      <c r="AI6634" t="s">
        <v>67</v>
      </c>
      <c r="AJ6634" t="s">
        <v>2303</v>
      </c>
      <c r="AK6634" s="3" t="s">
        <v>27</v>
      </c>
      <c r="AL6634" s="3">
        <v>-4898.4244799999997</v>
      </c>
    </row>
    <row r="6635" spans="34:38">
      <c r="AH6635" t="s">
        <v>2243</v>
      </c>
      <c r="AI6635" t="s">
        <v>65</v>
      </c>
      <c r="AJ6635" t="s">
        <v>113</v>
      </c>
      <c r="AK6635" s="3" t="s">
        <v>20</v>
      </c>
      <c r="AL6635" s="3">
        <v>1456.8342927117001</v>
      </c>
    </row>
    <row r="6636" spans="34:38">
      <c r="AH6636" t="s">
        <v>2244</v>
      </c>
      <c r="AI6636" t="s">
        <v>65</v>
      </c>
      <c r="AJ6636" t="s">
        <v>113</v>
      </c>
      <c r="AK6636" s="3" t="s">
        <v>20</v>
      </c>
      <c r="AL6636" s="3">
        <v>1479.0015446651</v>
      </c>
    </row>
    <row r="6637" spans="34:38">
      <c r="AH6637" t="s">
        <v>2244</v>
      </c>
      <c r="AI6637" t="s">
        <v>65</v>
      </c>
      <c r="AJ6637" t="s">
        <v>66</v>
      </c>
      <c r="AK6637" s="3" t="s">
        <v>27</v>
      </c>
      <c r="AL6637" s="3">
        <v>18812.5</v>
      </c>
    </row>
    <row r="6638" spans="34:38">
      <c r="AH6638" t="s">
        <v>2244</v>
      </c>
      <c r="AI6638" t="s">
        <v>65</v>
      </c>
      <c r="AJ6638" t="s">
        <v>72</v>
      </c>
      <c r="AK6638" s="3" t="s">
        <v>27</v>
      </c>
      <c r="AL6638" s="3">
        <v>20275.211084999999</v>
      </c>
    </row>
    <row r="6639" spans="34:38">
      <c r="AH6639" t="s">
        <v>2244</v>
      </c>
      <c r="AI6639" t="s">
        <v>65</v>
      </c>
      <c r="AJ6639" t="s">
        <v>108</v>
      </c>
      <c r="AK6639" s="3" t="s">
        <v>27</v>
      </c>
      <c r="AL6639" s="3">
        <v>1462.7110849999999</v>
      </c>
    </row>
    <row r="6640" spans="34:38">
      <c r="AH6640" t="s">
        <v>2244</v>
      </c>
      <c r="AI6640" t="s">
        <v>67</v>
      </c>
      <c r="AJ6640" t="s">
        <v>66</v>
      </c>
      <c r="AK6640" s="3" t="s">
        <v>27</v>
      </c>
      <c r="AL6640" s="3">
        <v>-6797.4395999999997</v>
      </c>
    </row>
    <row r="6641" spans="34:38">
      <c r="AH6641" t="s">
        <v>2244</v>
      </c>
      <c r="AI6641" t="s">
        <v>67</v>
      </c>
      <c r="AJ6641" t="s">
        <v>72</v>
      </c>
      <c r="AK6641" s="3" t="s">
        <v>27</v>
      </c>
      <c r="AL6641" s="3">
        <v>-8091.2360880079996</v>
      </c>
    </row>
    <row r="6642" spans="34:38">
      <c r="AH6642" t="s">
        <v>2244</v>
      </c>
      <c r="AI6642" t="s">
        <v>67</v>
      </c>
      <c r="AJ6642" t="s">
        <v>108</v>
      </c>
      <c r="AK6642" s="3" t="s">
        <v>27</v>
      </c>
      <c r="AL6642" s="3">
        <v>-1293.7964880080001</v>
      </c>
    </row>
    <row r="6643" spans="34:38">
      <c r="AH6643" t="s">
        <v>2244</v>
      </c>
      <c r="AI6643" t="s">
        <v>68</v>
      </c>
      <c r="AJ6643" t="s">
        <v>66</v>
      </c>
      <c r="AK6643" s="3" t="s">
        <v>27</v>
      </c>
      <c r="AL6643" s="3">
        <v>1104.9395999999999</v>
      </c>
    </row>
    <row r="6644" spans="34:38">
      <c r="AH6644" t="s">
        <v>2244</v>
      </c>
      <c r="AI6644" t="s">
        <v>68</v>
      </c>
      <c r="AJ6644" t="s">
        <v>72</v>
      </c>
      <c r="AK6644" s="3" t="s">
        <v>27</v>
      </c>
      <c r="AL6644" s="3">
        <v>1308.8772030079999</v>
      </c>
    </row>
    <row r="6645" spans="34:38">
      <c r="AH6645" t="s">
        <v>2244</v>
      </c>
      <c r="AI6645" t="s">
        <v>68</v>
      </c>
      <c r="AJ6645" t="s">
        <v>108</v>
      </c>
      <c r="AK6645" s="3" t="s">
        <v>27</v>
      </c>
      <c r="AL6645" s="3">
        <v>203.937603008</v>
      </c>
    </row>
    <row r="6646" spans="34:38">
      <c r="AH6646" t="s">
        <v>2244</v>
      </c>
      <c r="AI6646" t="s">
        <v>65</v>
      </c>
      <c r="AJ6646" t="s">
        <v>113</v>
      </c>
      <c r="AK6646" s="3" t="s">
        <v>27</v>
      </c>
      <c r="AL6646" s="3">
        <v>2651.5796719291002</v>
      </c>
    </row>
    <row r="6647" spans="34:38">
      <c r="AH6647" t="s">
        <v>2244</v>
      </c>
      <c r="AI6647" t="s">
        <v>67</v>
      </c>
      <c r="AJ6647" t="s">
        <v>113</v>
      </c>
      <c r="AK6647" s="3" t="s">
        <v>27</v>
      </c>
      <c r="AL6647" s="3">
        <v>3748.6912349999998</v>
      </c>
    </row>
    <row r="6648" spans="34:38">
      <c r="AH6648" t="s">
        <v>2244</v>
      </c>
      <c r="AI6648" t="s">
        <v>65</v>
      </c>
      <c r="AJ6648" t="s">
        <v>2303</v>
      </c>
      <c r="AK6648" s="3" t="s">
        <v>27</v>
      </c>
      <c r="AL6648" s="3">
        <v>-659.93682457609998</v>
      </c>
    </row>
    <row r="6649" spans="34:38">
      <c r="AH6649" t="s">
        <v>2244</v>
      </c>
      <c r="AI6649" t="s">
        <v>67</v>
      </c>
      <c r="AJ6649" t="s">
        <v>2303</v>
      </c>
      <c r="AK6649" s="3" t="s">
        <v>27</v>
      </c>
      <c r="AL6649" s="3">
        <v>-5042.4877230080001</v>
      </c>
    </row>
    <row r="6650" spans="34:38">
      <c r="AH6650" t="s">
        <v>2245</v>
      </c>
      <c r="AI6650" t="s">
        <v>65</v>
      </c>
      <c r="AJ6650" t="s">
        <v>66</v>
      </c>
      <c r="AK6650" s="3" t="s">
        <v>27</v>
      </c>
      <c r="AL6650" s="3">
        <v>19862.5</v>
      </c>
    </row>
    <row r="6651" spans="34:38">
      <c r="AH6651" t="s">
        <v>2245</v>
      </c>
      <c r="AI6651" t="s">
        <v>65</v>
      </c>
      <c r="AJ6651" t="s">
        <v>72</v>
      </c>
      <c r="AK6651" s="3" t="s">
        <v>27</v>
      </c>
      <c r="AL6651" s="3">
        <v>21404.613014999999</v>
      </c>
    </row>
    <row r="6652" spans="34:38">
      <c r="AH6652" t="s">
        <v>2245</v>
      </c>
      <c r="AI6652" t="s">
        <v>65</v>
      </c>
      <c r="AJ6652" t="s">
        <v>108</v>
      </c>
      <c r="AK6652" s="3" t="s">
        <v>27</v>
      </c>
      <c r="AL6652" s="3">
        <v>1542.1130149999999</v>
      </c>
    </row>
    <row r="6653" spans="34:38">
      <c r="AH6653" t="s">
        <v>2245</v>
      </c>
      <c r="AI6653" t="s">
        <v>67</v>
      </c>
      <c r="AJ6653" t="s">
        <v>66</v>
      </c>
      <c r="AK6653" s="3" t="s">
        <v>27</v>
      </c>
      <c r="AL6653" s="3">
        <v>-8642.5</v>
      </c>
    </row>
    <row r="6654" spans="34:38">
      <c r="AH6654" t="s">
        <v>2245</v>
      </c>
      <c r="AI6654" t="s">
        <v>67</v>
      </c>
      <c r="AJ6654" t="s">
        <v>72</v>
      </c>
      <c r="AK6654" s="3" t="s">
        <v>27</v>
      </c>
      <c r="AL6654" s="3">
        <v>-9990.9776349999993</v>
      </c>
    </row>
    <row r="6655" spans="34:38">
      <c r="AH6655" t="s">
        <v>2245</v>
      </c>
      <c r="AI6655" t="s">
        <v>67</v>
      </c>
      <c r="AJ6655" t="s">
        <v>108</v>
      </c>
      <c r="AK6655" s="3" t="s">
        <v>27</v>
      </c>
      <c r="AL6655" s="3">
        <v>-1348.477635</v>
      </c>
    </row>
    <row r="6656" spans="34:38">
      <c r="AH6656" t="s">
        <v>2245</v>
      </c>
      <c r="AI6656" t="s">
        <v>68</v>
      </c>
      <c r="AJ6656" t="s">
        <v>66</v>
      </c>
      <c r="AK6656" s="3" t="s">
        <v>27</v>
      </c>
      <c r="AL6656" s="3">
        <v>1950</v>
      </c>
    </row>
    <row r="6657" spans="34:38">
      <c r="AH6657" t="s">
        <v>2245</v>
      </c>
      <c r="AI6657" t="s">
        <v>68</v>
      </c>
      <c r="AJ6657" t="s">
        <v>72</v>
      </c>
      <c r="AK6657" s="3" t="s">
        <v>27</v>
      </c>
      <c r="AL6657" s="3">
        <v>2123.2359999999999</v>
      </c>
    </row>
    <row r="6658" spans="34:38">
      <c r="AH6658" t="s">
        <v>2245</v>
      </c>
      <c r="AI6658" t="s">
        <v>68</v>
      </c>
      <c r="AJ6658" t="s">
        <v>108</v>
      </c>
      <c r="AK6658" s="3" t="s">
        <v>27</v>
      </c>
      <c r="AL6658" s="3">
        <v>173.23599999999999</v>
      </c>
    </row>
    <row r="6659" spans="34:38">
      <c r="AH6659" t="s">
        <v>2245</v>
      </c>
      <c r="AI6659" t="s">
        <v>65</v>
      </c>
      <c r="AJ6659" t="s">
        <v>113</v>
      </c>
      <c r="AK6659" s="3" t="s">
        <v>27</v>
      </c>
      <c r="AL6659" s="3">
        <v>2653.3326088211002</v>
      </c>
    </row>
    <row r="6660" spans="34:38">
      <c r="AH6660" t="s">
        <v>2245</v>
      </c>
      <c r="AI6660" t="s">
        <v>67</v>
      </c>
      <c r="AJ6660" t="s">
        <v>113</v>
      </c>
      <c r="AK6660" s="3" t="s">
        <v>27</v>
      </c>
      <c r="AL6660" s="3">
        <v>3748.6912349999998</v>
      </c>
    </row>
    <row r="6661" spans="34:38">
      <c r="AH6661" t="s">
        <v>2245</v>
      </c>
      <c r="AI6661" t="s">
        <v>65</v>
      </c>
      <c r="AJ6661" t="s">
        <v>2303</v>
      </c>
      <c r="AK6661" s="3" t="s">
        <v>27</v>
      </c>
      <c r="AL6661" s="3">
        <v>-585.32402878309995</v>
      </c>
    </row>
    <row r="6662" spans="34:38">
      <c r="AH6662" t="s">
        <v>2245</v>
      </c>
      <c r="AI6662" t="s">
        <v>67</v>
      </c>
      <c r="AJ6662" t="s">
        <v>2303</v>
      </c>
      <c r="AK6662" s="3" t="s">
        <v>27</v>
      </c>
      <c r="AL6662" s="3">
        <v>-5097.1688700000004</v>
      </c>
    </row>
    <row r="6663" spans="34:38">
      <c r="AH6663" t="s">
        <v>2245</v>
      </c>
      <c r="AI6663" t="s">
        <v>65</v>
      </c>
      <c r="AJ6663" t="s">
        <v>113</v>
      </c>
      <c r="AK6663" s="3" t="s">
        <v>20</v>
      </c>
      <c r="AL6663" s="3">
        <v>1565.2899871408999</v>
      </c>
    </row>
    <row r="6664" spans="34:38">
      <c r="AH6664" t="s">
        <v>2246</v>
      </c>
      <c r="AI6664" t="s">
        <v>65</v>
      </c>
      <c r="AJ6664" t="s">
        <v>113</v>
      </c>
      <c r="AK6664" s="3" t="s">
        <v>20</v>
      </c>
      <c r="AL6664" s="3">
        <v>1576.2874114471999</v>
      </c>
    </row>
    <row r="6665" spans="34:38">
      <c r="AH6665" t="s">
        <v>2246</v>
      </c>
      <c r="AI6665" t="s">
        <v>65</v>
      </c>
      <c r="AJ6665" t="s">
        <v>66</v>
      </c>
      <c r="AK6665" s="3" t="s">
        <v>27</v>
      </c>
      <c r="AL6665" s="3">
        <v>19762.5</v>
      </c>
    </row>
    <row r="6666" spans="34:38">
      <c r="AH6666" t="s">
        <v>2246</v>
      </c>
      <c r="AI6666" t="s">
        <v>65</v>
      </c>
      <c r="AJ6666" t="s">
        <v>72</v>
      </c>
      <c r="AK6666" s="3" t="s">
        <v>27</v>
      </c>
      <c r="AL6666" s="3">
        <v>21313.252305000002</v>
      </c>
    </row>
    <row r="6667" spans="34:38">
      <c r="AH6667" t="s">
        <v>2246</v>
      </c>
      <c r="AI6667" t="s">
        <v>65</v>
      </c>
      <c r="AJ6667" t="s">
        <v>108</v>
      </c>
      <c r="AK6667" s="3" t="s">
        <v>27</v>
      </c>
      <c r="AL6667" s="3">
        <v>1550.752305</v>
      </c>
    </row>
    <row r="6668" spans="34:38">
      <c r="AH6668" t="s">
        <v>2246</v>
      </c>
      <c r="AI6668" t="s">
        <v>67</v>
      </c>
      <c r="AJ6668" t="s">
        <v>66</v>
      </c>
      <c r="AK6668" s="3" t="s">
        <v>27</v>
      </c>
      <c r="AL6668" s="3">
        <v>-7492.5</v>
      </c>
    </row>
    <row r="6669" spans="34:38">
      <c r="AH6669" t="s">
        <v>2246</v>
      </c>
      <c r="AI6669" t="s">
        <v>67</v>
      </c>
      <c r="AJ6669" t="s">
        <v>72</v>
      </c>
      <c r="AK6669" s="3" t="s">
        <v>27</v>
      </c>
      <c r="AL6669" s="3">
        <v>-8767.851525</v>
      </c>
    </row>
    <row r="6670" spans="34:38">
      <c r="AH6670" t="s">
        <v>2246</v>
      </c>
      <c r="AI6670" t="s">
        <v>67</v>
      </c>
      <c r="AJ6670" t="s">
        <v>108</v>
      </c>
      <c r="AK6670" s="3" t="s">
        <v>27</v>
      </c>
      <c r="AL6670" s="3">
        <v>-1275.351525</v>
      </c>
    </row>
    <row r="6671" spans="34:38">
      <c r="AH6671" t="s">
        <v>2246</v>
      </c>
      <c r="AI6671" t="s">
        <v>68</v>
      </c>
      <c r="AJ6671" t="s">
        <v>66</v>
      </c>
      <c r="AK6671" s="3" t="s">
        <v>27</v>
      </c>
      <c r="AL6671" s="3">
        <v>900</v>
      </c>
    </row>
    <row r="6672" spans="34:38">
      <c r="AH6672" t="s">
        <v>2246</v>
      </c>
      <c r="AI6672" t="s">
        <v>68</v>
      </c>
      <c r="AJ6672" t="s">
        <v>72</v>
      </c>
      <c r="AK6672" s="3" t="s">
        <v>27</v>
      </c>
      <c r="AL6672" s="3">
        <v>988.89700000000005</v>
      </c>
    </row>
    <row r="6673" spans="34:38">
      <c r="AH6673" t="s">
        <v>2246</v>
      </c>
      <c r="AI6673" t="s">
        <v>68</v>
      </c>
      <c r="AJ6673" t="s">
        <v>108</v>
      </c>
      <c r="AK6673" s="3" t="s">
        <v>27</v>
      </c>
      <c r="AL6673" s="3">
        <v>88.897000000000006</v>
      </c>
    </row>
    <row r="6674" spans="34:38">
      <c r="AH6674" t="s">
        <v>2246</v>
      </c>
      <c r="AI6674" t="s">
        <v>65</v>
      </c>
      <c r="AJ6674" t="s">
        <v>113</v>
      </c>
      <c r="AK6674" s="3" t="s">
        <v>27</v>
      </c>
      <c r="AL6674" s="3">
        <v>2664.8057445271002</v>
      </c>
    </row>
    <row r="6675" spans="34:38">
      <c r="AH6675" t="s">
        <v>2246</v>
      </c>
      <c r="AI6675" t="s">
        <v>67</v>
      </c>
      <c r="AJ6675" t="s">
        <v>113</v>
      </c>
      <c r="AK6675" s="3" t="s">
        <v>27</v>
      </c>
      <c r="AL6675" s="3">
        <v>3748.6912349999998</v>
      </c>
    </row>
    <row r="6676" spans="34:38">
      <c r="AH6676" t="s">
        <v>2246</v>
      </c>
      <c r="AI6676" t="s">
        <v>65</v>
      </c>
      <c r="AJ6676" t="s">
        <v>2303</v>
      </c>
      <c r="AK6676" s="3" t="s">
        <v>27</v>
      </c>
      <c r="AL6676" s="3">
        <v>-588.64972617310002</v>
      </c>
    </row>
    <row r="6677" spans="34:38">
      <c r="AH6677" t="s">
        <v>2246</v>
      </c>
      <c r="AI6677" t="s">
        <v>67</v>
      </c>
      <c r="AJ6677" t="s">
        <v>2303</v>
      </c>
      <c r="AK6677" s="3" t="s">
        <v>27</v>
      </c>
      <c r="AL6677" s="3">
        <v>-5024.0427600000003</v>
      </c>
    </row>
    <row r="6678" spans="34:38">
      <c r="AH6678" t="s">
        <v>2247</v>
      </c>
      <c r="AI6678" t="s">
        <v>65</v>
      </c>
      <c r="AJ6678" t="s">
        <v>66</v>
      </c>
      <c r="AK6678" s="3" t="s">
        <v>27</v>
      </c>
      <c r="AL6678" s="3">
        <v>20084.5</v>
      </c>
    </row>
    <row r="6679" spans="34:38">
      <c r="AH6679" t="s">
        <v>2247</v>
      </c>
      <c r="AI6679" t="s">
        <v>65</v>
      </c>
      <c r="AJ6679" t="s">
        <v>72</v>
      </c>
      <c r="AK6679" s="3" t="s">
        <v>27</v>
      </c>
      <c r="AL6679" s="3">
        <v>21646.904450000002</v>
      </c>
    </row>
    <row r="6680" spans="34:38">
      <c r="AH6680" t="s">
        <v>2247</v>
      </c>
      <c r="AI6680" t="s">
        <v>65</v>
      </c>
      <c r="AJ6680" t="s">
        <v>108</v>
      </c>
      <c r="AK6680" s="3" t="s">
        <v>27</v>
      </c>
      <c r="AL6680" s="3">
        <v>1562.40445</v>
      </c>
    </row>
    <row r="6681" spans="34:38">
      <c r="AH6681" t="s">
        <v>2247</v>
      </c>
      <c r="AI6681" t="s">
        <v>67</v>
      </c>
      <c r="AJ6681" t="s">
        <v>66</v>
      </c>
      <c r="AK6681" s="3" t="s">
        <v>27</v>
      </c>
      <c r="AL6681" s="3">
        <v>-8064.5</v>
      </c>
    </row>
    <row r="6682" spans="34:38">
      <c r="AH6682" t="s">
        <v>2247</v>
      </c>
      <c r="AI6682" t="s">
        <v>67</v>
      </c>
      <c r="AJ6682" t="s">
        <v>72</v>
      </c>
      <c r="AK6682" s="3" t="s">
        <v>27</v>
      </c>
      <c r="AL6682" s="3">
        <v>-9343.2525499999992</v>
      </c>
    </row>
    <row r="6683" spans="34:38">
      <c r="AH6683" t="s">
        <v>2247</v>
      </c>
      <c r="AI6683" t="s">
        <v>67</v>
      </c>
      <c r="AJ6683" t="s">
        <v>108</v>
      </c>
      <c r="AK6683" s="3" t="s">
        <v>27</v>
      </c>
      <c r="AL6683" s="3">
        <v>-1278.7525499999999</v>
      </c>
    </row>
    <row r="6684" spans="34:38">
      <c r="AH6684" t="s">
        <v>2247</v>
      </c>
      <c r="AI6684" t="s">
        <v>68</v>
      </c>
      <c r="AJ6684" t="s">
        <v>66</v>
      </c>
      <c r="AK6684" s="3" t="s">
        <v>27</v>
      </c>
      <c r="AL6684" s="3">
        <v>1150</v>
      </c>
    </row>
    <row r="6685" spans="34:38">
      <c r="AH6685" t="s">
        <v>2247</v>
      </c>
      <c r="AI6685" t="s">
        <v>68</v>
      </c>
      <c r="AJ6685" t="s">
        <v>72</v>
      </c>
      <c r="AK6685" s="3" t="s">
        <v>27</v>
      </c>
      <c r="AL6685" s="3">
        <v>1226.73</v>
      </c>
    </row>
    <row r="6686" spans="34:38">
      <c r="AH6686" t="s">
        <v>2247</v>
      </c>
      <c r="AI6686" t="s">
        <v>68</v>
      </c>
      <c r="AJ6686" t="s">
        <v>108</v>
      </c>
      <c r="AK6686" s="3" t="s">
        <v>27</v>
      </c>
      <c r="AL6686" s="3">
        <v>76.73</v>
      </c>
    </row>
    <row r="6687" spans="34:38">
      <c r="AH6687" t="s">
        <v>2247</v>
      </c>
      <c r="AI6687" t="s">
        <v>65</v>
      </c>
      <c r="AJ6687" t="s">
        <v>113</v>
      </c>
      <c r="AK6687" s="3" t="s">
        <v>27</v>
      </c>
      <c r="AL6687" s="3">
        <v>2673.0017099710999</v>
      </c>
    </row>
    <row r="6688" spans="34:38">
      <c r="AH6688" t="s">
        <v>2247</v>
      </c>
      <c r="AI6688" t="s">
        <v>67</v>
      </c>
      <c r="AJ6688" t="s">
        <v>113</v>
      </c>
      <c r="AK6688" s="3" t="s">
        <v>27</v>
      </c>
      <c r="AL6688" s="3">
        <v>3748.6912349999998</v>
      </c>
    </row>
    <row r="6689" spans="34:38">
      <c r="AH6689" t="s">
        <v>2247</v>
      </c>
      <c r="AI6689" t="s">
        <v>65</v>
      </c>
      <c r="AJ6689" t="s">
        <v>2303</v>
      </c>
      <c r="AK6689" s="3" t="s">
        <v>27</v>
      </c>
      <c r="AL6689" s="3">
        <v>-588.93178137309997</v>
      </c>
    </row>
    <row r="6690" spans="34:38">
      <c r="AH6690" t="s">
        <v>2247</v>
      </c>
      <c r="AI6690" t="s">
        <v>67</v>
      </c>
      <c r="AJ6690" t="s">
        <v>2303</v>
      </c>
      <c r="AK6690" s="3" t="s">
        <v>27</v>
      </c>
      <c r="AL6690" s="3">
        <v>-5027.4437850000004</v>
      </c>
    </row>
    <row r="6691" spans="34:38">
      <c r="AH6691" t="s">
        <v>2247</v>
      </c>
      <c r="AI6691" t="s">
        <v>65</v>
      </c>
      <c r="AJ6691" t="s">
        <v>113</v>
      </c>
      <c r="AK6691" s="3" t="s">
        <v>20</v>
      </c>
      <c r="AL6691" s="3">
        <v>1584.0076654954</v>
      </c>
    </row>
    <row r="6692" spans="34:38">
      <c r="AH6692" t="s">
        <v>2248</v>
      </c>
      <c r="AI6692" t="s">
        <v>65</v>
      </c>
      <c r="AJ6692" t="s">
        <v>113</v>
      </c>
      <c r="AK6692" s="3" t="s">
        <v>20</v>
      </c>
      <c r="AL6692" s="3">
        <v>1550.4877914442</v>
      </c>
    </row>
    <row r="6693" spans="34:38">
      <c r="AH6693" t="s">
        <v>2248</v>
      </c>
      <c r="AI6693" t="s">
        <v>65</v>
      </c>
      <c r="AJ6693" t="s">
        <v>66</v>
      </c>
      <c r="AK6693" s="3" t="s">
        <v>27</v>
      </c>
      <c r="AL6693" s="3">
        <v>19812.5</v>
      </c>
    </row>
    <row r="6694" spans="34:38">
      <c r="AH6694" t="s">
        <v>2248</v>
      </c>
      <c r="AI6694" t="s">
        <v>65</v>
      </c>
      <c r="AJ6694" t="s">
        <v>72</v>
      </c>
      <c r="AK6694" s="3" t="s">
        <v>27</v>
      </c>
      <c r="AL6694" s="3">
        <v>21336.557645000001</v>
      </c>
    </row>
    <row r="6695" spans="34:38">
      <c r="AH6695" t="s">
        <v>2248</v>
      </c>
      <c r="AI6695" t="s">
        <v>65</v>
      </c>
      <c r="AJ6695" t="s">
        <v>108</v>
      </c>
      <c r="AK6695" s="3" t="s">
        <v>27</v>
      </c>
      <c r="AL6695" s="3">
        <v>1524.0576450000001</v>
      </c>
    </row>
    <row r="6696" spans="34:38">
      <c r="AH6696" t="s">
        <v>2248</v>
      </c>
      <c r="AI6696" t="s">
        <v>67</v>
      </c>
      <c r="AJ6696" t="s">
        <v>66</v>
      </c>
      <c r="AK6696" s="3" t="s">
        <v>27</v>
      </c>
      <c r="AL6696" s="3">
        <v>-7470.5</v>
      </c>
    </row>
    <row r="6697" spans="34:38">
      <c r="AH6697" t="s">
        <v>2248</v>
      </c>
      <c r="AI6697" t="s">
        <v>67</v>
      </c>
      <c r="AJ6697" t="s">
        <v>72</v>
      </c>
      <c r="AK6697" s="3" t="s">
        <v>27</v>
      </c>
      <c r="AL6697" s="3">
        <v>-8693.4302850000004</v>
      </c>
    </row>
    <row r="6698" spans="34:38">
      <c r="AH6698" t="s">
        <v>2248</v>
      </c>
      <c r="AI6698" t="s">
        <v>67</v>
      </c>
      <c r="AJ6698" t="s">
        <v>108</v>
      </c>
      <c r="AK6698" s="3" t="s">
        <v>27</v>
      </c>
      <c r="AL6698" s="3">
        <v>-1222.9302849999999</v>
      </c>
    </row>
    <row r="6699" spans="34:38">
      <c r="AH6699" t="s">
        <v>2248</v>
      </c>
      <c r="AI6699" t="s">
        <v>68</v>
      </c>
      <c r="AJ6699" t="s">
        <v>66</v>
      </c>
      <c r="AK6699" s="3" t="s">
        <v>27</v>
      </c>
      <c r="AL6699" s="3">
        <v>978</v>
      </c>
    </row>
    <row r="6700" spans="34:38">
      <c r="AH6700" t="s">
        <v>2248</v>
      </c>
      <c r="AI6700" t="s">
        <v>68</v>
      </c>
      <c r="AJ6700" t="s">
        <v>72</v>
      </c>
      <c r="AK6700" s="3" t="s">
        <v>27</v>
      </c>
      <c r="AL6700" s="3">
        <v>1038.4415200000001</v>
      </c>
    </row>
    <row r="6701" spans="34:38">
      <c r="AH6701" t="s">
        <v>2248</v>
      </c>
      <c r="AI6701" t="s">
        <v>68</v>
      </c>
      <c r="AJ6701" t="s">
        <v>108</v>
      </c>
      <c r="AK6701" s="3" t="s">
        <v>27</v>
      </c>
      <c r="AL6701" s="3">
        <v>60.441519999999997</v>
      </c>
    </row>
    <row r="6702" spans="34:38">
      <c r="AH6702" t="s">
        <v>2248</v>
      </c>
      <c r="AI6702" t="s">
        <v>65</v>
      </c>
      <c r="AJ6702" t="s">
        <v>113</v>
      </c>
      <c r="AK6702" s="3" t="s">
        <v>27</v>
      </c>
      <c r="AL6702" s="3">
        <v>2639.9575473271002</v>
      </c>
    </row>
    <row r="6703" spans="34:38">
      <c r="AH6703" t="s">
        <v>2248</v>
      </c>
      <c r="AI6703" t="s">
        <v>67</v>
      </c>
      <c r="AJ6703" t="s">
        <v>113</v>
      </c>
      <c r="AK6703" s="3" t="s">
        <v>27</v>
      </c>
      <c r="AL6703" s="3">
        <v>3748.6912349999998</v>
      </c>
    </row>
    <row r="6704" spans="34:38">
      <c r="AH6704" t="s">
        <v>2248</v>
      </c>
      <c r="AI6704" t="s">
        <v>65</v>
      </c>
      <c r="AJ6704" t="s">
        <v>2303</v>
      </c>
      <c r="AK6704" s="3" t="s">
        <v>27</v>
      </c>
      <c r="AL6704" s="3">
        <v>-592.89737396509997</v>
      </c>
    </row>
    <row r="6705" spans="34:38">
      <c r="AH6705" t="s">
        <v>2248</v>
      </c>
      <c r="AI6705" t="s">
        <v>67</v>
      </c>
      <c r="AJ6705" t="s">
        <v>2303</v>
      </c>
      <c r="AK6705" s="3" t="s">
        <v>27</v>
      </c>
      <c r="AL6705" s="3">
        <v>-4971.6215199999997</v>
      </c>
    </row>
    <row r="6706" spans="34:38">
      <c r="AH6706" t="s">
        <v>2249</v>
      </c>
      <c r="AI6706" t="s">
        <v>65</v>
      </c>
      <c r="AJ6706" t="s">
        <v>66</v>
      </c>
      <c r="AK6706" s="3" t="s">
        <v>27</v>
      </c>
      <c r="AL6706" s="3">
        <v>20292.5</v>
      </c>
    </row>
    <row r="6707" spans="34:38">
      <c r="AH6707" t="s">
        <v>2249</v>
      </c>
      <c r="AI6707" t="s">
        <v>65</v>
      </c>
      <c r="AJ6707" t="s">
        <v>72</v>
      </c>
      <c r="AK6707" s="3" t="s">
        <v>27</v>
      </c>
      <c r="AL6707" s="3">
        <v>21834.216420000001</v>
      </c>
    </row>
    <row r="6708" spans="34:38">
      <c r="AH6708" t="s">
        <v>2249</v>
      </c>
      <c r="AI6708" t="s">
        <v>65</v>
      </c>
      <c r="AJ6708" t="s">
        <v>108</v>
      </c>
      <c r="AK6708" s="3" t="s">
        <v>27</v>
      </c>
      <c r="AL6708" s="3">
        <v>1541.71642</v>
      </c>
    </row>
    <row r="6709" spans="34:38">
      <c r="AH6709" t="s">
        <v>2249</v>
      </c>
      <c r="AI6709" t="s">
        <v>67</v>
      </c>
      <c r="AJ6709" t="s">
        <v>66</v>
      </c>
      <c r="AK6709" s="3" t="s">
        <v>27</v>
      </c>
      <c r="AL6709" s="3">
        <v>-8222.5</v>
      </c>
    </row>
    <row r="6710" spans="34:38">
      <c r="AH6710" t="s">
        <v>2249</v>
      </c>
      <c r="AI6710" t="s">
        <v>67</v>
      </c>
      <c r="AJ6710" t="s">
        <v>72</v>
      </c>
      <c r="AK6710" s="3" t="s">
        <v>27</v>
      </c>
      <c r="AL6710" s="3">
        <v>-9500.33014</v>
      </c>
    </row>
    <row r="6711" spans="34:38">
      <c r="AH6711" t="s">
        <v>2249</v>
      </c>
      <c r="AI6711" t="s">
        <v>67</v>
      </c>
      <c r="AJ6711" t="s">
        <v>108</v>
      </c>
      <c r="AK6711" s="3" t="s">
        <v>27</v>
      </c>
      <c r="AL6711" s="3">
        <v>-1277.83014</v>
      </c>
    </row>
    <row r="6712" spans="34:38">
      <c r="AH6712" t="s">
        <v>2249</v>
      </c>
      <c r="AI6712" t="s">
        <v>68</v>
      </c>
      <c r="AJ6712" t="s">
        <v>66</v>
      </c>
      <c r="AK6712" s="3" t="s">
        <v>27</v>
      </c>
      <c r="AL6712" s="3">
        <v>1600</v>
      </c>
    </row>
    <row r="6713" spans="34:38">
      <c r="AH6713" t="s">
        <v>2249</v>
      </c>
      <c r="AI6713" t="s">
        <v>68</v>
      </c>
      <c r="AJ6713" t="s">
        <v>72</v>
      </c>
      <c r="AK6713" s="3" t="s">
        <v>27</v>
      </c>
      <c r="AL6713" s="3">
        <v>1709.9005</v>
      </c>
    </row>
    <row r="6714" spans="34:38">
      <c r="AH6714" t="s">
        <v>2249</v>
      </c>
      <c r="AI6714" t="s">
        <v>68</v>
      </c>
      <c r="AJ6714" t="s">
        <v>108</v>
      </c>
      <c r="AK6714" s="3" t="s">
        <v>27</v>
      </c>
      <c r="AL6714" s="3">
        <v>109.90049999999999</v>
      </c>
    </row>
    <row r="6715" spans="34:38">
      <c r="AH6715" t="s">
        <v>2249</v>
      </c>
      <c r="AI6715" t="s">
        <v>65</v>
      </c>
      <c r="AJ6715" t="s">
        <v>113</v>
      </c>
      <c r="AK6715" s="3" t="s">
        <v>27</v>
      </c>
      <c r="AL6715" s="3">
        <v>2652.6908207451002</v>
      </c>
    </row>
    <row r="6716" spans="34:38">
      <c r="AH6716" t="s">
        <v>2249</v>
      </c>
      <c r="AI6716" t="s">
        <v>67</v>
      </c>
      <c r="AJ6716" t="s">
        <v>113</v>
      </c>
      <c r="AK6716" s="3" t="s">
        <v>27</v>
      </c>
      <c r="AL6716" s="3">
        <v>3748.6912349999998</v>
      </c>
    </row>
    <row r="6717" spans="34:38">
      <c r="AH6717" t="s">
        <v>2249</v>
      </c>
      <c r="AI6717" t="s">
        <v>65</v>
      </c>
      <c r="AJ6717" t="s">
        <v>2303</v>
      </c>
      <c r="AK6717" s="3" t="s">
        <v>27</v>
      </c>
      <c r="AL6717" s="3">
        <v>-582.67008212509995</v>
      </c>
    </row>
    <row r="6718" spans="34:38">
      <c r="AH6718" t="s">
        <v>2249</v>
      </c>
      <c r="AI6718" t="s">
        <v>67</v>
      </c>
      <c r="AJ6718" t="s">
        <v>2303</v>
      </c>
      <c r="AK6718" s="3" t="s">
        <v>27</v>
      </c>
      <c r="AL6718" s="3">
        <v>-5026.5213750000003</v>
      </c>
    </row>
    <row r="6719" spans="34:38">
      <c r="AH6719" t="s">
        <v>2249</v>
      </c>
      <c r="AI6719" t="s">
        <v>65</v>
      </c>
      <c r="AJ6719" t="s">
        <v>113</v>
      </c>
      <c r="AK6719" s="3" t="s">
        <v>20</v>
      </c>
      <c r="AL6719" s="3">
        <v>1562.7453534644001</v>
      </c>
    </row>
    <row r="6720" spans="34:38">
      <c r="AH6720" t="s">
        <v>2250</v>
      </c>
      <c r="AI6720" t="s">
        <v>65</v>
      </c>
      <c r="AJ6720" t="s">
        <v>113</v>
      </c>
      <c r="AK6720" s="3" t="s">
        <v>20</v>
      </c>
      <c r="AL6720" s="3">
        <v>1670.8760993579001</v>
      </c>
    </row>
    <row r="6721" spans="34:38">
      <c r="AH6721" t="s">
        <v>2250</v>
      </c>
      <c r="AI6721" t="s">
        <v>65</v>
      </c>
      <c r="AJ6721" t="s">
        <v>66</v>
      </c>
      <c r="AK6721" s="3" t="s">
        <v>27</v>
      </c>
      <c r="AL6721" s="3">
        <v>20662.5</v>
      </c>
    </row>
    <row r="6722" spans="34:38">
      <c r="AH6722" t="s">
        <v>2250</v>
      </c>
      <c r="AI6722" t="s">
        <v>65</v>
      </c>
      <c r="AJ6722" t="s">
        <v>72</v>
      </c>
      <c r="AK6722" s="3" t="s">
        <v>27</v>
      </c>
      <c r="AL6722" s="3">
        <v>22319.0144</v>
      </c>
    </row>
    <row r="6723" spans="34:38">
      <c r="AH6723" t="s">
        <v>2250</v>
      </c>
      <c r="AI6723" t="s">
        <v>65</v>
      </c>
      <c r="AJ6723" t="s">
        <v>108</v>
      </c>
      <c r="AK6723" s="3" t="s">
        <v>27</v>
      </c>
      <c r="AL6723" s="3">
        <v>1656.5144</v>
      </c>
    </row>
    <row r="6724" spans="34:38">
      <c r="AH6724" t="s">
        <v>2250</v>
      </c>
      <c r="AI6724" t="s">
        <v>67</v>
      </c>
      <c r="AJ6724" t="s">
        <v>66</v>
      </c>
      <c r="AK6724" s="3" t="s">
        <v>27</v>
      </c>
      <c r="AL6724" s="3">
        <v>-7942.5</v>
      </c>
    </row>
    <row r="6725" spans="34:38">
      <c r="AH6725" t="s">
        <v>2250</v>
      </c>
      <c r="AI6725" t="s">
        <v>67</v>
      </c>
      <c r="AJ6725" t="s">
        <v>72</v>
      </c>
      <c r="AK6725" s="3" t="s">
        <v>27</v>
      </c>
      <c r="AL6725" s="3">
        <v>-9310.4037399999997</v>
      </c>
    </row>
    <row r="6726" spans="34:38">
      <c r="AH6726" t="s">
        <v>2250</v>
      </c>
      <c r="AI6726" t="s">
        <v>67</v>
      </c>
      <c r="AJ6726" t="s">
        <v>108</v>
      </c>
      <c r="AK6726" s="3" t="s">
        <v>27</v>
      </c>
      <c r="AL6726" s="3">
        <v>-1367.90374</v>
      </c>
    </row>
    <row r="6727" spans="34:38">
      <c r="AH6727" t="s">
        <v>2250</v>
      </c>
      <c r="AI6727" t="s">
        <v>68</v>
      </c>
      <c r="AJ6727" t="s">
        <v>66</v>
      </c>
      <c r="AK6727" s="3" t="s">
        <v>27</v>
      </c>
      <c r="AL6727" s="3">
        <v>1100</v>
      </c>
    </row>
    <row r="6728" spans="34:38">
      <c r="AH6728" t="s">
        <v>2250</v>
      </c>
      <c r="AI6728" t="s">
        <v>68</v>
      </c>
      <c r="AJ6728" t="s">
        <v>72</v>
      </c>
      <c r="AK6728" s="3" t="s">
        <v>27</v>
      </c>
      <c r="AL6728" s="3">
        <v>1197.9845</v>
      </c>
    </row>
    <row r="6729" spans="34:38">
      <c r="AH6729" t="s">
        <v>2250</v>
      </c>
      <c r="AI6729" t="s">
        <v>68</v>
      </c>
      <c r="AJ6729" t="s">
        <v>108</v>
      </c>
      <c r="AK6729" s="3" t="s">
        <v>27</v>
      </c>
      <c r="AL6729" s="3">
        <v>97.984499999999997</v>
      </c>
    </row>
    <row r="6730" spans="34:38">
      <c r="AH6730" t="s">
        <v>2250</v>
      </c>
      <c r="AI6730" t="s">
        <v>65</v>
      </c>
      <c r="AJ6730" t="s">
        <v>113</v>
      </c>
      <c r="AK6730" s="3" t="s">
        <v>27</v>
      </c>
      <c r="AL6730" s="3">
        <v>2762.2487008440999</v>
      </c>
    </row>
    <row r="6731" spans="34:38">
      <c r="AH6731" t="s">
        <v>2250</v>
      </c>
      <c r="AI6731" t="s">
        <v>67</v>
      </c>
      <c r="AJ6731" t="s">
        <v>113</v>
      </c>
      <c r="AK6731" s="3" t="s">
        <v>27</v>
      </c>
      <c r="AL6731" s="3">
        <v>3748.6912349999998</v>
      </c>
    </row>
    <row r="6732" spans="34:38">
      <c r="AH6732" t="s">
        <v>2250</v>
      </c>
      <c r="AI6732" t="s">
        <v>65</v>
      </c>
      <c r="AJ6732" t="s">
        <v>2303</v>
      </c>
      <c r="AK6732" s="3" t="s">
        <v>27</v>
      </c>
      <c r="AL6732" s="3">
        <v>-566.33338066609997</v>
      </c>
    </row>
    <row r="6733" spans="34:38">
      <c r="AH6733" t="s">
        <v>2250</v>
      </c>
      <c r="AI6733" t="s">
        <v>67</v>
      </c>
      <c r="AJ6733" t="s">
        <v>2303</v>
      </c>
      <c r="AK6733" s="3" t="s">
        <v>27</v>
      </c>
      <c r="AL6733" s="3">
        <v>-5116.594975</v>
      </c>
    </row>
    <row r="6734" spans="34:38">
      <c r="AH6734" t="s">
        <v>2251</v>
      </c>
      <c r="AI6734" t="s">
        <v>65</v>
      </c>
      <c r="AJ6734" t="s">
        <v>66</v>
      </c>
      <c r="AK6734" s="3" t="s">
        <v>27</v>
      </c>
      <c r="AL6734" s="3">
        <v>21312.5</v>
      </c>
    </row>
    <row r="6735" spans="34:38">
      <c r="AH6735" t="s">
        <v>2251</v>
      </c>
      <c r="AI6735" t="s">
        <v>65</v>
      </c>
      <c r="AJ6735" t="s">
        <v>72</v>
      </c>
      <c r="AK6735" s="3" t="s">
        <v>27</v>
      </c>
      <c r="AL6735" s="3">
        <v>22966.825375</v>
      </c>
    </row>
    <row r="6736" spans="34:38">
      <c r="AH6736" t="s">
        <v>2251</v>
      </c>
      <c r="AI6736" t="s">
        <v>65</v>
      </c>
      <c r="AJ6736" t="s">
        <v>108</v>
      </c>
      <c r="AK6736" s="3" t="s">
        <v>27</v>
      </c>
      <c r="AL6736" s="3">
        <v>1654.3253749999999</v>
      </c>
    </row>
    <row r="6737" spans="34:38">
      <c r="AH6737" t="s">
        <v>2251</v>
      </c>
      <c r="AI6737" t="s">
        <v>67</v>
      </c>
      <c r="AJ6737" t="s">
        <v>66</v>
      </c>
      <c r="AK6737" s="3" t="s">
        <v>27</v>
      </c>
      <c r="AL6737" s="3">
        <v>-8242.5</v>
      </c>
    </row>
    <row r="6738" spans="34:38">
      <c r="AH6738" t="s">
        <v>2251</v>
      </c>
      <c r="AI6738" t="s">
        <v>67</v>
      </c>
      <c r="AJ6738" t="s">
        <v>72</v>
      </c>
      <c r="AK6738" s="3" t="s">
        <v>27</v>
      </c>
      <c r="AL6738" s="3">
        <v>-9504.5878749999993</v>
      </c>
    </row>
    <row r="6739" spans="34:38">
      <c r="AH6739" t="s">
        <v>2251</v>
      </c>
      <c r="AI6739" t="s">
        <v>67</v>
      </c>
      <c r="AJ6739" t="s">
        <v>108</v>
      </c>
      <c r="AK6739" s="3" t="s">
        <v>27</v>
      </c>
      <c r="AL6739" s="3">
        <v>-1262.0878749999999</v>
      </c>
    </row>
    <row r="6740" spans="34:38">
      <c r="AH6740" t="s">
        <v>2251</v>
      </c>
      <c r="AI6740" t="s">
        <v>68</v>
      </c>
      <c r="AJ6740" t="s">
        <v>66</v>
      </c>
      <c r="AK6740" s="3" t="s">
        <v>27</v>
      </c>
      <c r="AL6740" s="3">
        <v>700</v>
      </c>
    </row>
    <row r="6741" spans="34:38">
      <c r="AH6741" t="s">
        <v>2251</v>
      </c>
      <c r="AI6741" t="s">
        <v>65</v>
      </c>
      <c r="AJ6741" t="s">
        <v>113</v>
      </c>
      <c r="AK6741" s="3" t="s">
        <v>20</v>
      </c>
      <c r="AL6741" s="3">
        <v>1669.2006873334001</v>
      </c>
    </row>
    <row r="6742" spans="34:38">
      <c r="AH6742" t="s">
        <v>2251</v>
      </c>
      <c r="AI6742" t="s">
        <v>68</v>
      </c>
      <c r="AJ6742" t="s">
        <v>72</v>
      </c>
      <c r="AK6742" s="3" t="s">
        <v>27</v>
      </c>
      <c r="AL6742" s="3">
        <v>695.76350000000002</v>
      </c>
    </row>
    <row r="6743" spans="34:38">
      <c r="AH6743" t="s">
        <v>2251</v>
      </c>
      <c r="AI6743" t="s">
        <v>68</v>
      </c>
      <c r="AJ6743" t="s">
        <v>108</v>
      </c>
      <c r="AK6743" s="3" t="s">
        <v>27</v>
      </c>
      <c r="AL6743" s="3">
        <v>-4.2365000000000004</v>
      </c>
    </row>
    <row r="6744" spans="34:38">
      <c r="AH6744" t="s">
        <v>2251</v>
      </c>
      <c r="AI6744" t="s">
        <v>65</v>
      </c>
      <c r="AJ6744" t="s">
        <v>113</v>
      </c>
      <c r="AK6744" s="3" t="s">
        <v>27</v>
      </c>
      <c r="AL6744" s="3">
        <v>2767.8004883651001</v>
      </c>
    </row>
    <row r="6745" spans="34:38">
      <c r="AH6745" t="s">
        <v>2251</v>
      </c>
      <c r="AI6745" t="s">
        <v>67</v>
      </c>
      <c r="AJ6745" t="s">
        <v>113</v>
      </c>
      <c r="AK6745" s="3" t="s">
        <v>27</v>
      </c>
      <c r="AL6745" s="3">
        <v>3748.6912349999998</v>
      </c>
    </row>
    <row r="6746" spans="34:38">
      <c r="AH6746" t="s">
        <v>2251</v>
      </c>
      <c r="AI6746" t="s">
        <v>65</v>
      </c>
      <c r="AJ6746" t="s">
        <v>2303</v>
      </c>
      <c r="AK6746" s="3" t="s">
        <v>27</v>
      </c>
      <c r="AL6746" s="3">
        <v>-573.19755080109996</v>
      </c>
    </row>
    <row r="6747" spans="34:38">
      <c r="AH6747" t="s">
        <v>2251</v>
      </c>
      <c r="AI6747" t="s">
        <v>67</v>
      </c>
      <c r="AJ6747" t="s">
        <v>2303</v>
      </c>
      <c r="AK6747" s="3" t="s">
        <v>27</v>
      </c>
      <c r="AL6747" s="3">
        <v>-5010.7791100000004</v>
      </c>
    </row>
    <row r="6748" spans="34:38">
      <c r="AH6748" t="s">
        <v>2252</v>
      </c>
      <c r="AI6748" t="s">
        <v>65</v>
      </c>
      <c r="AJ6748" t="s">
        <v>113</v>
      </c>
      <c r="AK6748" s="3" t="s">
        <v>20</v>
      </c>
      <c r="AL6748" s="3">
        <v>1675.4764640883</v>
      </c>
    </row>
    <row r="6749" spans="34:38">
      <c r="AH6749" t="s">
        <v>2252</v>
      </c>
      <c r="AI6749" t="s">
        <v>65</v>
      </c>
      <c r="AJ6749" t="s">
        <v>66</v>
      </c>
      <c r="AK6749" s="3" t="s">
        <v>27</v>
      </c>
      <c r="AL6749" s="3">
        <v>20962.5</v>
      </c>
    </row>
    <row r="6750" spans="34:38">
      <c r="AH6750" t="s">
        <v>2252</v>
      </c>
      <c r="AI6750" t="s">
        <v>65</v>
      </c>
      <c r="AJ6750" t="s">
        <v>72</v>
      </c>
      <c r="AK6750" s="3" t="s">
        <v>27</v>
      </c>
      <c r="AL6750" s="3">
        <v>22617.096515000001</v>
      </c>
    </row>
    <row r="6751" spans="34:38">
      <c r="AH6751" t="s">
        <v>2252</v>
      </c>
      <c r="AI6751" t="s">
        <v>65</v>
      </c>
      <c r="AJ6751" t="s">
        <v>108</v>
      </c>
      <c r="AK6751" s="3" t="s">
        <v>27</v>
      </c>
      <c r="AL6751" s="3">
        <v>1654.596515</v>
      </c>
    </row>
    <row r="6752" spans="34:38">
      <c r="AH6752" t="s">
        <v>2252</v>
      </c>
      <c r="AI6752" t="s">
        <v>67</v>
      </c>
      <c r="AJ6752" t="s">
        <v>66</v>
      </c>
      <c r="AK6752" s="3" t="s">
        <v>27</v>
      </c>
      <c r="AL6752" s="3">
        <v>-7192.5</v>
      </c>
    </row>
    <row r="6753" spans="34:38">
      <c r="AH6753" t="s">
        <v>2252</v>
      </c>
      <c r="AI6753" t="s">
        <v>67</v>
      </c>
      <c r="AJ6753" t="s">
        <v>72</v>
      </c>
      <c r="AK6753" s="3" t="s">
        <v>27</v>
      </c>
      <c r="AL6753" s="3">
        <v>-8460.2564149999998</v>
      </c>
    </row>
    <row r="6754" spans="34:38">
      <c r="AH6754" t="s">
        <v>2252</v>
      </c>
      <c r="AI6754" t="s">
        <v>67</v>
      </c>
      <c r="AJ6754" t="s">
        <v>108</v>
      </c>
      <c r="AK6754" s="3" t="s">
        <v>27</v>
      </c>
      <c r="AL6754" s="3">
        <v>-1267.7564150000001</v>
      </c>
    </row>
    <row r="6755" spans="34:38">
      <c r="AH6755" t="s">
        <v>2252</v>
      </c>
      <c r="AI6755" t="s">
        <v>68</v>
      </c>
      <c r="AJ6755" t="s">
        <v>66</v>
      </c>
      <c r="AK6755" s="3" t="s">
        <v>27</v>
      </c>
      <c r="AL6755" s="3">
        <v>0</v>
      </c>
    </row>
    <row r="6756" spans="34:38">
      <c r="AH6756" t="s">
        <v>2252</v>
      </c>
      <c r="AI6756" t="s">
        <v>68</v>
      </c>
      <c r="AJ6756" t="s">
        <v>72</v>
      </c>
      <c r="AK6756" s="3" t="s">
        <v>27</v>
      </c>
      <c r="AL6756" s="3">
        <v>0</v>
      </c>
    </row>
    <row r="6757" spans="34:38">
      <c r="AH6757" t="s">
        <v>2252</v>
      </c>
      <c r="AI6757" t="s">
        <v>68</v>
      </c>
      <c r="AJ6757" t="s">
        <v>108</v>
      </c>
      <c r="AK6757" s="3" t="s">
        <v>27</v>
      </c>
      <c r="AL6757" s="3">
        <v>0</v>
      </c>
    </row>
    <row r="6758" spans="34:38">
      <c r="AH6758" t="s">
        <v>2252</v>
      </c>
      <c r="AI6758" t="s">
        <v>65</v>
      </c>
      <c r="AJ6758" t="s">
        <v>113</v>
      </c>
      <c r="AK6758" s="3" t="s">
        <v>27</v>
      </c>
      <c r="AL6758" s="3">
        <v>2718.1993216041001</v>
      </c>
    </row>
    <row r="6759" spans="34:38">
      <c r="AH6759" t="s">
        <v>2252</v>
      </c>
      <c r="AI6759" t="s">
        <v>67</v>
      </c>
      <c r="AJ6759" t="s">
        <v>113</v>
      </c>
      <c r="AK6759" s="3" t="s">
        <v>27</v>
      </c>
      <c r="AL6759" s="3">
        <v>3748.6912349999998</v>
      </c>
    </row>
    <row r="6760" spans="34:38">
      <c r="AH6760" t="s">
        <v>2252</v>
      </c>
      <c r="AI6760" t="s">
        <v>65</v>
      </c>
      <c r="AJ6760" t="s">
        <v>2303</v>
      </c>
      <c r="AK6760" s="3" t="s">
        <v>27</v>
      </c>
      <c r="AL6760" s="3">
        <v>-525.29640647309998</v>
      </c>
    </row>
    <row r="6761" spans="34:38">
      <c r="AH6761" t="s">
        <v>2252</v>
      </c>
      <c r="AI6761" t="s">
        <v>67</v>
      </c>
      <c r="AJ6761" t="s">
        <v>2303</v>
      </c>
      <c r="AK6761" s="3" t="s">
        <v>27</v>
      </c>
      <c r="AL6761" s="3">
        <v>-5016.4476500000001</v>
      </c>
    </row>
    <row r="6762" spans="34:38">
      <c r="AH6762" t="s">
        <v>2253</v>
      </c>
      <c r="AI6762" t="s">
        <v>65</v>
      </c>
      <c r="AJ6762" t="s">
        <v>113</v>
      </c>
      <c r="AK6762" s="3" t="s">
        <v>20</v>
      </c>
      <c r="AL6762" s="3">
        <v>1625.3995859244999</v>
      </c>
    </row>
    <row r="6763" spans="34:38">
      <c r="AH6763" t="s">
        <v>2253</v>
      </c>
      <c r="AI6763" t="s">
        <v>65</v>
      </c>
      <c r="AJ6763" t="s">
        <v>66</v>
      </c>
      <c r="AK6763" s="3" t="s">
        <v>27</v>
      </c>
      <c r="AL6763" s="3">
        <v>20862.5</v>
      </c>
    </row>
    <row r="6764" spans="34:38">
      <c r="AH6764" t="s">
        <v>2253</v>
      </c>
      <c r="AI6764" t="s">
        <v>65</v>
      </c>
      <c r="AJ6764" t="s">
        <v>72</v>
      </c>
      <c r="AK6764" s="3" t="s">
        <v>27</v>
      </c>
      <c r="AL6764" s="3">
        <v>22464.614089999999</v>
      </c>
    </row>
    <row r="6765" spans="34:38">
      <c r="AH6765" t="s">
        <v>2253</v>
      </c>
      <c r="AI6765" t="s">
        <v>65</v>
      </c>
      <c r="AJ6765" t="s">
        <v>108</v>
      </c>
      <c r="AK6765" s="3" t="s">
        <v>27</v>
      </c>
      <c r="AL6765" s="3">
        <v>1602.11409</v>
      </c>
    </row>
    <row r="6766" spans="34:38">
      <c r="AH6766" t="s">
        <v>2253</v>
      </c>
      <c r="AI6766" t="s">
        <v>67</v>
      </c>
      <c r="AJ6766" t="s">
        <v>66</v>
      </c>
      <c r="AK6766" s="3" t="s">
        <v>27</v>
      </c>
      <c r="AL6766" s="3">
        <v>-7842.5</v>
      </c>
    </row>
    <row r="6767" spans="34:38">
      <c r="AH6767" t="s">
        <v>2253</v>
      </c>
      <c r="AI6767" t="s">
        <v>67</v>
      </c>
      <c r="AJ6767" t="s">
        <v>72</v>
      </c>
      <c r="AK6767" s="3" t="s">
        <v>27</v>
      </c>
      <c r="AL6767" s="3">
        <v>-9053.8600700000006</v>
      </c>
    </row>
    <row r="6768" spans="34:38">
      <c r="AH6768" t="s">
        <v>2253</v>
      </c>
      <c r="AI6768" t="s">
        <v>67</v>
      </c>
      <c r="AJ6768" t="s">
        <v>108</v>
      </c>
      <c r="AK6768" s="3" t="s">
        <v>27</v>
      </c>
      <c r="AL6768" s="3">
        <v>-1211.36007</v>
      </c>
    </row>
    <row r="6769" spans="34:38">
      <c r="AH6769" t="s">
        <v>2253</v>
      </c>
      <c r="AI6769" t="s">
        <v>68</v>
      </c>
      <c r="AJ6769" t="s">
        <v>66</v>
      </c>
      <c r="AK6769" s="3" t="s">
        <v>27</v>
      </c>
      <c r="AL6769" s="3">
        <v>150</v>
      </c>
    </row>
    <row r="6770" spans="34:38">
      <c r="AH6770" t="s">
        <v>2253</v>
      </c>
      <c r="AI6770" t="s">
        <v>68</v>
      </c>
      <c r="AJ6770" t="s">
        <v>72</v>
      </c>
      <c r="AK6770" s="3" t="s">
        <v>27</v>
      </c>
      <c r="AL6770" s="3">
        <v>147.6</v>
      </c>
    </row>
    <row r="6771" spans="34:38">
      <c r="AH6771" t="s">
        <v>2253</v>
      </c>
      <c r="AI6771" t="s">
        <v>68</v>
      </c>
      <c r="AJ6771" t="s">
        <v>108</v>
      </c>
      <c r="AK6771" s="3" t="s">
        <v>27</v>
      </c>
      <c r="AL6771" s="3">
        <v>-2.4</v>
      </c>
    </row>
    <row r="6772" spans="34:38">
      <c r="AH6772" t="s">
        <v>2253</v>
      </c>
      <c r="AI6772" t="s">
        <v>65</v>
      </c>
      <c r="AJ6772" t="s">
        <v>113</v>
      </c>
      <c r="AK6772" s="3" t="s">
        <v>27</v>
      </c>
      <c r="AL6772" s="3">
        <v>2718.1993216041001</v>
      </c>
    </row>
    <row r="6773" spans="34:38">
      <c r="AH6773" t="s">
        <v>2253</v>
      </c>
      <c r="AI6773" t="s">
        <v>67</v>
      </c>
      <c r="AJ6773" t="s">
        <v>113</v>
      </c>
      <c r="AK6773" s="3" t="s">
        <v>27</v>
      </c>
      <c r="AL6773" s="3">
        <v>3748.6912349999998</v>
      </c>
    </row>
    <row r="6774" spans="34:38">
      <c r="AH6774" t="s">
        <v>2253</v>
      </c>
      <c r="AI6774" t="s">
        <v>65</v>
      </c>
      <c r="AJ6774" t="s">
        <v>2303</v>
      </c>
      <c r="AK6774" s="3" t="s">
        <v>27</v>
      </c>
      <c r="AL6774" s="3">
        <v>-580.51941951209994</v>
      </c>
    </row>
    <row r="6775" spans="34:38">
      <c r="AH6775" t="s">
        <v>2253</v>
      </c>
      <c r="AI6775" t="s">
        <v>67</v>
      </c>
      <c r="AJ6775" t="s">
        <v>2303</v>
      </c>
      <c r="AK6775" s="3" t="s">
        <v>27</v>
      </c>
      <c r="AL6775" s="3">
        <v>-4960.051305</v>
      </c>
    </row>
    <row r="6776" spans="34:38">
      <c r="AH6776" t="s">
        <v>2254</v>
      </c>
      <c r="AI6776" t="s">
        <v>65</v>
      </c>
      <c r="AJ6776" t="s">
        <v>113</v>
      </c>
      <c r="AK6776" s="3" t="s">
        <v>20</v>
      </c>
      <c r="AL6776" s="3">
        <v>1670.9991019607</v>
      </c>
    </row>
    <row r="6777" spans="34:38">
      <c r="AH6777" t="s">
        <v>2254</v>
      </c>
      <c r="AI6777" t="s">
        <v>65</v>
      </c>
      <c r="AJ6777" t="s">
        <v>66</v>
      </c>
      <c r="AK6777" s="3" t="s">
        <v>27</v>
      </c>
      <c r="AL6777" s="3">
        <v>21162.5</v>
      </c>
    </row>
    <row r="6778" spans="34:38">
      <c r="AH6778" t="s">
        <v>2254</v>
      </c>
      <c r="AI6778" t="s">
        <v>65</v>
      </c>
      <c r="AJ6778" t="s">
        <v>72</v>
      </c>
      <c r="AK6778" s="3" t="s">
        <v>27</v>
      </c>
      <c r="AL6778" s="3">
        <v>22805.77146</v>
      </c>
    </row>
    <row r="6779" spans="34:38">
      <c r="AH6779" t="s">
        <v>2254</v>
      </c>
      <c r="AI6779" t="s">
        <v>65</v>
      </c>
      <c r="AJ6779" t="s">
        <v>108</v>
      </c>
      <c r="AK6779" s="3" t="s">
        <v>27</v>
      </c>
      <c r="AL6779" s="3">
        <v>1643.2714599999999</v>
      </c>
    </row>
    <row r="6780" spans="34:38">
      <c r="AH6780" t="s">
        <v>2254</v>
      </c>
      <c r="AI6780" t="s">
        <v>67</v>
      </c>
      <c r="AJ6780" t="s">
        <v>66</v>
      </c>
      <c r="AK6780" s="3" t="s">
        <v>27</v>
      </c>
      <c r="AL6780" s="3">
        <v>-7842.5</v>
      </c>
    </row>
    <row r="6781" spans="34:38">
      <c r="AH6781" t="s">
        <v>2254</v>
      </c>
      <c r="AI6781" t="s">
        <v>67</v>
      </c>
      <c r="AJ6781" t="s">
        <v>72</v>
      </c>
      <c r="AK6781" s="3" t="s">
        <v>27</v>
      </c>
      <c r="AL6781" s="3">
        <v>-9151.1558999999997</v>
      </c>
    </row>
    <row r="6782" spans="34:38">
      <c r="AH6782" t="s">
        <v>2254</v>
      </c>
      <c r="AI6782" t="s">
        <v>67</v>
      </c>
      <c r="AJ6782" t="s">
        <v>108</v>
      </c>
      <c r="AK6782" s="3" t="s">
        <v>27</v>
      </c>
      <c r="AL6782" s="3">
        <v>-1308.6559</v>
      </c>
    </row>
    <row r="6783" spans="34:38">
      <c r="AH6783" t="s">
        <v>2254</v>
      </c>
      <c r="AI6783" t="s">
        <v>68</v>
      </c>
      <c r="AJ6783" t="s">
        <v>66</v>
      </c>
      <c r="AK6783" s="3" t="s">
        <v>27</v>
      </c>
      <c r="AL6783" s="3">
        <v>200</v>
      </c>
    </row>
    <row r="6784" spans="34:38">
      <c r="AH6784" t="s">
        <v>2254</v>
      </c>
      <c r="AI6784" t="s">
        <v>68</v>
      </c>
      <c r="AJ6784" t="s">
        <v>72</v>
      </c>
      <c r="AK6784" s="3" t="s">
        <v>27</v>
      </c>
      <c r="AL6784" s="3">
        <v>248.292</v>
      </c>
    </row>
    <row r="6785" spans="34:38">
      <c r="AH6785" t="s">
        <v>2254</v>
      </c>
      <c r="AI6785" t="s">
        <v>68</v>
      </c>
      <c r="AJ6785" t="s">
        <v>108</v>
      </c>
      <c r="AK6785" s="3" t="s">
        <v>27</v>
      </c>
      <c r="AL6785" s="3">
        <v>48.292000000000002</v>
      </c>
    </row>
    <row r="6786" spans="34:38">
      <c r="AH6786" t="s">
        <v>2254</v>
      </c>
      <c r="AI6786" t="s">
        <v>65</v>
      </c>
      <c r="AJ6786" t="s">
        <v>113</v>
      </c>
      <c r="AK6786" s="3" t="s">
        <v>27</v>
      </c>
      <c r="AL6786" s="3">
        <v>2765.2186378370998</v>
      </c>
    </row>
    <row r="6787" spans="34:38">
      <c r="AH6787" t="s">
        <v>2254</v>
      </c>
      <c r="AI6787" t="s">
        <v>67</v>
      </c>
      <c r="AJ6787" t="s">
        <v>113</v>
      </c>
      <c r="AK6787" s="3" t="s">
        <v>27</v>
      </c>
      <c r="AL6787" s="3">
        <v>3748.6912349999998</v>
      </c>
    </row>
    <row r="6788" spans="34:38">
      <c r="AH6788" t="s">
        <v>2254</v>
      </c>
      <c r="AI6788" t="s">
        <v>65</v>
      </c>
      <c r="AJ6788" t="s">
        <v>2303</v>
      </c>
      <c r="AK6788" s="3" t="s">
        <v>27</v>
      </c>
      <c r="AL6788" s="3">
        <v>-588.09147369610002</v>
      </c>
    </row>
    <row r="6789" spans="34:38">
      <c r="AH6789" t="s">
        <v>2254</v>
      </c>
      <c r="AI6789" t="s">
        <v>67</v>
      </c>
      <c r="AJ6789" t="s">
        <v>2303</v>
      </c>
      <c r="AK6789" s="3" t="s">
        <v>27</v>
      </c>
      <c r="AL6789" s="3">
        <v>-5057.347135</v>
      </c>
    </row>
    <row r="6790" spans="34:38">
      <c r="AH6790" t="s">
        <v>2255</v>
      </c>
      <c r="AI6790" t="s">
        <v>65</v>
      </c>
      <c r="AJ6790" t="s">
        <v>113</v>
      </c>
      <c r="AK6790" s="3" t="s">
        <v>20</v>
      </c>
      <c r="AL6790" s="3">
        <v>1672.3339365487</v>
      </c>
    </row>
    <row r="6791" spans="34:38">
      <c r="AH6791" t="s">
        <v>2255</v>
      </c>
      <c r="AI6791" t="s">
        <v>65</v>
      </c>
      <c r="AJ6791" t="s">
        <v>66</v>
      </c>
      <c r="AK6791" s="3" t="s">
        <v>27</v>
      </c>
      <c r="AL6791" s="3">
        <v>21162.5</v>
      </c>
    </row>
    <row r="6792" spans="34:38">
      <c r="AH6792" t="s">
        <v>2255</v>
      </c>
      <c r="AI6792" t="s">
        <v>65</v>
      </c>
      <c r="AJ6792" t="s">
        <v>72</v>
      </c>
      <c r="AK6792" s="3" t="s">
        <v>27</v>
      </c>
      <c r="AL6792" s="3">
        <v>22795.182124999999</v>
      </c>
    </row>
    <row r="6793" spans="34:38">
      <c r="AH6793" t="s">
        <v>2255</v>
      </c>
      <c r="AI6793" t="s">
        <v>65</v>
      </c>
      <c r="AJ6793" t="s">
        <v>108</v>
      </c>
      <c r="AK6793" s="3" t="s">
        <v>27</v>
      </c>
      <c r="AL6793" s="3">
        <v>1632.682125</v>
      </c>
    </row>
    <row r="6794" spans="34:38">
      <c r="AH6794" t="s">
        <v>2255</v>
      </c>
      <c r="AI6794" t="s">
        <v>67</v>
      </c>
      <c r="AJ6794" t="s">
        <v>66</v>
      </c>
      <c r="AK6794" s="3" t="s">
        <v>27</v>
      </c>
      <c r="AL6794" s="3">
        <v>-7592.5</v>
      </c>
    </row>
    <row r="6795" spans="34:38">
      <c r="AH6795" t="s">
        <v>2255</v>
      </c>
      <c r="AI6795" t="s">
        <v>67</v>
      </c>
      <c r="AJ6795" t="s">
        <v>72</v>
      </c>
      <c r="AK6795" s="3" t="s">
        <v>27</v>
      </c>
      <c r="AL6795" s="3">
        <v>-8853.9842449999996</v>
      </c>
    </row>
    <row r="6796" spans="34:38">
      <c r="AH6796" t="s">
        <v>2255</v>
      </c>
      <c r="AI6796" t="s">
        <v>67</v>
      </c>
      <c r="AJ6796" t="s">
        <v>108</v>
      </c>
      <c r="AK6796" s="3" t="s">
        <v>27</v>
      </c>
      <c r="AL6796" s="3">
        <v>-1261.4842450000001</v>
      </c>
    </row>
    <row r="6797" spans="34:38">
      <c r="AH6797" t="s">
        <v>2255</v>
      </c>
      <c r="AI6797" t="s">
        <v>68</v>
      </c>
      <c r="AJ6797" t="s">
        <v>66</v>
      </c>
      <c r="AK6797" s="3" t="s">
        <v>27</v>
      </c>
      <c r="AL6797" s="3">
        <v>-100</v>
      </c>
    </row>
    <row r="6798" spans="34:38">
      <c r="AH6798" t="s">
        <v>2255</v>
      </c>
      <c r="AI6798" t="s">
        <v>68</v>
      </c>
      <c r="AJ6798" t="s">
        <v>72</v>
      </c>
      <c r="AK6798" s="3" t="s">
        <v>27</v>
      </c>
      <c r="AL6798" s="3">
        <v>-99.396000000000001</v>
      </c>
    </row>
    <row r="6799" spans="34:38">
      <c r="AH6799" t="s">
        <v>2255</v>
      </c>
      <c r="AI6799" t="s">
        <v>68</v>
      </c>
      <c r="AJ6799" t="s">
        <v>108</v>
      </c>
      <c r="AK6799" s="3" t="s">
        <v>27</v>
      </c>
      <c r="AL6799" s="3">
        <v>0.60399999999999998</v>
      </c>
    </row>
    <row r="6800" spans="34:38">
      <c r="AH6800" t="s">
        <v>2255</v>
      </c>
      <c r="AI6800" t="s">
        <v>65</v>
      </c>
      <c r="AJ6800" t="s">
        <v>113</v>
      </c>
      <c r="AK6800" s="3" t="s">
        <v>27</v>
      </c>
      <c r="AL6800" s="3">
        <v>2767.0365178320999</v>
      </c>
    </row>
    <row r="6801" spans="34:38">
      <c r="AH6801" t="s">
        <v>2255</v>
      </c>
      <c r="AI6801" t="s">
        <v>67</v>
      </c>
      <c r="AJ6801" t="s">
        <v>113</v>
      </c>
      <c r="AK6801" s="3" t="s">
        <v>27</v>
      </c>
      <c r="AL6801" s="3">
        <v>3748.6912349999998</v>
      </c>
    </row>
    <row r="6802" spans="34:38">
      <c r="AH6802" t="s">
        <v>2255</v>
      </c>
      <c r="AI6802" t="s">
        <v>65</v>
      </c>
      <c r="AJ6802" t="s">
        <v>2303</v>
      </c>
      <c r="AK6802" s="3" t="s">
        <v>27</v>
      </c>
      <c r="AL6802" s="3">
        <v>-607.32117935509996</v>
      </c>
    </row>
    <row r="6803" spans="34:38">
      <c r="AH6803" t="s">
        <v>2255</v>
      </c>
      <c r="AI6803" t="s">
        <v>67</v>
      </c>
      <c r="AJ6803" t="s">
        <v>2303</v>
      </c>
      <c r="AK6803" s="3" t="s">
        <v>27</v>
      </c>
      <c r="AL6803" s="3">
        <v>-5010.1754799999999</v>
      </c>
    </row>
    <row r="6804" spans="34:38">
      <c r="AH6804" t="s">
        <v>2256</v>
      </c>
      <c r="AI6804" t="s">
        <v>65</v>
      </c>
      <c r="AJ6804" t="s">
        <v>113</v>
      </c>
      <c r="AK6804" s="3" t="s">
        <v>20</v>
      </c>
      <c r="AL6804" s="3">
        <v>1690.5741248269001</v>
      </c>
    </row>
    <row r="6805" spans="34:38">
      <c r="AH6805" t="s">
        <v>2256</v>
      </c>
      <c r="AI6805" t="s">
        <v>65</v>
      </c>
      <c r="AJ6805" t="s">
        <v>66</v>
      </c>
      <c r="AK6805" s="3" t="s">
        <v>27</v>
      </c>
      <c r="AL6805" s="3">
        <v>21049.5</v>
      </c>
    </row>
    <row r="6806" spans="34:38">
      <c r="AH6806" t="s">
        <v>2256</v>
      </c>
      <c r="AI6806" t="s">
        <v>65</v>
      </c>
      <c r="AJ6806" t="s">
        <v>72</v>
      </c>
      <c r="AK6806" s="3" t="s">
        <v>27</v>
      </c>
      <c r="AL6806" s="3">
        <v>22710.730465000001</v>
      </c>
    </row>
    <row r="6807" spans="34:38">
      <c r="AH6807" t="s">
        <v>2256</v>
      </c>
      <c r="AI6807" t="s">
        <v>65</v>
      </c>
      <c r="AJ6807" t="s">
        <v>108</v>
      </c>
      <c r="AK6807" s="3" t="s">
        <v>27</v>
      </c>
      <c r="AL6807" s="3">
        <v>1661.2304650000001</v>
      </c>
    </row>
    <row r="6808" spans="34:38">
      <c r="AH6808" t="s">
        <v>2256</v>
      </c>
      <c r="AI6808" t="s">
        <v>67</v>
      </c>
      <c r="AJ6808" t="s">
        <v>66</v>
      </c>
      <c r="AK6808" s="3" t="s">
        <v>27</v>
      </c>
      <c r="AL6808" s="3">
        <v>-7379.5</v>
      </c>
    </row>
    <row r="6809" spans="34:38">
      <c r="AH6809" t="s">
        <v>2256</v>
      </c>
      <c r="AI6809" t="s">
        <v>67</v>
      </c>
      <c r="AJ6809" t="s">
        <v>72</v>
      </c>
      <c r="AK6809" s="3" t="s">
        <v>27</v>
      </c>
      <c r="AL6809" s="3">
        <v>-8662.9421249999996</v>
      </c>
    </row>
    <row r="6810" spans="34:38">
      <c r="AH6810" t="s">
        <v>2256</v>
      </c>
      <c r="AI6810" t="s">
        <v>67</v>
      </c>
      <c r="AJ6810" t="s">
        <v>108</v>
      </c>
      <c r="AK6810" s="3" t="s">
        <v>27</v>
      </c>
      <c r="AL6810" s="3">
        <v>-1283.442125</v>
      </c>
    </row>
    <row r="6811" spans="34:38">
      <c r="AH6811" t="s">
        <v>2256</v>
      </c>
      <c r="AI6811" t="s">
        <v>68</v>
      </c>
      <c r="AJ6811" t="s">
        <v>66</v>
      </c>
      <c r="AK6811" s="3" t="s">
        <v>27</v>
      </c>
      <c r="AL6811" s="3">
        <v>-100</v>
      </c>
    </row>
    <row r="6812" spans="34:38">
      <c r="AH6812" t="s">
        <v>2256</v>
      </c>
      <c r="AI6812" t="s">
        <v>68</v>
      </c>
      <c r="AJ6812" t="s">
        <v>72</v>
      </c>
      <c r="AK6812" s="3" t="s">
        <v>27</v>
      </c>
      <c r="AL6812" s="3">
        <v>-98.409000000000006</v>
      </c>
    </row>
    <row r="6813" spans="34:38">
      <c r="AH6813" t="s">
        <v>2256</v>
      </c>
      <c r="AI6813" t="s">
        <v>68</v>
      </c>
      <c r="AJ6813" t="s">
        <v>108</v>
      </c>
      <c r="AK6813" s="3" t="s">
        <v>27</v>
      </c>
      <c r="AL6813" s="3">
        <v>1.591</v>
      </c>
    </row>
    <row r="6814" spans="34:38">
      <c r="AH6814" t="s">
        <v>2256</v>
      </c>
      <c r="AI6814" t="s">
        <v>65</v>
      </c>
      <c r="AJ6814" t="s">
        <v>113</v>
      </c>
      <c r="AK6814" s="3" t="s">
        <v>27</v>
      </c>
      <c r="AL6814" s="3">
        <v>2785.7524175221001</v>
      </c>
    </row>
    <row r="6815" spans="34:38">
      <c r="AH6815" t="s">
        <v>2256</v>
      </c>
      <c r="AI6815" t="s">
        <v>67</v>
      </c>
      <c r="AJ6815" t="s">
        <v>113</v>
      </c>
      <c r="AK6815" s="3" t="s">
        <v>27</v>
      </c>
      <c r="AL6815" s="3">
        <v>3748.6912349999998</v>
      </c>
    </row>
    <row r="6816" spans="34:38">
      <c r="AH6816" t="s">
        <v>2256</v>
      </c>
      <c r="AI6816" t="s">
        <v>65</v>
      </c>
      <c r="AJ6816" t="s">
        <v>2303</v>
      </c>
      <c r="AK6816" s="3" t="s">
        <v>27</v>
      </c>
      <c r="AL6816" s="3">
        <v>-588.93360486209997</v>
      </c>
    </row>
    <row r="6817" spans="34:38">
      <c r="AH6817" t="s">
        <v>2256</v>
      </c>
      <c r="AI6817" t="s">
        <v>67</v>
      </c>
      <c r="AJ6817" t="s">
        <v>2303</v>
      </c>
      <c r="AK6817" s="3" t="s">
        <v>27</v>
      </c>
      <c r="AL6817" s="3">
        <v>-5032.1333599999998</v>
      </c>
    </row>
    <row r="6818" spans="34:38">
      <c r="AH6818" t="s">
        <v>2257</v>
      </c>
      <c r="AI6818" t="s">
        <v>65</v>
      </c>
      <c r="AJ6818" t="s">
        <v>66</v>
      </c>
      <c r="AK6818" s="3" t="s">
        <v>27</v>
      </c>
      <c r="AL6818" s="3">
        <v>20412.5</v>
      </c>
    </row>
    <row r="6819" spans="34:38">
      <c r="AH6819" t="s">
        <v>2257</v>
      </c>
      <c r="AI6819" t="s">
        <v>65</v>
      </c>
      <c r="AJ6819" t="s">
        <v>72</v>
      </c>
      <c r="AK6819" s="3" t="s">
        <v>27</v>
      </c>
      <c r="AL6819" s="3">
        <v>22071.747869999999</v>
      </c>
    </row>
    <row r="6820" spans="34:38">
      <c r="AH6820" t="s">
        <v>2257</v>
      </c>
      <c r="AI6820" t="s">
        <v>65</v>
      </c>
      <c r="AJ6820" t="s">
        <v>108</v>
      </c>
      <c r="AK6820" s="3" t="s">
        <v>27</v>
      </c>
      <c r="AL6820" s="3">
        <v>1659.2478699999999</v>
      </c>
    </row>
    <row r="6821" spans="34:38">
      <c r="AH6821" t="s">
        <v>2257</v>
      </c>
      <c r="AI6821" t="s">
        <v>67</v>
      </c>
      <c r="AJ6821" t="s">
        <v>66</v>
      </c>
      <c r="AK6821" s="3" t="s">
        <v>27</v>
      </c>
      <c r="AL6821" s="3">
        <v>-7005.5</v>
      </c>
    </row>
    <row r="6822" spans="34:38">
      <c r="AH6822" t="s">
        <v>2257</v>
      </c>
      <c r="AI6822" t="s">
        <v>67</v>
      </c>
      <c r="AJ6822" t="s">
        <v>72</v>
      </c>
      <c r="AK6822" s="3" t="s">
        <v>27</v>
      </c>
      <c r="AL6822" s="3">
        <v>-8267.6860300000008</v>
      </c>
    </row>
    <row r="6823" spans="34:38">
      <c r="AH6823" t="s">
        <v>2257</v>
      </c>
      <c r="AI6823" t="s">
        <v>67</v>
      </c>
      <c r="AJ6823" t="s">
        <v>108</v>
      </c>
      <c r="AK6823" s="3" t="s">
        <v>27</v>
      </c>
      <c r="AL6823" s="3">
        <v>-1262.1860300000001</v>
      </c>
    </row>
    <row r="6824" spans="34:38">
      <c r="AH6824" t="s">
        <v>2257</v>
      </c>
      <c r="AI6824" t="s">
        <v>68</v>
      </c>
      <c r="AJ6824" t="s">
        <v>66</v>
      </c>
      <c r="AK6824" s="3" t="s">
        <v>27</v>
      </c>
      <c r="AL6824" s="3">
        <v>263</v>
      </c>
    </row>
    <row r="6825" spans="34:38">
      <c r="AH6825" t="s">
        <v>2257</v>
      </c>
      <c r="AI6825" t="s">
        <v>68</v>
      </c>
      <c r="AJ6825" t="s">
        <v>72</v>
      </c>
      <c r="AK6825" s="3" t="s">
        <v>27</v>
      </c>
      <c r="AL6825" s="3">
        <v>248.64148</v>
      </c>
    </row>
    <row r="6826" spans="34:38">
      <c r="AH6826" t="s">
        <v>2257</v>
      </c>
      <c r="AI6826" t="s">
        <v>68</v>
      </c>
      <c r="AJ6826" t="s">
        <v>108</v>
      </c>
      <c r="AK6826" s="3" t="s">
        <v>27</v>
      </c>
      <c r="AL6826" s="3">
        <v>-14.35852</v>
      </c>
    </row>
    <row r="6827" spans="34:38">
      <c r="AH6827" t="s">
        <v>2257</v>
      </c>
      <c r="AI6827" t="s">
        <v>65</v>
      </c>
      <c r="AJ6827" t="s">
        <v>113</v>
      </c>
      <c r="AK6827" s="3" t="s">
        <v>27</v>
      </c>
      <c r="AL6827" s="3">
        <v>2774.5169147270999</v>
      </c>
    </row>
    <row r="6828" spans="34:38">
      <c r="AH6828" t="s">
        <v>2257</v>
      </c>
      <c r="AI6828" t="s">
        <v>67</v>
      </c>
      <c r="AJ6828" t="s">
        <v>113</v>
      </c>
      <c r="AK6828" s="3" t="s">
        <v>27</v>
      </c>
      <c r="AL6828" s="3">
        <v>3748.6912349999998</v>
      </c>
    </row>
    <row r="6829" spans="34:38">
      <c r="AH6829" t="s">
        <v>2257</v>
      </c>
      <c r="AI6829" t="s">
        <v>65</v>
      </c>
      <c r="AJ6829" t="s">
        <v>2303</v>
      </c>
      <c r="AK6829" s="3" t="s">
        <v>27</v>
      </c>
      <c r="AL6829" s="3">
        <v>-572.75952303509996</v>
      </c>
    </row>
    <row r="6830" spans="34:38">
      <c r="AH6830" t="s">
        <v>2257</v>
      </c>
      <c r="AI6830" t="s">
        <v>67</v>
      </c>
      <c r="AJ6830" t="s">
        <v>2303</v>
      </c>
      <c r="AK6830" s="3" t="s">
        <v>27</v>
      </c>
      <c r="AL6830" s="3">
        <v>-5010.8772650000001</v>
      </c>
    </row>
    <row r="6831" spans="34:38">
      <c r="AH6831" t="s">
        <v>2257</v>
      </c>
      <c r="AI6831" t="s">
        <v>65</v>
      </c>
      <c r="AJ6831" t="s">
        <v>113</v>
      </c>
      <c r="AK6831" s="3" t="s">
        <v>20</v>
      </c>
      <c r="AL6831" s="3">
        <v>1678.8629106366</v>
      </c>
    </row>
    <row r="6832" spans="34:38">
      <c r="AH6832" t="s">
        <v>2258</v>
      </c>
      <c r="AI6832" t="s">
        <v>65</v>
      </c>
      <c r="AJ6832" t="s">
        <v>113</v>
      </c>
      <c r="AK6832" s="3" t="s">
        <v>20</v>
      </c>
      <c r="AL6832" s="3">
        <v>1680.2060659576</v>
      </c>
    </row>
    <row r="6833" spans="34:38">
      <c r="AH6833" t="s">
        <v>2258</v>
      </c>
      <c r="AI6833" t="s">
        <v>65</v>
      </c>
      <c r="AJ6833" t="s">
        <v>66</v>
      </c>
      <c r="AK6833" s="3" t="s">
        <v>27</v>
      </c>
      <c r="AL6833" s="3">
        <v>20612.5</v>
      </c>
    </row>
    <row r="6834" spans="34:38">
      <c r="AH6834" t="s">
        <v>2258</v>
      </c>
      <c r="AI6834" t="s">
        <v>65</v>
      </c>
      <c r="AJ6834" t="s">
        <v>72</v>
      </c>
      <c r="AK6834" s="3" t="s">
        <v>27</v>
      </c>
      <c r="AL6834" s="3">
        <v>22262.563429999998</v>
      </c>
    </row>
    <row r="6835" spans="34:38">
      <c r="AH6835" t="s">
        <v>2258</v>
      </c>
      <c r="AI6835" t="s">
        <v>65</v>
      </c>
      <c r="AJ6835" t="s">
        <v>108</v>
      </c>
      <c r="AK6835" s="3" t="s">
        <v>27</v>
      </c>
      <c r="AL6835" s="3">
        <v>1650.0634299999999</v>
      </c>
    </row>
    <row r="6836" spans="34:38">
      <c r="AH6836" t="s">
        <v>2258</v>
      </c>
      <c r="AI6836" t="s">
        <v>67</v>
      </c>
      <c r="AJ6836" t="s">
        <v>66</v>
      </c>
      <c r="AK6836" s="3" t="s">
        <v>27</v>
      </c>
      <c r="AL6836" s="3">
        <v>-7942.5</v>
      </c>
    </row>
    <row r="6837" spans="34:38">
      <c r="AH6837" t="s">
        <v>2258</v>
      </c>
      <c r="AI6837" t="s">
        <v>67</v>
      </c>
      <c r="AJ6837" t="s">
        <v>72</v>
      </c>
      <c r="AK6837" s="3" t="s">
        <v>27</v>
      </c>
      <c r="AL6837" s="3">
        <v>-9194.7019099999998</v>
      </c>
    </row>
    <row r="6838" spans="34:38">
      <c r="AH6838" t="s">
        <v>2258</v>
      </c>
      <c r="AI6838" t="s">
        <v>67</v>
      </c>
      <c r="AJ6838" t="s">
        <v>108</v>
      </c>
      <c r="AK6838" s="3" t="s">
        <v>27</v>
      </c>
      <c r="AL6838" s="3">
        <v>-1252.20191</v>
      </c>
    </row>
    <row r="6839" spans="34:38">
      <c r="AH6839" t="s">
        <v>2258</v>
      </c>
      <c r="AI6839" t="s">
        <v>68</v>
      </c>
      <c r="AJ6839" t="s">
        <v>66</v>
      </c>
      <c r="AK6839" s="3" t="s">
        <v>27</v>
      </c>
      <c r="AL6839" s="3">
        <v>450</v>
      </c>
    </row>
    <row r="6840" spans="34:38">
      <c r="AH6840" t="s">
        <v>2258</v>
      </c>
      <c r="AI6840" t="s">
        <v>68</v>
      </c>
      <c r="AJ6840" t="s">
        <v>72</v>
      </c>
      <c r="AK6840" s="3" t="s">
        <v>27</v>
      </c>
      <c r="AL6840" s="3">
        <v>440.28050000000002</v>
      </c>
    </row>
    <row r="6841" spans="34:38">
      <c r="AH6841" t="s">
        <v>2258</v>
      </c>
      <c r="AI6841" t="s">
        <v>68</v>
      </c>
      <c r="AJ6841" t="s">
        <v>108</v>
      </c>
      <c r="AK6841" s="3" t="s">
        <v>27</v>
      </c>
      <c r="AL6841" s="3">
        <v>-9.7195</v>
      </c>
    </row>
    <row r="6842" spans="34:38">
      <c r="AH6842" t="s">
        <v>2258</v>
      </c>
      <c r="AI6842" t="s">
        <v>65</v>
      </c>
      <c r="AJ6842" t="s">
        <v>113</v>
      </c>
      <c r="AK6842" s="3" t="s">
        <v>27</v>
      </c>
      <c r="AL6842" s="3">
        <v>2776.3357814471001</v>
      </c>
    </row>
    <row r="6843" spans="34:38">
      <c r="AH6843" t="s">
        <v>2258</v>
      </c>
      <c r="AI6843" t="s">
        <v>67</v>
      </c>
      <c r="AJ6843" t="s">
        <v>113</v>
      </c>
      <c r="AK6843" s="3" t="s">
        <v>27</v>
      </c>
      <c r="AL6843" s="3">
        <v>3748.6912349999998</v>
      </c>
    </row>
    <row r="6844" spans="34:38">
      <c r="AH6844" t="s">
        <v>2258</v>
      </c>
      <c r="AI6844" t="s">
        <v>65</v>
      </c>
      <c r="AJ6844" t="s">
        <v>2303</v>
      </c>
      <c r="AK6844" s="3" t="s">
        <v>27</v>
      </c>
      <c r="AL6844" s="3">
        <v>-590.63972594309996</v>
      </c>
    </row>
    <row r="6845" spans="34:38">
      <c r="AH6845" t="s">
        <v>2258</v>
      </c>
      <c r="AI6845" t="s">
        <v>67</v>
      </c>
      <c r="AJ6845" t="s">
        <v>2303</v>
      </c>
      <c r="AK6845" s="3" t="s">
        <v>27</v>
      </c>
      <c r="AL6845" s="3">
        <v>-5000.893145</v>
      </c>
    </row>
    <row r="6846" spans="34:38">
      <c r="AH6846" t="s">
        <v>2259</v>
      </c>
      <c r="AI6846" t="s">
        <v>65</v>
      </c>
      <c r="AJ6846" t="s">
        <v>66</v>
      </c>
      <c r="AK6846" s="3" t="s">
        <v>27</v>
      </c>
      <c r="AL6846" s="3">
        <v>20489.5</v>
      </c>
    </row>
    <row r="6847" spans="34:38">
      <c r="AH6847" t="s">
        <v>2259</v>
      </c>
      <c r="AI6847" t="s">
        <v>65</v>
      </c>
      <c r="AJ6847" t="s">
        <v>72</v>
      </c>
      <c r="AK6847" s="3" t="s">
        <v>27</v>
      </c>
      <c r="AL6847" s="3">
        <v>22132.599865</v>
      </c>
    </row>
    <row r="6848" spans="34:38">
      <c r="AH6848" t="s">
        <v>2259</v>
      </c>
      <c r="AI6848" t="s">
        <v>65</v>
      </c>
      <c r="AJ6848" t="s">
        <v>108</v>
      </c>
      <c r="AK6848" s="3" t="s">
        <v>27</v>
      </c>
      <c r="AL6848" s="3">
        <v>1643.0998649999999</v>
      </c>
    </row>
    <row r="6849" spans="34:38">
      <c r="AH6849" t="s">
        <v>2259</v>
      </c>
      <c r="AI6849" t="s">
        <v>67</v>
      </c>
      <c r="AJ6849" t="s">
        <v>66</v>
      </c>
      <c r="AK6849" s="3" t="s">
        <v>27</v>
      </c>
      <c r="AL6849" s="3">
        <v>-7669.5</v>
      </c>
    </row>
    <row r="6850" spans="34:38">
      <c r="AH6850" t="s">
        <v>2259</v>
      </c>
      <c r="AI6850" t="s">
        <v>67</v>
      </c>
      <c r="AJ6850" t="s">
        <v>72</v>
      </c>
      <c r="AK6850" s="3" t="s">
        <v>27</v>
      </c>
      <c r="AL6850" s="3">
        <v>-8915.6907050000009</v>
      </c>
    </row>
    <row r="6851" spans="34:38">
      <c r="AH6851" t="s">
        <v>2259</v>
      </c>
      <c r="AI6851" t="s">
        <v>67</v>
      </c>
      <c r="AJ6851" t="s">
        <v>108</v>
      </c>
      <c r="AK6851" s="3" t="s">
        <v>27</v>
      </c>
      <c r="AL6851" s="3">
        <v>-1246.190705</v>
      </c>
    </row>
    <row r="6852" spans="34:38">
      <c r="AH6852" t="s">
        <v>2259</v>
      </c>
      <c r="AI6852" t="s">
        <v>68</v>
      </c>
      <c r="AJ6852" t="s">
        <v>66</v>
      </c>
      <c r="AK6852" s="3" t="s">
        <v>27</v>
      </c>
      <c r="AL6852" s="3">
        <v>300</v>
      </c>
    </row>
    <row r="6853" spans="34:38">
      <c r="AH6853" t="s">
        <v>2259</v>
      </c>
      <c r="AI6853" t="s">
        <v>68</v>
      </c>
      <c r="AJ6853" t="s">
        <v>72</v>
      </c>
      <c r="AK6853" s="3" t="s">
        <v>27</v>
      </c>
      <c r="AL6853" s="3">
        <v>292.7115</v>
      </c>
    </row>
    <row r="6854" spans="34:38">
      <c r="AH6854" t="s">
        <v>2259</v>
      </c>
      <c r="AI6854" t="s">
        <v>68</v>
      </c>
      <c r="AJ6854" t="s">
        <v>108</v>
      </c>
      <c r="AK6854" s="3" t="s">
        <v>27</v>
      </c>
      <c r="AL6854" s="3">
        <v>-7.2885</v>
      </c>
    </row>
    <row r="6855" spans="34:38">
      <c r="AH6855" t="s">
        <v>2259</v>
      </c>
      <c r="AI6855" t="s">
        <v>65</v>
      </c>
      <c r="AJ6855" t="s">
        <v>113</v>
      </c>
      <c r="AK6855" s="3" t="s">
        <v>27</v>
      </c>
      <c r="AL6855" s="3">
        <v>2764.5938634880999</v>
      </c>
    </row>
    <row r="6856" spans="34:38">
      <c r="AH6856" t="s">
        <v>2259</v>
      </c>
      <c r="AI6856" t="s">
        <v>67</v>
      </c>
      <c r="AJ6856" t="s">
        <v>113</v>
      </c>
      <c r="AK6856" s="3" t="s">
        <v>27</v>
      </c>
      <c r="AL6856" s="3">
        <v>3748.6912349999998</v>
      </c>
    </row>
    <row r="6857" spans="34:38">
      <c r="AH6857" t="s">
        <v>2259</v>
      </c>
      <c r="AI6857" t="s">
        <v>65</v>
      </c>
      <c r="AJ6857" t="s">
        <v>2303</v>
      </c>
      <c r="AK6857" s="3" t="s">
        <v>27</v>
      </c>
      <c r="AL6857" s="3">
        <v>-582.37283065810004</v>
      </c>
    </row>
    <row r="6858" spans="34:38">
      <c r="AH6858" t="s">
        <v>2259</v>
      </c>
      <c r="AI6858" t="s">
        <v>67</v>
      </c>
      <c r="AJ6858" t="s">
        <v>2303</v>
      </c>
      <c r="AK6858" s="3" t="s">
        <v>27</v>
      </c>
      <c r="AL6858" s="3">
        <v>-4994.8819400000002</v>
      </c>
    </row>
    <row r="6859" spans="34:38">
      <c r="AH6859" t="s">
        <v>2259</v>
      </c>
      <c r="AI6859" t="s">
        <v>65</v>
      </c>
      <c r="AJ6859" t="s">
        <v>113</v>
      </c>
      <c r="AK6859" s="3" t="s">
        <v>20</v>
      </c>
      <c r="AL6859" s="3">
        <v>1667.9884365998</v>
      </c>
    </row>
    <row r="6860" spans="34:38">
      <c r="AH6860" t="s">
        <v>2260</v>
      </c>
      <c r="AI6860" t="s">
        <v>65</v>
      </c>
      <c r="AJ6860" t="s">
        <v>113</v>
      </c>
      <c r="AK6860" s="3" t="s">
        <v>20</v>
      </c>
      <c r="AL6860" s="3">
        <v>1692.8877819300001</v>
      </c>
    </row>
    <row r="6861" spans="34:38">
      <c r="AH6861" t="s">
        <v>2260</v>
      </c>
      <c r="AI6861" t="s">
        <v>65</v>
      </c>
      <c r="AJ6861" t="s">
        <v>66</v>
      </c>
      <c r="AK6861" s="3" t="s">
        <v>27</v>
      </c>
      <c r="AL6861" s="3">
        <v>20562.5</v>
      </c>
    </row>
    <row r="6862" spans="34:38">
      <c r="AH6862" t="s">
        <v>2260</v>
      </c>
      <c r="AI6862" t="s">
        <v>65</v>
      </c>
      <c r="AJ6862" t="s">
        <v>72</v>
      </c>
      <c r="AK6862" s="3" t="s">
        <v>27</v>
      </c>
      <c r="AL6862" s="3">
        <v>22235.486089999999</v>
      </c>
    </row>
    <row r="6863" spans="34:38">
      <c r="AH6863" t="s">
        <v>2260</v>
      </c>
      <c r="AI6863" t="s">
        <v>65</v>
      </c>
      <c r="AJ6863" t="s">
        <v>108</v>
      </c>
      <c r="AK6863" s="3" t="s">
        <v>27</v>
      </c>
      <c r="AL6863" s="3">
        <v>1672.9860900000001</v>
      </c>
    </row>
    <row r="6864" spans="34:38">
      <c r="AH6864" t="s">
        <v>2260</v>
      </c>
      <c r="AI6864" t="s">
        <v>67</v>
      </c>
      <c r="AJ6864" t="s">
        <v>66</v>
      </c>
      <c r="AK6864" s="3" t="s">
        <v>27</v>
      </c>
      <c r="AL6864" s="3">
        <v>-7892.5</v>
      </c>
    </row>
    <row r="6865" spans="34:38">
      <c r="AH6865" t="s">
        <v>2260</v>
      </c>
      <c r="AI6865" t="s">
        <v>67</v>
      </c>
      <c r="AJ6865" t="s">
        <v>72</v>
      </c>
      <c r="AK6865" s="3" t="s">
        <v>27</v>
      </c>
      <c r="AL6865" s="3">
        <v>-9175.7324100000005</v>
      </c>
    </row>
    <row r="6866" spans="34:38">
      <c r="AH6866" t="s">
        <v>2260</v>
      </c>
      <c r="AI6866" t="s">
        <v>67</v>
      </c>
      <c r="AJ6866" t="s">
        <v>108</v>
      </c>
      <c r="AK6866" s="3" t="s">
        <v>27</v>
      </c>
      <c r="AL6866" s="3">
        <v>-1283.2324100000001</v>
      </c>
    </row>
    <row r="6867" spans="34:38">
      <c r="AH6867" t="s">
        <v>2260</v>
      </c>
      <c r="AI6867" t="s">
        <v>68</v>
      </c>
      <c r="AJ6867" t="s">
        <v>66</v>
      </c>
      <c r="AK6867" s="3" t="s">
        <v>27</v>
      </c>
      <c r="AL6867" s="3">
        <v>600</v>
      </c>
    </row>
    <row r="6868" spans="34:38">
      <c r="AH6868" t="s">
        <v>2260</v>
      </c>
      <c r="AI6868" t="s">
        <v>68</v>
      </c>
      <c r="AJ6868" t="s">
        <v>72</v>
      </c>
      <c r="AK6868" s="3" t="s">
        <v>27</v>
      </c>
      <c r="AL6868" s="3">
        <v>598.22699999999998</v>
      </c>
    </row>
    <row r="6869" spans="34:38">
      <c r="AH6869" t="s">
        <v>2260</v>
      </c>
      <c r="AI6869" t="s">
        <v>68</v>
      </c>
      <c r="AJ6869" t="s">
        <v>108</v>
      </c>
      <c r="AK6869" s="3" t="s">
        <v>27</v>
      </c>
      <c r="AL6869" s="3">
        <v>-1.7729999999999999</v>
      </c>
    </row>
    <row r="6870" spans="34:38">
      <c r="AH6870" t="s">
        <v>2260</v>
      </c>
      <c r="AI6870" t="s">
        <v>65</v>
      </c>
      <c r="AJ6870" t="s">
        <v>113</v>
      </c>
      <c r="AK6870" s="3" t="s">
        <v>27</v>
      </c>
      <c r="AL6870" s="3">
        <v>2790.9203430261</v>
      </c>
    </row>
    <row r="6871" spans="34:38">
      <c r="AH6871" t="s">
        <v>2260</v>
      </c>
      <c r="AI6871" t="s">
        <v>67</v>
      </c>
      <c r="AJ6871" t="s">
        <v>113</v>
      </c>
      <c r="AK6871" s="3" t="s">
        <v>27</v>
      </c>
      <c r="AL6871" s="3">
        <v>3748.6912349999998</v>
      </c>
    </row>
    <row r="6872" spans="34:38">
      <c r="AH6872" t="s">
        <v>2260</v>
      </c>
      <c r="AI6872" t="s">
        <v>65</v>
      </c>
      <c r="AJ6872" t="s">
        <v>2303</v>
      </c>
      <c r="AK6872" s="3" t="s">
        <v>27</v>
      </c>
      <c r="AL6872" s="3">
        <v>-576.88324575310003</v>
      </c>
    </row>
    <row r="6873" spans="34:38">
      <c r="AH6873" t="s">
        <v>2260</v>
      </c>
      <c r="AI6873" t="s">
        <v>67</v>
      </c>
      <c r="AJ6873" t="s">
        <v>2303</v>
      </c>
      <c r="AK6873" s="3" t="s">
        <v>27</v>
      </c>
      <c r="AL6873" s="3">
        <v>-5031.9236449999999</v>
      </c>
    </row>
    <row r="6874" spans="34:38">
      <c r="AH6874" t="s">
        <v>2261</v>
      </c>
      <c r="AI6874" t="s">
        <v>65</v>
      </c>
      <c r="AJ6874" t="s">
        <v>66</v>
      </c>
      <c r="AK6874" s="3" t="s">
        <v>27</v>
      </c>
      <c r="AL6874" s="3">
        <v>20544.5</v>
      </c>
    </row>
    <row r="6875" spans="34:38">
      <c r="AH6875" t="s">
        <v>2261</v>
      </c>
      <c r="AI6875" t="s">
        <v>65</v>
      </c>
      <c r="AJ6875" t="s">
        <v>72</v>
      </c>
      <c r="AK6875" s="3" t="s">
        <v>27</v>
      </c>
      <c r="AL6875" s="3">
        <v>22187.497555000002</v>
      </c>
    </row>
    <row r="6876" spans="34:38">
      <c r="AH6876" t="s">
        <v>2261</v>
      </c>
      <c r="AI6876" t="s">
        <v>65</v>
      </c>
      <c r="AJ6876" t="s">
        <v>108</v>
      </c>
      <c r="AK6876" s="3" t="s">
        <v>27</v>
      </c>
      <c r="AL6876" s="3">
        <v>1642.9975549999999</v>
      </c>
    </row>
    <row r="6877" spans="34:38">
      <c r="AH6877" t="s">
        <v>2261</v>
      </c>
      <c r="AI6877" t="s">
        <v>67</v>
      </c>
      <c r="AJ6877" t="s">
        <v>66</v>
      </c>
      <c r="AK6877" s="3" t="s">
        <v>27</v>
      </c>
      <c r="AL6877" s="3">
        <v>-7747.5</v>
      </c>
    </row>
    <row r="6878" spans="34:38">
      <c r="AH6878" t="s">
        <v>2261</v>
      </c>
      <c r="AI6878" t="s">
        <v>67</v>
      </c>
      <c r="AJ6878" t="s">
        <v>72</v>
      </c>
      <c r="AK6878" s="3" t="s">
        <v>27</v>
      </c>
      <c r="AL6878" s="3">
        <v>-9013.6296650000004</v>
      </c>
    </row>
    <row r="6879" spans="34:38">
      <c r="AH6879" t="s">
        <v>2261</v>
      </c>
      <c r="AI6879" t="s">
        <v>67</v>
      </c>
      <c r="AJ6879" t="s">
        <v>108</v>
      </c>
      <c r="AK6879" s="3" t="s">
        <v>27</v>
      </c>
      <c r="AL6879" s="3">
        <v>-1266.1296649999999</v>
      </c>
    </row>
    <row r="6880" spans="34:38">
      <c r="AH6880" t="s">
        <v>2261</v>
      </c>
      <c r="AI6880" t="s">
        <v>68</v>
      </c>
      <c r="AJ6880" t="s">
        <v>66</v>
      </c>
      <c r="AK6880" s="3" t="s">
        <v>27</v>
      </c>
      <c r="AL6880" s="3">
        <v>600</v>
      </c>
    </row>
    <row r="6881" spans="34:38">
      <c r="AH6881" t="s">
        <v>2261</v>
      </c>
      <c r="AI6881" t="s">
        <v>68</v>
      </c>
      <c r="AJ6881" t="s">
        <v>72</v>
      </c>
      <c r="AK6881" s="3" t="s">
        <v>27</v>
      </c>
      <c r="AL6881" s="3">
        <v>595.41800000000001</v>
      </c>
    </row>
    <row r="6882" spans="34:38">
      <c r="AH6882" t="s">
        <v>2261</v>
      </c>
      <c r="AI6882" t="s">
        <v>68</v>
      </c>
      <c r="AJ6882" t="s">
        <v>108</v>
      </c>
      <c r="AK6882" s="3" t="s">
        <v>27</v>
      </c>
      <c r="AL6882" s="3">
        <v>-4.5819999999999999</v>
      </c>
    </row>
    <row r="6883" spans="34:38">
      <c r="AH6883" t="s">
        <v>2261</v>
      </c>
      <c r="AI6883" t="s">
        <v>65</v>
      </c>
      <c r="AJ6883" t="s">
        <v>113</v>
      </c>
      <c r="AK6883" s="3" t="s">
        <v>27</v>
      </c>
      <c r="AL6883" s="3">
        <v>2753.1571705411002</v>
      </c>
    </row>
    <row r="6884" spans="34:38">
      <c r="AH6884" t="s">
        <v>2261</v>
      </c>
      <c r="AI6884" t="s">
        <v>67</v>
      </c>
      <c r="AJ6884" t="s">
        <v>113</v>
      </c>
      <c r="AK6884" s="3" t="s">
        <v>27</v>
      </c>
      <c r="AL6884" s="3">
        <v>3748.6912349999998</v>
      </c>
    </row>
    <row r="6885" spans="34:38">
      <c r="AH6885" t="s">
        <v>2261</v>
      </c>
      <c r="AI6885" t="s">
        <v>65</v>
      </c>
      <c r="AJ6885" t="s">
        <v>2303</v>
      </c>
      <c r="AK6885" s="3" t="s">
        <v>27</v>
      </c>
      <c r="AL6885" s="3">
        <v>-579.05864119509999</v>
      </c>
    </row>
    <row r="6886" spans="34:38">
      <c r="AH6886" t="s">
        <v>2261</v>
      </c>
      <c r="AI6886" t="s">
        <v>67</v>
      </c>
      <c r="AJ6886" t="s">
        <v>2303</v>
      </c>
      <c r="AK6886" s="3" t="s">
        <v>27</v>
      </c>
      <c r="AL6886" s="3">
        <v>-5014.8208999999997</v>
      </c>
    </row>
    <row r="6887" spans="34:38">
      <c r="AH6887" t="s">
        <v>2261</v>
      </c>
      <c r="AI6887" t="s">
        <v>65</v>
      </c>
      <c r="AJ6887" t="s">
        <v>113</v>
      </c>
      <c r="AK6887" s="3" t="s">
        <v>20</v>
      </c>
      <c r="AL6887" s="3">
        <v>1654.6488980475001</v>
      </c>
    </row>
    <row r="6888" spans="34:38">
      <c r="AH6888" t="s">
        <v>2262</v>
      </c>
      <c r="AI6888" t="s">
        <v>65</v>
      </c>
      <c r="AJ6888" t="s">
        <v>113</v>
      </c>
      <c r="AK6888" s="3" t="s">
        <v>20</v>
      </c>
      <c r="AL6888" s="3">
        <v>1662.4257783544001</v>
      </c>
    </row>
    <row r="6889" spans="34:38">
      <c r="AH6889" t="s">
        <v>2262</v>
      </c>
      <c r="AI6889" t="s">
        <v>65</v>
      </c>
      <c r="AJ6889" t="s">
        <v>66</v>
      </c>
      <c r="AK6889" s="3" t="s">
        <v>27</v>
      </c>
      <c r="AL6889" s="3">
        <v>21062.5</v>
      </c>
    </row>
    <row r="6890" spans="34:38">
      <c r="AH6890" t="s">
        <v>2262</v>
      </c>
      <c r="AI6890" t="s">
        <v>65</v>
      </c>
      <c r="AJ6890" t="s">
        <v>72</v>
      </c>
      <c r="AK6890" s="3" t="s">
        <v>27</v>
      </c>
      <c r="AL6890" s="3">
        <v>22618.979609999999</v>
      </c>
    </row>
    <row r="6891" spans="34:38">
      <c r="AH6891" t="s">
        <v>2262</v>
      </c>
      <c r="AI6891" t="s">
        <v>65</v>
      </c>
      <c r="AJ6891" t="s">
        <v>108</v>
      </c>
      <c r="AK6891" s="3" t="s">
        <v>27</v>
      </c>
      <c r="AL6891" s="3">
        <v>1556.4796100000001</v>
      </c>
    </row>
    <row r="6892" spans="34:38">
      <c r="AH6892" t="s">
        <v>2262</v>
      </c>
      <c r="AI6892" t="s">
        <v>67</v>
      </c>
      <c r="AJ6892" t="s">
        <v>66</v>
      </c>
      <c r="AK6892" s="3" t="s">
        <v>27</v>
      </c>
      <c r="AL6892" s="3">
        <v>-8460.5</v>
      </c>
    </row>
    <row r="6893" spans="34:38">
      <c r="AH6893" t="s">
        <v>2262</v>
      </c>
      <c r="AI6893" t="s">
        <v>67</v>
      </c>
      <c r="AJ6893" t="s">
        <v>72</v>
      </c>
      <c r="AK6893" s="3" t="s">
        <v>27</v>
      </c>
      <c r="AL6893" s="3">
        <v>-9723.6963699999997</v>
      </c>
    </row>
    <row r="6894" spans="34:38">
      <c r="AH6894" t="s">
        <v>2262</v>
      </c>
      <c r="AI6894" t="s">
        <v>67</v>
      </c>
      <c r="AJ6894" t="s">
        <v>108</v>
      </c>
      <c r="AK6894" s="3" t="s">
        <v>27</v>
      </c>
      <c r="AL6894" s="3">
        <v>-1263.1963699999999</v>
      </c>
    </row>
    <row r="6895" spans="34:38">
      <c r="AH6895" t="s">
        <v>2262</v>
      </c>
      <c r="AI6895" t="s">
        <v>68</v>
      </c>
      <c r="AJ6895" t="s">
        <v>66</v>
      </c>
      <c r="AK6895" s="3" t="s">
        <v>27</v>
      </c>
      <c r="AL6895" s="3">
        <v>768</v>
      </c>
    </row>
    <row r="6896" spans="34:38">
      <c r="AH6896" t="s">
        <v>2262</v>
      </c>
      <c r="AI6896" t="s">
        <v>68</v>
      </c>
      <c r="AJ6896" t="s">
        <v>72</v>
      </c>
      <c r="AK6896" s="3" t="s">
        <v>27</v>
      </c>
      <c r="AL6896" s="3">
        <v>790.07435999999996</v>
      </c>
    </row>
    <row r="6897" spans="34:38">
      <c r="AH6897" t="s">
        <v>2262</v>
      </c>
      <c r="AI6897" t="s">
        <v>68</v>
      </c>
      <c r="AJ6897" t="s">
        <v>108</v>
      </c>
      <c r="AK6897" s="3" t="s">
        <v>27</v>
      </c>
      <c r="AL6897" s="3">
        <v>22.074359999999999</v>
      </c>
    </row>
    <row r="6898" spans="34:38">
      <c r="AH6898" t="s">
        <v>2262</v>
      </c>
      <c r="AI6898" t="s">
        <v>65</v>
      </c>
      <c r="AJ6898" t="s">
        <v>113</v>
      </c>
      <c r="AK6898" s="3" t="s">
        <v>27</v>
      </c>
      <c r="AL6898" s="3">
        <v>2730.9752143131</v>
      </c>
    </row>
    <row r="6899" spans="34:38">
      <c r="AH6899" t="s">
        <v>2262</v>
      </c>
      <c r="AI6899" t="s">
        <v>67</v>
      </c>
      <c r="AJ6899" t="s">
        <v>113</v>
      </c>
      <c r="AK6899" s="3" t="s">
        <v>27</v>
      </c>
      <c r="AL6899" s="3">
        <v>3748.6912349999998</v>
      </c>
    </row>
    <row r="6900" spans="34:38">
      <c r="AH6900" t="s">
        <v>2262</v>
      </c>
      <c r="AI6900" t="s">
        <v>65</v>
      </c>
      <c r="AJ6900" t="s">
        <v>2303</v>
      </c>
      <c r="AK6900" s="3" t="s">
        <v>27</v>
      </c>
      <c r="AL6900" s="3">
        <v>-733.04370231710004</v>
      </c>
    </row>
    <row r="6901" spans="34:38">
      <c r="AH6901" t="s">
        <v>2262</v>
      </c>
      <c r="AI6901" t="s">
        <v>67</v>
      </c>
      <c r="AJ6901" t="s">
        <v>2303</v>
      </c>
      <c r="AK6901" s="3" t="s">
        <v>27</v>
      </c>
      <c r="AL6901" s="3">
        <v>-4988.8516049999998</v>
      </c>
    </row>
    <row r="6902" spans="34:38">
      <c r="AH6902" t="s">
        <v>2263</v>
      </c>
      <c r="AI6902" t="s">
        <v>65</v>
      </c>
      <c r="AJ6902" t="s">
        <v>66</v>
      </c>
      <c r="AK6902" s="3" t="s">
        <v>27</v>
      </c>
      <c r="AL6902" s="3">
        <v>21412.5</v>
      </c>
    </row>
    <row r="6903" spans="34:38">
      <c r="AH6903" t="s">
        <v>2263</v>
      </c>
      <c r="AI6903" t="s">
        <v>65</v>
      </c>
      <c r="AJ6903" t="s">
        <v>72</v>
      </c>
      <c r="AK6903" s="3" t="s">
        <v>27</v>
      </c>
      <c r="AL6903" s="3">
        <v>22917.699085</v>
      </c>
    </row>
    <row r="6904" spans="34:38">
      <c r="AH6904" t="s">
        <v>2263</v>
      </c>
      <c r="AI6904" t="s">
        <v>65</v>
      </c>
      <c r="AJ6904" t="s">
        <v>108</v>
      </c>
      <c r="AK6904" s="3" t="s">
        <v>27</v>
      </c>
      <c r="AL6904" s="3">
        <v>1505.199085</v>
      </c>
    </row>
    <row r="6905" spans="34:38">
      <c r="AH6905" t="s">
        <v>2263</v>
      </c>
      <c r="AI6905" t="s">
        <v>67</v>
      </c>
      <c r="AJ6905" t="s">
        <v>66</v>
      </c>
      <c r="AK6905" s="3" t="s">
        <v>27</v>
      </c>
      <c r="AL6905" s="3">
        <v>-8392.5</v>
      </c>
    </row>
    <row r="6906" spans="34:38">
      <c r="AH6906" t="s">
        <v>2263</v>
      </c>
      <c r="AI6906" t="s">
        <v>67</v>
      </c>
      <c r="AJ6906" t="s">
        <v>72</v>
      </c>
      <c r="AK6906" s="3" t="s">
        <v>27</v>
      </c>
      <c r="AL6906" s="3">
        <v>-9622.5749049999995</v>
      </c>
    </row>
    <row r="6907" spans="34:38">
      <c r="AH6907" t="s">
        <v>2263</v>
      </c>
      <c r="AI6907" t="s">
        <v>67</v>
      </c>
      <c r="AJ6907" t="s">
        <v>108</v>
      </c>
      <c r="AK6907" s="3" t="s">
        <v>27</v>
      </c>
      <c r="AL6907" s="3">
        <v>-1230.0749049999999</v>
      </c>
    </row>
    <row r="6908" spans="34:38">
      <c r="AH6908" t="s">
        <v>2263</v>
      </c>
      <c r="AI6908" t="s">
        <v>68</v>
      </c>
      <c r="AJ6908" t="s">
        <v>66</v>
      </c>
      <c r="AK6908" s="3" t="s">
        <v>27</v>
      </c>
      <c r="AL6908" s="3">
        <v>650</v>
      </c>
    </row>
    <row r="6909" spans="34:38">
      <c r="AH6909" t="s">
        <v>2263</v>
      </c>
      <c r="AI6909" t="s">
        <v>68</v>
      </c>
      <c r="AJ6909" t="s">
        <v>72</v>
      </c>
      <c r="AK6909" s="3" t="s">
        <v>27</v>
      </c>
      <c r="AL6909" s="3">
        <v>632.06899999999996</v>
      </c>
    </row>
    <row r="6910" spans="34:38">
      <c r="AH6910" t="s">
        <v>2263</v>
      </c>
      <c r="AI6910" t="s">
        <v>68</v>
      </c>
      <c r="AJ6910" t="s">
        <v>108</v>
      </c>
      <c r="AK6910" s="3" t="s">
        <v>27</v>
      </c>
      <c r="AL6910" s="3">
        <v>-17.931000000000001</v>
      </c>
    </row>
    <row r="6911" spans="34:38">
      <c r="AH6911" t="s">
        <v>2263</v>
      </c>
      <c r="AI6911" t="s">
        <v>65</v>
      </c>
      <c r="AJ6911" t="s">
        <v>113</v>
      </c>
      <c r="AK6911" s="3" t="s">
        <v>27</v>
      </c>
      <c r="AL6911" s="3">
        <v>2767.0480469510999</v>
      </c>
    </row>
    <row r="6912" spans="34:38">
      <c r="AH6912" t="s">
        <v>2263</v>
      </c>
      <c r="AI6912" t="s">
        <v>67</v>
      </c>
      <c r="AJ6912" t="s">
        <v>113</v>
      </c>
      <c r="AK6912" s="3" t="s">
        <v>27</v>
      </c>
      <c r="AL6912" s="3">
        <v>3748.6912349999998</v>
      </c>
    </row>
    <row r="6913" spans="34:38">
      <c r="AH6913" t="s">
        <v>2263</v>
      </c>
      <c r="AI6913" t="s">
        <v>65</v>
      </c>
      <c r="AJ6913" t="s">
        <v>2303</v>
      </c>
      <c r="AK6913" s="3" t="s">
        <v>27</v>
      </c>
      <c r="AL6913" s="3">
        <v>-870.09761012110005</v>
      </c>
    </row>
    <row r="6914" spans="34:38">
      <c r="AH6914" t="s">
        <v>2263</v>
      </c>
      <c r="AI6914" t="s">
        <v>67</v>
      </c>
      <c r="AJ6914" t="s">
        <v>2303</v>
      </c>
      <c r="AK6914" s="3" t="s">
        <v>27</v>
      </c>
      <c r="AL6914" s="3">
        <v>-4978.7661399999997</v>
      </c>
    </row>
    <row r="6915" spans="34:38">
      <c r="AH6915" t="s">
        <v>2263</v>
      </c>
      <c r="AI6915" t="s">
        <v>65</v>
      </c>
      <c r="AJ6915" t="s">
        <v>113</v>
      </c>
      <c r="AK6915" s="3" t="s">
        <v>20</v>
      </c>
      <c r="AL6915" s="3">
        <v>1698.0335336067001</v>
      </c>
    </row>
    <row r="6916" spans="34:38">
      <c r="AH6916" t="s">
        <v>2264</v>
      </c>
      <c r="AI6916" t="s">
        <v>65</v>
      </c>
      <c r="AJ6916" t="s">
        <v>113</v>
      </c>
      <c r="AK6916" s="3" t="s">
        <v>20</v>
      </c>
      <c r="AL6916" s="3">
        <v>1551.8373153780001</v>
      </c>
    </row>
    <row r="6917" spans="34:38">
      <c r="AH6917" t="s">
        <v>2264</v>
      </c>
      <c r="AI6917" t="s">
        <v>65</v>
      </c>
      <c r="AJ6917" t="s">
        <v>66</v>
      </c>
      <c r="AK6917" s="3" t="s">
        <v>27</v>
      </c>
      <c r="AL6917" s="3">
        <v>24012.5</v>
      </c>
    </row>
    <row r="6918" spans="34:38">
      <c r="AH6918" t="s">
        <v>2264</v>
      </c>
      <c r="AI6918" t="s">
        <v>65</v>
      </c>
      <c r="AJ6918" t="s">
        <v>72</v>
      </c>
      <c r="AK6918" s="3" t="s">
        <v>27</v>
      </c>
      <c r="AL6918" s="3">
        <v>25297.095584999999</v>
      </c>
    </row>
    <row r="6919" spans="34:38">
      <c r="AH6919" t="s">
        <v>2264</v>
      </c>
      <c r="AI6919" t="s">
        <v>65</v>
      </c>
      <c r="AJ6919" t="s">
        <v>108</v>
      </c>
      <c r="AK6919" s="3" t="s">
        <v>27</v>
      </c>
      <c r="AL6919" s="3">
        <v>1284.595585</v>
      </c>
    </row>
    <row r="6920" spans="34:38">
      <c r="AH6920" t="s">
        <v>2264</v>
      </c>
      <c r="AI6920" t="s">
        <v>67</v>
      </c>
      <c r="AJ6920" t="s">
        <v>66</v>
      </c>
      <c r="AK6920" s="3" t="s">
        <v>27</v>
      </c>
      <c r="AL6920" s="3">
        <v>-10642.5</v>
      </c>
    </row>
    <row r="6921" spans="34:38">
      <c r="AH6921" t="s">
        <v>2264</v>
      </c>
      <c r="AI6921" t="s">
        <v>67</v>
      </c>
      <c r="AJ6921" t="s">
        <v>72</v>
      </c>
      <c r="AK6921" s="3" t="s">
        <v>27</v>
      </c>
      <c r="AL6921" s="3">
        <v>-11634.886245</v>
      </c>
    </row>
    <row r="6922" spans="34:38">
      <c r="AH6922" t="s">
        <v>2264</v>
      </c>
      <c r="AI6922" t="s">
        <v>67</v>
      </c>
      <c r="AJ6922" t="s">
        <v>108</v>
      </c>
      <c r="AK6922" s="3" t="s">
        <v>27</v>
      </c>
      <c r="AL6922" s="3">
        <v>-992.38624500000003</v>
      </c>
    </row>
    <row r="6923" spans="34:38">
      <c r="AH6923" t="s">
        <v>2264</v>
      </c>
      <c r="AI6923" t="s">
        <v>68</v>
      </c>
      <c r="AJ6923" t="s">
        <v>66</v>
      </c>
      <c r="AK6923" s="3" t="s">
        <v>27</v>
      </c>
      <c r="AL6923" s="3">
        <v>700</v>
      </c>
    </row>
    <row r="6924" spans="34:38">
      <c r="AH6924" t="s">
        <v>2264</v>
      </c>
      <c r="AI6924" t="s">
        <v>68</v>
      </c>
      <c r="AJ6924" t="s">
        <v>72</v>
      </c>
      <c r="AK6924" s="3" t="s">
        <v>27</v>
      </c>
      <c r="AL6924" s="3">
        <v>662.18799999999999</v>
      </c>
    </row>
    <row r="6925" spans="34:38">
      <c r="AH6925" t="s">
        <v>2264</v>
      </c>
      <c r="AI6925" t="s">
        <v>68</v>
      </c>
      <c r="AJ6925" t="s">
        <v>108</v>
      </c>
      <c r="AK6925" s="3" t="s">
        <v>27</v>
      </c>
      <c r="AL6925" s="3">
        <v>-37.811999999999998</v>
      </c>
    </row>
    <row r="6926" spans="34:38">
      <c r="AH6926" t="s">
        <v>2264</v>
      </c>
      <c r="AI6926" t="s">
        <v>65</v>
      </c>
      <c r="AJ6926" t="s">
        <v>113</v>
      </c>
      <c r="AK6926" s="3" t="s">
        <v>27</v>
      </c>
      <c r="AL6926" s="3">
        <v>2621.3169061090998</v>
      </c>
    </row>
    <row r="6927" spans="34:38">
      <c r="AH6927" t="s">
        <v>2264</v>
      </c>
      <c r="AI6927" t="s">
        <v>67</v>
      </c>
      <c r="AJ6927" t="s">
        <v>113</v>
      </c>
      <c r="AK6927" s="3" t="s">
        <v>27</v>
      </c>
      <c r="AL6927" s="3">
        <v>3748.6912349999998</v>
      </c>
    </row>
    <row r="6928" spans="34:38">
      <c r="AH6928" t="s">
        <v>2264</v>
      </c>
      <c r="AI6928" t="s">
        <v>65</v>
      </c>
      <c r="AJ6928" t="s">
        <v>2303</v>
      </c>
      <c r="AK6928" s="3" t="s">
        <v>27</v>
      </c>
      <c r="AL6928" s="3">
        <v>-961.72264741209995</v>
      </c>
    </row>
    <row r="6929" spans="34:38">
      <c r="AH6929" t="s">
        <v>2264</v>
      </c>
      <c r="AI6929" t="s">
        <v>67</v>
      </c>
      <c r="AJ6929" t="s">
        <v>2303</v>
      </c>
      <c r="AK6929" s="3" t="s">
        <v>27</v>
      </c>
      <c r="AL6929" s="3">
        <v>-4741.0774799999999</v>
      </c>
    </row>
    <row r="6930" spans="34:38">
      <c r="AH6930" t="s">
        <v>2265</v>
      </c>
      <c r="AI6930" t="s">
        <v>65</v>
      </c>
      <c r="AJ6930" t="s">
        <v>66</v>
      </c>
      <c r="AK6930" s="3" t="s">
        <v>27</v>
      </c>
      <c r="AL6930" s="3">
        <v>24382.5</v>
      </c>
    </row>
    <row r="6931" spans="34:38">
      <c r="AH6931" t="s">
        <v>2265</v>
      </c>
      <c r="AI6931" t="s">
        <v>65</v>
      </c>
      <c r="AJ6931" t="s">
        <v>72</v>
      </c>
      <c r="AK6931" s="3" t="s">
        <v>27</v>
      </c>
      <c r="AL6931" s="3">
        <v>25644.441030000002</v>
      </c>
    </row>
    <row r="6932" spans="34:38">
      <c r="AH6932" t="s">
        <v>2265</v>
      </c>
      <c r="AI6932" t="s">
        <v>65</v>
      </c>
      <c r="AJ6932" t="s">
        <v>108</v>
      </c>
      <c r="AK6932" s="3" t="s">
        <v>27</v>
      </c>
      <c r="AL6932" s="3">
        <v>1261.94103</v>
      </c>
    </row>
    <row r="6933" spans="34:38">
      <c r="AH6933" t="s">
        <v>2265</v>
      </c>
      <c r="AI6933" t="s">
        <v>67</v>
      </c>
      <c r="AJ6933" t="s">
        <v>66</v>
      </c>
      <c r="AK6933" s="3" t="s">
        <v>27</v>
      </c>
      <c r="AL6933" s="3">
        <v>-10162.5</v>
      </c>
    </row>
    <row r="6934" spans="34:38">
      <c r="AH6934" t="s">
        <v>2265</v>
      </c>
      <c r="AI6934" t="s">
        <v>67</v>
      </c>
      <c r="AJ6934" t="s">
        <v>72</v>
      </c>
      <c r="AK6934" s="3" t="s">
        <v>27</v>
      </c>
      <c r="AL6934" s="3">
        <v>-11170.33913</v>
      </c>
    </row>
    <row r="6935" spans="34:38">
      <c r="AH6935" t="s">
        <v>2265</v>
      </c>
      <c r="AI6935" t="s">
        <v>67</v>
      </c>
      <c r="AJ6935" t="s">
        <v>108</v>
      </c>
      <c r="AK6935" s="3" t="s">
        <v>27</v>
      </c>
      <c r="AL6935" s="3">
        <v>-1007.83913</v>
      </c>
    </row>
    <row r="6936" spans="34:38">
      <c r="AH6936" t="s">
        <v>2265</v>
      </c>
      <c r="AI6936" t="s">
        <v>68</v>
      </c>
      <c r="AJ6936" t="s">
        <v>66</v>
      </c>
      <c r="AK6936" s="3" t="s">
        <v>27</v>
      </c>
      <c r="AL6936" s="3">
        <v>500</v>
      </c>
    </row>
    <row r="6937" spans="34:38">
      <c r="AH6937" t="s">
        <v>2265</v>
      </c>
      <c r="AI6937" t="s">
        <v>68</v>
      </c>
      <c r="AJ6937" t="s">
        <v>72</v>
      </c>
      <c r="AK6937" s="3" t="s">
        <v>27</v>
      </c>
      <c r="AL6937" s="3">
        <v>497.577</v>
      </c>
    </row>
    <row r="6938" spans="34:38">
      <c r="AH6938" t="s">
        <v>2265</v>
      </c>
      <c r="AI6938" t="s">
        <v>68</v>
      </c>
      <c r="AJ6938" t="s">
        <v>108</v>
      </c>
      <c r="AK6938" s="3" t="s">
        <v>27</v>
      </c>
      <c r="AL6938" s="3">
        <v>-2.423</v>
      </c>
    </row>
    <row r="6939" spans="34:38">
      <c r="AH6939" t="s">
        <v>2265</v>
      </c>
      <c r="AI6939" t="s">
        <v>65</v>
      </c>
      <c r="AJ6939" t="s">
        <v>113</v>
      </c>
      <c r="AK6939" s="3" t="s">
        <v>27</v>
      </c>
      <c r="AL6939" s="3">
        <v>2620.7912369561</v>
      </c>
    </row>
    <row r="6940" spans="34:38">
      <c r="AH6940" t="s">
        <v>2265</v>
      </c>
      <c r="AI6940" t="s">
        <v>67</v>
      </c>
      <c r="AJ6940" t="s">
        <v>113</v>
      </c>
      <c r="AK6940" s="3" t="s">
        <v>27</v>
      </c>
      <c r="AL6940" s="3">
        <v>3748.6912349999998</v>
      </c>
    </row>
    <row r="6941" spans="34:38">
      <c r="AH6941" t="s">
        <v>2265</v>
      </c>
      <c r="AI6941" t="s">
        <v>65</v>
      </c>
      <c r="AJ6941" t="s">
        <v>2303</v>
      </c>
      <c r="AK6941" s="3" t="s">
        <v>27</v>
      </c>
      <c r="AL6941" s="3">
        <v>-975.6164187201</v>
      </c>
    </row>
    <row r="6942" spans="34:38">
      <c r="AH6942" t="s">
        <v>2265</v>
      </c>
      <c r="AI6942" t="s">
        <v>67</v>
      </c>
      <c r="AJ6942" t="s">
        <v>2303</v>
      </c>
      <c r="AK6942" s="3" t="s">
        <v>27</v>
      </c>
      <c r="AL6942" s="3">
        <v>-4774.1733649999996</v>
      </c>
    </row>
    <row r="6943" spans="34:38">
      <c r="AH6943" t="s">
        <v>2265</v>
      </c>
      <c r="AI6943" t="s">
        <v>65</v>
      </c>
      <c r="AJ6943" t="s">
        <v>113</v>
      </c>
      <c r="AK6943" s="3" t="s">
        <v>20</v>
      </c>
      <c r="AL6943" s="3">
        <v>1553.7205792750001</v>
      </c>
    </row>
    <row r="6944" spans="34:38">
      <c r="AH6944" t="s">
        <v>2266</v>
      </c>
      <c r="AI6944" t="s">
        <v>65</v>
      </c>
      <c r="AJ6944" t="s">
        <v>113</v>
      </c>
      <c r="AK6944" s="3" t="s">
        <v>20</v>
      </c>
      <c r="AL6944" s="3">
        <v>1512.5879751233001</v>
      </c>
    </row>
    <row r="6945" spans="34:38">
      <c r="AH6945" t="s">
        <v>2266</v>
      </c>
      <c r="AI6945" t="s">
        <v>65</v>
      </c>
      <c r="AJ6945" t="s">
        <v>66</v>
      </c>
      <c r="AK6945" s="3" t="s">
        <v>27</v>
      </c>
      <c r="AL6945" s="3">
        <v>23357.5</v>
      </c>
    </row>
    <row r="6946" spans="34:38">
      <c r="AH6946" t="s">
        <v>2266</v>
      </c>
      <c r="AI6946" t="s">
        <v>65</v>
      </c>
      <c r="AJ6946" t="s">
        <v>72</v>
      </c>
      <c r="AK6946" s="3" t="s">
        <v>27</v>
      </c>
      <c r="AL6946" s="3">
        <v>24586.042219999999</v>
      </c>
    </row>
    <row r="6947" spans="34:38">
      <c r="AH6947" t="s">
        <v>2266</v>
      </c>
      <c r="AI6947" t="s">
        <v>65</v>
      </c>
      <c r="AJ6947" t="s">
        <v>108</v>
      </c>
      <c r="AK6947" s="3" t="s">
        <v>27</v>
      </c>
      <c r="AL6947" s="3">
        <v>1228.54222</v>
      </c>
    </row>
    <row r="6948" spans="34:38">
      <c r="AH6948" t="s">
        <v>2266</v>
      </c>
      <c r="AI6948" t="s">
        <v>67</v>
      </c>
      <c r="AJ6948" t="s">
        <v>66</v>
      </c>
      <c r="AK6948" s="3" t="s">
        <v>27</v>
      </c>
      <c r="AL6948" s="3">
        <v>-8762.5</v>
      </c>
    </row>
    <row r="6949" spans="34:38">
      <c r="AH6949" t="s">
        <v>2266</v>
      </c>
      <c r="AI6949" t="s">
        <v>67</v>
      </c>
      <c r="AJ6949" t="s">
        <v>72</v>
      </c>
      <c r="AK6949" s="3" t="s">
        <v>27</v>
      </c>
      <c r="AL6949" s="3">
        <v>-9751.9686999999994</v>
      </c>
    </row>
    <row r="6950" spans="34:38">
      <c r="AH6950" t="s">
        <v>2266</v>
      </c>
      <c r="AI6950" t="s">
        <v>67</v>
      </c>
      <c r="AJ6950" t="s">
        <v>108</v>
      </c>
      <c r="AK6950" s="3" t="s">
        <v>27</v>
      </c>
      <c r="AL6950" s="3">
        <v>-989.46870000000001</v>
      </c>
    </row>
    <row r="6951" spans="34:38">
      <c r="AH6951" t="s">
        <v>2266</v>
      </c>
      <c r="AI6951" t="s">
        <v>68</v>
      </c>
      <c r="AJ6951" t="s">
        <v>66</v>
      </c>
      <c r="AK6951" s="3" t="s">
        <v>27</v>
      </c>
      <c r="AL6951" s="3">
        <v>175</v>
      </c>
    </row>
    <row r="6952" spans="34:38">
      <c r="AH6952" t="s">
        <v>2266</v>
      </c>
      <c r="AI6952" t="s">
        <v>68</v>
      </c>
      <c r="AJ6952" t="s">
        <v>72</v>
      </c>
      <c r="AK6952" s="3" t="s">
        <v>27</v>
      </c>
      <c r="AL6952" s="3">
        <v>180.5735</v>
      </c>
    </row>
    <row r="6953" spans="34:38">
      <c r="AH6953" t="s">
        <v>2266</v>
      </c>
      <c r="AI6953" t="s">
        <v>68</v>
      </c>
      <c r="AJ6953" t="s">
        <v>108</v>
      </c>
      <c r="AK6953" s="3" t="s">
        <v>27</v>
      </c>
      <c r="AL6953" s="3">
        <v>5.5735000000000001</v>
      </c>
    </row>
    <row r="6954" spans="34:38">
      <c r="AH6954" t="s">
        <v>2266</v>
      </c>
      <c r="AI6954" t="s">
        <v>65</v>
      </c>
      <c r="AJ6954" t="s">
        <v>113</v>
      </c>
      <c r="AK6954" s="3" t="s">
        <v>27</v>
      </c>
      <c r="AL6954" s="3">
        <v>2132.5574447791</v>
      </c>
    </row>
    <row r="6955" spans="34:38">
      <c r="AH6955" t="s">
        <v>2266</v>
      </c>
      <c r="AI6955" t="s">
        <v>67</v>
      </c>
      <c r="AJ6955" t="s">
        <v>113</v>
      </c>
      <c r="AK6955" s="3" t="s">
        <v>27</v>
      </c>
      <c r="AL6955" s="3">
        <v>3748.6912349999998</v>
      </c>
    </row>
    <row r="6956" spans="34:38">
      <c r="AH6956" t="s">
        <v>2266</v>
      </c>
      <c r="AI6956" t="s">
        <v>65</v>
      </c>
      <c r="AJ6956" t="s">
        <v>2303</v>
      </c>
      <c r="AK6956" s="3" t="s">
        <v>27</v>
      </c>
      <c r="AL6956" s="3">
        <v>-544.09396111010005</v>
      </c>
    </row>
    <row r="6957" spans="34:38">
      <c r="AH6957" t="s">
        <v>2266</v>
      </c>
      <c r="AI6957" t="s">
        <v>67</v>
      </c>
      <c r="AJ6957" t="s">
        <v>2303</v>
      </c>
      <c r="AK6957" s="3" t="s">
        <v>27</v>
      </c>
      <c r="AL6957" s="3">
        <v>-4722.080935</v>
      </c>
    </row>
    <row r="6958" spans="34:38">
      <c r="AH6958" t="s">
        <v>2267</v>
      </c>
      <c r="AI6958" t="s">
        <v>65</v>
      </c>
      <c r="AJ6958" t="s">
        <v>66</v>
      </c>
      <c r="AK6958" s="3" t="s">
        <v>27</v>
      </c>
      <c r="AL6958" s="3">
        <v>20737.5</v>
      </c>
    </row>
    <row r="6959" spans="34:38">
      <c r="AH6959" t="s">
        <v>2267</v>
      </c>
      <c r="AI6959" t="s">
        <v>65</v>
      </c>
      <c r="AJ6959" t="s">
        <v>72</v>
      </c>
      <c r="AK6959" s="3" t="s">
        <v>27</v>
      </c>
      <c r="AL6959" s="3">
        <v>21459.939259999999</v>
      </c>
    </row>
    <row r="6960" spans="34:38">
      <c r="AH6960" t="s">
        <v>2267</v>
      </c>
      <c r="AI6960" t="s">
        <v>65</v>
      </c>
      <c r="AJ6960" t="s">
        <v>108</v>
      </c>
      <c r="AK6960" s="3" t="s">
        <v>27</v>
      </c>
      <c r="AL6960" s="3">
        <v>722.43925999999999</v>
      </c>
    </row>
    <row r="6961" spans="34:38">
      <c r="AH6961" t="s">
        <v>2267</v>
      </c>
      <c r="AI6961" t="s">
        <v>67</v>
      </c>
      <c r="AJ6961" t="s">
        <v>66</v>
      </c>
      <c r="AK6961" s="3" t="s">
        <v>27</v>
      </c>
      <c r="AL6961" s="3">
        <v>-7122.5</v>
      </c>
    </row>
    <row r="6962" spans="34:38">
      <c r="AH6962" t="s">
        <v>2267</v>
      </c>
      <c r="AI6962" t="s">
        <v>67</v>
      </c>
      <c r="AJ6962" t="s">
        <v>72</v>
      </c>
      <c r="AK6962" s="3" t="s">
        <v>27</v>
      </c>
      <c r="AL6962" s="3">
        <v>-7633.8590700000004</v>
      </c>
    </row>
    <row r="6963" spans="34:38">
      <c r="AH6963" t="s">
        <v>2267</v>
      </c>
      <c r="AI6963" t="s">
        <v>67</v>
      </c>
      <c r="AJ6963" t="s">
        <v>108</v>
      </c>
      <c r="AK6963" s="3" t="s">
        <v>27</v>
      </c>
      <c r="AL6963" s="3">
        <v>-511.35906999999997</v>
      </c>
    </row>
    <row r="6964" spans="34:38">
      <c r="AH6964" t="s">
        <v>2267</v>
      </c>
      <c r="AI6964" t="s">
        <v>68</v>
      </c>
      <c r="AJ6964" t="s">
        <v>66</v>
      </c>
      <c r="AK6964" s="3" t="s">
        <v>27</v>
      </c>
      <c r="AL6964" s="3">
        <v>1255</v>
      </c>
    </row>
    <row r="6965" spans="34:38">
      <c r="AH6965" t="s">
        <v>2267</v>
      </c>
      <c r="AI6965" t="s">
        <v>68</v>
      </c>
      <c r="AJ6965" t="s">
        <v>72</v>
      </c>
      <c r="AK6965" s="3" t="s">
        <v>27</v>
      </c>
      <c r="AL6965" s="3">
        <v>1262.5768499999999</v>
      </c>
    </row>
    <row r="6966" spans="34:38">
      <c r="AH6966" t="s">
        <v>2267</v>
      </c>
      <c r="AI6966" t="s">
        <v>68</v>
      </c>
      <c r="AJ6966" t="s">
        <v>108</v>
      </c>
      <c r="AK6966" s="3" t="s">
        <v>27</v>
      </c>
      <c r="AL6966" s="3">
        <v>7.5768500000000003</v>
      </c>
    </row>
    <row r="6967" spans="34:38">
      <c r="AH6967" t="s">
        <v>2267</v>
      </c>
      <c r="AI6967" t="s">
        <v>65</v>
      </c>
      <c r="AJ6967" t="s">
        <v>113</v>
      </c>
      <c r="AK6967" s="3" t="s">
        <v>27</v>
      </c>
      <c r="AL6967" s="3">
        <v>2132.5574447791</v>
      </c>
    </row>
    <row r="6968" spans="34:38">
      <c r="AH6968" t="s">
        <v>2267</v>
      </c>
      <c r="AI6968" t="s">
        <v>67</v>
      </c>
      <c r="AJ6968" t="s">
        <v>113</v>
      </c>
      <c r="AK6968" s="3" t="s">
        <v>27</v>
      </c>
      <c r="AL6968" s="3">
        <v>3748.6912349999998</v>
      </c>
    </row>
    <row r="6969" spans="34:38">
      <c r="AH6969" t="s">
        <v>2267</v>
      </c>
      <c r="AI6969" t="s">
        <v>65</v>
      </c>
      <c r="AJ6969" t="s">
        <v>2303</v>
      </c>
      <c r="AK6969" s="3" t="s">
        <v>27</v>
      </c>
      <c r="AL6969" s="3">
        <v>-1075.2058355601</v>
      </c>
    </row>
    <row r="6970" spans="34:38">
      <c r="AH6970" t="s">
        <v>2267</v>
      </c>
      <c r="AI6970" t="s">
        <v>67</v>
      </c>
      <c r="AJ6970" t="s">
        <v>2303</v>
      </c>
      <c r="AK6970" s="3" t="s">
        <v>27</v>
      </c>
      <c r="AL6970" s="3">
        <v>-4260.0503049999998</v>
      </c>
    </row>
    <row r="6971" spans="34:38">
      <c r="AH6971" t="s">
        <v>2267</v>
      </c>
      <c r="AI6971" t="s">
        <v>65</v>
      </c>
      <c r="AJ6971" t="s">
        <v>113</v>
      </c>
      <c r="AK6971" s="3" t="s">
        <v>20</v>
      </c>
      <c r="AL6971" s="3">
        <v>1098.5118927614999</v>
      </c>
    </row>
    <row r="6972" spans="34:38">
      <c r="AH6972" t="s">
        <v>2268</v>
      </c>
      <c r="AI6972" t="s">
        <v>65</v>
      </c>
      <c r="AJ6972" t="s">
        <v>113</v>
      </c>
      <c r="AK6972" s="3" t="s">
        <v>20</v>
      </c>
      <c r="AL6972" s="3">
        <v>1132.2705334120001</v>
      </c>
    </row>
    <row r="6973" spans="34:38">
      <c r="AH6973" t="s">
        <v>2268</v>
      </c>
      <c r="AI6973" t="s">
        <v>65</v>
      </c>
      <c r="AJ6973" t="s">
        <v>72</v>
      </c>
      <c r="AK6973" s="3" t="s">
        <v>27</v>
      </c>
      <c r="AL6973" s="3">
        <v>21772.715199999999</v>
      </c>
    </row>
    <row r="6974" spans="34:38">
      <c r="AH6974" t="s">
        <v>2268</v>
      </c>
      <c r="AI6974" t="s">
        <v>65</v>
      </c>
      <c r="AJ6974" t="s">
        <v>108</v>
      </c>
      <c r="AK6974" s="3" t="s">
        <v>27</v>
      </c>
      <c r="AL6974" s="3">
        <v>735.21519999999998</v>
      </c>
    </row>
    <row r="6975" spans="34:38">
      <c r="AH6975" t="s">
        <v>2268</v>
      </c>
      <c r="AI6975" t="s">
        <v>67</v>
      </c>
      <c r="AJ6975" t="s">
        <v>66</v>
      </c>
      <c r="AK6975" s="3" t="s">
        <v>27</v>
      </c>
      <c r="AL6975" s="3">
        <v>-7422.5</v>
      </c>
    </row>
    <row r="6976" spans="34:38">
      <c r="AH6976" t="s">
        <v>2268</v>
      </c>
      <c r="AI6976" t="s">
        <v>67</v>
      </c>
      <c r="AJ6976" t="s">
        <v>72</v>
      </c>
      <c r="AK6976" s="3" t="s">
        <v>27</v>
      </c>
      <c r="AL6976" s="3">
        <v>-7970.3449899999996</v>
      </c>
    </row>
    <row r="6977" spans="34:38">
      <c r="AH6977" t="s">
        <v>2268</v>
      </c>
      <c r="AI6977" t="s">
        <v>67</v>
      </c>
      <c r="AJ6977" t="s">
        <v>108</v>
      </c>
      <c r="AK6977" s="3" t="s">
        <v>27</v>
      </c>
      <c r="AL6977" s="3">
        <v>-547.84499000000005</v>
      </c>
    </row>
    <row r="6978" spans="34:38">
      <c r="AH6978" t="s">
        <v>2268</v>
      </c>
      <c r="AI6978" t="s">
        <v>68</v>
      </c>
      <c r="AJ6978" t="s">
        <v>66</v>
      </c>
      <c r="AK6978" s="3" t="s">
        <v>27</v>
      </c>
      <c r="AL6978" s="3">
        <v>1255</v>
      </c>
    </row>
    <row r="6979" spans="34:38">
      <c r="AH6979" t="s">
        <v>2268</v>
      </c>
      <c r="AI6979" t="s">
        <v>68</v>
      </c>
      <c r="AJ6979" t="s">
        <v>72</v>
      </c>
      <c r="AK6979" s="3" t="s">
        <v>27</v>
      </c>
      <c r="AL6979" s="3">
        <v>1262.12925</v>
      </c>
    </row>
    <row r="6980" spans="34:38">
      <c r="AH6980" t="s">
        <v>2268</v>
      </c>
      <c r="AI6980" t="s">
        <v>68</v>
      </c>
      <c r="AJ6980" t="s">
        <v>108</v>
      </c>
      <c r="AK6980" s="3" t="s">
        <v>27</v>
      </c>
      <c r="AL6980" s="3">
        <v>7.1292499999999999</v>
      </c>
    </row>
    <row r="6981" spans="34:38">
      <c r="AH6981" t="s">
        <v>2268</v>
      </c>
      <c r="AI6981" t="s">
        <v>65</v>
      </c>
      <c r="AJ6981" t="s">
        <v>113</v>
      </c>
      <c r="AK6981" s="3" t="s">
        <v>27</v>
      </c>
      <c r="AL6981" s="3">
        <v>2157.3019165660999</v>
      </c>
    </row>
    <row r="6982" spans="34:38">
      <c r="AH6982" t="s">
        <v>2268</v>
      </c>
      <c r="AI6982" t="s">
        <v>67</v>
      </c>
      <c r="AJ6982" t="s">
        <v>113</v>
      </c>
      <c r="AK6982" s="3" t="s">
        <v>27</v>
      </c>
      <c r="AL6982" s="3">
        <v>3748.6912349999998</v>
      </c>
    </row>
    <row r="6983" spans="34:38">
      <c r="AH6983" t="s">
        <v>2268</v>
      </c>
      <c r="AI6983" t="s">
        <v>65</v>
      </c>
      <c r="AJ6983" t="s">
        <v>2303</v>
      </c>
      <c r="AK6983" s="3" t="s">
        <v>27</v>
      </c>
      <c r="AL6983" s="3">
        <v>-1065.2141496290999</v>
      </c>
    </row>
    <row r="6984" spans="34:38">
      <c r="AH6984" t="s">
        <v>2268</v>
      </c>
      <c r="AI6984" t="s">
        <v>67</v>
      </c>
      <c r="AJ6984" t="s">
        <v>2303</v>
      </c>
      <c r="AK6984" s="3" t="s">
        <v>27</v>
      </c>
      <c r="AL6984" s="3">
        <v>-4320.5107250000001</v>
      </c>
    </row>
    <row r="6985" spans="34:38">
      <c r="AH6985" t="s">
        <v>2268</v>
      </c>
      <c r="AI6985" t="s">
        <v>65</v>
      </c>
      <c r="AJ6985" t="s">
        <v>66</v>
      </c>
      <c r="AK6985" s="3" t="s">
        <v>27</v>
      </c>
      <c r="AL6985" s="3">
        <v>21037.5</v>
      </c>
    </row>
    <row r="6986" spans="34:38">
      <c r="AH6986" t="s">
        <v>2269</v>
      </c>
      <c r="AI6986" t="s">
        <v>65</v>
      </c>
      <c r="AJ6986" t="s">
        <v>66</v>
      </c>
      <c r="AK6986" s="3" t="s">
        <v>27</v>
      </c>
      <c r="AL6986" s="3">
        <v>21987.5</v>
      </c>
    </row>
    <row r="6987" spans="34:38">
      <c r="AH6987" t="s">
        <v>2269</v>
      </c>
      <c r="AI6987" t="s">
        <v>65</v>
      </c>
      <c r="AJ6987" t="s">
        <v>72</v>
      </c>
      <c r="AK6987" s="3" t="s">
        <v>27</v>
      </c>
      <c r="AL6987" s="3">
        <v>22706.752834999999</v>
      </c>
    </row>
    <row r="6988" spans="34:38">
      <c r="AH6988" t="s">
        <v>2269</v>
      </c>
      <c r="AI6988" t="s">
        <v>65</v>
      </c>
      <c r="AJ6988" t="s">
        <v>108</v>
      </c>
      <c r="AK6988" s="3" t="s">
        <v>27</v>
      </c>
      <c r="AL6988" s="3">
        <v>719.252835</v>
      </c>
    </row>
    <row r="6989" spans="34:38">
      <c r="AH6989" t="s">
        <v>2269</v>
      </c>
      <c r="AI6989" t="s">
        <v>67</v>
      </c>
      <c r="AJ6989" t="s">
        <v>66</v>
      </c>
      <c r="AK6989" s="3" t="s">
        <v>27</v>
      </c>
      <c r="AL6989" s="3">
        <v>-8072.5</v>
      </c>
    </row>
    <row r="6990" spans="34:38">
      <c r="AH6990" t="s">
        <v>2269</v>
      </c>
      <c r="AI6990" t="s">
        <v>67</v>
      </c>
      <c r="AJ6990" t="s">
        <v>72</v>
      </c>
      <c r="AK6990" s="3" t="s">
        <v>27</v>
      </c>
      <c r="AL6990" s="3">
        <v>-8595.4431850000001</v>
      </c>
    </row>
    <row r="6991" spans="34:38">
      <c r="AH6991" t="s">
        <v>2269</v>
      </c>
      <c r="AI6991" t="s">
        <v>67</v>
      </c>
      <c r="AJ6991" t="s">
        <v>108</v>
      </c>
      <c r="AK6991" s="3" t="s">
        <v>27</v>
      </c>
      <c r="AL6991" s="3">
        <v>-522.94318499999997</v>
      </c>
    </row>
    <row r="6992" spans="34:38">
      <c r="AH6992" t="s">
        <v>2269</v>
      </c>
      <c r="AI6992" t="s">
        <v>68</v>
      </c>
      <c r="AJ6992" t="s">
        <v>66</v>
      </c>
      <c r="AK6992" s="3" t="s">
        <v>27</v>
      </c>
      <c r="AL6992" s="3">
        <v>905</v>
      </c>
    </row>
    <row r="6993" spans="34:38">
      <c r="AH6993" t="s">
        <v>2269</v>
      </c>
      <c r="AI6993" t="s">
        <v>68</v>
      </c>
      <c r="AJ6993" t="s">
        <v>72</v>
      </c>
      <c r="AK6993" s="3" t="s">
        <v>27</v>
      </c>
      <c r="AL6993" s="3">
        <v>886.64435000000003</v>
      </c>
    </row>
    <row r="6994" spans="34:38">
      <c r="AH6994" t="s">
        <v>2269</v>
      </c>
      <c r="AI6994" t="s">
        <v>68</v>
      </c>
      <c r="AJ6994" t="s">
        <v>108</v>
      </c>
      <c r="AK6994" s="3" t="s">
        <v>27</v>
      </c>
      <c r="AL6994" s="3">
        <v>-18.355650000000001</v>
      </c>
    </row>
    <row r="6995" spans="34:38">
      <c r="AH6995" t="s">
        <v>2269</v>
      </c>
      <c r="AI6995" t="s">
        <v>65</v>
      </c>
      <c r="AJ6995" t="s">
        <v>113</v>
      </c>
      <c r="AK6995" s="3" t="s">
        <v>27</v>
      </c>
      <c r="AL6995" s="3">
        <v>2170.7528698141</v>
      </c>
    </row>
    <row r="6996" spans="34:38">
      <c r="AH6996" t="s">
        <v>2269</v>
      </c>
      <c r="AI6996" t="s">
        <v>67</v>
      </c>
      <c r="AJ6996" t="s">
        <v>113</v>
      </c>
      <c r="AK6996" s="3" t="s">
        <v>27</v>
      </c>
      <c r="AL6996" s="3">
        <v>3748.6912349999998</v>
      </c>
    </row>
    <row r="6997" spans="34:38">
      <c r="AH6997" t="s">
        <v>2269</v>
      </c>
      <c r="AI6997" t="s">
        <v>65</v>
      </c>
      <c r="AJ6997" t="s">
        <v>2303</v>
      </c>
      <c r="AK6997" s="3" t="s">
        <v>27</v>
      </c>
      <c r="AL6997" s="3">
        <v>-1076.6329421861001</v>
      </c>
    </row>
    <row r="6998" spans="34:38">
      <c r="AH6998" t="s">
        <v>2269</v>
      </c>
      <c r="AI6998" t="s">
        <v>67</v>
      </c>
      <c r="AJ6998" t="s">
        <v>2303</v>
      </c>
      <c r="AK6998" s="3" t="s">
        <v>27</v>
      </c>
      <c r="AL6998" s="3">
        <v>-4306.8834200000001</v>
      </c>
    </row>
    <row r="6999" spans="34:38">
      <c r="AH6999" t="s">
        <v>2269</v>
      </c>
      <c r="AI6999" t="s">
        <v>65</v>
      </c>
      <c r="AJ6999" t="s">
        <v>113</v>
      </c>
      <c r="AK6999" s="3" t="s">
        <v>20</v>
      </c>
      <c r="AL6999" s="3">
        <v>1143.4796565545</v>
      </c>
    </row>
    <row r="7000" spans="34:38">
      <c r="AH7000" t="s">
        <v>2270</v>
      </c>
      <c r="AI7000" t="s">
        <v>65</v>
      </c>
      <c r="AJ7000" t="s">
        <v>113</v>
      </c>
      <c r="AK7000" s="3" t="s">
        <v>20</v>
      </c>
      <c r="AL7000" s="3">
        <v>556.17565542399996</v>
      </c>
    </row>
    <row r="7001" spans="34:38">
      <c r="AH7001" t="s">
        <v>2270</v>
      </c>
      <c r="AI7001" t="s">
        <v>65</v>
      </c>
      <c r="AJ7001" t="s">
        <v>66</v>
      </c>
      <c r="AK7001" s="3" t="s">
        <v>27</v>
      </c>
      <c r="AL7001" s="3">
        <v>20700.5</v>
      </c>
    </row>
    <row r="7002" spans="34:38">
      <c r="AH7002" t="s">
        <v>2270</v>
      </c>
      <c r="AI7002" t="s">
        <v>65</v>
      </c>
      <c r="AJ7002" t="s">
        <v>72</v>
      </c>
      <c r="AK7002" s="3" t="s">
        <v>27</v>
      </c>
      <c r="AL7002" s="3">
        <v>20754.679270000001</v>
      </c>
    </row>
    <row r="7003" spans="34:38">
      <c r="AH7003" t="s">
        <v>2270</v>
      </c>
      <c r="AI7003" t="s">
        <v>65</v>
      </c>
      <c r="AJ7003" t="s">
        <v>108</v>
      </c>
      <c r="AK7003" s="3" t="s">
        <v>27</v>
      </c>
      <c r="AL7003" s="3">
        <v>54.179270000000002</v>
      </c>
    </row>
    <row r="7004" spans="34:38">
      <c r="AH7004" t="s">
        <v>2270</v>
      </c>
      <c r="AI7004" t="s">
        <v>67</v>
      </c>
      <c r="AJ7004" t="s">
        <v>66</v>
      </c>
      <c r="AK7004" s="3" t="s">
        <v>27</v>
      </c>
      <c r="AL7004" s="3">
        <v>-6235.5</v>
      </c>
    </row>
    <row r="7005" spans="34:38">
      <c r="AH7005" t="s">
        <v>2270</v>
      </c>
      <c r="AI7005" t="s">
        <v>67</v>
      </c>
      <c r="AJ7005" t="s">
        <v>72</v>
      </c>
      <c r="AK7005" s="3" t="s">
        <v>27</v>
      </c>
      <c r="AL7005" s="3">
        <v>-6108.2654599999996</v>
      </c>
    </row>
    <row r="7006" spans="34:38">
      <c r="AH7006" t="s">
        <v>2270</v>
      </c>
      <c r="AI7006" t="s">
        <v>67</v>
      </c>
      <c r="AJ7006" t="s">
        <v>108</v>
      </c>
      <c r="AK7006" s="3" t="s">
        <v>27</v>
      </c>
      <c r="AL7006" s="3">
        <v>127.23454</v>
      </c>
    </row>
    <row r="7007" spans="34:38">
      <c r="AH7007" t="s">
        <v>2270</v>
      </c>
      <c r="AI7007" t="s">
        <v>68</v>
      </c>
      <c r="AJ7007" t="s">
        <v>66</v>
      </c>
      <c r="AK7007" s="3" t="s">
        <v>27</v>
      </c>
      <c r="AL7007" s="3">
        <v>355</v>
      </c>
    </row>
    <row r="7008" spans="34:38">
      <c r="AH7008" t="s">
        <v>2270</v>
      </c>
      <c r="AI7008" t="s">
        <v>68</v>
      </c>
      <c r="AJ7008" t="s">
        <v>72</v>
      </c>
      <c r="AK7008" s="3" t="s">
        <v>27</v>
      </c>
      <c r="AL7008" s="3">
        <v>336.13294999999999</v>
      </c>
    </row>
    <row r="7009" spans="34:38">
      <c r="AH7009" t="s">
        <v>2270</v>
      </c>
      <c r="AI7009" t="s">
        <v>68</v>
      </c>
      <c r="AJ7009" t="s">
        <v>108</v>
      </c>
      <c r="AK7009" s="3" t="s">
        <v>27</v>
      </c>
      <c r="AL7009" s="3">
        <v>-18.867049999999999</v>
      </c>
    </row>
    <row r="7010" spans="34:38">
      <c r="AH7010" t="s">
        <v>2270</v>
      </c>
      <c r="AI7010" t="s">
        <v>65</v>
      </c>
      <c r="AJ7010" t="s">
        <v>113</v>
      </c>
      <c r="AK7010" s="3" t="s">
        <v>27</v>
      </c>
      <c r="AL7010" s="3">
        <v>1584.8262206131001</v>
      </c>
    </row>
    <row r="7011" spans="34:38">
      <c r="AH7011" t="s">
        <v>2270</v>
      </c>
      <c r="AI7011" t="s">
        <v>67</v>
      </c>
      <c r="AJ7011" t="s">
        <v>113</v>
      </c>
      <c r="AK7011" s="3" t="s">
        <v>27</v>
      </c>
      <c r="AL7011" s="3">
        <v>3748.6912349999998</v>
      </c>
    </row>
    <row r="7012" spans="34:38">
      <c r="AH7012" t="s">
        <v>2270</v>
      </c>
      <c r="AI7012" t="s">
        <v>65</v>
      </c>
      <c r="AJ7012" t="s">
        <v>2303</v>
      </c>
      <c r="AK7012" s="3" t="s">
        <v>27</v>
      </c>
      <c r="AL7012" s="3">
        <v>-1157.8869412490999</v>
      </c>
    </row>
    <row r="7013" spans="34:38">
      <c r="AH7013" t="s">
        <v>2270</v>
      </c>
      <c r="AI7013" t="s">
        <v>67</v>
      </c>
      <c r="AJ7013" t="s">
        <v>2303</v>
      </c>
      <c r="AK7013" s="3" t="s">
        <v>27</v>
      </c>
      <c r="AL7013" s="3">
        <v>-3621.4566949999999</v>
      </c>
    </row>
    <row r="7014" spans="34:38">
      <c r="AH7014" t="s">
        <v>2271</v>
      </c>
      <c r="AI7014" t="s">
        <v>65</v>
      </c>
      <c r="AJ7014" t="s">
        <v>66</v>
      </c>
      <c r="AK7014" s="3" t="s">
        <v>27</v>
      </c>
      <c r="AL7014" s="3">
        <v>20176.5</v>
      </c>
    </row>
    <row r="7015" spans="34:38">
      <c r="AH7015" t="s">
        <v>2271</v>
      </c>
      <c r="AI7015" t="s">
        <v>65</v>
      </c>
      <c r="AJ7015" t="s">
        <v>72</v>
      </c>
      <c r="AK7015" s="3" t="s">
        <v>27</v>
      </c>
      <c r="AL7015" s="3">
        <v>21093.476555000001</v>
      </c>
    </row>
    <row r="7016" spans="34:38">
      <c r="AH7016" t="s">
        <v>2271</v>
      </c>
      <c r="AI7016" t="s">
        <v>65</v>
      </c>
      <c r="AJ7016" t="s">
        <v>108</v>
      </c>
      <c r="AK7016" s="3" t="s">
        <v>27</v>
      </c>
      <c r="AL7016" s="3">
        <v>916.97655499999996</v>
      </c>
    </row>
    <row r="7017" spans="34:38">
      <c r="AH7017" t="s">
        <v>2271</v>
      </c>
      <c r="AI7017" t="s">
        <v>67</v>
      </c>
      <c r="AJ7017" t="s">
        <v>66</v>
      </c>
      <c r="AK7017" s="3" t="s">
        <v>27</v>
      </c>
      <c r="AL7017" s="3">
        <v>-4986.5</v>
      </c>
    </row>
    <row r="7018" spans="34:38">
      <c r="AH7018" t="s">
        <v>2271</v>
      </c>
      <c r="AI7018" t="s">
        <v>67</v>
      </c>
      <c r="AJ7018" t="s">
        <v>72</v>
      </c>
      <c r="AK7018" s="3" t="s">
        <v>27</v>
      </c>
      <c r="AL7018" s="3">
        <v>-5754.5428250000004</v>
      </c>
    </row>
    <row r="7019" spans="34:38">
      <c r="AH7019" t="s">
        <v>2271</v>
      </c>
      <c r="AI7019" t="s">
        <v>67</v>
      </c>
      <c r="AJ7019" t="s">
        <v>108</v>
      </c>
      <c r="AK7019" s="3" t="s">
        <v>27</v>
      </c>
      <c r="AL7019" s="3">
        <v>-768.04282499999999</v>
      </c>
    </row>
    <row r="7020" spans="34:38">
      <c r="AH7020" t="s">
        <v>2271</v>
      </c>
      <c r="AI7020" t="s">
        <v>68</v>
      </c>
      <c r="AJ7020" t="s">
        <v>66</v>
      </c>
      <c r="AK7020" s="3" t="s">
        <v>27</v>
      </c>
      <c r="AL7020" s="3">
        <v>130</v>
      </c>
    </row>
    <row r="7021" spans="34:38">
      <c r="AH7021" t="s">
        <v>2271</v>
      </c>
      <c r="AI7021" t="s">
        <v>68</v>
      </c>
      <c r="AJ7021" t="s">
        <v>72</v>
      </c>
      <c r="AK7021" s="3" t="s">
        <v>27</v>
      </c>
      <c r="AL7021" s="3">
        <v>148.75704999999999</v>
      </c>
    </row>
    <row r="7022" spans="34:38">
      <c r="AH7022" t="s">
        <v>2271</v>
      </c>
      <c r="AI7022" t="s">
        <v>68</v>
      </c>
      <c r="AJ7022" t="s">
        <v>108</v>
      </c>
      <c r="AK7022" s="3" t="s">
        <v>27</v>
      </c>
      <c r="AL7022" s="3">
        <v>18.75705</v>
      </c>
    </row>
    <row r="7023" spans="34:38">
      <c r="AH7023" t="s">
        <v>2271</v>
      </c>
      <c r="AI7023" t="s">
        <v>65</v>
      </c>
      <c r="AJ7023" t="s">
        <v>113</v>
      </c>
      <c r="AK7023" s="3" t="s">
        <v>27</v>
      </c>
      <c r="AL7023" s="3">
        <v>2555.8921506451002</v>
      </c>
    </row>
    <row r="7024" spans="34:38">
      <c r="AH7024" t="s">
        <v>2271</v>
      </c>
      <c r="AI7024" t="s">
        <v>67</v>
      </c>
      <c r="AJ7024" t="s">
        <v>113</v>
      </c>
      <c r="AK7024" s="3" t="s">
        <v>27</v>
      </c>
      <c r="AL7024" s="3">
        <v>3748.6912349999998</v>
      </c>
    </row>
    <row r="7025" spans="34:38">
      <c r="AH7025" t="s">
        <v>2271</v>
      </c>
      <c r="AI7025" t="s">
        <v>65</v>
      </c>
      <c r="AJ7025" t="s">
        <v>2303</v>
      </c>
      <c r="AK7025" s="3" t="s">
        <v>27</v>
      </c>
      <c r="AL7025" s="3">
        <v>-1244.2920342130999</v>
      </c>
    </row>
    <row r="7026" spans="34:38">
      <c r="AH7026" t="s">
        <v>2271</v>
      </c>
      <c r="AI7026" t="s">
        <v>67</v>
      </c>
      <c r="AJ7026" t="s">
        <v>2303</v>
      </c>
      <c r="AK7026" s="3" t="s">
        <v>27</v>
      </c>
      <c r="AL7026" s="3">
        <v>-4537.9440599999998</v>
      </c>
    </row>
    <row r="7027" spans="34:38">
      <c r="AH7027" t="s">
        <v>2271</v>
      </c>
      <c r="AI7027" t="s">
        <v>65</v>
      </c>
      <c r="AJ7027" t="s">
        <v>113</v>
      </c>
      <c r="AK7027" s="3" t="s">
        <v>20</v>
      </c>
      <c r="AL7027" s="3">
        <v>1522.026235258</v>
      </c>
    </row>
    <row r="7028" spans="34:38">
      <c r="AH7028" t="s">
        <v>2272</v>
      </c>
      <c r="AI7028" t="s">
        <v>65</v>
      </c>
      <c r="AJ7028" t="s">
        <v>113</v>
      </c>
      <c r="AK7028" s="3" t="s">
        <v>20</v>
      </c>
      <c r="AL7028" s="3">
        <v>1536.4456564530001</v>
      </c>
    </row>
    <row r="7029" spans="34:38">
      <c r="AH7029" t="s">
        <v>2272</v>
      </c>
      <c r="AI7029" t="s">
        <v>65</v>
      </c>
      <c r="AJ7029" t="s">
        <v>66</v>
      </c>
      <c r="AK7029" s="3" t="s">
        <v>27</v>
      </c>
      <c r="AL7029" s="3">
        <v>20851.5</v>
      </c>
    </row>
    <row r="7030" spans="34:38">
      <c r="AH7030" t="s">
        <v>2272</v>
      </c>
      <c r="AI7030" t="s">
        <v>65</v>
      </c>
      <c r="AJ7030" t="s">
        <v>72</v>
      </c>
      <c r="AK7030" s="3" t="s">
        <v>27</v>
      </c>
      <c r="AL7030" s="3">
        <v>21741.467069999999</v>
      </c>
    </row>
    <row r="7031" spans="34:38">
      <c r="AH7031" t="s">
        <v>2272</v>
      </c>
      <c r="AI7031" t="s">
        <v>65</v>
      </c>
      <c r="AJ7031" t="s">
        <v>108</v>
      </c>
      <c r="AK7031" s="3" t="s">
        <v>27</v>
      </c>
      <c r="AL7031" s="3">
        <v>889.96707000000004</v>
      </c>
    </row>
    <row r="7032" spans="34:38">
      <c r="AH7032" t="s">
        <v>2272</v>
      </c>
      <c r="AI7032" t="s">
        <v>67</v>
      </c>
      <c r="AJ7032" t="s">
        <v>66</v>
      </c>
      <c r="AK7032" s="3" t="s">
        <v>27</v>
      </c>
      <c r="AL7032" s="3">
        <v>-5611.5</v>
      </c>
    </row>
    <row r="7033" spans="34:38">
      <c r="AH7033" t="s">
        <v>2272</v>
      </c>
      <c r="AI7033" t="s">
        <v>67</v>
      </c>
      <c r="AJ7033" t="s">
        <v>72</v>
      </c>
      <c r="AK7033" s="3" t="s">
        <v>27</v>
      </c>
      <c r="AL7033" s="3">
        <v>-6359.3598599999996</v>
      </c>
    </row>
    <row r="7034" spans="34:38">
      <c r="AH7034" t="s">
        <v>2272</v>
      </c>
      <c r="AI7034" t="s">
        <v>67</v>
      </c>
      <c r="AJ7034" t="s">
        <v>108</v>
      </c>
      <c r="AK7034" s="3" t="s">
        <v>27</v>
      </c>
      <c r="AL7034" s="3">
        <v>-747.85986000000003</v>
      </c>
    </row>
    <row r="7035" spans="34:38">
      <c r="AH7035" t="s">
        <v>2272</v>
      </c>
      <c r="AI7035" t="s">
        <v>68</v>
      </c>
      <c r="AJ7035" t="s">
        <v>66</v>
      </c>
      <c r="AK7035" s="3" t="s">
        <v>27</v>
      </c>
      <c r="AL7035" s="3">
        <v>330</v>
      </c>
    </row>
    <row r="7036" spans="34:38">
      <c r="AH7036" t="s">
        <v>2272</v>
      </c>
      <c r="AI7036" t="s">
        <v>68</v>
      </c>
      <c r="AJ7036" t="s">
        <v>72</v>
      </c>
      <c r="AK7036" s="3" t="s">
        <v>27</v>
      </c>
      <c r="AL7036" s="3">
        <v>332.46485000000001</v>
      </c>
    </row>
    <row r="7037" spans="34:38">
      <c r="AH7037" t="s">
        <v>2272</v>
      </c>
      <c r="AI7037" t="s">
        <v>68</v>
      </c>
      <c r="AJ7037" t="s">
        <v>108</v>
      </c>
      <c r="AK7037" s="3" t="s">
        <v>27</v>
      </c>
      <c r="AL7037" s="3">
        <v>2.4648500000000002</v>
      </c>
    </row>
    <row r="7038" spans="34:38">
      <c r="AH7038" t="s">
        <v>2272</v>
      </c>
      <c r="AI7038" t="s">
        <v>65</v>
      </c>
      <c r="AJ7038" t="s">
        <v>113</v>
      </c>
      <c r="AK7038" s="3" t="s">
        <v>27</v>
      </c>
      <c r="AL7038" s="3">
        <v>2566.9936358341001</v>
      </c>
    </row>
    <row r="7039" spans="34:38">
      <c r="AH7039" t="s">
        <v>2272</v>
      </c>
      <c r="AI7039" t="s">
        <v>67</v>
      </c>
      <c r="AJ7039" t="s">
        <v>113</v>
      </c>
      <c r="AK7039" s="3" t="s">
        <v>27</v>
      </c>
      <c r="AL7039" s="3">
        <v>3748.6912349999998</v>
      </c>
    </row>
    <row r="7040" spans="34:38">
      <c r="AH7040" t="s">
        <v>2272</v>
      </c>
      <c r="AI7040" t="s">
        <v>65</v>
      </c>
      <c r="AJ7040" t="s">
        <v>2303</v>
      </c>
      <c r="AK7040" s="3" t="s">
        <v>27</v>
      </c>
      <c r="AL7040" s="3">
        <v>-1263.5219823120999</v>
      </c>
    </row>
    <row r="7041" spans="34:38">
      <c r="AH7041" t="s">
        <v>2272</v>
      </c>
      <c r="AI7041" t="s">
        <v>67</v>
      </c>
      <c r="AJ7041" t="s">
        <v>2303</v>
      </c>
      <c r="AK7041" s="3" t="s">
        <v>27</v>
      </c>
      <c r="AL7041" s="3">
        <v>-4517.7370950000004</v>
      </c>
    </row>
    <row r="7042" spans="34:38">
      <c r="AH7042" t="s">
        <v>2273</v>
      </c>
      <c r="AI7042" t="s">
        <v>65</v>
      </c>
      <c r="AJ7042" t="s">
        <v>66</v>
      </c>
      <c r="AK7042" s="3" t="s">
        <v>27</v>
      </c>
      <c r="AL7042" s="3">
        <v>21601.5</v>
      </c>
    </row>
    <row r="7043" spans="34:38">
      <c r="AH7043" t="s">
        <v>2273</v>
      </c>
      <c r="AI7043" t="s">
        <v>65</v>
      </c>
      <c r="AJ7043" t="s">
        <v>72</v>
      </c>
      <c r="AK7043" s="3" t="s">
        <v>27</v>
      </c>
      <c r="AL7043" s="3">
        <v>22468.319964999999</v>
      </c>
    </row>
    <row r="7044" spans="34:38">
      <c r="AH7044" t="s">
        <v>2273</v>
      </c>
      <c r="AI7044" t="s">
        <v>65</v>
      </c>
      <c r="AJ7044" t="s">
        <v>108</v>
      </c>
      <c r="AK7044" s="3" t="s">
        <v>27</v>
      </c>
      <c r="AL7044" s="3">
        <v>866.81996500000002</v>
      </c>
    </row>
    <row r="7045" spans="34:38">
      <c r="AH7045" t="s">
        <v>2273</v>
      </c>
      <c r="AI7045" t="s">
        <v>67</v>
      </c>
      <c r="AJ7045" t="s">
        <v>66</v>
      </c>
      <c r="AK7045" s="3" t="s">
        <v>27</v>
      </c>
      <c r="AL7045" s="3">
        <v>-6186.5</v>
      </c>
    </row>
    <row r="7046" spans="34:38">
      <c r="AH7046" t="s">
        <v>2273</v>
      </c>
      <c r="AI7046" t="s">
        <v>67</v>
      </c>
      <c r="AJ7046" t="s">
        <v>72</v>
      </c>
      <c r="AK7046" s="3" t="s">
        <v>27</v>
      </c>
      <c r="AL7046" s="3">
        <v>-6920.8940549999998</v>
      </c>
    </row>
    <row r="7047" spans="34:38">
      <c r="AH7047" t="s">
        <v>2273</v>
      </c>
      <c r="AI7047" t="s">
        <v>67</v>
      </c>
      <c r="AJ7047" t="s">
        <v>108</v>
      </c>
      <c r="AK7047" s="3" t="s">
        <v>27</v>
      </c>
      <c r="AL7047" s="3">
        <v>-734.39405499999998</v>
      </c>
    </row>
    <row r="7048" spans="34:38">
      <c r="AH7048" t="s">
        <v>2273</v>
      </c>
      <c r="AI7048" t="s">
        <v>68</v>
      </c>
      <c r="AJ7048" t="s">
        <v>66</v>
      </c>
      <c r="AK7048" s="3" t="s">
        <v>27</v>
      </c>
      <c r="AL7048" s="3">
        <v>-345</v>
      </c>
    </row>
    <row r="7049" spans="34:38">
      <c r="AH7049" t="s">
        <v>2273</v>
      </c>
      <c r="AI7049" t="s">
        <v>68</v>
      </c>
      <c r="AJ7049" t="s">
        <v>72</v>
      </c>
      <c r="AK7049" s="3" t="s">
        <v>27</v>
      </c>
      <c r="AL7049" s="3">
        <v>-315.91404999999997</v>
      </c>
    </row>
    <row r="7050" spans="34:38">
      <c r="AH7050" t="s">
        <v>2273</v>
      </c>
      <c r="AI7050" t="s">
        <v>68</v>
      </c>
      <c r="AJ7050" t="s">
        <v>108</v>
      </c>
      <c r="AK7050" s="3" t="s">
        <v>27</v>
      </c>
      <c r="AL7050" s="3">
        <v>29.08595</v>
      </c>
    </row>
    <row r="7051" spans="34:38">
      <c r="AH7051" t="s">
        <v>2273</v>
      </c>
      <c r="AI7051" t="s">
        <v>65</v>
      </c>
      <c r="AJ7051" t="s">
        <v>113</v>
      </c>
      <c r="AK7051" s="3" t="s">
        <v>27</v>
      </c>
      <c r="AL7051" s="3">
        <v>2568.4274174410998</v>
      </c>
    </row>
    <row r="7052" spans="34:38">
      <c r="AH7052" t="s">
        <v>2273</v>
      </c>
      <c r="AI7052" t="s">
        <v>67</v>
      </c>
      <c r="AJ7052" t="s">
        <v>113</v>
      </c>
      <c r="AK7052" s="3" t="s">
        <v>27</v>
      </c>
      <c r="AL7052" s="3">
        <v>3748.6912349999998</v>
      </c>
    </row>
    <row r="7053" spans="34:38">
      <c r="AH7053" t="s">
        <v>2273</v>
      </c>
      <c r="AI7053" t="s">
        <v>65</v>
      </c>
      <c r="AJ7053" t="s">
        <v>2303</v>
      </c>
      <c r="AK7053" s="3" t="s">
        <v>27</v>
      </c>
      <c r="AL7053" s="3">
        <v>-1287.1146873201001</v>
      </c>
    </row>
    <row r="7054" spans="34:38">
      <c r="AH7054" t="s">
        <v>2273</v>
      </c>
      <c r="AI7054" t="s">
        <v>67</v>
      </c>
      <c r="AJ7054" t="s">
        <v>2303</v>
      </c>
      <c r="AK7054" s="3" t="s">
        <v>27</v>
      </c>
      <c r="AL7054" s="3">
        <v>-4483.08529</v>
      </c>
    </row>
    <row r="7055" spans="34:38">
      <c r="AH7055" t="s">
        <v>2273</v>
      </c>
      <c r="AI7055" t="s">
        <v>65</v>
      </c>
      <c r="AJ7055" t="s">
        <v>113</v>
      </c>
      <c r="AK7055" s="3" t="s">
        <v>20</v>
      </c>
      <c r="AL7055" s="3">
        <v>1537.4201429853999</v>
      </c>
    </row>
    <row r="7056" spans="34:38">
      <c r="AH7056" t="s">
        <v>2274</v>
      </c>
      <c r="AI7056" t="s">
        <v>65</v>
      </c>
      <c r="AJ7056" t="s">
        <v>113</v>
      </c>
      <c r="AK7056" s="3" t="s">
        <v>20</v>
      </c>
      <c r="AL7056" s="3">
        <v>1547.8782008152</v>
      </c>
    </row>
    <row r="7057" spans="34:38">
      <c r="AH7057" t="s">
        <v>2274</v>
      </c>
      <c r="AI7057" t="s">
        <v>65</v>
      </c>
      <c r="AJ7057" t="s">
        <v>66</v>
      </c>
      <c r="AK7057" s="3" t="s">
        <v>27</v>
      </c>
      <c r="AL7057" s="3">
        <v>21101.5</v>
      </c>
    </row>
    <row r="7058" spans="34:38">
      <c r="AH7058" t="s">
        <v>2274</v>
      </c>
      <c r="AI7058" t="s">
        <v>65</v>
      </c>
      <c r="AJ7058" t="s">
        <v>72</v>
      </c>
      <c r="AK7058" s="3" t="s">
        <v>27</v>
      </c>
      <c r="AL7058" s="3">
        <v>21997.602804999999</v>
      </c>
    </row>
    <row r="7059" spans="34:38">
      <c r="AH7059" t="s">
        <v>2274</v>
      </c>
      <c r="AI7059" t="s">
        <v>65</v>
      </c>
      <c r="AJ7059" t="s">
        <v>108</v>
      </c>
      <c r="AK7059" s="3" t="s">
        <v>27</v>
      </c>
      <c r="AL7059" s="3">
        <v>896.10280499999999</v>
      </c>
    </row>
    <row r="7060" spans="34:38">
      <c r="AH7060" t="s">
        <v>2274</v>
      </c>
      <c r="AI7060" t="s">
        <v>67</v>
      </c>
      <c r="AJ7060" t="s">
        <v>66</v>
      </c>
      <c r="AK7060" s="3" t="s">
        <v>27</v>
      </c>
      <c r="AL7060" s="3">
        <v>-5036.5</v>
      </c>
    </row>
    <row r="7061" spans="34:38">
      <c r="AH7061" t="s">
        <v>2274</v>
      </c>
      <c r="AI7061" t="s">
        <v>67</v>
      </c>
      <c r="AJ7061" t="s">
        <v>72</v>
      </c>
      <c r="AK7061" s="3" t="s">
        <v>27</v>
      </c>
      <c r="AL7061" s="3">
        <v>-5825.0112150000004</v>
      </c>
    </row>
    <row r="7062" spans="34:38">
      <c r="AH7062" t="s">
        <v>2274</v>
      </c>
      <c r="AI7062" t="s">
        <v>67</v>
      </c>
      <c r="AJ7062" t="s">
        <v>108</v>
      </c>
      <c r="AK7062" s="3" t="s">
        <v>27</v>
      </c>
      <c r="AL7062" s="3">
        <v>-788.51121499999999</v>
      </c>
    </row>
    <row r="7063" spans="34:38">
      <c r="AH7063" t="s">
        <v>2274</v>
      </c>
      <c r="AI7063" t="s">
        <v>68</v>
      </c>
      <c r="AJ7063" t="s">
        <v>66</v>
      </c>
      <c r="AK7063" s="3" t="s">
        <v>27</v>
      </c>
      <c r="AL7063" s="3">
        <v>-920</v>
      </c>
    </row>
    <row r="7064" spans="34:38">
      <c r="AH7064" t="s">
        <v>2274</v>
      </c>
      <c r="AI7064" t="s">
        <v>68</v>
      </c>
      <c r="AJ7064" t="s">
        <v>72</v>
      </c>
      <c r="AK7064" s="3" t="s">
        <v>27</v>
      </c>
      <c r="AL7064" s="3">
        <v>-870.26914999999997</v>
      </c>
    </row>
    <row r="7065" spans="34:38">
      <c r="AH7065" t="s">
        <v>2274</v>
      </c>
      <c r="AI7065" t="s">
        <v>68</v>
      </c>
      <c r="AJ7065" t="s">
        <v>108</v>
      </c>
      <c r="AK7065" s="3" t="s">
        <v>27</v>
      </c>
      <c r="AL7065" s="3">
        <v>49.730849999999997</v>
      </c>
    </row>
    <row r="7066" spans="34:38">
      <c r="AH7066" t="s">
        <v>2274</v>
      </c>
      <c r="AI7066" t="s">
        <v>65</v>
      </c>
      <c r="AJ7066" t="s">
        <v>113</v>
      </c>
      <c r="AK7066" s="3" t="s">
        <v>27</v>
      </c>
      <c r="AL7066" s="3">
        <v>2545.5319484350998</v>
      </c>
    </row>
    <row r="7067" spans="34:38">
      <c r="AH7067" t="s">
        <v>2274</v>
      </c>
      <c r="AI7067" t="s">
        <v>67</v>
      </c>
      <c r="AJ7067" t="s">
        <v>113</v>
      </c>
      <c r="AK7067" s="3" t="s">
        <v>27</v>
      </c>
      <c r="AL7067" s="3">
        <v>3748.6912349999998</v>
      </c>
    </row>
    <row r="7068" spans="34:38">
      <c r="AH7068" t="s">
        <v>2274</v>
      </c>
      <c r="AI7068" t="s">
        <v>65</v>
      </c>
      <c r="AJ7068" t="s">
        <v>2303</v>
      </c>
      <c r="AK7068" s="3" t="s">
        <v>27</v>
      </c>
      <c r="AL7068" s="3">
        <v>-1244.2222082731</v>
      </c>
    </row>
    <row r="7069" spans="34:38">
      <c r="AH7069" t="s">
        <v>2274</v>
      </c>
      <c r="AI7069" t="s">
        <v>67</v>
      </c>
      <c r="AJ7069" t="s">
        <v>2303</v>
      </c>
      <c r="AK7069" s="3" t="s">
        <v>27</v>
      </c>
      <c r="AL7069" s="3">
        <v>-4525.4574499999999</v>
      </c>
    </row>
    <row r="7070" spans="34:38">
      <c r="AH7070" t="s">
        <v>2275</v>
      </c>
      <c r="AI7070" t="s">
        <v>65</v>
      </c>
      <c r="AJ7070" t="s">
        <v>66</v>
      </c>
      <c r="AK7070" s="3" t="s">
        <v>27</v>
      </c>
      <c r="AL7070" s="3">
        <v>21456.5</v>
      </c>
    </row>
    <row r="7071" spans="34:38">
      <c r="AH7071" t="s">
        <v>2275</v>
      </c>
      <c r="AI7071" t="s">
        <v>65</v>
      </c>
      <c r="AJ7071" t="s">
        <v>72</v>
      </c>
      <c r="AK7071" s="3" t="s">
        <v>27</v>
      </c>
      <c r="AL7071" s="3">
        <v>22408.12715</v>
      </c>
    </row>
    <row r="7072" spans="34:38">
      <c r="AH7072" t="s">
        <v>2275</v>
      </c>
      <c r="AI7072" t="s">
        <v>65</v>
      </c>
      <c r="AJ7072" t="s">
        <v>108</v>
      </c>
      <c r="AK7072" s="3" t="s">
        <v>27</v>
      </c>
      <c r="AL7072" s="3">
        <v>951.62715000000003</v>
      </c>
    </row>
    <row r="7073" spans="34:38">
      <c r="AH7073" t="s">
        <v>2275</v>
      </c>
      <c r="AI7073" t="s">
        <v>67</v>
      </c>
      <c r="AJ7073" t="s">
        <v>66</v>
      </c>
      <c r="AK7073" s="3" t="s">
        <v>27</v>
      </c>
      <c r="AL7073" s="3">
        <v>-5641.5</v>
      </c>
    </row>
    <row r="7074" spans="34:38">
      <c r="AH7074" t="s">
        <v>2275</v>
      </c>
      <c r="AI7074" t="s">
        <v>67</v>
      </c>
      <c r="AJ7074" t="s">
        <v>72</v>
      </c>
      <c r="AK7074" s="3" t="s">
        <v>27</v>
      </c>
      <c r="AL7074" s="3">
        <v>-6465.9829499999996</v>
      </c>
    </row>
    <row r="7075" spans="34:38">
      <c r="AH7075" t="s">
        <v>2275</v>
      </c>
      <c r="AI7075" t="s">
        <v>67</v>
      </c>
      <c r="AJ7075" t="s">
        <v>108</v>
      </c>
      <c r="AK7075" s="3" t="s">
        <v>27</v>
      </c>
      <c r="AL7075" s="3">
        <v>-824.48294999999996</v>
      </c>
    </row>
    <row r="7076" spans="34:38">
      <c r="AH7076" t="s">
        <v>2275</v>
      </c>
      <c r="AI7076" t="s">
        <v>68</v>
      </c>
      <c r="AJ7076" t="s">
        <v>66</v>
      </c>
      <c r="AK7076" s="3" t="s">
        <v>27</v>
      </c>
      <c r="AL7076" s="3">
        <v>-420</v>
      </c>
    </row>
    <row r="7077" spans="34:38">
      <c r="AH7077" t="s">
        <v>2275</v>
      </c>
      <c r="AI7077" t="s">
        <v>68</v>
      </c>
      <c r="AJ7077" t="s">
        <v>72</v>
      </c>
      <c r="AK7077" s="3" t="s">
        <v>27</v>
      </c>
      <c r="AL7077" s="3">
        <v>-386.54674999999997</v>
      </c>
    </row>
    <row r="7078" spans="34:38">
      <c r="AH7078" t="s">
        <v>2275</v>
      </c>
      <c r="AI7078" t="s">
        <v>68</v>
      </c>
      <c r="AJ7078" t="s">
        <v>108</v>
      </c>
      <c r="AK7078" s="3" t="s">
        <v>27</v>
      </c>
      <c r="AL7078" s="3">
        <v>33.453249999999997</v>
      </c>
    </row>
    <row r="7079" spans="34:38">
      <c r="AH7079" t="s">
        <v>2275</v>
      </c>
      <c r="AI7079" t="s">
        <v>65</v>
      </c>
      <c r="AJ7079" t="s">
        <v>113</v>
      </c>
      <c r="AK7079" s="3" t="s">
        <v>27</v>
      </c>
      <c r="AL7079" s="3">
        <v>2627.1464392731</v>
      </c>
    </row>
    <row r="7080" spans="34:38">
      <c r="AH7080" t="s">
        <v>2275</v>
      </c>
      <c r="AI7080" t="s">
        <v>67</v>
      </c>
      <c r="AJ7080" t="s">
        <v>113</v>
      </c>
      <c r="AK7080" s="3" t="s">
        <v>27</v>
      </c>
      <c r="AL7080" s="3">
        <v>3748.6912349999998</v>
      </c>
    </row>
    <row r="7081" spans="34:38">
      <c r="AH7081" t="s">
        <v>2275</v>
      </c>
      <c r="AI7081" t="s">
        <v>65</v>
      </c>
      <c r="AJ7081" t="s">
        <v>2303</v>
      </c>
      <c r="AK7081" s="3" t="s">
        <v>27</v>
      </c>
      <c r="AL7081" s="3">
        <v>-1270.8232468901001</v>
      </c>
    </row>
    <row r="7082" spans="34:38">
      <c r="AH7082" t="s">
        <v>2275</v>
      </c>
      <c r="AI7082" t="s">
        <v>67</v>
      </c>
      <c r="AJ7082" t="s">
        <v>2303</v>
      </c>
      <c r="AK7082" s="3" t="s">
        <v>27</v>
      </c>
      <c r="AL7082" s="3">
        <v>-4573.1741849999999</v>
      </c>
    </row>
    <row r="7083" spans="34:38">
      <c r="AH7083" t="s">
        <v>2275</v>
      </c>
      <c r="AI7083" t="s">
        <v>65</v>
      </c>
      <c r="AJ7083" t="s">
        <v>113</v>
      </c>
      <c r="AK7083" s="3" t="s">
        <v>20</v>
      </c>
      <c r="AL7083" s="3">
        <v>1628.1432968703</v>
      </c>
    </row>
    <row r="7084" spans="34:38">
      <c r="AH7084" t="s">
        <v>2276</v>
      </c>
      <c r="AI7084" t="s">
        <v>65</v>
      </c>
      <c r="AJ7084" t="s">
        <v>113</v>
      </c>
      <c r="AK7084" s="3" t="s">
        <v>20</v>
      </c>
      <c r="AL7084" s="3">
        <v>2330.0860537069002</v>
      </c>
    </row>
    <row r="7085" spans="34:38">
      <c r="AH7085" t="s">
        <v>2276</v>
      </c>
      <c r="AI7085" t="s">
        <v>65</v>
      </c>
      <c r="AJ7085" t="s">
        <v>66</v>
      </c>
      <c r="AK7085" s="3" t="s">
        <v>27</v>
      </c>
      <c r="AL7085" s="3">
        <v>24041.5</v>
      </c>
    </row>
    <row r="7086" spans="34:38">
      <c r="AH7086" t="s">
        <v>2276</v>
      </c>
      <c r="AI7086" t="s">
        <v>65</v>
      </c>
      <c r="AJ7086" t="s">
        <v>72</v>
      </c>
      <c r="AK7086" s="3" t="s">
        <v>27</v>
      </c>
      <c r="AL7086" s="3">
        <v>25627.718535</v>
      </c>
    </row>
    <row r="7087" spans="34:38">
      <c r="AH7087" t="s">
        <v>2276</v>
      </c>
      <c r="AI7087" t="s">
        <v>65</v>
      </c>
      <c r="AJ7087" t="s">
        <v>108</v>
      </c>
      <c r="AK7087" s="3" t="s">
        <v>27</v>
      </c>
      <c r="AL7087" s="3">
        <v>1586.218535</v>
      </c>
    </row>
    <row r="7088" spans="34:38">
      <c r="AH7088" t="s">
        <v>2276</v>
      </c>
      <c r="AI7088" t="s">
        <v>67</v>
      </c>
      <c r="AJ7088" t="s">
        <v>66</v>
      </c>
      <c r="AK7088" s="3" t="s">
        <v>27</v>
      </c>
      <c r="AL7088" s="3">
        <v>-7971.5</v>
      </c>
    </row>
    <row r="7089" spans="34:38">
      <c r="AH7089" t="s">
        <v>2276</v>
      </c>
      <c r="AI7089" t="s">
        <v>67</v>
      </c>
      <c r="AJ7089" t="s">
        <v>72</v>
      </c>
      <c r="AK7089" s="3" t="s">
        <v>27</v>
      </c>
      <c r="AL7089" s="3">
        <v>-9417.4504350000007</v>
      </c>
    </row>
    <row r="7090" spans="34:38">
      <c r="AH7090" t="s">
        <v>2276</v>
      </c>
      <c r="AI7090" t="s">
        <v>67</v>
      </c>
      <c r="AJ7090" t="s">
        <v>108</v>
      </c>
      <c r="AK7090" s="3" t="s">
        <v>27</v>
      </c>
      <c r="AL7090" s="3">
        <v>-1445.950435</v>
      </c>
    </row>
    <row r="7091" spans="34:38">
      <c r="AH7091" t="s">
        <v>2276</v>
      </c>
      <c r="AI7091" t="s">
        <v>68</v>
      </c>
      <c r="AJ7091" t="s">
        <v>66</v>
      </c>
      <c r="AK7091" s="3" t="s">
        <v>27</v>
      </c>
      <c r="AL7091" s="3">
        <v>-930</v>
      </c>
    </row>
    <row r="7092" spans="34:38">
      <c r="AH7092" t="s">
        <v>2276</v>
      </c>
      <c r="AI7092" t="s">
        <v>68</v>
      </c>
      <c r="AJ7092" t="s">
        <v>72</v>
      </c>
      <c r="AK7092" s="3" t="s">
        <v>27</v>
      </c>
      <c r="AL7092" s="3">
        <v>-904.76130000000001</v>
      </c>
    </row>
    <row r="7093" spans="34:38">
      <c r="AH7093" t="s">
        <v>2276</v>
      </c>
      <c r="AI7093" t="s">
        <v>68</v>
      </c>
      <c r="AJ7093" t="s">
        <v>108</v>
      </c>
      <c r="AK7093" s="3" t="s">
        <v>27</v>
      </c>
      <c r="AL7093" s="3">
        <v>25.238700000000001</v>
      </c>
    </row>
    <row r="7094" spans="34:38">
      <c r="AH7094" t="s">
        <v>2276</v>
      </c>
      <c r="AI7094" t="s">
        <v>65</v>
      </c>
      <c r="AJ7094" t="s">
        <v>113</v>
      </c>
      <c r="AK7094" s="3" t="s">
        <v>27</v>
      </c>
      <c r="AL7094" s="3">
        <v>3329.5389943721002</v>
      </c>
    </row>
    <row r="7095" spans="34:38">
      <c r="AH7095" t="s">
        <v>2276</v>
      </c>
      <c r="AI7095" t="s">
        <v>67</v>
      </c>
      <c r="AJ7095" t="s">
        <v>113</v>
      </c>
      <c r="AK7095" s="3" t="s">
        <v>27</v>
      </c>
      <c r="AL7095" s="3">
        <v>3748.6912349999998</v>
      </c>
    </row>
    <row r="7096" spans="34:38">
      <c r="AH7096" t="s">
        <v>2276</v>
      </c>
      <c r="AI7096" t="s">
        <v>65</v>
      </c>
      <c r="AJ7096" t="s">
        <v>2303</v>
      </c>
      <c r="AK7096" s="3" t="s">
        <v>27</v>
      </c>
      <c r="AL7096" s="3">
        <v>-1340.2311564161</v>
      </c>
    </row>
    <row r="7097" spans="34:38">
      <c r="AH7097" t="s">
        <v>2276</v>
      </c>
      <c r="AI7097" t="s">
        <v>67</v>
      </c>
      <c r="AJ7097" t="s">
        <v>2303</v>
      </c>
      <c r="AK7097" s="3" t="s">
        <v>27</v>
      </c>
      <c r="AL7097" s="3">
        <v>-5194.64167</v>
      </c>
    </row>
    <row r="7098" spans="34:38">
      <c r="AH7098" t="s">
        <v>2277</v>
      </c>
      <c r="AI7098" t="s">
        <v>65</v>
      </c>
      <c r="AJ7098" t="s">
        <v>66</v>
      </c>
      <c r="AK7098" s="3" t="s">
        <v>27</v>
      </c>
      <c r="AL7098" s="3">
        <v>24899.5</v>
      </c>
    </row>
    <row r="7099" spans="34:38">
      <c r="AH7099" t="s">
        <v>2277</v>
      </c>
      <c r="AI7099" t="s">
        <v>65</v>
      </c>
      <c r="AJ7099" t="s">
        <v>72</v>
      </c>
      <c r="AK7099" s="3" t="s">
        <v>27</v>
      </c>
      <c r="AL7099" s="3">
        <v>27780.635020000002</v>
      </c>
    </row>
    <row r="7100" spans="34:38">
      <c r="AH7100" t="s">
        <v>2277</v>
      </c>
      <c r="AI7100" t="s">
        <v>65</v>
      </c>
      <c r="AJ7100" t="s">
        <v>108</v>
      </c>
      <c r="AK7100" s="3" t="s">
        <v>27</v>
      </c>
      <c r="AL7100" s="3">
        <v>2881.1350200000002</v>
      </c>
    </row>
    <row r="7101" spans="34:38">
      <c r="AH7101" t="s">
        <v>2277</v>
      </c>
      <c r="AI7101" t="s">
        <v>67</v>
      </c>
      <c r="AJ7101" t="s">
        <v>66</v>
      </c>
      <c r="AK7101" s="3" t="s">
        <v>27</v>
      </c>
      <c r="AL7101" s="3">
        <v>-8779.5</v>
      </c>
    </row>
    <row r="7102" spans="34:38">
      <c r="AH7102" t="s">
        <v>2277</v>
      </c>
      <c r="AI7102" t="s">
        <v>67</v>
      </c>
      <c r="AJ7102" t="s">
        <v>72</v>
      </c>
      <c r="AK7102" s="3" t="s">
        <v>27</v>
      </c>
      <c r="AL7102" s="3">
        <v>-11474.797039999999</v>
      </c>
    </row>
    <row r="7103" spans="34:38">
      <c r="AH7103" t="s">
        <v>2277</v>
      </c>
      <c r="AI7103" t="s">
        <v>67</v>
      </c>
      <c r="AJ7103" t="s">
        <v>108</v>
      </c>
      <c r="AK7103" s="3" t="s">
        <v>27</v>
      </c>
      <c r="AL7103" s="3">
        <v>-2695.2970399999999</v>
      </c>
    </row>
    <row r="7104" spans="34:38">
      <c r="AH7104" t="s">
        <v>2277</v>
      </c>
      <c r="AI7104" t="s">
        <v>68</v>
      </c>
      <c r="AJ7104" t="s">
        <v>66</v>
      </c>
      <c r="AK7104" s="3" t="s">
        <v>27</v>
      </c>
      <c r="AL7104" s="3">
        <v>-500</v>
      </c>
    </row>
    <row r="7105" spans="34:38">
      <c r="AH7105" t="s">
        <v>2277</v>
      </c>
      <c r="AI7105" t="s">
        <v>68</v>
      </c>
      <c r="AJ7105" t="s">
        <v>72</v>
      </c>
      <c r="AK7105" s="3" t="s">
        <v>27</v>
      </c>
      <c r="AL7105" s="3">
        <v>-494.99349999999998</v>
      </c>
    </row>
    <row r="7106" spans="34:38">
      <c r="AH7106" t="s">
        <v>2277</v>
      </c>
      <c r="AI7106" t="s">
        <v>68</v>
      </c>
      <c r="AJ7106" t="s">
        <v>108</v>
      </c>
      <c r="AK7106" s="3" t="s">
        <v>27</v>
      </c>
      <c r="AL7106" s="3">
        <v>5.0065</v>
      </c>
    </row>
    <row r="7107" spans="34:38">
      <c r="AH7107" t="s">
        <v>2277</v>
      </c>
      <c r="AI7107" t="s">
        <v>65</v>
      </c>
      <c r="AJ7107" t="s">
        <v>113</v>
      </c>
      <c r="AK7107" s="3" t="s">
        <v>27</v>
      </c>
      <c r="AL7107" s="3">
        <v>4542.8765508611004</v>
      </c>
    </row>
    <row r="7108" spans="34:38">
      <c r="AH7108" t="s">
        <v>2277</v>
      </c>
      <c r="AI7108" t="s">
        <v>67</v>
      </c>
      <c r="AJ7108" t="s">
        <v>113</v>
      </c>
      <c r="AK7108" s="3" t="s">
        <v>27</v>
      </c>
      <c r="AL7108" s="3">
        <v>3748.6912349999998</v>
      </c>
    </row>
    <row r="7109" spans="34:38">
      <c r="AH7109" t="s">
        <v>2277</v>
      </c>
      <c r="AI7109" t="s">
        <v>65</v>
      </c>
      <c r="AJ7109" t="s">
        <v>2303</v>
      </c>
      <c r="AK7109" s="3" t="s">
        <v>27</v>
      </c>
      <c r="AL7109" s="3">
        <v>-1229.1020250030999</v>
      </c>
    </row>
    <row r="7110" spans="34:38">
      <c r="AH7110" t="s">
        <v>2277</v>
      </c>
      <c r="AI7110" t="s">
        <v>67</v>
      </c>
      <c r="AJ7110" t="s">
        <v>2303</v>
      </c>
      <c r="AK7110" s="3" t="s">
        <v>27</v>
      </c>
      <c r="AL7110" s="3">
        <v>-6443.9882749999997</v>
      </c>
    </row>
    <row r="7111" spans="34:38">
      <c r="AH7111" t="s">
        <v>2277</v>
      </c>
      <c r="AI7111" t="s">
        <v>65</v>
      </c>
      <c r="AJ7111" t="s">
        <v>113</v>
      </c>
      <c r="AK7111" s="3" t="s">
        <v>20</v>
      </c>
      <c r="AL7111" s="3">
        <v>3542.9738119309</v>
      </c>
    </row>
    <row r="7112" spans="34:38">
      <c r="AH7112" t="s">
        <v>2278</v>
      </c>
      <c r="AI7112" t="s">
        <v>65</v>
      </c>
      <c r="AJ7112" t="s">
        <v>113</v>
      </c>
      <c r="AK7112" s="3" t="s">
        <v>20</v>
      </c>
      <c r="AL7112" s="3">
        <v>3543.6543509261001</v>
      </c>
    </row>
    <row r="7113" spans="34:38">
      <c r="AH7113" t="s">
        <v>2278</v>
      </c>
      <c r="AI7113" t="s">
        <v>65</v>
      </c>
      <c r="AJ7113" t="s">
        <v>66</v>
      </c>
      <c r="AK7113" s="3" t="s">
        <v>27</v>
      </c>
      <c r="AL7113" s="3">
        <v>25049.5</v>
      </c>
    </row>
    <row r="7114" spans="34:38">
      <c r="AH7114" t="s">
        <v>2278</v>
      </c>
      <c r="AI7114" t="s">
        <v>65</v>
      </c>
      <c r="AJ7114" t="s">
        <v>72</v>
      </c>
      <c r="AK7114" s="3" t="s">
        <v>27</v>
      </c>
      <c r="AL7114" s="3">
        <v>27969.455385000001</v>
      </c>
    </row>
    <row r="7115" spans="34:38">
      <c r="AH7115" t="s">
        <v>2278</v>
      </c>
      <c r="AI7115" t="s">
        <v>65</v>
      </c>
      <c r="AJ7115" t="s">
        <v>108</v>
      </c>
      <c r="AK7115" s="3" t="s">
        <v>27</v>
      </c>
      <c r="AL7115" s="3">
        <v>2919.9553850000002</v>
      </c>
    </row>
    <row r="7116" spans="34:38">
      <c r="AH7116" t="s">
        <v>2278</v>
      </c>
      <c r="AI7116" t="s">
        <v>67</v>
      </c>
      <c r="AJ7116" t="s">
        <v>66</v>
      </c>
      <c r="AK7116" s="3" t="s">
        <v>27</v>
      </c>
      <c r="AL7116" s="3">
        <v>-9229.5</v>
      </c>
    </row>
    <row r="7117" spans="34:38">
      <c r="AH7117" t="s">
        <v>2278</v>
      </c>
      <c r="AI7117" t="s">
        <v>67</v>
      </c>
      <c r="AJ7117" t="s">
        <v>72</v>
      </c>
      <c r="AK7117" s="3" t="s">
        <v>27</v>
      </c>
      <c r="AL7117" s="3">
        <v>-11861.743445</v>
      </c>
    </row>
    <row r="7118" spans="34:38">
      <c r="AH7118" t="s">
        <v>2278</v>
      </c>
      <c r="AI7118" t="s">
        <v>67</v>
      </c>
      <c r="AJ7118" t="s">
        <v>108</v>
      </c>
      <c r="AK7118" s="3" t="s">
        <v>27</v>
      </c>
      <c r="AL7118" s="3">
        <v>-2632.2434450000001</v>
      </c>
    </row>
    <row r="7119" spans="34:38">
      <c r="AH7119" t="s">
        <v>2278</v>
      </c>
      <c r="AI7119" t="s">
        <v>68</v>
      </c>
      <c r="AJ7119" t="s">
        <v>66</v>
      </c>
      <c r="AK7119" s="3" t="s">
        <v>27</v>
      </c>
      <c r="AL7119" s="3">
        <v>700</v>
      </c>
    </row>
    <row r="7120" spans="34:38">
      <c r="AH7120" t="s">
        <v>2278</v>
      </c>
      <c r="AI7120" t="s">
        <v>68</v>
      </c>
      <c r="AJ7120" t="s">
        <v>72</v>
      </c>
      <c r="AK7120" s="3" t="s">
        <v>27</v>
      </c>
      <c r="AL7120" s="3">
        <v>647.97050000000002</v>
      </c>
    </row>
    <row r="7121" spans="34:38">
      <c r="AH7121" t="s">
        <v>2278</v>
      </c>
      <c r="AI7121" t="s">
        <v>68</v>
      </c>
      <c r="AJ7121" t="s">
        <v>108</v>
      </c>
      <c r="AK7121" s="3" t="s">
        <v>27</v>
      </c>
      <c r="AL7121" s="3">
        <v>-52.029499999999999</v>
      </c>
    </row>
    <row r="7122" spans="34:38">
      <c r="AH7122" t="s">
        <v>2278</v>
      </c>
      <c r="AI7122" t="s">
        <v>65</v>
      </c>
      <c r="AJ7122" t="s">
        <v>113</v>
      </c>
      <c r="AK7122" s="3" t="s">
        <v>27</v>
      </c>
      <c r="AL7122" s="3">
        <v>4544.0068881251</v>
      </c>
    </row>
    <row r="7123" spans="34:38">
      <c r="AH7123" t="s">
        <v>2278</v>
      </c>
      <c r="AI7123" t="s">
        <v>67</v>
      </c>
      <c r="AJ7123" t="s">
        <v>113</v>
      </c>
      <c r="AK7123" s="3" t="s">
        <v>27</v>
      </c>
      <c r="AL7123" s="3">
        <v>3748.6912349999998</v>
      </c>
    </row>
    <row r="7124" spans="34:38">
      <c r="AH7124" t="s">
        <v>2278</v>
      </c>
      <c r="AI7124" t="s">
        <v>65</v>
      </c>
      <c r="AJ7124" t="s">
        <v>2303</v>
      </c>
      <c r="AK7124" s="3" t="s">
        <v>27</v>
      </c>
      <c r="AL7124" s="3">
        <v>-1167.6543521341</v>
      </c>
    </row>
    <row r="7125" spans="34:38">
      <c r="AH7125" t="s">
        <v>2278</v>
      </c>
      <c r="AI7125" t="s">
        <v>67</v>
      </c>
      <c r="AJ7125" t="s">
        <v>2303</v>
      </c>
      <c r="AK7125" s="3" t="s">
        <v>27</v>
      </c>
      <c r="AL7125" s="3">
        <v>-6380.9346800000003</v>
      </c>
    </row>
    <row r="7126" spans="34:38">
      <c r="AH7126" t="s">
        <v>2279</v>
      </c>
      <c r="AI7126" t="s">
        <v>65</v>
      </c>
      <c r="AJ7126" t="s">
        <v>66</v>
      </c>
      <c r="AK7126" s="3" t="s">
        <v>27</v>
      </c>
      <c r="AL7126" s="3">
        <v>25699.5</v>
      </c>
    </row>
    <row r="7127" spans="34:38">
      <c r="AH7127" t="s">
        <v>2279</v>
      </c>
      <c r="AI7127" t="s">
        <v>65</v>
      </c>
      <c r="AJ7127" t="s">
        <v>72</v>
      </c>
      <c r="AK7127" s="3" t="s">
        <v>27</v>
      </c>
      <c r="AL7127" s="3">
        <v>29166.048279999999</v>
      </c>
    </row>
    <row r="7128" spans="34:38">
      <c r="AH7128" t="s">
        <v>2279</v>
      </c>
      <c r="AI7128" t="s">
        <v>65</v>
      </c>
      <c r="AJ7128" t="s">
        <v>108</v>
      </c>
      <c r="AK7128" s="3" t="s">
        <v>27</v>
      </c>
      <c r="AL7128" s="3">
        <v>3466.54828</v>
      </c>
    </row>
    <row r="7129" spans="34:38">
      <c r="AH7129" t="s">
        <v>2279</v>
      </c>
      <c r="AI7129" t="s">
        <v>67</v>
      </c>
      <c r="AJ7129" t="s">
        <v>66</v>
      </c>
      <c r="AK7129" s="3" t="s">
        <v>27</v>
      </c>
      <c r="AL7129" s="3">
        <v>-10029.5</v>
      </c>
    </row>
    <row r="7130" spans="34:38">
      <c r="AH7130" t="s">
        <v>2279</v>
      </c>
      <c r="AI7130" t="s">
        <v>67</v>
      </c>
      <c r="AJ7130" t="s">
        <v>72</v>
      </c>
      <c r="AK7130" s="3" t="s">
        <v>27</v>
      </c>
      <c r="AL7130" s="3">
        <v>-13170.68318</v>
      </c>
    </row>
    <row r="7131" spans="34:38">
      <c r="AH7131" t="s">
        <v>2279</v>
      </c>
      <c r="AI7131" t="s">
        <v>67</v>
      </c>
      <c r="AJ7131" t="s">
        <v>108</v>
      </c>
      <c r="AK7131" s="3" t="s">
        <v>27</v>
      </c>
      <c r="AL7131" s="3">
        <v>-3141.18318</v>
      </c>
    </row>
    <row r="7132" spans="34:38">
      <c r="AH7132" t="s">
        <v>2279</v>
      </c>
      <c r="AI7132" t="s">
        <v>68</v>
      </c>
      <c r="AJ7132" t="s">
        <v>66</v>
      </c>
      <c r="AK7132" s="3" t="s">
        <v>27</v>
      </c>
      <c r="AL7132" s="3">
        <v>400</v>
      </c>
    </row>
    <row r="7133" spans="34:38">
      <c r="AH7133" t="s">
        <v>2279</v>
      </c>
      <c r="AI7133" t="s">
        <v>68</v>
      </c>
      <c r="AJ7133" t="s">
        <v>72</v>
      </c>
      <c r="AK7133" s="3" t="s">
        <v>27</v>
      </c>
      <c r="AL7133" s="3">
        <v>357.23099999999999</v>
      </c>
    </row>
    <row r="7134" spans="34:38">
      <c r="AH7134" t="s">
        <v>2279</v>
      </c>
      <c r="AI7134" t="s">
        <v>68</v>
      </c>
      <c r="AJ7134" t="s">
        <v>108</v>
      </c>
      <c r="AK7134" s="3" t="s">
        <v>27</v>
      </c>
      <c r="AL7134" s="3">
        <v>-42.768999999999998</v>
      </c>
    </row>
    <row r="7135" spans="34:38">
      <c r="AH7135" t="s">
        <v>2279</v>
      </c>
      <c r="AI7135" t="s">
        <v>65</v>
      </c>
      <c r="AJ7135" t="s">
        <v>113</v>
      </c>
      <c r="AK7135" s="3" t="s">
        <v>27</v>
      </c>
      <c r="AL7135" s="3">
        <v>5057.7692383500998</v>
      </c>
    </row>
    <row r="7136" spans="34:38">
      <c r="AH7136" t="s">
        <v>2279</v>
      </c>
      <c r="AI7136" t="s">
        <v>67</v>
      </c>
      <c r="AJ7136" t="s">
        <v>113</v>
      </c>
      <c r="AK7136" s="3" t="s">
        <v>27</v>
      </c>
      <c r="AL7136" s="3">
        <v>3748.6912349999998</v>
      </c>
    </row>
    <row r="7137" spans="34:38">
      <c r="AH7137" t="s">
        <v>2279</v>
      </c>
      <c r="AI7137" t="s">
        <v>65</v>
      </c>
      <c r="AJ7137" t="s">
        <v>2303</v>
      </c>
      <c r="AK7137" s="3" t="s">
        <v>27</v>
      </c>
      <c r="AL7137" s="3">
        <v>-1122.2560199621</v>
      </c>
    </row>
    <row r="7138" spans="34:38">
      <c r="AH7138" t="s">
        <v>2279</v>
      </c>
      <c r="AI7138" t="s">
        <v>67</v>
      </c>
      <c r="AJ7138" t="s">
        <v>2303</v>
      </c>
      <c r="AK7138" s="3" t="s">
        <v>27</v>
      </c>
      <c r="AL7138" s="3">
        <v>-6889.8744150000002</v>
      </c>
    </row>
    <row r="7139" spans="34:38">
      <c r="AH7139" t="s">
        <v>2279</v>
      </c>
      <c r="AI7139" t="s">
        <v>65</v>
      </c>
      <c r="AJ7139" t="s">
        <v>113</v>
      </c>
      <c r="AK7139" s="3" t="s">
        <v>20</v>
      </c>
      <c r="AL7139" s="3">
        <v>4056.9669028871999</v>
      </c>
    </row>
    <row r="7140" spans="34:38">
      <c r="AH7140" t="s">
        <v>2280</v>
      </c>
      <c r="AI7140" t="s">
        <v>65</v>
      </c>
      <c r="AJ7140" t="s">
        <v>113</v>
      </c>
      <c r="AK7140" s="3" t="s">
        <v>20</v>
      </c>
      <c r="AL7140" s="3">
        <v>3557.9251788047</v>
      </c>
    </row>
    <row r="7141" spans="34:38">
      <c r="AH7141" t="s">
        <v>2280</v>
      </c>
      <c r="AI7141" t="s">
        <v>65</v>
      </c>
      <c r="AJ7141" t="s">
        <v>66</v>
      </c>
      <c r="AK7141" s="3" t="s">
        <v>27</v>
      </c>
      <c r="AL7141" s="3">
        <v>25349.5</v>
      </c>
    </row>
    <row r="7142" spans="34:38">
      <c r="AH7142" t="s">
        <v>2280</v>
      </c>
      <c r="AI7142" t="s">
        <v>65</v>
      </c>
      <c r="AJ7142" t="s">
        <v>72</v>
      </c>
      <c r="AK7142" s="3" t="s">
        <v>27</v>
      </c>
      <c r="AL7142" s="3">
        <v>28348.975859999999</v>
      </c>
    </row>
    <row r="7143" spans="34:38">
      <c r="AH7143" t="s">
        <v>2280</v>
      </c>
      <c r="AI7143" t="s">
        <v>65</v>
      </c>
      <c r="AJ7143" t="s">
        <v>108</v>
      </c>
      <c r="AK7143" s="3" t="s">
        <v>27</v>
      </c>
      <c r="AL7143" s="3">
        <v>2999.47586</v>
      </c>
    </row>
    <row r="7144" spans="34:38">
      <c r="AH7144" t="s">
        <v>2280</v>
      </c>
      <c r="AI7144" t="s">
        <v>67</v>
      </c>
      <c r="AJ7144" t="s">
        <v>66</v>
      </c>
      <c r="AK7144" s="3" t="s">
        <v>27</v>
      </c>
      <c r="AL7144" s="3">
        <v>-9679.5</v>
      </c>
    </row>
    <row r="7145" spans="34:38">
      <c r="AH7145" t="s">
        <v>2280</v>
      </c>
      <c r="AI7145" t="s">
        <v>67</v>
      </c>
      <c r="AJ7145" t="s">
        <v>72</v>
      </c>
      <c r="AK7145" s="3" t="s">
        <v>27</v>
      </c>
      <c r="AL7145" s="3">
        <v>-12310.177600000001</v>
      </c>
    </row>
    <row r="7146" spans="34:38">
      <c r="AH7146" t="s">
        <v>2280</v>
      </c>
      <c r="AI7146" t="s">
        <v>67</v>
      </c>
      <c r="AJ7146" t="s">
        <v>108</v>
      </c>
      <c r="AK7146" s="3" t="s">
        <v>27</v>
      </c>
      <c r="AL7146" s="3">
        <v>-2630.6776</v>
      </c>
    </row>
    <row r="7147" spans="34:38">
      <c r="AH7147" t="s">
        <v>2280</v>
      </c>
      <c r="AI7147" t="s">
        <v>68</v>
      </c>
      <c r="AJ7147" t="s">
        <v>66</v>
      </c>
      <c r="AK7147" s="3" t="s">
        <v>27</v>
      </c>
      <c r="AL7147" s="3">
        <v>650</v>
      </c>
    </row>
    <row r="7148" spans="34:38">
      <c r="AH7148" t="s">
        <v>2280</v>
      </c>
      <c r="AI7148" t="s">
        <v>68</v>
      </c>
      <c r="AJ7148" t="s">
        <v>72</v>
      </c>
      <c r="AK7148" s="3" t="s">
        <v>27</v>
      </c>
      <c r="AL7148" s="3">
        <v>624.62099999999998</v>
      </c>
    </row>
    <row r="7149" spans="34:38">
      <c r="AH7149" t="s">
        <v>2280</v>
      </c>
      <c r="AI7149" t="s">
        <v>68</v>
      </c>
      <c r="AJ7149" t="s">
        <v>108</v>
      </c>
      <c r="AK7149" s="3" t="s">
        <v>27</v>
      </c>
      <c r="AL7149" s="3">
        <v>-25.379000000000001</v>
      </c>
    </row>
    <row r="7150" spans="34:38">
      <c r="AH7150" t="s">
        <v>2280</v>
      </c>
      <c r="AI7150" t="s">
        <v>65</v>
      </c>
      <c r="AJ7150" t="s">
        <v>113</v>
      </c>
      <c r="AK7150" s="3" t="s">
        <v>27</v>
      </c>
      <c r="AL7150" s="3">
        <v>4560.0769090431004</v>
      </c>
    </row>
    <row r="7151" spans="34:38">
      <c r="AH7151" t="s">
        <v>2280</v>
      </c>
      <c r="AI7151" t="s">
        <v>67</v>
      </c>
      <c r="AJ7151" t="s">
        <v>113</v>
      </c>
      <c r="AK7151" s="3" t="s">
        <v>27</v>
      </c>
      <c r="AL7151" s="3">
        <v>3748.6912349999998</v>
      </c>
    </row>
    <row r="7152" spans="34:38">
      <c r="AH7152" t="s">
        <v>2280</v>
      </c>
      <c r="AI7152" t="s">
        <v>65</v>
      </c>
      <c r="AJ7152" t="s">
        <v>2303</v>
      </c>
      <c r="AK7152" s="3" t="s">
        <v>27</v>
      </c>
      <c r="AL7152" s="3">
        <v>-1060.4606107251</v>
      </c>
    </row>
    <row r="7153" spans="34:38">
      <c r="AH7153" t="s">
        <v>2280</v>
      </c>
      <c r="AI7153" t="s">
        <v>67</v>
      </c>
      <c r="AJ7153" t="s">
        <v>2303</v>
      </c>
      <c r="AK7153" s="3" t="s">
        <v>27</v>
      </c>
      <c r="AL7153" s="3">
        <v>-6379.3688350000002</v>
      </c>
    </row>
    <row r="7154" spans="34:38">
      <c r="AH7154" t="s">
        <v>2281</v>
      </c>
      <c r="AI7154" t="s">
        <v>65</v>
      </c>
      <c r="AJ7154" t="s">
        <v>66</v>
      </c>
      <c r="AK7154" s="3" t="s">
        <v>27</v>
      </c>
      <c r="AL7154" s="3">
        <v>25099.5</v>
      </c>
    </row>
    <row r="7155" spans="34:38">
      <c r="AH7155" t="s">
        <v>2281</v>
      </c>
      <c r="AI7155" t="s">
        <v>65</v>
      </c>
      <c r="AJ7155" t="s">
        <v>72</v>
      </c>
      <c r="AK7155" s="3" t="s">
        <v>27</v>
      </c>
      <c r="AL7155" s="3">
        <v>28093.327584999999</v>
      </c>
    </row>
    <row r="7156" spans="34:38">
      <c r="AH7156" t="s">
        <v>2281</v>
      </c>
      <c r="AI7156" t="s">
        <v>65</v>
      </c>
      <c r="AJ7156" t="s">
        <v>108</v>
      </c>
      <c r="AK7156" s="3" t="s">
        <v>27</v>
      </c>
      <c r="AL7156" s="3">
        <v>2993.827585</v>
      </c>
    </row>
    <row r="7157" spans="34:38">
      <c r="AH7157" t="s">
        <v>2281</v>
      </c>
      <c r="AI7157" t="s">
        <v>67</v>
      </c>
      <c r="AJ7157" t="s">
        <v>66</v>
      </c>
      <c r="AK7157" s="3" t="s">
        <v>27</v>
      </c>
      <c r="AL7157" s="3">
        <v>-8979.5</v>
      </c>
    </row>
    <row r="7158" spans="34:38">
      <c r="AH7158" t="s">
        <v>2281</v>
      </c>
      <c r="AI7158" t="s">
        <v>67</v>
      </c>
      <c r="AJ7158" t="s">
        <v>72</v>
      </c>
      <c r="AK7158" s="3" t="s">
        <v>27</v>
      </c>
      <c r="AL7158" s="3">
        <v>-11637.946945</v>
      </c>
    </row>
    <row r="7159" spans="34:38">
      <c r="AH7159" t="s">
        <v>2281</v>
      </c>
      <c r="AI7159" t="s">
        <v>67</v>
      </c>
      <c r="AJ7159" t="s">
        <v>108</v>
      </c>
      <c r="AK7159" s="3" t="s">
        <v>27</v>
      </c>
      <c r="AL7159" s="3">
        <v>-2658.4469450000001</v>
      </c>
    </row>
    <row r="7160" spans="34:38">
      <c r="AH7160" t="s">
        <v>2281</v>
      </c>
      <c r="AI7160" t="s">
        <v>68</v>
      </c>
      <c r="AJ7160" t="s">
        <v>66</v>
      </c>
      <c r="AK7160" s="3" t="s">
        <v>27</v>
      </c>
      <c r="AL7160" s="3">
        <v>0</v>
      </c>
    </row>
    <row r="7161" spans="34:38">
      <c r="AH7161" t="s">
        <v>2281</v>
      </c>
      <c r="AI7161" t="s">
        <v>68</v>
      </c>
      <c r="AJ7161" t="s">
        <v>72</v>
      </c>
      <c r="AK7161" s="3" t="s">
        <v>27</v>
      </c>
      <c r="AL7161" s="3">
        <v>0</v>
      </c>
    </row>
    <row r="7162" spans="34:38">
      <c r="AH7162" t="s">
        <v>2281</v>
      </c>
      <c r="AI7162" t="s">
        <v>68</v>
      </c>
      <c r="AJ7162" t="s">
        <v>108</v>
      </c>
      <c r="AK7162" s="3" t="s">
        <v>27</v>
      </c>
      <c r="AL7162" s="3">
        <v>0</v>
      </c>
    </row>
    <row r="7163" spans="34:38">
      <c r="AH7163" t="s">
        <v>2281</v>
      </c>
      <c r="AI7163" t="s">
        <v>65</v>
      </c>
      <c r="AJ7163" t="s">
        <v>113</v>
      </c>
      <c r="AK7163" s="3" t="s">
        <v>27</v>
      </c>
      <c r="AL7163" s="3">
        <v>4562.1326458480999</v>
      </c>
    </row>
    <row r="7164" spans="34:38">
      <c r="AH7164" t="s">
        <v>2281</v>
      </c>
      <c r="AI7164" t="s">
        <v>67</v>
      </c>
      <c r="AJ7164" t="s">
        <v>113</v>
      </c>
      <c r="AK7164" s="3" t="s">
        <v>27</v>
      </c>
      <c r="AL7164" s="3">
        <v>492.4665</v>
      </c>
    </row>
    <row r="7165" spans="34:38">
      <c r="AH7165" t="s">
        <v>2281</v>
      </c>
      <c r="AI7165" t="s">
        <v>65</v>
      </c>
      <c r="AJ7165" t="s">
        <v>2303</v>
      </c>
      <c r="AK7165" s="3" t="s">
        <v>27</v>
      </c>
      <c r="AL7165" s="3">
        <v>-1075.3417845631</v>
      </c>
    </row>
    <row r="7166" spans="34:38">
      <c r="AH7166" t="s">
        <v>2281</v>
      </c>
      <c r="AI7166" t="s">
        <v>67</v>
      </c>
      <c r="AJ7166" t="s">
        <v>2303</v>
      </c>
      <c r="AK7166" s="3" t="s">
        <v>27</v>
      </c>
      <c r="AL7166" s="3">
        <v>-3150.9134450000001</v>
      </c>
    </row>
    <row r="7167" spans="34:38">
      <c r="AH7167" t="s">
        <v>2281</v>
      </c>
      <c r="AI7167" t="s">
        <v>65</v>
      </c>
      <c r="AJ7167" t="s">
        <v>113</v>
      </c>
      <c r="AK7167" s="3" t="s">
        <v>20</v>
      </c>
      <c r="AL7167" s="3">
        <v>3559.5311173489999</v>
      </c>
    </row>
    <row r="7168" spans="34:38">
      <c r="AH7168" t="s">
        <v>2282</v>
      </c>
      <c r="AI7168" t="s">
        <v>65</v>
      </c>
      <c r="AJ7168" t="s">
        <v>113</v>
      </c>
      <c r="AK7168" s="3" t="s">
        <v>20</v>
      </c>
      <c r="AL7168" s="3">
        <v>3560.3656571789002</v>
      </c>
    </row>
    <row r="7169" spans="34:38">
      <c r="AH7169" t="s">
        <v>2282</v>
      </c>
      <c r="AI7169" t="s">
        <v>65</v>
      </c>
      <c r="AJ7169" t="s">
        <v>66</v>
      </c>
      <c r="AK7169" s="3" t="s">
        <v>27</v>
      </c>
      <c r="AL7169" s="3">
        <v>24999.5</v>
      </c>
    </row>
    <row r="7170" spans="34:38">
      <c r="AH7170" t="s">
        <v>2282</v>
      </c>
      <c r="AI7170" t="s">
        <v>65</v>
      </c>
      <c r="AJ7170" t="s">
        <v>72</v>
      </c>
      <c r="AK7170" s="3" t="s">
        <v>27</v>
      </c>
      <c r="AL7170" s="3">
        <v>28073.180380000002</v>
      </c>
    </row>
    <row r="7171" spans="34:38">
      <c r="AH7171" t="s">
        <v>2282</v>
      </c>
      <c r="AI7171" t="s">
        <v>65</v>
      </c>
      <c r="AJ7171" t="s">
        <v>108</v>
      </c>
      <c r="AK7171" s="3" t="s">
        <v>27</v>
      </c>
      <c r="AL7171" s="3">
        <v>3073.6803799999998</v>
      </c>
    </row>
    <row r="7172" spans="34:38">
      <c r="AH7172" t="s">
        <v>2282</v>
      </c>
      <c r="AI7172" t="s">
        <v>67</v>
      </c>
      <c r="AJ7172" t="s">
        <v>66</v>
      </c>
      <c r="AK7172" s="3" t="s">
        <v>27</v>
      </c>
      <c r="AL7172" s="3">
        <v>-10179.5</v>
      </c>
    </row>
    <row r="7173" spans="34:38">
      <c r="AH7173" t="s">
        <v>2282</v>
      </c>
      <c r="AI7173" t="s">
        <v>67</v>
      </c>
      <c r="AJ7173" t="s">
        <v>72</v>
      </c>
      <c r="AK7173" s="3" t="s">
        <v>27</v>
      </c>
      <c r="AL7173" s="3">
        <v>-13342.41288</v>
      </c>
    </row>
    <row r="7174" spans="34:38">
      <c r="AH7174" t="s">
        <v>2282</v>
      </c>
      <c r="AI7174" t="s">
        <v>67</v>
      </c>
      <c r="AJ7174" t="s">
        <v>108</v>
      </c>
      <c r="AK7174" s="3" t="s">
        <v>27</v>
      </c>
      <c r="AL7174" s="3">
        <v>-3162.9128799999999</v>
      </c>
    </row>
    <row r="7175" spans="34:38">
      <c r="AH7175" t="s">
        <v>2282</v>
      </c>
      <c r="AI7175" t="s">
        <v>68</v>
      </c>
      <c r="AJ7175" t="s">
        <v>66</v>
      </c>
      <c r="AK7175" s="3" t="s">
        <v>27</v>
      </c>
      <c r="AL7175" s="3">
        <v>1000</v>
      </c>
    </row>
    <row r="7176" spans="34:38">
      <c r="AH7176" t="s">
        <v>2282</v>
      </c>
      <c r="AI7176" t="s">
        <v>68</v>
      </c>
      <c r="AJ7176" t="s">
        <v>72</v>
      </c>
      <c r="AK7176" s="3" t="s">
        <v>27</v>
      </c>
      <c r="AL7176" s="3">
        <v>1493.2760000000001</v>
      </c>
    </row>
    <row r="7177" spans="34:38">
      <c r="AH7177" t="s">
        <v>2282</v>
      </c>
      <c r="AI7177" t="s">
        <v>68</v>
      </c>
      <c r="AJ7177" t="s">
        <v>108</v>
      </c>
      <c r="AK7177" s="3" t="s">
        <v>27</v>
      </c>
      <c r="AL7177" s="3">
        <v>493.27600000000001</v>
      </c>
    </row>
    <row r="7178" spans="34:38">
      <c r="AH7178" t="s">
        <v>2282</v>
      </c>
      <c r="AI7178" t="s">
        <v>65</v>
      </c>
      <c r="AJ7178" t="s">
        <v>113</v>
      </c>
      <c r="AK7178" s="3" t="s">
        <v>27</v>
      </c>
      <c r="AL7178" s="3">
        <v>4563.4169839410997</v>
      </c>
    </row>
    <row r="7179" spans="34:38">
      <c r="AH7179" t="s">
        <v>2282</v>
      </c>
      <c r="AI7179" t="s">
        <v>67</v>
      </c>
      <c r="AJ7179" t="s">
        <v>113</v>
      </c>
      <c r="AK7179" s="3" t="s">
        <v>27</v>
      </c>
      <c r="AL7179" s="3">
        <v>-3162.9128799999999</v>
      </c>
    </row>
    <row r="7180" spans="34:38">
      <c r="AH7180" t="s">
        <v>2282</v>
      </c>
      <c r="AI7180" t="s">
        <v>65</v>
      </c>
      <c r="AJ7180" t="s">
        <v>2303</v>
      </c>
      <c r="AK7180" s="3" t="s">
        <v>27</v>
      </c>
      <c r="AL7180" s="3">
        <v>-962.26801271809995</v>
      </c>
    </row>
    <row r="7181" spans="34:38">
      <c r="AH7181" t="s">
        <v>2282</v>
      </c>
      <c r="AI7181" t="s">
        <v>67</v>
      </c>
      <c r="AJ7181" t="s">
        <v>2303</v>
      </c>
      <c r="AK7181" s="3" t="s">
        <v>27</v>
      </c>
      <c r="AL7181" s="3">
        <v>0</v>
      </c>
    </row>
    <row r="7182" spans="34:38">
      <c r="AH7182" t="s">
        <v>2283</v>
      </c>
      <c r="AI7182" t="s">
        <v>65</v>
      </c>
      <c r="AJ7182" t="s">
        <v>66</v>
      </c>
      <c r="AK7182" s="3" t="s">
        <v>27</v>
      </c>
      <c r="AL7182" s="3">
        <v>25149.5</v>
      </c>
    </row>
    <row r="7183" spans="34:38">
      <c r="AH7183" t="s">
        <v>2283</v>
      </c>
      <c r="AI7183" t="s">
        <v>65</v>
      </c>
      <c r="AJ7183" t="s">
        <v>72</v>
      </c>
      <c r="AK7183" s="3" t="s">
        <v>27</v>
      </c>
      <c r="AL7183" s="3">
        <v>28182.809430000001</v>
      </c>
    </row>
    <row r="7184" spans="34:38">
      <c r="AH7184" t="s">
        <v>2283</v>
      </c>
      <c r="AI7184" t="s">
        <v>65</v>
      </c>
      <c r="AJ7184" t="s">
        <v>108</v>
      </c>
      <c r="AK7184" s="3" t="s">
        <v>27</v>
      </c>
      <c r="AL7184" s="3">
        <v>3033.3094299999998</v>
      </c>
    </row>
    <row r="7185" spans="34:38">
      <c r="AH7185" t="s">
        <v>2283</v>
      </c>
      <c r="AI7185" t="s">
        <v>67</v>
      </c>
      <c r="AJ7185" t="s">
        <v>66</v>
      </c>
      <c r="AK7185" s="3" t="s">
        <v>27</v>
      </c>
      <c r="AL7185" s="3">
        <v>-10229.5</v>
      </c>
    </row>
    <row r="7186" spans="34:38">
      <c r="AH7186" t="s">
        <v>2283</v>
      </c>
      <c r="AI7186" t="s">
        <v>67</v>
      </c>
      <c r="AJ7186" t="s">
        <v>72</v>
      </c>
      <c r="AK7186" s="3" t="s">
        <v>27</v>
      </c>
      <c r="AL7186" s="3">
        <v>-13362.46147</v>
      </c>
    </row>
    <row r="7187" spans="34:38">
      <c r="AH7187" t="s">
        <v>2283</v>
      </c>
      <c r="AI7187" t="s">
        <v>67</v>
      </c>
      <c r="AJ7187" t="s">
        <v>108</v>
      </c>
      <c r="AK7187" s="3" t="s">
        <v>27</v>
      </c>
      <c r="AL7187" s="3">
        <v>-3132.9614700000002</v>
      </c>
    </row>
    <row r="7188" spans="34:38">
      <c r="AH7188" t="s">
        <v>2283</v>
      </c>
      <c r="AI7188" t="s">
        <v>68</v>
      </c>
      <c r="AJ7188" t="s">
        <v>66</v>
      </c>
      <c r="AK7188" s="3" t="s">
        <v>27</v>
      </c>
      <c r="AL7188" s="3">
        <v>950</v>
      </c>
    </row>
    <row r="7189" spans="34:38">
      <c r="AH7189" t="s">
        <v>2283</v>
      </c>
      <c r="AI7189" t="s">
        <v>68</v>
      </c>
      <c r="AJ7189" t="s">
        <v>72</v>
      </c>
      <c r="AK7189" s="3" t="s">
        <v>27</v>
      </c>
      <c r="AL7189" s="3">
        <v>1441.8620000000001</v>
      </c>
    </row>
    <row r="7190" spans="34:38">
      <c r="AH7190" t="s">
        <v>2283</v>
      </c>
      <c r="AI7190" t="s">
        <v>68</v>
      </c>
      <c r="AJ7190" t="s">
        <v>108</v>
      </c>
      <c r="AK7190" s="3" t="s">
        <v>27</v>
      </c>
      <c r="AL7190" s="3">
        <v>491.86200000000002</v>
      </c>
    </row>
    <row r="7191" spans="34:38">
      <c r="AH7191" t="s">
        <v>2283</v>
      </c>
      <c r="AI7191" t="s">
        <v>65</v>
      </c>
      <c r="AJ7191" t="s">
        <v>113</v>
      </c>
      <c r="AK7191" s="3" t="s">
        <v>27</v>
      </c>
      <c r="AL7191" s="3">
        <v>4551.5716236601002</v>
      </c>
    </row>
    <row r="7192" spans="34:38">
      <c r="AH7192" t="s">
        <v>2283</v>
      </c>
      <c r="AI7192" t="s">
        <v>67</v>
      </c>
      <c r="AJ7192" t="s">
        <v>113</v>
      </c>
      <c r="AK7192" s="3" t="s">
        <v>27</v>
      </c>
      <c r="AL7192" s="3">
        <v>-3132.9614700000002</v>
      </c>
    </row>
    <row r="7193" spans="34:38">
      <c r="AH7193" t="s">
        <v>2283</v>
      </c>
      <c r="AI7193" t="s">
        <v>65</v>
      </c>
      <c r="AJ7193" t="s">
        <v>2303</v>
      </c>
      <c r="AK7193" s="3" t="s">
        <v>27</v>
      </c>
      <c r="AL7193" s="3">
        <v>-997.94198071209996</v>
      </c>
    </row>
    <row r="7194" spans="34:38">
      <c r="AH7194" t="s">
        <v>2283</v>
      </c>
      <c r="AI7194" t="s">
        <v>67</v>
      </c>
      <c r="AJ7194" t="s">
        <v>2303</v>
      </c>
      <c r="AK7194" s="3" t="s">
        <v>27</v>
      </c>
      <c r="AL7194" s="3">
        <v>0</v>
      </c>
    </row>
    <row r="7195" spans="34:38">
      <c r="AH7195" t="s">
        <v>2283</v>
      </c>
      <c r="AI7195" t="s">
        <v>65</v>
      </c>
      <c r="AJ7195" t="s">
        <v>113</v>
      </c>
      <c r="AK7195" s="3" t="s">
        <v>20</v>
      </c>
      <c r="AL7195" s="3">
        <v>3548.0704986313999</v>
      </c>
    </row>
    <row r="7196" spans="34:38">
      <c r="AH7196" t="s">
        <v>2284</v>
      </c>
      <c r="AI7196" t="s">
        <v>65</v>
      </c>
      <c r="AJ7196" t="s">
        <v>113</v>
      </c>
      <c r="AK7196" s="3" t="s">
        <v>20</v>
      </c>
      <c r="AL7196" s="3">
        <v>3563.7619925560998</v>
      </c>
    </row>
    <row r="7197" spans="34:38">
      <c r="AH7197" t="s">
        <v>2284</v>
      </c>
      <c r="AI7197" t="s">
        <v>65</v>
      </c>
      <c r="AJ7197" t="s">
        <v>66</v>
      </c>
      <c r="AK7197" s="3" t="s">
        <v>27</v>
      </c>
      <c r="AL7197" s="3">
        <v>25249.5</v>
      </c>
    </row>
    <row r="7198" spans="34:38">
      <c r="AH7198" t="s">
        <v>2284</v>
      </c>
      <c r="AI7198" t="s">
        <v>65</v>
      </c>
      <c r="AJ7198" t="s">
        <v>72</v>
      </c>
      <c r="AK7198" s="3" t="s">
        <v>27</v>
      </c>
      <c r="AL7198" s="3">
        <v>28303.58913</v>
      </c>
    </row>
    <row r="7199" spans="34:38">
      <c r="AH7199" t="s">
        <v>2284</v>
      </c>
      <c r="AI7199" t="s">
        <v>65</v>
      </c>
      <c r="AJ7199" t="s">
        <v>108</v>
      </c>
      <c r="AK7199" s="3" t="s">
        <v>27</v>
      </c>
      <c r="AL7199" s="3">
        <v>3054.0891299999998</v>
      </c>
    </row>
    <row r="7200" spans="34:38">
      <c r="AH7200" t="s">
        <v>2284</v>
      </c>
      <c r="AI7200" t="s">
        <v>67</v>
      </c>
      <c r="AJ7200" t="s">
        <v>66</v>
      </c>
      <c r="AK7200" s="3" t="s">
        <v>27</v>
      </c>
      <c r="AL7200" s="3">
        <v>-10329.5</v>
      </c>
    </row>
    <row r="7201" spans="34:38">
      <c r="AH7201" t="s">
        <v>2284</v>
      </c>
      <c r="AI7201" t="s">
        <v>67</v>
      </c>
      <c r="AJ7201" t="s">
        <v>72</v>
      </c>
      <c r="AK7201" s="3" t="s">
        <v>27</v>
      </c>
      <c r="AL7201" s="3">
        <v>-13497.904850000001</v>
      </c>
    </row>
    <row r="7202" spans="34:38">
      <c r="AH7202" t="s">
        <v>2284</v>
      </c>
      <c r="AI7202" t="s">
        <v>67</v>
      </c>
      <c r="AJ7202" t="s">
        <v>108</v>
      </c>
      <c r="AK7202" s="3" t="s">
        <v>27</v>
      </c>
      <c r="AL7202" s="3">
        <v>-3168.4048499999999</v>
      </c>
    </row>
    <row r="7203" spans="34:38">
      <c r="AH7203" t="s">
        <v>2284</v>
      </c>
      <c r="AI7203" t="s">
        <v>68</v>
      </c>
      <c r="AJ7203" t="s">
        <v>66</v>
      </c>
      <c r="AK7203" s="3" t="s">
        <v>27</v>
      </c>
      <c r="AL7203" s="3">
        <v>700</v>
      </c>
    </row>
    <row r="7204" spans="34:38">
      <c r="AH7204" t="s">
        <v>2284</v>
      </c>
      <c r="AI7204" t="s">
        <v>68</v>
      </c>
      <c r="AJ7204" t="s">
        <v>72</v>
      </c>
      <c r="AK7204" s="3" t="s">
        <v>27</v>
      </c>
      <c r="AL7204" s="3">
        <v>1212.2</v>
      </c>
    </row>
    <row r="7205" spans="34:38">
      <c r="AH7205" t="s">
        <v>2284</v>
      </c>
      <c r="AI7205" t="s">
        <v>68</v>
      </c>
      <c r="AJ7205" t="s">
        <v>108</v>
      </c>
      <c r="AK7205" s="3" t="s">
        <v>27</v>
      </c>
      <c r="AL7205" s="3">
        <v>512.20000000000005</v>
      </c>
    </row>
    <row r="7206" spans="34:38">
      <c r="AH7206" t="s">
        <v>2284</v>
      </c>
      <c r="AI7206" t="s">
        <v>65</v>
      </c>
      <c r="AJ7206" t="s">
        <v>113</v>
      </c>
      <c r="AK7206" s="3" t="s">
        <v>27</v>
      </c>
      <c r="AL7206" s="3">
        <v>4567.7129158370999</v>
      </c>
    </row>
    <row r="7207" spans="34:38">
      <c r="AH7207" t="s">
        <v>2284</v>
      </c>
      <c r="AI7207" t="s">
        <v>67</v>
      </c>
      <c r="AJ7207" t="s">
        <v>113</v>
      </c>
      <c r="AK7207" s="3" t="s">
        <v>27</v>
      </c>
      <c r="AL7207" s="3">
        <v>-3168.4048499999999</v>
      </c>
    </row>
    <row r="7208" spans="34:38">
      <c r="AH7208" t="s">
        <v>2284</v>
      </c>
      <c r="AI7208" t="s">
        <v>65</v>
      </c>
      <c r="AJ7208" t="s">
        <v>2303</v>
      </c>
      <c r="AK7208" s="3" t="s">
        <v>27</v>
      </c>
      <c r="AL7208" s="3">
        <v>-991.70740197309999</v>
      </c>
    </row>
    <row r="7209" spans="34:38">
      <c r="AH7209" t="s">
        <v>2284</v>
      </c>
      <c r="AI7209" t="s">
        <v>67</v>
      </c>
      <c r="AJ7209" t="s">
        <v>2303</v>
      </c>
      <c r="AK7209" s="3" t="s">
        <v>27</v>
      </c>
      <c r="AL7209" s="3">
        <v>0</v>
      </c>
    </row>
    <row r="7210" spans="34:38">
      <c r="AH7210" t="s">
        <v>2285</v>
      </c>
      <c r="AI7210" t="s">
        <v>65</v>
      </c>
      <c r="AJ7210" t="s">
        <v>66</v>
      </c>
      <c r="AK7210" s="3" t="s">
        <v>27</v>
      </c>
      <c r="AL7210" s="3">
        <v>25049.5</v>
      </c>
    </row>
    <row r="7211" spans="34:38">
      <c r="AH7211" t="s">
        <v>2285</v>
      </c>
      <c r="AI7211" t="s">
        <v>65</v>
      </c>
      <c r="AJ7211" t="s">
        <v>72</v>
      </c>
      <c r="AK7211" s="3" t="s">
        <v>27</v>
      </c>
      <c r="AL7211" s="3">
        <v>28112.505235000001</v>
      </c>
    </row>
    <row r="7212" spans="34:38">
      <c r="AH7212" t="s">
        <v>2285</v>
      </c>
      <c r="AI7212" t="s">
        <v>65</v>
      </c>
      <c r="AJ7212" t="s">
        <v>108</v>
      </c>
      <c r="AK7212" s="3" t="s">
        <v>27</v>
      </c>
      <c r="AL7212" s="3">
        <v>3063.0052350000001</v>
      </c>
    </row>
    <row r="7213" spans="34:38">
      <c r="AH7213" t="s">
        <v>2285</v>
      </c>
      <c r="AI7213" t="s">
        <v>67</v>
      </c>
      <c r="AJ7213" t="s">
        <v>66</v>
      </c>
      <c r="AK7213" s="3" t="s">
        <v>27</v>
      </c>
      <c r="AL7213" s="3">
        <v>-10029.5</v>
      </c>
    </row>
    <row r="7214" spans="34:38">
      <c r="AH7214" t="s">
        <v>2285</v>
      </c>
      <c r="AI7214" t="s">
        <v>67</v>
      </c>
      <c r="AJ7214" t="s">
        <v>72</v>
      </c>
      <c r="AK7214" s="3" t="s">
        <v>27</v>
      </c>
      <c r="AL7214" s="3">
        <v>-13170.095835</v>
      </c>
    </row>
    <row r="7215" spans="34:38">
      <c r="AH7215" t="s">
        <v>2285</v>
      </c>
      <c r="AI7215" t="s">
        <v>67</v>
      </c>
      <c r="AJ7215" t="s">
        <v>108</v>
      </c>
      <c r="AK7215" s="3" t="s">
        <v>27</v>
      </c>
      <c r="AL7215" s="3">
        <v>-3140.5958350000001</v>
      </c>
    </row>
    <row r="7216" spans="34:38">
      <c r="AH7216" t="s">
        <v>2285</v>
      </c>
      <c r="AI7216" t="s">
        <v>68</v>
      </c>
      <c r="AJ7216" t="s">
        <v>66</v>
      </c>
      <c r="AK7216" s="3" t="s">
        <v>27</v>
      </c>
      <c r="AL7216" s="3">
        <v>700</v>
      </c>
    </row>
    <row r="7217" spans="34:38">
      <c r="AH7217" t="s">
        <v>2285</v>
      </c>
      <c r="AI7217" t="s">
        <v>68</v>
      </c>
      <c r="AJ7217" t="s">
        <v>72</v>
      </c>
      <c r="AK7217" s="3" t="s">
        <v>27</v>
      </c>
      <c r="AL7217" s="3">
        <v>1200.759</v>
      </c>
    </row>
    <row r="7218" spans="34:38">
      <c r="AH7218" t="s">
        <v>2285</v>
      </c>
      <c r="AI7218" t="s">
        <v>68</v>
      </c>
      <c r="AJ7218" t="s">
        <v>108</v>
      </c>
      <c r="AK7218" s="3" t="s">
        <v>27</v>
      </c>
      <c r="AL7218" s="3">
        <v>500.75900000000001</v>
      </c>
    </row>
    <row r="7219" spans="34:38">
      <c r="AH7219" t="s">
        <v>2285</v>
      </c>
      <c r="AI7219" t="s">
        <v>65</v>
      </c>
      <c r="AJ7219" t="s">
        <v>113</v>
      </c>
      <c r="AK7219" s="3" t="s">
        <v>27</v>
      </c>
      <c r="AL7219" s="3">
        <v>4559.9905507411004</v>
      </c>
    </row>
    <row r="7220" spans="34:38">
      <c r="AH7220" t="s">
        <v>2285</v>
      </c>
      <c r="AI7220" t="s">
        <v>67</v>
      </c>
      <c r="AJ7220" t="s">
        <v>113</v>
      </c>
      <c r="AK7220" s="3" t="s">
        <v>27</v>
      </c>
      <c r="AL7220" s="3">
        <v>-3140.5958350000001</v>
      </c>
    </row>
    <row r="7221" spans="34:38">
      <c r="AH7221" t="s">
        <v>2285</v>
      </c>
      <c r="AI7221" t="s">
        <v>65</v>
      </c>
      <c r="AJ7221" t="s">
        <v>2303</v>
      </c>
      <c r="AK7221" s="3" t="s">
        <v>27</v>
      </c>
      <c r="AL7221" s="3">
        <v>-957.3116789531</v>
      </c>
    </row>
    <row r="7222" spans="34:38">
      <c r="AH7222" t="s">
        <v>2285</v>
      </c>
      <c r="AI7222" t="s">
        <v>67</v>
      </c>
      <c r="AJ7222" t="s">
        <v>2303</v>
      </c>
      <c r="AK7222" s="3" t="s">
        <v>27</v>
      </c>
      <c r="AL7222" s="3">
        <v>0</v>
      </c>
    </row>
    <row r="7223" spans="34:38">
      <c r="AH7223" t="s">
        <v>2285</v>
      </c>
      <c r="AI7223" t="s">
        <v>65</v>
      </c>
      <c r="AJ7223" t="s">
        <v>113</v>
      </c>
      <c r="AK7223" s="3" t="s">
        <v>20</v>
      </c>
      <c r="AL7223" s="3">
        <v>3551.5416448248002</v>
      </c>
    </row>
    <row r="7224" spans="34:38">
      <c r="AH7224" t="s">
        <v>2286</v>
      </c>
      <c r="AI7224" t="s">
        <v>65</v>
      </c>
      <c r="AJ7224" t="s">
        <v>113</v>
      </c>
      <c r="AK7224" s="3" t="s">
        <v>20</v>
      </c>
      <c r="AL7224" s="3">
        <v>3546.4867280266999</v>
      </c>
    </row>
    <row r="7225" spans="34:38">
      <c r="AH7225" t="s">
        <v>2286</v>
      </c>
      <c r="AI7225" t="s">
        <v>65</v>
      </c>
      <c r="AJ7225" t="s">
        <v>66</v>
      </c>
      <c r="AK7225" s="3" t="s">
        <v>27</v>
      </c>
      <c r="AL7225" s="3">
        <v>24649.5</v>
      </c>
    </row>
    <row r="7226" spans="34:38">
      <c r="AH7226" t="s">
        <v>2286</v>
      </c>
      <c r="AI7226" t="s">
        <v>65</v>
      </c>
      <c r="AJ7226" t="s">
        <v>72</v>
      </c>
      <c r="AK7226" s="3" t="s">
        <v>27</v>
      </c>
      <c r="AL7226" s="3">
        <v>27728.656630000001</v>
      </c>
    </row>
    <row r="7227" spans="34:38">
      <c r="AH7227" t="s">
        <v>2286</v>
      </c>
      <c r="AI7227" t="s">
        <v>65</v>
      </c>
      <c r="AJ7227" t="s">
        <v>108</v>
      </c>
      <c r="AK7227" s="3" t="s">
        <v>27</v>
      </c>
      <c r="AL7227" s="3">
        <v>3079.15663</v>
      </c>
    </row>
    <row r="7228" spans="34:38">
      <c r="AH7228" t="s">
        <v>2286</v>
      </c>
      <c r="AI7228" t="s">
        <v>67</v>
      </c>
      <c r="AJ7228" t="s">
        <v>66</v>
      </c>
      <c r="AK7228" s="3" t="s">
        <v>27</v>
      </c>
      <c r="AL7228" s="3">
        <v>-9629.5</v>
      </c>
    </row>
    <row r="7229" spans="34:38">
      <c r="AH7229" t="s">
        <v>2286</v>
      </c>
      <c r="AI7229" t="s">
        <v>67</v>
      </c>
      <c r="AJ7229" t="s">
        <v>72</v>
      </c>
      <c r="AK7229" s="3" t="s">
        <v>27</v>
      </c>
      <c r="AL7229" s="3">
        <v>-12781.189189999999</v>
      </c>
    </row>
    <row r="7230" spans="34:38">
      <c r="AH7230" t="s">
        <v>2286</v>
      </c>
      <c r="AI7230" t="s">
        <v>67</v>
      </c>
      <c r="AJ7230" t="s">
        <v>108</v>
      </c>
      <c r="AK7230" s="3" t="s">
        <v>27</v>
      </c>
      <c r="AL7230" s="3">
        <v>-3151.6891900000001</v>
      </c>
    </row>
    <row r="7231" spans="34:38">
      <c r="AH7231" t="s">
        <v>2286</v>
      </c>
      <c r="AI7231" t="s">
        <v>68</v>
      </c>
      <c r="AJ7231" t="s">
        <v>66</v>
      </c>
      <c r="AK7231" s="3" t="s">
        <v>27</v>
      </c>
      <c r="AL7231" s="3">
        <v>700</v>
      </c>
    </row>
    <row r="7232" spans="34:38">
      <c r="AH7232" t="s">
        <v>2286</v>
      </c>
      <c r="AI7232" t="s">
        <v>68</v>
      </c>
      <c r="AJ7232" t="s">
        <v>72</v>
      </c>
      <c r="AK7232" s="3" t="s">
        <v>27</v>
      </c>
      <c r="AL7232" s="3">
        <v>1201.3330000000001</v>
      </c>
    </row>
    <row r="7233" spans="34:38">
      <c r="AH7233" t="s">
        <v>2286</v>
      </c>
      <c r="AI7233" t="s">
        <v>68</v>
      </c>
      <c r="AJ7233" t="s">
        <v>108</v>
      </c>
      <c r="AK7233" s="3" t="s">
        <v>27</v>
      </c>
      <c r="AL7233" s="3">
        <v>501.33300000000003</v>
      </c>
    </row>
    <row r="7234" spans="34:38">
      <c r="AH7234" t="s">
        <v>2286</v>
      </c>
      <c r="AI7234" t="s">
        <v>65</v>
      </c>
      <c r="AJ7234" t="s">
        <v>113</v>
      </c>
      <c r="AK7234" s="3" t="s">
        <v>27</v>
      </c>
      <c r="AL7234" s="3">
        <v>4560.4355842270998</v>
      </c>
    </row>
    <row r="7235" spans="34:38">
      <c r="AH7235" t="s">
        <v>2286</v>
      </c>
      <c r="AI7235" t="s">
        <v>67</v>
      </c>
      <c r="AJ7235" t="s">
        <v>113</v>
      </c>
      <c r="AK7235" s="3" t="s">
        <v>27</v>
      </c>
      <c r="AL7235" s="3">
        <v>-3151.6891900000001</v>
      </c>
    </row>
    <row r="7236" spans="34:38">
      <c r="AH7236" t="s">
        <v>2286</v>
      </c>
      <c r="AI7236" t="s">
        <v>65</v>
      </c>
      <c r="AJ7236" t="s">
        <v>2303</v>
      </c>
      <c r="AK7236" s="3" t="s">
        <v>27</v>
      </c>
      <c r="AL7236" s="3">
        <v>-937.52804076309997</v>
      </c>
    </row>
    <row r="7237" spans="34:38">
      <c r="AH7237" t="s">
        <v>2286</v>
      </c>
      <c r="AI7237" t="s">
        <v>67</v>
      </c>
      <c r="AJ7237" t="s">
        <v>2303</v>
      </c>
      <c r="AK7237" s="3" t="s">
        <v>27</v>
      </c>
      <c r="AL7237" s="3">
        <v>0</v>
      </c>
    </row>
    <row r="7238" spans="34:38">
      <c r="AH7238" t="s">
        <v>2287</v>
      </c>
      <c r="AI7238" t="s">
        <v>65</v>
      </c>
      <c r="AJ7238" t="s">
        <v>66</v>
      </c>
      <c r="AK7238" s="3" t="s">
        <v>27</v>
      </c>
      <c r="AL7238" s="3">
        <v>25049.5</v>
      </c>
    </row>
    <row r="7239" spans="34:38">
      <c r="AH7239" t="s">
        <v>2287</v>
      </c>
      <c r="AI7239" t="s">
        <v>65</v>
      </c>
      <c r="AJ7239" t="s">
        <v>72</v>
      </c>
      <c r="AK7239" s="3" t="s">
        <v>27</v>
      </c>
      <c r="AL7239" s="3">
        <v>28033.769165000002</v>
      </c>
    </row>
    <row r="7240" spans="34:38">
      <c r="AH7240" t="s">
        <v>2287</v>
      </c>
      <c r="AI7240" t="s">
        <v>65</v>
      </c>
      <c r="AJ7240" t="s">
        <v>108</v>
      </c>
      <c r="AK7240" s="3" t="s">
        <v>27</v>
      </c>
      <c r="AL7240" s="3">
        <v>2984.2691650000002</v>
      </c>
    </row>
    <row r="7241" spans="34:38">
      <c r="AH7241" t="s">
        <v>2287</v>
      </c>
      <c r="AI7241" t="s">
        <v>67</v>
      </c>
      <c r="AJ7241" t="s">
        <v>66</v>
      </c>
      <c r="AK7241" s="3" t="s">
        <v>27</v>
      </c>
      <c r="AL7241" s="3">
        <v>-10629.5</v>
      </c>
    </row>
    <row r="7242" spans="34:38">
      <c r="AH7242" t="s">
        <v>2287</v>
      </c>
      <c r="AI7242" t="s">
        <v>67</v>
      </c>
      <c r="AJ7242" t="s">
        <v>72</v>
      </c>
      <c r="AK7242" s="3" t="s">
        <v>27</v>
      </c>
      <c r="AL7242" s="3">
        <v>-13765.993885</v>
      </c>
    </row>
    <row r="7243" spans="34:38">
      <c r="AH7243" t="s">
        <v>2287</v>
      </c>
      <c r="AI7243" t="s">
        <v>67</v>
      </c>
      <c r="AJ7243" t="s">
        <v>108</v>
      </c>
      <c r="AK7243" s="3" t="s">
        <v>27</v>
      </c>
      <c r="AL7243" s="3">
        <v>-3136.4938849999999</v>
      </c>
    </row>
    <row r="7244" spans="34:38">
      <c r="AH7244" t="s">
        <v>2287</v>
      </c>
      <c r="AI7244" t="s">
        <v>68</v>
      </c>
      <c r="AJ7244" t="s">
        <v>66</v>
      </c>
      <c r="AK7244" s="3" t="s">
        <v>27</v>
      </c>
      <c r="AL7244" s="3">
        <v>1100</v>
      </c>
    </row>
    <row r="7245" spans="34:38">
      <c r="AH7245" t="s">
        <v>2287</v>
      </c>
      <c r="AI7245" t="s">
        <v>68</v>
      </c>
      <c r="AJ7245" t="s">
        <v>72</v>
      </c>
      <c r="AK7245" s="3" t="s">
        <v>27</v>
      </c>
      <c r="AL7245" s="3">
        <v>1590.7049999999999</v>
      </c>
    </row>
    <row r="7246" spans="34:38">
      <c r="AH7246" t="s">
        <v>2287</v>
      </c>
      <c r="AI7246" t="s">
        <v>68</v>
      </c>
      <c r="AJ7246" t="s">
        <v>108</v>
      </c>
      <c r="AK7246" s="3" t="s">
        <v>27</v>
      </c>
      <c r="AL7246" s="3">
        <v>490.70499999999998</v>
      </c>
    </row>
    <row r="7247" spans="34:38">
      <c r="AH7247" t="s">
        <v>2287</v>
      </c>
      <c r="AI7247" t="s">
        <v>65</v>
      </c>
      <c r="AJ7247" t="s">
        <v>113</v>
      </c>
      <c r="AK7247" s="3" t="s">
        <v>27</v>
      </c>
      <c r="AL7247" s="3">
        <v>4560.4355842270998</v>
      </c>
    </row>
    <row r="7248" spans="34:38">
      <c r="AH7248" t="s">
        <v>2287</v>
      </c>
      <c r="AI7248" t="s">
        <v>67</v>
      </c>
      <c r="AJ7248" t="s">
        <v>113</v>
      </c>
      <c r="AK7248" s="3" t="s">
        <v>27</v>
      </c>
      <c r="AL7248" s="3">
        <v>-3136.4938849999999</v>
      </c>
    </row>
    <row r="7249" spans="34:38">
      <c r="AH7249" t="s">
        <v>2287</v>
      </c>
      <c r="AI7249" t="s">
        <v>65</v>
      </c>
      <c r="AJ7249" t="s">
        <v>2303</v>
      </c>
      <c r="AK7249" s="3" t="s">
        <v>27</v>
      </c>
      <c r="AL7249" s="3">
        <v>-1080.8337574960999</v>
      </c>
    </row>
    <row r="7250" spans="34:38">
      <c r="AH7250" t="s">
        <v>2287</v>
      </c>
      <c r="AI7250" t="s">
        <v>67</v>
      </c>
      <c r="AJ7250" t="s">
        <v>2303</v>
      </c>
      <c r="AK7250" s="3" t="s">
        <v>27</v>
      </c>
      <c r="AL7250" s="3">
        <v>0</v>
      </c>
    </row>
    <row r="7251" spans="34:38">
      <c r="AH7251" t="s">
        <v>2287</v>
      </c>
      <c r="AI7251" t="s">
        <v>65</v>
      </c>
      <c r="AJ7251" t="s">
        <v>113</v>
      </c>
      <c r="AK7251" s="3" t="s">
        <v>20</v>
      </c>
      <c r="AL7251" s="3">
        <v>3551.0870817947998</v>
      </c>
    </row>
    <row r="7252" spans="34:38">
      <c r="AH7252" t="s">
        <v>2288</v>
      </c>
      <c r="AI7252" t="s">
        <v>65</v>
      </c>
      <c r="AJ7252" t="s">
        <v>113</v>
      </c>
      <c r="AK7252" s="3" t="s">
        <v>20</v>
      </c>
      <c r="AL7252" s="3">
        <v>3586.5197213099</v>
      </c>
    </row>
    <row r="7253" spans="34:38">
      <c r="AH7253" t="s">
        <v>2288</v>
      </c>
      <c r="AI7253" t="s">
        <v>65</v>
      </c>
      <c r="AJ7253" t="s">
        <v>66</v>
      </c>
      <c r="AK7253" s="3" t="s">
        <v>27</v>
      </c>
      <c r="AL7253" s="3">
        <v>24026.5</v>
      </c>
    </row>
    <row r="7254" spans="34:38">
      <c r="AH7254" t="s">
        <v>2288</v>
      </c>
      <c r="AI7254" t="s">
        <v>65</v>
      </c>
      <c r="AJ7254" t="s">
        <v>72</v>
      </c>
      <c r="AK7254" s="3" t="s">
        <v>27</v>
      </c>
      <c r="AL7254" s="3">
        <v>27064.174725000001</v>
      </c>
    </row>
    <row r="7255" spans="34:38">
      <c r="AH7255" t="s">
        <v>2288</v>
      </c>
      <c r="AI7255" t="s">
        <v>65</v>
      </c>
      <c r="AJ7255" t="s">
        <v>108</v>
      </c>
      <c r="AK7255" s="3" t="s">
        <v>27</v>
      </c>
      <c r="AL7255" s="3">
        <v>3037.6747249999999</v>
      </c>
    </row>
    <row r="7256" spans="34:38">
      <c r="AH7256" t="s">
        <v>2288</v>
      </c>
      <c r="AI7256" t="s">
        <v>67</v>
      </c>
      <c r="AJ7256" t="s">
        <v>66</v>
      </c>
      <c r="AK7256" s="3" t="s">
        <v>27</v>
      </c>
      <c r="AL7256" s="3">
        <v>-9206.5</v>
      </c>
    </row>
    <row r="7257" spans="34:38">
      <c r="AH7257" t="s">
        <v>2288</v>
      </c>
      <c r="AI7257" t="s">
        <v>67</v>
      </c>
      <c r="AJ7257" t="s">
        <v>72</v>
      </c>
      <c r="AK7257" s="3" t="s">
        <v>27</v>
      </c>
      <c r="AL7257" s="3">
        <v>-12411.933265</v>
      </c>
    </row>
    <row r="7258" spans="34:38">
      <c r="AH7258" t="s">
        <v>2288</v>
      </c>
      <c r="AI7258" t="s">
        <v>67</v>
      </c>
      <c r="AJ7258" t="s">
        <v>108</v>
      </c>
      <c r="AK7258" s="3" t="s">
        <v>27</v>
      </c>
      <c r="AL7258" s="3">
        <v>-3205.4332650000001</v>
      </c>
    </row>
    <row r="7259" spans="34:38">
      <c r="AH7259" t="s">
        <v>2288</v>
      </c>
      <c r="AI7259" t="s">
        <v>68</v>
      </c>
      <c r="AJ7259" t="s">
        <v>66</v>
      </c>
      <c r="AK7259" s="3" t="s">
        <v>27</v>
      </c>
      <c r="AL7259" s="3">
        <v>700</v>
      </c>
    </row>
    <row r="7260" spans="34:38">
      <c r="AH7260" t="s">
        <v>2288</v>
      </c>
      <c r="AI7260" t="s">
        <v>68</v>
      </c>
      <c r="AJ7260" t="s">
        <v>72</v>
      </c>
      <c r="AK7260" s="3" t="s">
        <v>27</v>
      </c>
      <c r="AL7260" s="3">
        <v>1200.0730000000001</v>
      </c>
    </row>
    <row r="7261" spans="34:38">
      <c r="AH7261" t="s">
        <v>2288</v>
      </c>
      <c r="AI7261" t="s">
        <v>68</v>
      </c>
      <c r="AJ7261" t="s">
        <v>108</v>
      </c>
      <c r="AK7261" s="3" t="s">
        <v>27</v>
      </c>
      <c r="AL7261" s="3">
        <v>500.07299999999998</v>
      </c>
    </row>
    <row r="7262" spans="34:38">
      <c r="AH7262" t="s">
        <v>2288</v>
      </c>
      <c r="AI7262" t="s">
        <v>65</v>
      </c>
      <c r="AJ7262" t="s">
        <v>113</v>
      </c>
      <c r="AK7262" s="3" t="s">
        <v>27</v>
      </c>
      <c r="AL7262" s="3">
        <v>4596.3180220081003</v>
      </c>
    </row>
    <row r="7263" spans="34:38">
      <c r="AH7263" t="s">
        <v>2288</v>
      </c>
      <c r="AI7263" t="s">
        <v>67</v>
      </c>
      <c r="AJ7263" t="s">
        <v>113</v>
      </c>
      <c r="AK7263" s="3" t="s">
        <v>27</v>
      </c>
      <c r="AL7263" s="3">
        <v>-3205.4332650000001</v>
      </c>
    </row>
    <row r="7264" spans="34:38">
      <c r="AH7264" t="s">
        <v>2288</v>
      </c>
      <c r="AI7264" t="s">
        <v>65</v>
      </c>
      <c r="AJ7264" t="s">
        <v>2303</v>
      </c>
      <c r="AK7264" s="3" t="s">
        <v>27</v>
      </c>
      <c r="AL7264" s="3">
        <v>-1069.5310816161</v>
      </c>
    </row>
    <row r="7265" spans="34:38">
      <c r="AH7265" t="s">
        <v>2288</v>
      </c>
      <c r="AI7265" t="s">
        <v>67</v>
      </c>
      <c r="AJ7265" t="s">
        <v>2303</v>
      </c>
      <c r="AK7265" s="3" t="s">
        <v>27</v>
      </c>
      <c r="AL7265" s="3">
        <v>0</v>
      </c>
    </row>
    <row r="7266" spans="34:38">
      <c r="AH7266" t="s">
        <v>2289</v>
      </c>
      <c r="AI7266" t="s">
        <v>65</v>
      </c>
      <c r="AJ7266" t="s">
        <v>66</v>
      </c>
      <c r="AK7266" s="3" t="s">
        <v>27</v>
      </c>
      <c r="AL7266" s="3">
        <v>24849.5</v>
      </c>
    </row>
    <row r="7267" spans="34:38">
      <c r="AH7267" t="s">
        <v>2289</v>
      </c>
      <c r="AI7267" t="s">
        <v>65</v>
      </c>
      <c r="AJ7267" t="s">
        <v>72</v>
      </c>
      <c r="AK7267" s="3" t="s">
        <v>27</v>
      </c>
      <c r="AL7267" s="3">
        <v>27793.753714999999</v>
      </c>
    </row>
    <row r="7268" spans="34:38">
      <c r="AH7268" t="s">
        <v>2289</v>
      </c>
      <c r="AI7268" t="s">
        <v>65</v>
      </c>
      <c r="AJ7268" t="s">
        <v>108</v>
      </c>
      <c r="AK7268" s="3" t="s">
        <v>27</v>
      </c>
      <c r="AL7268" s="3">
        <v>2944.2537149999998</v>
      </c>
    </row>
    <row r="7269" spans="34:38">
      <c r="AH7269" t="s">
        <v>2289</v>
      </c>
      <c r="AI7269" t="s">
        <v>67</v>
      </c>
      <c r="AJ7269" t="s">
        <v>66</v>
      </c>
      <c r="AK7269" s="3" t="s">
        <v>27</v>
      </c>
      <c r="AL7269" s="3">
        <v>-11052.5</v>
      </c>
    </row>
    <row r="7270" spans="34:38">
      <c r="AH7270" t="s">
        <v>2289</v>
      </c>
      <c r="AI7270" t="s">
        <v>67</v>
      </c>
      <c r="AJ7270" t="s">
        <v>72</v>
      </c>
      <c r="AK7270" s="3" t="s">
        <v>27</v>
      </c>
      <c r="AL7270" s="3">
        <v>-14135.382654999999</v>
      </c>
    </row>
    <row r="7271" spans="34:38">
      <c r="AH7271" t="s">
        <v>2289</v>
      </c>
      <c r="AI7271" t="s">
        <v>67</v>
      </c>
      <c r="AJ7271" t="s">
        <v>108</v>
      </c>
      <c r="AK7271" s="3" t="s">
        <v>27</v>
      </c>
      <c r="AL7271" s="3">
        <v>-3082.8826549999999</v>
      </c>
    </row>
    <row r="7272" spans="34:38">
      <c r="AH7272" t="s">
        <v>2289</v>
      </c>
      <c r="AI7272" t="s">
        <v>68</v>
      </c>
      <c r="AJ7272" t="s">
        <v>66</v>
      </c>
      <c r="AK7272" s="3" t="s">
        <v>27</v>
      </c>
      <c r="AL7272" s="3">
        <v>1323</v>
      </c>
    </row>
    <row r="7273" spans="34:38">
      <c r="AH7273" t="s">
        <v>2289</v>
      </c>
      <c r="AI7273" t="s">
        <v>68</v>
      </c>
      <c r="AJ7273" t="s">
        <v>72</v>
      </c>
      <c r="AK7273" s="3" t="s">
        <v>27</v>
      </c>
      <c r="AL7273" s="3">
        <v>1777.25514</v>
      </c>
    </row>
    <row r="7274" spans="34:38">
      <c r="AH7274" t="s">
        <v>2289</v>
      </c>
      <c r="AI7274" t="s">
        <v>68</v>
      </c>
      <c r="AJ7274" t="s">
        <v>108</v>
      </c>
      <c r="AK7274" s="3" t="s">
        <v>27</v>
      </c>
      <c r="AL7274" s="3">
        <v>454.25513999999998</v>
      </c>
    </row>
    <row r="7275" spans="34:38">
      <c r="AH7275" t="s">
        <v>2289</v>
      </c>
      <c r="AI7275" t="s">
        <v>65</v>
      </c>
      <c r="AJ7275" t="s">
        <v>113</v>
      </c>
      <c r="AK7275" s="3" t="s">
        <v>27</v>
      </c>
      <c r="AL7275" s="3">
        <v>4513.1601506691004</v>
      </c>
    </row>
    <row r="7276" spans="34:38">
      <c r="AH7276" t="s">
        <v>2289</v>
      </c>
      <c r="AI7276" t="s">
        <v>67</v>
      </c>
      <c r="AJ7276" t="s">
        <v>113</v>
      </c>
      <c r="AK7276" s="3" t="s">
        <v>27</v>
      </c>
      <c r="AL7276" s="3">
        <v>-3067.2071550000001</v>
      </c>
    </row>
    <row r="7277" spans="34:38">
      <c r="AH7277" t="s">
        <v>2289</v>
      </c>
      <c r="AI7277" t="s">
        <v>65</v>
      </c>
      <c r="AJ7277" t="s">
        <v>2303</v>
      </c>
      <c r="AK7277" s="3" t="s">
        <v>27</v>
      </c>
      <c r="AL7277" s="3">
        <v>-1112.7461995781</v>
      </c>
    </row>
    <row r="7278" spans="34:38">
      <c r="AH7278" t="s">
        <v>2289</v>
      </c>
      <c r="AI7278" t="s">
        <v>67</v>
      </c>
      <c r="AJ7278" t="s">
        <v>2303</v>
      </c>
      <c r="AK7278" s="3" t="s">
        <v>27</v>
      </c>
      <c r="AL7278" s="3">
        <v>0</v>
      </c>
    </row>
    <row r="7279" spans="34:38">
      <c r="AH7279" t="s">
        <v>2289</v>
      </c>
      <c r="AI7279" t="s">
        <v>65</v>
      </c>
      <c r="AJ7279" t="s">
        <v>113</v>
      </c>
      <c r="AK7279" s="3" t="s">
        <v>20</v>
      </c>
      <c r="AL7279" s="3">
        <v>3552.7570184755</v>
      </c>
    </row>
    <row r="7280" spans="34:38">
      <c r="AH7280" t="s">
        <v>2290</v>
      </c>
      <c r="AI7280" t="s">
        <v>65</v>
      </c>
      <c r="AJ7280" t="s">
        <v>113</v>
      </c>
      <c r="AK7280" s="3" t="s">
        <v>20</v>
      </c>
      <c r="AL7280" s="3">
        <v>3594.8281473402999</v>
      </c>
    </row>
    <row r="7281" spans="34:38">
      <c r="AH7281" t="s">
        <v>2290</v>
      </c>
      <c r="AI7281" t="s">
        <v>65</v>
      </c>
      <c r="AJ7281" t="s">
        <v>66</v>
      </c>
      <c r="AK7281" s="3" t="s">
        <v>27</v>
      </c>
      <c r="AL7281" s="3">
        <v>25149.5</v>
      </c>
    </row>
    <row r="7282" spans="34:38">
      <c r="AH7282" t="s">
        <v>2290</v>
      </c>
      <c r="AI7282" t="s">
        <v>65</v>
      </c>
      <c r="AJ7282" t="s">
        <v>72</v>
      </c>
      <c r="AK7282" s="3" t="s">
        <v>27</v>
      </c>
      <c r="AL7282" s="3">
        <v>28118.849289999998</v>
      </c>
    </row>
    <row r="7283" spans="34:38">
      <c r="AH7283" t="s">
        <v>2290</v>
      </c>
      <c r="AI7283" t="s">
        <v>65</v>
      </c>
      <c r="AJ7283" t="s">
        <v>108</v>
      </c>
      <c r="AK7283" s="3" t="s">
        <v>27</v>
      </c>
      <c r="AL7283" s="3">
        <v>2969.3492900000001</v>
      </c>
    </row>
    <row r="7284" spans="34:38">
      <c r="AH7284" t="s">
        <v>2290</v>
      </c>
      <c r="AI7284" t="s">
        <v>67</v>
      </c>
      <c r="AJ7284" t="s">
        <v>66</v>
      </c>
      <c r="AK7284" s="3" t="s">
        <v>27</v>
      </c>
      <c r="AL7284" s="3">
        <v>-10529.5</v>
      </c>
    </row>
    <row r="7285" spans="34:38">
      <c r="AH7285" t="s">
        <v>2290</v>
      </c>
      <c r="AI7285" t="s">
        <v>67</v>
      </c>
      <c r="AJ7285" t="s">
        <v>72</v>
      </c>
      <c r="AK7285" s="3" t="s">
        <v>27</v>
      </c>
      <c r="AL7285" s="3">
        <v>-13685.977129999999</v>
      </c>
    </row>
    <row r="7286" spans="34:38">
      <c r="AH7286" t="s">
        <v>2290</v>
      </c>
      <c r="AI7286" t="s">
        <v>67</v>
      </c>
      <c r="AJ7286" t="s">
        <v>108</v>
      </c>
      <c r="AK7286" s="3" t="s">
        <v>27</v>
      </c>
      <c r="AL7286" s="3">
        <v>-3156.4771300000002</v>
      </c>
    </row>
    <row r="7287" spans="34:38">
      <c r="AH7287" t="s">
        <v>2290</v>
      </c>
      <c r="AI7287" t="s">
        <v>68</v>
      </c>
      <c r="AJ7287" t="s">
        <v>66</v>
      </c>
      <c r="AK7287" s="3" t="s">
        <v>27</v>
      </c>
      <c r="AL7287" s="3">
        <v>500</v>
      </c>
    </row>
    <row r="7288" spans="34:38">
      <c r="AH7288" t="s">
        <v>2290</v>
      </c>
      <c r="AI7288" t="s">
        <v>68</v>
      </c>
      <c r="AJ7288" t="s">
        <v>72</v>
      </c>
      <c r="AK7288" s="3" t="s">
        <v>27</v>
      </c>
      <c r="AL7288" s="3">
        <v>1008.648</v>
      </c>
    </row>
    <row r="7289" spans="34:38">
      <c r="AH7289" t="s">
        <v>2290</v>
      </c>
      <c r="AI7289" t="s">
        <v>68</v>
      </c>
      <c r="AJ7289" t="s">
        <v>108</v>
      </c>
      <c r="AK7289" s="3" t="s">
        <v>27</v>
      </c>
      <c r="AL7289" s="3">
        <v>508.64800000000002</v>
      </c>
    </row>
    <row r="7290" spans="34:38">
      <c r="AH7290" t="s">
        <v>2290</v>
      </c>
      <c r="AI7290" t="s">
        <v>65</v>
      </c>
      <c r="AJ7290" t="s">
        <v>113</v>
      </c>
      <c r="AK7290" s="3" t="s">
        <v>27</v>
      </c>
      <c r="AL7290" s="3">
        <v>4556.5503182201001</v>
      </c>
    </row>
    <row r="7291" spans="34:38">
      <c r="AH7291" t="s">
        <v>2290</v>
      </c>
      <c r="AI7291" t="s">
        <v>67</v>
      </c>
      <c r="AJ7291" t="s">
        <v>113</v>
      </c>
      <c r="AK7291" s="3" t="s">
        <v>27</v>
      </c>
      <c r="AL7291" s="3">
        <v>-3156.4771300000002</v>
      </c>
    </row>
    <row r="7292" spans="34:38">
      <c r="AH7292" t="s">
        <v>2290</v>
      </c>
      <c r="AI7292" t="s">
        <v>65</v>
      </c>
      <c r="AJ7292" t="s">
        <v>2303</v>
      </c>
      <c r="AK7292" s="3" t="s">
        <v>27</v>
      </c>
      <c r="AL7292" s="3">
        <v>-1125.4319352140999</v>
      </c>
    </row>
    <row r="7293" spans="34:38">
      <c r="AH7293" t="s">
        <v>2290</v>
      </c>
      <c r="AI7293" t="s">
        <v>67</v>
      </c>
      <c r="AJ7293" t="s">
        <v>2303</v>
      </c>
      <c r="AK7293" s="3" t="s">
        <v>27</v>
      </c>
      <c r="AL7293" s="3">
        <v>0</v>
      </c>
    </row>
    <row r="7294" spans="34:38">
      <c r="AH7294" t="s">
        <v>2291</v>
      </c>
      <c r="AI7294" t="s">
        <v>65</v>
      </c>
      <c r="AJ7294" t="s">
        <v>66</v>
      </c>
      <c r="AK7294" s="3" t="s">
        <v>27</v>
      </c>
      <c r="AL7294" s="3">
        <v>24499.5</v>
      </c>
    </row>
    <row r="7295" spans="34:38">
      <c r="AH7295" t="s">
        <v>2291</v>
      </c>
      <c r="AI7295" t="s">
        <v>65</v>
      </c>
      <c r="AJ7295" t="s">
        <v>72</v>
      </c>
      <c r="AK7295" s="3" t="s">
        <v>27</v>
      </c>
      <c r="AL7295" s="3">
        <v>27425.597020000001</v>
      </c>
    </row>
    <row r="7296" spans="34:38">
      <c r="AH7296" t="s">
        <v>2291</v>
      </c>
      <c r="AI7296" t="s">
        <v>65</v>
      </c>
      <c r="AJ7296" t="s">
        <v>108</v>
      </c>
      <c r="AK7296" s="3" t="s">
        <v>27</v>
      </c>
      <c r="AL7296" s="3">
        <v>2926.0970200000002</v>
      </c>
    </row>
    <row r="7297" spans="34:38">
      <c r="AH7297" t="s">
        <v>2291</v>
      </c>
      <c r="AI7297" t="s">
        <v>67</v>
      </c>
      <c r="AJ7297" t="s">
        <v>66</v>
      </c>
      <c r="AK7297" s="3" t="s">
        <v>27</v>
      </c>
      <c r="AL7297" s="3">
        <v>-9579.5</v>
      </c>
    </row>
    <row r="7298" spans="34:38">
      <c r="AH7298" t="s">
        <v>2291</v>
      </c>
      <c r="AI7298" t="s">
        <v>67</v>
      </c>
      <c r="AJ7298" t="s">
        <v>72</v>
      </c>
      <c r="AK7298" s="3" t="s">
        <v>27</v>
      </c>
      <c r="AL7298" s="3">
        <v>-12684.247359999999</v>
      </c>
    </row>
    <row r="7299" spans="34:38">
      <c r="AH7299" t="s">
        <v>2291</v>
      </c>
      <c r="AI7299" t="s">
        <v>67</v>
      </c>
      <c r="AJ7299" t="s">
        <v>108</v>
      </c>
      <c r="AK7299" s="3" t="s">
        <v>27</v>
      </c>
      <c r="AL7299" s="3">
        <v>-3104.7473599999998</v>
      </c>
    </row>
    <row r="7300" spans="34:38">
      <c r="AH7300" t="s">
        <v>2291</v>
      </c>
      <c r="AI7300" t="s">
        <v>68</v>
      </c>
      <c r="AJ7300" t="s">
        <v>66</v>
      </c>
      <c r="AK7300" s="3" t="s">
        <v>27</v>
      </c>
      <c r="AL7300" s="3">
        <v>20</v>
      </c>
    </row>
    <row r="7301" spans="34:38">
      <c r="AH7301" t="s">
        <v>2291</v>
      </c>
      <c r="AI7301" t="s">
        <v>68</v>
      </c>
      <c r="AJ7301" t="s">
        <v>72</v>
      </c>
      <c r="AK7301" s="3" t="s">
        <v>27</v>
      </c>
      <c r="AL7301" s="3">
        <v>496.73700000000002</v>
      </c>
    </row>
    <row r="7302" spans="34:38">
      <c r="AH7302" t="s">
        <v>2291</v>
      </c>
      <c r="AI7302" t="s">
        <v>68</v>
      </c>
      <c r="AJ7302" t="s">
        <v>108</v>
      </c>
      <c r="AK7302" s="3" t="s">
        <v>27</v>
      </c>
      <c r="AL7302" s="3">
        <v>476.73700000000002</v>
      </c>
    </row>
    <row r="7303" spans="34:38">
      <c r="AH7303" t="s">
        <v>2291</v>
      </c>
      <c r="AI7303" t="s">
        <v>65</v>
      </c>
      <c r="AJ7303" t="s">
        <v>113</v>
      </c>
      <c r="AK7303" s="3" t="s">
        <v>27</v>
      </c>
      <c r="AL7303" s="3">
        <v>4509.2692437040996</v>
      </c>
    </row>
    <row r="7304" spans="34:38">
      <c r="AH7304" t="s">
        <v>2291</v>
      </c>
      <c r="AI7304" t="s">
        <v>67</v>
      </c>
      <c r="AJ7304" t="s">
        <v>113</v>
      </c>
      <c r="AK7304" s="3" t="s">
        <v>27</v>
      </c>
      <c r="AL7304" s="3">
        <v>-3104.7473599999998</v>
      </c>
    </row>
    <row r="7305" spans="34:38">
      <c r="AH7305" t="s">
        <v>2291</v>
      </c>
      <c r="AI7305" t="s">
        <v>65</v>
      </c>
      <c r="AJ7305" t="s">
        <v>2303</v>
      </c>
      <c r="AK7305" s="3" t="s">
        <v>27</v>
      </c>
      <c r="AL7305" s="3">
        <v>-1126.9394803201001</v>
      </c>
    </row>
    <row r="7306" spans="34:38">
      <c r="AH7306" t="s">
        <v>2291</v>
      </c>
      <c r="AI7306" t="s">
        <v>67</v>
      </c>
      <c r="AJ7306" t="s">
        <v>2303</v>
      </c>
      <c r="AK7306" s="3" t="s">
        <v>27</v>
      </c>
      <c r="AL7306" s="3">
        <v>0</v>
      </c>
    </row>
    <row r="7307" spans="34:38">
      <c r="AH7307" t="s">
        <v>2291</v>
      </c>
      <c r="AI7307" t="s">
        <v>65</v>
      </c>
      <c r="AJ7307" t="s">
        <v>113</v>
      </c>
      <c r="AK7307" s="3" t="s">
        <v>20</v>
      </c>
      <c r="AL7307" s="3">
        <v>3547.1073932813001</v>
      </c>
    </row>
    <row r="7308" spans="34:38">
      <c r="AH7308" t="s">
        <v>2292</v>
      </c>
      <c r="AI7308" t="s">
        <v>65</v>
      </c>
      <c r="AJ7308" t="s">
        <v>113</v>
      </c>
      <c r="AK7308" s="3" t="s">
        <v>20</v>
      </c>
      <c r="AL7308" s="3">
        <v>3543.6807523023999</v>
      </c>
    </row>
    <row r="7309" spans="34:38">
      <c r="AH7309" t="s">
        <v>2292</v>
      </c>
      <c r="AI7309" t="s">
        <v>65</v>
      </c>
      <c r="AJ7309" t="s">
        <v>66</v>
      </c>
      <c r="AK7309" s="3" t="s">
        <v>27</v>
      </c>
      <c r="AL7309" s="3">
        <v>24999.5</v>
      </c>
    </row>
    <row r="7310" spans="34:38">
      <c r="AH7310" t="s">
        <v>2292</v>
      </c>
      <c r="AI7310" t="s">
        <v>65</v>
      </c>
      <c r="AJ7310" t="s">
        <v>72</v>
      </c>
      <c r="AK7310" s="3" t="s">
        <v>27</v>
      </c>
      <c r="AL7310" s="3">
        <v>27906.23244</v>
      </c>
    </row>
    <row r="7311" spans="34:38">
      <c r="AH7311" t="s">
        <v>2292</v>
      </c>
      <c r="AI7311" t="s">
        <v>65</v>
      </c>
      <c r="AJ7311" t="s">
        <v>108</v>
      </c>
      <c r="AK7311" s="3" t="s">
        <v>27</v>
      </c>
      <c r="AL7311" s="3">
        <v>2906.7324400000002</v>
      </c>
    </row>
    <row r="7312" spans="34:38">
      <c r="AH7312" t="s">
        <v>2292</v>
      </c>
      <c r="AI7312" t="s">
        <v>67</v>
      </c>
      <c r="AJ7312" t="s">
        <v>66</v>
      </c>
      <c r="AK7312" s="3" t="s">
        <v>27</v>
      </c>
      <c r="AL7312" s="3">
        <v>-10779.5</v>
      </c>
    </row>
    <row r="7313" spans="34:38">
      <c r="AH7313" t="s">
        <v>2292</v>
      </c>
      <c r="AI7313" t="s">
        <v>67</v>
      </c>
      <c r="AJ7313" t="s">
        <v>72</v>
      </c>
      <c r="AK7313" s="3" t="s">
        <v>27</v>
      </c>
      <c r="AL7313" s="3">
        <v>-13896.07504</v>
      </c>
    </row>
    <row r="7314" spans="34:38">
      <c r="AH7314" t="s">
        <v>2292</v>
      </c>
      <c r="AI7314" t="s">
        <v>67</v>
      </c>
      <c r="AJ7314" t="s">
        <v>108</v>
      </c>
      <c r="AK7314" s="3" t="s">
        <v>27</v>
      </c>
      <c r="AL7314" s="3">
        <v>-3116.5750400000002</v>
      </c>
    </row>
    <row r="7315" spans="34:38">
      <c r="AH7315" t="s">
        <v>2292</v>
      </c>
      <c r="AI7315" t="s">
        <v>68</v>
      </c>
      <c r="AJ7315" t="s">
        <v>66</v>
      </c>
      <c r="AK7315" s="3" t="s">
        <v>27</v>
      </c>
      <c r="AL7315" s="3">
        <v>900</v>
      </c>
    </row>
    <row r="7316" spans="34:38">
      <c r="AH7316" t="s">
        <v>2292</v>
      </c>
      <c r="AI7316" t="s">
        <v>68</v>
      </c>
      <c r="AJ7316" t="s">
        <v>72</v>
      </c>
      <c r="AK7316" s="3" t="s">
        <v>27</v>
      </c>
      <c r="AL7316" s="3">
        <v>1429.7819999999999</v>
      </c>
    </row>
    <row r="7317" spans="34:38">
      <c r="AH7317" t="s">
        <v>2292</v>
      </c>
      <c r="AI7317" t="s">
        <v>68</v>
      </c>
      <c r="AJ7317" t="s">
        <v>108</v>
      </c>
      <c r="AK7317" s="3" t="s">
        <v>27</v>
      </c>
      <c r="AL7317" s="3">
        <v>529.78200000000004</v>
      </c>
    </row>
    <row r="7318" spans="34:38">
      <c r="AH7318" t="s">
        <v>2292</v>
      </c>
      <c r="AI7318" t="s">
        <v>65</v>
      </c>
      <c r="AJ7318" t="s">
        <v>113</v>
      </c>
      <c r="AK7318" s="3" t="s">
        <v>27</v>
      </c>
      <c r="AL7318" s="3">
        <v>4506.2822822880999</v>
      </c>
    </row>
    <row r="7319" spans="34:38">
      <c r="AH7319" t="s">
        <v>2292</v>
      </c>
      <c r="AI7319" t="s">
        <v>67</v>
      </c>
      <c r="AJ7319" t="s">
        <v>113</v>
      </c>
      <c r="AK7319" s="3" t="s">
        <v>27</v>
      </c>
      <c r="AL7319" s="3">
        <v>-3116.5750400000002</v>
      </c>
    </row>
    <row r="7320" spans="34:38">
      <c r="AH7320" t="s">
        <v>2292</v>
      </c>
      <c r="AI7320" t="s">
        <v>65</v>
      </c>
      <c r="AJ7320" t="s">
        <v>2303</v>
      </c>
      <c r="AK7320" s="3" t="s">
        <v>27</v>
      </c>
      <c r="AL7320" s="3">
        <v>-1141.6829833801</v>
      </c>
    </row>
    <row r="7321" spans="34:38">
      <c r="AH7321" t="s">
        <v>2292</v>
      </c>
      <c r="AI7321" t="s">
        <v>67</v>
      </c>
      <c r="AJ7321" t="s">
        <v>2303</v>
      </c>
      <c r="AK7321" s="3" t="s">
        <v>27</v>
      </c>
      <c r="AL7321" s="3">
        <v>0</v>
      </c>
    </row>
    <row r="7322" spans="34:38">
      <c r="AH7322" t="s">
        <v>2293</v>
      </c>
      <c r="AI7322" t="s">
        <v>65</v>
      </c>
      <c r="AJ7322" t="s">
        <v>66</v>
      </c>
      <c r="AK7322" s="3" t="s">
        <v>27</v>
      </c>
      <c r="AL7322" s="3">
        <v>25149.5</v>
      </c>
    </row>
    <row r="7323" spans="34:38">
      <c r="AH7323" t="s">
        <v>2293</v>
      </c>
      <c r="AI7323" t="s">
        <v>65</v>
      </c>
      <c r="AJ7323" t="s">
        <v>72</v>
      </c>
      <c r="AK7323" s="3" t="s">
        <v>27</v>
      </c>
      <c r="AL7323" s="3">
        <v>28074.685829999999</v>
      </c>
    </row>
    <row r="7324" spans="34:38">
      <c r="AH7324" t="s">
        <v>2293</v>
      </c>
      <c r="AI7324" t="s">
        <v>65</v>
      </c>
      <c r="AJ7324" t="s">
        <v>108</v>
      </c>
      <c r="AK7324" s="3" t="s">
        <v>27</v>
      </c>
      <c r="AL7324" s="3">
        <v>2925.1858299999999</v>
      </c>
    </row>
    <row r="7325" spans="34:38">
      <c r="AH7325" t="s">
        <v>2293</v>
      </c>
      <c r="AI7325" t="s">
        <v>67</v>
      </c>
      <c r="AJ7325" t="s">
        <v>66</v>
      </c>
      <c r="AK7325" s="3" t="s">
        <v>27</v>
      </c>
      <c r="AL7325" s="3">
        <v>-10579.5</v>
      </c>
    </row>
    <row r="7326" spans="34:38">
      <c r="AH7326" t="s">
        <v>2293</v>
      </c>
      <c r="AI7326" t="s">
        <v>67</v>
      </c>
      <c r="AJ7326" t="s">
        <v>72</v>
      </c>
      <c r="AK7326" s="3" t="s">
        <v>27</v>
      </c>
      <c r="AL7326" s="3">
        <v>-13727.316650000001</v>
      </c>
    </row>
    <row r="7327" spans="34:38">
      <c r="AH7327" t="s">
        <v>2293</v>
      </c>
      <c r="AI7327" t="s">
        <v>67</v>
      </c>
      <c r="AJ7327" t="s">
        <v>108</v>
      </c>
      <c r="AK7327" s="3" t="s">
        <v>27</v>
      </c>
      <c r="AL7327" s="3">
        <v>-3147.8166500000002</v>
      </c>
    </row>
    <row r="7328" spans="34:38">
      <c r="AH7328" t="s">
        <v>2293</v>
      </c>
      <c r="AI7328" t="s">
        <v>68</v>
      </c>
      <c r="AJ7328" t="s">
        <v>66</v>
      </c>
      <c r="AK7328" s="3" t="s">
        <v>27</v>
      </c>
      <c r="AL7328" s="3">
        <v>700</v>
      </c>
    </row>
    <row r="7329" spans="34:38">
      <c r="AH7329" t="s">
        <v>2293</v>
      </c>
      <c r="AI7329" t="s">
        <v>68</v>
      </c>
      <c r="AJ7329" t="s">
        <v>72</v>
      </c>
      <c r="AK7329" s="3" t="s">
        <v>27</v>
      </c>
      <c r="AL7329" s="3">
        <v>1237.6155000000001</v>
      </c>
    </row>
    <row r="7330" spans="34:38">
      <c r="AH7330" t="s">
        <v>2293</v>
      </c>
      <c r="AI7330" t="s">
        <v>68</v>
      </c>
      <c r="AJ7330" t="s">
        <v>108</v>
      </c>
      <c r="AK7330" s="3" t="s">
        <v>27</v>
      </c>
      <c r="AL7330" s="3">
        <v>537.6155</v>
      </c>
    </row>
    <row r="7331" spans="34:38">
      <c r="AH7331" t="s">
        <v>2293</v>
      </c>
      <c r="AI7331" t="s">
        <v>65</v>
      </c>
      <c r="AJ7331" t="s">
        <v>113</v>
      </c>
      <c r="AK7331" s="3" t="s">
        <v>27</v>
      </c>
      <c r="AL7331" s="3">
        <v>4510.5819153181001</v>
      </c>
    </row>
    <row r="7332" spans="34:38">
      <c r="AH7332" t="s">
        <v>2293</v>
      </c>
      <c r="AI7332" t="s">
        <v>67</v>
      </c>
      <c r="AJ7332" t="s">
        <v>113</v>
      </c>
      <c r="AK7332" s="3" t="s">
        <v>27</v>
      </c>
      <c r="AL7332" s="3">
        <v>-3147.8166500000002</v>
      </c>
    </row>
    <row r="7333" spans="34:38">
      <c r="AH7333" t="s">
        <v>2293</v>
      </c>
      <c r="AI7333" t="s">
        <v>65</v>
      </c>
      <c r="AJ7333" t="s">
        <v>2303</v>
      </c>
      <c r="AK7333" s="3" t="s">
        <v>27</v>
      </c>
      <c r="AL7333" s="3">
        <v>-1122.4406747451001</v>
      </c>
    </row>
    <row r="7334" spans="34:38">
      <c r="AH7334" t="s">
        <v>2293</v>
      </c>
      <c r="AI7334" t="s">
        <v>67</v>
      </c>
      <c r="AJ7334" t="s">
        <v>2303</v>
      </c>
      <c r="AK7334" s="3" t="s">
        <v>27</v>
      </c>
      <c r="AL7334" s="3">
        <v>0</v>
      </c>
    </row>
    <row r="7335" spans="34:38">
      <c r="AH7335" t="s">
        <v>2293</v>
      </c>
      <c r="AI7335" t="s">
        <v>65</v>
      </c>
      <c r="AJ7335" t="s">
        <v>113</v>
      </c>
      <c r="AK7335" s="3" t="s">
        <v>20</v>
      </c>
      <c r="AL7335" s="3">
        <v>3547.5407057714001</v>
      </c>
    </row>
    <row r="7336" spans="34:38">
      <c r="AH7336" t="s">
        <v>2294</v>
      </c>
      <c r="AI7336" t="s">
        <v>65</v>
      </c>
      <c r="AJ7336" t="s">
        <v>113</v>
      </c>
      <c r="AK7336" s="3" t="s">
        <v>20</v>
      </c>
      <c r="AL7336" s="3">
        <v>3554.4247585269</v>
      </c>
    </row>
    <row r="7337" spans="34:38">
      <c r="AH7337" t="s">
        <v>2294</v>
      </c>
      <c r="AI7337" t="s">
        <v>65</v>
      </c>
      <c r="AJ7337" t="s">
        <v>66</v>
      </c>
      <c r="AK7337" s="3" t="s">
        <v>27</v>
      </c>
      <c r="AL7337" s="3">
        <v>25299.5</v>
      </c>
    </row>
    <row r="7338" spans="34:38">
      <c r="AH7338" t="s">
        <v>2294</v>
      </c>
      <c r="AI7338" t="s">
        <v>65</v>
      </c>
      <c r="AJ7338" t="s">
        <v>72</v>
      </c>
      <c r="AK7338" s="3" t="s">
        <v>27</v>
      </c>
      <c r="AL7338" s="3">
        <v>28237.817149999999</v>
      </c>
    </row>
    <row r="7339" spans="34:38">
      <c r="AH7339" t="s">
        <v>2294</v>
      </c>
      <c r="AI7339" t="s">
        <v>65</v>
      </c>
      <c r="AJ7339" t="s">
        <v>108</v>
      </c>
      <c r="AK7339" s="3" t="s">
        <v>27</v>
      </c>
      <c r="AL7339" s="3">
        <v>2938.3171499999999</v>
      </c>
    </row>
    <row r="7340" spans="34:38">
      <c r="AH7340" t="s">
        <v>2294</v>
      </c>
      <c r="AI7340" t="s">
        <v>67</v>
      </c>
      <c r="AJ7340" t="s">
        <v>66</v>
      </c>
      <c r="AK7340" s="3" t="s">
        <v>27</v>
      </c>
      <c r="AL7340" s="3">
        <v>-10379.5</v>
      </c>
    </row>
    <row r="7341" spans="34:38">
      <c r="AH7341" t="s">
        <v>2294</v>
      </c>
      <c r="AI7341" t="s">
        <v>67</v>
      </c>
      <c r="AJ7341" t="s">
        <v>72</v>
      </c>
      <c r="AK7341" s="3" t="s">
        <v>27</v>
      </c>
      <c r="AL7341" s="3">
        <v>-13543.28133</v>
      </c>
    </row>
    <row r="7342" spans="34:38">
      <c r="AH7342" t="s">
        <v>2294</v>
      </c>
      <c r="AI7342" t="s">
        <v>67</v>
      </c>
      <c r="AJ7342" t="s">
        <v>108</v>
      </c>
      <c r="AK7342" s="3" t="s">
        <v>27</v>
      </c>
      <c r="AL7342" s="3">
        <v>-3163.7813299999998</v>
      </c>
    </row>
    <row r="7343" spans="34:38">
      <c r="AH7343" t="s">
        <v>2294</v>
      </c>
      <c r="AI7343" t="s">
        <v>68</v>
      </c>
      <c r="AJ7343" t="s">
        <v>66</v>
      </c>
      <c r="AK7343" s="3" t="s">
        <v>27</v>
      </c>
      <c r="AL7343" s="3">
        <v>400</v>
      </c>
    </row>
    <row r="7344" spans="34:38">
      <c r="AH7344" t="s">
        <v>2294</v>
      </c>
      <c r="AI7344" t="s">
        <v>68</v>
      </c>
      <c r="AJ7344" t="s">
        <v>72</v>
      </c>
      <c r="AK7344" s="3" t="s">
        <v>27</v>
      </c>
      <c r="AL7344" s="3">
        <v>944.52850000000001</v>
      </c>
    </row>
    <row r="7345" spans="34:38">
      <c r="AH7345" t="s">
        <v>2294</v>
      </c>
      <c r="AI7345" t="s">
        <v>68</v>
      </c>
      <c r="AJ7345" t="s">
        <v>108</v>
      </c>
      <c r="AK7345" s="3" t="s">
        <v>27</v>
      </c>
      <c r="AL7345" s="3">
        <v>544.52850000000001</v>
      </c>
    </row>
    <row r="7346" spans="34:38">
      <c r="AH7346" t="s">
        <v>2294</v>
      </c>
      <c r="AI7346" t="s">
        <v>65</v>
      </c>
      <c r="AJ7346" t="s">
        <v>113</v>
      </c>
      <c r="AK7346" s="3" t="s">
        <v>27</v>
      </c>
      <c r="AL7346" s="3">
        <v>4499.0328599591003</v>
      </c>
    </row>
    <row r="7347" spans="34:38">
      <c r="AH7347" t="s">
        <v>2294</v>
      </c>
      <c r="AI7347" t="s">
        <v>67</v>
      </c>
      <c r="AJ7347" t="s">
        <v>113</v>
      </c>
      <c r="AK7347" s="3" t="s">
        <v>27</v>
      </c>
      <c r="AL7347" s="3">
        <v>-3155.0283300000001</v>
      </c>
    </row>
    <row r="7348" spans="34:38">
      <c r="AH7348" t="s">
        <v>2294</v>
      </c>
      <c r="AI7348" t="s">
        <v>65</v>
      </c>
      <c r="AJ7348" t="s">
        <v>2303</v>
      </c>
      <c r="AK7348" s="3" t="s">
        <v>27</v>
      </c>
      <c r="AL7348" s="3">
        <v>-1101.5695537331001</v>
      </c>
    </row>
    <row r="7349" spans="34:38">
      <c r="AH7349" t="s">
        <v>2294</v>
      </c>
      <c r="AI7349" t="s">
        <v>67</v>
      </c>
      <c r="AJ7349" t="s">
        <v>2303</v>
      </c>
      <c r="AK7349" s="3" t="s">
        <v>27</v>
      </c>
      <c r="AL7349" s="3">
        <v>0</v>
      </c>
    </row>
    <row r="7350" spans="34:38">
      <c r="AH7350" t="s">
        <v>2295</v>
      </c>
      <c r="AI7350" t="s">
        <v>65</v>
      </c>
      <c r="AJ7350" t="s">
        <v>66</v>
      </c>
      <c r="AK7350" s="3" t="s">
        <v>27</v>
      </c>
      <c r="AL7350" s="3">
        <v>25499.5</v>
      </c>
    </row>
    <row r="7351" spans="34:38">
      <c r="AH7351" t="s">
        <v>2295</v>
      </c>
      <c r="AI7351" t="s">
        <v>65</v>
      </c>
      <c r="AJ7351" t="s">
        <v>72</v>
      </c>
      <c r="AK7351" s="3" t="s">
        <v>27</v>
      </c>
      <c r="AL7351" s="3">
        <v>28585.108554999999</v>
      </c>
    </row>
    <row r="7352" spans="34:38">
      <c r="AH7352" t="s">
        <v>2295</v>
      </c>
      <c r="AI7352" t="s">
        <v>65</v>
      </c>
      <c r="AJ7352" t="s">
        <v>108</v>
      </c>
      <c r="AK7352" s="3" t="s">
        <v>27</v>
      </c>
      <c r="AL7352" s="3">
        <v>3085.6085549999998</v>
      </c>
    </row>
    <row r="7353" spans="34:38">
      <c r="AH7353" t="s">
        <v>2295</v>
      </c>
      <c r="AI7353" t="s">
        <v>67</v>
      </c>
      <c r="AJ7353" t="s">
        <v>66</v>
      </c>
      <c r="AK7353" s="3" t="s">
        <v>27</v>
      </c>
      <c r="AL7353" s="3">
        <v>-10429.5</v>
      </c>
    </row>
    <row r="7354" spans="34:38">
      <c r="AH7354" t="s">
        <v>2295</v>
      </c>
      <c r="AI7354" t="s">
        <v>67</v>
      </c>
      <c r="AJ7354" t="s">
        <v>72</v>
      </c>
      <c r="AK7354" s="3" t="s">
        <v>27</v>
      </c>
      <c r="AL7354" s="3">
        <v>-13703.059475</v>
      </c>
    </row>
    <row r="7355" spans="34:38">
      <c r="AH7355" t="s">
        <v>2295</v>
      </c>
      <c r="AI7355" t="s">
        <v>67</v>
      </c>
      <c r="AJ7355" t="s">
        <v>108</v>
      </c>
      <c r="AK7355" s="3" t="s">
        <v>27</v>
      </c>
      <c r="AL7355" s="3">
        <v>-3273.559475</v>
      </c>
    </row>
    <row r="7356" spans="34:38">
      <c r="AH7356" t="s">
        <v>2295</v>
      </c>
      <c r="AI7356" t="s">
        <v>68</v>
      </c>
      <c r="AJ7356" t="s">
        <v>66</v>
      </c>
      <c r="AK7356" s="3" t="s">
        <v>27</v>
      </c>
      <c r="AL7356" s="3">
        <v>700</v>
      </c>
    </row>
    <row r="7357" spans="34:38">
      <c r="AH7357" t="s">
        <v>2295</v>
      </c>
      <c r="AI7357" t="s">
        <v>68</v>
      </c>
      <c r="AJ7357" t="s">
        <v>72</v>
      </c>
      <c r="AK7357" s="3" t="s">
        <v>27</v>
      </c>
      <c r="AL7357" s="3">
        <v>1243.2905000000001</v>
      </c>
    </row>
    <row r="7358" spans="34:38">
      <c r="AH7358" t="s">
        <v>2295</v>
      </c>
      <c r="AI7358" t="s">
        <v>68</v>
      </c>
      <c r="AJ7358" t="s">
        <v>108</v>
      </c>
      <c r="AK7358" s="3" t="s">
        <v>27</v>
      </c>
      <c r="AL7358" s="3">
        <v>543.29049999999995</v>
      </c>
    </row>
    <row r="7359" spans="34:38">
      <c r="AH7359" t="s">
        <v>2295</v>
      </c>
      <c r="AI7359" t="s">
        <v>65</v>
      </c>
      <c r="AJ7359" t="s">
        <v>113</v>
      </c>
      <c r="AK7359" s="3" t="s">
        <v>27</v>
      </c>
      <c r="AL7359" s="3">
        <v>4521.4077043780999</v>
      </c>
    </row>
    <row r="7360" spans="34:38">
      <c r="AH7360" t="s">
        <v>2295</v>
      </c>
      <c r="AI7360" t="s">
        <v>67</v>
      </c>
      <c r="AJ7360" t="s">
        <v>113</v>
      </c>
      <c r="AK7360" s="3" t="s">
        <v>27</v>
      </c>
      <c r="AL7360" s="3">
        <v>-3273.559475</v>
      </c>
    </row>
    <row r="7361" spans="34:38">
      <c r="AH7361" t="s">
        <v>2295</v>
      </c>
      <c r="AI7361" t="s">
        <v>65</v>
      </c>
      <c r="AJ7361" t="s">
        <v>2303</v>
      </c>
      <c r="AK7361" s="3" t="s">
        <v>27</v>
      </c>
      <c r="AL7361" s="3">
        <v>-932.87530871809997</v>
      </c>
    </row>
    <row r="7362" spans="34:38">
      <c r="AH7362" t="s">
        <v>2295</v>
      </c>
      <c r="AI7362" t="s">
        <v>67</v>
      </c>
      <c r="AJ7362" t="s">
        <v>2303</v>
      </c>
      <c r="AK7362" s="3" t="s">
        <v>27</v>
      </c>
      <c r="AL7362" s="3">
        <v>0</v>
      </c>
    </row>
    <row r="7363" spans="34:38">
      <c r="AH7363" t="s">
        <v>2295</v>
      </c>
      <c r="AI7363" t="s">
        <v>65</v>
      </c>
      <c r="AJ7363" t="s">
        <v>113</v>
      </c>
      <c r="AK7363" s="3" t="s">
        <v>20</v>
      </c>
      <c r="AL7363" s="3">
        <v>3575.4918908405998</v>
      </c>
    </row>
    <row r="7364" spans="34:38">
      <c r="AH7364" t="s">
        <v>2296</v>
      </c>
      <c r="AI7364" t="s">
        <v>65</v>
      </c>
      <c r="AJ7364" t="s">
        <v>113</v>
      </c>
      <c r="AK7364" s="3" t="s">
        <v>20</v>
      </c>
      <c r="AL7364" s="3">
        <v>3578.1368590164998</v>
      </c>
    </row>
    <row r="7365" spans="34:38">
      <c r="AH7365" t="s">
        <v>2296</v>
      </c>
      <c r="AI7365" t="s">
        <v>65</v>
      </c>
      <c r="AJ7365" t="s">
        <v>66</v>
      </c>
      <c r="AK7365" s="3" t="s">
        <v>27</v>
      </c>
      <c r="AL7365" s="3">
        <v>24999.5</v>
      </c>
    </row>
    <row r="7366" spans="34:38">
      <c r="AH7366" t="s">
        <v>2296</v>
      </c>
      <c r="AI7366" t="s">
        <v>65</v>
      </c>
      <c r="AJ7366" t="s">
        <v>72</v>
      </c>
      <c r="AK7366" s="3" t="s">
        <v>27</v>
      </c>
      <c r="AL7366" s="3">
        <v>28170.172514999998</v>
      </c>
    </row>
    <row r="7367" spans="34:38">
      <c r="AH7367" t="s">
        <v>2296</v>
      </c>
      <c r="AI7367" t="s">
        <v>65</v>
      </c>
      <c r="AJ7367" t="s">
        <v>108</v>
      </c>
      <c r="AK7367" s="3" t="s">
        <v>27</v>
      </c>
      <c r="AL7367" s="3">
        <v>3170.6725150000002</v>
      </c>
    </row>
    <row r="7368" spans="34:38">
      <c r="AH7368" t="s">
        <v>2296</v>
      </c>
      <c r="AI7368" t="s">
        <v>67</v>
      </c>
      <c r="AJ7368" t="s">
        <v>66</v>
      </c>
      <c r="AK7368" s="3" t="s">
        <v>27</v>
      </c>
      <c r="AL7368" s="3">
        <v>-9729.5</v>
      </c>
    </row>
    <row r="7369" spans="34:38">
      <c r="AH7369" t="s">
        <v>2296</v>
      </c>
      <c r="AI7369" t="s">
        <v>67</v>
      </c>
      <c r="AJ7369" t="s">
        <v>72</v>
      </c>
      <c r="AK7369" s="3" t="s">
        <v>27</v>
      </c>
      <c r="AL7369" s="3">
        <v>-13032.383415</v>
      </c>
    </row>
    <row r="7370" spans="34:38">
      <c r="AH7370" t="s">
        <v>2296</v>
      </c>
      <c r="AI7370" t="s">
        <v>67</v>
      </c>
      <c r="AJ7370" t="s">
        <v>108</v>
      </c>
      <c r="AK7370" s="3" t="s">
        <v>27</v>
      </c>
      <c r="AL7370" s="3">
        <v>-3302.8834149999998</v>
      </c>
    </row>
    <row r="7371" spans="34:38">
      <c r="AH7371" t="s">
        <v>2296</v>
      </c>
      <c r="AI7371" t="s">
        <v>68</v>
      </c>
      <c r="AJ7371" t="s">
        <v>66</v>
      </c>
      <c r="AK7371" s="3" t="s">
        <v>27</v>
      </c>
      <c r="AL7371" s="3">
        <v>950</v>
      </c>
    </row>
    <row r="7372" spans="34:38">
      <c r="AH7372" t="s">
        <v>2296</v>
      </c>
      <c r="AI7372" t="s">
        <v>68</v>
      </c>
      <c r="AJ7372" t="s">
        <v>72</v>
      </c>
      <c r="AK7372" s="3" t="s">
        <v>27</v>
      </c>
      <c r="AL7372" s="3">
        <v>1504.1175000000001</v>
      </c>
    </row>
    <row r="7373" spans="34:38">
      <c r="AH7373" t="s">
        <v>2296</v>
      </c>
      <c r="AI7373" t="s">
        <v>68</v>
      </c>
      <c r="AJ7373" t="s">
        <v>108</v>
      </c>
      <c r="AK7373" s="3" t="s">
        <v>27</v>
      </c>
      <c r="AL7373" s="3">
        <v>554.11749999999995</v>
      </c>
    </row>
    <row r="7374" spans="34:38">
      <c r="AH7374" t="s">
        <v>2296</v>
      </c>
      <c r="AI7374" t="s">
        <v>65</v>
      </c>
      <c r="AJ7374" t="s">
        <v>113</v>
      </c>
      <c r="AK7374" s="3" t="s">
        <v>27</v>
      </c>
      <c r="AL7374" s="3">
        <v>4488.0883450841002</v>
      </c>
    </row>
    <row r="7375" spans="34:38">
      <c r="AH7375" t="s">
        <v>2296</v>
      </c>
      <c r="AI7375" t="s">
        <v>67</v>
      </c>
      <c r="AJ7375" t="s">
        <v>113</v>
      </c>
      <c r="AK7375" s="3" t="s">
        <v>27</v>
      </c>
      <c r="AL7375" s="3">
        <v>-3277.4029150000001</v>
      </c>
    </row>
    <row r="7376" spans="34:38">
      <c r="AH7376" t="s">
        <v>2296</v>
      </c>
      <c r="AI7376" t="s">
        <v>65</v>
      </c>
      <c r="AJ7376" t="s">
        <v>2303</v>
      </c>
      <c r="AK7376" s="3" t="s">
        <v>27</v>
      </c>
      <c r="AL7376" s="3">
        <v>-812.28393656610001</v>
      </c>
    </row>
    <row r="7377" spans="34:38">
      <c r="AH7377" t="s">
        <v>2296</v>
      </c>
      <c r="AI7377" t="s">
        <v>67</v>
      </c>
      <c r="AJ7377" t="s">
        <v>2303</v>
      </c>
      <c r="AK7377" s="3" t="s">
        <v>27</v>
      </c>
      <c r="AL7377" s="3">
        <v>0</v>
      </c>
    </row>
    <row r="7378" spans="34:38">
      <c r="AH7378" t="s">
        <v>2297</v>
      </c>
      <c r="AI7378" t="s">
        <v>65</v>
      </c>
      <c r="AJ7378" t="s">
        <v>66</v>
      </c>
      <c r="AK7378" s="3" t="s">
        <v>27</v>
      </c>
      <c r="AL7378" s="3">
        <v>25399.5</v>
      </c>
    </row>
    <row r="7379" spans="34:38">
      <c r="AH7379" t="s">
        <v>2297</v>
      </c>
      <c r="AI7379" t="s">
        <v>65</v>
      </c>
      <c r="AJ7379" t="s">
        <v>72</v>
      </c>
      <c r="AK7379" s="3" t="s">
        <v>27</v>
      </c>
      <c r="AL7379" s="3">
        <v>28580.300745</v>
      </c>
    </row>
    <row r="7380" spans="34:38">
      <c r="AH7380" t="s">
        <v>2297</v>
      </c>
      <c r="AI7380" t="s">
        <v>65</v>
      </c>
      <c r="AJ7380" t="s">
        <v>108</v>
      </c>
      <c r="AK7380" s="3" t="s">
        <v>27</v>
      </c>
      <c r="AL7380" s="3">
        <v>3180.800745</v>
      </c>
    </row>
    <row r="7381" spans="34:38">
      <c r="AH7381" t="s">
        <v>2297</v>
      </c>
      <c r="AI7381" t="s">
        <v>67</v>
      </c>
      <c r="AJ7381" t="s">
        <v>66</v>
      </c>
      <c r="AK7381" s="3" t="s">
        <v>27</v>
      </c>
      <c r="AL7381" s="3">
        <v>-10629.5</v>
      </c>
    </row>
    <row r="7382" spans="34:38">
      <c r="AH7382" t="s">
        <v>2297</v>
      </c>
      <c r="AI7382" t="s">
        <v>67</v>
      </c>
      <c r="AJ7382" t="s">
        <v>72</v>
      </c>
      <c r="AK7382" s="3" t="s">
        <v>27</v>
      </c>
      <c r="AL7382" s="3">
        <v>-13914.158925</v>
      </c>
    </row>
    <row r="7383" spans="34:38">
      <c r="AH7383" t="s">
        <v>2297</v>
      </c>
      <c r="AI7383" t="s">
        <v>67</v>
      </c>
      <c r="AJ7383" t="s">
        <v>108</v>
      </c>
      <c r="AK7383" s="3" t="s">
        <v>27</v>
      </c>
      <c r="AL7383" s="3">
        <v>-3284.6589250000002</v>
      </c>
    </row>
    <row r="7384" spans="34:38">
      <c r="AH7384" t="s">
        <v>2297</v>
      </c>
      <c r="AI7384" t="s">
        <v>68</v>
      </c>
      <c r="AJ7384" t="s">
        <v>66</v>
      </c>
      <c r="AK7384" s="3" t="s">
        <v>27</v>
      </c>
      <c r="AL7384" s="3">
        <v>1550</v>
      </c>
    </row>
    <row r="7385" spans="34:38">
      <c r="AH7385" t="s">
        <v>2297</v>
      </c>
      <c r="AI7385" t="s">
        <v>68</v>
      </c>
      <c r="AJ7385" t="s">
        <v>72</v>
      </c>
      <c r="AK7385" s="3" t="s">
        <v>27</v>
      </c>
      <c r="AL7385" s="3">
        <v>2089.9290000000001</v>
      </c>
    </row>
    <row r="7386" spans="34:38">
      <c r="AH7386" t="s">
        <v>2297</v>
      </c>
      <c r="AI7386" t="s">
        <v>68</v>
      </c>
      <c r="AJ7386" t="s">
        <v>108</v>
      </c>
      <c r="AK7386" s="3" t="s">
        <v>27</v>
      </c>
      <c r="AL7386" s="3">
        <v>539.92899999999997</v>
      </c>
    </row>
    <row r="7387" spans="34:38">
      <c r="AH7387" t="s">
        <v>2297</v>
      </c>
      <c r="AI7387" t="s">
        <v>65</v>
      </c>
      <c r="AJ7387" t="s">
        <v>113</v>
      </c>
      <c r="AK7387" s="3" t="s">
        <v>27</v>
      </c>
      <c r="AL7387" s="3">
        <v>4488.4695556031002</v>
      </c>
    </row>
    <row r="7388" spans="34:38">
      <c r="AH7388" t="s">
        <v>2297</v>
      </c>
      <c r="AI7388" t="s">
        <v>67</v>
      </c>
      <c r="AJ7388" t="s">
        <v>113</v>
      </c>
      <c r="AK7388" s="3" t="s">
        <v>27</v>
      </c>
      <c r="AL7388" s="3">
        <v>-3284.6589250000002</v>
      </c>
    </row>
    <row r="7389" spans="34:38">
      <c r="AH7389" t="s">
        <v>2297</v>
      </c>
      <c r="AI7389" t="s">
        <v>65</v>
      </c>
      <c r="AJ7389" t="s">
        <v>2303</v>
      </c>
      <c r="AK7389" s="3" t="s">
        <v>27</v>
      </c>
      <c r="AL7389" s="3">
        <v>-795.1437644161</v>
      </c>
    </row>
    <row r="7390" spans="34:38">
      <c r="AH7390" t="s">
        <v>2297</v>
      </c>
      <c r="AI7390" t="s">
        <v>67</v>
      </c>
      <c r="AJ7390" t="s">
        <v>2303</v>
      </c>
      <c r="AK7390" s="3" t="s">
        <v>27</v>
      </c>
      <c r="AL7390" s="3">
        <v>0</v>
      </c>
    </row>
    <row r="7391" spans="34:38">
      <c r="AH7391" t="s">
        <v>2297</v>
      </c>
      <c r="AI7391" t="s">
        <v>65</v>
      </c>
      <c r="AJ7391" t="s">
        <v>113</v>
      </c>
      <c r="AK7391" s="3" t="s">
        <v>20</v>
      </c>
      <c r="AL7391" s="3">
        <v>3578.0882696444</v>
      </c>
    </row>
    <row r="7392" spans="34:38">
      <c r="AH7392" t="s">
        <v>2298</v>
      </c>
      <c r="AI7392" t="s">
        <v>65</v>
      </c>
      <c r="AJ7392" t="s">
        <v>113</v>
      </c>
      <c r="AK7392" s="3" t="s">
        <v>20</v>
      </c>
      <c r="AL7392" s="3">
        <v>3613.13948579</v>
      </c>
    </row>
    <row r="7393" spans="34:38">
      <c r="AH7393" t="s">
        <v>2298</v>
      </c>
      <c r="AI7393" t="s">
        <v>65</v>
      </c>
      <c r="AJ7393" t="s">
        <v>66</v>
      </c>
      <c r="AK7393" s="3" t="s">
        <v>27</v>
      </c>
      <c r="AL7393" s="3">
        <v>25649.5</v>
      </c>
    </row>
    <row r="7394" spans="34:38">
      <c r="AH7394" t="s">
        <v>2298</v>
      </c>
      <c r="AI7394" t="s">
        <v>65</v>
      </c>
      <c r="AJ7394" t="s">
        <v>72</v>
      </c>
      <c r="AK7394" s="3" t="s">
        <v>27</v>
      </c>
      <c r="AL7394" s="3">
        <v>28851.350825000001</v>
      </c>
    </row>
    <row r="7395" spans="34:38">
      <c r="AH7395" t="s">
        <v>2298</v>
      </c>
      <c r="AI7395" t="s">
        <v>65</v>
      </c>
      <c r="AJ7395" t="s">
        <v>108</v>
      </c>
      <c r="AK7395" s="3" t="s">
        <v>27</v>
      </c>
      <c r="AL7395" s="3">
        <v>3201.850825</v>
      </c>
    </row>
    <row r="7396" spans="34:38">
      <c r="AH7396" t="s">
        <v>2298</v>
      </c>
      <c r="AI7396" t="s">
        <v>67</v>
      </c>
      <c r="AJ7396" t="s">
        <v>66</v>
      </c>
      <c r="AK7396" s="3" t="s">
        <v>27</v>
      </c>
      <c r="AL7396" s="3">
        <v>-10479.5</v>
      </c>
    </row>
    <row r="7397" spans="34:38">
      <c r="AH7397" t="s">
        <v>2298</v>
      </c>
      <c r="AI7397" t="s">
        <v>67</v>
      </c>
      <c r="AJ7397" t="s">
        <v>72</v>
      </c>
      <c r="AK7397" s="3" t="s">
        <v>27</v>
      </c>
      <c r="AL7397" s="3">
        <v>-13800.266364999999</v>
      </c>
    </row>
    <row r="7398" spans="34:38">
      <c r="AH7398" t="s">
        <v>2298</v>
      </c>
      <c r="AI7398" t="s">
        <v>67</v>
      </c>
      <c r="AJ7398" t="s">
        <v>108</v>
      </c>
      <c r="AK7398" s="3" t="s">
        <v>27</v>
      </c>
      <c r="AL7398" s="3">
        <v>-3320.766365</v>
      </c>
    </row>
    <row r="7399" spans="34:38">
      <c r="AH7399" t="s">
        <v>2298</v>
      </c>
      <c r="AI7399" t="s">
        <v>68</v>
      </c>
      <c r="AJ7399" t="s">
        <v>66</v>
      </c>
      <c r="AK7399" s="3" t="s">
        <v>27</v>
      </c>
      <c r="AL7399" s="3">
        <v>1300</v>
      </c>
    </row>
    <row r="7400" spans="34:38">
      <c r="AH7400" t="s">
        <v>2298</v>
      </c>
      <c r="AI7400" t="s">
        <v>68</v>
      </c>
      <c r="AJ7400" t="s">
        <v>72</v>
      </c>
      <c r="AK7400" s="3" t="s">
        <v>27</v>
      </c>
      <c r="AL7400" s="3">
        <v>1863.1475</v>
      </c>
    </row>
    <row r="7401" spans="34:38">
      <c r="AH7401" t="s">
        <v>2298</v>
      </c>
      <c r="AI7401" t="s">
        <v>68</v>
      </c>
      <c r="AJ7401" t="s">
        <v>108</v>
      </c>
      <c r="AK7401" s="3" t="s">
        <v>27</v>
      </c>
      <c r="AL7401" s="3">
        <v>563.14750000000004</v>
      </c>
    </row>
    <row r="7402" spans="34:38">
      <c r="AH7402" t="s">
        <v>2298</v>
      </c>
      <c r="AI7402" t="s">
        <v>65</v>
      </c>
      <c r="AJ7402" t="s">
        <v>113</v>
      </c>
      <c r="AK7402" s="3" t="s">
        <v>27</v>
      </c>
      <c r="AL7402" s="3">
        <v>4438.5477070461002</v>
      </c>
    </row>
    <row r="7403" spans="34:38">
      <c r="AH7403" t="s">
        <v>2298</v>
      </c>
      <c r="AI7403" t="s">
        <v>67</v>
      </c>
      <c r="AJ7403" t="s">
        <v>113</v>
      </c>
      <c r="AK7403" s="3" t="s">
        <v>27</v>
      </c>
      <c r="AL7403" s="3">
        <v>-3261.0213650000001</v>
      </c>
    </row>
    <row r="7404" spans="34:38">
      <c r="AH7404" t="s">
        <v>2298</v>
      </c>
      <c r="AI7404" t="s">
        <v>65</v>
      </c>
      <c r="AJ7404" t="s">
        <v>2303</v>
      </c>
      <c r="AK7404" s="3" t="s">
        <v>27</v>
      </c>
      <c r="AL7404" s="3">
        <v>-784.45470080710004</v>
      </c>
    </row>
    <row r="7405" spans="34:38">
      <c r="AH7405" t="s">
        <v>2298</v>
      </c>
      <c r="AI7405" t="s">
        <v>67</v>
      </c>
      <c r="AJ7405" t="s">
        <v>2303</v>
      </c>
      <c r="AK7405" s="3" t="s">
        <v>27</v>
      </c>
      <c r="AL7405" s="3">
        <v>0</v>
      </c>
    </row>
    <row r="7406" spans="34:38">
      <c r="AH7406" t="s">
        <v>2299</v>
      </c>
      <c r="AI7406" t="s">
        <v>65</v>
      </c>
      <c r="AJ7406" t="s">
        <v>66</v>
      </c>
      <c r="AK7406" s="3" t="s">
        <v>27</v>
      </c>
      <c r="AL7406" s="3">
        <v>25949.5</v>
      </c>
    </row>
    <row r="7407" spans="34:38">
      <c r="AH7407" t="s">
        <v>2299</v>
      </c>
      <c r="AI7407" t="s">
        <v>65</v>
      </c>
      <c r="AJ7407" t="s">
        <v>72</v>
      </c>
      <c r="AK7407" s="3" t="s">
        <v>27</v>
      </c>
      <c r="AL7407" s="3">
        <v>29221.09894</v>
      </c>
    </row>
    <row r="7408" spans="34:38">
      <c r="AH7408" t="s">
        <v>2299</v>
      </c>
      <c r="AI7408" t="s">
        <v>65</v>
      </c>
      <c r="AJ7408" t="s">
        <v>108</v>
      </c>
      <c r="AK7408" s="3" t="s">
        <v>27</v>
      </c>
      <c r="AL7408" s="3">
        <v>3271.5989399999999</v>
      </c>
    </row>
    <row r="7409" spans="34:38">
      <c r="AH7409" t="s">
        <v>2299</v>
      </c>
      <c r="AI7409" t="s">
        <v>67</v>
      </c>
      <c r="AJ7409" t="s">
        <v>66</v>
      </c>
      <c r="AK7409" s="3" t="s">
        <v>27</v>
      </c>
      <c r="AL7409" s="3">
        <v>-10529.5</v>
      </c>
    </row>
    <row r="7410" spans="34:38">
      <c r="AH7410" t="s">
        <v>2299</v>
      </c>
      <c r="AI7410" t="s">
        <v>67</v>
      </c>
      <c r="AJ7410" t="s">
        <v>72</v>
      </c>
      <c r="AK7410" s="3" t="s">
        <v>27</v>
      </c>
      <c r="AL7410" s="3">
        <v>-13889.59778</v>
      </c>
    </row>
    <row r="7411" spans="34:38">
      <c r="AH7411" t="s">
        <v>2299</v>
      </c>
      <c r="AI7411" t="s">
        <v>67</v>
      </c>
      <c r="AJ7411" t="s">
        <v>108</v>
      </c>
      <c r="AK7411" s="3" t="s">
        <v>27</v>
      </c>
      <c r="AL7411" s="3">
        <v>-3360.0977800000001</v>
      </c>
    </row>
    <row r="7412" spans="34:38">
      <c r="AH7412" t="s">
        <v>2299</v>
      </c>
      <c r="AI7412" t="s">
        <v>68</v>
      </c>
      <c r="AJ7412" t="s">
        <v>66</v>
      </c>
      <c r="AK7412" s="3" t="s">
        <v>27</v>
      </c>
      <c r="AL7412" s="3">
        <v>1050</v>
      </c>
    </row>
    <row r="7413" spans="34:38">
      <c r="AH7413" t="s">
        <v>2299</v>
      </c>
      <c r="AI7413" t="s">
        <v>68</v>
      </c>
      <c r="AJ7413" t="s">
        <v>72</v>
      </c>
      <c r="AK7413" s="3" t="s">
        <v>27</v>
      </c>
      <c r="AL7413" s="3">
        <v>1591.8905</v>
      </c>
    </row>
    <row r="7414" spans="34:38">
      <c r="AH7414" t="s">
        <v>2299</v>
      </c>
      <c r="AI7414" t="s">
        <v>68</v>
      </c>
      <c r="AJ7414" t="s">
        <v>108</v>
      </c>
      <c r="AK7414" s="3" t="s">
        <v>27</v>
      </c>
      <c r="AL7414" s="3">
        <v>541.89049999999997</v>
      </c>
    </row>
    <row r="7415" spans="34:38">
      <c r="AH7415" t="s">
        <v>2299</v>
      </c>
      <c r="AI7415" t="s">
        <v>65</v>
      </c>
      <c r="AJ7415" t="s">
        <v>113</v>
      </c>
      <c r="AK7415" s="3" t="s">
        <v>27</v>
      </c>
      <c r="AL7415" s="3">
        <v>4504.7523867400996</v>
      </c>
    </row>
    <row r="7416" spans="34:38">
      <c r="AH7416" t="s">
        <v>2299</v>
      </c>
      <c r="AI7416" t="s">
        <v>67</v>
      </c>
      <c r="AJ7416" t="s">
        <v>113</v>
      </c>
      <c r="AK7416" s="3" t="s">
        <v>27</v>
      </c>
      <c r="AL7416" s="3">
        <v>-3352.37628</v>
      </c>
    </row>
    <row r="7417" spans="34:38">
      <c r="AH7417" t="s">
        <v>2299</v>
      </c>
      <c r="AI7417" t="s">
        <v>65</v>
      </c>
      <c r="AJ7417" t="s">
        <v>2303</v>
      </c>
      <c r="AK7417" s="3" t="s">
        <v>27</v>
      </c>
      <c r="AL7417" s="3">
        <v>-783.47443324109997</v>
      </c>
    </row>
    <row r="7418" spans="34:38">
      <c r="AH7418" t="s">
        <v>2299</v>
      </c>
      <c r="AI7418" t="s">
        <v>67</v>
      </c>
      <c r="AJ7418" t="s">
        <v>2303</v>
      </c>
      <c r="AK7418" s="3" t="s">
        <v>27</v>
      </c>
      <c r="AL7418" s="3">
        <v>0</v>
      </c>
    </row>
    <row r="7419" spans="34:38">
      <c r="AH7419" t="s">
        <v>2299</v>
      </c>
      <c r="AI7419" t="s">
        <v>65</v>
      </c>
      <c r="AJ7419" t="s">
        <v>113</v>
      </c>
      <c r="AK7419" s="3" t="s">
        <v>20</v>
      </c>
      <c r="AL7419" s="3">
        <v>3698.9228036776999</v>
      </c>
    </row>
    <row r="7420" spans="34:38">
      <c r="AH7420" t="s">
        <v>2300</v>
      </c>
      <c r="AI7420" t="s">
        <v>65</v>
      </c>
      <c r="AJ7420" t="s">
        <v>113</v>
      </c>
      <c r="AK7420" s="3" t="s">
        <v>20</v>
      </c>
      <c r="AL7420" s="3">
        <v>3721.4527234334</v>
      </c>
    </row>
    <row r="7421" spans="34:38">
      <c r="AH7421" t="s">
        <v>2300</v>
      </c>
      <c r="AI7421" t="s">
        <v>65</v>
      </c>
      <c r="AJ7421" t="s">
        <v>66</v>
      </c>
      <c r="AK7421" s="3" t="s">
        <v>27</v>
      </c>
      <c r="AL7421" s="3">
        <v>26249.5</v>
      </c>
    </row>
    <row r="7422" spans="34:38">
      <c r="AH7422" t="s">
        <v>2300</v>
      </c>
      <c r="AI7422" t="s">
        <v>65</v>
      </c>
      <c r="AJ7422" t="s">
        <v>72</v>
      </c>
      <c r="AK7422" s="3" t="s">
        <v>27</v>
      </c>
      <c r="AL7422" s="3">
        <v>29541.403269999999</v>
      </c>
    </row>
    <row r="7423" spans="34:38">
      <c r="AH7423" t="s">
        <v>2300</v>
      </c>
      <c r="AI7423" t="s">
        <v>65</v>
      </c>
      <c r="AJ7423" t="s">
        <v>108</v>
      </c>
      <c r="AK7423" s="3" t="s">
        <v>27</v>
      </c>
      <c r="AL7423" s="3">
        <v>3291.9032699999998</v>
      </c>
    </row>
    <row r="7424" spans="34:38">
      <c r="AH7424" t="s">
        <v>2300</v>
      </c>
      <c r="AI7424" t="s">
        <v>67</v>
      </c>
      <c r="AJ7424" t="s">
        <v>66</v>
      </c>
      <c r="AK7424" s="3" t="s">
        <v>27</v>
      </c>
      <c r="AL7424" s="3">
        <v>-10529.5</v>
      </c>
    </row>
    <row r="7425" spans="34:38">
      <c r="AH7425" t="s">
        <v>2300</v>
      </c>
      <c r="AI7425" t="s">
        <v>67</v>
      </c>
      <c r="AJ7425" t="s">
        <v>72</v>
      </c>
      <c r="AK7425" s="3" t="s">
        <v>27</v>
      </c>
      <c r="AL7425" s="3">
        <v>-13843.80827</v>
      </c>
    </row>
    <row r="7426" spans="34:38">
      <c r="AH7426" t="s">
        <v>2300</v>
      </c>
      <c r="AI7426" t="s">
        <v>67</v>
      </c>
      <c r="AJ7426" t="s">
        <v>108</v>
      </c>
      <c r="AK7426" s="3" t="s">
        <v>27</v>
      </c>
      <c r="AL7426" s="3">
        <v>-3314.30827</v>
      </c>
    </row>
    <row r="7427" spans="34:38">
      <c r="AH7427" t="s">
        <v>2300</v>
      </c>
      <c r="AI7427" t="s">
        <v>68</v>
      </c>
      <c r="AJ7427" t="s">
        <v>66</v>
      </c>
      <c r="AK7427" s="3" t="s">
        <v>27</v>
      </c>
      <c r="AL7427" s="3">
        <v>1000</v>
      </c>
    </row>
    <row r="7428" spans="34:38">
      <c r="AH7428" t="s">
        <v>2300</v>
      </c>
      <c r="AI7428" t="s">
        <v>68</v>
      </c>
      <c r="AJ7428" t="s">
        <v>72</v>
      </c>
      <c r="AK7428" s="3" t="s">
        <v>27</v>
      </c>
      <c r="AL7428" s="3">
        <v>1525.0709999999999</v>
      </c>
    </row>
    <row r="7429" spans="34:38">
      <c r="AH7429" t="s">
        <v>2300</v>
      </c>
      <c r="AI7429" t="s">
        <v>68</v>
      </c>
      <c r="AJ7429" t="s">
        <v>108</v>
      </c>
      <c r="AK7429" s="3" t="s">
        <v>27</v>
      </c>
      <c r="AL7429" s="3">
        <v>525.07100000000003</v>
      </c>
    </row>
    <row r="7430" spans="34:38">
      <c r="AH7430" t="s">
        <v>2300</v>
      </c>
      <c r="AI7430" t="s">
        <v>65</v>
      </c>
      <c r="AJ7430" t="s">
        <v>113</v>
      </c>
      <c r="AK7430" s="3" t="s">
        <v>27</v>
      </c>
      <c r="AL7430" s="3">
        <v>4528.4973648551004</v>
      </c>
    </row>
    <row r="7431" spans="34:38">
      <c r="AH7431" t="s">
        <v>2300</v>
      </c>
      <c r="AI7431" t="s">
        <v>67</v>
      </c>
      <c r="AJ7431" t="s">
        <v>113</v>
      </c>
      <c r="AK7431" s="3" t="s">
        <v>27</v>
      </c>
      <c r="AL7431" s="3">
        <v>-3314.30827</v>
      </c>
    </row>
    <row r="7432" spans="34:38">
      <c r="AH7432" t="s">
        <v>2300</v>
      </c>
      <c r="AI7432" t="s">
        <v>65</v>
      </c>
      <c r="AJ7432" t="s">
        <v>2303</v>
      </c>
      <c r="AK7432" s="3" t="s">
        <v>27</v>
      </c>
      <c r="AL7432" s="3">
        <v>-783.08478779309996</v>
      </c>
    </row>
    <row r="7433" spans="34:38">
      <c r="AH7433" t="s">
        <v>2300</v>
      </c>
      <c r="AI7433" t="s">
        <v>67</v>
      </c>
      <c r="AJ7433" t="s">
        <v>2303</v>
      </c>
      <c r="AK7433" s="3" t="s">
        <v>27</v>
      </c>
      <c r="AL7433" s="3">
        <v>0</v>
      </c>
    </row>
    <row r="7434" spans="34:38">
      <c r="AH7434" t="s">
        <v>2301</v>
      </c>
      <c r="AI7434" t="s">
        <v>65</v>
      </c>
      <c r="AJ7434" t="s">
        <v>66</v>
      </c>
      <c r="AK7434" s="3" t="s">
        <v>27</v>
      </c>
      <c r="AL7434" s="3">
        <v>25399.5</v>
      </c>
    </row>
    <row r="7435" spans="34:38">
      <c r="AH7435" t="s">
        <v>2301</v>
      </c>
      <c r="AI7435" t="s">
        <v>65</v>
      </c>
      <c r="AJ7435" t="s">
        <v>72</v>
      </c>
      <c r="AK7435" s="3" t="s">
        <v>27</v>
      </c>
      <c r="AL7435" s="3">
        <v>28734.077174999999</v>
      </c>
    </row>
    <row r="7436" spans="34:38">
      <c r="AH7436" t="s">
        <v>2301</v>
      </c>
      <c r="AI7436" t="s">
        <v>65</v>
      </c>
      <c r="AJ7436" t="s">
        <v>108</v>
      </c>
      <c r="AK7436" s="3" t="s">
        <v>27</v>
      </c>
      <c r="AL7436" s="3">
        <v>3334.5771749999999</v>
      </c>
    </row>
    <row r="7437" spans="34:38">
      <c r="AH7437" t="s">
        <v>2301</v>
      </c>
      <c r="AI7437" t="s">
        <v>67</v>
      </c>
      <c r="AJ7437" t="s">
        <v>66</v>
      </c>
      <c r="AK7437" s="3" t="s">
        <v>27</v>
      </c>
      <c r="AL7437" s="3">
        <v>-9379.5</v>
      </c>
    </row>
    <row r="7438" spans="34:38">
      <c r="AH7438" t="s">
        <v>2301</v>
      </c>
      <c r="AI7438" t="s">
        <v>67</v>
      </c>
      <c r="AJ7438" t="s">
        <v>72</v>
      </c>
      <c r="AK7438" s="3" t="s">
        <v>27</v>
      </c>
      <c r="AL7438" s="3">
        <v>-12726.660655</v>
      </c>
    </row>
    <row r="7439" spans="34:38">
      <c r="AH7439" t="s">
        <v>2301</v>
      </c>
      <c r="AI7439" t="s">
        <v>67</v>
      </c>
      <c r="AJ7439" t="s">
        <v>108</v>
      </c>
      <c r="AK7439" s="3" t="s">
        <v>27</v>
      </c>
      <c r="AL7439" s="3">
        <v>-3347.1606550000001</v>
      </c>
    </row>
    <row r="7440" spans="34:38">
      <c r="AH7440" t="s">
        <v>2301</v>
      </c>
      <c r="AI7440" t="s">
        <v>68</v>
      </c>
      <c r="AJ7440" t="s">
        <v>66</v>
      </c>
      <c r="AK7440" s="3" t="s">
        <v>27</v>
      </c>
      <c r="AL7440" s="3">
        <v>700</v>
      </c>
    </row>
    <row r="7441" spans="34:38">
      <c r="AH7441" t="s">
        <v>2301</v>
      </c>
      <c r="AI7441" t="s">
        <v>68</v>
      </c>
      <c r="AJ7441" t="s">
        <v>72</v>
      </c>
      <c r="AK7441" s="3" t="s">
        <v>27</v>
      </c>
      <c r="AL7441" s="3">
        <v>1218.9395</v>
      </c>
    </row>
    <row r="7442" spans="34:38">
      <c r="AH7442" t="s">
        <v>2301</v>
      </c>
      <c r="AI7442" t="s">
        <v>68</v>
      </c>
      <c r="AJ7442" t="s">
        <v>108</v>
      </c>
      <c r="AK7442" s="3" t="s">
        <v>27</v>
      </c>
      <c r="AL7442" s="3">
        <v>518.93949999999995</v>
      </c>
    </row>
    <row r="7443" spans="34:38">
      <c r="AH7443" t="s">
        <v>2301</v>
      </c>
      <c r="AI7443" t="s">
        <v>65</v>
      </c>
      <c r="AJ7443" t="s">
        <v>113</v>
      </c>
      <c r="AK7443" s="3" t="s">
        <v>27</v>
      </c>
      <c r="AL7443" s="3">
        <v>4507.2713786901004</v>
      </c>
    </row>
    <row r="7444" spans="34:38">
      <c r="AH7444" t="s">
        <v>2301</v>
      </c>
      <c r="AI7444" t="s">
        <v>67</v>
      </c>
      <c r="AJ7444" t="s">
        <v>113</v>
      </c>
      <c r="AK7444" s="3" t="s">
        <v>27</v>
      </c>
      <c r="AL7444" s="3">
        <v>-3327.840655</v>
      </c>
    </row>
    <row r="7445" spans="34:38">
      <c r="AH7445" t="s">
        <v>2301</v>
      </c>
      <c r="AI7445" t="s">
        <v>65</v>
      </c>
      <c r="AJ7445" t="s">
        <v>2303</v>
      </c>
      <c r="AK7445" s="3" t="s">
        <v>27</v>
      </c>
      <c r="AL7445" s="3">
        <v>-734.62828069509999</v>
      </c>
    </row>
    <row r="7446" spans="34:38">
      <c r="AH7446" t="s">
        <v>2301</v>
      </c>
      <c r="AI7446" t="s">
        <v>67</v>
      </c>
      <c r="AJ7446" t="s">
        <v>2303</v>
      </c>
      <c r="AK7446" s="3" t="s">
        <v>27</v>
      </c>
      <c r="AL7446" s="3">
        <v>0</v>
      </c>
    </row>
    <row r="7447" spans="34:38">
      <c r="AH7447" t="s">
        <v>2301</v>
      </c>
      <c r="AI7447" t="s">
        <v>65</v>
      </c>
      <c r="AJ7447" t="s">
        <v>113</v>
      </c>
      <c r="AK7447" s="3" t="s">
        <v>20</v>
      </c>
      <c r="AL7447" s="3">
        <v>3731.8053821858002</v>
      </c>
    </row>
    <row r="7448" spans="34:38">
      <c r="AH7448" t="s">
        <v>2302</v>
      </c>
      <c r="AI7448" t="s">
        <v>65</v>
      </c>
      <c r="AJ7448" t="s">
        <v>113</v>
      </c>
      <c r="AK7448" s="3" t="s">
        <v>20</v>
      </c>
      <c r="AL7448" s="3">
        <v>3766.3101419329</v>
      </c>
    </row>
    <row r="7449" spans="34:38">
      <c r="AH7449" t="s">
        <v>2302</v>
      </c>
      <c r="AI7449" t="s">
        <v>65</v>
      </c>
      <c r="AJ7449" t="s">
        <v>66</v>
      </c>
      <c r="AK7449" s="3" t="s">
        <v>27</v>
      </c>
      <c r="AL7449" s="3">
        <v>27149.5</v>
      </c>
    </row>
    <row r="7450" spans="34:38">
      <c r="AH7450" t="s">
        <v>2302</v>
      </c>
      <c r="AI7450" t="s">
        <v>65</v>
      </c>
      <c r="AJ7450" t="s">
        <v>72</v>
      </c>
      <c r="AK7450" s="3" t="s">
        <v>27</v>
      </c>
      <c r="AL7450" s="3">
        <v>30510.452584999999</v>
      </c>
    </row>
    <row r="7451" spans="34:38">
      <c r="AH7451" t="s">
        <v>2302</v>
      </c>
      <c r="AI7451" t="s">
        <v>65</v>
      </c>
      <c r="AJ7451" t="s">
        <v>108</v>
      </c>
      <c r="AK7451" s="3" t="s">
        <v>27</v>
      </c>
      <c r="AL7451" s="3">
        <v>3360.952585</v>
      </c>
    </row>
    <row r="7452" spans="34:38">
      <c r="AH7452" t="s">
        <v>2302</v>
      </c>
      <c r="AI7452" t="s">
        <v>67</v>
      </c>
      <c r="AJ7452" t="s">
        <v>66</v>
      </c>
      <c r="AK7452" s="3" t="s">
        <v>27</v>
      </c>
      <c r="AL7452" s="3">
        <v>-11979.5</v>
      </c>
    </row>
    <row r="7453" spans="34:38">
      <c r="AH7453" t="s">
        <v>2302</v>
      </c>
      <c r="AI7453" t="s">
        <v>67</v>
      </c>
      <c r="AJ7453" t="s">
        <v>72</v>
      </c>
      <c r="AK7453" s="3" t="s">
        <v>27</v>
      </c>
      <c r="AL7453" s="3">
        <v>-15305.431205000001</v>
      </c>
    </row>
    <row r="7454" spans="34:38">
      <c r="AH7454" t="s">
        <v>2302</v>
      </c>
      <c r="AI7454" t="s">
        <v>67</v>
      </c>
      <c r="AJ7454" t="s">
        <v>108</v>
      </c>
      <c r="AK7454" s="3" t="s">
        <v>27</v>
      </c>
      <c r="AL7454" s="3">
        <v>-3325.9312049999999</v>
      </c>
    </row>
    <row r="7455" spans="34:38">
      <c r="AH7455" t="s">
        <v>2302</v>
      </c>
      <c r="AI7455" t="s">
        <v>68</v>
      </c>
      <c r="AJ7455" t="s">
        <v>66</v>
      </c>
      <c r="AK7455" s="3" t="s">
        <v>27</v>
      </c>
      <c r="AL7455" s="3">
        <v>2050</v>
      </c>
    </row>
    <row r="7456" spans="34:38">
      <c r="AH7456" t="s">
        <v>2302</v>
      </c>
      <c r="AI7456" t="s">
        <v>68</v>
      </c>
      <c r="AJ7456" t="s">
        <v>72</v>
      </c>
      <c r="AK7456" s="3" t="s">
        <v>27</v>
      </c>
      <c r="AL7456" s="3">
        <v>2589.5790000000002</v>
      </c>
    </row>
    <row r="7457" spans="34:38">
      <c r="AH7457" t="s">
        <v>2302</v>
      </c>
      <c r="AI7457" t="s">
        <v>68</v>
      </c>
      <c r="AJ7457" t="s">
        <v>108</v>
      </c>
      <c r="AK7457" s="3" t="s">
        <v>27</v>
      </c>
      <c r="AL7457" s="3">
        <v>539.57899999999995</v>
      </c>
    </row>
    <row r="7458" spans="34:38">
      <c r="AH7458" t="s">
        <v>2302</v>
      </c>
      <c r="AI7458" t="s">
        <v>65</v>
      </c>
      <c r="AJ7458" t="s">
        <v>113</v>
      </c>
      <c r="AK7458" s="3" t="s">
        <v>27</v>
      </c>
      <c r="AL7458" s="3">
        <v>4542.5729253561003</v>
      </c>
    </row>
    <row r="7459" spans="34:38">
      <c r="AH7459" t="s">
        <v>2302</v>
      </c>
      <c r="AI7459" t="s">
        <v>67</v>
      </c>
      <c r="AJ7459" t="s">
        <v>113</v>
      </c>
      <c r="AK7459" s="3" t="s">
        <v>27</v>
      </c>
      <c r="AL7459" s="3">
        <v>-3325.9312049999999</v>
      </c>
    </row>
    <row r="7460" spans="34:38">
      <c r="AH7460" t="s">
        <v>2302</v>
      </c>
      <c r="AI7460" t="s">
        <v>65</v>
      </c>
      <c r="AJ7460" t="s">
        <v>2303</v>
      </c>
      <c r="AK7460" s="3" t="s">
        <v>27</v>
      </c>
      <c r="AL7460" s="3">
        <v>-735.27862224010005</v>
      </c>
    </row>
    <row r="7461" spans="34:38">
      <c r="AH7461" t="s">
        <v>2302</v>
      </c>
      <c r="AI7461" t="s">
        <v>67</v>
      </c>
      <c r="AJ7461" t="s">
        <v>2303</v>
      </c>
      <c r="AK7461" s="3" t="s">
        <v>27</v>
      </c>
      <c r="AL7461" s="3">
        <v>0</v>
      </c>
    </row>
    <row r="7463" spans="34:38">
      <c r="AL7463" s="10"/>
    </row>
    <row r="7464" spans="34:38">
      <c r="AL7464" s="10"/>
    </row>
    <row r="7465" spans="34:38">
      <c r="AL7465" s="10"/>
    </row>
    <row r="7467" spans="34:38">
      <c r="AL7467" s="10"/>
    </row>
  </sheetData>
  <phoneticPr fontId="13" type="noConversion"/>
  <pageMargins left="0.7" right="0.7" top="0.75" bottom="0.75"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P38"/>
  <sheetViews>
    <sheetView showGridLines="0" zoomScaleNormal="100" workbookViewId="0">
      <selection activeCell="N29" sqref="N29"/>
    </sheetView>
  </sheetViews>
  <sheetFormatPr defaultColWidth="9.09765625" defaultRowHeight="12.75"/>
  <cols>
    <col min="1" max="1" width="39.09765625" style="6" customWidth="1"/>
    <col min="2" max="5" width="9.09765625" style="6"/>
    <col min="6" max="6" width="9.3984375" style="6" bestFit="1" customWidth="1"/>
    <col min="7" max="13" width="9.09765625" style="6"/>
    <col min="14" max="14" width="11" style="6" customWidth="1"/>
    <col min="15" max="16384" width="9.09765625" style="6"/>
  </cols>
  <sheetData>
    <row r="1" spans="1:16" ht="28.8">
      <c r="A1" s="29" t="s">
        <v>120</v>
      </c>
      <c r="B1" s="30">
        <v>46052</v>
      </c>
      <c r="C1" s="30">
        <v>46080</v>
      </c>
      <c r="D1" s="30">
        <v>46112</v>
      </c>
      <c r="E1" s="30">
        <v>46141</v>
      </c>
      <c r="F1" s="30">
        <v>46171</v>
      </c>
      <c r="G1" s="30">
        <v>46203</v>
      </c>
      <c r="H1" s="30">
        <v>46234</v>
      </c>
      <c r="I1" s="30">
        <v>46262</v>
      </c>
      <c r="J1" s="31">
        <v>46295</v>
      </c>
      <c r="K1" s="31">
        <v>46326</v>
      </c>
      <c r="L1" s="31">
        <v>46356</v>
      </c>
      <c r="M1" s="31">
        <v>46387</v>
      </c>
      <c r="N1" s="32" t="s">
        <v>208</v>
      </c>
    </row>
    <row r="2" spans="1:16" ht="14.4">
      <c r="A2" s="33" t="s">
        <v>209</v>
      </c>
      <c r="B2" s="33"/>
      <c r="C2" s="33"/>
      <c r="D2" s="33"/>
      <c r="E2" s="33"/>
      <c r="F2" s="33"/>
      <c r="G2" s="33"/>
      <c r="H2" s="33"/>
      <c r="I2" s="33"/>
      <c r="J2" s="33"/>
      <c r="K2" s="33"/>
      <c r="L2" s="33"/>
      <c r="M2" s="33"/>
      <c r="N2" s="33"/>
    </row>
    <row r="3" spans="1:16" ht="13.85">
      <c r="A3" s="34" t="s">
        <v>210</v>
      </c>
      <c r="B3" s="35">
        <f>SUMIFS(BOND!$E:$E,BOND!$A:$A,B1)</f>
        <v>8062</v>
      </c>
      <c r="C3" s="35">
        <f>SUMIFS(BOND!$E:$E,BOND!$A:$A,C1)</f>
        <v>7802</v>
      </c>
      <c r="D3" s="35">
        <f>SUMIFS(BOND!$E:$E,BOND!$A:$A,D1)</f>
        <v>6141</v>
      </c>
      <c r="E3" s="35">
        <f>SUMIFS(BOND!$E:$E,BOND!$A:$A,E1)</f>
        <v>6462</v>
      </c>
      <c r="F3" s="35">
        <f>SUMIFS(BOND!$E:$E,BOND!$A:$A,F1)</f>
        <v>6162</v>
      </c>
      <c r="G3" s="35">
        <f>SUMIFS(BOND!$E:$E,BOND!$A:$A,G1)</f>
        <v>11412</v>
      </c>
      <c r="H3" s="35">
        <f>SUMIFS(BOND!$E:$E,BOND!$A:$A,H1)</f>
        <v>16370</v>
      </c>
      <c r="I3" s="35">
        <f>SUMIFS(BOND!$E:$E,BOND!$A:$A,I1)</f>
        <v>17513</v>
      </c>
      <c r="J3" s="36">
        <f>SUMIFS(BOND!$E:$E,BOND!$A:$A,RPT)</f>
        <v>17513</v>
      </c>
      <c r="K3" s="36">
        <f>J3</f>
        <v>17513</v>
      </c>
      <c r="L3" s="36">
        <f>K3</f>
        <v>17513</v>
      </c>
      <c r="M3" s="36">
        <f>L3</f>
        <v>17513</v>
      </c>
      <c r="N3" s="37"/>
    </row>
    <row r="4" spans="1:16" ht="13.85">
      <c r="A4" s="48" t="s">
        <v>211</v>
      </c>
      <c r="B4" s="49">
        <f>SUMIFS(BOND!$K:$K,BOND!$G:$G,B1)</f>
        <v>16959.311300000001</v>
      </c>
      <c r="C4" s="49">
        <f>SUMIFS(BOND!$K:$K,BOND!$G:$G,C1)</f>
        <v>16959.311300000001</v>
      </c>
      <c r="D4" s="49">
        <f>SUMIFS(BOND!$K:$K,BOND!$G:$G,D1)</f>
        <v>16959.311300000001</v>
      </c>
      <c r="E4" s="49">
        <f>SUMIFS(BOND!$K:$K,BOND!$G:$G,E1)</f>
        <v>16959.311300000001</v>
      </c>
      <c r="F4" s="49">
        <f>SUMIFS(BOND!$K:$K,BOND!$G:$G,F1)</f>
        <v>16959.311300000001</v>
      </c>
      <c r="G4" s="49">
        <f>SUMIFS(BOND!$K:$K,BOND!$G:$G,G1)</f>
        <v>16959.311300000001</v>
      </c>
      <c r="H4" s="49">
        <f>SUMIFS(BOND!$K:$K,BOND!$G:$G,H1)</f>
        <v>12001.311299999999</v>
      </c>
      <c r="I4" s="49">
        <f>SUMIFS(BOND!$K:$K,BOND!$G:$G,I1)</f>
        <v>10858.311299999999</v>
      </c>
      <c r="J4" s="50">
        <f>I4</f>
        <v>10858.311299999999</v>
      </c>
      <c r="K4" s="50">
        <f>J4</f>
        <v>10858.311299999999</v>
      </c>
      <c r="L4" s="50">
        <f>K4-300</f>
        <v>10558.311299999999</v>
      </c>
      <c r="M4" s="50">
        <f>L4</f>
        <v>10558.311299999999</v>
      </c>
      <c r="N4" s="51"/>
      <c r="P4" s="102" t="s">
        <v>235</v>
      </c>
    </row>
    <row r="5" spans="1:16" ht="13.85">
      <c r="A5" s="41" t="s">
        <v>212</v>
      </c>
      <c r="B5" s="39">
        <f>SUMIFS(BOND!$AQ:$AQ,BOND!$AN:$AN,B1)</f>
        <v>34458.682099999998</v>
      </c>
      <c r="C5" s="39">
        <f>SUMIFS(BOND!$AQ:$AQ,BOND!$AN:$AN,C1)</f>
        <v>38969.946800000005</v>
      </c>
      <c r="D5" s="39">
        <f>SUMIFS(BOND!$AQ:$AQ,BOND!$AN:$AN,D1)</f>
        <v>27119.739699999998</v>
      </c>
      <c r="E5" s="39">
        <f>SUMIFS(BOND!$AQ:$AQ,BOND!$AN:$AN,E1)</f>
        <v>30669.468700000001</v>
      </c>
      <c r="F5" s="39">
        <f>SUMIFS(BOND!$AQ:$AQ,BOND!$AN:$AN,F1)</f>
        <v>35474.469599999997</v>
      </c>
      <c r="G5" s="39">
        <f>SUMIFS(BOND!$AQ:$AQ,BOND!$AN:$AN,G1)</f>
        <v>39497.6106</v>
      </c>
      <c r="H5" s="49">
        <f>SUMIFS(BOND!$AQ:$AQ,BOND!$AN:$AN,H1)</f>
        <v>39522.262129137998</v>
      </c>
      <c r="I5" s="49">
        <f>SUMIFS(BOND!$AQ:$AQ,BOND!$AN:$AN,I1)</f>
        <v>40166.527797397001</v>
      </c>
      <c r="J5" s="50">
        <f>SUMIFS(BOND!$AQ:$AQ,BOND!$AN:$AN,RPT)</f>
        <v>39414.404855299596</v>
      </c>
      <c r="K5" s="50">
        <f>J5</f>
        <v>39414.404855299596</v>
      </c>
      <c r="L5" s="50">
        <f>K5</f>
        <v>39414.404855299596</v>
      </c>
      <c r="M5" s="50">
        <f>L5</f>
        <v>39414.404855299596</v>
      </c>
      <c r="N5" s="42"/>
      <c r="P5" s="102"/>
    </row>
    <row r="6" spans="1:16" ht="14.4">
      <c r="A6" s="33" t="s">
        <v>213</v>
      </c>
      <c r="B6" s="33"/>
      <c r="C6" s="33"/>
      <c r="D6" s="33"/>
      <c r="E6" s="43"/>
      <c r="F6" s="33"/>
      <c r="G6" s="59"/>
      <c r="H6" s="74"/>
      <c r="I6" s="74"/>
      <c r="J6" s="74"/>
      <c r="K6" s="74"/>
      <c r="L6" s="74"/>
      <c r="M6" s="74"/>
      <c r="N6" s="33"/>
      <c r="P6" s="102"/>
    </row>
    <row r="7" spans="1:16" ht="13.85">
      <c r="A7" s="34" t="s">
        <v>214</v>
      </c>
      <c r="B7" s="35">
        <f>SUMIFS(BOND!$AL:$AL,BOND!$AH:$AH,NIM!B1,BOND!$AI:$AI,"ON BS",BOND!$AJ:$AJ,"Face")</f>
        <v>26803.3</v>
      </c>
      <c r="C7" s="35">
        <f>SUMIFS(BOND!$AL:$AL,BOND!$AH:$AH,NIM!C1,BOND!$AI:$AI,"ON BS",BOND!$AJ:$AJ,"Face")</f>
        <v>30279</v>
      </c>
      <c r="D7" s="35">
        <f>SUMIFS(BOND!$AL:$AL,BOND!$AH:$AH,NIM!D1,BOND!$AI:$AI,"ON BS",BOND!$AJ:$AJ,"Face")</f>
        <v>31928.3</v>
      </c>
      <c r="E7" s="35">
        <f>SUMIFS(BOND!$AL:$AL,BOND!$AH:$AH,NIM!E1,BOND!$AI:$AI,"ON BS",BOND!$AJ:$AJ,"Face")</f>
        <v>35981.699999999997</v>
      </c>
      <c r="F7" s="35">
        <f>SUMIFS(BOND!$AL:$AL,BOND!$AH:$AH,NIM!F1,BOND!$AI:$AI,"ON BS",BOND!$AJ:$AJ,"Face")</f>
        <v>34368.699999999997</v>
      </c>
      <c r="G7" s="35">
        <f>SUMIFS(BOND!$AL:$AL,BOND!$AH:$AH,NIM!G1,BOND!$AI:$AI,"ON BS",BOND!$AJ:$AJ,"Face")</f>
        <v>36404.699999999997</v>
      </c>
      <c r="H7" s="35">
        <f>SUMIFS(BOND!$AL:$AL,BOND!$AH:$AH,NIM!H1,BOND!$AI:$AI,"ON BS",BOND!$AJ:$AJ,"Face")</f>
        <v>41024.199999999997</v>
      </c>
      <c r="I7" s="35">
        <f>SUMIFS(BOND!$AL:$AL,BOND!$AH:$AH,NIM!I1,BOND!$AI:$AI,"ON BS",BOND!$AJ:$AJ,"Face")</f>
        <v>39207.699999999997</v>
      </c>
      <c r="J7" s="54">
        <f>_xlfn.XLOOKUP(J22,BOND!$BC:$BC,BOND!$BD:$BD,,0)</f>
        <v>34454.300000000003</v>
      </c>
      <c r="K7" s="54">
        <f>_xlfn.XLOOKUP(K22,BOND!$BC:$BC,BOND!$BD:$BD,,0)</f>
        <v>34767.699999999997</v>
      </c>
      <c r="L7" s="54">
        <f>_xlfn.XLOOKUP(L22,BOND!$BC:$BC,BOND!$BD:$BD,,0)</f>
        <v>33845.699999999997</v>
      </c>
      <c r="M7" s="54">
        <f>_xlfn.XLOOKUP(M22,BOND!$BC:$BC,BOND!$BD:$BD,,0)</f>
        <v>28046.7</v>
      </c>
      <c r="N7" s="37"/>
      <c r="P7" s="102"/>
    </row>
    <row r="8" spans="1:16" ht="13.3">
      <c r="A8" s="44" t="s">
        <v>215</v>
      </c>
      <c r="B8" s="45">
        <v>3.627243375077472E-2</v>
      </c>
      <c r="C8" s="45">
        <v>3.716624740308927E-2</v>
      </c>
      <c r="D8" s="45">
        <v>3.9292138252088001E-2</v>
      </c>
      <c r="E8" s="45">
        <v>3.9726522213E-2</v>
      </c>
      <c r="F8" s="45">
        <v>4.0102125459999999E-2</v>
      </c>
      <c r="G8" s="45">
        <f>SUMIFS(BOND!$AL:$AL,BOND!$AH:$AH,G1,BOND!$AI:$AI,"YTM_ON BS")/100</f>
        <v>4.0545139262000006E-2</v>
      </c>
      <c r="H8" s="45">
        <f>SUMIFS(BOND!$AL:$AL,BOND!$AH:$AH,H1,BOND!$AI:$AI,"YTM_ON BS")/100</f>
        <v>3.9405609793E-2</v>
      </c>
      <c r="I8" s="45">
        <f>SUMIFS(BOND!$AL:$AL,BOND!$AH:$AH,I1,BOND!$AI:$AI,"YTM_ON BS")/100</f>
        <v>4.0128409006999995E-2</v>
      </c>
      <c r="J8" s="60">
        <f>_xlfn.XLOOKUP(J23,BOND!$BC:$BC,BOND!$BD:$BD,,0)/100</f>
        <v>4.2464764718000002E-2</v>
      </c>
      <c r="K8" s="60">
        <f>_xlfn.XLOOKUP(K23,BOND!$BC:$BC,BOND!$BD:$BD,,0)/100</f>
        <v>3.9499878996999999E-2</v>
      </c>
      <c r="L8" s="60">
        <f>_xlfn.XLOOKUP(L23,BOND!$BC:$BC,BOND!$BD:$BD,,0)/100</f>
        <v>3.8006657951E-2</v>
      </c>
      <c r="M8" s="60">
        <f>_xlfn.XLOOKUP(M23,BOND!$BC:$BC,BOND!$BD:$BD,,0)/100</f>
        <v>3.5992079033000002E-2</v>
      </c>
      <c r="N8" s="47"/>
      <c r="P8" s="102" t="s">
        <v>233</v>
      </c>
    </row>
    <row r="9" spans="1:16" ht="13.85">
      <c r="A9" s="48" t="s">
        <v>216</v>
      </c>
      <c r="B9" s="49">
        <f>SUMIFS(BOND!$K:$K,BOND!$G:$G,B$1)</f>
        <v>16959.311300000001</v>
      </c>
      <c r="C9" s="49">
        <f>SUMIFS(BOND!$K:$K,BOND!$G:$G,C$1)</f>
        <v>16959.311300000001</v>
      </c>
      <c r="D9" s="49">
        <f>SUMIFS(BOND!$K:$K,BOND!$G:$G,D$1)</f>
        <v>16959.311300000001</v>
      </c>
      <c r="E9" s="49">
        <f>SUMIFS(BOND!$K:$K,BOND!$G:$G,E$1)</f>
        <v>16959.311300000001</v>
      </c>
      <c r="F9" s="49">
        <f>SUMIFS(BOND!$K:$K,BOND!$G:$G,F$1)</f>
        <v>16959.311300000001</v>
      </c>
      <c r="G9" s="49">
        <f>SUMIFS(BOND!$K:$K,BOND!$G:$G,G$1)</f>
        <v>16959.311300000001</v>
      </c>
      <c r="H9" s="49">
        <f>SUMIFS(BOND!$K:$K,BOND!$G:$G,H$1)</f>
        <v>12001.311299999999</v>
      </c>
      <c r="I9" s="50"/>
      <c r="J9" s="50"/>
      <c r="K9" s="50"/>
      <c r="L9" s="50"/>
      <c r="M9" s="50"/>
      <c r="N9" s="51"/>
      <c r="O9" s="6" t="s">
        <v>234</v>
      </c>
      <c r="P9" s="103" t="s">
        <v>235</v>
      </c>
    </row>
    <row r="10" spans="1:16" ht="13.3">
      <c r="A10" s="44" t="s">
        <v>215</v>
      </c>
      <c r="B10" s="45">
        <v>2.6682071728242881E-2</v>
      </c>
      <c r="C10" s="45">
        <v>2.6682071728242881E-2</v>
      </c>
      <c r="D10" s="45">
        <v>2.6682071728242881E-2</v>
      </c>
      <c r="E10" s="45">
        <v>2.6682071728242881E-2</v>
      </c>
      <c r="F10" s="45">
        <v>2.6682071728242902E-2</v>
      </c>
      <c r="G10" s="45">
        <v>2.6682071728242902E-2</v>
      </c>
      <c r="H10" s="45">
        <v>2.6682071728242902E-2</v>
      </c>
      <c r="I10" s="46"/>
      <c r="J10" s="46"/>
      <c r="K10" s="46"/>
      <c r="L10" s="46"/>
      <c r="M10" s="46"/>
      <c r="N10" s="47"/>
      <c r="P10" s="103" t="s">
        <v>278</v>
      </c>
    </row>
    <row r="11" spans="1:16" ht="13.85">
      <c r="A11" s="52" t="s">
        <v>212</v>
      </c>
      <c r="B11" s="35">
        <f>SUMIFS(BOND!$AQ:$AQ,BOND!$AN:$AN,B1)</f>
        <v>34458.682099999998</v>
      </c>
      <c r="C11" s="35">
        <f>SUMIFS(BOND!$AQ:$AQ,BOND!$AN:$AN,C1)</f>
        <v>38969.946800000005</v>
      </c>
      <c r="D11" s="35">
        <f>SUMIFS(BOND!$AQ:$AQ,BOND!$AN:$AN,D1)</f>
        <v>27119.739699999998</v>
      </c>
      <c r="E11" s="35">
        <f>SUMIFS(BOND!$AQ:$AQ,BOND!$AN:$AN,E1)</f>
        <v>30669.468700000001</v>
      </c>
      <c r="F11" s="35">
        <f>SUMIFS(BOND!$AQ:$AQ,BOND!$AN:$AN,F1)</f>
        <v>35474.469599999997</v>
      </c>
      <c r="G11" s="35">
        <f>SUMIFS(BOND!$AQ:$AQ,BOND!$AN:$AN,G1)</f>
        <v>39497.6106</v>
      </c>
      <c r="H11" s="35">
        <f>SUMIFS(BOND!$AQ:$AQ,BOND!$AN:$AN,H1)</f>
        <v>39522.262129137998</v>
      </c>
      <c r="I11" s="35">
        <f>SUMIFS(BOND!$AQ:$AQ,BOND!$AN:$AN,I1)</f>
        <v>40166.527797397001</v>
      </c>
      <c r="J11" s="75">
        <f t="shared" ref="J11:M12" si="0">I11</f>
        <v>40166.527797397001</v>
      </c>
      <c r="K11" s="75">
        <f t="shared" si="0"/>
        <v>40166.527797397001</v>
      </c>
      <c r="L11" s="75">
        <f t="shared" si="0"/>
        <v>40166.527797397001</v>
      </c>
      <c r="M11" s="75">
        <f t="shared" si="0"/>
        <v>40166.527797397001</v>
      </c>
      <c r="N11" s="53"/>
      <c r="P11" s="102" t="s">
        <v>236</v>
      </c>
    </row>
    <row r="12" spans="1:16" ht="13.3">
      <c r="A12" s="44" t="s">
        <v>215</v>
      </c>
      <c r="B12" s="45">
        <v>5.7621927764011024E-2</v>
      </c>
      <c r="C12" s="45">
        <v>5.4484146795475689E-2</v>
      </c>
      <c r="D12" s="45">
        <v>5.3575930243051809E-2</v>
      </c>
      <c r="E12" s="45">
        <v>5.3719867152614613E-2</v>
      </c>
      <c r="F12" s="45">
        <f>SUMIFS(BOND!$AV:$AV,BOND!$AS:$AS,F1,BOND!$AU:$AU,"Total On BS")/100</f>
        <v>5.6270864770183698E-2</v>
      </c>
      <c r="G12" s="45">
        <f>SUMIFS(BOND!$AV:$AV,BOND!$AS:$AS,G1,BOND!$AU:$AU,"Total On BS")/100</f>
        <v>5.89409396806009E-2</v>
      </c>
      <c r="H12" s="45">
        <f>SUMIFS(BOND!$AV:$AV,BOND!$AS:$AS,H1,BOND!$AU:$AU,"Total On BS")/100</f>
        <v>6.4706749350736503E-2</v>
      </c>
      <c r="I12" s="45">
        <f>SUMIFS(BOND!$AV:$AV,BOND!$AS:$AS,I1,BOND!$AU:$AU,"Total On BS")/100</f>
        <v>7.4070014903213494E-2</v>
      </c>
      <c r="J12" s="46">
        <f t="shared" si="0"/>
        <v>7.4070014903213494E-2</v>
      </c>
      <c r="K12" s="46">
        <f t="shared" si="0"/>
        <v>7.4070014903213494E-2</v>
      </c>
      <c r="L12" s="46">
        <f t="shared" si="0"/>
        <v>7.4070014903213494E-2</v>
      </c>
      <c r="M12" s="46">
        <f t="shared" si="0"/>
        <v>7.4070014903213494E-2</v>
      </c>
      <c r="N12" s="47"/>
      <c r="P12" s="102" t="s">
        <v>236</v>
      </c>
    </row>
    <row r="13" spans="1:16" ht="14.4">
      <c r="A13" s="33" t="s">
        <v>217</v>
      </c>
      <c r="B13" s="61">
        <f t="shared" ref="B13:M13" si="1">SUM(B14:B16)</f>
        <v>40.60475305853668</v>
      </c>
      <c r="C13" s="61">
        <f t="shared" si="1"/>
        <v>81.84807745279295</v>
      </c>
      <c r="D13" s="61">
        <f t="shared" si="1"/>
        <v>42.944051631049234</v>
      </c>
      <c r="E13" s="62">
        <f t="shared" si="1"/>
        <v>29.22066140762125</v>
      </c>
      <c r="F13" s="61">
        <f t="shared" si="1"/>
        <v>57.993555258990611</v>
      </c>
      <c r="G13" s="62">
        <f t="shared" si="1"/>
        <v>72.541583369984139</v>
      </c>
      <c r="H13" s="61">
        <f t="shared" si="1"/>
        <v>29.61939641062974</v>
      </c>
      <c r="I13" s="61">
        <f t="shared" si="1"/>
        <v>17.339183255987372</v>
      </c>
      <c r="J13" s="61">
        <f t="shared" si="1"/>
        <v>62.184023164497503</v>
      </c>
      <c r="K13" s="61">
        <f t="shared" si="1"/>
        <v>62.445189831164171</v>
      </c>
      <c r="L13" s="61">
        <f t="shared" si="1"/>
        <v>61.67685649783084</v>
      </c>
      <c r="M13" s="61">
        <f t="shared" si="1"/>
        <v>56.844356497830844</v>
      </c>
      <c r="N13" s="61">
        <f>SUM(B13:M13)</f>
        <v>615.26168783691537</v>
      </c>
      <c r="P13" s="102"/>
    </row>
    <row r="14" spans="1:16" ht="14.4">
      <c r="A14" s="34" t="s">
        <v>214</v>
      </c>
      <c r="B14" s="35">
        <f>-SUMIFS(BOND!$BQ:$BQ,BOND!$BN:$BN,B$1,BOND!$BO:$BO,"Trading bonds_Govbond",BOND!$BP:$BP,"NIM")</f>
        <v>14.843060050389743</v>
      </c>
      <c r="C14" s="35">
        <f>-SUMIFS(BOND!$BQ:$BQ,BOND!$BN:$BN,C$1,BOND!$BO:$BO,"Trading bonds_Govbond",BOND!$BP:$BP,"NIM")</f>
        <v>13.818340816006355</v>
      </c>
      <c r="D14" s="35">
        <f>-SUMIFS(BOND!$BQ:$BQ,BOND!$BN:$BN,D$1,BOND!$BO:$BO,"Trading bonds_Govbond",BOND!$BP:$BP,"NIM")</f>
        <v>23.324770541142993</v>
      </c>
      <c r="E14" s="35">
        <f>-SUMIFS(BOND!$BQ:$BQ,BOND!$BN:$BN,E$1,BOND!$BO:$BO,"Trading bonds_Govbond",BOND!$BP:$BP,"NIM")</f>
        <v>9.9944719935248436</v>
      </c>
      <c r="F14" s="35">
        <f>-SUMIFS(BOND!$BQ:$BQ,BOND!$BN:$BN,F$1,BOND!$BO:$BO,"Trading bonds_Govbond",BOND!$BP:$BP,"NIM")</f>
        <v>14.006185501709231</v>
      </c>
      <c r="G14" s="35">
        <f>-SUMIFS(BOND!$BQ:$BQ,BOND!$BN:$BN,G$1,BOND!$BO:$BO,"Trading bonds_Govbond",BOND!$BP:$BP,"NIM")</f>
        <v>23.518876622352693</v>
      </c>
      <c r="H14" s="35">
        <f>-SUMIFS(BOND!$BQ:$BQ,BOND!$BN:$BN,H$1,BOND!$BO:$BO,"Trading bonds_Govbond",BOND!$BP:$BP,"NIM")</f>
        <v>14.181212509212344</v>
      </c>
      <c r="I14" s="35">
        <f>-SUMIFS(BOND!$BQ:$BQ,BOND!$BN:$BN,I$1,BOND!$BO:$BO,"Trading bonds_Govbond",BOND!$BP:$BP,"NIM")</f>
        <v>20.181444604946591</v>
      </c>
      <c r="J14" s="36">
        <f>J7*1%/12</f>
        <v>28.711916666666671</v>
      </c>
      <c r="K14" s="36">
        <f>K7*1%/12</f>
        <v>28.973083333333332</v>
      </c>
      <c r="L14" s="36">
        <f>L7*1%/12</f>
        <v>28.204750000000001</v>
      </c>
      <c r="M14" s="36">
        <f>M7*1%/12</f>
        <v>23.372250000000005</v>
      </c>
      <c r="N14" s="55">
        <f>SUM(B14:M14)</f>
        <v>243.13036263928478</v>
      </c>
      <c r="P14" s="102"/>
    </row>
    <row r="15" spans="1:16" ht="14.4">
      <c r="A15" s="48" t="s">
        <v>216</v>
      </c>
      <c r="B15" s="49">
        <f>-SUMIFS(BOND!$BQ:$BQ,BOND!$BN:$BN,B$1,BOND!$BO:$BO,"Banking bonds_Govbond",BOND!$BP:$BP,"NIM")</f>
        <v>11.038693008146939</v>
      </c>
      <c r="C15" s="49">
        <f>-SUMIFS(BOND!$BQ:$BQ,BOND!$BN:$BN,C$1,BOND!$BO:$BO,"Banking bonds_Govbond",BOND!$BP:$BP,"NIM")</f>
        <v>11.430736636786591</v>
      </c>
      <c r="D15" s="49">
        <f>-SUMIFS(BOND!$BQ:$BQ,BOND!$BN:$BN,D$1,BOND!$BO:$BO,"Banking bonds_Govbond",BOND!$BP:$BP,"NIM")</f>
        <v>12.727281089906239</v>
      </c>
      <c r="E15" s="49">
        <f>-SUMIFS(BOND!$BQ:$BQ,BOND!$BN:$BN,E$1,BOND!$BO:$BO,"Banking bonds_Govbond",BOND!$BP:$BP,"NIM")</f>
        <v>10.589189414096406</v>
      </c>
      <c r="F15" s="49">
        <f>-SUMIFS(BOND!$BQ:$BQ,BOND!$BN:$BN,F$1,BOND!$BO:$BO,"Banking bonds_Govbond",BOND!$BP:$BP,"NIM")</f>
        <v>12.610369757281383</v>
      </c>
      <c r="G15" s="49">
        <f>-SUMIFS(BOND!$BQ:$BQ,BOND!$BN:$BN,G$1,BOND!$BO:$BO,"Banking bonds_Govbond",BOND!$BP:$BP,"NIM")</f>
        <v>11.352706747631441</v>
      </c>
      <c r="H15" s="49">
        <f>-SUMIFS(BOND!$BQ:$BQ,BOND!$BN:$BN,H$1,BOND!$BO:$BO,"Banking bonds_Govbond",BOND!$BP:$BP,"NIM")</f>
        <v>10.280183901417397</v>
      </c>
      <c r="I15" s="49">
        <f>-SUMIFS(BOND!$BQ:$BQ,BOND!$BN:$BN,I$1,BOND!$BO:$BO,"Banking bonds_Govbond",BOND!$BP:$BP,"NIM")</f>
        <v>7.2647386510407816</v>
      </c>
      <c r="J15" s="50">
        <f>J9*1%/12</f>
        <v>0</v>
      </c>
      <c r="K15" s="50">
        <f>K9*1%/12</f>
        <v>0</v>
      </c>
      <c r="L15" s="50">
        <f>L9*1%/12</f>
        <v>0</v>
      </c>
      <c r="M15" s="50">
        <f>M9*1%/12</f>
        <v>0</v>
      </c>
      <c r="N15" s="57">
        <f>SUM(B15:M15)</f>
        <v>87.293899206307188</v>
      </c>
      <c r="P15" s="102"/>
    </row>
    <row r="16" spans="1:16" ht="14.4">
      <c r="A16" s="38" t="s">
        <v>212</v>
      </c>
      <c r="B16" s="39">
        <f>-SUMIFS(BOND!$BQ:$BQ,BOND!$BN:$BN,B$1,BOND!$BO:$BO,"Trading bonds_FI bond",BOND!$BP:$BP,"NIM")</f>
        <v>14.723000000000001</v>
      </c>
      <c r="C16" s="39">
        <f>-SUMIFS(BOND!$BQ:$BQ,BOND!$BN:$BN,C$1,BOND!$BO:$BO,"Trading bonds_FI bond",BOND!$BP:$BP,"NIM")</f>
        <v>56.598999999999997</v>
      </c>
      <c r="D16" s="39">
        <f>-SUMIFS(BOND!$BQ:$BQ,BOND!$BN:$BN,D$1,BOND!$BO:$BO,"Trading bonds_FI bond",BOND!$BP:$BP,"NIM")</f>
        <v>6.8920000000000003</v>
      </c>
      <c r="E16" s="39">
        <f>-SUMIFS(BOND!$BQ:$BQ,BOND!$BN:$BN,E$1,BOND!$BO:$BO,"Trading bonds_FI bond",BOND!$BP:$BP,"NIM")</f>
        <v>8.6370000000000005</v>
      </c>
      <c r="F16" s="39">
        <f>-SUMIFS(BOND!$BQ:$BQ,BOND!$BN:$BN,F$1,BOND!$BO:$BO,"Trading bonds_FI bond",BOND!$BP:$BP,"NIM")</f>
        <v>31.376999999999999</v>
      </c>
      <c r="G16" s="39">
        <f>-SUMIFS(BOND!$BQ:$BQ,BOND!$BN:$BN,G$1,BOND!$BO:$BO,"Trading bonds_FI bond",BOND!$BP:$BP,"NIM")</f>
        <v>37.67</v>
      </c>
      <c r="H16" s="39">
        <f>-SUMIFS(BOND!$BQ:$BQ,BOND!$BN:$BN,H$1,BOND!$BO:$BO,"Trading bonds_FI bond",BOND!$BP:$BP,"NIM")</f>
        <v>5.1580000000000004</v>
      </c>
      <c r="I16" s="39">
        <f>-SUMIFS(BOND!$BQ:$BQ,BOND!$BN:$BN,I$1,BOND!$BO:$BO,"Trading bonds_FI bond",BOND!$BP:$BP,"NIM")</f>
        <v>-10.106999999999999</v>
      </c>
      <c r="J16" s="40">
        <f>J11*1%/12</f>
        <v>33.472106497830836</v>
      </c>
      <c r="K16" s="40">
        <f>K11*1%/12</f>
        <v>33.472106497830836</v>
      </c>
      <c r="L16" s="40">
        <f>L11*1%/12</f>
        <v>33.472106497830836</v>
      </c>
      <c r="M16" s="40">
        <f>M11*1%/12</f>
        <v>33.472106497830836</v>
      </c>
      <c r="N16" s="58">
        <f>SUM(B16:M16)</f>
        <v>284.83742599132336</v>
      </c>
    </row>
    <row r="17" spans="1:14" ht="14.4">
      <c r="A17" s="33" t="s">
        <v>218</v>
      </c>
      <c r="B17" s="61">
        <f t="shared" ref="B17:M17" si="2">SUM(B18:B20)</f>
        <v>40.60475305853668</v>
      </c>
      <c r="C17" s="61">
        <f t="shared" si="2"/>
        <v>81.84807745279295</v>
      </c>
      <c r="D17" s="61">
        <f t="shared" si="2"/>
        <v>42.944051631049234</v>
      </c>
      <c r="E17" s="62">
        <f t="shared" si="2"/>
        <v>29.22066140762125</v>
      </c>
      <c r="F17" s="61">
        <f t="shared" si="2"/>
        <v>36.253555258990616</v>
      </c>
      <c r="G17" s="62">
        <f t="shared" si="2"/>
        <v>44.508583369984137</v>
      </c>
      <c r="H17" s="61">
        <f t="shared" si="2"/>
        <v>29.61939641062974</v>
      </c>
      <c r="I17" s="61">
        <f t="shared" si="2"/>
        <v>17.339183255987372</v>
      </c>
      <c r="J17" s="61">
        <f t="shared" si="2"/>
        <v>24.747960768154389</v>
      </c>
      <c r="K17" s="61">
        <f t="shared" si="2"/>
        <v>33.534944103103598</v>
      </c>
      <c r="L17" s="61">
        <f t="shared" si="2"/>
        <v>36.939777435756618</v>
      </c>
      <c r="M17" s="61">
        <f t="shared" si="2"/>
        <v>35.852519102199913</v>
      </c>
      <c r="N17" s="61">
        <f>SUM(B17:M17)</f>
        <v>453.41346325480652</v>
      </c>
    </row>
    <row r="18" spans="1:14" ht="14.4">
      <c r="A18" s="34" t="s">
        <v>219</v>
      </c>
      <c r="B18" s="35">
        <f t="shared" ref="B18:G19" si="3">B14</f>
        <v>14.843060050389743</v>
      </c>
      <c r="C18" s="35">
        <f t="shared" si="3"/>
        <v>13.818340816006355</v>
      </c>
      <c r="D18" s="35">
        <f t="shared" si="3"/>
        <v>23.324770541142993</v>
      </c>
      <c r="E18" s="35">
        <f t="shared" si="3"/>
        <v>9.9944719935248436</v>
      </c>
      <c r="F18" s="35">
        <f t="shared" si="3"/>
        <v>14.006185501709231</v>
      </c>
      <c r="G18" s="35">
        <f t="shared" si="3"/>
        <v>23.518876622352693</v>
      </c>
      <c r="H18" s="35">
        <f>-SUMIFS(BOND!$BQ:$BQ,BOND!$BN:$BN,H$1,BOND!$BO:$BO,"Trading bonds_Govbond",BOND!$BP:$BP,"NIM")</f>
        <v>14.181212509212344</v>
      </c>
      <c r="I18" s="35">
        <f>-SUMIFS(BOND!$BQ:$BQ,BOND!$BN:$BN,I$1,BOND!$BO:$BO,"Trading bonds_Govbond",BOND!$BP:$BP,"NIM")</f>
        <v>20.181444604946591</v>
      </c>
      <c r="J18" s="54">
        <f>-J7*(J8-5%)/12</f>
        <v>21.635104748051052</v>
      </c>
      <c r="K18" s="54">
        <f>-K7*(K8-5%)/12</f>
        <v>30.422088083000265</v>
      </c>
      <c r="L18" s="54">
        <f>-L7*(L8-5%)/12</f>
        <v>33.826921415653281</v>
      </c>
      <c r="M18" s="54">
        <f>-M7*(M8-5%)/12</f>
        <v>32.739663082096577</v>
      </c>
      <c r="N18" s="55">
        <f>SUM(I18:M18)</f>
        <v>138.80522193374776</v>
      </c>
    </row>
    <row r="19" spans="1:14" ht="14.4">
      <c r="A19" s="48" t="s">
        <v>220</v>
      </c>
      <c r="B19" s="49">
        <f t="shared" si="3"/>
        <v>11.038693008146939</v>
      </c>
      <c r="C19" s="49">
        <f t="shared" si="3"/>
        <v>11.430736636786591</v>
      </c>
      <c r="D19" s="49">
        <f t="shared" si="3"/>
        <v>12.727281089906239</v>
      </c>
      <c r="E19" s="49">
        <f t="shared" si="3"/>
        <v>10.589189414096406</v>
      </c>
      <c r="F19" s="49">
        <f t="shared" si="3"/>
        <v>12.610369757281383</v>
      </c>
      <c r="G19" s="49">
        <f t="shared" si="3"/>
        <v>11.352706747631441</v>
      </c>
      <c r="H19" s="49">
        <f>-SUMIFS(BOND!$BQ:$BQ,BOND!$BN:$BN,H$1,BOND!$BO:$BO,"Banking bonds_Govbond",BOND!$BP:$BP,"NIM")</f>
        <v>10.280183901417397</v>
      </c>
      <c r="I19" s="49">
        <f>-SUMIFS(BOND!$BQ:$BQ,BOND!$BN:$BN,I$1,BOND!$BO:$BO,"Banking bonds_Govbond",BOND!$BP:$BP,"NIM")</f>
        <v>7.2647386510407816</v>
      </c>
      <c r="J19" s="56">
        <f>-J9*(J10-5%)/12</f>
        <v>0</v>
      </c>
      <c r="K19" s="56">
        <f>-K9*(K10-5%)/12</f>
        <v>0</v>
      </c>
      <c r="L19" s="56">
        <f>-L9*(L10-5%)/12</f>
        <v>0</v>
      </c>
      <c r="M19" s="56">
        <f>-M9*(M10-5%)/12</f>
        <v>0</v>
      </c>
      <c r="N19" s="57">
        <f>SUM(I19:M19)</f>
        <v>7.2647386510407816</v>
      </c>
    </row>
    <row r="20" spans="1:14" ht="14.4">
      <c r="A20" s="48" t="s">
        <v>212</v>
      </c>
      <c r="B20" s="49">
        <v>14.723000000000001</v>
      </c>
      <c r="C20" s="49">
        <v>56.598999999999997</v>
      </c>
      <c r="D20" s="49">
        <v>6.8920000000000003</v>
      </c>
      <c r="E20" s="49">
        <v>8.6370000000000005</v>
      </c>
      <c r="F20" s="49">
        <v>9.6370000000000005</v>
      </c>
      <c r="G20" s="49">
        <v>9.6370000000000005</v>
      </c>
      <c r="H20" s="49">
        <f>-SUMIFS(BOND!$BQ:$BQ,BOND!$BN:$BN,H$1,BOND!$BO:$BO,"Trading bonds_FI bond",BOND!$BP:$BP,"NIM")</f>
        <v>5.1580000000000004</v>
      </c>
      <c r="I20" s="49">
        <f>-SUMIFS(BOND!$BQ:$BQ,BOND!$BN:$BN,I$1,BOND!$BO:$BO,"Trading bonds_FI bond",BOND!$BP:$BP,"NIM")</f>
        <v>-10.106999999999999</v>
      </c>
      <c r="J20" s="56">
        <f>-J11*(J12-7.5%)/12</f>
        <v>3.1128560201033366</v>
      </c>
      <c r="K20" s="56">
        <f>-K11*(K12-7.5%)/12</f>
        <v>3.1128560201033366</v>
      </c>
      <c r="L20" s="56">
        <f>-L11*(L12-7.5%)/12</f>
        <v>3.1128560201033366</v>
      </c>
      <c r="M20" s="56">
        <f>-M11*(M12-7.5%)/12</f>
        <v>3.1128560201033366</v>
      </c>
      <c r="N20" s="57">
        <f>SUM(B20:M20)</f>
        <v>113.62742408041335</v>
      </c>
    </row>
    <row r="22" spans="1:14">
      <c r="B22" s="6" t="s">
        <v>249</v>
      </c>
      <c r="C22" s="6" t="s">
        <v>250</v>
      </c>
      <c r="D22" s="6" t="s">
        <v>251</v>
      </c>
      <c r="E22" s="6" t="s">
        <v>252</v>
      </c>
      <c r="F22" s="6" t="s">
        <v>253</v>
      </c>
      <c r="G22" s="6" t="s">
        <v>254</v>
      </c>
      <c r="H22" s="6" t="s">
        <v>255</v>
      </c>
      <c r="I22" s="6" t="s">
        <v>256</v>
      </c>
      <c r="J22" s="6" t="s">
        <v>257</v>
      </c>
      <c r="K22" s="6" t="s">
        <v>258</v>
      </c>
      <c r="L22" s="6" t="s">
        <v>259</v>
      </c>
      <c r="M22" s="6" t="s">
        <v>260</v>
      </c>
    </row>
    <row r="23" spans="1:14">
      <c r="B23" s="6" t="s">
        <v>221</v>
      </c>
      <c r="C23" s="6" t="s">
        <v>222</v>
      </c>
      <c r="D23" s="6" t="s">
        <v>223</v>
      </c>
      <c r="E23" s="6" t="s">
        <v>224</v>
      </c>
      <c r="F23" s="6" t="s">
        <v>225</v>
      </c>
      <c r="G23" s="6" t="s">
        <v>226</v>
      </c>
      <c r="H23" s="6" t="s">
        <v>227</v>
      </c>
      <c r="I23" s="6" t="s">
        <v>228</v>
      </c>
      <c r="J23" s="6" t="s">
        <v>229</v>
      </c>
      <c r="K23" s="6" t="s">
        <v>230</v>
      </c>
      <c r="L23" s="6" t="s">
        <v>231</v>
      </c>
      <c r="M23" s="6" t="s">
        <v>232</v>
      </c>
    </row>
    <row r="32" spans="1:14">
      <c r="G32" s="369"/>
      <c r="H32" s="370"/>
    </row>
    <row r="33" spans="7:8">
      <c r="G33" s="369"/>
      <c r="H33" s="370"/>
    </row>
    <row r="34" spans="7:8">
      <c r="G34" s="369"/>
      <c r="H34" s="370"/>
    </row>
    <row r="35" spans="7:8">
      <c r="G35" s="369"/>
      <c r="H35" s="370"/>
    </row>
    <row r="36" spans="7:8">
      <c r="G36" s="369"/>
      <c r="H36" s="370"/>
    </row>
    <row r="37" spans="7:8">
      <c r="G37" s="369"/>
      <c r="H37" s="370"/>
    </row>
    <row r="38" spans="7:8">
      <c r="G38" s="369"/>
      <c r="H38" s="370"/>
    </row>
  </sheetData>
  <phoneticPr fontId="13" type="noConversion"/>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N5637"/>
  <sheetViews>
    <sheetView workbookViewId="0">
      <selection activeCell="J7" sqref="J7"/>
    </sheetView>
  </sheetViews>
  <sheetFormatPr defaultRowHeight="14.4"/>
  <cols>
    <col min="1" max="1" width="10.5" style="1" bestFit="1" customWidth="1"/>
    <col min="2" max="2" width="5.796875" bestFit="1" customWidth="1"/>
    <col min="3" max="3" width="5.8984375" bestFit="1" customWidth="1"/>
    <col min="5" max="5" width="10.5" bestFit="1" customWidth="1"/>
    <col min="6" max="6" width="9.19921875" bestFit="1" customWidth="1"/>
    <col min="7" max="7" width="7.59765625" bestFit="1" customWidth="1"/>
    <col min="9" max="9" width="10.5" bestFit="1" customWidth="1"/>
    <col min="10" max="10" width="24.3984375" bestFit="1" customWidth="1"/>
    <col min="11" max="11" width="18.296875" bestFit="1" customWidth="1"/>
    <col min="13" max="13" width="10.5" style="1" bestFit="1" customWidth="1"/>
    <col min="14" max="14" width="8.8984375" style="14" bestFit="1" customWidth="1"/>
    <col min="15" max="15" width="10.59765625" bestFit="1" customWidth="1"/>
  </cols>
  <sheetData>
    <row r="1" spans="1:14">
      <c r="A1" s="4" t="s">
        <v>1818</v>
      </c>
      <c r="E1" s="4" t="s">
        <v>1985</v>
      </c>
      <c r="F1" s="4"/>
      <c r="G1" s="4"/>
      <c r="I1" s="4" t="s">
        <v>1820</v>
      </c>
      <c r="J1" s="4"/>
      <c r="K1" s="4"/>
      <c r="M1" s="4" t="s">
        <v>1821</v>
      </c>
      <c r="N1" s="154"/>
    </row>
    <row r="3" spans="1:14">
      <c r="A3" s="1" t="s">
        <v>11</v>
      </c>
      <c r="B3" t="s">
        <v>28</v>
      </c>
      <c r="C3" t="s">
        <v>34</v>
      </c>
      <c r="E3" s="1" t="s">
        <v>11</v>
      </c>
      <c r="F3" s="1" t="s">
        <v>12</v>
      </c>
      <c r="G3" s="1" t="s">
        <v>105</v>
      </c>
      <c r="I3" s="1" t="s">
        <v>47</v>
      </c>
      <c r="J3" s="1" t="s">
        <v>12</v>
      </c>
      <c r="K3" s="1" t="s">
        <v>106</v>
      </c>
      <c r="M3" s="1" t="s">
        <v>11</v>
      </c>
      <c r="N3" s="14" t="s">
        <v>1824</v>
      </c>
    </row>
    <row r="4" spans="1:14">
      <c r="A4" s="1">
        <v>46293</v>
      </c>
      <c r="B4" t="s">
        <v>1974</v>
      </c>
      <c r="C4">
        <v>3.5329999999999999</v>
      </c>
      <c r="E4" s="1">
        <v>46293</v>
      </c>
      <c r="F4" s="1" t="s">
        <v>160</v>
      </c>
      <c r="G4" s="9">
        <v>0.5</v>
      </c>
      <c r="I4" s="1">
        <v>46293</v>
      </c>
      <c r="J4" s="1" t="s">
        <v>107</v>
      </c>
      <c r="K4" s="3">
        <v>8170238441064</v>
      </c>
      <c r="M4" s="1">
        <v>46293</v>
      </c>
      <c r="N4" s="14">
        <v>25970.6</v>
      </c>
    </row>
    <row r="5" spans="1:14">
      <c r="A5" s="1">
        <v>46293</v>
      </c>
      <c r="B5" t="s">
        <v>1975</v>
      </c>
      <c r="C5">
        <v>3.6379999999999999</v>
      </c>
      <c r="E5" s="1">
        <v>46293</v>
      </c>
      <c r="F5" s="1" t="s">
        <v>161</v>
      </c>
      <c r="G5" s="9">
        <v>6.5</v>
      </c>
      <c r="I5" s="1">
        <v>46293</v>
      </c>
      <c r="J5" s="1" t="s">
        <v>282</v>
      </c>
      <c r="K5" s="3">
        <v>1000</v>
      </c>
      <c r="M5" s="1">
        <v>46290</v>
      </c>
      <c r="N5" s="14">
        <v>25975.8</v>
      </c>
    </row>
    <row r="6" spans="1:14">
      <c r="A6" s="1">
        <v>46293</v>
      </c>
      <c r="B6" t="s">
        <v>1976</v>
      </c>
      <c r="C6">
        <v>3.7130000000000001</v>
      </c>
      <c r="E6" s="1">
        <v>46293</v>
      </c>
      <c r="F6" s="1" t="s">
        <v>162</v>
      </c>
      <c r="G6" s="9">
        <v>5.9</v>
      </c>
      <c r="I6" s="1">
        <v>46293</v>
      </c>
      <c r="J6" s="1" t="s">
        <v>283</v>
      </c>
      <c r="K6" s="3">
        <v>7</v>
      </c>
      <c r="M6" s="1">
        <v>46289</v>
      </c>
      <c r="N6" s="14">
        <v>25996.400000000001</v>
      </c>
    </row>
    <row r="7" spans="1:14">
      <c r="A7" s="1">
        <v>46293</v>
      </c>
      <c r="B7" t="s">
        <v>1977</v>
      </c>
      <c r="C7">
        <v>4.0019999999999998</v>
      </c>
      <c r="E7" s="1">
        <v>46293</v>
      </c>
      <c r="F7" s="1" t="s">
        <v>163</v>
      </c>
      <c r="G7" s="9">
        <v>6.3</v>
      </c>
      <c r="I7" s="1">
        <v>46293</v>
      </c>
      <c r="J7" s="1" t="s">
        <v>284</v>
      </c>
      <c r="K7" s="3">
        <v>1565</v>
      </c>
      <c r="M7" s="1">
        <v>46288</v>
      </c>
      <c r="N7" s="14">
        <v>25986</v>
      </c>
    </row>
    <row r="8" spans="1:14">
      <c r="A8" s="1">
        <v>46293</v>
      </c>
      <c r="B8" t="s">
        <v>1978</v>
      </c>
      <c r="C8">
        <v>4.2919999999999998</v>
      </c>
      <c r="E8" s="1">
        <v>46290</v>
      </c>
      <c r="F8" s="1" t="s">
        <v>160</v>
      </c>
      <c r="G8" s="9">
        <v>0.7</v>
      </c>
      <c r="I8" s="1">
        <v>46293</v>
      </c>
      <c r="J8" s="1" t="s">
        <v>285</v>
      </c>
      <c r="K8" s="3">
        <v>4.5</v>
      </c>
      <c r="M8" s="1">
        <v>46287</v>
      </c>
      <c r="N8" s="14">
        <v>26025.4</v>
      </c>
    </row>
    <row r="9" spans="1:14">
      <c r="A9" s="1">
        <v>46293</v>
      </c>
      <c r="B9" t="s">
        <v>1979</v>
      </c>
      <c r="C9">
        <v>4.3339999999999996</v>
      </c>
      <c r="E9" s="1">
        <v>46290</v>
      </c>
      <c r="F9" s="1" t="s">
        <v>161</v>
      </c>
      <c r="G9" s="9">
        <v>5.6</v>
      </c>
      <c r="I9" s="1">
        <v>46293</v>
      </c>
      <c r="J9" s="1" t="s">
        <v>286</v>
      </c>
      <c r="K9" s="3">
        <v>46358.1</v>
      </c>
      <c r="M9" s="1">
        <v>46286</v>
      </c>
      <c r="N9" s="14">
        <v>26008.799999999999</v>
      </c>
    </row>
    <row r="10" spans="1:14">
      <c r="A10" s="1">
        <v>46293</v>
      </c>
      <c r="B10" t="s">
        <v>1980</v>
      </c>
      <c r="C10">
        <v>4.4669999999999996</v>
      </c>
      <c r="E10" s="1">
        <v>46290</v>
      </c>
      <c r="F10" s="1" t="s">
        <v>162</v>
      </c>
      <c r="G10" s="9">
        <v>5.75</v>
      </c>
      <c r="I10" s="1">
        <v>46293</v>
      </c>
      <c r="J10" s="1" t="s">
        <v>287</v>
      </c>
      <c r="K10" s="3">
        <v>142022.78</v>
      </c>
      <c r="M10" s="1">
        <v>46283</v>
      </c>
      <c r="N10" s="14">
        <v>26017.200000000001</v>
      </c>
    </row>
    <row r="11" spans="1:14">
      <c r="A11" s="1">
        <v>46293</v>
      </c>
      <c r="B11" t="s">
        <v>1981</v>
      </c>
      <c r="C11">
        <v>4.58</v>
      </c>
      <c r="E11" s="1">
        <v>46290</v>
      </c>
      <c r="F11" s="1" t="s">
        <v>163</v>
      </c>
      <c r="G11" s="9">
        <v>6.2</v>
      </c>
      <c r="I11" s="1">
        <v>46293</v>
      </c>
      <c r="J11" s="1" t="s">
        <v>288</v>
      </c>
      <c r="K11" s="3">
        <v>-50634.39</v>
      </c>
      <c r="M11" s="1">
        <v>46282</v>
      </c>
      <c r="N11" s="14">
        <v>26012</v>
      </c>
    </row>
    <row r="12" spans="1:14">
      <c r="A12" s="1">
        <v>46293</v>
      </c>
      <c r="B12" t="s">
        <v>1982</v>
      </c>
      <c r="C12">
        <v>4.6660000000000004</v>
      </c>
      <c r="E12" s="1">
        <v>46289</v>
      </c>
      <c r="F12" s="1" t="s">
        <v>160</v>
      </c>
      <c r="G12" s="9">
        <v>1</v>
      </c>
      <c r="I12" s="1">
        <v>46293</v>
      </c>
      <c r="J12" s="1" t="s">
        <v>289</v>
      </c>
      <c r="K12" s="3">
        <v>5</v>
      </c>
      <c r="M12" s="1">
        <v>46281</v>
      </c>
      <c r="N12" s="14">
        <v>25994</v>
      </c>
    </row>
    <row r="13" spans="1:14">
      <c r="A13" s="1">
        <v>46293</v>
      </c>
      <c r="B13" t="s">
        <v>1983</v>
      </c>
      <c r="C13">
        <v>4.7329999999999997</v>
      </c>
      <c r="E13" s="1">
        <v>46289</v>
      </c>
      <c r="F13" s="1" t="s">
        <v>161</v>
      </c>
      <c r="G13" s="9">
        <v>5.0999999999999996</v>
      </c>
      <c r="I13" s="1">
        <v>46293</v>
      </c>
      <c r="J13" s="1" t="s">
        <v>290</v>
      </c>
      <c r="K13" s="3">
        <v>5</v>
      </c>
      <c r="M13" s="1">
        <v>46280</v>
      </c>
      <c r="N13" s="14">
        <v>25965.599999999999</v>
      </c>
    </row>
    <row r="14" spans="1:14">
      <c r="A14" s="1">
        <v>46290</v>
      </c>
      <c r="B14" t="s">
        <v>1974</v>
      </c>
      <c r="C14">
        <v>3.5329999999999999</v>
      </c>
      <c r="E14" s="1">
        <v>46289</v>
      </c>
      <c r="F14" s="1" t="s">
        <v>162</v>
      </c>
      <c r="G14" s="9">
        <v>5.2</v>
      </c>
      <c r="I14" s="1">
        <v>46292</v>
      </c>
      <c r="J14" s="1" t="s">
        <v>107</v>
      </c>
      <c r="K14" s="3">
        <v>8170238441064</v>
      </c>
      <c r="M14" s="1">
        <v>46279</v>
      </c>
      <c r="N14" s="14">
        <v>25984.6</v>
      </c>
    </row>
    <row r="15" spans="1:14">
      <c r="A15" s="1">
        <v>46290</v>
      </c>
      <c r="B15" t="s">
        <v>1975</v>
      </c>
      <c r="C15">
        <v>3.6379999999999999</v>
      </c>
      <c r="E15" s="1">
        <v>46289</v>
      </c>
      <c r="F15" s="1" t="s">
        <v>163</v>
      </c>
      <c r="G15" s="9">
        <v>6.15</v>
      </c>
      <c r="I15" s="1">
        <v>46290</v>
      </c>
      <c r="J15" s="1" t="s">
        <v>282</v>
      </c>
      <c r="K15" s="3">
        <v>1000</v>
      </c>
      <c r="M15" s="1">
        <v>46276</v>
      </c>
      <c r="N15" s="14">
        <v>25915.599999999999</v>
      </c>
    </row>
    <row r="16" spans="1:14">
      <c r="A16" s="1">
        <v>46290</v>
      </c>
      <c r="B16" t="s">
        <v>1976</v>
      </c>
      <c r="C16">
        <v>3.7130000000000001</v>
      </c>
      <c r="E16" s="1">
        <v>46288</v>
      </c>
      <c r="F16" s="1" t="s">
        <v>160</v>
      </c>
      <c r="G16" s="9">
        <v>2.5</v>
      </c>
      <c r="I16" s="1">
        <v>46290</v>
      </c>
      <c r="J16" s="1" t="s">
        <v>283</v>
      </c>
      <c r="K16" s="3">
        <v>7</v>
      </c>
      <c r="M16" s="1">
        <v>46275</v>
      </c>
      <c r="N16" s="14">
        <v>25907.200000000001</v>
      </c>
    </row>
    <row r="17" spans="1:14">
      <c r="A17" s="1">
        <v>46290</v>
      </c>
      <c r="B17" t="s">
        <v>1977</v>
      </c>
      <c r="C17">
        <v>4.0039999999999996</v>
      </c>
      <c r="E17" s="1">
        <v>46288</v>
      </c>
      <c r="F17" s="1" t="s">
        <v>161</v>
      </c>
      <c r="G17" s="9">
        <v>5.55</v>
      </c>
      <c r="I17" s="1">
        <v>46290</v>
      </c>
      <c r="J17" s="1" t="s">
        <v>284</v>
      </c>
      <c r="K17" s="3">
        <v>2759.5</v>
      </c>
      <c r="M17" s="1">
        <v>46274</v>
      </c>
      <c r="N17" s="14">
        <v>25907</v>
      </c>
    </row>
    <row r="18" spans="1:14">
      <c r="A18" s="1">
        <v>46290</v>
      </c>
      <c r="B18" t="s">
        <v>1978</v>
      </c>
      <c r="C18">
        <v>4.2960000000000003</v>
      </c>
      <c r="E18" s="1">
        <v>46288</v>
      </c>
      <c r="F18" s="1" t="s">
        <v>162</v>
      </c>
      <c r="G18" s="9">
        <v>5.43</v>
      </c>
      <c r="I18" s="1">
        <v>46290</v>
      </c>
      <c r="J18" s="1" t="s">
        <v>285</v>
      </c>
      <c r="K18" s="3">
        <v>4.5</v>
      </c>
      <c r="M18" s="1">
        <v>46273</v>
      </c>
      <c r="N18" s="14">
        <v>25973.4</v>
      </c>
    </row>
    <row r="19" spans="1:14">
      <c r="A19" s="1">
        <v>46290</v>
      </c>
      <c r="B19" t="s">
        <v>1979</v>
      </c>
      <c r="C19">
        <v>4.3339999999999996</v>
      </c>
      <c r="E19" s="1">
        <v>46288</v>
      </c>
      <c r="F19" s="1" t="s">
        <v>163</v>
      </c>
      <c r="G19" s="9">
        <v>6.6</v>
      </c>
      <c r="I19" s="1">
        <v>46290</v>
      </c>
      <c r="J19" s="1" t="s">
        <v>286</v>
      </c>
      <c r="K19" s="3">
        <v>8061.11</v>
      </c>
      <c r="M19" s="1">
        <v>46272</v>
      </c>
      <c r="N19" s="14">
        <v>26018.799999999999</v>
      </c>
    </row>
    <row r="20" spans="1:14">
      <c r="A20" s="1">
        <v>46290</v>
      </c>
      <c r="B20" t="s">
        <v>1980</v>
      </c>
      <c r="C20">
        <v>4.4669999999999996</v>
      </c>
      <c r="E20" s="1">
        <v>46287</v>
      </c>
      <c r="F20" s="1" t="s">
        <v>160</v>
      </c>
      <c r="G20" s="9">
        <v>4.4000000000000004</v>
      </c>
      <c r="I20" s="1">
        <v>46290</v>
      </c>
      <c r="J20" s="1" t="s">
        <v>287</v>
      </c>
      <c r="K20" s="3">
        <v>186815.88</v>
      </c>
      <c r="M20" s="1">
        <v>46269</v>
      </c>
      <c r="N20" s="14">
        <v>26066.799999999999</v>
      </c>
    </row>
    <row r="21" spans="1:14">
      <c r="A21" s="1">
        <v>46290</v>
      </c>
      <c r="B21" t="s">
        <v>1981</v>
      </c>
      <c r="C21">
        <v>4.58</v>
      </c>
      <c r="E21" s="1">
        <v>46287</v>
      </c>
      <c r="F21" s="1" t="s">
        <v>161</v>
      </c>
      <c r="G21" s="9">
        <v>5.6</v>
      </c>
      <c r="I21" s="1">
        <v>46290</v>
      </c>
      <c r="J21" s="1" t="s">
        <v>288</v>
      </c>
      <c r="K21" s="3">
        <v>-78614.7</v>
      </c>
      <c r="M21" s="1">
        <v>46268</v>
      </c>
      <c r="N21" s="14">
        <v>26099</v>
      </c>
    </row>
    <row r="22" spans="1:14">
      <c r="A22" s="1">
        <v>46290</v>
      </c>
      <c r="B22" t="s">
        <v>1982</v>
      </c>
      <c r="C22">
        <v>4.6660000000000004</v>
      </c>
      <c r="E22" s="1">
        <v>46287</v>
      </c>
      <c r="F22" s="1" t="s">
        <v>162</v>
      </c>
      <c r="G22" s="9">
        <v>5.8</v>
      </c>
      <c r="I22" s="1">
        <v>46290</v>
      </c>
      <c r="J22" s="1" t="s">
        <v>289</v>
      </c>
      <c r="K22" s="3">
        <v>5</v>
      </c>
      <c r="M22" s="1">
        <v>46262</v>
      </c>
      <c r="N22" s="14">
        <v>26073</v>
      </c>
    </row>
    <row r="23" spans="1:14">
      <c r="A23" s="1">
        <v>46290</v>
      </c>
      <c r="B23" t="s">
        <v>1983</v>
      </c>
      <c r="C23">
        <v>4.7329999999999997</v>
      </c>
      <c r="E23" s="1">
        <v>46287</v>
      </c>
      <c r="F23" s="1" t="s">
        <v>163</v>
      </c>
      <c r="G23" s="9">
        <v>6.6</v>
      </c>
      <c r="I23" s="1">
        <v>46290</v>
      </c>
      <c r="J23" s="1" t="s">
        <v>290</v>
      </c>
      <c r="K23" s="3">
        <v>5</v>
      </c>
      <c r="M23" s="1">
        <v>46261</v>
      </c>
      <c r="N23" s="14">
        <v>26083.5</v>
      </c>
    </row>
    <row r="24" spans="1:14">
      <c r="A24" s="1">
        <v>46289</v>
      </c>
      <c r="B24" t="s">
        <v>1974</v>
      </c>
      <c r="C24">
        <v>3.5329999999999999</v>
      </c>
      <c r="E24" s="1">
        <v>46286</v>
      </c>
      <c r="F24" s="1" t="s">
        <v>160</v>
      </c>
      <c r="G24" s="9">
        <v>7</v>
      </c>
      <c r="I24" s="1">
        <v>46289</v>
      </c>
      <c r="J24" s="1" t="s">
        <v>107</v>
      </c>
      <c r="K24" s="3">
        <v>7626913734910</v>
      </c>
      <c r="M24" s="1">
        <v>46260</v>
      </c>
      <c r="N24" s="14">
        <v>26094.400000000001</v>
      </c>
    </row>
    <row r="25" spans="1:14">
      <c r="A25" s="1">
        <v>46289</v>
      </c>
      <c r="B25" t="s">
        <v>1975</v>
      </c>
      <c r="C25">
        <v>3.6379999999999999</v>
      </c>
      <c r="E25" s="1">
        <v>46286</v>
      </c>
      <c r="F25" s="1" t="s">
        <v>161</v>
      </c>
      <c r="G25" s="9">
        <v>4.8</v>
      </c>
      <c r="I25" s="1">
        <v>46289</v>
      </c>
      <c r="J25" s="1" t="s">
        <v>282</v>
      </c>
      <c r="K25" s="3">
        <v>1000</v>
      </c>
      <c r="M25" s="1">
        <v>46259</v>
      </c>
      <c r="N25" s="14">
        <v>26110.799999999999</v>
      </c>
    </row>
    <row r="26" spans="1:14">
      <c r="A26" s="1">
        <v>46289</v>
      </c>
      <c r="B26" t="s">
        <v>1976</v>
      </c>
      <c r="C26">
        <v>3.7130000000000001</v>
      </c>
      <c r="E26" s="1">
        <v>46286</v>
      </c>
      <c r="F26" s="1" t="s">
        <v>162</v>
      </c>
      <c r="G26" s="9">
        <v>6</v>
      </c>
      <c r="I26" s="1">
        <v>46289</v>
      </c>
      <c r="J26" s="1" t="s">
        <v>283</v>
      </c>
      <c r="K26" s="3">
        <v>7</v>
      </c>
      <c r="M26" s="1">
        <v>46258</v>
      </c>
      <c r="N26" s="14">
        <v>26174.400000000001</v>
      </c>
    </row>
    <row r="27" spans="1:14">
      <c r="A27" s="1">
        <v>46289</v>
      </c>
      <c r="B27" t="s">
        <v>1977</v>
      </c>
      <c r="C27">
        <v>4.0019999999999998</v>
      </c>
      <c r="E27" s="1">
        <v>46286</v>
      </c>
      <c r="F27" s="1" t="s">
        <v>163</v>
      </c>
      <c r="G27" s="9">
        <v>6.5</v>
      </c>
      <c r="I27" s="1">
        <v>46289</v>
      </c>
      <c r="J27" s="1" t="s">
        <v>284</v>
      </c>
      <c r="K27" s="3">
        <v>597.71</v>
      </c>
      <c r="M27" s="1">
        <v>46255</v>
      </c>
      <c r="N27" s="14">
        <v>26110.2</v>
      </c>
    </row>
    <row r="28" spans="1:14">
      <c r="A28" s="1">
        <v>46289</v>
      </c>
      <c r="B28" t="s">
        <v>1978</v>
      </c>
      <c r="C28">
        <v>4.2919999999999998</v>
      </c>
      <c r="E28" s="1">
        <v>46283</v>
      </c>
      <c r="F28" s="1" t="s">
        <v>160</v>
      </c>
      <c r="G28" s="9">
        <v>4.5</v>
      </c>
      <c r="I28" s="1">
        <v>46289</v>
      </c>
      <c r="J28" s="1" t="s">
        <v>285</v>
      </c>
      <c r="K28" s="3">
        <v>4.5</v>
      </c>
      <c r="M28" s="1">
        <v>46254</v>
      </c>
      <c r="N28" s="14">
        <v>26116.799999999999</v>
      </c>
    </row>
    <row r="29" spans="1:14">
      <c r="A29" s="1">
        <v>46289</v>
      </c>
      <c r="B29" t="s">
        <v>1979</v>
      </c>
      <c r="C29">
        <v>4.3339999999999996</v>
      </c>
      <c r="E29" s="1">
        <v>46283</v>
      </c>
      <c r="F29" s="1" t="s">
        <v>161</v>
      </c>
      <c r="G29" s="9">
        <v>4.8</v>
      </c>
      <c r="I29" s="1">
        <v>46289</v>
      </c>
      <c r="J29" s="1" t="s">
        <v>286</v>
      </c>
      <c r="K29" s="3">
        <v>5116.2</v>
      </c>
      <c r="M29" s="1">
        <v>46253</v>
      </c>
      <c r="N29" s="14">
        <v>26178.799999999999</v>
      </c>
    </row>
    <row r="30" spans="1:14">
      <c r="A30" s="1">
        <v>46289</v>
      </c>
      <c r="B30" t="s">
        <v>1980</v>
      </c>
      <c r="C30">
        <v>4.4669999999999996</v>
      </c>
      <c r="E30" s="1">
        <v>46283</v>
      </c>
      <c r="F30" s="1" t="s">
        <v>162</v>
      </c>
      <c r="G30" s="9">
        <v>6</v>
      </c>
      <c r="I30" s="1">
        <v>46289</v>
      </c>
      <c r="J30" s="1" t="s">
        <v>287</v>
      </c>
      <c r="K30" s="3">
        <v>192117.49</v>
      </c>
      <c r="M30" s="1">
        <v>46252</v>
      </c>
      <c r="N30" s="14">
        <v>26182.799999999999</v>
      </c>
    </row>
    <row r="31" spans="1:14">
      <c r="A31" s="1">
        <v>46289</v>
      </c>
      <c r="B31" t="s">
        <v>1981</v>
      </c>
      <c r="C31">
        <v>4.58</v>
      </c>
      <c r="E31" s="1">
        <v>46283</v>
      </c>
      <c r="F31" s="1" t="s">
        <v>163</v>
      </c>
      <c r="G31" s="9">
        <v>6</v>
      </c>
      <c r="I31" s="1">
        <v>46289</v>
      </c>
      <c r="J31" s="1" t="s">
        <v>288</v>
      </c>
      <c r="K31" s="3">
        <v>-70105.31</v>
      </c>
      <c r="M31" s="1">
        <v>46251</v>
      </c>
      <c r="N31" s="14">
        <v>26209.4</v>
      </c>
    </row>
    <row r="32" spans="1:14">
      <c r="A32" s="1">
        <v>46289</v>
      </c>
      <c r="B32" t="s">
        <v>1982</v>
      </c>
      <c r="C32">
        <v>4.6660000000000004</v>
      </c>
      <c r="E32" s="1">
        <v>46282</v>
      </c>
      <c r="F32" s="1" t="s">
        <v>160</v>
      </c>
      <c r="G32" s="9">
        <v>3.2</v>
      </c>
      <c r="I32" s="1">
        <v>46289</v>
      </c>
      <c r="J32" s="1" t="s">
        <v>289</v>
      </c>
      <c r="K32" s="3">
        <v>2</v>
      </c>
      <c r="M32" s="1">
        <v>46248</v>
      </c>
      <c r="N32" s="14">
        <v>26135.75</v>
      </c>
    </row>
    <row r="33" spans="1:14">
      <c r="A33" s="1">
        <v>46289</v>
      </c>
      <c r="B33" t="s">
        <v>1983</v>
      </c>
      <c r="C33">
        <v>4.7329999999999997</v>
      </c>
      <c r="E33" s="1">
        <v>46282</v>
      </c>
      <c r="F33" s="1" t="s">
        <v>161</v>
      </c>
      <c r="G33" s="9">
        <v>3.9</v>
      </c>
      <c r="I33" s="1">
        <v>46289</v>
      </c>
      <c r="J33" s="1" t="s">
        <v>290</v>
      </c>
      <c r="K33" s="3">
        <v>2</v>
      </c>
      <c r="M33" s="1">
        <v>46247</v>
      </c>
      <c r="N33" s="14">
        <v>26072.400000000001</v>
      </c>
    </row>
    <row r="34" spans="1:14">
      <c r="A34" s="1">
        <v>46288</v>
      </c>
      <c r="B34" t="s">
        <v>1974</v>
      </c>
      <c r="C34">
        <v>3.5329999999999999</v>
      </c>
      <c r="E34" s="1">
        <v>46282</v>
      </c>
      <c r="F34" s="1" t="s">
        <v>162</v>
      </c>
      <c r="G34" s="9">
        <v>5.5</v>
      </c>
      <c r="I34" s="1">
        <v>46288</v>
      </c>
      <c r="J34" s="1" t="s">
        <v>282</v>
      </c>
      <c r="K34" s="3">
        <v>1000</v>
      </c>
      <c r="M34" s="1">
        <v>46246</v>
      </c>
      <c r="N34" s="14">
        <v>26070.2</v>
      </c>
    </row>
    <row r="35" spans="1:14">
      <c r="A35" s="1">
        <v>46288</v>
      </c>
      <c r="B35" t="s">
        <v>1975</v>
      </c>
      <c r="C35">
        <v>3.6379999999999999</v>
      </c>
      <c r="E35" s="1">
        <v>46282</v>
      </c>
      <c r="F35" s="1" t="s">
        <v>163</v>
      </c>
      <c r="G35" s="9">
        <v>6</v>
      </c>
      <c r="I35" s="1">
        <v>46288</v>
      </c>
      <c r="J35" s="1" t="s">
        <v>283</v>
      </c>
      <c r="K35" s="3">
        <v>7</v>
      </c>
      <c r="M35" s="1">
        <v>46245</v>
      </c>
      <c r="N35" s="14">
        <v>26130.2</v>
      </c>
    </row>
    <row r="36" spans="1:14">
      <c r="A36" s="1">
        <v>46288</v>
      </c>
      <c r="B36" t="s">
        <v>1976</v>
      </c>
      <c r="C36">
        <v>3.7130000000000001</v>
      </c>
      <c r="E36" s="1">
        <v>46281</v>
      </c>
      <c r="F36" s="1" t="s">
        <v>160</v>
      </c>
      <c r="G36" s="9">
        <v>3.6</v>
      </c>
      <c r="I36" s="1">
        <v>46288</v>
      </c>
      <c r="J36" s="1" t="s">
        <v>284</v>
      </c>
      <c r="K36" s="3">
        <v>1245.81</v>
      </c>
      <c r="M36" s="1">
        <v>46244</v>
      </c>
      <c r="N36" s="14">
        <v>26160.6</v>
      </c>
    </row>
    <row r="37" spans="1:14">
      <c r="A37" s="1">
        <v>46288</v>
      </c>
      <c r="B37" t="s">
        <v>1977</v>
      </c>
      <c r="C37">
        <v>4.0019999999999998</v>
      </c>
      <c r="E37" s="1">
        <v>46281</v>
      </c>
      <c r="F37" s="1" t="s">
        <v>161</v>
      </c>
      <c r="G37" s="9">
        <v>4.2</v>
      </c>
      <c r="I37" s="1">
        <v>46288</v>
      </c>
      <c r="J37" s="1" t="s">
        <v>285</v>
      </c>
      <c r="K37" s="3">
        <v>4.5</v>
      </c>
      <c r="M37" s="1">
        <v>46241</v>
      </c>
      <c r="N37" s="14">
        <v>26199.8</v>
      </c>
    </row>
    <row r="38" spans="1:14">
      <c r="A38" s="1">
        <v>46288</v>
      </c>
      <c r="B38" t="s">
        <v>1978</v>
      </c>
      <c r="C38">
        <v>4.2919999999999998</v>
      </c>
      <c r="E38" s="1">
        <v>46281</v>
      </c>
      <c r="F38" s="1" t="s">
        <v>162</v>
      </c>
      <c r="G38" s="9">
        <v>4.8499999999999996</v>
      </c>
      <c r="I38" s="1">
        <v>46288</v>
      </c>
      <c r="J38" s="1" t="s">
        <v>286</v>
      </c>
      <c r="K38" s="3">
        <v>4360.6000000000004</v>
      </c>
      <c r="M38" s="1">
        <v>46240</v>
      </c>
      <c r="N38" s="14">
        <v>26235.4</v>
      </c>
    </row>
    <row r="39" spans="1:14">
      <c r="A39" s="1">
        <v>46288</v>
      </c>
      <c r="B39" t="s">
        <v>1979</v>
      </c>
      <c r="C39">
        <v>4.3339999999999996</v>
      </c>
      <c r="E39" s="1">
        <v>46281</v>
      </c>
      <c r="F39" s="1" t="s">
        <v>163</v>
      </c>
      <c r="G39" s="9">
        <v>6</v>
      </c>
      <c r="I39" s="1">
        <v>46288</v>
      </c>
      <c r="J39" s="1" t="s">
        <v>287</v>
      </c>
      <c r="K39" s="3">
        <v>196635.98</v>
      </c>
      <c r="M39" s="1">
        <v>46239</v>
      </c>
      <c r="N39" s="14">
        <v>26250.5</v>
      </c>
    </row>
    <row r="40" spans="1:14">
      <c r="A40" s="1">
        <v>46288</v>
      </c>
      <c r="B40" t="s">
        <v>1980</v>
      </c>
      <c r="C40">
        <v>4.4669999999999996</v>
      </c>
      <c r="E40" s="1">
        <v>46280</v>
      </c>
      <c r="F40" s="1" t="s">
        <v>160</v>
      </c>
      <c r="G40" s="9">
        <v>4.4000000000000004</v>
      </c>
      <c r="I40" s="1">
        <v>46288</v>
      </c>
      <c r="J40" s="1" t="s">
        <v>288</v>
      </c>
      <c r="K40" s="3">
        <v>-74059.509999999995</v>
      </c>
      <c r="M40" s="1">
        <v>46238</v>
      </c>
      <c r="N40" s="14">
        <v>26266</v>
      </c>
    </row>
    <row r="41" spans="1:14">
      <c r="A41" s="1">
        <v>46288</v>
      </c>
      <c r="B41" t="s">
        <v>1981</v>
      </c>
      <c r="C41">
        <v>4.58</v>
      </c>
      <c r="E41" s="1">
        <v>46280</v>
      </c>
      <c r="F41" s="1" t="s">
        <v>161</v>
      </c>
      <c r="G41" s="9">
        <v>4.5</v>
      </c>
      <c r="I41" s="1">
        <v>46288</v>
      </c>
      <c r="J41" s="1" t="s">
        <v>289</v>
      </c>
      <c r="K41" s="3">
        <v>4</v>
      </c>
      <c r="M41" s="1">
        <v>46237</v>
      </c>
      <c r="N41" s="14">
        <v>26272.6</v>
      </c>
    </row>
    <row r="42" spans="1:14">
      <c r="A42" s="1">
        <v>46288</v>
      </c>
      <c r="B42" t="s">
        <v>1982</v>
      </c>
      <c r="C42">
        <v>4.6660000000000004</v>
      </c>
      <c r="E42" s="1">
        <v>46280</v>
      </c>
      <c r="F42" s="1" t="s">
        <v>162</v>
      </c>
      <c r="G42" s="9">
        <v>5</v>
      </c>
      <c r="I42" s="1">
        <v>46288</v>
      </c>
      <c r="J42" s="1" t="s">
        <v>290</v>
      </c>
      <c r="K42" s="3">
        <v>4</v>
      </c>
      <c r="M42" s="1">
        <v>46234</v>
      </c>
      <c r="N42" s="14">
        <v>26294.2</v>
      </c>
    </row>
    <row r="43" spans="1:14">
      <c r="A43" s="1">
        <v>46288</v>
      </c>
      <c r="B43" t="s">
        <v>1983</v>
      </c>
      <c r="C43">
        <v>4.7329999999999997</v>
      </c>
      <c r="E43" s="1">
        <v>46280</v>
      </c>
      <c r="F43" s="1" t="s">
        <v>163</v>
      </c>
      <c r="G43" s="9">
        <v>6.03</v>
      </c>
      <c r="I43" s="1">
        <v>46288</v>
      </c>
      <c r="J43" s="1" t="s">
        <v>107</v>
      </c>
      <c r="K43" s="3">
        <v>7358164577873</v>
      </c>
      <c r="M43" s="1">
        <v>46233</v>
      </c>
      <c r="N43" s="14">
        <v>26281.4</v>
      </c>
    </row>
    <row r="44" spans="1:14">
      <c r="A44" s="1">
        <v>46287</v>
      </c>
      <c r="B44" t="s">
        <v>1974</v>
      </c>
      <c r="C44">
        <v>3.5329999999999999</v>
      </c>
      <c r="E44" s="1">
        <v>46279</v>
      </c>
      <c r="F44" s="1" t="s">
        <v>160</v>
      </c>
      <c r="G44" s="9">
        <v>5.2</v>
      </c>
      <c r="I44" s="1">
        <v>46287</v>
      </c>
      <c r="J44" s="1" t="s">
        <v>282</v>
      </c>
      <c r="K44" s="3">
        <v>6000</v>
      </c>
      <c r="M44" s="1">
        <v>46232</v>
      </c>
      <c r="N44" s="14">
        <v>26329.8</v>
      </c>
    </row>
    <row r="45" spans="1:14">
      <c r="A45" s="1">
        <v>46287</v>
      </c>
      <c r="B45" t="s">
        <v>1975</v>
      </c>
      <c r="C45">
        <v>3.6379999999999999</v>
      </c>
      <c r="E45" s="1">
        <v>46279</v>
      </c>
      <c r="F45" s="1" t="s">
        <v>161</v>
      </c>
      <c r="G45" s="9">
        <v>5.3</v>
      </c>
      <c r="I45" s="1">
        <v>46287</v>
      </c>
      <c r="J45" s="1" t="s">
        <v>283</v>
      </c>
      <c r="K45" s="3">
        <v>7</v>
      </c>
      <c r="M45" s="1">
        <v>46231</v>
      </c>
      <c r="N45" s="14">
        <v>26334.6</v>
      </c>
    </row>
    <row r="46" spans="1:14">
      <c r="A46" s="1">
        <v>46287</v>
      </c>
      <c r="B46" t="s">
        <v>1976</v>
      </c>
      <c r="C46">
        <v>3.7130000000000001</v>
      </c>
      <c r="E46" s="1">
        <v>46279</v>
      </c>
      <c r="F46" s="1" t="s">
        <v>162</v>
      </c>
      <c r="G46" s="9">
        <v>4.2</v>
      </c>
      <c r="I46" s="1">
        <v>46287</v>
      </c>
      <c r="J46" s="1" t="s">
        <v>284</v>
      </c>
      <c r="K46" s="3">
        <v>5907.1</v>
      </c>
      <c r="M46" s="1">
        <v>46230</v>
      </c>
      <c r="N46" s="14">
        <v>26325.4</v>
      </c>
    </row>
    <row r="47" spans="1:14">
      <c r="A47" s="1">
        <v>46287</v>
      </c>
      <c r="B47" t="s">
        <v>1977</v>
      </c>
      <c r="C47">
        <v>4.0039999999999996</v>
      </c>
      <c r="E47" s="1">
        <v>46279</v>
      </c>
      <c r="F47" s="1" t="s">
        <v>163</v>
      </c>
      <c r="G47" s="9">
        <v>6</v>
      </c>
      <c r="I47" s="1">
        <v>46287</v>
      </c>
      <c r="J47" s="1" t="s">
        <v>285</v>
      </c>
      <c r="K47" s="3">
        <v>4.5</v>
      </c>
      <c r="M47" s="1">
        <v>46227</v>
      </c>
      <c r="N47" s="14">
        <v>26321.333333333299</v>
      </c>
    </row>
    <row r="48" spans="1:14">
      <c r="A48" s="1">
        <v>46287</v>
      </c>
      <c r="B48" t="s">
        <v>1978</v>
      </c>
      <c r="C48">
        <v>4.2960000000000003</v>
      </c>
      <c r="E48" s="1">
        <v>46276</v>
      </c>
      <c r="F48" s="1" t="s">
        <v>160</v>
      </c>
      <c r="G48" s="9">
        <v>3.3</v>
      </c>
      <c r="I48" s="1">
        <v>46287</v>
      </c>
      <c r="J48" s="1" t="s">
        <v>286</v>
      </c>
      <c r="K48" s="3">
        <v>6557.5</v>
      </c>
      <c r="M48" s="1">
        <v>46226</v>
      </c>
      <c r="N48" s="14">
        <v>26312</v>
      </c>
    </row>
    <row r="49" spans="1:14">
      <c r="A49" s="1">
        <v>46287</v>
      </c>
      <c r="B49" t="s">
        <v>1979</v>
      </c>
      <c r="C49">
        <v>4.3360000000000003</v>
      </c>
      <c r="E49" s="1">
        <v>46276</v>
      </c>
      <c r="F49" s="1" t="s">
        <v>161</v>
      </c>
      <c r="G49" s="9">
        <v>4.05</v>
      </c>
      <c r="I49" s="1">
        <v>46287</v>
      </c>
      <c r="J49" s="1" t="s">
        <v>287</v>
      </c>
      <c r="K49" s="3">
        <v>199750.77</v>
      </c>
      <c r="M49" s="1">
        <v>46225</v>
      </c>
      <c r="N49" s="14">
        <v>26322.400000000001</v>
      </c>
    </row>
    <row r="50" spans="1:14">
      <c r="A50" s="1">
        <v>46287</v>
      </c>
      <c r="B50" t="s">
        <v>1980</v>
      </c>
      <c r="C50">
        <v>4.468</v>
      </c>
      <c r="E50" s="1">
        <v>46276</v>
      </c>
      <c r="F50" s="1" t="s">
        <v>162</v>
      </c>
      <c r="G50" s="9">
        <v>4.2</v>
      </c>
      <c r="I50" s="1">
        <v>46287</v>
      </c>
      <c r="J50" s="1" t="s">
        <v>288</v>
      </c>
      <c r="K50" s="3">
        <v>-75275.11</v>
      </c>
      <c r="M50" s="1">
        <v>46224</v>
      </c>
      <c r="N50" s="14">
        <v>26323.599999999999</v>
      </c>
    </row>
    <row r="51" spans="1:14">
      <c r="A51" s="1">
        <v>46287</v>
      </c>
      <c r="B51" t="s">
        <v>1981</v>
      </c>
      <c r="C51">
        <v>4.58</v>
      </c>
      <c r="E51" s="1">
        <v>46276</v>
      </c>
      <c r="F51" s="1" t="s">
        <v>163</v>
      </c>
      <c r="G51" s="9">
        <v>5.5</v>
      </c>
      <c r="I51" s="1">
        <v>46287</v>
      </c>
      <c r="J51" s="1" t="s">
        <v>289</v>
      </c>
      <c r="K51" s="3">
        <v>2</v>
      </c>
      <c r="M51" s="1">
        <v>46223</v>
      </c>
      <c r="N51" s="14">
        <v>26297.25</v>
      </c>
    </row>
    <row r="52" spans="1:14">
      <c r="A52" s="1">
        <v>46287</v>
      </c>
      <c r="B52" t="s">
        <v>1982</v>
      </c>
      <c r="C52">
        <v>4.6660000000000004</v>
      </c>
      <c r="E52" s="1">
        <v>46275</v>
      </c>
      <c r="F52" s="1" t="s">
        <v>160</v>
      </c>
      <c r="G52" s="9">
        <v>1.5</v>
      </c>
      <c r="I52" s="1">
        <v>46287</v>
      </c>
      <c r="J52" s="1" t="s">
        <v>290</v>
      </c>
      <c r="K52" s="3">
        <v>2</v>
      </c>
      <c r="M52" s="1">
        <v>46220</v>
      </c>
      <c r="N52" s="14">
        <v>26290.799999999999</v>
      </c>
    </row>
    <row r="53" spans="1:14">
      <c r="A53" s="1">
        <v>46287</v>
      </c>
      <c r="B53" t="s">
        <v>1983</v>
      </c>
      <c r="C53">
        <v>4.7329999999999997</v>
      </c>
      <c r="E53" s="1">
        <v>46275</v>
      </c>
      <c r="F53" s="1" t="s">
        <v>161</v>
      </c>
      <c r="G53" s="9">
        <v>3</v>
      </c>
      <c r="I53" s="1">
        <v>46287</v>
      </c>
      <c r="J53" s="1" t="s">
        <v>107</v>
      </c>
      <c r="K53" s="3">
        <v>6967750502207</v>
      </c>
      <c r="M53" s="1">
        <v>46219</v>
      </c>
      <c r="N53" s="14">
        <v>26256</v>
      </c>
    </row>
    <row r="54" spans="1:14">
      <c r="A54" s="1">
        <v>46286</v>
      </c>
      <c r="B54" t="s">
        <v>1974</v>
      </c>
      <c r="C54">
        <v>3.5329999999999999</v>
      </c>
      <c r="E54" s="1">
        <v>46275</v>
      </c>
      <c r="F54" s="1" t="s">
        <v>162</v>
      </c>
      <c r="G54" s="9">
        <v>3.8</v>
      </c>
      <c r="I54" s="1">
        <v>46286</v>
      </c>
      <c r="J54" s="1" t="s">
        <v>107</v>
      </c>
      <c r="K54" s="3">
        <v>7725133240264</v>
      </c>
      <c r="M54" s="1">
        <v>46218</v>
      </c>
      <c r="N54" s="14">
        <v>26257.200000000001</v>
      </c>
    </row>
    <row r="55" spans="1:14">
      <c r="A55" s="1">
        <v>46286</v>
      </c>
      <c r="B55" t="s">
        <v>1975</v>
      </c>
      <c r="C55">
        <v>3.6379999999999999</v>
      </c>
      <c r="E55" s="1">
        <v>46275</v>
      </c>
      <c r="F55" s="1" t="s">
        <v>163</v>
      </c>
      <c r="G55" s="9">
        <v>5.5</v>
      </c>
      <c r="I55" s="1">
        <v>46286</v>
      </c>
      <c r="J55" s="1" t="s">
        <v>288</v>
      </c>
      <c r="K55" s="3">
        <v>-70453.509999999995</v>
      </c>
      <c r="M55" s="1">
        <v>46217</v>
      </c>
      <c r="N55" s="14">
        <v>26260.2</v>
      </c>
    </row>
    <row r="56" spans="1:14">
      <c r="A56" s="1">
        <v>46286</v>
      </c>
      <c r="B56" t="s">
        <v>1976</v>
      </c>
      <c r="C56">
        <v>3.7130000000000001</v>
      </c>
      <c r="E56" s="1">
        <v>46274</v>
      </c>
      <c r="F56" s="1" t="s">
        <v>160</v>
      </c>
      <c r="G56" s="9">
        <v>1.5</v>
      </c>
      <c r="I56" s="1">
        <v>46286</v>
      </c>
      <c r="J56" s="1" t="s">
        <v>289</v>
      </c>
      <c r="K56" s="3">
        <v>21</v>
      </c>
      <c r="M56" s="1">
        <v>46216</v>
      </c>
      <c r="N56" s="14">
        <v>26259.4</v>
      </c>
    </row>
    <row r="57" spans="1:14">
      <c r="A57" s="1">
        <v>46286</v>
      </c>
      <c r="B57" t="s">
        <v>1977</v>
      </c>
      <c r="C57">
        <v>4.0010000000000003</v>
      </c>
      <c r="E57" s="1">
        <v>46274</v>
      </c>
      <c r="F57" s="1" t="s">
        <v>161</v>
      </c>
      <c r="G57" s="9">
        <v>2.9</v>
      </c>
      <c r="I57" s="1">
        <v>46286</v>
      </c>
      <c r="J57" s="1" t="s">
        <v>290</v>
      </c>
      <c r="K57" s="3">
        <v>21</v>
      </c>
      <c r="M57" s="1">
        <v>46213</v>
      </c>
      <c r="N57" s="14">
        <v>26275.599999999999</v>
      </c>
    </row>
    <row r="58" spans="1:14">
      <c r="A58" s="1">
        <v>46286</v>
      </c>
      <c r="B58" t="s">
        <v>1978</v>
      </c>
      <c r="C58">
        <v>4.2889999999999997</v>
      </c>
      <c r="E58" s="1">
        <v>46274</v>
      </c>
      <c r="F58" s="1" t="s">
        <v>162</v>
      </c>
      <c r="G58" s="9">
        <v>3.53</v>
      </c>
      <c r="I58" s="1">
        <v>46286</v>
      </c>
      <c r="J58" s="1" t="s">
        <v>283</v>
      </c>
      <c r="K58" s="3">
        <v>7</v>
      </c>
      <c r="M58" s="1">
        <v>46212</v>
      </c>
      <c r="N58" s="14">
        <v>26293.4</v>
      </c>
    </row>
    <row r="59" spans="1:14">
      <c r="A59" s="1">
        <v>46286</v>
      </c>
      <c r="B59" t="s">
        <v>1979</v>
      </c>
      <c r="C59">
        <v>4.3360000000000003</v>
      </c>
      <c r="E59" s="1">
        <v>46274</v>
      </c>
      <c r="F59" s="1" t="s">
        <v>163</v>
      </c>
      <c r="G59" s="9">
        <v>5.5</v>
      </c>
      <c r="I59" s="1">
        <v>46286</v>
      </c>
      <c r="J59" s="1" t="s">
        <v>284</v>
      </c>
      <c r="K59" s="3">
        <v>57066.1</v>
      </c>
      <c r="M59" s="1">
        <v>46211</v>
      </c>
      <c r="N59" s="14">
        <v>26295.5</v>
      </c>
    </row>
    <row r="60" spans="1:14">
      <c r="A60" s="1">
        <v>46286</v>
      </c>
      <c r="B60" t="s">
        <v>1980</v>
      </c>
      <c r="C60">
        <v>4.4660000000000002</v>
      </c>
      <c r="E60" s="1">
        <v>46273</v>
      </c>
      <c r="F60" s="1" t="s">
        <v>160</v>
      </c>
      <c r="G60" s="9">
        <v>2.5</v>
      </c>
      <c r="I60" s="1">
        <v>46286</v>
      </c>
      <c r="J60" s="1" t="s">
        <v>285</v>
      </c>
      <c r="K60" s="3">
        <v>4.5</v>
      </c>
      <c r="M60" s="1">
        <v>46210</v>
      </c>
      <c r="N60" s="14">
        <v>26295.4</v>
      </c>
    </row>
    <row r="61" spans="1:14">
      <c r="A61" s="1">
        <v>46286</v>
      </c>
      <c r="B61" t="s">
        <v>1981</v>
      </c>
      <c r="C61">
        <v>4.58</v>
      </c>
      <c r="E61" s="1">
        <v>46273</v>
      </c>
      <c r="F61" s="1" t="s">
        <v>161</v>
      </c>
      <c r="G61" s="9">
        <v>3.5</v>
      </c>
      <c r="I61" s="1">
        <v>46286</v>
      </c>
      <c r="J61" s="1" t="s">
        <v>286</v>
      </c>
      <c r="K61" s="3">
        <v>9151</v>
      </c>
      <c r="M61" s="1">
        <v>46209</v>
      </c>
      <c r="N61" s="14">
        <v>26300</v>
      </c>
    </row>
    <row r="62" spans="1:14">
      <c r="A62" s="1">
        <v>46286</v>
      </c>
      <c r="B62" t="s">
        <v>1982</v>
      </c>
      <c r="C62">
        <v>4.6660000000000004</v>
      </c>
      <c r="E62" s="1">
        <v>46273</v>
      </c>
      <c r="F62" s="1" t="s">
        <v>162</v>
      </c>
      <c r="G62" s="9">
        <v>4.7</v>
      </c>
      <c r="I62" s="1">
        <v>46286</v>
      </c>
      <c r="J62" s="1" t="s">
        <v>287</v>
      </c>
      <c r="K62" s="3">
        <v>200401.17</v>
      </c>
      <c r="M62" s="1">
        <v>46206</v>
      </c>
      <c r="N62" s="14">
        <v>26296.400000000001</v>
      </c>
    </row>
    <row r="63" spans="1:14">
      <c r="A63" s="1">
        <v>46286</v>
      </c>
      <c r="B63" t="s">
        <v>1983</v>
      </c>
      <c r="C63">
        <v>4.7329999999999997</v>
      </c>
      <c r="E63" s="1">
        <v>46273</v>
      </c>
      <c r="F63" s="1" t="s">
        <v>163</v>
      </c>
      <c r="G63" s="9">
        <v>6.15</v>
      </c>
      <c r="I63" s="1">
        <v>46286</v>
      </c>
      <c r="J63" s="1" t="s">
        <v>282</v>
      </c>
      <c r="K63" s="3">
        <v>46000</v>
      </c>
      <c r="M63" s="1">
        <v>46205</v>
      </c>
      <c r="N63" s="14">
        <v>26293.200000000001</v>
      </c>
    </row>
    <row r="64" spans="1:14">
      <c r="A64" s="1">
        <v>46283</v>
      </c>
      <c r="B64" t="s">
        <v>1974</v>
      </c>
      <c r="C64">
        <v>3.5329999999999999</v>
      </c>
      <c r="E64" s="1">
        <v>46272</v>
      </c>
      <c r="F64" s="1" t="s">
        <v>160</v>
      </c>
      <c r="G64" s="9">
        <v>3.5</v>
      </c>
      <c r="I64" s="1">
        <v>46285</v>
      </c>
      <c r="J64" s="1" t="s">
        <v>107</v>
      </c>
      <c r="K64" s="3">
        <v>8119035569443</v>
      </c>
      <c r="M64" s="1">
        <v>46204</v>
      </c>
      <c r="N64" s="14">
        <v>26300.799999999999</v>
      </c>
    </row>
    <row r="65" spans="1:14">
      <c r="A65" s="1">
        <v>46283</v>
      </c>
      <c r="B65" t="s">
        <v>1975</v>
      </c>
      <c r="C65">
        <v>3.6379999999999999</v>
      </c>
      <c r="E65" s="1">
        <v>46272</v>
      </c>
      <c r="F65" s="1" t="s">
        <v>161</v>
      </c>
      <c r="G65" s="9">
        <v>4.4000000000000004</v>
      </c>
      <c r="I65" s="1">
        <v>46283</v>
      </c>
      <c r="J65" s="1" t="s">
        <v>282</v>
      </c>
      <c r="K65" s="3">
        <v>4000</v>
      </c>
      <c r="M65" s="1">
        <v>46203</v>
      </c>
      <c r="N65" s="14">
        <v>26313.200000000001</v>
      </c>
    </row>
    <row r="66" spans="1:14">
      <c r="A66" s="1">
        <v>46283</v>
      </c>
      <c r="B66" t="s">
        <v>1976</v>
      </c>
      <c r="C66">
        <v>3.7130000000000001</v>
      </c>
      <c r="E66" s="1">
        <v>46272</v>
      </c>
      <c r="F66" s="1" t="s">
        <v>162</v>
      </c>
      <c r="G66" s="9">
        <v>5.65</v>
      </c>
      <c r="I66" s="1">
        <v>46283</v>
      </c>
      <c r="J66" s="1" t="s">
        <v>283</v>
      </c>
      <c r="K66" s="3">
        <v>7</v>
      </c>
      <c r="M66" s="1">
        <v>46202</v>
      </c>
      <c r="N66" s="14">
        <v>26296.2</v>
      </c>
    </row>
    <row r="67" spans="1:14">
      <c r="A67" s="1">
        <v>46283</v>
      </c>
      <c r="B67" t="s">
        <v>1977</v>
      </c>
      <c r="C67">
        <v>4.0060000000000002</v>
      </c>
      <c r="E67" s="1">
        <v>46272</v>
      </c>
      <c r="F67" s="1" t="s">
        <v>163</v>
      </c>
      <c r="G67" s="9">
        <v>6</v>
      </c>
      <c r="I67" s="1">
        <v>46283</v>
      </c>
      <c r="J67" s="1" t="s">
        <v>284</v>
      </c>
      <c r="K67" s="3">
        <v>10684</v>
      </c>
      <c r="M67" s="1">
        <v>46199</v>
      </c>
      <c r="N67" s="14">
        <v>26301.200000000001</v>
      </c>
    </row>
    <row r="68" spans="1:14">
      <c r="A68" s="1">
        <v>46283</v>
      </c>
      <c r="B68" t="s">
        <v>1978</v>
      </c>
      <c r="C68">
        <v>4.2990000000000004</v>
      </c>
      <c r="E68" s="1">
        <v>46269</v>
      </c>
      <c r="F68" s="1" t="s">
        <v>160</v>
      </c>
      <c r="G68" s="9">
        <v>4.5999999999999996</v>
      </c>
      <c r="I68" s="1">
        <v>46283</v>
      </c>
      <c r="J68" s="1" t="s">
        <v>285</v>
      </c>
      <c r="K68" s="3">
        <v>4.5</v>
      </c>
      <c r="M68" s="1">
        <v>46198</v>
      </c>
      <c r="N68" s="14">
        <v>26321.8</v>
      </c>
    </row>
    <row r="69" spans="1:14">
      <c r="A69" s="1">
        <v>46283</v>
      </c>
      <c r="B69" t="s">
        <v>1979</v>
      </c>
      <c r="C69">
        <v>4.3339999999999996</v>
      </c>
      <c r="E69" s="1">
        <v>46269</v>
      </c>
      <c r="F69" s="1" t="s">
        <v>161</v>
      </c>
      <c r="G69" s="9">
        <v>5.15</v>
      </c>
      <c r="I69" s="1">
        <v>46283</v>
      </c>
      <c r="J69" s="1" t="s">
        <v>286</v>
      </c>
      <c r="K69" s="3">
        <v>9394.9</v>
      </c>
      <c r="M69" s="1">
        <v>46197</v>
      </c>
      <c r="N69" s="14">
        <v>26334.6</v>
      </c>
    </row>
    <row r="70" spans="1:14">
      <c r="A70" s="1">
        <v>46283</v>
      </c>
      <c r="B70" t="s">
        <v>1980</v>
      </c>
      <c r="C70">
        <v>4.4619999999999997</v>
      </c>
      <c r="E70" s="1">
        <v>46269</v>
      </c>
      <c r="F70" s="1" t="s">
        <v>162</v>
      </c>
      <c r="G70" s="9">
        <v>6.5</v>
      </c>
      <c r="I70" s="1">
        <v>46283</v>
      </c>
      <c r="J70" s="1" t="s">
        <v>287</v>
      </c>
      <c r="K70" s="3">
        <v>152486.07</v>
      </c>
      <c r="M70" s="1">
        <v>46196</v>
      </c>
      <c r="N70" s="14">
        <v>26323.599999999999</v>
      </c>
    </row>
    <row r="71" spans="1:14">
      <c r="A71" s="1">
        <v>46283</v>
      </c>
      <c r="B71" t="s">
        <v>1981</v>
      </c>
      <c r="C71">
        <v>4.58</v>
      </c>
      <c r="E71" s="1">
        <v>46269</v>
      </c>
      <c r="F71" s="1" t="s">
        <v>163</v>
      </c>
      <c r="G71" s="9">
        <v>6.3</v>
      </c>
      <c r="I71" s="1">
        <v>46283</v>
      </c>
      <c r="J71" s="1" t="s">
        <v>288</v>
      </c>
      <c r="K71" s="3">
        <v>-33246.410000000003</v>
      </c>
      <c r="M71" s="1">
        <v>46195</v>
      </c>
      <c r="N71" s="14">
        <v>26320</v>
      </c>
    </row>
    <row r="72" spans="1:14">
      <c r="A72" s="1">
        <v>46283</v>
      </c>
      <c r="B72" t="s">
        <v>1982</v>
      </c>
      <c r="C72">
        <v>4.6660000000000004</v>
      </c>
      <c r="E72" s="1">
        <v>46268</v>
      </c>
      <c r="F72" s="1" t="s">
        <v>160</v>
      </c>
      <c r="G72" s="9">
        <v>6</v>
      </c>
      <c r="I72" s="1">
        <v>46283</v>
      </c>
      <c r="J72" s="1" t="s">
        <v>289</v>
      </c>
      <c r="K72" s="3">
        <v>8</v>
      </c>
      <c r="M72" s="1">
        <v>46192</v>
      </c>
      <c r="N72" s="14">
        <v>26319.4</v>
      </c>
    </row>
    <row r="73" spans="1:14">
      <c r="A73" s="1">
        <v>46283</v>
      </c>
      <c r="B73" t="s">
        <v>1983</v>
      </c>
      <c r="C73">
        <v>4.7329999999999997</v>
      </c>
      <c r="E73" s="1">
        <v>46268</v>
      </c>
      <c r="F73" s="1" t="s">
        <v>161</v>
      </c>
      <c r="G73" s="9">
        <v>6.35</v>
      </c>
      <c r="I73" s="1">
        <v>46283</v>
      </c>
      <c r="J73" s="1" t="s">
        <v>290</v>
      </c>
      <c r="K73" s="3">
        <v>8</v>
      </c>
      <c r="M73" s="1">
        <v>46191</v>
      </c>
      <c r="N73" s="14">
        <v>26323.666666666701</v>
      </c>
    </row>
    <row r="74" spans="1:14">
      <c r="A74" s="1">
        <v>46282</v>
      </c>
      <c r="B74" t="s">
        <v>1974</v>
      </c>
      <c r="C74">
        <v>3.5329999999999999</v>
      </c>
      <c r="E74" s="1">
        <v>46268</v>
      </c>
      <c r="F74" s="1" t="s">
        <v>162</v>
      </c>
      <c r="G74" s="9">
        <v>6.5</v>
      </c>
      <c r="I74" s="1">
        <v>46282</v>
      </c>
      <c r="J74" s="1" t="s">
        <v>107</v>
      </c>
      <c r="K74" s="3">
        <v>7801687900312</v>
      </c>
      <c r="M74" s="1">
        <v>46190</v>
      </c>
      <c r="N74" s="14">
        <v>26321.599999999999</v>
      </c>
    </row>
    <row r="75" spans="1:14">
      <c r="A75" s="1">
        <v>46282</v>
      </c>
      <c r="B75" t="s">
        <v>1975</v>
      </c>
      <c r="C75">
        <v>3.6379999999999999</v>
      </c>
      <c r="E75" s="1">
        <v>46268</v>
      </c>
      <c r="F75" s="1" t="s">
        <v>163</v>
      </c>
      <c r="G75" s="9">
        <v>6.5</v>
      </c>
      <c r="I75" s="1">
        <v>46281</v>
      </c>
      <c r="J75" s="1" t="s">
        <v>282</v>
      </c>
      <c r="K75" s="3">
        <v>1000</v>
      </c>
      <c r="M75" s="1">
        <v>46189</v>
      </c>
      <c r="N75" s="14">
        <v>26301.200000000001</v>
      </c>
    </row>
    <row r="76" spans="1:14">
      <c r="A76" s="1">
        <v>46282</v>
      </c>
      <c r="B76" t="s">
        <v>1976</v>
      </c>
      <c r="C76">
        <v>3.7040000000000002</v>
      </c>
      <c r="E76" s="1">
        <v>46262</v>
      </c>
      <c r="F76" s="1" t="s">
        <v>160</v>
      </c>
      <c r="G76" s="9">
        <v>7.5</v>
      </c>
      <c r="I76" s="1">
        <v>46281</v>
      </c>
      <c r="J76" s="1" t="s">
        <v>283</v>
      </c>
      <c r="K76" s="3">
        <v>7</v>
      </c>
      <c r="M76" s="1">
        <v>46188</v>
      </c>
      <c r="N76" s="14">
        <v>26288.799999999999</v>
      </c>
    </row>
    <row r="77" spans="1:14">
      <c r="A77" s="1">
        <v>46282</v>
      </c>
      <c r="B77" t="s">
        <v>1977</v>
      </c>
      <c r="C77">
        <v>3.996</v>
      </c>
      <c r="E77" s="1">
        <v>46262</v>
      </c>
      <c r="F77" s="1" t="s">
        <v>161</v>
      </c>
      <c r="G77" s="9">
        <v>7.25</v>
      </c>
      <c r="I77" s="1">
        <v>46281</v>
      </c>
      <c r="J77" s="1" t="s">
        <v>284</v>
      </c>
      <c r="K77" s="3">
        <v>811.6</v>
      </c>
      <c r="M77" s="1">
        <v>46185</v>
      </c>
      <c r="N77" s="14">
        <v>26314.799999999999</v>
      </c>
    </row>
    <row r="78" spans="1:14">
      <c r="A78" s="1">
        <v>46282</v>
      </c>
      <c r="B78" t="s">
        <v>1978</v>
      </c>
      <c r="C78">
        <v>4.2880000000000003</v>
      </c>
      <c r="E78" s="1">
        <v>46262</v>
      </c>
      <c r="F78" s="1" t="s">
        <v>162</v>
      </c>
      <c r="G78" s="9">
        <v>6.6</v>
      </c>
      <c r="I78" s="1">
        <v>46281</v>
      </c>
      <c r="J78" s="1" t="s">
        <v>285</v>
      </c>
      <c r="K78" s="3">
        <v>4.5</v>
      </c>
      <c r="M78" s="1">
        <v>46184</v>
      </c>
      <c r="N78" s="14">
        <v>26328</v>
      </c>
    </row>
    <row r="79" spans="1:14">
      <c r="A79" s="1">
        <v>46282</v>
      </c>
      <c r="B79" t="s">
        <v>1979</v>
      </c>
      <c r="C79">
        <v>4.3360000000000003</v>
      </c>
      <c r="E79" s="1">
        <v>46262</v>
      </c>
      <c r="F79" s="1" t="s">
        <v>163</v>
      </c>
      <c r="G79" s="9">
        <v>6.55</v>
      </c>
      <c r="I79" s="1">
        <v>46281</v>
      </c>
      <c r="J79" s="1" t="s">
        <v>286</v>
      </c>
      <c r="K79" s="3">
        <v>13641</v>
      </c>
      <c r="M79" s="1">
        <v>46183</v>
      </c>
      <c r="N79" s="14">
        <v>26319</v>
      </c>
    </row>
    <row r="80" spans="1:14">
      <c r="A80" s="1">
        <v>46282</v>
      </c>
      <c r="B80" t="s">
        <v>1980</v>
      </c>
      <c r="C80">
        <v>4.46</v>
      </c>
      <c r="E80" s="1">
        <v>46261</v>
      </c>
      <c r="F80" s="1" t="s">
        <v>160</v>
      </c>
      <c r="G80" s="9">
        <v>1.2</v>
      </c>
      <c r="I80" s="1">
        <v>46281</v>
      </c>
      <c r="J80" s="1" t="s">
        <v>287</v>
      </c>
      <c r="K80" s="3">
        <v>163050.26999999999</v>
      </c>
      <c r="M80" s="1">
        <v>46182</v>
      </c>
      <c r="N80" s="14">
        <v>26335</v>
      </c>
    </row>
    <row r="81" spans="1:14">
      <c r="A81" s="1">
        <v>46282</v>
      </c>
      <c r="B81" t="s">
        <v>1981</v>
      </c>
      <c r="C81">
        <v>4.5780000000000003</v>
      </c>
      <c r="E81" s="1">
        <v>46261</v>
      </c>
      <c r="F81" s="1" t="s">
        <v>161</v>
      </c>
      <c r="G81" s="9">
        <v>6.3</v>
      </c>
      <c r="I81" s="1">
        <v>46281</v>
      </c>
      <c r="J81" s="1" t="s">
        <v>288</v>
      </c>
      <c r="K81" s="3">
        <v>-43848.5</v>
      </c>
      <c r="M81" s="1">
        <v>46181</v>
      </c>
      <c r="N81" s="14">
        <v>26345.4</v>
      </c>
    </row>
    <row r="82" spans="1:14">
      <c r="A82" s="1">
        <v>46282</v>
      </c>
      <c r="B82" t="s">
        <v>1982</v>
      </c>
      <c r="C82">
        <v>4.6660000000000004</v>
      </c>
      <c r="E82" s="1">
        <v>46261</v>
      </c>
      <c r="F82" s="1" t="s">
        <v>162</v>
      </c>
      <c r="G82" s="9">
        <v>6.6</v>
      </c>
      <c r="I82" s="1">
        <v>46281</v>
      </c>
      <c r="J82" s="1" t="s">
        <v>289</v>
      </c>
      <c r="K82" s="3">
        <v>3</v>
      </c>
      <c r="M82" s="1">
        <v>46178</v>
      </c>
      <c r="N82" s="14">
        <v>26331.333333333299</v>
      </c>
    </row>
    <row r="83" spans="1:14">
      <c r="A83" s="1">
        <v>46282</v>
      </c>
      <c r="B83" t="s">
        <v>1983</v>
      </c>
      <c r="C83">
        <v>4.7329999999999997</v>
      </c>
      <c r="E83" s="1">
        <v>46261</v>
      </c>
      <c r="F83" s="1" t="s">
        <v>163</v>
      </c>
      <c r="G83" s="9">
        <v>6.55</v>
      </c>
      <c r="I83" s="1">
        <v>46281</v>
      </c>
      <c r="J83" s="1" t="s">
        <v>290</v>
      </c>
      <c r="K83" s="3">
        <v>3</v>
      </c>
      <c r="M83" s="1">
        <v>46177</v>
      </c>
      <c r="N83" s="14">
        <v>26334.75</v>
      </c>
    </row>
    <row r="84" spans="1:14">
      <c r="A84" s="1">
        <v>46281</v>
      </c>
      <c r="B84" t="s">
        <v>1974</v>
      </c>
      <c r="C84">
        <v>3.5329999999999999</v>
      </c>
      <c r="E84" s="1">
        <v>46260</v>
      </c>
      <c r="F84" s="1" t="s">
        <v>160</v>
      </c>
      <c r="G84" s="9">
        <v>2</v>
      </c>
      <c r="I84" s="1">
        <v>46281</v>
      </c>
      <c r="J84" s="1" t="s">
        <v>107</v>
      </c>
      <c r="K84" s="3">
        <v>8334021245174</v>
      </c>
      <c r="M84" s="1">
        <v>46176</v>
      </c>
      <c r="N84" s="14">
        <v>26343.8</v>
      </c>
    </row>
    <row r="85" spans="1:14">
      <c r="A85" s="1">
        <v>46281</v>
      </c>
      <c r="B85" t="s">
        <v>1975</v>
      </c>
      <c r="C85">
        <v>3.6379999999999999</v>
      </c>
      <c r="E85" s="1">
        <v>46260</v>
      </c>
      <c r="F85" s="1" t="s">
        <v>161</v>
      </c>
      <c r="G85" s="9">
        <v>6.3</v>
      </c>
      <c r="I85" s="1">
        <v>46280</v>
      </c>
      <c r="J85" s="1" t="s">
        <v>107</v>
      </c>
      <c r="K85" s="3">
        <v>8332387598570</v>
      </c>
      <c r="M85" s="1">
        <v>46175</v>
      </c>
      <c r="N85" s="14">
        <v>26332.6</v>
      </c>
    </row>
    <row r="86" spans="1:14">
      <c r="A86" s="1">
        <v>46281</v>
      </c>
      <c r="B86" t="s">
        <v>1976</v>
      </c>
      <c r="C86">
        <v>3.7040000000000002</v>
      </c>
      <c r="E86" s="1">
        <v>46260</v>
      </c>
      <c r="F86" s="1" t="s">
        <v>162</v>
      </c>
      <c r="G86" s="9">
        <v>6.4</v>
      </c>
      <c r="I86" s="1">
        <v>46280</v>
      </c>
      <c r="J86" s="1" t="s">
        <v>282</v>
      </c>
      <c r="K86" s="3">
        <v>1000</v>
      </c>
      <c r="M86" s="1">
        <v>46174</v>
      </c>
      <c r="N86" s="14">
        <v>26323.599999999999</v>
      </c>
    </row>
    <row r="87" spans="1:14">
      <c r="A87" s="1">
        <v>46281</v>
      </c>
      <c r="B87" t="s">
        <v>1977</v>
      </c>
      <c r="C87">
        <v>3.992</v>
      </c>
      <c r="E87" s="1">
        <v>46260</v>
      </c>
      <c r="F87" s="1" t="s">
        <v>163</v>
      </c>
      <c r="G87" s="9">
        <v>6.9</v>
      </c>
      <c r="I87" s="1">
        <v>46280</v>
      </c>
      <c r="J87" s="1" t="s">
        <v>283</v>
      </c>
      <c r="K87" s="3">
        <v>7</v>
      </c>
      <c r="M87" s="1">
        <v>46171</v>
      </c>
      <c r="N87" s="14">
        <v>26311.333333333299</v>
      </c>
    </row>
    <row r="88" spans="1:14">
      <c r="A88" s="1">
        <v>46281</v>
      </c>
      <c r="B88" t="s">
        <v>1978</v>
      </c>
      <c r="C88">
        <v>4.28</v>
      </c>
      <c r="E88" s="1">
        <v>46259</v>
      </c>
      <c r="F88" s="1" t="s">
        <v>160</v>
      </c>
      <c r="G88" s="9">
        <v>2.5</v>
      </c>
      <c r="I88" s="1">
        <v>46280</v>
      </c>
      <c r="J88" s="1" t="s">
        <v>284</v>
      </c>
      <c r="K88" s="3">
        <v>852.5</v>
      </c>
      <c r="M88" s="1">
        <v>46170</v>
      </c>
      <c r="N88" s="14">
        <v>26324.799999999999</v>
      </c>
    </row>
    <row r="89" spans="1:14">
      <c r="A89" s="1">
        <v>46281</v>
      </c>
      <c r="B89" t="s">
        <v>1979</v>
      </c>
      <c r="C89">
        <v>4.3339999999999996</v>
      </c>
      <c r="E89" s="1">
        <v>46259</v>
      </c>
      <c r="F89" s="1" t="s">
        <v>161</v>
      </c>
      <c r="G89" s="9">
        <v>6.3</v>
      </c>
      <c r="I89" s="1">
        <v>46280</v>
      </c>
      <c r="J89" s="1" t="s">
        <v>285</v>
      </c>
      <c r="K89" s="3">
        <v>4.5</v>
      </c>
      <c r="M89" s="1">
        <v>46169</v>
      </c>
      <c r="N89" s="14">
        <v>26333.8</v>
      </c>
    </row>
    <row r="90" spans="1:14">
      <c r="A90" s="1">
        <v>46281</v>
      </c>
      <c r="B90" t="s">
        <v>1980</v>
      </c>
      <c r="C90">
        <v>4.4589999999999996</v>
      </c>
      <c r="E90" s="1">
        <v>46259</v>
      </c>
      <c r="F90" s="1" t="s">
        <v>162</v>
      </c>
      <c r="G90" s="9">
        <v>6.35</v>
      </c>
      <c r="I90" s="1">
        <v>46280</v>
      </c>
      <c r="J90" s="1" t="s">
        <v>286</v>
      </c>
      <c r="K90" s="3">
        <v>15118.5</v>
      </c>
      <c r="M90" s="1">
        <v>46168</v>
      </c>
      <c r="N90" s="14">
        <v>26347.4</v>
      </c>
    </row>
    <row r="91" spans="1:14">
      <c r="A91" s="1">
        <v>46281</v>
      </c>
      <c r="B91" t="s">
        <v>1981</v>
      </c>
      <c r="C91">
        <v>4.5780000000000003</v>
      </c>
      <c r="E91" s="1">
        <v>46259</v>
      </c>
      <c r="F91" s="1" t="s">
        <v>163</v>
      </c>
      <c r="G91" s="9">
        <v>7.05</v>
      </c>
      <c r="I91" s="1">
        <v>46280</v>
      </c>
      <c r="J91" s="1" t="s">
        <v>287</v>
      </c>
      <c r="K91" s="3">
        <v>175879.67</v>
      </c>
      <c r="M91" s="1">
        <v>46167</v>
      </c>
      <c r="N91" s="14">
        <v>26357.4</v>
      </c>
    </row>
    <row r="92" spans="1:14">
      <c r="A92" s="1">
        <v>46281</v>
      </c>
      <c r="B92" t="s">
        <v>1982</v>
      </c>
      <c r="C92">
        <v>4.6660000000000004</v>
      </c>
      <c r="E92" s="1">
        <v>46258</v>
      </c>
      <c r="F92" s="1" t="s">
        <v>160</v>
      </c>
      <c r="G92" s="9">
        <v>4</v>
      </c>
      <c r="I92" s="1">
        <v>46280</v>
      </c>
      <c r="J92" s="1" t="s">
        <v>288</v>
      </c>
      <c r="K92" s="3">
        <v>-53128.9</v>
      </c>
      <c r="M92" s="1">
        <v>46164</v>
      </c>
      <c r="N92" s="14">
        <v>26368.799999999999</v>
      </c>
    </row>
    <row r="93" spans="1:14">
      <c r="A93" s="1">
        <v>46281</v>
      </c>
      <c r="B93" t="s">
        <v>1983</v>
      </c>
      <c r="C93">
        <v>4.7329999999999997</v>
      </c>
      <c r="E93" s="1">
        <v>46258</v>
      </c>
      <c r="F93" s="1" t="s">
        <v>161</v>
      </c>
      <c r="G93" s="9">
        <v>4.5</v>
      </c>
      <c r="I93" s="1">
        <v>46280</v>
      </c>
      <c r="J93" s="1" t="s">
        <v>289</v>
      </c>
      <c r="K93" s="3">
        <v>3</v>
      </c>
      <c r="M93" s="1">
        <v>46163</v>
      </c>
      <c r="N93" s="14">
        <v>26364.2</v>
      </c>
    </row>
    <row r="94" spans="1:14">
      <c r="A94" s="1">
        <v>46280</v>
      </c>
      <c r="B94" t="s">
        <v>1974</v>
      </c>
      <c r="C94">
        <v>3.5329999999999999</v>
      </c>
      <c r="E94" s="1">
        <v>46258</v>
      </c>
      <c r="F94" s="1" t="s">
        <v>162</v>
      </c>
      <c r="G94" s="9">
        <v>6.13</v>
      </c>
      <c r="I94" s="1">
        <v>46280</v>
      </c>
      <c r="J94" s="1" t="s">
        <v>290</v>
      </c>
      <c r="K94" s="3">
        <v>3</v>
      </c>
      <c r="M94" s="1">
        <v>46162</v>
      </c>
      <c r="N94" s="14">
        <v>26367</v>
      </c>
    </row>
    <row r="95" spans="1:14">
      <c r="A95" s="1">
        <v>46280</v>
      </c>
      <c r="B95" t="s">
        <v>1975</v>
      </c>
      <c r="C95">
        <v>3.6379999999999999</v>
      </c>
      <c r="E95" s="1">
        <v>46258</v>
      </c>
      <c r="F95" s="1" t="s">
        <v>163</v>
      </c>
      <c r="G95" s="9">
        <v>7.2</v>
      </c>
      <c r="I95" s="1">
        <v>46279</v>
      </c>
      <c r="J95" s="1" t="s">
        <v>282</v>
      </c>
      <c r="K95" s="3">
        <v>3000</v>
      </c>
      <c r="M95" s="1">
        <v>46161</v>
      </c>
      <c r="N95" s="14">
        <v>26358</v>
      </c>
    </row>
    <row r="96" spans="1:14">
      <c r="A96" s="1">
        <v>46280</v>
      </c>
      <c r="B96" t="s">
        <v>1976</v>
      </c>
      <c r="C96">
        <v>3.7040000000000002</v>
      </c>
      <c r="E96" s="1">
        <v>46255</v>
      </c>
      <c r="F96" s="1" t="s">
        <v>160</v>
      </c>
      <c r="G96" s="9">
        <v>3</v>
      </c>
      <c r="I96" s="1">
        <v>46279</v>
      </c>
      <c r="J96" s="1" t="s">
        <v>283</v>
      </c>
      <c r="K96" s="3">
        <v>7</v>
      </c>
      <c r="M96" s="1">
        <v>46160</v>
      </c>
      <c r="N96" s="14">
        <v>26358.6</v>
      </c>
    </row>
    <row r="97" spans="1:14">
      <c r="A97" s="1">
        <v>46280</v>
      </c>
      <c r="B97" t="s">
        <v>1977</v>
      </c>
      <c r="C97">
        <v>3.9910000000000001</v>
      </c>
      <c r="E97" s="1">
        <v>46255</v>
      </c>
      <c r="F97" s="1" t="s">
        <v>161</v>
      </c>
      <c r="G97" s="9">
        <v>4.5</v>
      </c>
      <c r="I97" s="1">
        <v>46279</v>
      </c>
      <c r="J97" s="1" t="s">
        <v>284</v>
      </c>
      <c r="K97" s="3">
        <v>7255</v>
      </c>
      <c r="M97" s="1">
        <v>46157</v>
      </c>
      <c r="N97" s="14">
        <v>26359</v>
      </c>
    </row>
    <row r="98" spans="1:14">
      <c r="A98" s="1">
        <v>46280</v>
      </c>
      <c r="B98" t="s">
        <v>1978</v>
      </c>
      <c r="C98">
        <v>4.2779999999999996</v>
      </c>
      <c r="E98" s="1">
        <v>46255</v>
      </c>
      <c r="F98" s="1" t="s">
        <v>162</v>
      </c>
      <c r="G98" s="9">
        <v>6.1</v>
      </c>
      <c r="I98" s="1">
        <v>46279</v>
      </c>
      <c r="J98" s="1" t="s">
        <v>285</v>
      </c>
      <c r="K98" s="3">
        <v>4.5</v>
      </c>
      <c r="M98" s="1">
        <v>46156</v>
      </c>
      <c r="N98" s="14">
        <v>26351</v>
      </c>
    </row>
    <row r="99" spans="1:14">
      <c r="A99" s="1">
        <v>46280</v>
      </c>
      <c r="B99" t="s">
        <v>1979</v>
      </c>
      <c r="C99">
        <v>4.335</v>
      </c>
      <c r="E99" s="1">
        <v>46255</v>
      </c>
      <c r="F99" s="1" t="s">
        <v>163</v>
      </c>
      <c r="G99" s="9">
        <v>7.1</v>
      </c>
      <c r="I99" s="1">
        <v>46279</v>
      </c>
      <c r="J99" s="1" t="s">
        <v>286</v>
      </c>
      <c r="K99" s="3">
        <v>32139.69</v>
      </c>
      <c r="M99" s="1">
        <v>46155</v>
      </c>
      <c r="N99" s="14">
        <v>26350.6</v>
      </c>
    </row>
    <row r="100" spans="1:14">
      <c r="A100" s="1">
        <v>46280</v>
      </c>
      <c r="B100" t="s">
        <v>1980</v>
      </c>
      <c r="C100">
        <v>4.46</v>
      </c>
      <c r="E100" s="1">
        <v>46254</v>
      </c>
      <c r="F100" s="1" t="s">
        <v>160</v>
      </c>
      <c r="G100" s="9">
        <v>3</v>
      </c>
      <c r="I100" s="1">
        <v>46279</v>
      </c>
      <c r="J100" s="1" t="s">
        <v>287</v>
      </c>
      <c r="K100" s="3">
        <v>190145.67</v>
      </c>
      <c r="M100" s="1">
        <v>46154</v>
      </c>
      <c r="N100" s="14">
        <v>26336.2</v>
      </c>
    </row>
    <row r="101" spans="1:14">
      <c r="A101" s="1">
        <v>46280</v>
      </c>
      <c r="B101" t="s">
        <v>1981</v>
      </c>
      <c r="C101">
        <v>4.5780000000000003</v>
      </c>
      <c r="E101" s="1">
        <v>46254</v>
      </c>
      <c r="F101" s="1" t="s">
        <v>161</v>
      </c>
      <c r="G101" s="9">
        <v>3.55</v>
      </c>
      <c r="I101" s="1">
        <v>46279</v>
      </c>
      <c r="J101" s="1" t="s">
        <v>288</v>
      </c>
      <c r="K101" s="3">
        <v>-61689.9</v>
      </c>
      <c r="M101" s="1">
        <v>46153</v>
      </c>
      <c r="N101" s="14">
        <v>26318.2</v>
      </c>
    </row>
    <row r="102" spans="1:14">
      <c r="A102" s="1">
        <v>46280</v>
      </c>
      <c r="B102" t="s">
        <v>1982</v>
      </c>
      <c r="C102">
        <v>4.6660000000000004</v>
      </c>
      <c r="E102" s="1">
        <v>46254</v>
      </c>
      <c r="F102" s="1" t="s">
        <v>162</v>
      </c>
      <c r="G102" s="9">
        <v>5.6</v>
      </c>
      <c r="I102" s="1">
        <v>46279</v>
      </c>
      <c r="J102" s="1" t="s">
        <v>289</v>
      </c>
      <c r="K102" s="3">
        <v>13</v>
      </c>
      <c r="M102" s="1">
        <v>46150</v>
      </c>
      <c r="N102" s="14">
        <v>26309.200000000001</v>
      </c>
    </row>
    <row r="103" spans="1:14">
      <c r="A103" s="1">
        <v>46280</v>
      </c>
      <c r="B103" t="s">
        <v>1983</v>
      </c>
      <c r="C103">
        <v>4.7329999999999997</v>
      </c>
      <c r="E103" s="1">
        <v>46254</v>
      </c>
      <c r="F103" s="1" t="s">
        <v>163</v>
      </c>
      <c r="G103" s="9">
        <v>7.03</v>
      </c>
      <c r="I103" s="1">
        <v>46279</v>
      </c>
      <c r="J103" s="1" t="s">
        <v>290</v>
      </c>
      <c r="K103" s="3">
        <v>13</v>
      </c>
      <c r="M103" s="1">
        <v>46149</v>
      </c>
      <c r="N103" s="14">
        <v>26311.4</v>
      </c>
    </row>
    <row r="104" spans="1:14">
      <c r="A104" s="1">
        <v>46279</v>
      </c>
      <c r="B104" t="s">
        <v>1974</v>
      </c>
      <c r="C104">
        <v>3.5329999999999999</v>
      </c>
      <c r="E104" s="1">
        <v>46253</v>
      </c>
      <c r="F104" s="1" t="s">
        <v>160</v>
      </c>
      <c r="G104" s="9">
        <v>4</v>
      </c>
      <c r="I104" s="1">
        <v>46279</v>
      </c>
      <c r="J104" s="1" t="s">
        <v>107</v>
      </c>
      <c r="K104" s="3">
        <v>8551279024131</v>
      </c>
      <c r="M104" s="1">
        <v>46148</v>
      </c>
      <c r="N104" s="14">
        <v>26321.599999999999</v>
      </c>
    </row>
    <row r="105" spans="1:14">
      <c r="A105" s="1">
        <v>46279</v>
      </c>
      <c r="B105" t="s">
        <v>1975</v>
      </c>
      <c r="C105">
        <v>3.6379999999999999</v>
      </c>
      <c r="E105" s="1">
        <v>46253</v>
      </c>
      <c r="F105" s="1" t="s">
        <v>161</v>
      </c>
      <c r="G105" s="9">
        <v>4.3</v>
      </c>
      <c r="I105" s="1">
        <v>46278</v>
      </c>
      <c r="J105" s="1" t="s">
        <v>107</v>
      </c>
      <c r="K105" s="3">
        <v>8562962967560</v>
      </c>
      <c r="M105" s="1">
        <v>46147</v>
      </c>
      <c r="N105" s="14">
        <v>26335</v>
      </c>
    </row>
    <row r="106" spans="1:14">
      <c r="A106" s="1">
        <v>46279</v>
      </c>
      <c r="B106" t="s">
        <v>1976</v>
      </c>
      <c r="C106">
        <v>3.7040000000000002</v>
      </c>
      <c r="E106" s="1">
        <v>46253</v>
      </c>
      <c r="F106" s="1" t="s">
        <v>162</v>
      </c>
      <c r="G106" s="9">
        <v>5.9</v>
      </c>
      <c r="I106" s="1">
        <v>46276</v>
      </c>
      <c r="J106" s="1" t="s">
        <v>282</v>
      </c>
      <c r="K106" s="3">
        <v>2000</v>
      </c>
      <c r="M106" s="1">
        <v>46146</v>
      </c>
      <c r="N106" s="14">
        <v>26336</v>
      </c>
    </row>
    <row r="107" spans="1:14">
      <c r="A107" s="1">
        <v>46279</v>
      </c>
      <c r="B107" t="s">
        <v>1977</v>
      </c>
      <c r="C107">
        <v>3.9889999999999999</v>
      </c>
      <c r="E107" s="1">
        <v>46253</v>
      </c>
      <c r="F107" s="1" t="s">
        <v>163</v>
      </c>
      <c r="G107" s="9">
        <v>7</v>
      </c>
      <c r="I107" s="1">
        <v>46276</v>
      </c>
      <c r="J107" s="1" t="s">
        <v>283</v>
      </c>
      <c r="K107" s="3">
        <v>7</v>
      </c>
      <c r="M107" s="1">
        <v>46141</v>
      </c>
      <c r="N107" s="14">
        <v>26357</v>
      </c>
    </row>
    <row r="108" spans="1:14">
      <c r="A108" s="1">
        <v>46279</v>
      </c>
      <c r="B108" t="s">
        <v>1978</v>
      </c>
      <c r="C108">
        <v>4.274</v>
      </c>
      <c r="E108" s="1">
        <v>46252</v>
      </c>
      <c r="F108" s="1" t="s">
        <v>160</v>
      </c>
      <c r="G108" s="9">
        <v>4.9000000000000004</v>
      </c>
      <c r="I108" s="1">
        <v>46276</v>
      </c>
      <c r="J108" s="1" t="s">
        <v>284</v>
      </c>
      <c r="K108" s="3">
        <v>1699.9</v>
      </c>
      <c r="M108" s="1">
        <v>46140</v>
      </c>
      <c r="N108" s="14">
        <v>26347.200000000001</v>
      </c>
    </row>
    <row r="109" spans="1:14">
      <c r="A109" s="1">
        <v>46279</v>
      </c>
      <c r="B109" t="s">
        <v>1979</v>
      </c>
      <c r="C109">
        <v>4.3360000000000003</v>
      </c>
      <c r="E109" s="1">
        <v>46252</v>
      </c>
      <c r="F109" s="1" t="s">
        <v>161</v>
      </c>
      <c r="G109" s="9">
        <v>5.4</v>
      </c>
      <c r="I109" s="1">
        <v>46276</v>
      </c>
      <c r="J109" s="1" t="s">
        <v>285</v>
      </c>
      <c r="K109" s="3">
        <v>4.5</v>
      </c>
      <c r="M109" s="1">
        <v>46136</v>
      </c>
      <c r="N109" s="14">
        <v>26360</v>
      </c>
    </row>
    <row r="110" spans="1:14">
      <c r="A110" s="1">
        <v>46279</v>
      </c>
      <c r="B110" t="s">
        <v>1980</v>
      </c>
      <c r="C110">
        <v>4.4569999999999999</v>
      </c>
      <c r="E110" s="1">
        <v>46252</v>
      </c>
      <c r="F110" s="1" t="s">
        <v>162</v>
      </c>
      <c r="G110" s="9">
        <v>6</v>
      </c>
      <c r="I110" s="1">
        <v>46276</v>
      </c>
      <c r="J110" s="1" t="s">
        <v>286</v>
      </c>
      <c r="K110" s="3">
        <v>39318.15</v>
      </c>
      <c r="M110" s="1">
        <v>46135</v>
      </c>
      <c r="N110" s="14">
        <v>26328</v>
      </c>
    </row>
    <row r="111" spans="1:14">
      <c r="A111" s="1">
        <v>46279</v>
      </c>
      <c r="B111" t="s">
        <v>1981</v>
      </c>
      <c r="C111">
        <v>4.5780000000000003</v>
      </c>
      <c r="E111" s="1">
        <v>46252</v>
      </c>
      <c r="F111" s="1" t="s">
        <v>163</v>
      </c>
      <c r="G111" s="9">
        <v>7.03</v>
      </c>
      <c r="I111" s="1">
        <v>46276</v>
      </c>
      <c r="J111" s="1" t="s">
        <v>287</v>
      </c>
      <c r="K111" s="3">
        <v>215030.36</v>
      </c>
      <c r="M111" s="1">
        <v>46134</v>
      </c>
      <c r="N111" s="14">
        <v>26323.8</v>
      </c>
    </row>
    <row r="112" spans="1:14">
      <c r="A112" s="1">
        <v>46279</v>
      </c>
      <c r="B112" t="s">
        <v>1982</v>
      </c>
      <c r="C112">
        <v>4.6660000000000004</v>
      </c>
      <c r="E112" s="1">
        <v>46251</v>
      </c>
      <c r="F112" s="1" t="s">
        <v>160</v>
      </c>
      <c r="G112" s="9">
        <v>5.8</v>
      </c>
      <c r="I112" s="1">
        <v>46276</v>
      </c>
      <c r="J112" s="1" t="s">
        <v>288</v>
      </c>
      <c r="K112" s="3">
        <v>-84678.59</v>
      </c>
      <c r="M112" s="1">
        <v>46133</v>
      </c>
      <c r="N112" s="14">
        <v>26327.4</v>
      </c>
    </row>
    <row r="113" spans="1:14">
      <c r="A113" s="1">
        <v>46279</v>
      </c>
      <c r="B113" t="s">
        <v>1983</v>
      </c>
      <c r="C113">
        <v>4.7329999999999997</v>
      </c>
      <c r="E113" s="1">
        <v>46251</v>
      </c>
      <c r="F113" s="1" t="s">
        <v>161</v>
      </c>
      <c r="G113" s="9">
        <v>5.85</v>
      </c>
      <c r="I113" s="1">
        <v>46276</v>
      </c>
      <c r="J113" s="1" t="s">
        <v>289</v>
      </c>
      <c r="K113" s="3">
        <v>1</v>
      </c>
      <c r="M113" s="1">
        <v>46132</v>
      </c>
      <c r="N113" s="14">
        <v>26331.5</v>
      </c>
    </row>
    <row r="114" spans="1:14">
      <c r="A114" s="1">
        <v>46276</v>
      </c>
      <c r="B114" t="s">
        <v>1974</v>
      </c>
      <c r="C114">
        <v>3.5329999999999999</v>
      </c>
      <c r="E114" s="1">
        <v>46251</v>
      </c>
      <c r="F114" s="1" t="s">
        <v>162</v>
      </c>
      <c r="G114" s="9">
        <v>5.8</v>
      </c>
      <c r="I114" s="1">
        <v>46276</v>
      </c>
      <c r="J114" s="1" t="s">
        <v>290</v>
      </c>
      <c r="K114" s="3">
        <v>1</v>
      </c>
      <c r="M114" s="1">
        <v>46129</v>
      </c>
      <c r="N114" s="14">
        <v>26333.8</v>
      </c>
    </row>
    <row r="115" spans="1:14">
      <c r="A115" s="1">
        <v>46276</v>
      </c>
      <c r="B115" t="s">
        <v>1975</v>
      </c>
      <c r="C115">
        <v>3.6379999999999999</v>
      </c>
      <c r="E115" s="1">
        <v>46251</v>
      </c>
      <c r="F115" s="1" t="s">
        <v>163</v>
      </c>
      <c r="G115" s="9">
        <v>6.95</v>
      </c>
      <c r="I115" s="1">
        <v>46275</v>
      </c>
      <c r="J115" s="1" t="s">
        <v>282</v>
      </c>
      <c r="K115" s="3">
        <v>8000</v>
      </c>
      <c r="M115" s="1">
        <v>46128</v>
      </c>
      <c r="N115" s="14">
        <v>26333.200000000001</v>
      </c>
    </row>
    <row r="116" spans="1:14">
      <c r="A116" s="1">
        <v>46276</v>
      </c>
      <c r="B116" t="s">
        <v>1976</v>
      </c>
      <c r="C116">
        <v>3.7040000000000002</v>
      </c>
      <c r="E116" s="1">
        <v>46248</v>
      </c>
      <c r="F116" s="1" t="s">
        <v>160</v>
      </c>
      <c r="G116" s="9">
        <v>5</v>
      </c>
      <c r="I116" s="1">
        <v>46275</v>
      </c>
      <c r="J116" s="1" t="s">
        <v>283</v>
      </c>
      <c r="K116" s="3">
        <v>7</v>
      </c>
      <c r="M116" s="1">
        <v>46127</v>
      </c>
      <c r="N116" s="14">
        <v>26330.799999999999</v>
      </c>
    </row>
    <row r="117" spans="1:14">
      <c r="A117" s="1">
        <v>46276</v>
      </c>
      <c r="B117" t="s">
        <v>1977</v>
      </c>
      <c r="C117">
        <v>3.9849999999999999</v>
      </c>
      <c r="E117" s="1">
        <v>46248</v>
      </c>
      <c r="F117" s="1" t="s">
        <v>161</v>
      </c>
      <c r="G117" s="9">
        <v>5.0999999999999996</v>
      </c>
      <c r="I117" s="1">
        <v>46275</v>
      </c>
      <c r="J117" s="1" t="s">
        <v>284</v>
      </c>
      <c r="K117" s="3">
        <v>6005.4</v>
      </c>
      <c r="M117" s="1">
        <v>46126</v>
      </c>
      <c r="N117" s="14">
        <v>26335</v>
      </c>
    </row>
    <row r="118" spans="1:14">
      <c r="A118" s="1">
        <v>46276</v>
      </c>
      <c r="B118" t="s">
        <v>1978</v>
      </c>
      <c r="C118">
        <v>4.266</v>
      </c>
      <c r="E118" s="1">
        <v>46248</v>
      </c>
      <c r="F118" s="1" t="s">
        <v>162</v>
      </c>
      <c r="G118" s="9">
        <v>5.0999999999999996</v>
      </c>
      <c r="I118" s="1">
        <v>46275</v>
      </c>
      <c r="J118" s="1" t="s">
        <v>285</v>
      </c>
      <c r="K118" s="3">
        <v>4.5</v>
      </c>
      <c r="M118" s="1">
        <v>46125</v>
      </c>
      <c r="N118" s="14">
        <v>26343.4</v>
      </c>
    </row>
    <row r="119" spans="1:14">
      <c r="A119" s="1">
        <v>46276</v>
      </c>
      <c r="B119" t="s">
        <v>1979</v>
      </c>
      <c r="C119">
        <v>4.3319999999999999</v>
      </c>
      <c r="E119" s="1">
        <v>46248</v>
      </c>
      <c r="F119" s="1" t="s">
        <v>163</v>
      </c>
      <c r="G119" s="9">
        <v>6.85</v>
      </c>
      <c r="I119" s="1">
        <v>46275</v>
      </c>
      <c r="J119" s="1" t="s">
        <v>286</v>
      </c>
      <c r="K119" s="3">
        <v>8583</v>
      </c>
      <c r="M119" s="1">
        <v>46122</v>
      </c>
      <c r="N119" s="14">
        <v>26335.8</v>
      </c>
    </row>
    <row r="120" spans="1:14">
      <c r="A120" s="1">
        <v>46276</v>
      </c>
      <c r="B120" t="s">
        <v>1980</v>
      </c>
      <c r="C120">
        <v>4.4640000000000004</v>
      </c>
      <c r="E120" s="1">
        <v>46247</v>
      </c>
      <c r="F120" s="1" t="s">
        <v>160</v>
      </c>
      <c r="G120" s="9">
        <v>4.4000000000000004</v>
      </c>
      <c r="I120" s="1">
        <v>46275</v>
      </c>
      <c r="J120" s="1" t="s">
        <v>287</v>
      </c>
      <c r="K120" s="3">
        <v>252648.61</v>
      </c>
      <c r="M120" s="1">
        <v>46121</v>
      </c>
      <c r="N120" s="14">
        <v>26329.4</v>
      </c>
    </row>
    <row r="121" spans="1:14">
      <c r="A121" s="1">
        <v>46276</v>
      </c>
      <c r="B121" t="s">
        <v>1981</v>
      </c>
      <c r="C121">
        <v>4.5780000000000003</v>
      </c>
      <c r="E121" s="1">
        <v>46247</v>
      </c>
      <c r="F121" s="1" t="s">
        <v>161</v>
      </c>
      <c r="G121" s="9">
        <v>4.8</v>
      </c>
      <c r="I121" s="1">
        <v>46275</v>
      </c>
      <c r="J121" s="1" t="s">
        <v>288</v>
      </c>
      <c r="K121" s="3">
        <v>-114601.84</v>
      </c>
      <c r="M121" s="1">
        <v>46120</v>
      </c>
      <c r="N121" s="14">
        <v>26331.599999999999</v>
      </c>
    </row>
    <row r="122" spans="1:14">
      <c r="A122" s="1">
        <v>46276</v>
      </c>
      <c r="B122" t="s">
        <v>1982</v>
      </c>
      <c r="C122">
        <v>4.6660000000000004</v>
      </c>
      <c r="E122" s="1">
        <v>46247</v>
      </c>
      <c r="F122" s="1" t="s">
        <v>162</v>
      </c>
      <c r="G122" s="9">
        <v>5.15</v>
      </c>
      <c r="I122" s="1">
        <v>46275</v>
      </c>
      <c r="J122" s="1" t="s">
        <v>289</v>
      </c>
      <c r="K122" s="3">
        <v>2</v>
      </c>
      <c r="M122" s="1">
        <v>46119</v>
      </c>
      <c r="N122" s="14">
        <v>26338.6</v>
      </c>
    </row>
    <row r="123" spans="1:14">
      <c r="A123" s="1">
        <v>46276</v>
      </c>
      <c r="B123" t="s">
        <v>1983</v>
      </c>
      <c r="C123">
        <v>4.7329999999999997</v>
      </c>
      <c r="E123" s="1">
        <v>46247</v>
      </c>
      <c r="F123" s="1" t="s">
        <v>163</v>
      </c>
      <c r="G123" s="9">
        <v>6.5</v>
      </c>
      <c r="I123" s="1">
        <v>46275</v>
      </c>
      <c r="J123" s="1" t="s">
        <v>290</v>
      </c>
      <c r="K123" s="3">
        <v>2</v>
      </c>
      <c r="M123" s="1">
        <v>46118</v>
      </c>
      <c r="N123" s="14">
        <v>26338.2</v>
      </c>
    </row>
    <row r="124" spans="1:14">
      <c r="A124" s="1">
        <v>46275</v>
      </c>
      <c r="B124" t="s">
        <v>1974</v>
      </c>
      <c r="C124">
        <v>3.5329999999999999</v>
      </c>
      <c r="E124" s="1">
        <v>46246</v>
      </c>
      <c r="F124" s="1" t="s">
        <v>160</v>
      </c>
      <c r="G124" s="9">
        <v>4.5</v>
      </c>
      <c r="I124" s="1">
        <v>46275</v>
      </c>
      <c r="J124" s="1" t="s">
        <v>107</v>
      </c>
      <c r="K124" s="3">
        <v>8562962967560</v>
      </c>
      <c r="M124" s="1">
        <v>46115</v>
      </c>
      <c r="N124" s="14">
        <v>26340</v>
      </c>
    </row>
    <row r="125" spans="1:14">
      <c r="A125" s="1">
        <v>46275</v>
      </c>
      <c r="B125" t="s">
        <v>1975</v>
      </c>
      <c r="C125">
        <v>3.6379999999999999</v>
      </c>
      <c r="E125" s="1">
        <v>46246</v>
      </c>
      <c r="F125" s="1" t="s">
        <v>161</v>
      </c>
      <c r="G125" s="9">
        <v>5.2</v>
      </c>
      <c r="I125" s="1">
        <v>46274</v>
      </c>
      <c r="J125" s="1" t="s">
        <v>282</v>
      </c>
      <c r="K125" s="3">
        <v>12000</v>
      </c>
      <c r="M125" s="1">
        <v>46114</v>
      </c>
      <c r="N125" s="14">
        <v>26337.4</v>
      </c>
    </row>
    <row r="126" spans="1:14">
      <c r="A126" s="1">
        <v>46275</v>
      </c>
      <c r="B126" t="s">
        <v>1976</v>
      </c>
      <c r="C126">
        <v>3.7040000000000002</v>
      </c>
      <c r="E126" s="1">
        <v>46246</v>
      </c>
      <c r="F126" s="1" t="s">
        <v>162</v>
      </c>
      <c r="G126" s="9">
        <v>5.8</v>
      </c>
      <c r="I126" s="1">
        <v>46274</v>
      </c>
      <c r="J126" s="1" t="s">
        <v>283</v>
      </c>
      <c r="K126" s="3">
        <v>7</v>
      </c>
      <c r="M126" s="1">
        <v>46113</v>
      </c>
      <c r="N126" s="14">
        <v>26342.333333333299</v>
      </c>
    </row>
    <row r="127" spans="1:14">
      <c r="A127" s="1">
        <v>46275</v>
      </c>
      <c r="B127" t="s">
        <v>1977</v>
      </c>
      <c r="C127">
        <v>3.9849999999999999</v>
      </c>
      <c r="E127" s="1">
        <v>46246</v>
      </c>
      <c r="F127" s="1" t="s">
        <v>163</v>
      </c>
      <c r="G127" s="9">
        <v>6.5</v>
      </c>
      <c r="I127" s="1">
        <v>46274</v>
      </c>
      <c r="J127" s="1" t="s">
        <v>284</v>
      </c>
      <c r="K127" s="3">
        <v>11773</v>
      </c>
      <c r="M127" s="1">
        <v>46112</v>
      </c>
      <c r="N127" s="14">
        <v>26341.599999999999</v>
      </c>
    </row>
    <row r="128" spans="1:14">
      <c r="A128" s="1">
        <v>46275</v>
      </c>
      <c r="B128" t="s">
        <v>1978</v>
      </c>
      <c r="C128">
        <v>4.2649999999999997</v>
      </c>
      <c r="E128" s="1">
        <v>46245</v>
      </c>
      <c r="F128" s="1" t="s">
        <v>160</v>
      </c>
      <c r="G128" s="9">
        <v>5.3</v>
      </c>
      <c r="I128" s="1">
        <v>46274</v>
      </c>
      <c r="J128" s="1" t="s">
        <v>285</v>
      </c>
      <c r="K128" s="3">
        <v>4.5</v>
      </c>
      <c r="M128" s="1">
        <v>46111</v>
      </c>
      <c r="N128" s="14">
        <v>26343.599999999999</v>
      </c>
    </row>
    <row r="129" spans="1:14">
      <c r="A129" s="1">
        <v>46275</v>
      </c>
      <c r="B129" t="s">
        <v>1979</v>
      </c>
      <c r="C129">
        <v>4.3289999999999997</v>
      </c>
      <c r="E129" s="1">
        <v>46245</v>
      </c>
      <c r="F129" s="1" t="s">
        <v>161</v>
      </c>
      <c r="G129" s="9">
        <v>6</v>
      </c>
      <c r="I129" s="1">
        <v>46274</v>
      </c>
      <c r="J129" s="1" t="s">
        <v>286</v>
      </c>
      <c r="K129" s="3">
        <v>5880</v>
      </c>
      <c r="M129" s="1">
        <v>46108</v>
      </c>
      <c r="N129" s="14">
        <v>26333.200000000001</v>
      </c>
    </row>
    <row r="130" spans="1:14">
      <c r="A130" s="1">
        <v>46275</v>
      </c>
      <c r="B130" t="s">
        <v>1980</v>
      </c>
      <c r="C130">
        <v>4.4550000000000001</v>
      </c>
      <c r="E130" s="1">
        <v>46245</v>
      </c>
      <c r="F130" s="1" t="s">
        <v>162</v>
      </c>
      <c r="G130" s="9">
        <v>5.9</v>
      </c>
      <c r="I130" s="1">
        <v>46274</v>
      </c>
      <c r="J130" s="1" t="s">
        <v>287</v>
      </c>
      <c r="K130" s="3">
        <v>255226.21</v>
      </c>
      <c r="M130" s="1">
        <v>46107</v>
      </c>
      <c r="N130" s="14">
        <v>26342</v>
      </c>
    </row>
    <row r="131" spans="1:14">
      <c r="A131" s="1">
        <v>46275</v>
      </c>
      <c r="B131" t="s">
        <v>1981</v>
      </c>
      <c r="C131">
        <v>4.5780000000000003</v>
      </c>
      <c r="E131" s="1">
        <v>46245</v>
      </c>
      <c r="F131" s="1" t="s">
        <v>163</v>
      </c>
      <c r="G131" s="9">
        <v>6.75</v>
      </c>
      <c r="I131" s="1">
        <v>46274</v>
      </c>
      <c r="J131" s="1" t="s">
        <v>288</v>
      </c>
      <c r="K131" s="3">
        <v>-108800.34</v>
      </c>
      <c r="M131" s="1">
        <v>46106</v>
      </c>
      <c r="N131" s="14">
        <v>26348.25</v>
      </c>
    </row>
    <row r="132" spans="1:14">
      <c r="A132" s="1">
        <v>46275</v>
      </c>
      <c r="B132" t="s">
        <v>1982</v>
      </c>
      <c r="C132">
        <v>4.6660000000000004</v>
      </c>
      <c r="E132" s="1">
        <v>46244</v>
      </c>
      <c r="F132" s="1" t="s">
        <v>160</v>
      </c>
      <c r="G132" s="9">
        <v>6.2</v>
      </c>
      <c r="I132" s="1">
        <v>46274</v>
      </c>
      <c r="J132" s="1" t="s">
        <v>289</v>
      </c>
      <c r="K132" s="3">
        <v>4</v>
      </c>
      <c r="M132" s="1">
        <v>46105</v>
      </c>
      <c r="N132" s="14">
        <v>26348.799999999999</v>
      </c>
    </row>
    <row r="133" spans="1:14">
      <c r="A133" s="1">
        <v>46275</v>
      </c>
      <c r="B133" t="s">
        <v>1983</v>
      </c>
      <c r="C133">
        <v>4.7329999999999997</v>
      </c>
      <c r="E133" s="1">
        <v>46244</v>
      </c>
      <c r="F133" s="1" t="s">
        <v>161</v>
      </c>
      <c r="G133" s="9">
        <v>6.2</v>
      </c>
      <c r="I133" s="1">
        <v>46274</v>
      </c>
      <c r="J133" s="1" t="s">
        <v>290</v>
      </c>
      <c r="K133" s="3">
        <v>4</v>
      </c>
      <c r="M133" s="1">
        <v>46104</v>
      </c>
      <c r="N133" s="14">
        <v>26343.200000000001</v>
      </c>
    </row>
    <row r="134" spans="1:14">
      <c r="A134" s="1">
        <v>46274</v>
      </c>
      <c r="B134" t="s">
        <v>1974</v>
      </c>
      <c r="C134">
        <v>3.5329999999999999</v>
      </c>
      <c r="E134" s="1">
        <v>46244</v>
      </c>
      <c r="F134" s="1" t="s">
        <v>162</v>
      </c>
      <c r="G134" s="9">
        <v>6.3</v>
      </c>
      <c r="I134" s="1">
        <v>46274</v>
      </c>
      <c r="J134" s="1" t="s">
        <v>107</v>
      </c>
      <c r="K134" s="3">
        <v>8548651546302</v>
      </c>
      <c r="M134" s="1">
        <v>46101</v>
      </c>
      <c r="N134" s="14">
        <v>26295.4</v>
      </c>
    </row>
    <row r="135" spans="1:14">
      <c r="A135" s="1">
        <v>46274</v>
      </c>
      <c r="B135" t="s">
        <v>1975</v>
      </c>
      <c r="C135">
        <v>3.6379999999999999</v>
      </c>
      <c r="E135" s="1">
        <v>46244</v>
      </c>
      <c r="F135" s="1" t="s">
        <v>163</v>
      </c>
      <c r="G135" s="9">
        <v>7</v>
      </c>
      <c r="I135" s="1">
        <v>46273</v>
      </c>
      <c r="J135" s="1" t="s">
        <v>107</v>
      </c>
      <c r="K135" s="3">
        <v>8550091057420</v>
      </c>
      <c r="M135" s="1">
        <v>46100</v>
      </c>
      <c r="N135" s="14">
        <v>26302.400000000001</v>
      </c>
    </row>
    <row r="136" spans="1:14">
      <c r="A136" s="1">
        <v>46274</v>
      </c>
      <c r="B136" t="s">
        <v>1976</v>
      </c>
      <c r="C136">
        <v>3.7040000000000002</v>
      </c>
      <c r="E136" s="1">
        <v>46241</v>
      </c>
      <c r="F136" s="1" t="s">
        <v>160</v>
      </c>
      <c r="G136" s="9">
        <v>6.3</v>
      </c>
      <c r="I136" s="1">
        <v>46273</v>
      </c>
      <c r="J136" s="1" t="s">
        <v>282</v>
      </c>
      <c r="K136" s="3">
        <v>8000</v>
      </c>
      <c r="M136" s="1">
        <v>46099</v>
      </c>
      <c r="N136" s="14">
        <v>26310.6</v>
      </c>
    </row>
    <row r="137" spans="1:14">
      <c r="A137" s="1">
        <v>46274</v>
      </c>
      <c r="B137" t="s">
        <v>1977</v>
      </c>
      <c r="C137">
        <v>3.9769999999999999</v>
      </c>
      <c r="E137" s="1">
        <v>46241</v>
      </c>
      <c r="F137" s="1" t="s">
        <v>161</v>
      </c>
      <c r="G137" s="9">
        <v>6.2</v>
      </c>
      <c r="I137" s="1">
        <v>46273</v>
      </c>
      <c r="J137" s="1" t="s">
        <v>283</v>
      </c>
      <c r="K137" s="3">
        <v>7</v>
      </c>
      <c r="M137" s="1">
        <v>46098</v>
      </c>
      <c r="N137" s="14">
        <v>26286</v>
      </c>
    </row>
    <row r="138" spans="1:14">
      <c r="A138" s="1">
        <v>46274</v>
      </c>
      <c r="B138" t="s">
        <v>1978</v>
      </c>
      <c r="C138">
        <v>4.2510000000000003</v>
      </c>
      <c r="E138" s="1">
        <v>46241</v>
      </c>
      <c r="F138" s="1" t="s">
        <v>162</v>
      </c>
      <c r="G138" s="9">
        <v>5.9</v>
      </c>
      <c r="I138" s="1">
        <v>46273</v>
      </c>
      <c r="J138" s="1" t="s">
        <v>284</v>
      </c>
      <c r="K138" s="3">
        <v>7121.5</v>
      </c>
      <c r="M138" s="1">
        <v>46097</v>
      </c>
      <c r="N138" s="14">
        <v>26293</v>
      </c>
    </row>
    <row r="139" spans="1:14">
      <c r="A139" s="1">
        <v>46274</v>
      </c>
      <c r="B139" t="s">
        <v>1979</v>
      </c>
      <c r="C139">
        <v>4.3239999999999998</v>
      </c>
      <c r="E139" s="1">
        <v>46241</v>
      </c>
      <c r="F139" s="1" t="s">
        <v>163</v>
      </c>
      <c r="G139" s="9">
        <v>6.9</v>
      </c>
      <c r="I139" s="1">
        <v>46273</v>
      </c>
      <c r="J139" s="1" t="s">
        <v>285</v>
      </c>
      <c r="K139" s="3">
        <v>4.5</v>
      </c>
      <c r="M139" s="1">
        <v>46094</v>
      </c>
      <c r="N139" s="14">
        <v>26291.4</v>
      </c>
    </row>
    <row r="140" spans="1:14">
      <c r="A140" s="1">
        <v>46274</v>
      </c>
      <c r="B140" t="s">
        <v>1980</v>
      </c>
      <c r="C140">
        <v>4.452</v>
      </c>
      <c r="E140" s="1">
        <v>46240</v>
      </c>
      <c r="F140" s="1" t="s">
        <v>160</v>
      </c>
      <c r="G140" s="9">
        <v>4.5999999999999996</v>
      </c>
      <c r="I140" s="1">
        <v>46273</v>
      </c>
      <c r="J140" s="1" t="s">
        <v>286</v>
      </c>
      <c r="K140" s="3">
        <v>8534</v>
      </c>
      <c r="M140" s="1">
        <v>46093</v>
      </c>
      <c r="N140" s="14">
        <v>26273.4</v>
      </c>
    </row>
    <row r="141" spans="1:14">
      <c r="A141" s="1">
        <v>46274</v>
      </c>
      <c r="B141" t="s">
        <v>1981</v>
      </c>
      <c r="C141">
        <v>4.5780000000000003</v>
      </c>
      <c r="E141" s="1">
        <v>46240</v>
      </c>
      <c r="F141" s="1" t="s">
        <v>161</v>
      </c>
      <c r="G141" s="9">
        <v>5.2</v>
      </c>
      <c r="I141" s="1">
        <v>46273</v>
      </c>
      <c r="J141" s="1" t="s">
        <v>287</v>
      </c>
      <c r="K141" s="3">
        <v>249333.21</v>
      </c>
      <c r="M141" s="1">
        <v>46092</v>
      </c>
      <c r="N141" s="14">
        <v>26254.6</v>
      </c>
    </row>
    <row r="142" spans="1:14">
      <c r="A142" s="1">
        <v>46274</v>
      </c>
      <c r="B142" t="s">
        <v>1982</v>
      </c>
      <c r="C142">
        <v>4.6660000000000004</v>
      </c>
      <c r="E142" s="1">
        <v>46240</v>
      </c>
      <c r="F142" s="1" t="s">
        <v>162</v>
      </c>
      <c r="G142" s="9">
        <v>5.9</v>
      </c>
      <c r="I142" s="1">
        <v>46273</v>
      </c>
      <c r="J142" s="1" t="s">
        <v>288</v>
      </c>
      <c r="K142" s="3">
        <v>-101039.34</v>
      </c>
      <c r="M142" s="1">
        <v>46091</v>
      </c>
      <c r="N142" s="14">
        <v>26232.6</v>
      </c>
    </row>
    <row r="143" spans="1:14">
      <c r="A143" s="1">
        <v>46274</v>
      </c>
      <c r="B143" t="s">
        <v>1983</v>
      </c>
      <c r="C143">
        <v>4.7329999999999997</v>
      </c>
      <c r="E143" s="1">
        <v>46240</v>
      </c>
      <c r="F143" s="1" t="s">
        <v>163</v>
      </c>
      <c r="G143" s="9">
        <v>6.9</v>
      </c>
      <c r="I143" s="1">
        <v>46273</v>
      </c>
      <c r="J143" s="1" t="s">
        <v>289</v>
      </c>
      <c r="K143" s="3">
        <v>3</v>
      </c>
      <c r="M143" s="1">
        <v>46090</v>
      </c>
      <c r="N143" s="14">
        <v>26284.799999999999</v>
      </c>
    </row>
    <row r="144" spans="1:14">
      <c r="A144" s="1">
        <v>46273</v>
      </c>
      <c r="B144" t="s">
        <v>1974</v>
      </c>
      <c r="C144">
        <v>3.5329999999999999</v>
      </c>
      <c r="E144" s="1">
        <v>46239</v>
      </c>
      <c r="F144" s="1" t="s">
        <v>160</v>
      </c>
      <c r="G144" s="9">
        <v>4.8</v>
      </c>
      <c r="I144" s="1">
        <v>46273</v>
      </c>
      <c r="J144" s="1" t="s">
        <v>290</v>
      </c>
      <c r="K144" s="3">
        <v>3</v>
      </c>
      <c r="M144" s="1">
        <v>46087</v>
      </c>
      <c r="N144" s="14">
        <v>26237.599999999999</v>
      </c>
    </row>
    <row r="145" spans="1:14">
      <c r="A145" s="1">
        <v>46273</v>
      </c>
      <c r="B145" t="s">
        <v>1975</v>
      </c>
      <c r="C145">
        <v>3.6379999999999999</v>
      </c>
      <c r="E145" s="1">
        <v>46239</v>
      </c>
      <c r="F145" s="1" t="s">
        <v>161</v>
      </c>
      <c r="G145" s="9">
        <v>5.6</v>
      </c>
      <c r="I145" s="1">
        <v>46272</v>
      </c>
      <c r="J145" s="1" t="s">
        <v>107</v>
      </c>
      <c r="K145" s="3">
        <v>8550091057420</v>
      </c>
      <c r="M145" s="1">
        <v>46086</v>
      </c>
      <c r="N145" s="14">
        <v>26226.2</v>
      </c>
    </row>
    <row r="146" spans="1:14">
      <c r="A146" s="1">
        <v>46273</v>
      </c>
      <c r="B146" t="s">
        <v>1976</v>
      </c>
      <c r="C146">
        <v>3.7040000000000002</v>
      </c>
      <c r="E146" s="1">
        <v>46239</v>
      </c>
      <c r="F146" s="1" t="s">
        <v>162</v>
      </c>
      <c r="G146" s="9">
        <v>6.25</v>
      </c>
      <c r="I146" s="1">
        <v>46272</v>
      </c>
      <c r="J146" s="1" t="s">
        <v>282</v>
      </c>
      <c r="K146" s="3">
        <v>21000</v>
      </c>
      <c r="M146" s="1">
        <v>46085</v>
      </c>
      <c r="N146" s="14">
        <v>26220.25</v>
      </c>
    </row>
    <row r="147" spans="1:14">
      <c r="A147" s="1">
        <v>46273</v>
      </c>
      <c r="B147" t="s">
        <v>1977</v>
      </c>
      <c r="C147">
        <v>3.984</v>
      </c>
      <c r="E147" s="1">
        <v>46239</v>
      </c>
      <c r="F147" s="1" t="s">
        <v>163</v>
      </c>
      <c r="G147" s="9">
        <v>7.3</v>
      </c>
      <c r="I147" s="1">
        <v>46272</v>
      </c>
      <c r="J147" s="1" t="s">
        <v>283</v>
      </c>
      <c r="K147" s="3">
        <v>7</v>
      </c>
      <c r="M147" s="1">
        <v>46084</v>
      </c>
      <c r="N147" s="14">
        <v>26203.5</v>
      </c>
    </row>
    <row r="148" spans="1:14">
      <c r="A148" s="1">
        <v>46273</v>
      </c>
      <c r="B148" t="s">
        <v>1978</v>
      </c>
      <c r="C148">
        <v>4.2629999999999999</v>
      </c>
      <c r="E148" s="1">
        <v>46238</v>
      </c>
      <c r="F148" s="1" t="s">
        <v>160</v>
      </c>
      <c r="G148" s="9">
        <v>6.4</v>
      </c>
      <c r="I148" s="1">
        <v>46272</v>
      </c>
      <c r="J148" s="1" t="s">
        <v>284</v>
      </c>
      <c r="K148" s="3">
        <v>20658.900000000001</v>
      </c>
      <c r="M148" s="1">
        <v>46083</v>
      </c>
      <c r="N148" s="14">
        <v>26205.4</v>
      </c>
    </row>
    <row r="149" spans="1:14">
      <c r="A149" s="1">
        <v>46273</v>
      </c>
      <c r="B149" t="s">
        <v>1979</v>
      </c>
      <c r="C149">
        <v>4.3259999999999996</v>
      </c>
      <c r="E149" s="1">
        <v>46238</v>
      </c>
      <c r="F149" s="1" t="s">
        <v>161</v>
      </c>
      <c r="G149" s="9">
        <v>6.4</v>
      </c>
      <c r="I149" s="1">
        <v>46272</v>
      </c>
      <c r="J149" s="1" t="s">
        <v>285</v>
      </c>
      <c r="K149" s="3">
        <v>4.5</v>
      </c>
      <c r="M149" s="1">
        <v>46080</v>
      </c>
      <c r="N149" s="14">
        <v>26052.2</v>
      </c>
    </row>
    <row r="150" spans="1:14">
      <c r="A150" s="1">
        <v>46273</v>
      </c>
      <c r="B150" t="s">
        <v>1980</v>
      </c>
      <c r="C150">
        <v>4.4550000000000001</v>
      </c>
      <c r="E150" s="1">
        <v>46238</v>
      </c>
      <c r="F150" s="1" t="s">
        <v>162</v>
      </c>
      <c r="G150" s="9">
        <v>6.4</v>
      </c>
      <c r="I150" s="1">
        <v>46272</v>
      </c>
      <c r="J150" s="1" t="s">
        <v>286</v>
      </c>
      <c r="K150" s="3">
        <v>17946</v>
      </c>
      <c r="M150" s="1">
        <v>46079</v>
      </c>
      <c r="N150" s="14">
        <v>26071.200000000001</v>
      </c>
    </row>
    <row r="151" spans="1:14">
      <c r="A151" s="1">
        <v>46273</v>
      </c>
      <c r="B151" t="s">
        <v>1981</v>
      </c>
      <c r="C151">
        <v>4.5780000000000003</v>
      </c>
      <c r="E151" s="1">
        <v>46238</v>
      </c>
      <c r="F151" s="1" t="s">
        <v>163</v>
      </c>
      <c r="G151" s="9">
        <v>7.3</v>
      </c>
      <c r="I151" s="1">
        <v>46272</v>
      </c>
      <c r="J151" s="1" t="s">
        <v>287</v>
      </c>
      <c r="K151" s="3">
        <v>250745.71</v>
      </c>
      <c r="M151" s="1">
        <v>46078</v>
      </c>
      <c r="N151" s="14">
        <v>26127.666666666701</v>
      </c>
    </row>
    <row r="152" spans="1:14">
      <c r="A152" s="1">
        <v>46273</v>
      </c>
      <c r="B152" t="s">
        <v>1982</v>
      </c>
      <c r="C152">
        <v>4.6660000000000004</v>
      </c>
      <c r="E152" s="1">
        <v>46237</v>
      </c>
      <c r="F152" s="1" t="s">
        <v>160</v>
      </c>
      <c r="G152" s="9">
        <v>6.3</v>
      </c>
      <c r="I152" s="1">
        <v>46272</v>
      </c>
      <c r="J152" s="1" t="s">
        <v>288</v>
      </c>
      <c r="K152" s="3">
        <v>-94454.84</v>
      </c>
      <c r="M152" s="1">
        <v>46077</v>
      </c>
      <c r="N152" s="14">
        <v>26180.799999999999</v>
      </c>
    </row>
    <row r="153" spans="1:14">
      <c r="A153" s="1">
        <v>46273</v>
      </c>
      <c r="B153" t="s">
        <v>1983</v>
      </c>
      <c r="C153">
        <v>4.7329999999999997</v>
      </c>
      <c r="E153" s="1">
        <v>46237</v>
      </c>
      <c r="F153" s="1" t="s">
        <v>161</v>
      </c>
      <c r="G153" s="9">
        <v>6.5</v>
      </c>
      <c r="I153" s="1">
        <v>46272</v>
      </c>
      <c r="J153" s="1" t="s">
        <v>289</v>
      </c>
      <c r="K153" s="3">
        <v>3</v>
      </c>
      <c r="M153" s="1">
        <v>46076</v>
      </c>
      <c r="N153" s="14">
        <v>26083.4</v>
      </c>
    </row>
    <row r="154" spans="1:14">
      <c r="A154" s="1">
        <v>46272</v>
      </c>
      <c r="B154" t="s">
        <v>1974</v>
      </c>
      <c r="C154">
        <v>3.5329999999999999</v>
      </c>
      <c r="E154" s="1">
        <v>46237</v>
      </c>
      <c r="F154" s="1" t="s">
        <v>162</v>
      </c>
      <c r="G154" s="9">
        <v>6.4</v>
      </c>
      <c r="I154" s="1">
        <v>46272</v>
      </c>
      <c r="J154" s="1" t="s">
        <v>290</v>
      </c>
      <c r="K154" s="3">
        <v>3</v>
      </c>
      <c r="M154" s="1">
        <v>46066</v>
      </c>
      <c r="N154" s="14">
        <v>25983</v>
      </c>
    </row>
    <row r="155" spans="1:14">
      <c r="A155" s="1">
        <v>46272</v>
      </c>
      <c r="B155" t="s">
        <v>1975</v>
      </c>
      <c r="C155">
        <v>3.6379999999999999</v>
      </c>
      <c r="E155" s="1">
        <v>46237</v>
      </c>
      <c r="F155" s="1" t="s">
        <v>163</v>
      </c>
      <c r="G155" s="9">
        <v>7</v>
      </c>
      <c r="I155" s="1">
        <v>46271</v>
      </c>
      <c r="J155" s="1" t="s">
        <v>107</v>
      </c>
      <c r="K155" s="3">
        <v>8156188728241</v>
      </c>
      <c r="M155" s="1">
        <v>46065</v>
      </c>
      <c r="N155" s="14">
        <v>25964.799999999999</v>
      </c>
    </row>
    <row r="156" spans="1:14">
      <c r="A156" s="1">
        <v>46272</v>
      </c>
      <c r="B156" t="s">
        <v>1976</v>
      </c>
      <c r="C156">
        <v>3.7040000000000002</v>
      </c>
      <c r="E156" s="1">
        <v>46234</v>
      </c>
      <c r="F156" s="1" t="s">
        <v>160</v>
      </c>
      <c r="G156" s="9">
        <v>6</v>
      </c>
      <c r="I156" s="1">
        <v>46269</v>
      </c>
      <c r="J156" s="1" t="s">
        <v>289</v>
      </c>
      <c r="K156" s="3">
        <v>1</v>
      </c>
      <c r="M156" s="1">
        <v>46064</v>
      </c>
      <c r="N156" s="14">
        <v>25981</v>
      </c>
    </row>
    <row r="157" spans="1:14">
      <c r="A157" s="1">
        <v>46272</v>
      </c>
      <c r="B157" t="s">
        <v>1977</v>
      </c>
      <c r="C157">
        <v>3.984</v>
      </c>
      <c r="E157" s="1">
        <v>46234</v>
      </c>
      <c r="F157" s="1" t="s">
        <v>161</v>
      </c>
      <c r="G157" s="9">
        <v>4.5</v>
      </c>
      <c r="I157" s="1">
        <v>46269</v>
      </c>
      <c r="J157" s="1" t="s">
        <v>290</v>
      </c>
      <c r="K157" s="3">
        <v>1</v>
      </c>
      <c r="M157" s="1">
        <v>46063</v>
      </c>
      <c r="N157" s="14">
        <v>25883</v>
      </c>
    </row>
    <row r="158" spans="1:14">
      <c r="A158" s="1">
        <v>46272</v>
      </c>
      <c r="B158" t="s">
        <v>1978</v>
      </c>
      <c r="C158">
        <v>4.2640000000000002</v>
      </c>
      <c r="E158" s="1">
        <v>46234</v>
      </c>
      <c r="F158" s="1" t="s">
        <v>162</v>
      </c>
      <c r="G158" s="9">
        <v>6.2</v>
      </c>
      <c r="I158" s="1">
        <v>46269</v>
      </c>
      <c r="J158" s="1" t="s">
        <v>282</v>
      </c>
      <c r="K158" s="3">
        <v>11000</v>
      </c>
      <c r="M158" s="1">
        <v>46062</v>
      </c>
      <c r="N158" s="14">
        <v>25916</v>
      </c>
    </row>
    <row r="159" spans="1:14">
      <c r="A159" s="1">
        <v>46272</v>
      </c>
      <c r="B159" t="s">
        <v>1979</v>
      </c>
      <c r="C159">
        <v>4.3239999999999998</v>
      </c>
      <c r="E159" s="1">
        <v>46234</v>
      </c>
      <c r="F159" s="1" t="s">
        <v>163</v>
      </c>
      <c r="G159" s="9">
        <v>7</v>
      </c>
      <c r="I159" s="1">
        <v>46269</v>
      </c>
      <c r="J159" s="1" t="s">
        <v>283</v>
      </c>
      <c r="K159" s="3">
        <v>7</v>
      </c>
      <c r="M159" s="1">
        <v>46059</v>
      </c>
      <c r="N159" s="14">
        <v>25967.200000000001</v>
      </c>
    </row>
    <row r="160" spans="1:14">
      <c r="A160" s="1">
        <v>46272</v>
      </c>
      <c r="B160" t="s">
        <v>1980</v>
      </c>
      <c r="C160">
        <v>4.4580000000000002</v>
      </c>
      <c r="E160" s="1">
        <v>46233</v>
      </c>
      <c r="F160" s="1" t="s">
        <v>160</v>
      </c>
      <c r="G160" s="9">
        <v>0.7</v>
      </c>
      <c r="I160" s="1">
        <v>46269</v>
      </c>
      <c r="J160" s="1" t="s">
        <v>284</v>
      </c>
      <c r="K160" s="3">
        <v>5626</v>
      </c>
      <c r="M160" s="1">
        <v>46058</v>
      </c>
      <c r="N160" s="14">
        <v>25961.599999999999</v>
      </c>
    </row>
    <row r="161" spans="1:14">
      <c r="A161" s="1">
        <v>46272</v>
      </c>
      <c r="B161" t="s">
        <v>1981</v>
      </c>
      <c r="C161">
        <v>4.5780000000000003</v>
      </c>
      <c r="E161" s="1">
        <v>46233</v>
      </c>
      <c r="F161" s="1" t="s">
        <v>161</v>
      </c>
      <c r="G161" s="9">
        <v>4.5</v>
      </c>
      <c r="I161" s="1">
        <v>46269</v>
      </c>
      <c r="J161" s="1" t="s">
        <v>285</v>
      </c>
      <c r="K161" s="3">
        <v>4.5</v>
      </c>
      <c r="M161" s="1">
        <v>46057</v>
      </c>
      <c r="N161" s="14">
        <v>25984</v>
      </c>
    </row>
    <row r="162" spans="1:14">
      <c r="A162" s="1">
        <v>46272</v>
      </c>
      <c r="B162" t="s">
        <v>1982</v>
      </c>
      <c r="C162">
        <v>4.6660000000000004</v>
      </c>
      <c r="E162" s="1">
        <v>46233</v>
      </c>
      <c r="F162" s="1" t="s">
        <v>162</v>
      </c>
      <c r="G162" s="9">
        <v>5.5</v>
      </c>
      <c r="I162" s="1">
        <v>46269</v>
      </c>
      <c r="J162" s="1" t="s">
        <v>286</v>
      </c>
      <c r="K162" s="3">
        <v>0</v>
      </c>
      <c r="M162" s="1">
        <v>46056</v>
      </c>
      <c r="N162" s="14">
        <v>25989.599999999999</v>
      </c>
    </row>
    <row r="163" spans="1:14">
      <c r="A163" s="1">
        <v>46272</v>
      </c>
      <c r="B163" t="s">
        <v>1983</v>
      </c>
      <c r="C163">
        <v>4.7329999999999997</v>
      </c>
      <c r="E163" s="1">
        <v>46233</v>
      </c>
      <c r="F163" s="1" t="s">
        <v>163</v>
      </c>
      <c r="G163" s="9">
        <v>6.9</v>
      </c>
      <c r="I163" s="1">
        <v>46269</v>
      </c>
      <c r="J163" s="1" t="s">
        <v>287</v>
      </c>
      <c r="K163" s="3">
        <v>248032.81</v>
      </c>
      <c r="M163" s="1">
        <v>46055</v>
      </c>
      <c r="N163" s="14">
        <v>25990</v>
      </c>
    </row>
    <row r="164" spans="1:14">
      <c r="A164" s="1">
        <v>46269</v>
      </c>
      <c r="B164" t="s">
        <v>1974</v>
      </c>
      <c r="C164">
        <v>3.5329999999999999</v>
      </c>
      <c r="E164" s="1">
        <v>46232</v>
      </c>
      <c r="F164" s="1" t="s">
        <v>160</v>
      </c>
      <c r="G164" s="9">
        <v>1.3</v>
      </c>
      <c r="I164" s="1">
        <v>46269</v>
      </c>
      <c r="J164" s="1" t="s">
        <v>288</v>
      </c>
      <c r="K164" s="3">
        <v>-80261.149999999994</v>
      </c>
      <c r="M164" s="1">
        <v>46052</v>
      </c>
      <c r="N164" s="14">
        <v>25910</v>
      </c>
    </row>
    <row r="165" spans="1:14">
      <c r="A165" s="1">
        <v>46269</v>
      </c>
      <c r="B165" t="s">
        <v>1975</v>
      </c>
      <c r="C165">
        <v>3.6379999999999999</v>
      </c>
      <c r="E165" s="1">
        <v>46232</v>
      </c>
      <c r="F165" s="1" t="s">
        <v>161</v>
      </c>
      <c r="G165" s="9">
        <v>4.5999999999999996</v>
      </c>
      <c r="I165" s="1">
        <v>46268</v>
      </c>
      <c r="J165" s="1" t="s">
        <v>107</v>
      </c>
      <c r="K165" s="3">
        <v>8156188728241</v>
      </c>
      <c r="M165" s="1">
        <v>46051</v>
      </c>
      <c r="N165" s="14">
        <v>26013.599999999999</v>
      </c>
    </row>
    <row r="166" spans="1:14">
      <c r="A166" s="1">
        <v>46269</v>
      </c>
      <c r="B166" t="s">
        <v>1976</v>
      </c>
      <c r="C166">
        <v>3.7040000000000002</v>
      </c>
      <c r="E166" s="1">
        <v>46232</v>
      </c>
      <c r="F166" s="1" t="s">
        <v>162</v>
      </c>
      <c r="G166" s="9">
        <v>5.7</v>
      </c>
      <c r="I166" s="1">
        <v>46268</v>
      </c>
      <c r="J166" s="1" t="s">
        <v>282</v>
      </c>
      <c r="K166" s="3">
        <v>6000</v>
      </c>
      <c r="M166" s="1">
        <v>46050</v>
      </c>
      <c r="N166" s="14">
        <v>26072</v>
      </c>
    </row>
    <row r="167" spans="1:14">
      <c r="A167" s="1">
        <v>46269</v>
      </c>
      <c r="B167" t="s">
        <v>1977</v>
      </c>
      <c r="C167">
        <v>3.9849999999999999</v>
      </c>
      <c r="E167" s="1">
        <v>46232</v>
      </c>
      <c r="F167" s="1" t="s">
        <v>163</v>
      </c>
      <c r="G167" s="9">
        <v>6.9</v>
      </c>
      <c r="I167" s="1">
        <v>46268</v>
      </c>
      <c r="J167" s="1" t="s">
        <v>283</v>
      </c>
      <c r="K167" s="3">
        <v>14</v>
      </c>
      <c r="M167" s="1">
        <v>46049</v>
      </c>
      <c r="N167" s="14">
        <v>26139</v>
      </c>
    </row>
    <row r="168" spans="1:14">
      <c r="A168" s="1">
        <v>46269</v>
      </c>
      <c r="B168" t="s">
        <v>1978</v>
      </c>
      <c r="C168">
        <v>4.266</v>
      </c>
      <c r="E168" s="1">
        <v>46231</v>
      </c>
      <c r="F168" s="1" t="s">
        <v>160</v>
      </c>
      <c r="G168" s="9">
        <v>2.2000000000000002</v>
      </c>
      <c r="I168" s="1">
        <v>46268</v>
      </c>
      <c r="J168" s="1" t="s">
        <v>284</v>
      </c>
      <c r="K168" s="3">
        <v>5161</v>
      </c>
      <c r="M168" s="1">
        <v>46048</v>
      </c>
      <c r="N168" s="14">
        <v>26184.75</v>
      </c>
    </row>
    <row r="169" spans="1:14">
      <c r="A169" s="1">
        <v>46269</v>
      </c>
      <c r="B169" t="s">
        <v>1979</v>
      </c>
      <c r="C169">
        <v>4.3259999999999996</v>
      </c>
      <c r="E169" s="1">
        <v>46231</v>
      </c>
      <c r="F169" s="1" t="s">
        <v>161</v>
      </c>
      <c r="G169" s="9">
        <v>4.55</v>
      </c>
      <c r="I169" s="1">
        <v>46268</v>
      </c>
      <c r="J169" s="1" t="s">
        <v>285</v>
      </c>
      <c r="K169" s="3">
        <v>4.5</v>
      </c>
      <c r="M169" s="1">
        <v>46045</v>
      </c>
      <c r="N169" s="14">
        <v>26250</v>
      </c>
    </row>
    <row r="170" spans="1:14">
      <c r="A170" s="1">
        <v>46269</v>
      </c>
      <c r="B170" t="s">
        <v>1980</v>
      </c>
      <c r="C170">
        <v>4.4550000000000001</v>
      </c>
      <c r="E170" s="1">
        <v>46231</v>
      </c>
      <c r="F170" s="1" t="s">
        <v>162</v>
      </c>
      <c r="G170" s="9">
        <v>5.3</v>
      </c>
      <c r="I170" s="1">
        <v>46268</v>
      </c>
      <c r="J170" s="1" t="s">
        <v>286</v>
      </c>
      <c r="K170" s="3">
        <v>0</v>
      </c>
      <c r="M170" s="1">
        <v>46044</v>
      </c>
      <c r="N170" s="14">
        <v>26270</v>
      </c>
    </row>
    <row r="171" spans="1:14">
      <c r="A171" s="1">
        <v>46269</v>
      </c>
      <c r="B171" t="s">
        <v>1981</v>
      </c>
      <c r="C171">
        <v>4.5780000000000003</v>
      </c>
      <c r="E171" s="1">
        <v>46231</v>
      </c>
      <c r="F171" s="1" t="s">
        <v>163</v>
      </c>
      <c r="G171" s="9">
        <v>6.9</v>
      </c>
      <c r="I171" s="1">
        <v>46268</v>
      </c>
      <c r="J171" s="1" t="s">
        <v>287</v>
      </c>
      <c r="K171" s="3">
        <v>242406.81</v>
      </c>
      <c r="M171" s="1">
        <v>46043</v>
      </c>
      <c r="N171" s="14">
        <v>26267</v>
      </c>
    </row>
    <row r="172" spans="1:14">
      <c r="A172" s="1">
        <v>46269</v>
      </c>
      <c r="B172" t="s">
        <v>1982</v>
      </c>
      <c r="C172">
        <v>4.6660000000000004</v>
      </c>
      <c r="E172" s="1">
        <v>46230</v>
      </c>
      <c r="F172" s="1" t="s">
        <v>160</v>
      </c>
      <c r="G172" s="9">
        <v>2.4</v>
      </c>
      <c r="I172" s="1">
        <v>46268</v>
      </c>
      <c r="J172" s="1" t="s">
        <v>288</v>
      </c>
      <c r="K172" s="3">
        <v>-40943</v>
      </c>
      <c r="M172" s="1">
        <v>46042</v>
      </c>
      <c r="N172" s="14">
        <v>26264.5</v>
      </c>
    </row>
    <row r="173" spans="1:14">
      <c r="A173" s="1">
        <v>46269</v>
      </c>
      <c r="B173" t="s">
        <v>1983</v>
      </c>
      <c r="C173">
        <v>4.7329999999999997</v>
      </c>
      <c r="E173" s="1">
        <v>46230</v>
      </c>
      <c r="F173" s="1" t="s">
        <v>161</v>
      </c>
      <c r="G173" s="9">
        <v>4.5999999999999996</v>
      </c>
      <c r="I173" s="1">
        <v>46268</v>
      </c>
      <c r="J173" s="1" t="s">
        <v>289</v>
      </c>
      <c r="K173" s="3">
        <v>2</v>
      </c>
      <c r="M173" s="1">
        <v>46041</v>
      </c>
      <c r="N173" s="14">
        <v>26267</v>
      </c>
    </row>
    <row r="174" spans="1:14">
      <c r="A174" s="1">
        <v>46268</v>
      </c>
      <c r="B174" t="s">
        <v>1974</v>
      </c>
      <c r="C174">
        <v>3.5329999999999999</v>
      </c>
      <c r="E174" s="1">
        <v>46230</v>
      </c>
      <c r="F174" s="1" t="s">
        <v>162</v>
      </c>
      <c r="G174" s="9">
        <v>5.6</v>
      </c>
      <c r="I174" s="1">
        <v>46268</v>
      </c>
      <c r="J174" s="1" t="s">
        <v>290</v>
      </c>
      <c r="K174" s="3">
        <v>2</v>
      </c>
      <c r="M174" s="1">
        <v>46038</v>
      </c>
      <c r="N174" s="14">
        <v>26276</v>
      </c>
    </row>
    <row r="175" spans="1:14">
      <c r="A175" s="1">
        <v>46268</v>
      </c>
      <c r="B175" t="s">
        <v>1975</v>
      </c>
      <c r="C175">
        <v>3.6379999999999999</v>
      </c>
      <c r="E175" s="1">
        <v>46230</v>
      </c>
      <c r="F175" s="1" t="s">
        <v>163</v>
      </c>
      <c r="G175" s="9">
        <v>7.25</v>
      </c>
      <c r="I175" s="1">
        <v>46267</v>
      </c>
      <c r="J175" s="1" t="s">
        <v>107</v>
      </c>
      <c r="K175" s="3">
        <v>8057956915969</v>
      </c>
      <c r="M175" s="1">
        <v>46037</v>
      </c>
      <c r="N175" s="14">
        <v>26273.200000000001</v>
      </c>
    </row>
    <row r="176" spans="1:14">
      <c r="A176" s="1">
        <v>46268</v>
      </c>
      <c r="B176" t="s">
        <v>1976</v>
      </c>
      <c r="C176">
        <v>3.7040000000000002</v>
      </c>
      <c r="E176" s="1">
        <v>46227</v>
      </c>
      <c r="F176" s="1" t="s">
        <v>160</v>
      </c>
      <c r="G176" s="9">
        <v>2.5</v>
      </c>
      <c r="I176" s="1">
        <v>46265</v>
      </c>
      <c r="J176" s="1" t="s">
        <v>107</v>
      </c>
      <c r="K176" s="3">
        <v>8156188728241</v>
      </c>
      <c r="M176" s="1">
        <v>46036</v>
      </c>
      <c r="N176" s="14">
        <v>26275.666666666701</v>
      </c>
    </row>
    <row r="177" spans="1:14">
      <c r="A177" s="1">
        <v>46268</v>
      </c>
      <c r="B177" t="s">
        <v>1977</v>
      </c>
      <c r="C177">
        <v>3.9860000000000002</v>
      </c>
      <c r="E177" s="1">
        <v>46227</v>
      </c>
      <c r="F177" s="1" t="s">
        <v>161</v>
      </c>
      <c r="G177" s="9">
        <v>3.35</v>
      </c>
      <c r="I177" s="1">
        <v>46262</v>
      </c>
      <c r="J177" s="1" t="s">
        <v>282</v>
      </c>
      <c r="K177" s="3">
        <v>37000</v>
      </c>
      <c r="M177" s="1">
        <v>46035</v>
      </c>
      <c r="N177" s="14">
        <v>26282.25</v>
      </c>
    </row>
    <row r="178" spans="1:14">
      <c r="A178" s="1">
        <v>46268</v>
      </c>
      <c r="B178" t="s">
        <v>1978</v>
      </c>
      <c r="C178">
        <v>4.2679999999999998</v>
      </c>
      <c r="E178" s="1">
        <v>46227</v>
      </c>
      <c r="F178" s="1" t="s">
        <v>162</v>
      </c>
      <c r="G178" s="9">
        <v>5.6</v>
      </c>
      <c r="I178" s="1">
        <v>46262</v>
      </c>
      <c r="J178" s="1" t="s">
        <v>283</v>
      </c>
      <c r="K178" s="3">
        <v>14</v>
      </c>
      <c r="M178" s="1">
        <v>46034</v>
      </c>
      <c r="N178" s="14">
        <v>26267.666666666701</v>
      </c>
    </row>
    <row r="179" spans="1:14">
      <c r="A179" s="1">
        <v>46268</v>
      </c>
      <c r="B179" t="s">
        <v>1979</v>
      </c>
      <c r="C179">
        <v>4.319</v>
      </c>
      <c r="E179" s="1">
        <v>46227</v>
      </c>
      <c r="F179" s="1" t="s">
        <v>163</v>
      </c>
      <c r="G179" s="9">
        <v>7.3</v>
      </c>
      <c r="I179" s="1">
        <v>46262</v>
      </c>
      <c r="J179" s="1" t="s">
        <v>284</v>
      </c>
      <c r="K179" s="3">
        <v>37202.199999999997</v>
      </c>
      <c r="M179" s="1">
        <v>46031</v>
      </c>
      <c r="N179" s="14">
        <v>26269.333333333299</v>
      </c>
    </row>
    <row r="180" spans="1:14">
      <c r="A180" s="1">
        <v>46268</v>
      </c>
      <c r="B180" t="s">
        <v>1980</v>
      </c>
      <c r="C180">
        <v>4.4539999999999997</v>
      </c>
      <c r="E180" s="1">
        <v>46226</v>
      </c>
      <c r="F180" s="1" t="s">
        <v>160</v>
      </c>
      <c r="G180" s="9">
        <v>3</v>
      </c>
      <c r="I180" s="1">
        <v>46262</v>
      </c>
      <c r="J180" s="1" t="s">
        <v>285</v>
      </c>
      <c r="K180" s="3">
        <v>4.5</v>
      </c>
      <c r="M180" s="1">
        <v>46030</v>
      </c>
      <c r="N180" s="14">
        <v>26276.400000000001</v>
      </c>
    </row>
    <row r="181" spans="1:14">
      <c r="A181" s="1">
        <v>46268</v>
      </c>
      <c r="B181" t="s">
        <v>1981</v>
      </c>
      <c r="C181">
        <v>4.5780000000000003</v>
      </c>
      <c r="E181" s="1">
        <v>46226</v>
      </c>
      <c r="F181" s="1" t="s">
        <v>161</v>
      </c>
      <c r="G181" s="9">
        <v>4</v>
      </c>
      <c r="I181" s="1">
        <v>46262</v>
      </c>
      <c r="J181" s="1" t="s">
        <v>286</v>
      </c>
      <c r="K181" s="3">
        <v>939.61</v>
      </c>
      <c r="M181" s="1">
        <v>46029</v>
      </c>
      <c r="N181" s="14">
        <v>26274.75</v>
      </c>
    </row>
    <row r="182" spans="1:14">
      <c r="A182" s="1">
        <v>46268</v>
      </c>
      <c r="B182" t="s">
        <v>1982</v>
      </c>
      <c r="C182">
        <v>4.6660000000000004</v>
      </c>
      <c r="E182" s="1">
        <v>46226</v>
      </c>
      <c r="F182" s="1" t="s">
        <v>162</v>
      </c>
      <c r="G182" s="9">
        <v>5.4</v>
      </c>
      <c r="I182" s="1">
        <v>46262</v>
      </c>
      <c r="J182" s="1" t="s">
        <v>287</v>
      </c>
      <c r="K182" s="3">
        <v>237245.81</v>
      </c>
      <c r="M182" s="1">
        <v>46028</v>
      </c>
      <c r="N182" s="14">
        <v>26278</v>
      </c>
    </row>
    <row r="183" spans="1:14">
      <c r="A183" s="1">
        <v>46268</v>
      </c>
      <c r="B183" t="s">
        <v>1983</v>
      </c>
      <c r="C183">
        <v>4.7329999999999997</v>
      </c>
      <c r="E183" s="1">
        <v>46226</v>
      </c>
      <c r="F183" s="1" t="s">
        <v>163</v>
      </c>
      <c r="G183" s="9">
        <v>6.8</v>
      </c>
      <c r="I183" s="1">
        <v>46262</v>
      </c>
      <c r="J183" s="1" t="s">
        <v>288</v>
      </c>
      <c r="K183" s="3">
        <v>0</v>
      </c>
      <c r="M183" s="1">
        <v>46027</v>
      </c>
      <c r="N183" s="14">
        <v>26292.400000000001</v>
      </c>
    </row>
    <row r="184" spans="1:14">
      <c r="A184" s="1">
        <v>46262</v>
      </c>
      <c r="B184" t="s">
        <v>1974</v>
      </c>
      <c r="C184">
        <v>3.5329999999999999</v>
      </c>
      <c r="E184" s="1">
        <v>46225</v>
      </c>
      <c r="F184" s="1" t="s">
        <v>160</v>
      </c>
      <c r="G184" s="9">
        <v>3.3</v>
      </c>
      <c r="I184" s="1">
        <v>46262</v>
      </c>
      <c r="J184" s="1" t="s">
        <v>289</v>
      </c>
      <c r="K184" s="3">
        <v>11</v>
      </c>
      <c r="M184" s="1">
        <v>46022</v>
      </c>
      <c r="N184" s="14">
        <v>26300.5</v>
      </c>
    </row>
    <row r="185" spans="1:14">
      <c r="A185" s="1">
        <v>46262</v>
      </c>
      <c r="B185" t="s">
        <v>1975</v>
      </c>
      <c r="C185">
        <v>3.6379999999999999</v>
      </c>
      <c r="E185" s="1">
        <v>46225</v>
      </c>
      <c r="F185" s="1" t="s">
        <v>161</v>
      </c>
      <c r="G185" s="9">
        <v>4.0999999999999996</v>
      </c>
      <c r="I185" s="1">
        <v>46262</v>
      </c>
      <c r="J185" s="1" t="s">
        <v>290</v>
      </c>
      <c r="K185" s="3">
        <v>11</v>
      </c>
      <c r="M185" s="1">
        <v>46021</v>
      </c>
      <c r="N185" s="14">
        <v>26270</v>
      </c>
    </row>
    <row r="186" spans="1:14">
      <c r="A186" s="1">
        <v>46262</v>
      </c>
      <c r="B186" t="s">
        <v>1976</v>
      </c>
      <c r="C186">
        <v>3.7040000000000002</v>
      </c>
      <c r="E186" s="1">
        <v>46225</v>
      </c>
      <c r="F186" s="1" t="s">
        <v>162</v>
      </c>
      <c r="G186" s="9">
        <v>5.7</v>
      </c>
      <c r="I186" s="1">
        <v>46261</v>
      </c>
      <c r="J186" s="1" t="s">
        <v>282</v>
      </c>
      <c r="K186" s="3">
        <v>8000</v>
      </c>
      <c r="M186" s="1">
        <v>46020</v>
      </c>
      <c r="N186" s="14">
        <v>26283</v>
      </c>
    </row>
    <row r="187" spans="1:14">
      <c r="A187" s="1">
        <v>46262</v>
      </c>
      <c r="B187" t="s">
        <v>1977</v>
      </c>
      <c r="C187">
        <v>4.0030000000000001</v>
      </c>
      <c r="E187" s="1">
        <v>46225</v>
      </c>
      <c r="F187" s="1" t="s">
        <v>163</v>
      </c>
      <c r="G187" s="9">
        <v>7.2</v>
      </c>
      <c r="I187" s="1">
        <v>46261</v>
      </c>
      <c r="J187" s="1" t="s">
        <v>283</v>
      </c>
      <c r="K187" s="3">
        <v>14</v>
      </c>
      <c r="M187" s="1">
        <v>46017</v>
      </c>
      <c r="N187" s="14">
        <v>26290</v>
      </c>
    </row>
    <row r="188" spans="1:14">
      <c r="A188" s="1">
        <v>46262</v>
      </c>
      <c r="B188" t="s">
        <v>1978</v>
      </c>
      <c r="C188">
        <v>4.3019999999999996</v>
      </c>
      <c r="E188" s="1">
        <v>46224</v>
      </c>
      <c r="F188" s="1" t="s">
        <v>160</v>
      </c>
      <c r="G188" s="9">
        <v>3.5</v>
      </c>
      <c r="I188" s="1">
        <v>46261</v>
      </c>
      <c r="J188" s="1" t="s">
        <v>284</v>
      </c>
      <c r="K188" s="3">
        <v>13569</v>
      </c>
      <c r="M188" s="1">
        <v>46016</v>
      </c>
      <c r="N188" s="14">
        <v>26286</v>
      </c>
    </row>
    <row r="189" spans="1:14">
      <c r="A189" s="1">
        <v>46262</v>
      </c>
      <c r="B189" t="s">
        <v>1979</v>
      </c>
      <c r="C189">
        <v>4.319</v>
      </c>
      <c r="E189" s="1">
        <v>46224</v>
      </c>
      <c r="F189" s="1" t="s">
        <v>161</v>
      </c>
      <c r="G189" s="9">
        <v>4.3</v>
      </c>
      <c r="I189" s="1">
        <v>46261</v>
      </c>
      <c r="J189" s="1" t="s">
        <v>285</v>
      </c>
      <c r="K189" s="3">
        <v>4.5</v>
      </c>
      <c r="M189" s="1">
        <v>46015</v>
      </c>
      <c r="N189" s="14">
        <v>26312.5</v>
      </c>
    </row>
    <row r="190" spans="1:14">
      <c r="A190" s="1">
        <v>46262</v>
      </c>
      <c r="B190" t="s">
        <v>1980</v>
      </c>
      <c r="C190">
        <v>4.4489999999999998</v>
      </c>
      <c r="E190" s="1">
        <v>46224</v>
      </c>
      <c r="F190" s="1" t="s">
        <v>162</v>
      </c>
      <c r="G190" s="9">
        <v>5.5</v>
      </c>
      <c r="I190" s="1">
        <v>46261</v>
      </c>
      <c r="J190" s="1" t="s">
        <v>286</v>
      </c>
      <c r="K190" s="3">
        <v>3972.85</v>
      </c>
      <c r="M190" s="1">
        <v>46014</v>
      </c>
      <c r="N190" s="14">
        <v>26333.666666666701</v>
      </c>
    </row>
    <row r="191" spans="1:14">
      <c r="A191" s="1">
        <v>46262</v>
      </c>
      <c r="B191" t="s">
        <v>1981</v>
      </c>
      <c r="C191">
        <v>4.5780000000000003</v>
      </c>
      <c r="E191" s="1">
        <v>46224</v>
      </c>
      <c r="F191" s="1" t="s">
        <v>163</v>
      </c>
      <c r="G191" s="9">
        <v>7.3</v>
      </c>
      <c r="I191" s="1">
        <v>46261</v>
      </c>
      <c r="J191" s="1" t="s">
        <v>287</v>
      </c>
      <c r="K191" s="3">
        <v>200983.22</v>
      </c>
      <c r="M191" s="1">
        <v>46013</v>
      </c>
      <c r="N191" s="14">
        <v>26336</v>
      </c>
    </row>
    <row r="192" spans="1:14">
      <c r="A192" s="1">
        <v>46262</v>
      </c>
      <c r="B192" t="s">
        <v>1982</v>
      </c>
      <c r="C192">
        <v>4.6660000000000004</v>
      </c>
      <c r="E192" s="1">
        <v>46223</v>
      </c>
      <c r="F192" s="1" t="s">
        <v>160</v>
      </c>
      <c r="G192" s="9">
        <v>3.7</v>
      </c>
      <c r="I192" s="1">
        <v>46261</v>
      </c>
      <c r="J192" s="1" t="s">
        <v>288</v>
      </c>
      <c r="K192" s="3">
        <v>-939.61</v>
      </c>
      <c r="M192" s="1">
        <v>46010</v>
      </c>
      <c r="N192" s="14">
        <v>26311</v>
      </c>
    </row>
    <row r="193" spans="1:14">
      <c r="A193" s="1">
        <v>46262</v>
      </c>
      <c r="B193" t="s">
        <v>1983</v>
      </c>
      <c r="C193">
        <v>4.7329999999999997</v>
      </c>
      <c r="E193" s="1">
        <v>46223</v>
      </c>
      <c r="F193" s="1" t="s">
        <v>161</v>
      </c>
      <c r="G193" s="9">
        <v>4.5999999999999996</v>
      </c>
      <c r="I193" s="1">
        <v>46261</v>
      </c>
      <c r="J193" s="1" t="s">
        <v>289</v>
      </c>
      <c r="K193" s="3">
        <v>13</v>
      </c>
      <c r="M193" s="1">
        <v>46009</v>
      </c>
      <c r="N193" s="14">
        <v>26325.5</v>
      </c>
    </row>
    <row r="194" spans="1:14">
      <c r="A194" s="1">
        <v>46261</v>
      </c>
      <c r="B194" t="s">
        <v>1974</v>
      </c>
      <c r="C194">
        <v>3.5329999999999999</v>
      </c>
      <c r="E194" s="1">
        <v>46223</v>
      </c>
      <c r="F194" s="1" t="s">
        <v>162</v>
      </c>
      <c r="G194" s="9">
        <v>5.9</v>
      </c>
      <c r="I194" s="1">
        <v>46261</v>
      </c>
      <c r="J194" s="1" t="s">
        <v>290</v>
      </c>
      <c r="K194" s="3">
        <v>13</v>
      </c>
      <c r="M194" s="1">
        <v>46008</v>
      </c>
      <c r="N194" s="14">
        <v>26331.666666666701</v>
      </c>
    </row>
    <row r="195" spans="1:14">
      <c r="A195" s="1">
        <v>46261</v>
      </c>
      <c r="B195" t="s">
        <v>1975</v>
      </c>
      <c r="C195">
        <v>3.6379999999999999</v>
      </c>
      <c r="E195" s="1">
        <v>46223</v>
      </c>
      <c r="F195" s="1" t="s">
        <v>163</v>
      </c>
      <c r="G195" s="9">
        <v>7.1</v>
      </c>
      <c r="I195" s="1">
        <v>46261</v>
      </c>
      <c r="J195" s="1" t="s">
        <v>107</v>
      </c>
      <c r="K195" s="3">
        <v>8057956915969</v>
      </c>
      <c r="M195" s="1">
        <v>46007</v>
      </c>
      <c r="N195" s="14">
        <v>26343</v>
      </c>
    </row>
    <row r="196" spans="1:14">
      <c r="A196" s="1">
        <v>46261</v>
      </c>
      <c r="B196" t="s">
        <v>1976</v>
      </c>
      <c r="C196">
        <v>3.7040000000000002</v>
      </c>
      <c r="E196" s="1">
        <v>46220</v>
      </c>
      <c r="F196" s="1" t="s">
        <v>160</v>
      </c>
      <c r="G196" s="9">
        <v>3.9</v>
      </c>
      <c r="I196" s="1">
        <v>46260</v>
      </c>
      <c r="J196" s="1" t="s">
        <v>282</v>
      </c>
      <c r="K196" s="3">
        <v>5000</v>
      </c>
      <c r="M196" s="1">
        <v>46006</v>
      </c>
      <c r="N196" s="14">
        <v>26322</v>
      </c>
    </row>
    <row r="197" spans="1:14">
      <c r="A197" s="1">
        <v>46261</v>
      </c>
      <c r="B197" t="s">
        <v>1977</v>
      </c>
      <c r="C197">
        <v>3.9860000000000002</v>
      </c>
      <c r="E197" s="1">
        <v>46220</v>
      </c>
      <c r="F197" s="1" t="s">
        <v>161</v>
      </c>
      <c r="G197" s="9">
        <v>4.6500000000000004</v>
      </c>
      <c r="I197" s="1">
        <v>46260</v>
      </c>
      <c r="J197" s="1" t="s">
        <v>283</v>
      </c>
      <c r="K197" s="3">
        <v>14</v>
      </c>
      <c r="M197" s="1">
        <v>46003</v>
      </c>
      <c r="N197" s="14">
        <v>26309.8</v>
      </c>
    </row>
    <row r="198" spans="1:14">
      <c r="A198" s="1">
        <v>46261</v>
      </c>
      <c r="B198" t="s">
        <v>1978</v>
      </c>
      <c r="C198">
        <v>4.2679999999999998</v>
      </c>
      <c r="E198" s="1">
        <v>46220</v>
      </c>
      <c r="F198" s="1" t="s">
        <v>162</v>
      </c>
      <c r="G198" s="9">
        <v>5.4</v>
      </c>
      <c r="I198" s="1">
        <v>46260</v>
      </c>
      <c r="J198" s="1" t="s">
        <v>284</v>
      </c>
      <c r="K198" s="3">
        <v>6321</v>
      </c>
      <c r="M198" s="1">
        <v>46002</v>
      </c>
      <c r="N198" s="14">
        <v>26330.5</v>
      </c>
    </row>
    <row r="199" spans="1:14">
      <c r="A199" s="1">
        <v>46261</v>
      </c>
      <c r="B199" t="s">
        <v>1979</v>
      </c>
      <c r="C199">
        <v>4.3170000000000002</v>
      </c>
      <c r="E199" s="1">
        <v>46220</v>
      </c>
      <c r="F199" s="1" t="s">
        <v>163</v>
      </c>
      <c r="G199" s="9">
        <v>7</v>
      </c>
      <c r="I199" s="1">
        <v>46260</v>
      </c>
      <c r="J199" s="1" t="s">
        <v>285</v>
      </c>
      <c r="K199" s="3">
        <v>4.5</v>
      </c>
      <c r="M199" s="1">
        <v>46001</v>
      </c>
      <c r="N199" s="14">
        <v>26357.5</v>
      </c>
    </row>
    <row r="200" spans="1:14">
      <c r="A200" s="1">
        <v>46261</v>
      </c>
      <c r="B200" t="s">
        <v>1980</v>
      </c>
      <c r="C200">
        <v>4.4509999999999996</v>
      </c>
      <c r="E200" s="1">
        <v>46219</v>
      </c>
      <c r="F200" s="1" t="s">
        <v>160</v>
      </c>
      <c r="G200" s="9">
        <v>4.0999999999999996</v>
      </c>
      <c r="I200" s="1">
        <v>46260</v>
      </c>
      <c r="J200" s="1" t="s">
        <v>286</v>
      </c>
      <c r="K200" s="3">
        <v>3005</v>
      </c>
      <c r="M200" s="1">
        <v>46000</v>
      </c>
      <c r="N200" s="14">
        <v>26367</v>
      </c>
    </row>
    <row r="201" spans="1:14">
      <c r="A201" s="1">
        <v>46261</v>
      </c>
      <c r="B201" t="s">
        <v>1981</v>
      </c>
      <c r="C201">
        <v>4.5780000000000003</v>
      </c>
      <c r="E201" s="1">
        <v>46219</v>
      </c>
      <c r="F201" s="1" t="s">
        <v>161</v>
      </c>
      <c r="G201" s="9">
        <v>4.7</v>
      </c>
      <c r="I201" s="1">
        <v>46260</v>
      </c>
      <c r="J201" s="1" t="s">
        <v>287</v>
      </c>
      <c r="K201" s="3">
        <v>191387.07</v>
      </c>
      <c r="M201" s="1">
        <v>45999</v>
      </c>
      <c r="N201" s="14">
        <v>26363</v>
      </c>
    </row>
    <row r="202" spans="1:14">
      <c r="A202" s="1">
        <v>46261</v>
      </c>
      <c r="B202" t="s">
        <v>1982</v>
      </c>
      <c r="C202">
        <v>4.6660000000000004</v>
      </c>
      <c r="E202" s="1">
        <v>46219</v>
      </c>
      <c r="F202" s="1" t="s">
        <v>162</v>
      </c>
      <c r="G202" s="9">
        <v>5.75</v>
      </c>
      <c r="I202" s="1">
        <v>46260</v>
      </c>
      <c r="J202" s="1" t="s">
        <v>288</v>
      </c>
      <c r="K202" s="3">
        <v>-4912.46</v>
      </c>
      <c r="M202" s="1">
        <v>45996</v>
      </c>
      <c r="N202" s="14">
        <v>26362.333333333299</v>
      </c>
    </row>
    <row r="203" spans="1:14">
      <c r="A203" s="1">
        <v>46261</v>
      </c>
      <c r="B203" t="s">
        <v>1983</v>
      </c>
      <c r="C203">
        <v>4.7329999999999997</v>
      </c>
      <c r="E203" s="1">
        <v>46219</v>
      </c>
      <c r="F203" s="1" t="s">
        <v>163</v>
      </c>
      <c r="G203" s="9">
        <v>7.2</v>
      </c>
      <c r="I203" s="1">
        <v>46260</v>
      </c>
      <c r="J203" s="1" t="s">
        <v>289</v>
      </c>
      <c r="K203" s="3">
        <v>8</v>
      </c>
      <c r="M203" s="1">
        <v>45995</v>
      </c>
      <c r="N203" s="14">
        <v>26371.5</v>
      </c>
    </row>
    <row r="204" spans="1:14">
      <c r="A204" s="1">
        <v>46260</v>
      </c>
      <c r="B204" t="s">
        <v>1974</v>
      </c>
      <c r="C204">
        <v>3.5329999999999999</v>
      </c>
      <c r="E204" s="1">
        <v>46218</v>
      </c>
      <c r="F204" s="1" t="s">
        <v>160</v>
      </c>
      <c r="G204" s="9">
        <v>4.2</v>
      </c>
      <c r="I204" s="1">
        <v>46260</v>
      </c>
      <c r="J204" s="1" t="s">
        <v>290</v>
      </c>
      <c r="K204" s="3">
        <v>8</v>
      </c>
      <c r="M204" s="1">
        <v>45994</v>
      </c>
      <c r="N204" s="14">
        <v>26373</v>
      </c>
    </row>
    <row r="205" spans="1:14">
      <c r="A205" s="1">
        <v>46260</v>
      </c>
      <c r="B205" t="s">
        <v>1975</v>
      </c>
      <c r="C205">
        <v>3.6379999999999999</v>
      </c>
      <c r="E205" s="1">
        <v>46218</v>
      </c>
      <c r="F205" s="1" t="s">
        <v>161</v>
      </c>
      <c r="G205" s="9">
        <v>4.8</v>
      </c>
      <c r="I205" s="1">
        <v>46260</v>
      </c>
      <c r="J205" s="1" t="s">
        <v>107</v>
      </c>
      <c r="K205" s="3">
        <v>7929371220673</v>
      </c>
      <c r="M205" s="1">
        <v>45993</v>
      </c>
      <c r="N205" s="14">
        <v>26378.2</v>
      </c>
    </row>
    <row r="206" spans="1:14">
      <c r="A206" s="1">
        <v>46260</v>
      </c>
      <c r="B206" t="s">
        <v>1976</v>
      </c>
      <c r="C206">
        <v>3.7040000000000002</v>
      </c>
      <c r="E206" s="1">
        <v>46218</v>
      </c>
      <c r="F206" s="1" t="s">
        <v>162</v>
      </c>
      <c r="G206" s="9">
        <v>5.9</v>
      </c>
      <c r="I206" s="1">
        <v>46259</v>
      </c>
      <c r="J206" s="1" t="s">
        <v>107</v>
      </c>
      <c r="K206" s="3">
        <v>7851270370768</v>
      </c>
      <c r="M206" s="1">
        <v>45992</v>
      </c>
      <c r="N206" s="14">
        <v>26360.666666666701</v>
      </c>
    </row>
    <row r="207" spans="1:14">
      <c r="A207" s="1">
        <v>46260</v>
      </c>
      <c r="B207" t="s">
        <v>1977</v>
      </c>
      <c r="C207">
        <v>3.984</v>
      </c>
      <c r="E207" s="1">
        <v>46218</v>
      </c>
      <c r="F207" s="1" t="s">
        <v>163</v>
      </c>
      <c r="G207" s="9">
        <v>7.2</v>
      </c>
      <c r="I207" s="1">
        <v>46259</v>
      </c>
      <c r="J207" s="1" t="s">
        <v>282</v>
      </c>
      <c r="K207" s="3">
        <v>7000</v>
      </c>
      <c r="M207" s="1">
        <v>45989</v>
      </c>
      <c r="N207" s="14">
        <v>26363.666666666701</v>
      </c>
    </row>
    <row r="208" spans="1:14">
      <c r="A208" s="1">
        <v>46260</v>
      </c>
      <c r="B208" t="s">
        <v>1978</v>
      </c>
      <c r="C208">
        <v>4.2640000000000002</v>
      </c>
      <c r="E208" s="1">
        <v>46217</v>
      </c>
      <c r="F208" s="1" t="s">
        <v>160</v>
      </c>
      <c r="G208" s="9">
        <v>4.2</v>
      </c>
      <c r="I208" s="1">
        <v>46259</v>
      </c>
      <c r="J208" s="1" t="s">
        <v>283</v>
      </c>
      <c r="K208" s="3">
        <v>14</v>
      </c>
      <c r="M208" s="1">
        <v>45988</v>
      </c>
      <c r="N208" s="14">
        <v>26377</v>
      </c>
    </row>
    <row r="209" spans="1:14">
      <c r="A209" s="1">
        <v>46260</v>
      </c>
      <c r="B209" t="s">
        <v>1979</v>
      </c>
      <c r="C209">
        <v>4.3170000000000002</v>
      </c>
      <c r="E209" s="1">
        <v>46217</v>
      </c>
      <c r="F209" s="1" t="s">
        <v>161</v>
      </c>
      <c r="G209" s="9">
        <v>4.8</v>
      </c>
      <c r="I209" s="1">
        <v>46259</v>
      </c>
      <c r="J209" s="1" t="s">
        <v>284</v>
      </c>
      <c r="K209" s="3">
        <v>17047</v>
      </c>
      <c r="M209" s="1">
        <v>45987</v>
      </c>
      <c r="N209" s="14">
        <v>26290</v>
      </c>
    </row>
    <row r="210" spans="1:14">
      <c r="A210" s="1">
        <v>46260</v>
      </c>
      <c r="B210" t="s">
        <v>1980</v>
      </c>
      <c r="C210">
        <v>4.4480000000000004</v>
      </c>
      <c r="E210" s="1">
        <v>46217</v>
      </c>
      <c r="F210" s="1" t="s">
        <v>162</v>
      </c>
      <c r="G210" s="9">
        <v>5.55</v>
      </c>
      <c r="I210" s="1">
        <v>46259</v>
      </c>
      <c r="J210" s="1" t="s">
        <v>285</v>
      </c>
      <c r="K210" s="3">
        <v>4.5</v>
      </c>
      <c r="M210" s="1">
        <v>45986</v>
      </c>
      <c r="N210" s="14">
        <v>26373.4</v>
      </c>
    </row>
    <row r="211" spans="1:14">
      <c r="A211" s="1">
        <v>46260</v>
      </c>
      <c r="B211" t="s">
        <v>1981</v>
      </c>
      <c r="C211">
        <v>4.5780000000000003</v>
      </c>
      <c r="E211" s="1">
        <v>46217</v>
      </c>
      <c r="F211" s="1" t="s">
        <v>163</v>
      </c>
      <c r="G211" s="9">
        <v>7.2</v>
      </c>
      <c r="I211" s="1">
        <v>46259</v>
      </c>
      <c r="J211" s="1" t="s">
        <v>286</v>
      </c>
      <c r="K211" s="3">
        <v>10564.71</v>
      </c>
      <c r="M211" s="1">
        <v>45985</v>
      </c>
      <c r="N211" s="14">
        <v>26375.4</v>
      </c>
    </row>
    <row r="212" spans="1:14">
      <c r="A212" s="1">
        <v>46260</v>
      </c>
      <c r="B212" t="s">
        <v>1982</v>
      </c>
      <c r="C212">
        <v>4.6660000000000004</v>
      </c>
      <c r="E212" s="1">
        <v>46216</v>
      </c>
      <c r="F212" s="1" t="s">
        <v>160</v>
      </c>
      <c r="G212" s="9">
        <v>4.2</v>
      </c>
      <c r="I212" s="1">
        <v>46259</v>
      </c>
      <c r="J212" s="1" t="s">
        <v>287</v>
      </c>
      <c r="K212" s="3">
        <v>188071.07</v>
      </c>
      <c r="M212" s="1">
        <v>45982</v>
      </c>
      <c r="N212" s="14">
        <v>26361.25</v>
      </c>
    </row>
    <row r="213" spans="1:14">
      <c r="A213" s="1">
        <v>46260</v>
      </c>
      <c r="B213" t="s">
        <v>1983</v>
      </c>
      <c r="C213">
        <v>4.7329999999999997</v>
      </c>
      <c r="E213" s="1">
        <v>46216</v>
      </c>
      <c r="F213" s="1" t="s">
        <v>161</v>
      </c>
      <c r="G213" s="9">
        <v>4.8</v>
      </c>
      <c r="I213" s="1">
        <v>46259</v>
      </c>
      <c r="J213" s="1" t="s">
        <v>288</v>
      </c>
      <c r="K213" s="3">
        <v>-7917.46</v>
      </c>
      <c r="M213" s="1">
        <v>45981</v>
      </c>
      <c r="N213" s="14">
        <v>26378.75</v>
      </c>
    </row>
    <row r="214" spans="1:14">
      <c r="A214" s="1">
        <v>46259</v>
      </c>
      <c r="B214" t="s">
        <v>1974</v>
      </c>
      <c r="C214">
        <v>3.5329999999999999</v>
      </c>
      <c r="E214" s="1">
        <v>46216</v>
      </c>
      <c r="F214" s="1" t="s">
        <v>162</v>
      </c>
      <c r="G214" s="9">
        <v>5.7</v>
      </c>
      <c r="I214" s="1">
        <v>46259</v>
      </c>
      <c r="J214" s="1" t="s">
        <v>289</v>
      </c>
      <c r="K214" s="3">
        <v>9</v>
      </c>
      <c r="M214" s="1">
        <v>45980</v>
      </c>
      <c r="N214" s="14">
        <v>26373.4</v>
      </c>
    </row>
    <row r="215" spans="1:14">
      <c r="A215" s="1">
        <v>46259</v>
      </c>
      <c r="B215" t="s">
        <v>1975</v>
      </c>
      <c r="C215">
        <v>3.6379999999999999</v>
      </c>
      <c r="E215" s="1">
        <v>46216</v>
      </c>
      <c r="F215" s="1" t="s">
        <v>163</v>
      </c>
      <c r="G215" s="9">
        <v>7.2</v>
      </c>
      <c r="I215" s="1">
        <v>46259</v>
      </c>
      <c r="J215" s="1" t="s">
        <v>290</v>
      </c>
      <c r="K215" s="3">
        <v>9</v>
      </c>
      <c r="M215" s="1">
        <v>45979</v>
      </c>
      <c r="N215" s="14">
        <v>26385</v>
      </c>
    </row>
    <row r="216" spans="1:14">
      <c r="A216" s="1">
        <v>46259</v>
      </c>
      <c r="B216" t="s">
        <v>1976</v>
      </c>
      <c r="C216">
        <v>3.7040000000000002</v>
      </c>
      <c r="E216" s="1">
        <v>46213</v>
      </c>
      <c r="F216" s="1" t="s">
        <v>160</v>
      </c>
      <c r="G216" s="9">
        <v>4.3</v>
      </c>
      <c r="I216" s="1">
        <v>46258</v>
      </c>
      <c r="J216" s="1" t="s">
        <v>107</v>
      </c>
      <c r="K216" s="3">
        <v>6919992110406</v>
      </c>
      <c r="M216" s="1">
        <v>45978</v>
      </c>
      <c r="N216" s="14">
        <v>26356</v>
      </c>
    </row>
    <row r="217" spans="1:14">
      <c r="A217" s="1">
        <v>46259</v>
      </c>
      <c r="B217" t="s">
        <v>1977</v>
      </c>
      <c r="C217">
        <v>3.984</v>
      </c>
      <c r="E217" s="1">
        <v>46213</v>
      </c>
      <c r="F217" s="1" t="s">
        <v>161</v>
      </c>
      <c r="G217" s="9">
        <v>5</v>
      </c>
      <c r="I217" s="1">
        <v>46258</v>
      </c>
      <c r="J217" s="1" t="s">
        <v>282</v>
      </c>
      <c r="K217" s="3">
        <v>15000</v>
      </c>
      <c r="M217" s="1">
        <v>45975</v>
      </c>
      <c r="N217" s="14">
        <v>26331.75</v>
      </c>
    </row>
    <row r="218" spans="1:14">
      <c r="A218" s="1">
        <v>46259</v>
      </c>
      <c r="B218" t="s">
        <v>1978</v>
      </c>
      <c r="C218">
        <v>4.2640000000000002</v>
      </c>
      <c r="E218" s="1">
        <v>46213</v>
      </c>
      <c r="F218" s="1" t="s">
        <v>162</v>
      </c>
      <c r="G218" s="9">
        <v>5.85</v>
      </c>
      <c r="I218" s="1">
        <v>46258</v>
      </c>
      <c r="J218" s="1" t="s">
        <v>283</v>
      </c>
      <c r="K218" s="3">
        <v>14</v>
      </c>
      <c r="M218" s="1">
        <v>45974</v>
      </c>
      <c r="N218" s="14">
        <v>26353</v>
      </c>
    </row>
    <row r="219" spans="1:14">
      <c r="A219" s="1">
        <v>46259</v>
      </c>
      <c r="B219" t="s">
        <v>1979</v>
      </c>
      <c r="C219">
        <v>4.3170000000000002</v>
      </c>
      <c r="E219" s="1">
        <v>46213</v>
      </c>
      <c r="F219" s="1" t="s">
        <v>163</v>
      </c>
      <c r="G219" s="9">
        <v>7.15</v>
      </c>
      <c r="I219" s="1">
        <v>46258</v>
      </c>
      <c r="J219" s="1" t="s">
        <v>284</v>
      </c>
      <c r="K219" s="3">
        <v>12209</v>
      </c>
      <c r="M219" s="1">
        <v>45973</v>
      </c>
      <c r="N219" s="14">
        <v>26347.8</v>
      </c>
    </row>
    <row r="220" spans="1:14">
      <c r="A220" s="1">
        <v>46259</v>
      </c>
      <c r="B220" t="s">
        <v>1980</v>
      </c>
      <c r="C220">
        <v>4.4530000000000003</v>
      </c>
      <c r="E220" s="1">
        <v>46212</v>
      </c>
      <c r="F220" s="1" t="s">
        <v>160</v>
      </c>
      <c r="G220" s="9">
        <v>4.7</v>
      </c>
      <c r="I220" s="1">
        <v>46258</v>
      </c>
      <c r="J220" s="1" t="s">
        <v>285</v>
      </c>
      <c r="K220" s="3">
        <v>4.5</v>
      </c>
      <c r="M220" s="1">
        <v>45972</v>
      </c>
      <c r="N220" s="14">
        <v>26313.5</v>
      </c>
    </row>
    <row r="221" spans="1:14">
      <c r="A221" s="1">
        <v>46259</v>
      </c>
      <c r="B221" t="s">
        <v>1981</v>
      </c>
      <c r="C221">
        <v>4.5780000000000003</v>
      </c>
      <c r="E221" s="1">
        <v>46212</v>
      </c>
      <c r="F221" s="1" t="s">
        <v>161</v>
      </c>
      <c r="G221" s="9">
        <v>5.4</v>
      </c>
      <c r="I221" s="1">
        <v>46258</v>
      </c>
      <c r="J221" s="1" t="s">
        <v>286</v>
      </c>
      <c r="K221" s="3">
        <v>12970.6</v>
      </c>
      <c r="M221" s="1">
        <v>45971</v>
      </c>
      <c r="N221" s="14">
        <v>26300.6</v>
      </c>
    </row>
    <row r="222" spans="1:14">
      <c r="A222" s="1">
        <v>46259</v>
      </c>
      <c r="B222" t="s">
        <v>1982</v>
      </c>
      <c r="C222">
        <v>4.6660000000000004</v>
      </c>
      <c r="E222" s="1">
        <v>46212</v>
      </c>
      <c r="F222" s="1" t="s">
        <v>162</v>
      </c>
      <c r="G222" s="9">
        <v>5.95</v>
      </c>
      <c r="I222" s="1">
        <v>46258</v>
      </c>
      <c r="J222" s="1" t="s">
        <v>287</v>
      </c>
      <c r="K222" s="3">
        <v>181588.78</v>
      </c>
      <c r="M222" s="1">
        <v>45968</v>
      </c>
      <c r="N222" s="14">
        <v>26311.25</v>
      </c>
    </row>
    <row r="223" spans="1:14">
      <c r="A223" s="1">
        <v>46259</v>
      </c>
      <c r="B223" t="s">
        <v>1983</v>
      </c>
      <c r="C223">
        <v>4.7329999999999997</v>
      </c>
      <c r="E223" s="1">
        <v>46212</v>
      </c>
      <c r="F223" s="1" t="s">
        <v>163</v>
      </c>
      <c r="G223" s="9">
        <v>7.5</v>
      </c>
      <c r="I223" s="1">
        <v>46258</v>
      </c>
      <c r="J223" s="1" t="s">
        <v>288</v>
      </c>
      <c r="K223" s="3">
        <v>-18482.169999999998</v>
      </c>
      <c r="M223" s="1">
        <v>45967</v>
      </c>
      <c r="N223" s="14">
        <v>26316.5</v>
      </c>
    </row>
    <row r="224" spans="1:14">
      <c r="A224" s="1">
        <v>46258</v>
      </c>
      <c r="B224" t="s">
        <v>1974</v>
      </c>
      <c r="C224">
        <v>3.5289999999999999</v>
      </c>
      <c r="E224" s="1">
        <v>46211</v>
      </c>
      <c r="F224" s="1" t="s">
        <v>160</v>
      </c>
      <c r="G224" s="9">
        <v>5.3</v>
      </c>
      <c r="I224" s="1">
        <v>46258</v>
      </c>
      <c r="J224" s="1" t="s">
        <v>289</v>
      </c>
      <c r="K224" s="3">
        <v>7</v>
      </c>
      <c r="M224" s="1">
        <v>45966</v>
      </c>
      <c r="N224" s="14">
        <v>26322</v>
      </c>
    </row>
    <row r="225" spans="1:14">
      <c r="A225" s="1">
        <v>46258</v>
      </c>
      <c r="B225" t="s">
        <v>1975</v>
      </c>
      <c r="C225">
        <v>3.633</v>
      </c>
      <c r="E225" s="1">
        <v>46211</v>
      </c>
      <c r="F225" s="1" t="s">
        <v>161</v>
      </c>
      <c r="G225" s="9">
        <v>6</v>
      </c>
      <c r="I225" s="1">
        <v>46258</v>
      </c>
      <c r="J225" s="1" t="s">
        <v>290</v>
      </c>
      <c r="K225" s="3">
        <v>7</v>
      </c>
      <c r="M225" s="1">
        <v>45965</v>
      </c>
      <c r="N225" s="14">
        <v>26316.5</v>
      </c>
    </row>
    <row r="226" spans="1:14">
      <c r="A226" s="1">
        <v>46258</v>
      </c>
      <c r="B226" t="s">
        <v>1976</v>
      </c>
      <c r="C226">
        <v>3.7040000000000002</v>
      </c>
      <c r="E226" s="1">
        <v>46211</v>
      </c>
      <c r="F226" s="1" t="s">
        <v>162</v>
      </c>
      <c r="G226" s="9">
        <v>6.5</v>
      </c>
      <c r="I226" s="1">
        <v>46257</v>
      </c>
      <c r="J226" s="1" t="s">
        <v>107</v>
      </c>
      <c r="K226" s="3">
        <v>7597989673731</v>
      </c>
      <c r="M226" s="1">
        <v>45964</v>
      </c>
      <c r="N226" s="14">
        <v>26307.200000000001</v>
      </c>
    </row>
    <row r="227" spans="1:14">
      <c r="A227" s="1">
        <v>46258</v>
      </c>
      <c r="B227" t="s">
        <v>1977</v>
      </c>
      <c r="C227">
        <v>3.9830000000000001</v>
      </c>
      <c r="E227" s="1">
        <v>46211</v>
      </c>
      <c r="F227" s="1" t="s">
        <v>163</v>
      </c>
      <c r="G227" s="9">
        <v>7.5</v>
      </c>
      <c r="I227" s="1">
        <v>46256</v>
      </c>
      <c r="J227" s="1" t="s">
        <v>282</v>
      </c>
      <c r="K227" s="3">
        <v>6000</v>
      </c>
      <c r="M227" s="1">
        <v>45961</v>
      </c>
      <c r="N227" s="14">
        <v>26309</v>
      </c>
    </row>
    <row r="228" spans="1:14">
      <c r="A228" s="1">
        <v>46258</v>
      </c>
      <c r="B228" t="s">
        <v>1978</v>
      </c>
      <c r="C228">
        <v>4.2629999999999999</v>
      </c>
      <c r="E228" s="1">
        <v>46210</v>
      </c>
      <c r="F228" s="1" t="s">
        <v>160</v>
      </c>
      <c r="G228" s="9">
        <v>5.9</v>
      </c>
      <c r="I228" s="1">
        <v>46256</v>
      </c>
      <c r="J228" s="1" t="s">
        <v>283</v>
      </c>
      <c r="K228" s="3">
        <v>16</v>
      </c>
      <c r="M228" s="1">
        <v>45960</v>
      </c>
      <c r="N228" s="14">
        <v>26329.200000000001</v>
      </c>
    </row>
    <row r="229" spans="1:14">
      <c r="A229" s="1">
        <v>46258</v>
      </c>
      <c r="B229" t="s">
        <v>1979</v>
      </c>
      <c r="C229">
        <v>4.3140000000000001</v>
      </c>
      <c r="E229" s="1">
        <v>46210</v>
      </c>
      <c r="F229" s="1" t="s">
        <v>161</v>
      </c>
      <c r="G229" s="9">
        <v>6.3</v>
      </c>
      <c r="I229" s="1">
        <v>46256</v>
      </c>
      <c r="J229" s="1" t="s">
        <v>284</v>
      </c>
      <c r="K229" s="3">
        <v>4527</v>
      </c>
      <c r="M229" s="1">
        <v>45959</v>
      </c>
      <c r="N229" s="14">
        <v>26331.5</v>
      </c>
    </row>
    <row r="230" spans="1:14">
      <c r="A230" s="1">
        <v>46258</v>
      </c>
      <c r="B230" t="s">
        <v>1980</v>
      </c>
      <c r="C230">
        <v>4.4470000000000001</v>
      </c>
      <c r="E230" s="1">
        <v>46210</v>
      </c>
      <c r="F230" s="1" t="s">
        <v>162</v>
      </c>
      <c r="G230" s="9">
        <v>6.55</v>
      </c>
      <c r="I230" s="1">
        <v>46256</v>
      </c>
      <c r="J230" s="1" t="s">
        <v>285</v>
      </c>
      <c r="K230" s="3">
        <v>4.5</v>
      </c>
      <c r="M230" s="1">
        <v>45958</v>
      </c>
      <c r="N230" s="14">
        <v>26319.333333333299</v>
      </c>
    </row>
    <row r="231" spans="1:14">
      <c r="A231" s="1">
        <v>46258</v>
      </c>
      <c r="B231" t="s">
        <v>1981</v>
      </c>
      <c r="C231">
        <v>4.5780000000000003</v>
      </c>
      <c r="E231" s="1">
        <v>46210</v>
      </c>
      <c r="F231" s="1" t="s">
        <v>163</v>
      </c>
      <c r="G231" s="9">
        <v>7.7</v>
      </c>
      <c r="I231" s="1">
        <v>46256</v>
      </c>
      <c r="J231" s="1" t="s">
        <v>286</v>
      </c>
      <c r="K231" s="3">
        <v>0</v>
      </c>
      <c r="M231" s="1">
        <v>45957</v>
      </c>
      <c r="N231" s="14">
        <v>26306</v>
      </c>
    </row>
    <row r="232" spans="1:14">
      <c r="A232" s="1">
        <v>46258</v>
      </c>
      <c r="B232" t="s">
        <v>1982</v>
      </c>
      <c r="C232">
        <v>4.6660000000000004</v>
      </c>
      <c r="E232" s="1">
        <v>46209</v>
      </c>
      <c r="F232" s="1" t="s">
        <v>160</v>
      </c>
      <c r="G232" s="9">
        <v>6</v>
      </c>
      <c r="I232" s="1">
        <v>46256</v>
      </c>
      <c r="J232" s="1" t="s">
        <v>287</v>
      </c>
      <c r="K232" s="3">
        <v>182350.38</v>
      </c>
      <c r="M232" s="1">
        <v>45954</v>
      </c>
      <c r="N232" s="14">
        <v>26303</v>
      </c>
    </row>
    <row r="233" spans="1:14">
      <c r="A233" s="1">
        <v>46258</v>
      </c>
      <c r="B233" t="s">
        <v>1983</v>
      </c>
      <c r="C233">
        <v>4.7329999999999997</v>
      </c>
      <c r="E233" s="1">
        <v>46209</v>
      </c>
      <c r="F233" s="1" t="s">
        <v>161</v>
      </c>
      <c r="G233" s="9">
        <v>6.4</v>
      </c>
      <c r="I233" s="1">
        <v>46256</v>
      </c>
      <c r="J233" s="1" t="s">
        <v>288</v>
      </c>
      <c r="K233" s="3">
        <v>-31452.77</v>
      </c>
      <c r="M233" s="1">
        <v>45953</v>
      </c>
      <c r="N233" s="14">
        <v>26332.6</v>
      </c>
    </row>
    <row r="234" spans="1:14">
      <c r="A234" s="1">
        <v>46255</v>
      </c>
      <c r="B234" t="s">
        <v>1974</v>
      </c>
      <c r="C234">
        <v>3.5289999999999999</v>
      </c>
      <c r="E234" s="1">
        <v>46209</v>
      </c>
      <c r="F234" s="1" t="s">
        <v>162</v>
      </c>
      <c r="G234" s="9">
        <v>6.6</v>
      </c>
      <c r="I234" s="1">
        <v>46256</v>
      </c>
      <c r="J234" s="1" t="s">
        <v>289</v>
      </c>
      <c r="K234" s="3">
        <v>1</v>
      </c>
      <c r="M234" s="1">
        <v>45952</v>
      </c>
      <c r="N234" s="14">
        <v>26345</v>
      </c>
    </row>
    <row r="235" spans="1:14">
      <c r="A235" s="1">
        <v>46255</v>
      </c>
      <c r="B235" t="s">
        <v>1975</v>
      </c>
      <c r="C235">
        <v>3.633</v>
      </c>
      <c r="E235" s="1">
        <v>46209</v>
      </c>
      <c r="F235" s="1" t="s">
        <v>163</v>
      </c>
      <c r="G235" s="9">
        <v>7.45</v>
      </c>
      <c r="I235" s="1">
        <v>46256</v>
      </c>
      <c r="J235" s="1" t="s">
        <v>290</v>
      </c>
      <c r="K235" s="3">
        <v>1</v>
      </c>
      <c r="M235" s="1">
        <v>45951</v>
      </c>
      <c r="N235" s="14">
        <v>26350.666666666701</v>
      </c>
    </row>
    <row r="236" spans="1:14">
      <c r="A236" s="1">
        <v>46255</v>
      </c>
      <c r="B236" t="s">
        <v>1976</v>
      </c>
      <c r="C236">
        <v>3.7040000000000002</v>
      </c>
      <c r="E236" s="1">
        <v>46206</v>
      </c>
      <c r="F236" s="1" t="s">
        <v>160</v>
      </c>
      <c r="G236" s="9">
        <v>5.7</v>
      </c>
      <c r="I236" s="1">
        <v>46255</v>
      </c>
      <c r="J236" s="1" t="s">
        <v>288</v>
      </c>
      <c r="K236" s="3">
        <v>-31452.77</v>
      </c>
      <c r="M236" s="1">
        <v>45950</v>
      </c>
      <c r="N236" s="14">
        <v>26347.200000000001</v>
      </c>
    </row>
    <row r="237" spans="1:14">
      <c r="A237" s="1">
        <v>46255</v>
      </c>
      <c r="B237" t="s">
        <v>1977</v>
      </c>
      <c r="C237">
        <v>3.976</v>
      </c>
      <c r="E237" s="1">
        <v>46206</v>
      </c>
      <c r="F237" s="1" t="s">
        <v>161</v>
      </c>
      <c r="G237" s="9">
        <v>6.2</v>
      </c>
      <c r="I237" s="1">
        <v>46255</v>
      </c>
      <c r="J237" s="1" t="s">
        <v>289</v>
      </c>
      <c r="K237" s="3">
        <v>7</v>
      </c>
      <c r="M237" s="1">
        <v>45947</v>
      </c>
      <c r="N237" s="14">
        <v>26345.666666666701</v>
      </c>
    </row>
    <row r="238" spans="1:14">
      <c r="A238" s="1">
        <v>46255</v>
      </c>
      <c r="B238" t="s">
        <v>1978</v>
      </c>
      <c r="C238">
        <v>4.2489999999999997</v>
      </c>
      <c r="E238" s="1">
        <v>46206</v>
      </c>
      <c r="F238" s="1" t="s">
        <v>162</v>
      </c>
      <c r="G238" s="9">
        <v>6.75</v>
      </c>
      <c r="I238" s="1">
        <v>46255</v>
      </c>
      <c r="J238" s="1" t="s">
        <v>290</v>
      </c>
      <c r="K238" s="3">
        <v>7</v>
      </c>
      <c r="M238" s="1">
        <v>45946</v>
      </c>
      <c r="N238" s="14">
        <v>26336</v>
      </c>
    </row>
    <row r="239" spans="1:14">
      <c r="A239" s="1">
        <v>46255</v>
      </c>
      <c r="B239" t="s">
        <v>1979</v>
      </c>
      <c r="C239">
        <v>4.3090000000000002</v>
      </c>
      <c r="E239" s="1">
        <v>46206</v>
      </c>
      <c r="F239" s="1" t="s">
        <v>163</v>
      </c>
      <c r="G239" s="9">
        <v>7.5</v>
      </c>
      <c r="I239" s="1">
        <v>46255</v>
      </c>
      <c r="J239" s="1" t="s">
        <v>282</v>
      </c>
      <c r="K239" s="3">
        <v>1000</v>
      </c>
      <c r="M239" s="1">
        <v>45945</v>
      </c>
      <c r="N239" s="14">
        <v>26345.333333333299</v>
      </c>
    </row>
    <row r="240" spans="1:14">
      <c r="A240" s="1">
        <v>46255</v>
      </c>
      <c r="B240" t="s">
        <v>1980</v>
      </c>
      <c r="C240">
        <v>4.4450000000000003</v>
      </c>
      <c r="E240" s="1">
        <v>46205</v>
      </c>
      <c r="F240" s="1" t="s">
        <v>160</v>
      </c>
      <c r="G240" s="9">
        <v>6.7</v>
      </c>
      <c r="I240" s="1">
        <v>46255</v>
      </c>
      <c r="J240" s="1" t="s">
        <v>283</v>
      </c>
      <c r="K240" s="3">
        <v>7</v>
      </c>
      <c r="M240" s="1">
        <v>45944</v>
      </c>
      <c r="N240" s="14">
        <v>26356.6</v>
      </c>
    </row>
    <row r="241" spans="1:14">
      <c r="A241" s="1">
        <v>46255</v>
      </c>
      <c r="B241" t="s">
        <v>1981</v>
      </c>
      <c r="C241">
        <v>4.5780000000000003</v>
      </c>
      <c r="E241" s="1">
        <v>46205</v>
      </c>
      <c r="F241" s="1" t="s">
        <v>161</v>
      </c>
      <c r="G241" s="9">
        <v>6.8</v>
      </c>
      <c r="I241" s="1">
        <v>46255</v>
      </c>
      <c r="J241" s="1" t="s">
        <v>284</v>
      </c>
      <c r="K241" s="3">
        <v>5298.49</v>
      </c>
      <c r="M241" s="1">
        <v>45943</v>
      </c>
      <c r="N241" s="14">
        <v>26343.5</v>
      </c>
    </row>
    <row r="242" spans="1:14">
      <c r="A242" s="1">
        <v>46255</v>
      </c>
      <c r="B242" t="s">
        <v>1982</v>
      </c>
      <c r="C242">
        <v>4.6660000000000004</v>
      </c>
      <c r="E242" s="1">
        <v>46205</v>
      </c>
      <c r="F242" s="1" t="s">
        <v>162</v>
      </c>
      <c r="G242" s="9">
        <v>7.1</v>
      </c>
      <c r="I242" s="1">
        <v>46255</v>
      </c>
      <c r="J242" s="1" t="s">
        <v>285</v>
      </c>
      <c r="K242" s="3">
        <v>4.5</v>
      </c>
      <c r="M242" s="1">
        <v>45940</v>
      </c>
      <c r="N242" s="14">
        <v>26340</v>
      </c>
    </row>
    <row r="243" spans="1:14">
      <c r="A243" s="1">
        <v>46255</v>
      </c>
      <c r="B243" t="s">
        <v>1983</v>
      </c>
      <c r="C243">
        <v>4.7329999999999997</v>
      </c>
      <c r="E243" s="1">
        <v>46205</v>
      </c>
      <c r="F243" s="1" t="s">
        <v>163</v>
      </c>
      <c r="G243" s="9">
        <v>7.5</v>
      </c>
      <c r="I243" s="1">
        <v>46255</v>
      </c>
      <c r="J243" s="1" t="s">
        <v>286</v>
      </c>
      <c r="K243" s="3">
        <v>8307</v>
      </c>
      <c r="M243" s="1">
        <v>45939</v>
      </c>
      <c r="N243" s="14">
        <v>26347.666666666701</v>
      </c>
    </row>
    <row r="244" spans="1:14">
      <c r="A244" s="1">
        <v>46254</v>
      </c>
      <c r="B244" t="s">
        <v>1974</v>
      </c>
      <c r="C244">
        <v>3.5289999999999999</v>
      </c>
      <c r="E244" s="1">
        <v>46204</v>
      </c>
      <c r="F244" s="1" t="s">
        <v>160</v>
      </c>
      <c r="G244" s="9">
        <v>6</v>
      </c>
      <c r="I244" s="1">
        <v>46255</v>
      </c>
      <c r="J244" s="1" t="s">
        <v>287</v>
      </c>
      <c r="K244" s="3">
        <v>177588.38</v>
      </c>
      <c r="M244" s="1">
        <v>45938</v>
      </c>
      <c r="N244" s="14">
        <v>26359</v>
      </c>
    </row>
    <row r="245" spans="1:14">
      <c r="A245" s="1">
        <v>46254</v>
      </c>
      <c r="B245" t="s">
        <v>1975</v>
      </c>
      <c r="C245">
        <v>3.633</v>
      </c>
      <c r="E245" s="1">
        <v>46204</v>
      </c>
      <c r="F245" s="1" t="s">
        <v>161</v>
      </c>
      <c r="G245" s="9">
        <v>6.4</v>
      </c>
      <c r="I245" s="1">
        <v>46254</v>
      </c>
      <c r="J245" s="1" t="s">
        <v>282</v>
      </c>
      <c r="K245" s="3">
        <v>1000</v>
      </c>
      <c r="M245" s="1">
        <v>45937</v>
      </c>
      <c r="N245" s="14">
        <v>26362.666666666701</v>
      </c>
    </row>
    <row r="246" spans="1:14">
      <c r="A246" s="1">
        <v>46254</v>
      </c>
      <c r="B246" t="s">
        <v>1976</v>
      </c>
      <c r="C246">
        <v>3.7040000000000002</v>
      </c>
      <c r="E246" s="1">
        <v>46204</v>
      </c>
      <c r="F246" s="1" t="s">
        <v>162</v>
      </c>
      <c r="G246" s="9">
        <v>7.4</v>
      </c>
      <c r="I246" s="1">
        <v>46254</v>
      </c>
      <c r="J246" s="1" t="s">
        <v>283</v>
      </c>
      <c r="K246" s="3">
        <v>7</v>
      </c>
      <c r="M246" s="1">
        <v>45936</v>
      </c>
      <c r="N246" s="14">
        <v>26367</v>
      </c>
    </row>
    <row r="247" spans="1:14">
      <c r="A247" s="1">
        <v>46254</v>
      </c>
      <c r="B247" t="s">
        <v>1977</v>
      </c>
      <c r="C247">
        <v>3.9769999999999999</v>
      </c>
      <c r="E247" s="1">
        <v>46204</v>
      </c>
      <c r="F247" s="1" t="s">
        <v>163</v>
      </c>
      <c r="G247" s="9">
        <v>7.5</v>
      </c>
      <c r="I247" s="1">
        <v>46254</v>
      </c>
      <c r="J247" s="1" t="s">
        <v>284</v>
      </c>
      <c r="K247" s="3">
        <v>3434</v>
      </c>
      <c r="M247" s="1">
        <v>45933</v>
      </c>
      <c r="N247" s="14">
        <v>26383.8</v>
      </c>
    </row>
    <row r="248" spans="1:14">
      <c r="A248" s="1">
        <v>46254</v>
      </c>
      <c r="B248" t="s">
        <v>1978</v>
      </c>
      <c r="C248">
        <v>4.2489999999999997</v>
      </c>
      <c r="E248" s="1">
        <v>46203</v>
      </c>
      <c r="F248" s="1" t="s">
        <v>160</v>
      </c>
      <c r="G248" s="9">
        <v>13</v>
      </c>
      <c r="I248" s="1">
        <v>46254</v>
      </c>
      <c r="J248" s="1" t="s">
        <v>285</v>
      </c>
      <c r="K248" s="3">
        <v>4.5</v>
      </c>
      <c r="M248" s="1">
        <v>45932</v>
      </c>
      <c r="N248" s="14">
        <v>26393.5</v>
      </c>
    </row>
    <row r="249" spans="1:14">
      <c r="A249" s="1">
        <v>46254</v>
      </c>
      <c r="B249" t="s">
        <v>1979</v>
      </c>
      <c r="C249">
        <v>4.3090000000000002</v>
      </c>
      <c r="E249" s="1">
        <v>46203</v>
      </c>
      <c r="F249" s="1" t="s">
        <v>161</v>
      </c>
      <c r="G249" s="9">
        <v>8.5</v>
      </c>
      <c r="I249" s="1">
        <v>46254</v>
      </c>
      <c r="J249" s="1" t="s">
        <v>286</v>
      </c>
      <c r="K249" s="3">
        <v>2210</v>
      </c>
      <c r="M249" s="1">
        <v>45931</v>
      </c>
      <c r="N249" s="14">
        <v>26388.799999999999</v>
      </c>
    </row>
    <row r="250" spans="1:14">
      <c r="A250" s="1">
        <v>46254</v>
      </c>
      <c r="B250" t="s">
        <v>1980</v>
      </c>
      <c r="C250">
        <v>4.4480000000000004</v>
      </c>
      <c r="E250" s="1">
        <v>46203</v>
      </c>
      <c r="F250" s="1" t="s">
        <v>162</v>
      </c>
      <c r="G250" s="9">
        <v>8</v>
      </c>
      <c r="I250" s="1">
        <v>46254</v>
      </c>
      <c r="J250" s="1" t="s">
        <v>287</v>
      </c>
      <c r="K250" s="3">
        <v>180596.89</v>
      </c>
      <c r="M250" s="1">
        <v>45930</v>
      </c>
      <c r="N250" s="14">
        <v>26426</v>
      </c>
    </row>
    <row r="251" spans="1:14">
      <c r="A251" s="1">
        <v>46254</v>
      </c>
      <c r="B251" t="s">
        <v>1981</v>
      </c>
      <c r="C251">
        <v>4.5780000000000003</v>
      </c>
      <c r="E251" s="1">
        <v>46203</v>
      </c>
      <c r="F251" s="1" t="s">
        <v>163</v>
      </c>
      <c r="G251" s="9">
        <v>8.1</v>
      </c>
      <c r="I251" s="1">
        <v>46254</v>
      </c>
      <c r="J251" s="1" t="s">
        <v>288</v>
      </c>
      <c r="K251" s="3">
        <v>-38820.160000000003</v>
      </c>
      <c r="M251" s="1">
        <v>45929</v>
      </c>
      <c r="N251" s="14">
        <v>26420</v>
      </c>
    </row>
    <row r="252" spans="1:14">
      <c r="A252" s="1">
        <v>46254</v>
      </c>
      <c r="B252" t="s">
        <v>1982</v>
      </c>
      <c r="C252">
        <v>4.6660000000000004</v>
      </c>
      <c r="E252" s="1">
        <v>46202</v>
      </c>
      <c r="F252" s="1" t="s">
        <v>160</v>
      </c>
      <c r="G252" s="9">
        <v>3.6</v>
      </c>
      <c r="I252" s="1">
        <v>46254</v>
      </c>
      <c r="J252" s="1" t="s">
        <v>289</v>
      </c>
      <c r="K252" s="3">
        <v>3</v>
      </c>
      <c r="M252" s="1">
        <v>45926</v>
      </c>
      <c r="N252" s="14">
        <v>26405</v>
      </c>
    </row>
    <row r="253" spans="1:14">
      <c r="A253" s="1">
        <v>46254</v>
      </c>
      <c r="B253" t="s">
        <v>1983</v>
      </c>
      <c r="C253">
        <v>4.7329999999999997</v>
      </c>
      <c r="E253" s="1">
        <v>46202</v>
      </c>
      <c r="F253" s="1" t="s">
        <v>161</v>
      </c>
      <c r="G253" s="9">
        <v>8.5</v>
      </c>
      <c r="I253" s="1">
        <v>46254</v>
      </c>
      <c r="J253" s="1" t="s">
        <v>290</v>
      </c>
      <c r="K253" s="3">
        <v>3</v>
      </c>
      <c r="M253" s="1">
        <v>45925</v>
      </c>
      <c r="N253" s="14">
        <v>26407.599999999999</v>
      </c>
    </row>
    <row r="254" spans="1:14">
      <c r="A254" s="1">
        <v>46253</v>
      </c>
      <c r="B254" t="s">
        <v>1974</v>
      </c>
      <c r="C254">
        <v>3.5289999999999999</v>
      </c>
      <c r="E254" s="1">
        <v>46202</v>
      </c>
      <c r="F254" s="1" t="s">
        <v>162</v>
      </c>
      <c r="G254" s="9">
        <v>8</v>
      </c>
      <c r="I254" s="1">
        <v>46254</v>
      </c>
      <c r="J254" s="1" t="s">
        <v>107</v>
      </c>
      <c r="K254" s="3">
        <v>8032720119521</v>
      </c>
      <c r="M254" s="1">
        <v>45924</v>
      </c>
      <c r="N254" s="14">
        <v>26418.400000000001</v>
      </c>
    </row>
    <row r="255" spans="1:14">
      <c r="A255" s="1">
        <v>46253</v>
      </c>
      <c r="B255" t="s">
        <v>1975</v>
      </c>
      <c r="C255">
        <v>3.633</v>
      </c>
      <c r="E255" s="1">
        <v>46202</v>
      </c>
      <c r="F255" s="1" t="s">
        <v>163</v>
      </c>
      <c r="G255" s="9">
        <v>7.6</v>
      </c>
      <c r="I255" s="1">
        <v>46253</v>
      </c>
      <c r="J255" s="1" t="s">
        <v>282</v>
      </c>
      <c r="K255" s="3">
        <v>1000</v>
      </c>
      <c r="M255" s="1">
        <v>45923</v>
      </c>
      <c r="N255" s="14">
        <v>26409</v>
      </c>
    </row>
    <row r="256" spans="1:14">
      <c r="A256" s="1">
        <v>46253</v>
      </c>
      <c r="B256" t="s">
        <v>1976</v>
      </c>
      <c r="C256">
        <v>3.7040000000000002</v>
      </c>
      <c r="E256" s="1">
        <v>46199</v>
      </c>
      <c r="F256" s="1" t="s">
        <v>160</v>
      </c>
      <c r="G256" s="9">
        <v>3</v>
      </c>
      <c r="I256" s="1">
        <v>46253</v>
      </c>
      <c r="J256" s="1" t="s">
        <v>283</v>
      </c>
      <c r="K256" s="3">
        <v>7</v>
      </c>
      <c r="M256" s="1">
        <v>45922</v>
      </c>
      <c r="N256" s="14">
        <v>26409.5</v>
      </c>
    </row>
    <row r="257" spans="1:14">
      <c r="A257" s="1">
        <v>46253</v>
      </c>
      <c r="B257" t="s">
        <v>1977</v>
      </c>
      <c r="C257">
        <v>3.9790000000000001</v>
      </c>
      <c r="E257" s="1">
        <v>46199</v>
      </c>
      <c r="F257" s="1" t="s">
        <v>161</v>
      </c>
      <c r="G257" s="9">
        <v>7.9</v>
      </c>
      <c r="I257" s="1">
        <v>46253</v>
      </c>
      <c r="J257" s="1" t="s">
        <v>284</v>
      </c>
      <c r="K257" s="3">
        <v>1808</v>
      </c>
      <c r="M257" s="1">
        <v>45919</v>
      </c>
      <c r="N257" s="14">
        <v>26386.666666666701</v>
      </c>
    </row>
    <row r="258" spans="1:14">
      <c r="A258" s="1">
        <v>46253</v>
      </c>
      <c r="B258" t="s">
        <v>1978</v>
      </c>
      <c r="C258">
        <v>4.2539999999999996</v>
      </c>
      <c r="E258" s="1">
        <v>46199</v>
      </c>
      <c r="F258" s="1" t="s">
        <v>162</v>
      </c>
      <c r="G258" s="9">
        <v>7.85</v>
      </c>
      <c r="I258" s="1">
        <v>46253</v>
      </c>
      <c r="J258" s="1" t="s">
        <v>285</v>
      </c>
      <c r="K258" s="3">
        <v>4.5</v>
      </c>
      <c r="M258" s="1">
        <v>45918</v>
      </c>
      <c r="N258" s="14">
        <v>26378.333333333299</v>
      </c>
    </row>
    <row r="259" spans="1:14">
      <c r="A259" s="1">
        <v>46253</v>
      </c>
      <c r="B259" t="s">
        <v>1979</v>
      </c>
      <c r="C259">
        <v>4.3099999999999996</v>
      </c>
      <c r="E259" s="1">
        <v>46199</v>
      </c>
      <c r="F259" s="1" t="s">
        <v>163</v>
      </c>
      <c r="G259" s="9">
        <v>7.2</v>
      </c>
      <c r="I259" s="1">
        <v>46253</v>
      </c>
      <c r="J259" s="1" t="s">
        <v>286</v>
      </c>
      <c r="K259" s="3">
        <v>3189</v>
      </c>
      <c r="M259" s="1">
        <v>45917</v>
      </c>
      <c r="N259" s="14">
        <v>26377</v>
      </c>
    </row>
    <row r="260" spans="1:14">
      <c r="A260" s="1">
        <v>46253</v>
      </c>
      <c r="B260" t="s">
        <v>1980</v>
      </c>
      <c r="C260">
        <v>4.45</v>
      </c>
      <c r="E260" s="1">
        <v>46198</v>
      </c>
      <c r="F260" s="1" t="s">
        <v>160</v>
      </c>
      <c r="G260" s="9">
        <v>3.2</v>
      </c>
      <c r="I260" s="1">
        <v>46253</v>
      </c>
      <c r="J260" s="1" t="s">
        <v>287</v>
      </c>
      <c r="K260" s="3">
        <v>179372.89</v>
      </c>
      <c r="M260" s="1">
        <v>45916</v>
      </c>
      <c r="N260" s="14">
        <v>26378.799999999999</v>
      </c>
    </row>
    <row r="261" spans="1:14">
      <c r="A261" s="1">
        <v>46253</v>
      </c>
      <c r="B261" t="s">
        <v>1981</v>
      </c>
      <c r="C261">
        <v>4.5780000000000003</v>
      </c>
      <c r="E261" s="1">
        <v>46198</v>
      </c>
      <c r="F261" s="1" t="s">
        <v>161</v>
      </c>
      <c r="G261" s="9">
        <v>7.75</v>
      </c>
      <c r="I261" s="1">
        <v>46253</v>
      </c>
      <c r="J261" s="1" t="s">
        <v>288</v>
      </c>
      <c r="K261" s="3">
        <v>-37057.31</v>
      </c>
      <c r="M261" s="1">
        <v>45915</v>
      </c>
      <c r="N261" s="14">
        <v>26382.5</v>
      </c>
    </row>
    <row r="262" spans="1:14">
      <c r="A262" s="1">
        <v>46253</v>
      </c>
      <c r="B262" t="s">
        <v>1982</v>
      </c>
      <c r="C262">
        <v>4.6660000000000004</v>
      </c>
      <c r="E262" s="1">
        <v>46198</v>
      </c>
      <c r="F262" s="1" t="s">
        <v>162</v>
      </c>
      <c r="G262" s="9">
        <v>7.8</v>
      </c>
      <c r="I262" s="1">
        <v>46253</v>
      </c>
      <c r="J262" s="1" t="s">
        <v>289</v>
      </c>
      <c r="K262" s="3">
        <v>6</v>
      </c>
      <c r="M262" s="1">
        <v>45912</v>
      </c>
      <c r="N262" s="14">
        <v>26384</v>
      </c>
    </row>
    <row r="263" spans="1:14">
      <c r="A263" s="1">
        <v>46253</v>
      </c>
      <c r="B263" t="s">
        <v>1983</v>
      </c>
      <c r="C263">
        <v>4.7329999999999997</v>
      </c>
      <c r="E263" s="1">
        <v>46198</v>
      </c>
      <c r="F263" s="1" t="s">
        <v>163</v>
      </c>
      <c r="G263" s="9">
        <v>7.8</v>
      </c>
      <c r="I263" s="1">
        <v>46253</v>
      </c>
      <c r="J263" s="1" t="s">
        <v>290</v>
      </c>
      <c r="K263" s="3">
        <v>6</v>
      </c>
      <c r="M263" s="1">
        <v>45911</v>
      </c>
      <c r="N263" s="14">
        <v>26399</v>
      </c>
    </row>
    <row r="264" spans="1:14">
      <c r="A264" s="1">
        <v>46252</v>
      </c>
      <c r="B264" t="s">
        <v>1974</v>
      </c>
      <c r="C264">
        <v>3.5289999999999999</v>
      </c>
      <c r="E264" s="1">
        <v>46197</v>
      </c>
      <c r="F264" s="1" t="s">
        <v>160</v>
      </c>
      <c r="G264" s="9">
        <v>3.8</v>
      </c>
      <c r="I264" s="1">
        <v>46253</v>
      </c>
      <c r="J264" s="1" t="s">
        <v>107</v>
      </c>
      <c r="K264" s="3">
        <v>7934403951951</v>
      </c>
      <c r="M264" s="1">
        <v>45910</v>
      </c>
      <c r="N264" s="14">
        <v>26395</v>
      </c>
    </row>
    <row r="265" spans="1:14">
      <c r="A265" s="1">
        <v>46252</v>
      </c>
      <c r="B265" t="s">
        <v>1975</v>
      </c>
      <c r="C265">
        <v>3.633</v>
      </c>
      <c r="E265" s="1">
        <v>46197</v>
      </c>
      <c r="F265" s="1" t="s">
        <v>161</v>
      </c>
      <c r="G265" s="9">
        <v>7.7</v>
      </c>
      <c r="I265" s="1">
        <v>46252</v>
      </c>
      <c r="J265" s="1" t="s">
        <v>107</v>
      </c>
      <c r="K265" s="3">
        <v>7510416780687</v>
      </c>
      <c r="M265" s="1">
        <v>45909</v>
      </c>
      <c r="N265" s="14">
        <v>26391.25</v>
      </c>
    </row>
    <row r="266" spans="1:14">
      <c r="A266" s="1">
        <v>46252</v>
      </c>
      <c r="B266" t="s">
        <v>1976</v>
      </c>
      <c r="C266">
        <v>3.7040000000000002</v>
      </c>
      <c r="E266" s="1">
        <v>46197</v>
      </c>
      <c r="F266" s="1" t="s">
        <v>162</v>
      </c>
      <c r="G266" s="9">
        <v>7.8</v>
      </c>
      <c r="I266" s="1">
        <v>46252</v>
      </c>
      <c r="J266" s="1" t="s">
        <v>282</v>
      </c>
      <c r="K266" s="3">
        <v>6000</v>
      </c>
      <c r="M266" s="1">
        <v>45908</v>
      </c>
      <c r="N266" s="14">
        <v>26408</v>
      </c>
    </row>
    <row r="267" spans="1:14">
      <c r="A267" s="1">
        <v>46252</v>
      </c>
      <c r="B267" t="s">
        <v>1977</v>
      </c>
      <c r="C267">
        <v>3.9710000000000001</v>
      </c>
      <c r="E267" s="1">
        <v>46197</v>
      </c>
      <c r="F267" s="1" t="s">
        <v>163</v>
      </c>
      <c r="G267" s="9">
        <v>7.9</v>
      </c>
      <c r="I267" s="1">
        <v>46252</v>
      </c>
      <c r="J267" s="1" t="s">
        <v>283</v>
      </c>
      <c r="K267" s="3">
        <v>7</v>
      </c>
      <c r="M267" s="1">
        <v>45905</v>
      </c>
      <c r="N267" s="14">
        <v>26400.5</v>
      </c>
    </row>
    <row r="268" spans="1:14">
      <c r="A268" s="1">
        <v>46252</v>
      </c>
      <c r="B268" t="s">
        <v>1978</v>
      </c>
      <c r="C268">
        <v>4.2380000000000004</v>
      </c>
      <c r="E268" s="1">
        <v>46196</v>
      </c>
      <c r="F268" s="1" t="s">
        <v>160</v>
      </c>
      <c r="G268" s="9">
        <v>5.2</v>
      </c>
      <c r="I268" s="1">
        <v>46252</v>
      </c>
      <c r="J268" s="1" t="s">
        <v>284</v>
      </c>
      <c r="K268" s="3">
        <v>7305</v>
      </c>
      <c r="M268" s="1">
        <v>45904</v>
      </c>
      <c r="N268" s="14">
        <v>26385</v>
      </c>
    </row>
    <row r="269" spans="1:14">
      <c r="A269" s="1">
        <v>46252</v>
      </c>
      <c r="B269" t="s">
        <v>1979</v>
      </c>
      <c r="C269">
        <v>4.3090000000000002</v>
      </c>
      <c r="E269" s="1">
        <v>46196</v>
      </c>
      <c r="F269" s="1" t="s">
        <v>161</v>
      </c>
      <c r="G269" s="9">
        <v>6.5</v>
      </c>
      <c r="I269" s="1">
        <v>46252</v>
      </c>
      <c r="J269" s="1" t="s">
        <v>285</v>
      </c>
      <c r="K269" s="3">
        <v>4.5</v>
      </c>
      <c r="M269" s="1">
        <v>45903</v>
      </c>
      <c r="N269" s="14">
        <v>26386.799999999999</v>
      </c>
    </row>
    <row r="270" spans="1:14">
      <c r="A270" s="1">
        <v>46252</v>
      </c>
      <c r="B270" t="s">
        <v>1980</v>
      </c>
      <c r="C270">
        <v>4.4480000000000004</v>
      </c>
      <c r="E270" s="1">
        <v>46196</v>
      </c>
      <c r="F270" s="1" t="s">
        <v>162</v>
      </c>
      <c r="G270" s="9">
        <v>7.8</v>
      </c>
      <c r="I270" s="1">
        <v>46252</v>
      </c>
      <c r="J270" s="1" t="s">
        <v>286</v>
      </c>
      <c r="K270" s="3">
        <v>7000.17</v>
      </c>
      <c r="M270" s="1">
        <v>45898</v>
      </c>
      <c r="N270" s="14">
        <v>26354</v>
      </c>
    </row>
    <row r="271" spans="1:14">
      <c r="A271" s="1">
        <v>46252</v>
      </c>
      <c r="B271" t="s">
        <v>1981</v>
      </c>
      <c r="C271">
        <v>4.5780000000000003</v>
      </c>
      <c r="E271" s="1">
        <v>46196</v>
      </c>
      <c r="F271" s="1" t="s">
        <v>163</v>
      </c>
      <c r="G271" s="9">
        <v>7.9</v>
      </c>
      <c r="I271" s="1">
        <v>46252</v>
      </c>
      <c r="J271" s="1" t="s">
        <v>287</v>
      </c>
      <c r="K271" s="3">
        <v>180753.89</v>
      </c>
      <c r="M271" s="1">
        <v>45897</v>
      </c>
      <c r="N271" s="14">
        <v>26354.6</v>
      </c>
    </row>
    <row r="272" spans="1:14">
      <c r="A272" s="1">
        <v>46252</v>
      </c>
      <c r="B272" t="s">
        <v>1982</v>
      </c>
      <c r="C272">
        <v>4.6660000000000004</v>
      </c>
      <c r="E272" s="1">
        <v>46195</v>
      </c>
      <c r="F272" s="1" t="s">
        <v>160</v>
      </c>
      <c r="G272" s="9">
        <v>6.2</v>
      </c>
      <c r="I272" s="1">
        <v>46252</v>
      </c>
      <c r="J272" s="1" t="s">
        <v>288</v>
      </c>
      <c r="K272" s="3">
        <v>-37241.31</v>
      </c>
      <c r="M272" s="1">
        <v>45896</v>
      </c>
      <c r="N272" s="14">
        <v>26363.200000000001</v>
      </c>
    </row>
    <row r="273" spans="1:14">
      <c r="A273" s="1">
        <v>46252</v>
      </c>
      <c r="B273" t="s">
        <v>1983</v>
      </c>
      <c r="C273">
        <v>4.7329999999999997</v>
      </c>
      <c r="E273" s="1">
        <v>46195</v>
      </c>
      <c r="F273" s="1" t="s">
        <v>161</v>
      </c>
      <c r="G273" s="9">
        <v>6.5</v>
      </c>
      <c r="I273" s="1">
        <v>46252</v>
      </c>
      <c r="J273" s="1" t="s">
        <v>289</v>
      </c>
      <c r="K273" s="3">
        <v>8</v>
      </c>
      <c r="M273" s="1">
        <v>45895</v>
      </c>
      <c r="N273" s="14">
        <v>26358.5</v>
      </c>
    </row>
    <row r="274" spans="1:14">
      <c r="A274" s="1">
        <v>46251</v>
      </c>
      <c r="B274" t="s">
        <v>1974</v>
      </c>
      <c r="C274">
        <v>3.5289999999999999</v>
      </c>
      <c r="E274" s="1">
        <v>46195</v>
      </c>
      <c r="F274" s="1" t="s">
        <v>162</v>
      </c>
      <c r="G274" s="9">
        <v>7.6</v>
      </c>
      <c r="I274" s="1">
        <v>46252</v>
      </c>
      <c r="J274" s="1" t="s">
        <v>290</v>
      </c>
      <c r="K274" s="3">
        <v>8</v>
      </c>
      <c r="M274" s="1">
        <v>45894</v>
      </c>
      <c r="N274" s="14">
        <v>26290.400000000001</v>
      </c>
    </row>
    <row r="275" spans="1:14">
      <c r="A275" s="1">
        <v>46251</v>
      </c>
      <c r="B275" t="s">
        <v>1975</v>
      </c>
      <c r="C275">
        <v>3.633</v>
      </c>
      <c r="E275" s="1">
        <v>46195</v>
      </c>
      <c r="F275" s="1" t="s">
        <v>163</v>
      </c>
      <c r="G275" s="9">
        <v>7.7</v>
      </c>
      <c r="I275" s="1">
        <v>46251</v>
      </c>
      <c r="J275" s="1" t="s">
        <v>282</v>
      </c>
      <c r="K275" s="3">
        <v>6000</v>
      </c>
      <c r="M275" s="1">
        <v>45891</v>
      </c>
      <c r="N275" s="14">
        <v>26402</v>
      </c>
    </row>
    <row r="276" spans="1:14">
      <c r="A276" s="1">
        <v>46251</v>
      </c>
      <c r="B276" t="s">
        <v>1976</v>
      </c>
      <c r="C276">
        <v>3.7040000000000002</v>
      </c>
      <c r="E276" s="1">
        <v>46192</v>
      </c>
      <c r="F276" s="1" t="s">
        <v>160</v>
      </c>
      <c r="G276" s="9">
        <v>4.5</v>
      </c>
      <c r="I276" s="1">
        <v>46251</v>
      </c>
      <c r="J276" s="1" t="s">
        <v>283</v>
      </c>
      <c r="K276" s="3">
        <v>7</v>
      </c>
      <c r="M276" s="1">
        <v>45890</v>
      </c>
      <c r="N276" s="14">
        <v>26420</v>
      </c>
    </row>
    <row r="277" spans="1:14">
      <c r="A277" s="1">
        <v>46251</v>
      </c>
      <c r="B277" t="s">
        <v>1977</v>
      </c>
      <c r="C277">
        <v>3.976</v>
      </c>
      <c r="E277" s="1">
        <v>46192</v>
      </c>
      <c r="F277" s="1" t="s">
        <v>161</v>
      </c>
      <c r="G277" s="9">
        <v>5.5</v>
      </c>
      <c r="I277" s="1">
        <v>46251</v>
      </c>
      <c r="J277" s="1" t="s">
        <v>284</v>
      </c>
      <c r="K277" s="3">
        <v>9660</v>
      </c>
      <c r="M277" s="1">
        <v>45889</v>
      </c>
      <c r="N277" s="14">
        <v>26357</v>
      </c>
    </row>
    <row r="278" spans="1:14">
      <c r="A278" s="1">
        <v>46251</v>
      </c>
      <c r="B278" t="s">
        <v>1978</v>
      </c>
      <c r="C278">
        <v>4.2480000000000002</v>
      </c>
      <c r="E278" s="1">
        <v>46192</v>
      </c>
      <c r="F278" s="1" t="s">
        <v>162</v>
      </c>
      <c r="G278" s="9">
        <v>7.6</v>
      </c>
      <c r="I278" s="1">
        <v>46251</v>
      </c>
      <c r="J278" s="1" t="s">
        <v>285</v>
      </c>
      <c r="K278" s="3">
        <v>4.5</v>
      </c>
      <c r="M278" s="1">
        <v>45888</v>
      </c>
      <c r="N278" s="14">
        <v>26308</v>
      </c>
    </row>
    <row r="279" spans="1:14">
      <c r="A279" s="1">
        <v>46251</v>
      </c>
      <c r="B279" t="s">
        <v>1979</v>
      </c>
      <c r="C279">
        <v>4.3109999999999999</v>
      </c>
      <c r="E279" s="1">
        <v>46192</v>
      </c>
      <c r="F279" s="1" t="s">
        <v>163</v>
      </c>
      <c r="G279" s="9">
        <v>8.1999999999999993</v>
      </c>
      <c r="I279" s="1">
        <v>46251</v>
      </c>
      <c r="J279" s="1" t="s">
        <v>286</v>
      </c>
      <c r="K279" s="3">
        <v>14638.43</v>
      </c>
      <c r="M279" s="1">
        <v>45887</v>
      </c>
      <c r="N279" s="14">
        <v>26292.333333333299</v>
      </c>
    </row>
    <row r="280" spans="1:14">
      <c r="A280" s="1">
        <v>46251</v>
      </c>
      <c r="B280" t="s">
        <v>1980</v>
      </c>
      <c r="C280">
        <v>4.4530000000000003</v>
      </c>
      <c r="E280" s="1">
        <v>46191</v>
      </c>
      <c r="F280" s="1" t="s">
        <v>160</v>
      </c>
      <c r="G280" s="9">
        <v>4</v>
      </c>
      <c r="I280" s="1">
        <v>46251</v>
      </c>
      <c r="J280" s="1" t="s">
        <v>287</v>
      </c>
      <c r="K280" s="3">
        <v>180449.06</v>
      </c>
      <c r="M280" s="1">
        <v>45884</v>
      </c>
      <c r="N280" s="14">
        <v>26269.666666666701</v>
      </c>
    </row>
    <row r="281" spans="1:14">
      <c r="A281" s="1">
        <v>46251</v>
      </c>
      <c r="B281" t="s">
        <v>1981</v>
      </c>
      <c r="C281">
        <v>4.5780000000000003</v>
      </c>
      <c r="E281" s="1">
        <v>46191</v>
      </c>
      <c r="F281" s="1" t="s">
        <v>161</v>
      </c>
      <c r="G281" s="9">
        <v>5.6</v>
      </c>
      <c r="I281" s="1">
        <v>46251</v>
      </c>
      <c r="J281" s="1" t="s">
        <v>288</v>
      </c>
      <c r="K281" s="3">
        <v>-33676.769999999997</v>
      </c>
      <c r="M281" s="1">
        <v>45883</v>
      </c>
      <c r="N281" s="14">
        <v>26261.5</v>
      </c>
    </row>
    <row r="282" spans="1:14">
      <c r="A282" s="1">
        <v>46251</v>
      </c>
      <c r="B282" t="s">
        <v>1982</v>
      </c>
      <c r="C282">
        <v>4.6660000000000004</v>
      </c>
      <c r="E282" s="1">
        <v>46191</v>
      </c>
      <c r="F282" s="1" t="s">
        <v>162</v>
      </c>
      <c r="G282" s="9">
        <v>7.55</v>
      </c>
      <c r="I282" s="1">
        <v>46251</v>
      </c>
      <c r="J282" s="1" t="s">
        <v>289</v>
      </c>
      <c r="K282" s="3">
        <v>11</v>
      </c>
      <c r="M282" s="1">
        <v>45882</v>
      </c>
      <c r="N282" s="14">
        <v>26267.333333333299</v>
      </c>
    </row>
    <row r="283" spans="1:14">
      <c r="A283" s="1">
        <v>46251</v>
      </c>
      <c r="B283" t="s">
        <v>1983</v>
      </c>
      <c r="C283">
        <v>4.7329999999999997</v>
      </c>
      <c r="E283" s="1">
        <v>46191</v>
      </c>
      <c r="F283" s="1" t="s">
        <v>163</v>
      </c>
      <c r="G283" s="9">
        <v>8.1999999999999993</v>
      </c>
      <c r="I283" s="1">
        <v>46251</v>
      </c>
      <c r="J283" s="1" t="s">
        <v>290</v>
      </c>
      <c r="K283" s="3">
        <v>11</v>
      </c>
      <c r="M283" s="1">
        <v>45881</v>
      </c>
      <c r="N283" s="14">
        <v>26258.5</v>
      </c>
    </row>
    <row r="284" spans="1:14">
      <c r="A284" s="1">
        <v>46248</v>
      </c>
      <c r="B284" t="s">
        <v>1974</v>
      </c>
      <c r="C284">
        <v>3.5289999999999999</v>
      </c>
      <c r="E284" s="1">
        <v>46190</v>
      </c>
      <c r="F284" s="1" t="s">
        <v>160</v>
      </c>
      <c r="G284" s="9">
        <v>3.7</v>
      </c>
      <c r="I284" s="1">
        <v>46251</v>
      </c>
      <c r="J284" s="1" t="s">
        <v>107</v>
      </c>
      <c r="K284" s="3">
        <v>7581870925463</v>
      </c>
      <c r="M284" s="1">
        <v>45880</v>
      </c>
      <c r="N284" s="14">
        <v>26226.666666666701</v>
      </c>
    </row>
    <row r="285" spans="1:14">
      <c r="A285" s="1">
        <v>46248</v>
      </c>
      <c r="B285" t="s">
        <v>1975</v>
      </c>
      <c r="C285">
        <v>3.633</v>
      </c>
      <c r="E285" s="1">
        <v>46190</v>
      </c>
      <c r="F285" s="1" t="s">
        <v>161</v>
      </c>
      <c r="G285" s="9">
        <v>5.4</v>
      </c>
      <c r="I285" s="1">
        <v>46250</v>
      </c>
      <c r="J285" s="1" t="s">
        <v>107</v>
      </c>
      <c r="K285" s="3">
        <v>7715289817119</v>
      </c>
      <c r="M285" s="1">
        <v>45877</v>
      </c>
      <c r="N285" s="14">
        <v>26219</v>
      </c>
    </row>
    <row r="286" spans="1:14">
      <c r="A286" s="1">
        <v>46248</v>
      </c>
      <c r="B286" t="s">
        <v>1976</v>
      </c>
      <c r="C286">
        <v>3.7040000000000002</v>
      </c>
      <c r="E286" s="1">
        <v>46190</v>
      </c>
      <c r="F286" s="1" t="s">
        <v>162</v>
      </c>
      <c r="G286" s="9">
        <v>6.65</v>
      </c>
      <c r="I286" s="1">
        <v>46248</v>
      </c>
      <c r="J286" s="1" t="s">
        <v>282</v>
      </c>
      <c r="K286" s="3">
        <v>8000</v>
      </c>
      <c r="M286" s="1">
        <v>45876</v>
      </c>
      <c r="N286" s="14">
        <v>26216.25</v>
      </c>
    </row>
    <row r="287" spans="1:14">
      <c r="A287" s="1">
        <v>46248</v>
      </c>
      <c r="B287" t="s">
        <v>1977</v>
      </c>
      <c r="C287">
        <v>3.9710000000000001</v>
      </c>
      <c r="E287" s="1">
        <v>46190</v>
      </c>
      <c r="F287" s="1" t="s">
        <v>163</v>
      </c>
      <c r="G287" s="9">
        <v>8.1999999999999993</v>
      </c>
      <c r="I287" s="1">
        <v>46248</v>
      </c>
      <c r="J287" s="1" t="s">
        <v>283</v>
      </c>
      <c r="K287" s="3">
        <v>7</v>
      </c>
      <c r="M287" s="1">
        <v>45875</v>
      </c>
      <c r="N287" s="14">
        <v>26240</v>
      </c>
    </row>
    <row r="288" spans="1:14">
      <c r="A288" s="1">
        <v>46248</v>
      </c>
      <c r="B288" t="s">
        <v>1978</v>
      </c>
      <c r="C288">
        <v>4.2370000000000001</v>
      </c>
      <c r="E288" s="1">
        <v>46189</v>
      </c>
      <c r="F288" s="1" t="s">
        <v>160</v>
      </c>
      <c r="G288" s="9">
        <v>3.9</v>
      </c>
      <c r="I288" s="1">
        <v>46248</v>
      </c>
      <c r="J288" s="1" t="s">
        <v>284</v>
      </c>
      <c r="K288" s="3">
        <v>10894</v>
      </c>
      <c r="M288" s="1">
        <v>45874</v>
      </c>
      <c r="N288" s="14">
        <v>26227.333333333299</v>
      </c>
    </row>
    <row r="289" spans="1:14">
      <c r="A289" s="1">
        <v>46248</v>
      </c>
      <c r="B289" t="s">
        <v>1979</v>
      </c>
      <c r="C289">
        <v>4.3029999999999999</v>
      </c>
      <c r="E289" s="1">
        <v>46189</v>
      </c>
      <c r="F289" s="1" t="s">
        <v>161</v>
      </c>
      <c r="G289" s="9">
        <v>5.2</v>
      </c>
      <c r="I289" s="1">
        <v>46248</v>
      </c>
      <c r="J289" s="1" t="s">
        <v>285</v>
      </c>
      <c r="K289" s="3">
        <v>4.5</v>
      </c>
      <c r="M289" s="1">
        <v>45873</v>
      </c>
      <c r="N289" s="14">
        <v>26196</v>
      </c>
    </row>
    <row r="290" spans="1:14">
      <c r="A290" s="1">
        <v>46248</v>
      </c>
      <c r="B290" t="s">
        <v>1980</v>
      </c>
      <c r="C290">
        <v>4.4240000000000004</v>
      </c>
      <c r="E290" s="1">
        <v>46189</v>
      </c>
      <c r="F290" s="1" t="s">
        <v>162</v>
      </c>
      <c r="G290" s="9">
        <v>5.9</v>
      </c>
      <c r="I290" s="1">
        <v>46248</v>
      </c>
      <c r="J290" s="1" t="s">
        <v>286</v>
      </c>
      <c r="K290" s="3">
        <v>10562</v>
      </c>
      <c r="M290" s="1">
        <v>45870</v>
      </c>
      <c r="N290" s="14">
        <v>26208.666666666701</v>
      </c>
    </row>
    <row r="291" spans="1:14">
      <c r="A291" s="1">
        <v>46248</v>
      </c>
      <c r="B291" t="s">
        <v>1981</v>
      </c>
      <c r="C291">
        <v>4.5739999999999998</v>
      </c>
      <c r="E291" s="1">
        <v>46189</v>
      </c>
      <c r="F291" s="1" t="s">
        <v>163</v>
      </c>
      <c r="G291" s="9">
        <v>8.1999999999999993</v>
      </c>
      <c r="I291" s="1">
        <v>46248</v>
      </c>
      <c r="J291" s="1" t="s">
        <v>287</v>
      </c>
      <c r="K291" s="3">
        <v>185427.49</v>
      </c>
      <c r="M291" s="1">
        <v>45869</v>
      </c>
      <c r="N291" s="14">
        <v>26195.25</v>
      </c>
    </row>
    <row r="292" spans="1:14">
      <c r="A292" s="1">
        <v>46248</v>
      </c>
      <c r="B292" t="s">
        <v>1982</v>
      </c>
      <c r="C292">
        <v>4.6660000000000004</v>
      </c>
      <c r="E292" s="1">
        <v>46188</v>
      </c>
      <c r="F292" s="1" t="s">
        <v>160</v>
      </c>
      <c r="G292" s="9">
        <v>3.5</v>
      </c>
      <c r="I292" s="1">
        <v>46248</v>
      </c>
      <c r="J292" s="1" t="s">
        <v>288</v>
      </c>
      <c r="K292" s="3">
        <v>-35344.6</v>
      </c>
      <c r="M292" s="1">
        <v>45868</v>
      </c>
      <c r="N292" s="14">
        <v>26214</v>
      </c>
    </row>
    <row r="293" spans="1:14">
      <c r="A293" s="1">
        <v>46248</v>
      </c>
      <c r="B293" t="s">
        <v>1983</v>
      </c>
      <c r="C293">
        <v>4.7329999999999997</v>
      </c>
      <c r="E293" s="1">
        <v>46188</v>
      </c>
      <c r="F293" s="1" t="s">
        <v>161</v>
      </c>
      <c r="G293" s="9">
        <v>5</v>
      </c>
      <c r="I293" s="1">
        <v>46248</v>
      </c>
      <c r="J293" s="1" t="s">
        <v>289</v>
      </c>
      <c r="K293" s="3">
        <v>12</v>
      </c>
      <c r="M293" s="1">
        <v>45867</v>
      </c>
      <c r="N293" s="14">
        <v>26220.5</v>
      </c>
    </row>
    <row r="294" spans="1:14">
      <c r="A294" s="1">
        <v>46247</v>
      </c>
      <c r="B294" t="s">
        <v>1974</v>
      </c>
      <c r="C294">
        <v>3.5289999999999999</v>
      </c>
      <c r="E294" s="1">
        <v>46188</v>
      </c>
      <c r="F294" s="1" t="s">
        <v>162</v>
      </c>
      <c r="G294" s="9">
        <v>5.65</v>
      </c>
      <c r="I294" s="1">
        <v>46248</v>
      </c>
      <c r="J294" s="1" t="s">
        <v>290</v>
      </c>
      <c r="K294" s="3">
        <v>12</v>
      </c>
      <c r="M294" s="1">
        <v>45866</v>
      </c>
      <c r="N294" s="14">
        <v>26190</v>
      </c>
    </row>
    <row r="295" spans="1:14">
      <c r="A295" s="1">
        <v>46247</v>
      </c>
      <c r="B295" t="s">
        <v>1975</v>
      </c>
      <c r="C295">
        <v>3.633</v>
      </c>
      <c r="E295" s="1">
        <v>46188</v>
      </c>
      <c r="F295" s="1" t="s">
        <v>163</v>
      </c>
      <c r="G295" s="9">
        <v>7.5</v>
      </c>
      <c r="I295" s="1">
        <v>46247</v>
      </c>
      <c r="J295" s="1" t="s">
        <v>282</v>
      </c>
      <c r="K295" s="3">
        <v>1000</v>
      </c>
      <c r="M295" s="1">
        <v>45863</v>
      </c>
      <c r="N295" s="14">
        <v>26125</v>
      </c>
    </row>
    <row r="296" spans="1:14">
      <c r="A296" s="1">
        <v>46247</v>
      </c>
      <c r="B296" t="s">
        <v>1976</v>
      </c>
      <c r="C296">
        <v>3.7040000000000002</v>
      </c>
      <c r="E296" s="1">
        <v>46185</v>
      </c>
      <c r="F296" s="1" t="s">
        <v>160</v>
      </c>
      <c r="G296" s="9">
        <v>3.5</v>
      </c>
      <c r="I296" s="1">
        <v>46247</v>
      </c>
      <c r="J296" s="1" t="s">
        <v>283</v>
      </c>
      <c r="K296" s="3">
        <v>7</v>
      </c>
      <c r="M296" s="1">
        <v>45862</v>
      </c>
      <c r="N296" s="14">
        <v>26133.8</v>
      </c>
    </row>
    <row r="297" spans="1:14">
      <c r="A297" s="1">
        <v>46247</v>
      </c>
      <c r="B297" t="s">
        <v>1977</v>
      </c>
      <c r="C297">
        <v>3.976</v>
      </c>
      <c r="E297" s="1">
        <v>46185</v>
      </c>
      <c r="F297" s="1" t="s">
        <v>161</v>
      </c>
      <c r="G297" s="9">
        <v>4.8</v>
      </c>
      <c r="I297" s="1">
        <v>46247</v>
      </c>
      <c r="J297" s="1" t="s">
        <v>284</v>
      </c>
      <c r="K297" s="3">
        <v>6777</v>
      </c>
      <c r="M297" s="1">
        <v>45861</v>
      </c>
      <c r="N297" s="14">
        <v>26145</v>
      </c>
    </row>
    <row r="298" spans="1:14">
      <c r="A298" s="1">
        <v>46247</v>
      </c>
      <c r="B298" t="s">
        <v>1978</v>
      </c>
      <c r="C298">
        <v>4.2480000000000002</v>
      </c>
      <c r="E298" s="1">
        <v>46185</v>
      </c>
      <c r="F298" s="1" t="s">
        <v>162</v>
      </c>
      <c r="G298" s="9">
        <v>5.7</v>
      </c>
      <c r="I298" s="1">
        <v>46247</v>
      </c>
      <c r="J298" s="1" t="s">
        <v>285</v>
      </c>
      <c r="K298" s="3">
        <v>4.5</v>
      </c>
      <c r="M298" s="1">
        <v>45860</v>
      </c>
      <c r="N298" s="14">
        <v>26144.333333333299</v>
      </c>
    </row>
    <row r="299" spans="1:14">
      <c r="A299" s="1">
        <v>46247</v>
      </c>
      <c r="B299" t="s">
        <v>1979</v>
      </c>
      <c r="C299">
        <v>4.306</v>
      </c>
      <c r="E299" s="1">
        <v>46185</v>
      </c>
      <c r="F299" s="1" t="s">
        <v>163</v>
      </c>
      <c r="G299" s="9">
        <v>7.35</v>
      </c>
      <c r="I299" s="1">
        <v>46247</v>
      </c>
      <c r="J299" s="1" t="s">
        <v>286</v>
      </c>
      <c r="K299" s="3">
        <v>6302</v>
      </c>
      <c r="M299" s="1">
        <v>45859</v>
      </c>
      <c r="N299" s="14">
        <v>26152</v>
      </c>
    </row>
    <row r="300" spans="1:14">
      <c r="A300" s="1">
        <v>46247</v>
      </c>
      <c r="B300" t="s">
        <v>1980</v>
      </c>
      <c r="C300">
        <v>4.423</v>
      </c>
      <c r="E300" s="1">
        <v>46184</v>
      </c>
      <c r="F300" s="1" t="s">
        <v>160</v>
      </c>
      <c r="G300" s="9">
        <v>4.4000000000000004</v>
      </c>
      <c r="I300" s="1">
        <v>46247</v>
      </c>
      <c r="J300" s="1" t="s">
        <v>287</v>
      </c>
      <c r="K300" s="3">
        <v>185095.49</v>
      </c>
      <c r="M300" s="1">
        <v>45856</v>
      </c>
      <c r="N300" s="14">
        <v>26155.666666666701</v>
      </c>
    </row>
    <row r="301" spans="1:14">
      <c r="A301" s="1">
        <v>46247</v>
      </c>
      <c r="B301" t="s">
        <v>1981</v>
      </c>
      <c r="C301">
        <v>4.5739999999999998</v>
      </c>
      <c r="E301" s="1">
        <v>46184</v>
      </c>
      <c r="F301" s="1" t="s">
        <v>161</v>
      </c>
      <c r="G301" s="9">
        <v>5.3</v>
      </c>
      <c r="I301" s="1">
        <v>46247</v>
      </c>
      <c r="J301" s="1" t="s">
        <v>288</v>
      </c>
      <c r="K301" s="3">
        <v>-37599.599999999999</v>
      </c>
      <c r="M301" s="1">
        <v>45855</v>
      </c>
      <c r="N301" s="14">
        <v>26152.799999999999</v>
      </c>
    </row>
    <row r="302" spans="1:14">
      <c r="A302" s="1">
        <v>46247</v>
      </c>
      <c r="B302" t="s">
        <v>1982</v>
      </c>
      <c r="C302">
        <v>4.6660000000000004</v>
      </c>
      <c r="E302" s="1">
        <v>46184</v>
      </c>
      <c r="F302" s="1" t="s">
        <v>162</v>
      </c>
      <c r="G302" s="9">
        <v>6.1</v>
      </c>
      <c r="I302" s="1">
        <v>46247</v>
      </c>
      <c r="J302" s="1" t="s">
        <v>289</v>
      </c>
      <c r="K302" s="3">
        <v>7</v>
      </c>
      <c r="M302" s="1">
        <v>45854</v>
      </c>
      <c r="N302" s="14">
        <v>26158.799999999999</v>
      </c>
    </row>
    <row r="303" spans="1:14">
      <c r="A303" s="1">
        <v>46247</v>
      </c>
      <c r="B303" t="s">
        <v>1983</v>
      </c>
      <c r="C303">
        <v>4.7329999999999997</v>
      </c>
      <c r="E303" s="1">
        <v>46184</v>
      </c>
      <c r="F303" s="1" t="s">
        <v>163</v>
      </c>
      <c r="G303" s="9">
        <v>7.7</v>
      </c>
      <c r="I303" s="1">
        <v>46247</v>
      </c>
      <c r="J303" s="1" t="s">
        <v>290</v>
      </c>
      <c r="K303" s="3">
        <v>7</v>
      </c>
      <c r="M303" s="1">
        <v>45853</v>
      </c>
      <c r="N303" s="14">
        <v>26133</v>
      </c>
    </row>
    <row r="304" spans="1:14">
      <c r="A304" s="1">
        <v>46246</v>
      </c>
      <c r="B304" t="s">
        <v>1974</v>
      </c>
      <c r="C304">
        <v>3.5289999999999999</v>
      </c>
      <c r="E304" s="1">
        <v>46183</v>
      </c>
      <c r="F304" s="1" t="s">
        <v>160</v>
      </c>
      <c r="G304" s="9">
        <v>4.9000000000000004</v>
      </c>
      <c r="I304" s="1">
        <v>46247</v>
      </c>
      <c r="J304" s="1" t="s">
        <v>107</v>
      </c>
      <c r="K304" s="3">
        <v>7715289817119</v>
      </c>
      <c r="M304" s="1">
        <v>45852</v>
      </c>
      <c r="N304" s="14">
        <v>26116</v>
      </c>
    </row>
    <row r="305" spans="1:14">
      <c r="A305" s="1">
        <v>46246</v>
      </c>
      <c r="B305" t="s">
        <v>1975</v>
      </c>
      <c r="C305">
        <v>3.633</v>
      </c>
      <c r="E305" s="1">
        <v>46183</v>
      </c>
      <c r="F305" s="1" t="s">
        <v>161</v>
      </c>
      <c r="G305" s="9">
        <v>5.8</v>
      </c>
      <c r="I305" s="1">
        <v>46246</v>
      </c>
      <c r="J305" s="1" t="s">
        <v>107</v>
      </c>
      <c r="K305" s="3">
        <v>7612417778151</v>
      </c>
      <c r="M305" s="1">
        <v>45849</v>
      </c>
      <c r="N305" s="14">
        <v>26108.25</v>
      </c>
    </row>
    <row r="306" spans="1:14">
      <c r="A306" s="1">
        <v>46246</v>
      </c>
      <c r="B306" t="s">
        <v>1976</v>
      </c>
      <c r="C306">
        <v>3.7040000000000002</v>
      </c>
      <c r="E306" s="1">
        <v>46183</v>
      </c>
      <c r="F306" s="1" t="s">
        <v>162</v>
      </c>
      <c r="G306" s="9">
        <v>6.5</v>
      </c>
      <c r="I306" s="1">
        <v>46246</v>
      </c>
      <c r="J306" s="1" t="s">
        <v>282</v>
      </c>
      <c r="K306" s="3">
        <v>3000</v>
      </c>
      <c r="M306" s="1">
        <v>45848</v>
      </c>
      <c r="N306" s="14">
        <v>26112</v>
      </c>
    </row>
    <row r="307" spans="1:14">
      <c r="A307" s="1">
        <v>46246</v>
      </c>
      <c r="B307" t="s">
        <v>1977</v>
      </c>
      <c r="C307">
        <v>3.9689999999999999</v>
      </c>
      <c r="E307" s="1">
        <v>46183</v>
      </c>
      <c r="F307" s="1" t="s">
        <v>163</v>
      </c>
      <c r="G307" s="9">
        <v>7.7</v>
      </c>
      <c r="I307" s="1">
        <v>46246</v>
      </c>
      <c r="J307" s="1" t="s">
        <v>283</v>
      </c>
      <c r="K307" s="3">
        <v>7</v>
      </c>
      <c r="M307" s="1">
        <v>45847</v>
      </c>
      <c r="N307" s="14">
        <v>26137</v>
      </c>
    </row>
    <row r="308" spans="1:14">
      <c r="A308" s="1">
        <v>46246</v>
      </c>
      <c r="B308" t="s">
        <v>1978</v>
      </c>
      <c r="C308">
        <v>4.234</v>
      </c>
      <c r="E308" s="1">
        <v>46182</v>
      </c>
      <c r="F308" s="1" t="s">
        <v>160</v>
      </c>
      <c r="G308" s="9">
        <v>5.8</v>
      </c>
      <c r="I308" s="1">
        <v>46246</v>
      </c>
      <c r="J308" s="1" t="s">
        <v>284</v>
      </c>
      <c r="K308" s="3">
        <v>4730</v>
      </c>
      <c r="M308" s="1">
        <v>45846</v>
      </c>
      <c r="N308" s="14">
        <v>26124.799999999999</v>
      </c>
    </row>
    <row r="309" spans="1:14">
      <c r="A309" s="1">
        <v>46246</v>
      </c>
      <c r="B309" t="s">
        <v>1979</v>
      </c>
      <c r="C309">
        <v>4.298</v>
      </c>
      <c r="E309" s="1">
        <v>46182</v>
      </c>
      <c r="F309" s="1" t="s">
        <v>161</v>
      </c>
      <c r="G309" s="9">
        <v>6.55</v>
      </c>
      <c r="I309" s="1">
        <v>46246</v>
      </c>
      <c r="J309" s="1" t="s">
        <v>285</v>
      </c>
      <c r="K309" s="3">
        <v>4.5</v>
      </c>
      <c r="M309" s="1">
        <v>45845</v>
      </c>
      <c r="N309" s="14">
        <v>26165.75</v>
      </c>
    </row>
    <row r="310" spans="1:14">
      <c r="A310" s="1">
        <v>46246</v>
      </c>
      <c r="B310" t="s">
        <v>1980</v>
      </c>
      <c r="C310">
        <v>4.423</v>
      </c>
      <c r="E310" s="1">
        <v>46182</v>
      </c>
      <c r="F310" s="1" t="s">
        <v>162</v>
      </c>
      <c r="G310" s="9">
        <v>6.9</v>
      </c>
      <c r="I310" s="1">
        <v>46246</v>
      </c>
      <c r="J310" s="1" t="s">
        <v>286</v>
      </c>
      <c r="K310" s="3">
        <v>6981</v>
      </c>
      <c r="M310" s="1">
        <v>45842</v>
      </c>
      <c r="N310" s="14">
        <v>26172.5</v>
      </c>
    </row>
    <row r="311" spans="1:14">
      <c r="A311" s="1">
        <v>46246</v>
      </c>
      <c r="B311" t="s">
        <v>1981</v>
      </c>
      <c r="C311">
        <v>4.5739999999999998</v>
      </c>
      <c r="E311" s="1">
        <v>46182</v>
      </c>
      <c r="F311" s="1" t="s">
        <v>163</v>
      </c>
      <c r="G311" s="9">
        <v>7.65</v>
      </c>
      <c r="I311" s="1">
        <v>46246</v>
      </c>
      <c r="J311" s="1" t="s">
        <v>287</v>
      </c>
      <c r="K311" s="3">
        <v>184620.49</v>
      </c>
      <c r="M311" s="1">
        <v>45841</v>
      </c>
      <c r="N311" s="14">
        <v>26209.200000000001</v>
      </c>
    </row>
    <row r="312" spans="1:14">
      <c r="A312" s="1">
        <v>46246</v>
      </c>
      <c r="B312" t="s">
        <v>1982</v>
      </c>
      <c r="C312">
        <v>4.6660000000000004</v>
      </c>
      <c r="E312" s="1">
        <v>46181</v>
      </c>
      <c r="F312" s="1" t="s">
        <v>160</v>
      </c>
      <c r="G312" s="9">
        <v>9.5</v>
      </c>
      <c r="I312" s="1">
        <v>46246</v>
      </c>
      <c r="J312" s="1" t="s">
        <v>288</v>
      </c>
      <c r="K312" s="3">
        <v>-41691.599999999999</v>
      </c>
      <c r="M312" s="1">
        <v>45840</v>
      </c>
      <c r="N312" s="14">
        <v>26158.75</v>
      </c>
    </row>
    <row r="313" spans="1:14">
      <c r="A313" s="1">
        <v>46246</v>
      </c>
      <c r="B313" t="s">
        <v>1983</v>
      </c>
      <c r="C313">
        <v>4.7329999999999997</v>
      </c>
      <c r="E313" s="1">
        <v>46181</v>
      </c>
      <c r="F313" s="1" t="s">
        <v>161</v>
      </c>
      <c r="G313" s="9">
        <v>6.65</v>
      </c>
      <c r="I313" s="1">
        <v>46246</v>
      </c>
      <c r="J313" s="1" t="s">
        <v>289</v>
      </c>
      <c r="K313" s="3">
        <v>7</v>
      </c>
      <c r="M313" s="1">
        <v>45839</v>
      </c>
      <c r="N313" s="14">
        <v>26128.25</v>
      </c>
    </row>
    <row r="314" spans="1:14">
      <c r="A314" s="1">
        <v>46245</v>
      </c>
      <c r="B314" t="s">
        <v>1974</v>
      </c>
      <c r="C314">
        <v>3.5169999999999999</v>
      </c>
      <c r="E314" s="1">
        <v>46181</v>
      </c>
      <c r="F314" s="1" t="s">
        <v>162</v>
      </c>
      <c r="G314" s="9">
        <v>7</v>
      </c>
      <c r="I314" s="1">
        <v>46246</v>
      </c>
      <c r="J314" s="1" t="s">
        <v>290</v>
      </c>
      <c r="K314" s="3">
        <v>7</v>
      </c>
      <c r="M314" s="1">
        <v>45838</v>
      </c>
      <c r="N314" s="14">
        <v>26108.666666666701</v>
      </c>
    </row>
    <row r="315" spans="1:14">
      <c r="A315" s="1">
        <v>46245</v>
      </c>
      <c r="B315" t="s">
        <v>1975</v>
      </c>
      <c r="C315">
        <v>3.621</v>
      </c>
      <c r="E315" s="1">
        <v>46181</v>
      </c>
      <c r="F315" s="1" t="s">
        <v>163</v>
      </c>
      <c r="G315" s="9">
        <v>7.5</v>
      </c>
      <c r="I315" s="1">
        <v>46245</v>
      </c>
      <c r="J315" s="1" t="s">
        <v>282</v>
      </c>
      <c r="K315" s="3">
        <v>5000</v>
      </c>
      <c r="M315" s="1">
        <v>45835</v>
      </c>
      <c r="N315" s="14">
        <v>26095</v>
      </c>
    </row>
    <row r="316" spans="1:14">
      <c r="A316" s="1">
        <v>46245</v>
      </c>
      <c r="B316" t="s">
        <v>1976</v>
      </c>
      <c r="C316">
        <v>3.6920000000000002</v>
      </c>
      <c r="E316" s="1">
        <v>46178</v>
      </c>
      <c r="F316" s="1" t="s">
        <v>160</v>
      </c>
      <c r="G316" s="9">
        <v>6.2</v>
      </c>
      <c r="I316" s="1">
        <v>46245</v>
      </c>
      <c r="J316" s="1" t="s">
        <v>283</v>
      </c>
      <c r="K316" s="3">
        <v>7</v>
      </c>
      <c r="M316" s="1">
        <v>45834</v>
      </c>
      <c r="N316" s="14">
        <v>26119</v>
      </c>
    </row>
    <row r="317" spans="1:14">
      <c r="A317" s="1">
        <v>46245</v>
      </c>
      <c r="B317" t="s">
        <v>1977</v>
      </c>
      <c r="C317">
        <v>3.9620000000000002</v>
      </c>
      <c r="E317" s="1">
        <v>46178</v>
      </c>
      <c r="F317" s="1" t="s">
        <v>161</v>
      </c>
      <c r="G317" s="9">
        <v>6.6</v>
      </c>
      <c r="I317" s="1">
        <v>46245</v>
      </c>
      <c r="J317" s="1" t="s">
        <v>284</v>
      </c>
      <c r="K317" s="3">
        <v>9397</v>
      </c>
      <c r="M317" s="1">
        <v>45833</v>
      </c>
      <c r="N317" s="14">
        <v>26153.599999999999</v>
      </c>
    </row>
    <row r="318" spans="1:14">
      <c r="A318" s="1">
        <v>46245</v>
      </c>
      <c r="B318" t="s">
        <v>1978</v>
      </c>
      <c r="C318">
        <v>4.2329999999999997</v>
      </c>
      <c r="E318" s="1">
        <v>46178</v>
      </c>
      <c r="F318" s="1" t="s">
        <v>162</v>
      </c>
      <c r="G318" s="9">
        <v>7</v>
      </c>
      <c r="I318" s="1">
        <v>46245</v>
      </c>
      <c r="J318" s="1" t="s">
        <v>285</v>
      </c>
      <c r="K318" s="3">
        <v>4.5</v>
      </c>
      <c r="M318" s="1">
        <v>45832</v>
      </c>
      <c r="N318" s="14">
        <v>26158</v>
      </c>
    </row>
    <row r="319" spans="1:14">
      <c r="A319" s="1">
        <v>46245</v>
      </c>
      <c r="B319" t="s">
        <v>1979</v>
      </c>
      <c r="C319">
        <v>4.298</v>
      </c>
      <c r="E319" s="1">
        <v>46178</v>
      </c>
      <c r="F319" s="1" t="s">
        <v>163</v>
      </c>
      <c r="G319" s="9">
        <v>7.45</v>
      </c>
      <c r="I319" s="1">
        <v>46245</v>
      </c>
      <c r="J319" s="1" t="s">
        <v>286</v>
      </c>
      <c r="K319" s="3">
        <v>9017</v>
      </c>
      <c r="M319" s="1">
        <v>45831</v>
      </c>
      <c r="N319" s="14">
        <v>26200</v>
      </c>
    </row>
    <row r="320" spans="1:14">
      <c r="A320" s="1">
        <v>46245</v>
      </c>
      <c r="B320" t="s">
        <v>1980</v>
      </c>
      <c r="C320">
        <v>4.4180000000000001</v>
      </c>
      <c r="E320" s="1">
        <v>46177</v>
      </c>
      <c r="F320" s="1" t="s">
        <v>160</v>
      </c>
      <c r="G320" s="9">
        <v>5.3</v>
      </c>
      <c r="I320" s="1">
        <v>46245</v>
      </c>
      <c r="J320" s="1" t="s">
        <v>287</v>
      </c>
      <c r="K320" s="3">
        <v>186871.49</v>
      </c>
      <c r="M320" s="1">
        <v>45828</v>
      </c>
      <c r="N320" s="14">
        <v>26126</v>
      </c>
    </row>
    <row r="321" spans="1:14">
      <c r="A321" s="1">
        <v>46245</v>
      </c>
      <c r="B321" t="s">
        <v>1981</v>
      </c>
      <c r="C321">
        <v>4.5739999999999998</v>
      </c>
      <c r="E321" s="1">
        <v>46177</v>
      </c>
      <c r="F321" s="1" t="s">
        <v>161</v>
      </c>
      <c r="G321" s="9">
        <v>6.2</v>
      </c>
      <c r="I321" s="1">
        <v>46245</v>
      </c>
      <c r="J321" s="1" t="s">
        <v>288</v>
      </c>
      <c r="K321" s="3">
        <v>-45483.6</v>
      </c>
      <c r="M321" s="1">
        <v>45827</v>
      </c>
      <c r="N321" s="14">
        <v>26125</v>
      </c>
    </row>
    <row r="322" spans="1:14">
      <c r="A322" s="1">
        <v>46245</v>
      </c>
      <c r="B322" t="s">
        <v>1982</v>
      </c>
      <c r="C322">
        <v>4.6660000000000004</v>
      </c>
      <c r="E322" s="1">
        <v>46177</v>
      </c>
      <c r="F322" s="1" t="s">
        <v>162</v>
      </c>
      <c r="G322" s="9">
        <v>6.5</v>
      </c>
      <c r="I322" s="1">
        <v>46245</v>
      </c>
      <c r="J322" s="1" t="s">
        <v>289</v>
      </c>
      <c r="K322" s="3">
        <v>11</v>
      </c>
      <c r="M322" s="1">
        <v>45826</v>
      </c>
      <c r="N322" s="14">
        <v>26094.5</v>
      </c>
    </row>
    <row r="323" spans="1:14">
      <c r="A323" s="1">
        <v>46245</v>
      </c>
      <c r="B323" t="s">
        <v>1983</v>
      </c>
      <c r="C323">
        <v>4.7329999999999997</v>
      </c>
      <c r="E323" s="1">
        <v>46177</v>
      </c>
      <c r="F323" s="1" t="s">
        <v>163</v>
      </c>
      <c r="G323" s="9">
        <v>7.1</v>
      </c>
      <c r="I323" s="1">
        <v>46245</v>
      </c>
      <c r="J323" s="1" t="s">
        <v>290</v>
      </c>
      <c r="K323" s="3">
        <v>11</v>
      </c>
      <c r="M323" s="1">
        <v>45825</v>
      </c>
      <c r="N323" s="14">
        <v>26077.666666666701</v>
      </c>
    </row>
    <row r="324" spans="1:14">
      <c r="A324" s="1">
        <v>46244</v>
      </c>
      <c r="B324" t="s">
        <v>1974</v>
      </c>
      <c r="C324">
        <v>3.5169999999999999</v>
      </c>
      <c r="E324" s="1">
        <v>46176</v>
      </c>
      <c r="F324" s="1" t="s">
        <v>160</v>
      </c>
      <c r="G324" s="9">
        <v>5.5</v>
      </c>
      <c r="I324" s="1">
        <v>46245</v>
      </c>
      <c r="J324" s="1" t="s">
        <v>107</v>
      </c>
      <c r="K324" s="3">
        <v>7938561407436</v>
      </c>
      <c r="M324" s="1">
        <v>45824</v>
      </c>
      <c r="N324" s="14">
        <v>26070.75</v>
      </c>
    </row>
    <row r="325" spans="1:14">
      <c r="A325" s="1">
        <v>46244</v>
      </c>
      <c r="B325" t="s">
        <v>1975</v>
      </c>
      <c r="C325">
        <v>3.621</v>
      </c>
      <c r="E325" s="1">
        <v>46176</v>
      </c>
      <c r="F325" s="1" t="s">
        <v>161</v>
      </c>
      <c r="G325" s="9">
        <v>6.2</v>
      </c>
      <c r="I325" s="1">
        <v>46244</v>
      </c>
      <c r="J325" s="1" t="s">
        <v>282</v>
      </c>
      <c r="K325" s="3">
        <v>6000</v>
      </c>
      <c r="M325" s="1">
        <v>45821</v>
      </c>
      <c r="N325" s="14">
        <v>26068.333333333299</v>
      </c>
    </row>
    <row r="326" spans="1:14">
      <c r="A326" s="1">
        <v>46244</v>
      </c>
      <c r="B326" t="s">
        <v>1976</v>
      </c>
      <c r="C326">
        <v>3.6920000000000002</v>
      </c>
      <c r="E326" s="1">
        <v>46176</v>
      </c>
      <c r="F326" s="1" t="s">
        <v>162</v>
      </c>
      <c r="G326" s="9">
        <v>6.5</v>
      </c>
      <c r="I326" s="1">
        <v>46244</v>
      </c>
      <c r="J326" s="1" t="s">
        <v>283</v>
      </c>
      <c r="K326" s="3">
        <v>7</v>
      </c>
      <c r="M326" s="1">
        <v>45820</v>
      </c>
      <c r="N326" s="14">
        <v>26032.799999999999</v>
      </c>
    </row>
    <row r="327" spans="1:14">
      <c r="A327" s="1">
        <v>46244</v>
      </c>
      <c r="B327" t="s">
        <v>1977</v>
      </c>
      <c r="C327">
        <v>3.9620000000000002</v>
      </c>
      <c r="E327" s="1">
        <v>46176</v>
      </c>
      <c r="F327" s="1" t="s">
        <v>163</v>
      </c>
      <c r="G327" s="9">
        <v>7.1</v>
      </c>
      <c r="I327" s="1">
        <v>46244</v>
      </c>
      <c r="J327" s="1" t="s">
        <v>284</v>
      </c>
      <c r="K327" s="3">
        <v>6458</v>
      </c>
      <c r="M327" s="1">
        <v>45819</v>
      </c>
      <c r="N327" s="14">
        <v>26030.666666666701</v>
      </c>
    </row>
    <row r="328" spans="1:14">
      <c r="A328" s="1">
        <v>46244</v>
      </c>
      <c r="B328" t="s">
        <v>1978</v>
      </c>
      <c r="C328">
        <v>4.2329999999999997</v>
      </c>
      <c r="E328" s="1">
        <v>46175</v>
      </c>
      <c r="F328" s="1" t="s">
        <v>160</v>
      </c>
      <c r="G328" s="9">
        <v>6.6</v>
      </c>
      <c r="I328" s="1">
        <v>46244</v>
      </c>
      <c r="J328" s="1" t="s">
        <v>285</v>
      </c>
      <c r="K328" s="3">
        <v>4.5</v>
      </c>
      <c r="M328" s="1">
        <v>45818</v>
      </c>
      <c r="N328" s="14">
        <v>26030</v>
      </c>
    </row>
    <row r="329" spans="1:14">
      <c r="A329" s="1">
        <v>46244</v>
      </c>
      <c r="B329" t="s">
        <v>1979</v>
      </c>
      <c r="C329">
        <v>4.2949999999999999</v>
      </c>
      <c r="E329" s="1">
        <v>46175</v>
      </c>
      <c r="F329" s="1" t="s">
        <v>161</v>
      </c>
      <c r="G329" s="9">
        <v>6.95</v>
      </c>
      <c r="I329" s="1">
        <v>46244</v>
      </c>
      <c r="J329" s="1" t="s">
        <v>286</v>
      </c>
      <c r="K329" s="3">
        <v>16988.59</v>
      </c>
      <c r="M329" s="1">
        <v>45817</v>
      </c>
      <c r="N329" s="14">
        <v>26039.75</v>
      </c>
    </row>
    <row r="330" spans="1:14">
      <c r="A330" s="1">
        <v>46244</v>
      </c>
      <c r="B330" t="s">
        <v>1980</v>
      </c>
      <c r="C330">
        <v>4.4160000000000004</v>
      </c>
      <c r="E330" s="1">
        <v>46175</v>
      </c>
      <c r="F330" s="1" t="s">
        <v>162</v>
      </c>
      <c r="G330" s="9">
        <v>7.3</v>
      </c>
      <c r="I330" s="1">
        <v>46244</v>
      </c>
      <c r="J330" s="1" t="s">
        <v>287</v>
      </c>
      <c r="K330" s="3">
        <v>186491.49</v>
      </c>
      <c r="M330" s="1">
        <v>45814</v>
      </c>
      <c r="N330" s="14">
        <v>26044.6</v>
      </c>
    </row>
    <row r="331" spans="1:14">
      <c r="A331" s="1">
        <v>46244</v>
      </c>
      <c r="B331" t="s">
        <v>1981</v>
      </c>
      <c r="C331">
        <v>4.5739999999999998</v>
      </c>
      <c r="E331" s="1">
        <v>46175</v>
      </c>
      <c r="F331" s="1" t="s">
        <v>163</v>
      </c>
      <c r="G331" s="9">
        <v>7.2</v>
      </c>
      <c r="I331" s="1">
        <v>46244</v>
      </c>
      <c r="J331" s="1" t="s">
        <v>288</v>
      </c>
      <c r="K331" s="3">
        <v>-47500.43</v>
      </c>
      <c r="M331" s="1">
        <v>45813</v>
      </c>
      <c r="N331" s="14">
        <v>26075</v>
      </c>
    </row>
    <row r="332" spans="1:14">
      <c r="A332" s="1">
        <v>46244</v>
      </c>
      <c r="B332" t="s">
        <v>1982</v>
      </c>
      <c r="C332">
        <v>4.6660000000000004</v>
      </c>
      <c r="E332" s="1">
        <v>46174</v>
      </c>
      <c r="F332" s="1" t="s">
        <v>160</v>
      </c>
      <c r="G332" s="9">
        <v>11</v>
      </c>
      <c r="I332" s="1">
        <v>46244</v>
      </c>
      <c r="J332" s="1" t="s">
        <v>289</v>
      </c>
      <c r="K332" s="3">
        <v>10</v>
      </c>
      <c r="M332" s="1">
        <v>45812</v>
      </c>
      <c r="N332" s="14">
        <v>26075.333333333299</v>
      </c>
    </row>
    <row r="333" spans="1:14">
      <c r="A333" s="1">
        <v>46244</v>
      </c>
      <c r="B333" t="s">
        <v>1983</v>
      </c>
      <c r="C333">
        <v>4.7329999999999997</v>
      </c>
      <c r="E333" s="1">
        <v>46174</v>
      </c>
      <c r="F333" s="1" t="s">
        <v>161</v>
      </c>
      <c r="G333" s="9">
        <v>7.4</v>
      </c>
      <c r="I333" s="1">
        <v>46244</v>
      </c>
      <c r="J333" s="1" t="s">
        <v>290</v>
      </c>
      <c r="K333" s="3">
        <v>10</v>
      </c>
      <c r="M333" s="1">
        <v>45811</v>
      </c>
      <c r="N333" s="14">
        <v>26050.2</v>
      </c>
    </row>
    <row r="334" spans="1:14">
      <c r="A334" s="1">
        <v>46241</v>
      </c>
      <c r="B334" t="s">
        <v>1974</v>
      </c>
      <c r="C334">
        <v>3.5169999999999999</v>
      </c>
      <c r="E334" s="1">
        <v>46174</v>
      </c>
      <c r="F334" s="1" t="s">
        <v>162</v>
      </c>
      <c r="G334" s="9">
        <v>7.5</v>
      </c>
      <c r="I334" s="1">
        <v>46244</v>
      </c>
      <c r="J334" s="1" t="s">
        <v>107</v>
      </c>
      <c r="K334" s="3">
        <v>7938561407436</v>
      </c>
      <c r="M334" s="1">
        <v>45810</v>
      </c>
      <c r="N334" s="14">
        <v>26016</v>
      </c>
    </row>
    <row r="335" spans="1:14">
      <c r="A335" s="1">
        <v>46241</v>
      </c>
      <c r="B335" t="s">
        <v>1975</v>
      </c>
      <c r="C335">
        <v>3.621</v>
      </c>
      <c r="E335" s="1">
        <v>46174</v>
      </c>
      <c r="F335" s="1" t="s">
        <v>163</v>
      </c>
      <c r="G335" s="9">
        <v>7.75</v>
      </c>
      <c r="I335" s="1">
        <v>46243</v>
      </c>
      <c r="J335" s="1" t="s">
        <v>282</v>
      </c>
      <c r="K335" s="3">
        <v>0</v>
      </c>
      <c r="M335" s="1">
        <v>45807</v>
      </c>
      <c r="N335" s="14">
        <v>26024.5</v>
      </c>
    </row>
    <row r="336" spans="1:14">
      <c r="A336" s="1">
        <v>46241</v>
      </c>
      <c r="B336" t="s">
        <v>1976</v>
      </c>
      <c r="C336">
        <v>3.6920000000000002</v>
      </c>
      <c r="E336" s="1">
        <v>46171</v>
      </c>
      <c r="F336" s="1" t="s">
        <v>160</v>
      </c>
      <c r="G336" s="9">
        <v>7</v>
      </c>
      <c r="I336" s="1">
        <v>46243</v>
      </c>
      <c r="J336" s="1" t="s">
        <v>283</v>
      </c>
      <c r="K336" s="3">
        <v>0</v>
      </c>
      <c r="M336" s="1">
        <v>45806</v>
      </c>
      <c r="N336" s="14">
        <v>26017.8</v>
      </c>
    </row>
    <row r="337" spans="1:14">
      <c r="A337" s="1">
        <v>46241</v>
      </c>
      <c r="B337" t="s">
        <v>1977</v>
      </c>
      <c r="C337">
        <v>3.9569999999999999</v>
      </c>
      <c r="E337" s="1">
        <v>46171</v>
      </c>
      <c r="F337" s="1" t="s">
        <v>161</v>
      </c>
      <c r="G337" s="9">
        <v>7.4</v>
      </c>
      <c r="I337" s="1">
        <v>46243</v>
      </c>
      <c r="J337" s="1" t="s">
        <v>284</v>
      </c>
      <c r="K337" s="3">
        <v>0</v>
      </c>
      <c r="M337" s="1">
        <v>45805</v>
      </c>
      <c r="N337" s="14">
        <v>25962.400000000001</v>
      </c>
    </row>
    <row r="338" spans="1:14">
      <c r="A338" s="1">
        <v>46241</v>
      </c>
      <c r="B338" t="s">
        <v>1978</v>
      </c>
      <c r="C338">
        <v>4.2229999999999999</v>
      </c>
      <c r="E338" s="1">
        <v>46171</v>
      </c>
      <c r="F338" s="1" t="s">
        <v>162</v>
      </c>
      <c r="G338" s="9">
        <v>7.4</v>
      </c>
      <c r="I338" s="1">
        <v>46243</v>
      </c>
      <c r="J338" s="1" t="s">
        <v>285</v>
      </c>
      <c r="K338" s="3">
        <v>0</v>
      </c>
      <c r="M338" s="1">
        <v>45804</v>
      </c>
      <c r="N338" s="14">
        <v>25920.666666666701</v>
      </c>
    </row>
    <row r="339" spans="1:14">
      <c r="A339" s="1">
        <v>46241</v>
      </c>
      <c r="B339" t="s">
        <v>1979</v>
      </c>
      <c r="C339">
        <v>4.2930000000000001</v>
      </c>
      <c r="E339" s="1">
        <v>46171</v>
      </c>
      <c r="F339" s="1" t="s">
        <v>163</v>
      </c>
      <c r="G339" s="9">
        <v>7.35</v>
      </c>
      <c r="I339" s="1">
        <v>46243</v>
      </c>
      <c r="J339" s="1" t="s">
        <v>286</v>
      </c>
      <c r="K339" s="3">
        <v>0</v>
      </c>
      <c r="M339" s="1">
        <v>45803</v>
      </c>
      <c r="N339" s="14">
        <v>25912.666666666701</v>
      </c>
    </row>
    <row r="340" spans="1:14">
      <c r="A340" s="1">
        <v>46241</v>
      </c>
      <c r="B340" t="s">
        <v>1980</v>
      </c>
      <c r="C340">
        <v>4.415</v>
      </c>
      <c r="E340" s="1">
        <v>46170</v>
      </c>
      <c r="F340" s="1" t="s">
        <v>160</v>
      </c>
      <c r="G340" s="9">
        <v>7.1</v>
      </c>
      <c r="I340" s="1">
        <v>46243</v>
      </c>
      <c r="J340" s="1" t="s">
        <v>287</v>
      </c>
      <c r="K340" s="3">
        <v>0</v>
      </c>
      <c r="M340" s="1">
        <v>45800</v>
      </c>
      <c r="N340" s="14">
        <v>25957</v>
      </c>
    </row>
    <row r="341" spans="1:14">
      <c r="A341" s="1">
        <v>46241</v>
      </c>
      <c r="B341" t="s">
        <v>1981</v>
      </c>
      <c r="C341">
        <v>4.5739999999999998</v>
      </c>
      <c r="E341" s="1">
        <v>46170</v>
      </c>
      <c r="F341" s="1" t="s">
        <v>161</v>
      </c>
      <c r="G341" s="9">
        <v>7.43</v>
      </c>
      <c r="I341" s="1">
        <v>46243</v>
      </c>
      <c r="J341" s="1" t="s">
        <v>107</v>
      </c>
      <c r="K341" s="3">
        <v>8528904895266</v>
      </c>
      <c r="M341" s="1">
        <v>45799</v>
      </c>
      <c r="N341" s="14">
        <v>25975.333333333299</v>
      </c>
    </row>
    <row r="342" spans="1:14">
      <c r="A342" s="1">
        <v>46241</v>
      </c>
      <c r="B342" t="s">
        <v>1982</v>
      </c>
      <c r="C342">
        <v>4.6660000000000004</v>
      </c>
      <c r="E342" s="1">
        <v>46170</v>
      </c>
      <c r="F342" s="1" t="s">
        <v>162</v>
      </c>
      <c r="G342" s="9">
        <v>7.5</v>
      </c>
      <c r="I342" s="1">
        <v>46241</v>
      </c>
      <c r="J342" s="1" t="s">
        <v>282</v>
      </c>
      <c r="K342" s="3">
        <v>6000</v>
      </c>
      <c r="M342" s="1">
        <v>45798</v>
      </c>
      <c r="N342" s="14">
        <v>25964</v>
      </c>
    </row>
    <row r="343" spans="1:14">
      <c r="A343" s="1">
        <v>46241</v>
      </c>
      <c r="B343" t="s">
        <v>1983</v>
      </c>
      <c r="C343">
        <v>4.7329999999999997</v>
      </c>
      <c r="E343" s="1">
        <v>46170</v>
      </c>
      <c r="F343" s="1" t="s">
        <v>163</v>
      </c>
      <c r="G343" s="9">
        <v>7.25</v>
      </c>
      <c r="I343" s="1">
        <v>46241</v>
      </c>
      <c r="J343" s="1" t="s">
        <v>283</v>
      </c>
      <c r="K343" s="3">
        <v>7</v>
      </c>
      <c r="M343" s="1">
        <v>45797</v>
      </c>
      <c r="N343" s="14">
        <v>25960.25</v>
      </c>
    </row>
    <row r="344" spans="1:14">
      <c r="A344" s="1">
        <v>46240</v>
      </c>
      <c r="B344" t="s">
        <v>1974</v>
      </c>
      <c r="C344">
        <v>3.5169999999999999</v>
      </c>
      <c r="E344" s="1">
        <v>46169</v>
      </c>
      <c r="F344" s="1" t="s">
        <v>160</v>
      </c>
      <c r="G344" s="9">
        <v>7.9</v>
      </c>
      <c r="I344" s="1">
        <v>46241</v>
      </c>
      <c r="J344" s="1" t="s">
        <v>284</v>
      </c>
      <c r="K344" s="3">
        <v>19333</v>
      </c>
      <c r="M344" s="1">
        <v>45796</v>
      </c>
      <c r="N344" s="14">
        <v>25944.5</v>
      </c>
    </row>
    <row r="345" spans="1:14">
      <c r="A345" s="1">
        <v>46240</v>
      </c>
      <c r="B345" t="s">
        <v>1975</v>
      </c>
      <c r="C345">
        <v>3.621</v>
      </c>
      <c r="E345" s="1">
        <v>46169</v>
      </c>
      <c r="F345" s="1" t="s">
        <v>161</v>
      </c>
      <c r="G345" s="9">
        <v>7.6</v>
      </c>
      <c r="I345" s="1">
        <v>46241</v>
      </c>
      <c r="J345" s="1" t="s">
        <v>285</v>
      </c>
      <c r="K345" s="3">
        <v>4.5</v>
      </c>
      <c r="M345" s="1">
        <v>45793</v>
      </c>
      <c r="N345" s="14">
        <v>25919.25</v>
      </c>
    </row>
    <row r="346" spans="1:14">
      <c r="A346" s="1">
        <v>46240</v>
      </c>
      <c r="B346" t="s">
        <v>1976</v>
      </c>
      <c r="C346">
        <v>3.6920000000000002</v>
      </c>
      <c r="E346" s="1">
        <v>46169</v>
      </c>
      <c r="F346" s="1" t="s">
        <v>162</v>
      </c>
      <c r="G346" s="9">
        <v>7.55</v>
      </c>
      <c r="I346" s="1">
        <v>46241</v>
      </c>
      <c r="J346" s="1" t="s">
        <v>286</v>
      </c>
      <c r="K346" s="3">
        <v>12602</v>
      </c>
      <c r="M346" s="1">
        <v>45792</v>
      </c>
      <c r="N346" s="14">
        <v>25931.25</v>
      </c>
    </row>
    <row r="347" spans="1:14">
      <c r="A347" s="1">
        <v>46240</v>
      </c>
      <c r="B347" t="s">
        <v>1977</v>
      </c>
      <c r="C347">
        <v>3.956</v>
      </c>
      <c r="E347" s="1">
        <v>46169</v>
      </c>
      <c r="F347" s="1" t="s">
        <v>163</v>
      </c>
      <c r="G347" s="9">
        <v>7.5</v>
      </c>
      <c r="I347" s="1">
        <v>46241</v>
      </c>
      <c r="J347" s="1" t="s">
        <v>287</v>
      </c>
      <c r="K347" s="3">
        <v>197022.07999999999</v>
      </c>
      <c r="M347" s="1">
        <v>45791</v>
      </c>
      <c r="N347" s="14">
        <v>25936.333333333299</v>
      </c>
    </row>
    <row r="348" spans="1:14">
      <c r="A348" s="1">
        <v>46240</v>
      </c>
      <c r="B348" t="s">
        <v>1978</v>
      </c>
      <c r="C348">
        <v>4.22</v>
      </c>
      <c r="E348" s="1">
        <v>46168</v>
      </c>
      <c r="F348" s="1" t="s">
        <v>160</v>
      </c>
      <c r="G348" s="9">
        <v>7.7</v>
      </c>
      <c r="I348" s="1">
        <v>46241</v>
      </c>
      <c r="J348" s="1" t="s">
        <v>288</v>
      </c>
      <c r="K348" s="3">
        <v>-49850.59</v>
      </c>
      <c r="M348" s="1">
        <v>45790</v>
      </c>
      <c r="N348" s="14">
        <v>25957.5</v>
      </c>
    </row>
    <row r="349" spans="1:14">
      <c r="A349" s="1">
        <v>46240</v>
      </c>
      <c r="B349" t="s">
        <v>1979</v>
      </c>
      <c r="C349">
        <v>4.2859999999999996</v>
      </c>
      <c r="E349" s="1">
        <v>46168</v>
      </c>
      <c r="F349" s="1" t="s">
        <v>161</v>
      </c>
      <c r="G349" s="9">
        <v>7.5</v>
      </c>
      <c r="I349" s="1">
        <v>46241</v>
      </c>
      <c r="J349" s="1" t="s">
        <v>289</v>
      </c>
      <c r="K349" s="3">
        <v>10</v>
      </c>
      <c r="M349" s="1">
        <v>45789</v>
      </c>
      <c r="N349" s="14">
        <v>25963</v>
      </c>
    </row>
    <row r="350" spans="1:14">
      <c r="A350" s="1">
        <v>46240</v>
      </c>
      <c r="B350" t="s">
        <v>1980</v>
      </c>
      <c r="C350">
        <v>4.4119999999999999</v>
      </c>
      <c r="E350" s="1">
        <v>46168</v>
      </c>
      <c r="F350" s="1" t="s">
        <v>162</v>
      </c>
      <c r="G350" s="9">
        <v>7.5</v>
      </c>
      <c r="I350" s="1">
        <v>46241</v>
      </c>
      <c r="J350" s="1" t="s">
        <v>290</v>
      </c>
      <c r="K350" s="3">
        <v>10</v>
      </c>
      <c r="M350" s="1">
        <v>45786</v>
      </c>
      <c r="N350" s="14">
        <v>25958</v>
      </c>
    </row>
    <row r="351" spans="1:14">
      <c r="A351" s="1">
        <v>46240</v>
      </c>
      <c r="B351" t="s">
        <v>1981</v>
      </c>
      <c r="C351">
        <v>4.5739999999999998</v>
      </c>
      <c r="E351" s="1">
        <v>46168</v>
      </c>
      <c r="F351" s="1" t="s">
        <v>163</v>
      </c>
      <c r="G351" s="9">
        <v>7.2</v>
      </c>
      <c r="I351" s="1">
        <v>46240</v>
      </c>
      <c r="J351" s="1" t="s">
        <v>107</v>
      </c>
      <c r="K351" s="3">
        <v>8528904895266</v>
      </c>
      <c r="M351" s="1">
        <v>45785</v>
      </c>
      <c r="N351" s="14">
        <v>25970</v>
      </c>
    </row>
    <row r="352" spans="1:14">
      <c r="A352" s="1">
        <v>46240</v>
      </c>
      <c r="B352" t="s">
        <v>1982</v>
      </c>
      <c r="C352">
        <v>4.6619999999999999</v>
      </c>
      <c r="E352" s="1">
        <v>46167</v>
      </c>
      <c r="F352" s="1" t="s">
        <v>160</v>
      </c>
      <c r="G352" s="9">
        <v>7</v>
      </c>
      <c r="I352" s="1">
        <v>46240</v>
      </c>
      <c r="J352" s="1" t="s">
        <v>282</v>
      </c>
      <c r="K352" s="3">
        <v>2000</v>
      </c>
      <c r="M352" s="1">
        <v>45784</v>
      </c>
      <c r="N352" s="14">
        <v>25952</v>
      </c>
    </row>
    <row r="353" spans="1:14">
      <c r="A353" s="1">
        <v>46240</v>
      </c>
      <c r="B353" t="s">
        <v>1983</v>
      </c>
      <c r="C353">
        <v>4.7279999999999998</v>
      </c>
      <c r="E353" s="1">
        <v>46167</v>
      </c>
      <c r="F353" s="1" t="s">
        <v>161</v>
      </c>
      <c r="G353" s="9">
        <v>7.3</v>
      </c>
      <c r="I353" s="1">
        <v>46240</v>
      </c>
      <c r="J353" s="1" t="s">
        <v>283</v>
      </c>
      <c r="K353" s="3">
        <v>7</v>
      </c>
      <c r="M353" s="1">
        <v>45783</v>
      </c>
      <c r="N353" s="14">
        <v>25967</v>
      </c>
    </row>
    <row r="354" spans="1:14">
      <c r="A354" s="1">
        <v>46239</v>
      </c>
      <c r="B354" t="s">
        <v>1974</v>
      </c>
      <c r="C354">
        <v>3.508</v>
      </c>
      <c r="E354" s="1">
        <v>46167</v>
      </c>
      <c r="F354" s="1" t="s">
        <v>162</v>
      </c>
      <c r="G354" s="9">
        <v>7.03</v>
      </c>
      <c r="I354" s="1">
        <v>46240</v>
      </c>
      <c r="J354" s="1" t="s">
        <v>284</v>
      </c>
      <c r="K354" s="3">
        <v>2788</v>
      </c>
      <c r="M354" s="1">
        <v>45782</v>
      </c>
      <c r="N354" s="14">
        <v>25970</v>
      </c>
    </row>
    <row r="355" spans="1:14">
      <c r="A355" s="1">
        <v>46239</v>
      </c>
      <c r="B355" t="s">
        <v>1975</v>
      </c>
      <c r="C355">
        <v>3.613</v>
      </c>
      <c r="E355" s="1">
        <v>46167</v>
      </c>
      <c r="F355" s="1" t="s">
        <v>163</v>
      </c>
      <c r="G355" s="9">
        <v>7.05</v>
      </c>
      <c r="I355" s="1">
        <v>46240</v>
      </c>
      <c r="J355" s="1" t="s">
        <v>285</v>
      </c>
      <c r="K355" s="3">
        <v>4.5</v>
      </c>
      <c r="M355" s="1">
        <v>45776</v>
      </c>
      <c r="N355" s="14">
        <v>26002.333333333299</v>
      </c>
    </row>
    <row r="356" spans="1:14">
      <c r="A356" s="1">
        <v>46239</v>
      </c>
      <c r="B356" t="s">
        <v>1976</v>
      </c>
      <c r="C356">
        <v>3.6829999999999998</v>
      </c>
      <c r="E356" s="1">
        <v>46164</v>
      </c>
      <c r="F356" s="1" t="s">
        <v>160</v>
      </c>
      <c r="G356" s="9">
        <v>6.7</v>
      </c>
      <c r="I356" s="1">
        <v>46240</v>
      </c>
      <c r="J356" s="1" t="s">
        <v>286</v>
      </c>
      <c r="K356" s="3">
        <v>6000</v>
      </c>
      <c r="M356" s="1">
        <v>45775</v>
      </c>
      <c r="N356" s="14">
        <v>26000.5</v>
      </c>
    </row>
    <row r="357" spans="1:14">
      <c r="A357" s="1">
        <v>46239</v>
      </c>
      <c r="B357" t="s">
        <v>1977</v>
      </c>
      <c r="C357">
        <v>3.95</v>
      </c>
      <c r="E357" s="1">
        <v>46164</v>
      </c>
      <c r="F357" s="1" t="s">
        <v>161</v>
      </c>
      <c r="G357" s="9">
        <v>6.3</v>
      </c>
      <c r="I357" s="1">
        <v>46240</v>
      </c>
      <c r="J357" s="1" t="s">
        <v>287</v>
      </c>
      <c r="K357" s="3">
        <v>190291.08</v>
      </c>
      <c r="M357" s="1">
        <v>45772</v>
      </c>
      <c r="N357" s="14">
        <v>26025</v>
      </c>
    </row>
    <row r="358" spans="1:14">
      <c r="A358" s="1">
        <v>46239</v>
      </c>
      <c r="B358" t="s">
        <v>1978</v>
      </c>
      <c r="C358">
        <v>4.218</v>
      </c>
      <c r="E358" s="1">
        <v>46164</v>
      </c>
      <c r="F358" s="1" t="s">
        <v>162</v>
      </c>
      <c r="G358" s="9">
        <v>7.05</v>
      </c>
      <c r="I358" s="1">
        <v>46240</v>
      </c>
      <c r="J358" s="1" t="s">
        <v>288</v>
      </c>
      <c r="K358" s="3">
        <v>-51890.59</v>
      </c>
      <c r="M358" s="1">
        <v>45771</v>
      </c>
      <c r="N358" s="14">
        <v>26032.5</v>
      </c>
    </row>
    <row r="359" spans="1:14">
      <c r="A359" s="1">
        <v>46239</v>
      </c>
      <c r="B359" t="s">
        <v>1979</v>
      </c>
      <c r="C359">
        <v>4.2789999999999999</v>
      </c>
      <c r="E359" s="1">
        <v>46164</v>
      </c>
      <c r="F359" s="1" t="s">
        <v>163</v>
      </c>
      <c r="G359" s="9">
        <v>6.9</v>
      </c>
      <c r="I359" s="1">
        <v>46240</v>
      </c>
      <c r="J359" s="1" t="s">
        <v>289</v>
      </c>
      <c r="K359" s="3">
        <v>7</v>
      </c>
      <c r="M359" s="1">
        <v>45770</v>
      </c>
      <c r="N359" s="14">
        <v>25990</v>
      </c>
    </row>
    <row r="360" spans="1:14">
      <c r="A360" s="1">
        <v>46239</v>
      </c>
      <c r="B360" t="s">
        <v>1980</v>
      </c>
      <c r="C360">
        <v>4.4080000000000004</v>
      </c>
      <c r="E360" s="1">
        <v>46163</v>
      </c>
      <c r="F360" s="1" t="s">
        <v>160</v>
      </c>
      <c r="G360" s="9">
        <v>5.6</v>
      </c>
      <c r="I360" s="1">
        <v>46240</v>
      </c>
      <c r="J360" s="1" t="s">
        <v>290</v>
      </c>
      <c r="K360" s="3">
        <v>7</v>
      </c>
      <c r="M360" s="1">
        <v>45769</v>
      </c>
      <c r="N360" s="14">
        <v>25958</v>
      </c>
    </row>
    <row r="361" spans="1:14">
      <c r="A361" s="1">
        <v>46239</v>
      </c>
      <c r="B361" t="s">
        <v>1981</v>
      </c>
      <c r="C361">
        <v>4.5739999999999998</v>
      </c>
      <c r="E361" s="1">
        <v>46163</v>
      </c>
      <c r="F361" s="1" t="s">
        <v>161</v>
      </c>
      <c r="G361" s="9">
        <v>6.1</v>
      </c>
      <c r="I361" s="1">
        <v>46239</v>
      </c>
      <c r="J361" s="1" t="s">
        <v>107</v>
      </c>
      <c r="K361" s="3">
        <v>8725252396143</v>
      </c>
      <c r="M361" s="1">
        <v>45768</v>
      </c>
      <c r="N361" s="14">
        <v>25882</v>
      </c>
    </row>
    <row r="362" spans="1:14">
      <c r="A362" s="1">
        <v>46239</v>
      </c>
      <c r="B362" t="s">
        <v>1982</v>
      </c>
      <c r="C362">
        <v>4.6580000000000004</v>
      </c>
      <c r="E362" s="1">
        <v>46163</v>
      </c>
      <c r="F362" s="1" t="s">
        <v>162</v>
      </c>
      <c r="G362" s="9">
        <v>6.68</v>
      </c>
      <c r="I362" s="1">
        <v>46239</v>
      </c>
      <c r="J362" s="1" t="s">
        <v>288</v>
      </c>
      <c r="K362" s="3">
        <v>-51588.59</v>
      </c>
      <c r="M362" s="1">
        <v>45765</v>
      </c>
      <c r="N362" s="14">
        <v>25936.666666666701</v>
      </c>
    </row>
    <row r="363" spans="1:14">
      <c r="A363" s="1">
        <v>46239</v>
      </c>
      <c r="B363" t="s">
        <v>1983</v>
      </c>
      <c r="C363">
        <v>4.7240000000000002</v>
      </c>
      <c r="E363" s="1">
        <v>46163</v>
      </c>
      <c r="F363" s="1" t="s">
        <v>163</v>
      </c>
      <c r="G363" s="9">
        <v>6.95</v>
      </c>
      <c r="I363" s="1">
        <v>46239</v>
      </c>
      <c r="J363" s="1" t="s">
        <v>289</v>
      </c>
      <c r="K363" s="3">
        <v>9</v>
      </c>
      <c r="M363" s="1">
        <v>45764</v>
      </c>
      <c r="N363" s="14">
        <v>25876</v>
      </c>
    </row>
    <row r="364" spans="1:14">
      <c r="A364" s="1">
        <v>46238</v>
      </c>
      <c r="B364" t="s">
        <v>1974</v>
      </c>
      <c r="C364">
        <v>3.508</v>
      </c>
      <c r="E364" s="1">
        <v>46162</v>
      </c>
      <c r="F364" s="1" t="s">
        <v>160</v>
      </c>
      <c r="G364" s="9">
        <v>6</v>
      </c>
      <c r="I364" s="1">
        <v>46239</v>
      </c>
      <c r="J364" s="1" t="s">
        <v>290</v>
      </c>
      <c r="K364" s="3">
        <v>9</v>
      </c>
      <c r="M364" s="1">
        <v>45763</v>
      </c>
      <c r="N364" s="14">
        <v>25843.333333333299</v>
      </c>
    </row>
    <row r="365" spans="1:14">
      <c r="A365" s="1">
        <v>46238</v>
      </c>
      <c r="B365" t="s">
        <v>1975</v>
      </c>
      <c r="C365">
        <v>3.613</v>
      </c>
      <c r="E365" s="1">
        <v>46162</v>
      </c>
      <c r="F365" s="1" t="s">
        <v>161</v>
      </c>
      <c r="G365" s="9">
        <v>6.25</v>
      </c>
      <c r="I365" s="1">
        <v>46239</v>
      </c>
      <c r="J365" s="1" t="s">
        <v>282</v>
      </c>
      <c r="K365" s="3">
        <v>1000</v>
      </c>
      <c r="M365" s="1">
        <v>45762</v>
      </c>
      <c r="N365" s="14">
        <v>25860</v>
      </c>
    </row>
    <row r="366" spans="1:14">
      <c r="A366" s="1">
        <v>46238</v>
      </c>
      <c r="B366" t="s">
        <v>1976</v>
      </c>
      <c r="C366">
        <v>3.6829999999999998</v>
      </c>
      <c r="E366" s="1">
        <v>46162</v>
      </c>
      <c r="F366" s="1" t="s">
        <v>162</v>
      </c>
      <c r="G366" s="9">
        <v>6.8</v>
      </c>
      <c r="I366" s="1">
        <v>46239</v>
      </c>
      <c r="J366" s="1" t="s">
        <v>283</v>
      </c>
      <c r="K366" s="3">
        <v>7</v>
      </c>
      <c r="M366" s="1">
        <v>45761</v>
      </c>
      <c r="N366" s="14">
        <v>25825</v>
      </c>
    </row>
    <row r="367" spans="1:14">
      <c r="A367" s="1">
        <v>46238</v>
      </c>
      <c r="B367" t="s">
        <v>1977</v>
      </c>
      <c r="C367">
        <v>3.9529999999999998</v>
      </c>
      <c r="E367" s="1">
        <v>46162</v>
      </c>
      <c r="F367" s="1" t="s">
        <v>163</v>
      </c>
      <c r="G367" s="9">
        <v>6.95</v>
      </c>
      <c r="I367" s="1">
        <v>46239</v>
      </c>
      <c r="J367" s="1" t="s">
        <v>284</v>
      </c>
      <c r="K367" s="3">
        <v>3024</v>
      </c>
      <c r="M367" s="1">
        <v>45758</v>
      </c>
      <c r="N367" s="14">
        <v>25725.599999999999</v>
      </c>
    </row>
    <row r="368" spans="1:14">
      <c r="A368" s="1">
        <v>46238</v>
      </c>
      <c r="B368" t="s">
        <v>1978</v>
      </c>
      <c r="C368">
        <v>4.2220000000000004</v>
      </c>
      <c r="E368" s="1">
        <v>46161</v>
      </c>
      <c r="F368" s="1" t="s">
        <v>160</v>
      </c>
      <c r="G368" s="9">
        <v>6.3</v>
      </c>
      <c r="I368" s="1">
        <v>46239</v>
      </c>
      <c r="J368" s="1" t="s">
        <v>285</v>
      </c>
      <c r="K368" s="3">
        <v>4.5</v>
      </c>
      <c r="M368" s="1">
        <v>45757</v>
      </c>
      <c r="N368" s="14">
        <v>25803.8</v>
      </c>
    </row>
    <row r="369" spans="1:14">
      <c r="A369" s="1">
        <v>46238</v>
      </c>
      <c r="B369" t="s">
        <v>1979</v>
      </c>
      <c r="C369">
        <v>4.2789999999999999</v>
      </c>
      <c r="E369" s="1">
        <v>46161</v>
      </c>
      <c r="F369" s="1" t="s">
        <v>161</v>
      </c>
      <c r="G369" s="9">
        <v>6.4</v>
      </c>
      <c r="I369" s="1">
        <v>46239</v>
      </c>
      <c r="J369" s="1" t="s">
        <v>286</v>
      </c>
      <c r="K369" s="3">
        <v>4000</v>
      </c>
      <c r="M369" s="1">
        <v>45756</v>
      </c>
      <c r="N369" s="14">
        <v>26010.5</v>
      </c>
    </row>
    <row r="370" spans="1:14">
      <c r="A370" s="1">
        <v>46238</v>
      </c>
      <c r="B370" t="s">
        <v>1980</v>
      </c>
      <c r="C370">
        <v>4.4119999999999999</v>
      </c>
      <c r="E370" s="1">
        <v>46161</v>
      </c>
      <c r="F370" s="1" t="s">
        <v>162</v>
      </c>
      <c r="G370" s="9">
        <v>6.8</v>
      </c>
      <c r="I370" s="1">
        <v>46239</v>
      </c>
      <c r="J370" s="1" t="s">
        <v>287</v>
      </c>
      <c r="K370" s="3">
        <v>193503.08</v>
      </c>
      <c r="M370" s="1">
        <v>45755</v>
      </c>
      <c r="N370" s="14">
        <v>25993.333333333299</v>
      </c>
    </row>
    <row r="371" spans="1:14">
      <c r="A371" s="1">
        <v>46238</v>
      </c>
      <c r="B371" t="s">
        <v>1981</v>
      </c>
      <c r="C371">
        <v>4.5739999999999998</v>
      </c>
      <c r="E371" s="1">
        <v>46161</v>
      </c>
      <c r="F371" s="1" t="s">
        <v>163</v>
      </c>
      <c r="G371" s="9">
        <v>6.9</v>
      </c>
      <c r="I371" s="1">
        <v>46238</v>
      </c>
      <c r="J371" s="1" t="s">
        <v>107</v>
      </c>
      <c r="K371" s="3">
        <v>8580044237670</v>
      </c>
      <c r="M371" s="1">
        <v>45751</v>
      </c>
      <c r="N371" s="14">
        <v>25786</v>
      </c>
    </row>
    <row r="372" spans="1:14">
      <c r="A372" s="1">
        <v>46238</v>
      </c>
      <c r="B372" t="s">
        <v>1982</v>
      </c>
      <c r="C372">
        <v>4.6580000000000004</v>
      </c>
      <c r="E372" s="1">
        <v>46160</v>
      </c>
      <c r="F372" s="1" t="s">
        <v>160</v>
      </c>
      <c r="G372" s="9">
        <v>5.8</v>
      </c>
      <c r="I372" s="1">
        <v>46238</v>
      </c>
      <c r="J372" s="1" t="s">
        <v>282</v>
      </c>
      <c r="K372" s="3">
        <v>6000</v>
      </c>
      <c r="M372" s="1">
        <v>45750</v>
      </c>
      <c r="N372" s="14">
        <v>25812.5</v>
      </c>
    </row>
    <row r="373" spans="1:14">
      <c r="A373" s="1">
        <v>46238</v>
      </c>
      <c r="B373" t="s">
        <v>1983</v>
      </c>
      <c r="C373">
        <v>4.7240000000000002</v>
      </c>
      <c r="E373" s="1">
        <v>46160</v>
      </c>
      <c r="F373" s="1" t="s">
        <v>161</v>
      </c>
      <c r="G373" s="9">
        <v>6</v>
      </c>
      <c r="I373" s="1">
        <v>46238</v>
      </c>
      <c r="J373" s="1" t="s">
        <v>283</v>
      </c>
      <c r="K373" s="3">
        <v>7</v>
      </c>
      <c r="M373" s="1">
        <v>45749</v>
      </c>
      <c r="N373" s="14">
        <v>25647</v>
      </c>
    </row>
    <row r="374" spans="1:14">
      <c r="A374" s="1">
        <v>46237</v>
      </c>
      <c r="B374" t="s">
        <v>1974</v>
      </c>
      <c r="C374">
        <v>3.508</v>
      </c>
      <c r="E374" s="1">
        <v>46160</v>
      </c>
      <c r="F374" s="1" t="s">
        <v>162</v>
      </c>
      <c r="G374" s="9">
        <v>6.2</v>
      </c>
      <c r="I374" s="1">
        <v>46238</v>
      </c>
      <c r="J374" s="1" t="s">
        <v>284</v>
      </c>
      <c r="K374" s="3">
        <v>16375</v>
      </c>
      <c r="M374" s="1">
        <v>45748</v>
      </c>
      <c r="N374" s="14">
        <v>25641</v>
      </c>
    </row>
    <row r="375" spans="1:14">
      <c r="A375" s="1">
        <v>46237</v>
      </c>
      <c r="B375" t="s">
        <v>1975</v>
      </c>
      <c r="C375">
        <v>3.613</v>
      </c>
      <c r="E375" s="1">
        <v>46160</v>
      </c>
      <c r="F375" s="1" t="s">
        <v>163</v>
      </c>
      <c r="G375" s="9">
        <v>6.88</v>
      </c>
      <c r="I375" s="1">
        <v>46238</v>
      </c>
      <c r="J375" s="1" t="s">
        <v>285</v>
      </c>
      <c r="K375" s="3">
        <v>4.5</v>
      </c>
      <c r="M375" s="1">
        <v>45747</v>
      </c>
      <c r="N375" s="14">
        <v>25573</v>
      </c>
    </row>
    <row r="376" spans="1:14">
      <c r="A376" s="1">
        <v>46237</v>
      </c>
      <c r="B376" t="s">
        <v>1976</v>
      </c>
      <c r="C376">
        <v>3.6829999999999998</v>
      </c>
      <c r="E376" s="1">
        <v>46157</v>
      </c>
      <c r="F376" s="1" t="s">
        <v>160</v>
      </c>
      <c r="G376" s="9">
        <v>5.3</v>
      </c>
      <c r="I376" s="1">
        <v>46238</v>
      </c>
      <c r="J376" s="1" t="s">
        <v>286</v>
      </c>
      <c r="K376" s="3">
        <v>9258</v>
      </c>
      <c r="M376" s="1">
        <v>45744</v>
      </c>
      <c r="N376" s="14">
        <v>25573</v>
      </c>
    </row>
    <row r="377" spans="1:14">
      <c r="A377" s="1">
        <v>46237</v>
      </c>
      <c r="B377" t="s">
        <v>1977</v>
      </c>
      <c r="C377">
        <v>3.95</v>
      </c>
      <c r="E377" s="1">
        <v>46157</v>
      </c>
      <c r="F377" s="1" t="s">
        <v>161</v>
      </c>
      <c r="G377" s="9">
        <v>5.6</v>
      </c>
      <c r="I377" s="1">
        <v>46238</v>
      </c>
      <c r="J377" s="1" t="s">
        <v>287</v>
      </c>
      <c r="K377" s="3">
        <v>194479.08</v>
      </c>
      <c r="M377" s="1">
        <v>45743</v>
      </c>
      <c r="N377" s="14">
        <v>25590</v>
      </c>
    </row>
    <row r="378" spans="1:14">
      <c r="A378" s="1">
        <v>46237</v>
      </c>
      <c r="B378" t="s">
        <v>1978</v>
      </c>
      <c r="C378">
        <v>4.2169999999999996</v>
      </c>
      <c r="E378" s="1">
        <v>46157</v>
      </c>
      <c r="F378" s="1" t="s">
        <v>162</v>
      </c>
      <c r="G378" s="9">
        <v>6</v>
      </c>
      <c r="I378" s="1">
        <v>46238</v>
      </c>
      <c r="J378" s="1" t="s">
        <v>288</v>
      </c>
      <c r="K378" s="3">
        <v>-48607.59</v>
      </c>
      <c r="M378" s="1">
        <v>45742</v>
      </c>
      <c r="N378" s="14">
        <v>25585</v>
      </c>
    </row>
    <row r="379" spans="1:14">
      <c r="A379" s="1">
        <v>46237</v>
      </c>
      <c r="B379" t="s">
        <v>1979</v>
      </c>
      <c r="C379">
        <v>4.2709999999999999</v>
      </c>
      <c r="E379" s="1">
        <v>46157</v>
      </c>
      <c r="F379" s="1" t="s">
        <v>163</v>
      </c>
      <c r="G379" s="9">
        <v>6.6</v>
      </c>
      <c r="I379" s="1">
        <v>46238</v>
      </c>
      <c r="J379" s="1" t="s">
        <v>289</v>
      </c>
      <c r="K379" s="3">
        <v>22</v>
      </c>
      <c r="M379" s="1">
        <v>45741</v>
      </c>
      <c r="N379" s="14">
        <v>25640</v>
      </c>
    </row>
    <row r="380" spans="1:14">
      <c r="A380" s="1">
        <v>46237</v>
      </c>
      <c r="B380" t="s">
        <v>1980</v>
      </c>
      <c r="C380">
        <v>4.41</v>
      </c>
      <c r="E380" s="1">
        <v>46156</v>
      </c>
      <c r="F380" s="1" t="s">
        <v>160</v>
      </c>
      <c r="G380" s="9">
        <v>6.1</v>
      </c>
      <c r="I380" s="1">
        <v>46238</v>
      </c>
      <c r="J380" s="1" t="s">
        <v>290</v>
      </c>
      <c r="K380" s="3">
        <v>22</v>
      </c>
      <c r="M380" s="1">
        <v>45740</v>
      </c>
      <c r="N380" s="14">
        <v>25633.4</v>
      </c>
    </row>
    <row r="381" spans="1:14">
      <c r="A381" s="1">
        <v>46237</v>
      </c>
      <c r="B381" t="s">
        <v>1981</v>
      </c>
      <c r="C381">
        <v>4.5739999999999998</v>
      </c>
      <c r="E381" s="1">
        <v>46156</v>
      </c>
      <c r="F381" s="1" t="s">
        <v>161</v>
      </c>
      <c r="G381" s="9">
        <v>6.3</v>
      </c>
      <c r="I381" s="1">
        <v>46237</v>
      </c>
      <c r="J381" s="1" t="s">
        <v>107</v>
      </c>
      <c r="K381" s="3">
        <v>8580044237670</v>
      </c>
      <c r="M381" s="1">
        <v>45737</v>
      </c>
      <c r="N381" s="14">
        <v>25584</v>
      </c>
    </row>
    <row r="382" spans="1:14">
      <c r="A382" s="1">
        <v>46237</v>
      </c>
      <c r="B382" t="s">
        <v>1982</v>
      </c>
      <c r="C382">
        <v>4.6580000000000004</v>
      </c>
      <c r="E382" s="1">
        <v>46156</v>
      </c>
      <c r="F382" s="1" t="s">
        <v>162</v>
      </c>
      <c r="G382" s="9">
        <v>6.8</v>
      </c>
      <c r="I382" s="1">
        <v>46237</v>
      </c>
      <c r="J382" s="1" t="s">
        <v>282</v>
      </c>
      <c r="K382" s="3">
        <v>18000</v>
      </c>
      <c r="M382" s="1">
        <v>45736</v>
      </c>
      <c r="N382" s="14">
        <v>25558.25</v>
      </c>
    </row>
    <row r="383" spans="1:14">
      <c r="A383" s="1">
        <v>46237</v>
      </c>
      <c r="B383" t="s">
        <v>1983</v>
      </c>
      <c r="C383">
        <v>4.7240000000000002</v>
      </c>
      <c r="E383" s="1">
        <v>46156</v>
      </c>
      <c r="F383" s="1" t="s">
        <v>163</v>
      </c>
      <c r="G383" s="9">
        <v>6.8</v>
      </c>
      <c r="I383" s="1">
        <v>46237</v>
      </c>
      <c r="J383" s="1" t="s">
        <v>283</v>
      </c>
      <c r="K383" s="3">
        <v>7</v>
      </c>
      <c r="M383" s="1">
        <v>45735</v>
      </c>
      <c r="N383" s="14">
        <v>25543</v>
      </c>
    </row>
    <row r="384" spans="1:14">
      <c r="A384" s="1">
        <v>46234</v>
      </c>
      <c r="B384" t="s">
        <v>1974</v>
      </c>
      <c r="C384">
        <v>3.4670000000000001</v>
      </c>
      <c r="E384" s="1">
        <v>46155</v>
      </c>
      <c r="F384" s="1" t="s">
        <v>160</v>
      </c>
      <c r="G384" s="9">
        <v>6.4</v>
      </c>
      <c r="I384" s="1">
        <v>46237</v>
      </c>
      <c r="J384" s="1" t="s">
        <v>284</v>
      </c>
      <c r="K384" s="3">
        <v>34520.17</v>
      </c>
      <c r="M384" s="1">
        <v>45734</v>
      </c>
      <c r="N384" s="14">
        <v>25525</v>
      </c>
    </row>
    <row r="385" spans="1:14">
      <c r="A385" s="1">
        <v>46234</v>
      </c>
      <c r="B385" t="s">
        <v>1975</v>
      </c>
      <c r="C385">
        <v>3.5710000000000002</v>
      </c>
      <c r="E385" s="1">
        <v>46155</v>
      </c>
      <c r="F385" s="1" t="s">
        <v>161</v>
      </c>
      <c r="G385" s="9">
        <v>6.5</v>
      </c>
      <c r="I385" s="1">
        <v>46237</v>
      </c>
      <c r="J385" s="1" t="s">
        <v>285</v>
      </c>
      <c r="K385" s="3">
        <v>4.5</v>
      </c>
      <c r="M385" s="1">
        <v>45733</v>
      </c>
      <c r="N385" s="14">
        <v>25537.25</v>
      </c>
    </row>
    <row r="386" spans="1:14">
      <c r="A386" s="1">
        <v>46234</v>
      </c>
      <c r="B386" t="s">
        <v>1976</v>
      </c>
      <c r="C386">
        <v>3.6419999999999999</v>
      </c>
      <c r="E386" s="1">
        <v>46155</v>
      </c>
      <c r="F386" s="1" t="s">
        <v>162</v>
      </c>
      <c r="G386" s="9">
        <v>6.7</v>
      </c>
      <c r="I386" s="1">
        <v>46237</v>
      </c>
      <c r="J386" s="1" t="s">
        <v>286</v>
      </c>
      <c r="K386" s="3">
        <v>19452.07</v>
      </c>
      <c r="M386" s="1">
        <v>45730</v>
      </c>
      <c r="N386" s="14">
        <v>25519</v>
      </c>
    </row>
    <row r="387" spans="1:14">
      <c r="A387" s="1">
        <v>46234</v>
      </c>
      <c r="B387" t="s">
        <v>1977</v>
      </c>
      <c r="C387">
        <v>3.9279999999999999</v>
      </c>
      <c r="E387" s="1">
        <v>46155</v>
      </c>
      <c r="F387" s="1" t="s">
        <v>163</v>
      </c>
      <c r="G387" s="9">
        <v>6.8</v>
      </c>
      <c r="I387" s="1">
        <v>46237</v>
      </c>
      <c r="J387" s="1" t="s">
        <v>287</v>
      </c>
      <c r="K387" s="3">
        <v>187362.08</v>
      </c>
      <c r="M387" s="1">
        <v>45729</v>
      </c>
      <c r="N387" s="14">
        <v>25501.75</v>
      </c>
    </row>
    <row r="388" spans="1:14">
      <c r="A388" s="1">
        <v>46234</v>
      </c>
      <c r="B388" t="s">
        <v>1978</v>
      </c>
      <c r="C388">
        <v>4.2140000000000004</v>
      </c>
      <c r="E388" s="1">
        <v>46154</v>
      </c>
      <c r="F388" s="1" t="s">
        <v>160</v>
      </c>
      <c r="G388" s="9">
        <v>6.4</v>
      </c>
      <c r="I388" s="1">
        <v>46237</v>
      </c>
      <c r="J388" s="1" t="s">
        <v>288</v>
      </c>
      <c r="K388" s="3">
        <v>-48848.59</v>
      </c>
      <c r="M388" s="1">
        <v>45728</v>
      </c>
      <c r="N388" s="14">
        <v>25453.666666666701</v>
      </c>
    </row>
    <row r="389" spans="1:14">
      <c r="A389" s="1">
        <v>46234</v>
      </c>
      <c r="B389" t="s">
        <v>1979</v>
      </c>
      <c r="C389">
        <v>4.2690000000000001</v>
      </c>
      <c r="E389" s="1">
        <v>46154</v>
      </c>
      <c r="F389" s="1" t="s">
        <v>161</v>
      </c>
      <c r="G389" s="9">
        <v>6.4</v>
      </c>
      <c r="I389" s="1">
        <v>46237</v>
      </c>
      <c r="J389" s="1" t="s">
        <v>289</v>
      </c>
      <c r="K389" s="3">
        <v>28</v>
      </c>
      <c r="M389" s="1">
        <v>45727</v>
      </c>
      <c r="N389" s="14">
        <v>25467.666666666701</v>
      </c>
    </row>
    <row r="390" spans="1:14">
      <c r="A390" s="1">
        <v>46234</v>
      </c>
      <c r="B390" t="s">
        <v>1980</v>
      </c>
      <c r="C390">
        <v>4.41</v>
      </c>
      <c r="E390" s="1">
        <v>46154</v>
      </c>
      <c r="F390" s="1" t="s">
        <v>162</v>
      </c>
      <c r="G390" s="9">
        <v>6.7</v>
      </c>
      <c r="I390" s="1">
        <v>46237</v>
      </c>
      <c r="J390" s="1" t="s">
        <v>290</v>
      </c>
      <c r="K390" s="3">
        <v>28</v>
      </c>
      <c r="M390" s="1">
        <v>45726</v>
      </c>
      <c r="N390" s="14">
        <v>25524.5</v>
      </c>
    </row>
    <row r="391" spans="1:14">
      <c r="A391" s="1">
        <v>46234</v>
      </c>
      <c r="B391" t="s">
        <v>1981</v>
      </c>
      <c r="C391">
        <v>4.5780000000000003</v>
      </c>
      <c r="E391" s="1">
        <v>46154</v>
      </c>
      <c r="F391" s="1" t="s">
        <v>163</v>
      </c>
      <c r="G391" s="9">
        <v>6.6</v>
      </c>
      <c r="I391" s="1">
        <v>46236</v>
      </c>
      <c r="J391" s="1" t="s">
        <v>107</v>
      </c>
      <c r="K391" s="3">
        <v>10522780491333</v>
      </c>
      <c r="M391" s="1">
        <v>45723</v>
      </c>
      <c r="N391" s="14">
        <v>25521</v>
      </c>
    </row>
    <row r="392" spans="1:14">
      <c r="A392" s="1">
        <v>46234</v>
      </c>
      <c r="B392" t="s">
        <v>1982</v>
      </c>
      <c r="C392">
        <v>4.6580000000000004</v>
      </c>
      <c r="E392" s="1">
        <v>46153</v>
      </c>
      <c r="F392" s="1" t="s">
        <v>160</v>
      </c>
      <c r="G392" s="9">
        <v>5.2</v>
      </c>
      <c r="I392" s="1">
        <v>46234</v>
      </c>
      <c r="J392" s="1" t="s">
        <v>107</v>
      </c>
      <c r="K392" s="3">
        <v>10522780491333</v>
      </c>
      <c r="M392" s="1">
        <v>45722</v>
      </c>
      <c r="N392" s="14">
        <v>25484</v>
      </c>
    </row>
    <row r="393" spans="1:14">
      <c r="A393" s="1">
        <v>46234</v>
      </c>
      <c r="B393" t="s">
        <v>1983</v>
      </c>
      <c r="C393">
        <v>4.7240000000000002</v>
      </c>
      <c r="E393" s="1">
        <v>46153</v>
      </c>
      <c r="F393" s="1" t="s">
        <v>161</v>
      </c>
      <c r="G393" s="9">
        <v>5.6</v>
      </c>
      <c r="I393" s="1">
        <v>46234</v>
      </c>
      <c r="J393" s="1" t="s">
        <v>282</v>
      </c>
      <c r="K393" s="3">
        <v>15000</v>
      </c>
      <c r="M393" s="1">
        <v>45721</v>
      </c>
      <c r="N393" s="14">
        <v>25505.666666666701</v>
      </c>
    </row>
    <row r="394" spans="1:14">
      <c r="A394" s="1">
        <v>46233</v>
      </c>
      <c r="B394" t="s">
        <v>1974</v>
      </c>
      <c r="C394">
        <v>3.4670000000000001</v>
      </c>
      <c r="E394" s="1">
        <v>46153</v>
      </c>
      <c r="F394" s="1" t="s">
        <v>162</v>
      </c>
      <c r="G394" s="9">
        <v>6.05</v>
      </c>
      <c r="I394" s="1">
        <v>46234</v>
      </c>
      <c r="J394" s="1" t="s">
        <v>283</v>
      </c>
      <c r="K394" s="3">
        <v>7</v>
      </c>
      <c r="M394" s="1">
        <v>45720</v>
      </c>
      <c r="N394" s="14">
        <v>25560.666666666701</v>
      </c>
    </row>
    <row r="395" spans="1:14">
      <c r="A395" s="1">
        <v>46233</v>
      </c>
      <c r="B395" t="s">
        <v>1975</v>
      </c>
      <c r="C395">
        <v>3.5710000000000002</v>
      </c>
      <c r="E395" s="1">
        <v>46153</v>
      </c>
      <c r="F395" s="1" t="s">
        <v>163</v>
      </c>
      <c r="G395" s="9">
        <v>6.5</v>
      </c>
      <c r="I395" s="1">
        <v>46234</v>
      </c>
      <c r="J395" s="1" t="s">
        <v>284</v>
      </c>
      <c r="K395" s="3">
        <v>28431</v>
      </c>
      <c r="M395" s="1">
        <v>45719</v>
      </c>
      <c r="N395" s="14">
        <v>25605.5</v>
      </c>
    </row>
    <row r="396" spans="1:14">
      <c r="A396" s="1">
        <v>46233</v>
      </c>
      <c r="B396" t="s">
        <v>1976</v>
      </c>
      <c r="C396">
        <v>3.6419999999999999</v>
      </c>
      <c r="E396" s="1">
        <v>46150</v>
      </c>
      <c r="F396" s="1" t="s">
        <v>160</v>
      </c>
      <c r="G396" s="9">
        <v>5</v>
      </c>
      <c r="I396" s="1">
        <v>46234</v>
      </c>
      <c r="J396" s="1" t="s">
        <v>285</v>
      </c>
      <c r="K396" s="3">
        <v>4.5</v>
      </c>
      <c r="M396" s="1">
        <v>45716</v>
      </c>
      <c r="N396" s="14">
        <v>25554</v>
      </c>
    </row>
    <row r="397" spans="1:14">
      <c r="A397" s="1">
        <v>46233</v>
      </c>
      <c r="B397" t="s">
        <v>1977</v>
      </c>
      <c r="C397">
        <v>3.93</v>
      </c>
      <c r="E397" s="1">
        <v>46150</v>
      </c>
      <c r="F397" s="1" t="s">
        <v>161</v>
      </c>
      <c r="G397" s="9">
        <v>5.45</v>
      </c>
      <c r="I397" s="1">
        <v>46234</v>
      </c>
      <c r="J397" s="1" t="s">
        <v>286</v>
      </c>
      <c r="K397" s="3">
        <v>5143.5200000000004</v>
      </c>
      <c r="M397" s="1">
        <v>45715</v>
      </c>
      <c r="N397" s="14">
        <v>25544.799999999999</v>
      </c>
    </row>
    <row r="398" spans="1:14">
      <c r="A398" s="1">
        <v>46233</v>
      </c>
      <c r="B398" t="s">
        <v>1978</v>
      </c>
      <c r="C398">
        <v>4.218</v>
      </c>
      <c r="E398" s="1">
        <v>46150</v>
      </c>
      <c r="F398" s="1" t="s">
        <v>162</v>
      </c>
      <c r="G398" s="9">
        <v>6</v>
      </c>
      <c r="I398" s="1">
        <v>46234</v>
      </c>
      <c r="J398" s="1" t="s">
        <v>287</v>
      </c>
      <c r="K398" s="3">
        <v>172293.98</v>
      </c>
      <c r="M398" s="1">
        <v>45714</v>
      </c>
      <c r="N398" s="14">
        <v>25502.6</v>
      </c>
    </row>
    <row r="399" spans="1:14">
      <c r="A399" s="1">
        <v>46233</v>
      </c>
      <c r="B399" t="s">
        <v>1979</v>
      </c>
      <c r="C399">
        <v>4.2690000000000001</v>
      </c>
      <c r="E399" s="1">
        <v>46150</v>
      </c>
      <c r="F399" s="1" t="s">
        <v>163</v>
      </c>
      <c r="G399" s="9">
        <v>6.75</v>
      </c>
      <c r="I399" s="1">
        <v>46234</v>
      </c>
      <c r="J399" s="1" t="s">
        <v>288</v>
      </c>
      <c r="K399" s="3">
        <v>-51312.07</v>
      </c>
      <c r="M399" s="1">
        <v>45713</v>
      </c>
      <c r="N399" s="14">
        <v>25518.75</v>
      </c>
    </row>
    <row r="400" spans="1:14">
      <c r="A400" s="1">
        <v>46233</v>
      </c>
      <c r="B400" t="s">
        <v>1980</v>
      </c>
      <c r="C400">
        <v>4.4119999999999999</v>
      </c>
      <c r="E400" s="1">
        <v>46149</v>
      </c>
      <c r="F400" s="1" t="s">
        <v>160</v>
      </c>
      <c r="G400" s="9">
        <v>5.8</v>
      </c>
      <c r="I400" s="1">
        <v>46234</v>
      </c>
      <c r="J400" s="1" t="s">
        <v>289</v>
      </c>
      <c r="K400" s="3">
        <v>24</v>
      </c>
      <c r="M400" s="1">
        <v>45712</v>
      </c>
      <c r="N400" s="14">
        <v>25476.75</v>
      </c>
    </row>
    <row r="401" spans="1:14">
      <c r="A401" s="1">
        <v>46233</v>
      </c>
      <c r="B401" t="s">
        <v>1981</v>
      </c>
      <c r="C401">
        <v>4.5739999999999998</v>
      </c>
      <c r="E401" s="1">
        <v>46149</v>
      </c>
      <c r="F401" s="1" t="s">
        <v>161</v>
      </c>
      <c r="G401" s="9">
        <v>6</v>
      </c>
      <c r="I401" s="1">
        <v>46234</v>
      </c>
      <c r="J401" s="1" t="s">
        <v>290</v>
      </c>
      <c r="K401" s="3">
        <v>24</v>
      </c>
      <c r="M401" s="1">
        <v>45709</v>
      </c>
      <c r="N401" s="14">
        <v>25508.6</v>
      </c>
    </row>
    <row r="402" spans="1:14">
      <c r="A402" s="1">
        <v>46233</v>
      </c>
      <c r="B402" t="s">
        <v>1982</v>
      </c>
      <c r="C402">
        <v>4.6580000000000004</v>
      </c>
      <c r="E402" s="1">
        <v>46149</v>
      </c>
      <c r="F402" s="1" t="s">
        <v>162</v>
      </c>
      <c r="G402" s="9">
        <v>6.8</v>
      </c>
      <c r="I402" s="1">
        <v>46233</v>
      </c>
      <c r="J402" s="1" t="s">
        <v>282</v>
      </c>
      <c r="K402" s="3">
        <v>1000</v>
      </c>
      <c r="M402" s="1">
        <v>45708</v>
      </c>
      <c r="N402" s="14">
        <v>25528.75</v>
      </c>
    </row>
    <row r="403" spans="1:14">
      <c r="A403" s="1">
        <v>46233</v>
      </c>
      <c r="B403" t="s">
        <v>1983</v>
      </c>
      <c r="C403">
        <v>4.7240000000000002</v>
      </c>
      <c r="E403" s="1">
        <v>46149</v>
      </c>
      <c r="F403" s="1" t="s">
        <v>163</v>
      </c>
      <c r="G403" s="9">
        <v>6.9</v>
      </c>
      <c r="I403" s="1">
        <v>46233</v>
      </c>
      <c r="J403" s="1" t="s">
        <v>283</v>
      </c>
      <c r="K403" s="3">
        <v>7</v>
      </c>
      <c r="M403" s="1">
        <v>45707</v>
      </c>
      <c r="N403" s="14">
        <v>25523</v>
      </c>
    </row>
    <row r="404" spans="1:14">
      <c r="A404" s="1">
        <v>46232</v>
      </c>
      <c r="B404" t="s">
        <v>1974</v>
      </c>
      <c r="C404">
        <v>3.4670000000000001</v>
      </c>
      <c r="E404" s="1">
        <v>46148</v>
      </c>
      <c r="F404" s="1" t="s">
        <v>160</v>
      </c>
      <c r="G404" s="9">
        <v>6.3</v>
      </c>
      <c r="I404" s="1">
        <v>46233</v>
      </c>
      <c r="J404" s="1" t="s">
        <v>284</v>
      </c>
      <c r="K404" s="3">
        <v>7806</v>
      </c>
      <c r="M404" s="1">
        <v>45706</v>
      </c>
      <c r="N404" s="14">
        <v>25517.5</v>
      </c>
    </row>
    <row r="405" spans="1:14">
      <c r="A405" s="1">
        <v>46232</v>
      </c>
      <c r="B405" t="s">
        <v>1975</v>
      </c>
      <c r="C405">
        <v>3.5710000000000002</v>
      </c>
      <c r="E405" s="1">
        <v>46148</v>
      </c>
      <c r="F405" s="1" t="s">
        <v>161</v>
      </c>
      <c r="G405" s="9">
        <v>6.5</v>
      </c>
      <c r="I405" s="1">
        <v>46233</v>
      </c>
      <c r="J405" s="1" t="s">
        <v>285</v>
      </c>
      <c r="K405" s="3">
        <v>4.5</v>
      </c>
      <c r="M405" s="1">
        <v>45705</v>
      </c>
      <c r="N405" s="14">
        <v>25463.5</v>
      </c>
    </row>
    <row r="406" spans="1:14">
      <c r="A406" s="1">
        <v>46232</v>
      </c>
      <c r="B406" t="s">
        <v>1976</v>
      </c>
      <c r="C406">
        <v>3.6419999999999999</v>
      </c>
      <c r="E406" s="1">
        <v>46148</v>
      </c>
      <c r="F406" s="1" t="s">
        <v>162</v>
      </c>
      <c r="G406" s="9">
        <v>6.95</v>
      </c>
      <c r="I406" s="1">
        <v>46233</v>
      </c>
      <c r="J406" s="1" t="s">
        <v>286</v>
      </c>
      <c r="K406" s="3">
        <v>2905.6</v>
      </c>
      <c r="M406" s="1">
        <v>45702</v>
      </c>
      <c r="N406" s="14">
        <v>25393.75</v>
      </c>
    </row>
    <row r="407" spans="1:14">
      <c r="A407" s="1">
        <v>46232</v>
      </c>
      <c r="B407" t="s">
        <v>1977</v>
      </c>
      <c r="C407">
        <v>3.9279999999999999</v>
      </c>
      <c r="E407" s="1">
        <v>46148</v>
      </c>
      <c r="F407" s="1" t="s">
        <v>163</v>
      </c>
      <c r="G407" s="9">
        <v>7.2</v>
      </c>
      <c r="I407" s="1">
        <v>46233</v>
      </c>
      <c r="J407" s="1" t="s">
        <v>287</v>
      </c>
      <c r="K407" s="3">
        <v>146241.5</v>
      </c>
      <c r="M407" s="1">
        <v>45701</v>
      </c>
      <c r="N407" s="14">
        <v>25456.2</v>
      </c>
    </row>
    <row r="408" spans="1:14">
      <c r="A408" s="1">
        <v>46232</v>
      </c>
      <c r="B408" t="s">
        <v>1978</v>
      </c>
      <c r="C408">
        <v>4.2140000000000004</v>
      </c>
      <c r="E408" s="1">
        <v>46147</v>
      </c>
      <c r="F408" s="1" t="s">
        <v>160</v>
      </c>
      <c r="G408" s="9">
        <v>7</v>
      </c>
      <c r="I408" s="1">
        <v>46233</v>
      </c>
      <c r="J408" s="1" t="s">
        <v>288</v>
      </c>
      <c r="K408" s="3">
        <v>-43853.59</v>
      </c>
      <c r="M408" s="1">
        <v>45700</v>
      </c>
      <c r="N408" s="14">
        <v>25573</v>
      </c>
    </row>
    <row r="409" spans="1:14">
      <c r="A409" s="1">
        <v>46232</v>
      </c>
      <c r="B409" t="s">
        <v>1979</v>
      </c>
      <c r="C409">
        <v>4.2720000000000002</v>
      </c>
      <c r="E409" s="1">
        <v>46147</v>
      </c>
      <c r="F409" s="1" t="s">
        <v>161</v>
      </c>
      <c r="G409" s="9">
        <v>7</v>
      </c>
      <c r="I409" s="1">
        <v>46233</v>
      </c>
      <c r="J409" s="1" t="s">
        <v>289</v>
      </c>
      <c r="K409" s="3">
        <v>10</v>
      </c>
      <c r="M409" s="1">
        <v>45699</v>
      </c>
      <c r="N409" s="14">
        <v>25522.666666666701</v>
      </c>
    </row>
    <row r="410" spans="1:14">
      <c r="A410" s="1">
        <v>46232</v>
      </c>
      <c r="B410" t="s">
        <v>1980</v>
      </c>
      <c r="C410">
        <v>4.4089999999999998</v>
      </c>
      <c r="E410" s="1">
        <v>46147</v>
      </c>
      <c r="F410" s="1" t="s">
        <v>162</v>
      </c>
      <c r="G410" s="9">
        <v>6.9</v>
      </c>
      <c r="I410" s="1">
        <v>46233</v>
      </c>
      <c r="J410" s="1" t="s">
        <v>290</v>
      </c>
      <c r="K410" s="3">
        <v>10</v>
      </c>
      <c r="M410" s="1">
        <v>45698</v>
      </c>
      <c r="N410" s="14">
        <v>25387.333333333299</v>
      </c>
    </row>
    <row r="411" spans="1:14">
      <c r="A411" s="1">
        <v>46232</v>
      </c>
      <c r="B411" t="s">
        <v>1981</v>
      </c>
      <c r="C411">
        <v>4.5739999999999998</v>
      </c>
      <c r="E411" s="1">
        <v>46147</v>
      </c>
      <c r="F411" s="1" t="s">
        <v>163</v>
      </c>
      <c r="G411" s="9">
        <v>7.15</v>
      </c>
      <c r="I411" s="1">
        <v>46233</v>
      </c>
      <c r="J411" s="1" t="s">
        <v>107</v>
      </c>
      <c r="K411" s="3">
        <v>11363865185152</v>
      </c>
      <c r="M411" s="1">
        <v>45695</v>
      </c>
      <c r="N411" s="14">
        <v>25290.333333333299</v>
      </c>
    </row>
    <row r="412" spans="1:14">
      <c r="A412" s="1">
        <v>46232</v>
      </c>
      <c r="B412" t="s">
        <v>1982</v>
      </c>
      <c r="C412">
        <v>4.6580000000000004</v>
      </c>
      <c r="E412" s="1">
        <v>46146</v>
      </c>
      <c r="F412" s="1" t="s">
        <v>160</v>
      </c>
      <c r="G412" s="9">
        <v>6.7</v>
      </c>
      <c r="I412" s="1">
        <v>46232</v>
      </c>
      <c r="J412" s="1" t="s">
        <v>288</v>
      </c>
      <c r="K412" s="3">
        <v>-40759.19</v>
      </c>
      <c r="M412" s="1">
        <v>45694</v>
      </c>
      <c r="N412" s="14">
        <v>25234.25</v>
      </c>
    </row>
    <row r="413" spans="1:14">
      <c r="A413" s="1">
        <v>46232</v>
      </c>
      <c r="B413" t="s">
        <v>1983</v>
      </c>
      <c r="C413">
        <v>4.7240000000000002</v>
      </c>
      <c r="E413" s="1">
        <v>46146</v>
      </c>
      <c r="F413" s="1" t="s">
        <v>161</v>
      </c>
      <c r="G413" s="9">
        <v>6.85</v>
      </c>
      <c r="I413" s="1">
        <v>46232</v>
      </c>
      <c r="J413" s="1" t="s">
        <v>289</v>
      </c>
      <c r="K413" s="3">
        <v>7</v>
      </c>
      <c r="M413" s="1">
        <v>45693</v>
      </c>
      <c r="N413" s="14">
        <v>25170.333333333299</v>
      </c>
    </row>
    <row r="414" spans="1:14">
      <c r="A414" s="1">
        <v>46231</v>
      </c>
      <c r="B414" t="s">
        <v>1974</v>
      </c>
      <c r="C414">
        <v>3.4670000000000001</v>
      </c>
      <c r="E414" s="1">
        <v>46146</v>
      </c>
      <c r="F414" s="1" t="s">
        <v>162</v>
      </c>
      <c r="G414" s="9">
        <v>6.5</v>
      </c>
      <c r="I414" s="1">
        <v>46232</v>
      </c>
      <c r="J414" s="1" t="s">
        <v>290</v>
      </c>
      <c r="K414" s="3">
        <v>7</v>
      </c>
      <c r="M414" s="1">
        <v>45692</v>
      </c>
      <c r="N414" s="14">
        <v>25183</v>
      </c>
    </row>
    <row r="415" spans="1:14">
      <c r="A415" s="1">
        <v>46231</v>
      </c>
      <c r="B415" t="s">
        <v>1975</v>
      </c>
      <c r="C415">
        <v>3.5710000000000002</v>
      </c>
      <c r="E415" s="1">
        <v>46146</v>
      </c>
      <c r="F415" s="1" t="s">
        <v>163</v>
      </c>
      <c r="G415" s="9">
        <v>6.9</v>
      </c>
      <c r="I415" s="1">
        <v>46232</v>
      </c>
      <c r="J415" s="1" t="s">
        <v>107</v>
      </c>
      <c r="K415" s="3">
        <v>11363865185152</v>
      </c>
      <c r="M415" s="1">
        <v>45691</v>
      </c>
      <c r="N415" s="14">
        <v>25284</v>
      </c>
    </row>
    <row r="416" spans="1:14">
      <c r="A416" s="1">
        <v>46231</v>
      </c>
      <c r="B416" t="s">
        <v>1976</v>
      </c>
      <c r="C416">
        <v>3.6419999999999999</v>
      </c>
      <c r="E416" s="1">
        <v>46141</v>
      </c>
      <c r="F416" s="1" t="s">
        <v>160</v>
      </c>
      <c r="G416" s="9">
        <v>6.4</v>
      </c>
      <c r="I416" s="1">
        <v>46232</v>
      </c>
      <c r="J416" s="1" t="s">
        <v>282</v>
      </c>
      <c r="K416" s="3">
        <v>1000</v>
      </c>
      <c r="M416" s="1">
        <v>45681</v>
      </c>
      <c r="N416" s="14">
        <v>25092.6</v>
      </c>
    </row>
    <row r="417" spans="1:14">
      <c r="A417" s="1">
        <v>46231</v>
      </c>
      <c r="B417" t="s">
        <v>1977</v>
      </c>
      <c r="C417">
        <v>3.9260000000000002</v>
      </c>
      <c r="E417" s="1">
        <v>46141</v>
      </c>
      <c r="F417" s="1" t="s">
        <v>161</v>
      </c>
      <c r="G417" s="9">
        <v>6.15</v>
      </c>
      <c r="I417" s="1">
        <v>46232</v>
      </c>
      <c r="J417" s="1" t="s">
        <v>283</v>
      </c>
      <c r="K417" s="3">
        <v>7</v>
      </c>
      <c r="M417" s="1">
        <v>45680</v>
      </c>
      <c r="N417" s="14">
        <v>25095</v>
      </c>
    </row>
    <row r="418" spans="1:14">
      <c r="A418" s="1">
        <v>46231</v>
      </c>
      <c r="B418" t="s">
        <v>1978</v>
      </c>
      <c r="C418">
        <v>4.2110000000000003</v>
      </c>
      <c r="E418" s="1">
        <v>46141</v>
      </c>
      <c r="F418" s="1" t="s">
        <v>162</v>
      </c>
      <c r="G418" s="9">
        <v>6.5</v>
      </c>
      <c r="I418" s="1">
        <v>46232</v>
      </c>
      <c r="J418" s="1" t="s">
        <v>284</v>
      </c>
      <c r="K418" s="3">
        <v>4250</v>
      </c>
      <c r="M418" s="1">
        <v>45679</v>
      </c>
      <c r="N418" s="14">
        <v>25201</v>
      </c>
    </row>
    <row r="419" spans="1:14">
      <c r="A419" s="1">
        <v>46231</v>
      </c>
      <c r="B419" t="s">
        <v>1979</v>
      </c>
      <c r="C419">
        <v>4.2690000000000001</v>
      </c>
      <c r="E419" s="1">
        <v>46141</v>
      </c>
      <c r="F419" s="1" t="s">
        <v>163</v>
      </c>
      <c r="G419" s="9">
        <v>7.15</v>
      </c>
      <c r="I419" s="1">
        <v>46232</v>
      </c>
      <c r="J419" s="1" t="s">
        <v>285</v>
      </c>
      <c r="K419" s="3">
        <v>4.5</v>
      </c>
      <c r="M419" s="1">
        <v>45678</v>
      </c>
      <c r="N419" s="14">
        <v>25263.4</v>
      </c>
    </row>
    <row r="420" spans="1:14">
      <c r="A420" s="1">
        <v>46231</v>
      </c>
      <c r="B420" t="s">
        <v>1980</v>
      </c>
      <c r="C420">
        <v>4.4080000000000004</v>
      </c>
      <c r="E420" s="1">
        <v>46140</v>
      </c>
      <c r="F420" s="1" t="s">
        <v>160</v>
      </c>
      <c r="G420" s="9">
        <v>3.9</v>
      </c>
      <c r="I420" s="1">
        <v>46232</v>
      </c>
      <c r="J420" s="1" t="s">
        <v>286</v>
      </c>
      <c r="K420" s="3">
        <v>3966.09</v>
      </c>
      <c r="M420" s="1">
        <v>45677</v>
      </c>
      <c r="N420" s="14">
        <v>25324</v>
      </c>
    </row>
    <row r="421" spans="1:14">
      <c r="A421" s="1">
        <v>46231</v>
      </c>
      <c r="B421" t="s">
        <v>1981</v>
      </c>
      <c r="C421">
        <v>4.5739999999999998</v>
      </c>
      <c r="E421" s="1">
        <v>46140</v>
      </c>
      <c r="F421" s="1" t="s">
        <v>161</v>
      </c>
      <c r="G421" s="9">
        <v>6.15</v>
      </c>
      <c r="I421" s="1">
        <v>46232</v>
      </c>
      <c r="J421" s="1" t="s">
        <v>287</v>
      </c>
      <c r="K421" s="3">
        <v>141341.1</v>
      </c>
      <c r="M421" s="1">
        <v>45674</v>
      </c>
      <c r="N421" s="14">
        <v>25331.25</v>
      </c>
    </row>
    <row r="422" spans="1:14">
      <c r="A422" s="1">
        <v>46231</v>
      </c>
      <c r="B422" t="s">
        <v>1982</v>
      </c>
      <c r="C422">
        <v>4.6580000000000004</v>
      </c>
      <c r="E422" s="1">
        <v>46140</v>
      </c>
      <c r="F422" s="1" t="s">
        <v>162</v>
      </c>
      <c r="G422" s="9">
        <v>6.5</v>
      </c>
      <c r="I422" s="1">
        <v>46231</v>
      </c>
      <c r="J422" s="1" t="s">
        <v>282</v>
      </c>
      <c r="K422" s="3">
        <v>1000</v>
      </c>
      <c r="M422" s="1">
        <v>45673</v>
      </c>
      <c r="N422" s="14">
        <v>25376</v>
      </c>
    </row>
    <row r="423" spans="1:14">
      <c r="A423" s="1">
        <v>46231</v>
      </c>
      <c r="B423" t="s">
        <v>1983</v>
      </c>
      <c r="C423">
        <v>4.7240000000000002</v>
      </c>
      <c r="E423" s="1">
        <v>46140</v>
      </c>
      <c r="F423" s="1" t="s">
        <v>163</v>
      </c>
      <c r="G423" s="9">
        <v>7.25</v>
      </c>
      <c r="I423" s="1">
        <v>46231</v>
      </c>
      <c r="J423" s="1" t="s">
        <v>283</v>
      </c>
      <c r="K423" s="3">
        <v>7</v>
      </c>
      <c r="M423" s="1">
        <v>45672</v>
      </c>
      <c r="N423" s="14">
        <v>25386</v>
      </c>
    </row>
    <row r="424" spans="1:14">
      <c r="A424" s="1">
        <v>46230</v>
      </c>
      <c r="B424" t="s">
        <v>1977</v>
      </c>
      <c r="C424">
        <v>3.927</v>
      </c>
      <c r="E424" s="1">
        <v>46136</v>
      </c>
      <c r="F424" s="1" t="s">
        <v>160</v>
      </c>
      <c r="G424" s="9">
        <v>4</v>
      </c>
      <c r="I424" s="1">
        <v>46231</v>
      </c>
      <c r="J424" s="1" t="s">
        <v>284</v>
      </c>
      <c r="K424" s="3">
        <v>5660</v>
      </c>
      <c r="M424" s="1">
        <v>45671</v>
      </c>
      <c r="N424" s="14">
        <v>25385.5</v>
      </c>
    </row>
    <row r="425" spans="1:14">
      <c r="A425" s="1">
        <v>46230</v>
      </c>
      <c r="B425" t="s">
        <v>1978</v>
      </c>
      <c r="C425">
        <v>4.2130000000000001</v>
      </c>
      <c r="E425" s="1">
        <v>46136</v>
      </c>
      <c r="F425" s="1" t="s">
        <v>161</v>
      </c>
      <c r="G425" s="9">
        <v>6.25</v>
      </c>
      <c r="I425" s="1">
        <v>46231</v>
      </c>
      <c r="J425" s="1" t="s">
        <v>285</v>
      </c>
      <c r="K425" s="3">
        <v>4.5</v>
      </c>
      <c r="M425" s="1">
        <v>45670</v>
      </c>
      <c r="N425" s="14">
        <v>25373</v>
      </c>
    </row>
    <row r="426" spans="1:14">
      <c r="A426" s="1">
        <v>46230</v>
      </c>
      <c r="B426" t="s">
        <v>1979</v>
      </c>
      <c r="C426">
        <v>4.2690000000000001</v>
      </c>
      <c r="E426" s="1">
        <v>46136</v>
      </c>
      <c r="F426" s="1" t="s">
        <v>162</v>
      </c>
      <c r="G426" s="9">
        <v>6.25</v>
      </c>
      <c r="I426" s="1">
        <v>46231</v>
      </c>
      <c r="J426" s="1" t="s">
        <v>286</v>
      </c>
      <c r="K426" s="3">
        <v>7621.2</v>
      </c>
      <c r="M426" s="1">
        <v>45667</v>
      </c>
      <c r="N426" s="14">
        <v>25373</v>
      </c>
    </row>
    <row r="427" spans="1:14">
      <c r="A427" s="1">
        <v>46230</v>
      </c>
      <c r="B427" t="s">
        <v>1980</v>
      </c>
      <c r="C427">
        <v>4.4080000000000004</v>
      </c>
      <c r="E427" s="1">
        <v>46136</v>
      </c>
      <c r="F427" s="1" t="s">
        <v>163</v>
      </c>
      <c r="G427" s="9">
        <v>7.35</v>
      </c>
      <c r="I427" s="1">
        <v>46231</v>
      </c>
      <c r="J427" s="1" t="s">
        <v>287</v>
      </c>
      <c r="K427" s="3">
        <v>141057.19</v>
      </c>
      <c r="M427" s="1">
        <v>45666</v>
      </c>
      <c r="N427" s="14">
        <v>25385.666666666701</v>
      </c>
    </row>
    <row r="428" spans="1:14">
      <c r="A428" s="1">
        <v>46230</v>
      </c>
      <c r="B428" t="s">
        <v>1981</v>
      </c>
      <c r="C428">
        <v>4.5739999999999998</v>
      </c>
      <c r="E428" s="1">
        <v>46135</v>
      </c>
      <c r="F428" s="1" t="s">
        <v>160</v>
      </c>
      <c r="G428" s="9">
        <v>4.5</v>
      </c>
      <c r="I428" s="1">
        <v>46231</v>
      </c>
      <c r="J428" s="1" t="s">
        <v>288</v>
      </c>
      <c r="K428" s="3">
        <v>-40725.279999999999</v>
      </c>
      <c r="M428" s="1">
        <v>45665</v>
      </c>
      <c r="N428" s="14">
        <v>25385.8</v>
      </c>
    </row>
    <row r="429" spans="1:14">
      <c r="A429" s="1">
        <v>46230</v>
      </c>
      <c r="B429" t="s">
        <v>1982</v>
      </c>
      <c r="C429">
        <v>4.6580000000000004</v>
      </c>
      <c r="E429" s="1">
        <v>46135</v>
      </c>
      <c r="F429" s="1" t="s">
        <v>161</v>
      </c>
      <c r="G429" s="9">
        <v>6.3</v>
      </c>
      <c r="I429" s="1">
        <v>46231</v>
      </c>
      <c r="J429" s="1" t="s">
        <v>289</v>
      </c>
      <c r="K429" s="3">
        <v>7</v>
      </c>
      <c r="M429" s="1">
        <v>45664</v>
      </c>
      <c r="N429" s="14">
        <v>25372.400000000001</v>
      </c>
    </row>
    <row r="430" spans="1:14">
      <c r="A430" s="1">
        <v>46230</v>
      </c>
      <c r="B430" t="s">
        <v>1983</v>
      </c>
      <c r="C430">
        <v>4.7240000000000002</v>
      </c>
      <c r="E430" s="1">
        <v>46135</v>
      </c>
      <c r="F430" s="1" t="s">
        <v>162</v>
      </c>
      <c r="G430" s="9">
        <v>6.55</v>
      </c>
      <c r="I430" s="1">
        <v>46231</v>
      </c>
      <c r="J430" s="1" t="s">
        <v>290</v>
      </c>
      <c r="K430" s="3">
        <v>7</v>
      </c>
      <c r="M430" s="1">
        <v>45663</v>
      </c>
      <c r="N430" s="14">
        <v>25385.25</v>
      </c>
    </row>
    <row r="431" spans="1:14">
      <c r="A431" s="1">
        <v>46230</v>
      </c>
      <c r="B431" t="s">
        <v>1974</v>
      </c>
      <c r="C431">
        <v>3.4670000000000001</v>
      </c>
      <c r="E431" s="1">
        <v>46135</v>
      </c>
      <c r="F431" s="1" t="s">
        <v>163</v>
      </c>
      <c r="G431" s="9">
        <v>7.35</v>
      </c>
      <c r="I431" s="1">
        <v>46231</v>
      </c>
      <c r="J431" s="1" t="s">
        <v>107</v>
      </c>
      <c r="K431" s="3">
        <v>11869886734053</v>
      </c>
      <c r="M431" s="1">
        <v>45660</v>
      </c>
      <c r="N431" s="14">
        <v>25425</v>
      </c>
    </row>
    <row r="432" spans="1:14">
      <c r="A432" s="1">
        <v>46230</v>
      </c>
      <c r="B432" t="s">
        <v>1975</v>
      </c>
      <c r="C432">
        <v>3.5710000000000002</v>
      </c>
      <c r="E432" s="1">
        <v>46134</v>
      </c>
      <c r="F432" s="1" t="s">
        <v>160</v>
      </c>
      <c r="G432" s="9">
        <v>5.8</v>
      </c>
      <c r="I432" s="1">
        <v>46230</v>
      </c>
      <c r="J432" s="1" t="s">
        <v>282</v>
      </c>
      <c r="K432" s="3">
        <v>1000</v>
      </c>
      <c r="M432" s="1">
        <v>45659</v>
      </c>
      <c r="N432" s="14">
        <v>25455.5</v>
      </c>
    </row>
    <row r="433" spans="1:14">
      <c r="A433" s="1">
        <v>46230</v>
      </c>
      <c r="B433" t="s">
        <v>1976</v>
      </c>
      <c r="C433">
        <v>3.6419999999999999</v>
      </c>
      <c r="E433" s="1">
        <v>46134</v>
      </c>
      <c r="F433" s="1" t="s">
        <v>161</v>
      </c>
      <c r="G433" s="9">
        <v>6.3</v>
      </c>
      <c r="I433" s="1">
        <v>46230</v>
      </c>
      <c r="J433" s="1" t="s">
        <v>283</v>
      </c>
      <c r="K433" s="3">
        <v>7</v>
      </c>
      <c r="M433" s="1">
        <v>45657</v>
      </c>
      <c r="N433" s="14">
        <v>25488.666666666701</v>
      </c>
    </row>
    <row r="434" spans="1:14">
      <c r="A434" s="1">
        <v>46227</v>
      </c>
      <c r="B434" t="s">
        <v>1974</v>
      </c>
      <c r="C434">
        <v>3.4670000000000001</v>
      </c>
      <c r="E434" s="1">
        <v>46134</v>
      </c>
      <c r="F434" s="1" t="s">
        <v>162</v>
      </c>
      <c r="G434" s="9">
        <v>7</v>
      </c>
      <c r="I434" s="1">
        <v>46230</v>
      </c>
      <c r="J434" s="1" t="s">
        <v>284</v>
      </c>
      <c r="K434" s="3">
        <v>2195</v>
      </c>
    </row>
    <row r="435" spans="1:14">
      <c r="A435" s="1">
        <v>46227</v>
      </c>
      <c r="B435" t="s">
        <v>1975</v>
      </c>
      <c r="C435">
        <v>3.5710000000000002</v>
      </c>
      <c r="E435" s="1">
        <v>46134</v>
      </c>
      <c r="F435" s="1" t="s">
        <v>163</v>
      </c>
      <c r="G435" s="9">
        <v>7.33</v>
      </c>
      <c r="I435" s="1">
        <v>46230</v>
      </c>
      <c r="J435" s="1" t="s">
        <v>285</v>
      </c>
      <c r="K435" s="3">
        <v>4.5</v>
      </c>
    </row>
    <row r="436" spans="1:14">
      <c r="A436" s="1">
        <v>46227</v>
      </c>
      <c r="B436" t="s">
        <v>1976</v>
      </c>
      <c r="C436">
        <v>3.625</v>
      </c>
      <c r="E436" s="1">
        <v>46133</v>
      </c>
      <c r="F436" s="1" t="s">
        <v>160</v>
      </c>
      <c r="G436" s="9">
        <v>5.9</v>
      </c>
      <c r="I436" s="1">
        <v>46230</v>
      </c>
      <c r="J436" s="1" t="s">
        <v>286</v>
      </c>
      <c r="K436" s="3">
        <v>16382.57</v>
      </c>
    </row>
    <row r="437" spans="1:14">
      <c r="A437" s="1">
        <v>46227</v>
      </c>
      <c r="B437" t="s">
        <v>1977</v>
      </c>
      <c r="C437">
        <v>3.9169999999999998</v>
      </c>
      <c r="E437" s="1">
        <v>46133</v>
      </c>
      <c r="F437" s="1" t="s">
        <v>161</v>
      </c>
      <c r="G437" s="9">
        <v>6.5</v>
      </c>
      <c r="I437" s="1">
        <v>46230</v>
      </c>
      <c r="J437" s="1" t="s">
        <v>287</v>
      </c>
      <c r="K437" s="3">
        <v>143018.39000000001</v>
      </c>
    </row>
    <row r="438" spans="1:14">
      <c r="A438" s="1">
        <v>46227</v>
      </c>
      <c r="B438" t="s">
        <v>1978</v>
      </c>
      <c r="C438">
        <v>4.2089999999999996</v>
      </c>
      <c r="E438" s="1">
        <v>46133</v>
      </c>
      <c r="F438" s="1" t="s">
        <v>162</v>
      </c>
      <c r="G438" s="9">
        <v>7</v>
      </c>
      <c r="I438" s="1">
        <v>46230</v>
      </c>
      <c r="J438" s="1" t="s">
        <v>288</v>
      </c>
      <c r="K438" s="3">
        <v>-39088.480000000003</v>
      </c>
    </row>
    <row r="439" spans="1:14">
      <c r="A439" s="1">
        <v>46227</v>
      </c>
      <c r="B439" t="s">
        <v>1979</v>
      </c>
      <c r="C439">
        <v>4.2699999999999996</v>
      </c>
      <c r="E439" s="1">
        <v>46133</v>
      </c>
      <c r="F439" s="1" t="s">
        <v>163</v>
      </c>
      <c r="G439" s="9">
        <v>7.3</v>
      </c>
      <c r="I439" s="1">
        <v>46230</v>
      </c>
      <c r="J439" s="1" t="s">
        <v>289</v>
      </c>
      <c r="K439" s="3">
        <v>7</v>
      </c>
    </row>
    <row r="440" spans="1:14">
      <c r="A440" s="1">
        <v>46227</v>
      </c>
      <c r="B440" t="s">
        <v>1980</v>
      </c>
      <c r="C440">
        <v>4.4050000000000002</v>
      </c>
      <c r="E440" s="1">
        <v>46132</v>
      </c>
      <c r="F440" s="1" t="s">
        <v>160</v>
      </c>
      <c r="G440" s="9">
        <v>4.3</v>
      </c>
      <c r="I440" s="1">
        <v>46230</v>
      </c>
      <c r="J440" s="1" t="s">
        <v>290</v>
      </c>
      <c r="K440" s="3">
        <v>7</v>
      </c>
    </row>
    <row r="441" spans="1:14">
      <c r="A441" s="1">
        <v>46227</v>
      </c>
      <c r="B441" t="s">
        <v>1981</v>
      </c>
      <c r="C441">
        <v>4.5780000000000003</v>
      </c>
      <c r="E441" s="1">
        <v>46132</v>
      </c>
      <c r="F441" s="1" t="s">
        <v>161</v>
      </c>
      <c r="G441" s="9">
        <v>5.3</v>
      </c>
      <c r="I441" s="1">
        <v>46230</v>
      </c>
      <c r="J441" s="1" t="s">
        <v>107</v>
      </c>
      <c r="K441" s="3">
        <v>12315093015973</v>
      </c>
    </row>
    <row r="442" spans="1:14">
      <c r="A442" s="1">
        <v>46227</v>
      </c>
      <c r="B442" t="s">
        <v>1982</v>
      </c>
      <c r="C442">
        <v>4.6580000000000004</v>
      </c>
      <c r="E442" s="1">
        <v>46132</v>
      </c>
      <c r="F442" s="1" t="s">
        <v>162</v>
      </c>
      <c r="G442" s="9">
        <v>7.05</v>
      </c>
      <c r="I442" s="1">
        <v>46229</v>
      </c>
      <c r="J442" s="1" t="s">
        <v>107</v>
      </c>
      <c r="K442" s="3">
        <v>12710714173165</v>
      </c>
    </row>
    <row r="443" spans="1:14">
      <c r="A443" s="1">
        <v>46227</v>
      </c>
      <c r="B443" t="s">
        <v>1983</v>
      </c>
      <c r="C443">
        <v>4.7240000000000002</v>
      </c>
      <c r="E443" s="1">
        <v>46132</v>
      </c>
      <c r="F443" s="1" t="s">
        <v>163</v>
      </c>
      <c r="G443" s="9">
        <v>7.3</v>
      </c>
      <c r="I443" s="1">
        <v>46227</v>
      </c>
      <c r="J443" s="1" t="s">
        <v>290</v>
      </c>
      <c r="K443" s="3">
        <v>8</v>
      </c>
    </row>
    <row r="444" spans="1:14">
      <c r="A444" s="1">
        <v>46226</v>
      </c>
      <c r="B444" t="s">
        <v>1974</v>
      </c>
      <c r="C444">
        <v>3.4670000000000001</v>
      </c>
      <c r="E444" s="1">
        <v>46129</v>
      </c>
      <c r="F444" s="1" t="s">
        <v>160</v>
      </c>
      <c r="G444" s="9">
        <v>4</v>
      </c>
      <c r="I444" s="1">
        <v>46227</v>
      </c>
      <c r="J444" s="1" t="s">
        <v>282</v>
      </c>
      <c r="K444" s="3">
        <v>1000</v>
      </c>
    </row>
    <row r="445" spans="1:14">
      <c r="A445" s="1">
        <v>46226</v>
      </c>
      <c r="B445" t="s">
        <v>1975</v>
      </c>
      <c r="C445">
        <v>3.5710000000000002</v>
      </c>
      <c r="E445" s="1">
        <v>46129</v>
      </c>
      <c r="F445" s="1" t="s">
        <v>161</v>
      </c>
      <c r="G445" s="9">
        <v>5</v>
      </c>
      <c r="I445" s="1">
        <v>46227</v>
      </c>
      <c r="J445" s="1" t="s">
        <v>283</v>
      </c>
      <c r="K445" s="3">
        <v>7</v>
      </c>
    </row>
    <row r="446" spans="1:14">
      <c r="A446" s="1">
        <v>46226</v>
      </c>
      <c r="B446" t="s">
        <v>1976</v>
      </c>
      <c r="C446">
        <v>3.625</v>
      </c>
      <c r="E446" s="1">
        <v>46129</v>
      </c>
      <c r="F446" s="1" t="s">
        <v>162</v>
      </c>
      <c r="G446" s="9">
        <v>6.5</v>
      </c>
      <c r="I446" s="1">
        <v>46227</v>
      </c>
      <c r="J446" s="1" t="s">
        <v>284</v>
      </c>
      <c r="K446" s="3">
        <v>2435</v>
      </c>
    </row>
    <row r="447" spans="1:14">
      <c r="A447" s="1">
        <v>46226</v>
      </c>
      <c r="B447" t="s">
        <v>1977</v>
      </c>
      <c r="C447">
        <v>3.9180000000000001</v>
      </c>
      <c r="E447" s="1">
        <v>46129</v>
      </c>
      <c r="F447" s="1" t="s">
        <v>163</v>
      </c>
      <c r="G447" s="9">
        <v>7</v>
      </c>
      <c r="I447" s="1">
        <v>46227</v>
      </c>
      <c r="J447" s="1" t="s">
        <v>285</v>
      </c>
      <c r="K447" s="3">
        <v>4.5</v>
      </c>
    </row>
    <row r="448" spans="1:14">
      <c r="A448" s="1">
        <v>46226</v>
      </c>
      <c r="B448" t="s">
        <v>1978</v>
      </c>
      <c r="C448">
        <v>4.2110000000000003</v>
      </c>
      <c r="E448" s="1">
        <v>46128</v>
      </c>
      <c r="F448" s="1" t="s">
        <v>160</v>
      </c>
      <c r="G448" s="9">
        <v>3.9</v>
      </c>
      <c r="I448" s="1">
        <v>46227</v>
      </c>
      <c r="J448" s="1" t="s">
        <v>286</v>
      </c>
      <c r="K448" s="3">
        <v>1643.16</v>
      </c>
    </row>
    <row r="449" spans="1:11">
      <c r="A449" s="1">
        <v>46226</v>
      </c>
      <c r="B449" t="s">
        <v>1979</v>
      </c>
      <c r="C449">
        <v>4.2690000000000001</v>
      </c>
      <c r="E449" s="1">
        <v>46128</v>
      </c>
      <c r="F449" s="1" t="s">
        <v>161</v>
      </c>
      <c r="G449" s="9">
        <v>4.7</v>
      </c>
      <c r="I449" s="1">
        <v>46227</v>
      </c>
      <c r="J449" s="1" t="s">
        <v>287</v>
      </c>
      <c r="K449" s="3">
        <v>157205.96</v>
      </c>
    </row>
    <row r="450" spans="1:11">
      <c r="A450" s="1">
        <v>46226</v>
      </c>
      <c r="B450" t="s">
        <v>1980</v>
      </c>
      <c r="C450">
        <v>4.4089999999999998</v>
      </c>
      <c r="E450" s="1">
        <v>46128</v>
      </c>
      <c r="F450" s="1" t="s">
        <v>162</v>
      </c>
      <c r="G450" s="9">
        <v>6.5</v>
      </c>
      <c r="I450" s="1">
        <v>46227</v>
      </c>
      <c r="J450" s="1" t="s">
        <v>288</v>
      </c>
      <c r="K450" s="3">
        <v>-36018.980000000003</v>
      </c>
    </row>
    <row r="451" spans="1:11">
      <c r="A451" s="1">
        <v>46226</v>
      </c>
      <c r="B451" t="s">
        <v>1981</v>
      </c>
      <c r="C451">
        <v>4.5780000000000003</v>
      </c>
      <c r="E451" s="1">
        <v>46128</v>
      </c>
      <c r="F451" s="1" t="s">
        <v>163</v>
      </c>
      <c r="G451" s="9">
        <v>7</v>
      </c>
      <c r="I451" s="1">
        <v>46227</v>
      </c>
      <c r="J451" s="1" t="s">
        <v>289</v>
      </c>
      <c r="K451" s="3">
        <v>8</v>
      </c>
    </row>
    <row r="452" spans="1:11">
      <c r="A452" s="1">
        <v>46226</v>
      </c>
      <c r="B452" t="s">
        <v>1982</v>
      </c>
      <c r="C452">
        <v>4.6580000000000004</v>
      </c>
      <c r="E452" s="1">
        <v>46127</v>
      </c>
      <c r="F452" s="1" t="s">
        <v>160</v>
      </c>
      <c r="G452" s="9">
        <v>3.9</v>
      </c>
      <c r="I452" s="1">
        <v>46226</v>
      </c>
      <c r="J452" s="1" t="s">
        <v>282</v>
      </c>
      <c r="K452" s="3">
        <v>1000</v>
      </c>
    </row>
    <row r="453" spans="1:11">
      <c r="A453" s="1">
        <v>46226</v>
      </c>
      <c r="B453" t="s">
        <v>1983</v>
      </c>
      <c r="C453">
        <v>4.7240000000000002</v>
      </c>
      <c r="E453" s="1">
        <v>46127</v>
      </c>
      <c r="F453" s="1" t="s">
        <v>161</v>
      </c>
      <c r="G453" s="9">
        <v>4.8</v>
      </c>
      <c r="I453" s="1">
        <v>46226</v>
      </c>
      <c r="J453" s="1" t="s">
        <v>283</v>
      </c>
      <c r="K453" s="3">
        <v>7</v>
      </c>
    </row>
    <row r="454" spans="1:11">
      <c r="A454" s="1">
        <v>46225</v>
      </c>
      <c r="B454" t="s">
        <v>1974</v>
      </c>
      <c r="C454">
        <v>3.4670000000000001</v>
      </c>
      <c r="E454" s="1">
        <v>46127</v>
      </c>
      <c r="F454" s="1" t="s">
        <v>162</v>
      </c>
      <c r="G454" s="9">
        <v>6.5</v>
      </c>
      <c r="I454" s="1">
        <v>46226</v>
      </c>
      <c r="J454" s="1" t="s">
        <v>284</v>
      </c>
      <c r="K454" s="3">
        <v>2993</v>
      </c>
    </row>
    <row r="455" spans="1:11">
      <c r="A455" s="1">
        <v>46225</v>
      </c>
      <c r="B455" t="s">
        <v>1975</v>
      </c>
      <c r="C455">
        <v>3.5710000000000002</v>
      </c>
      <c r="E455" s="1">
        <v>46127</v>
      </c>
      <c r="F455" s="1" t="s">
        <v>163</v>
      </c>
      <c r="G455" s="9">
        <v>7.1</v>
      </c>
      <c r="I455" s="1">
        <v>46226</v>
      </c>
      <c r="J455" s="1" t="s">
        <v>285</v>
      </c>
      <c r="K455" s="3">
        <v>4.5</v>
      </c>
    </row>
    <row r="456" spans="1:11">
      <c r="A456" s="1">
        <v>46225</v>
      </c>
      <c r="B456" t="s">
        <v>1976</v>
      </c>
      <c r="C456">
        <v>3.625</v>
      </c>
      <c r="E456" s="1">
        <v>46126</v>
      </c>
      <c r="F456" s="1" t="s">
        <v>160</v>
      </c>
      <c r="G456" s="9">
        <v>4.9000000000000004</v>
      </c>
      <c r="I456" s="1">
        <v>46226</v>
      </c>
      <c r="J456" s="1" t="s">
        <v>286</v>
      </c>
      <c r="K456" s="3">
        <v>6653</v>
      </c>
    </row>
    <row r="457" spans="1:11">
      <c r="A457" s="1">
        <v>46225</v>
      </c>
      <c r="B457" t="s">
        <v>1977</v>
      </c>
      <c r="C457">
        <v>3.919</v>
      </c>
      <c r="E457" s="1">
        <v>46126</v>
      </c>
      <c r="F457" s="1" t="s">
        <v>161</v>
      </c>
      <c r="G457" s="9">
        <v>5.85</v>
      </c>
      <c r="I457" s="1">
        <v>46226</v>
      </c>
      <c r="J457" s="1" t="s">
        <v>287</v>
      </c>
      <c r="K457" s="3">
        <v>156414.12</v>
      </c>
    </row>
    <row r="458" spans="1:11">
      <c r="A458" s="1">
        <v>46225</v>
      </c>
      <c r="B458" t="s">
        <v>1978</v>
      </c>
      <c r="C458">
        <v>4.2140000000000004</v>
      </c>
      <c r="E458" s="1">
        <v>46126</v>
      </c>
      <c r="F458" s="1" t="s">
        <v>162</v>
      </c>
      <c r="G458" s="9">
        <v>6.8</v>
      </c>
      <c r="I458" s="1">
        <v>46226</v>
      </c>
      <c r="J458" s="1" t="s">
        <v>288</v>
      </c>
      <c r="K458" s="3">
        <v>-32518.62</v>
      </c>
    </row>
    <row r="459" spans="1:11">
      <c r="A459" s="1">
        <v>46225</v>
      </c>
      <c r="B459" t="s">
        <v>1979</v>
      </c>
      <c r="C459">
        <v>4.2699999999999996</v>
      </c>
      <c r="E459" s="1">
        <v>46126</v>
      </c>
      <c r="F459" s="1" t="s">
        <v>163</v>
      </c>
      <c r="G459" s="9">
        <v>7.1</v>
      </c>
      <c r="I459" s="1">
        <v>46226</v>
      </c>
      <c r="J459" s="1" t="s">
        <v>289</v>
      </c>
      <c r="K459" s="3">
        <v>8</v>
      </c>
    </row>
    <row r="460" spans="1:11">
      <c r="A460" s="1">
        <v>46225</v>
      </c>
      <c r="B460" t="s">
        <v>1980</v>
      </c>
      <c r="C460">
        <v>4.407</v>
      </c>
      <c r="E460" s="1">
        <v>46125</v>
      </c>
      <c r="F460" s="1" t="s">
        <v>160</v>
      </c>
      <c r="G460" s="9">
        <v>6.1</v>
      </c>
      <c r="I460" s="1">
        <v>46226</v>
      </c>
      <c r="J460" s="1" t="s">
        <v>290</v>
      </c>
      <c r="K460" s="3">
        <v>8</v>
      </c>
    </row>
    <row r="461" spans="1:11">
      <c r="A461" s="1">
        <v>46225</v>
      </c>
      <c r="B461" t="s">
        <v>1981</v>
      </c>
      <c r="C461">
        <v>4.5780000000000003</v>
      </c>
      <c r="E461" s="1">
        <v>46125</v>
      </c>
      <c r="F461" s="1" t="s">
        <v>161</v>
      </c>
      <c r="G461" s="9">
        <v>6.5</v>
      </c>
      <c r="I461" s="1">
        <v>46226</v>
      </c>
      <c r="J461" s="1" t="s">
        <v>107</v>
      </c>
      <c r="K461" s="3">
        <v>12849253482171</v>
      </c>
    </row>
    <row r="462" spans="1:11">
      <c r="A462" s="1">
        <v>46225</v>
      </c>
      <c r="B462" t="s">
        <v>1982</v>
      </c>
      <c r="C462">
        <v>4.6580000000000004</v>
      </c>
      <c r="E462" s="1">
        <v>46125</v>
      </c>
      <c r="F462" s="1" t="s">
        <v>162</v>
      </c>
      <c r="G462" s="9">
        <v>6.7</v>
      </c>
      <c r="I462" s="1">
        <v>46225</v>
      </c>
      <c r="J462" s="1" t="s">
        <v>107</v>
      </c>
      <c r="K462" s="3">
        <v>13187773520107</v>
      </c>
    </row>
    <row r="463" spans="1:11">
      <c r="A463" s="1">
        <v>46225</v>
      </c>
      <c r="B463" t="s">
        <v>1983</v>
      </c>
      <c r="C463">
        <v>4.7240000000000002</v>
      </c>
      <c r="E463" s="1">
        <v>46125</v>
      </c>
      <c r="F463" s="1" t="s">
        <v>163</v>
      </c>
      <c r="G463" s="9">
        <v>7.1</v>
      </c>
      <c r="I463" s="1">
        <v>46225</v>
      </c>
      <c r="J463" s="1" t="s">
        <v>282</v>
      </c>
      <c r="K463" s="3">
        <v>1000</v>
      </c>
    </row>
    <row r="464" spans="1:11">
      <c r="A464" s="1">
        <v>46224</v>
      </c>
      <c r="B464" t="s">
        <v>1974</v>
      </c>
      <c r="C464">
        <v>3.45</v>
      </c>
      <c r="E464" s="1">
        <v>46122</v>
      </c>
      <c r="F464" s="1" t="s">
        <v>160</v>
      </c>
      <c r="G464" s="9">
        <v>6</v>
      </c>
      <c r="I464" s="1">
        <v>46225</v>
      </c>
      <c r="J464" s="1" t="s">
        <v>283</v>
      </c>
      <c r="K464" s="3">
        <v>7</v>
      </c>
    </row>
    <row r="465" spans="1:11">
      <c r="A465" s="1">
        <v>46224</v>
      </c>
      <c r="B465" t="s">
        <v>1975</v>
      </c>
      <c r="C465">
        <v>3.5379999999999998</v>
      </c>
      <c r="E465" s="1">
        <v>46122</v>
      </c>
      <c r="F465" s="1" t="s">
        <v>161</v>
      </c>
      <c r="G465" s="9">
        <v>6.5</v>
      </c>
      <c r="I465" s="1">
        <v>46225</v>
      </c>
      <c r="J465" s="1" t="s">
        <v>284</v>
      </c>
      <c r="K465" s="3">
        <v>4898</v>
      </c>
    </row>
    <row r="466" spans="1:11">
      <c r="A466" s="1">
        <v>46224</v>
      </c>
      <c r="B466" t="s">
        <v>1976</v>
      </c>
      <c r="C466">
        <v>3.5920000000000001</v>
      </c>
      <c r="E466" s="1">
        <v>46122</v>
      </c>
      <c r="F466" s="1" t="s">
        <v>162</v>
      </c>
      <c r="G466" s="9">
        <v>6.85</v>
      </c>
      <c r="I466" s="1">
        <v>46225</v>
      </c>
      <c r="J466" s="1" t="s">
        <v>285</v>
      </c>
      <c r="K466" s="3">
        <v>4.5</v>
      </c>
    </row>
    <row r="467" spans="1:11">
      <c r="A467" s="1">
        <v>46224</v>
      </c>
      <c r="B467" t="s">
        <v>1977</v>
      </c>
      <c r="C467">
        <v>3.9009999999999998</v>
      </c>
      <c r="E467" s="1">
        <v>46122</v>
      </c>
      <c r="F467" s="1" t="s">
        <v>163</v>
      </c>
      <c r="G467" s="9">
        <v>7.5</v>
      </c>
      <c r="I467" s="1">
        <v>46225</v>
      </c>
      <c r="J467" s="1" t="s">
        <v>286</v>
      </c>
      <c r="K467" s="3">
        <v>18000</v>
      </c>
    </row>
    <row r="468" spans="1:11">
      <c r="A468" s="1">
        <v>46224</v>
      </c>
      <c r="B468" t="s">
        <v>1978</v>
      </c>
      <c r="C468">
        <v>4.2110000000000003</v>
      </c>
      <c r="E468" s="1">
        <v>46121</v>
      </c>
      <c r="F468" s="1" t="s">
        <v>160</v>
      </c>
      <c r="G468" s="9">
        <v>5.8</v>
      </c>
      <c r="I468" s="1">
        <v>46225</v>
      </c>
      <c r="J468" s="1" t="s">
        <v>287</v>
      </c>
      <c r="K468" s="3">
        <v>160074.12</v>
      </c>
    </row>
    <row r="469" spans="1:11">
      <c r="A469" s="1">
        <v>46224</v>
      </c>
      <c r="B469" t="s">
        <v>1979</v>
      </c>
      <c r="C469">
        <v>4.2690000000000001</v>
      </c>
      <c r="E469" s="1">
        <v>46121</v>
      </c>
      <c r="F469" s="1" t="s">
        <v>161</v>
      </c>
      <c r="G469" s="9">
        <v>6.5</v>
      </c>
      <c r="I469" s="1">
        <v>46225</v>
      </c>
      <c r="J469" s="1" t="s">
        <v>288</v>
      </c>
      <c r="K469" s="3">
        <v>-36266.019999999997</v>
      </c>
    </row>
    <row r="470" spans="1:11">
      <c r="A470" s="1">
        <v>46224</v>
      </c>
      <c r="B470" t="s">
        <v>1980</v>
      </c>
      <c r="C470">
        <v>4.4080000000000004</v>
      </c>
      <c r="E470" s="1">
        <v>46121</v>
      </c>
      <c r="F470" s="1" t="s">
        <v>162</v>
      </c>
      <c r="G470" s="9">
        <v>6.3</v>
      </c>
      <c r="I470" s="1">
        <v>46225</v>
      </c>
      <c r="J470" s="1" t="s">
        <v>289</v>
      </c>
      <c r="K470" s="3">
        <v>6</v>
      </c>
    </row>
    <row r="471" spans="1:11">
      <c r="A471" s="1">
        <v>46224</v>
      </c>
      <c r="B471" t="s">
        <v>1981</v>
      </c>
      <c r="C471">
        <v>4.5780000000000003</v>
      </c>
      <c r="E471" s="1">
        <v>46121</v>
      </c>
      <c r="F471" s="1" t="s">
        <v>163</v>
      </c>
      <c r="G471" s="9">
        <v>7.35</v>
      </c>
      <c r="I471" s="1">
        <v>46225</v>
      </c>
      <c r="J471" s="1" t="s">
        <v>290</v>
      </c>
      <c r="K471" s="3">
        <v>6</v>
      </c>
    </row>
    <row r="472" spans="1:11">
      <c r="A472" s="1">
        <v>46224</v>
      </c>
      <c r="B472" t="s">
        <v>1982</v>
      </c>
      <c r="C472">
        <v>4.6580000000000004</v>
      </c>
      <c r="E472" s="1">
        <v>46120</v>
      </c>
      <c r="F472" s="1" t="s">
        <v>160</v>
      </c>
      <c r="G472" s="9">
        <v>4.7</v>
      </c>
      <c r="I472" s="1">
        <v>46224</v>
      </c>
      <c r="J472" s="1" t="s">
        <v>107</v>
      </c>
      <c r="K472" s="3">
        <v>13334117030035</v>
      </c>
    </row>
    <row r="473" spans="1:11">
      <c r="A473" s="1">
        <v>46224</v>
      </c>
      <c r="B473" t="s">
        <v>1983</v>
      </c>
      <c r="C473">
        <v>4.7240000000000002</v>
      </c>
      <c r="E473" s="1">
        <v>46120</v>
      </c>
      <c r="F473" s="1" t="s">
        <v>161</v>
      </c>
      <c r="G473" s="9">
        <v>5.9</v>
      </c>
      <c r="I473" s="1">
        <v>46224</v>
      </c>
      <c r="J473" s="1" t="s">
        <v>282</v>
      </c>
      <c r="K473" s="3">
        <v>1000</v>
      </c>
    </row>
    <row r="474" spans="1:11">
      <c r="A474" s="1">
        <v>46223</v>
      </c>
      <c r="B474" t="s">
        <v>1974</v>
      </c>
      <c r="C474">
        <v>3.4129999999999998</v>
      </c>
      <c r="E474" s="1">
        <v>46120</v>
      </c>
      <c r="F474" s="1" t="s">
        <v>162</v>
      </c>
      <c r="G474" s="9">
        <v>6.25</v>
      </c>
      <c r="I474" s="1">
        <v>46224</v>
      </c>
      <c r="J474" s="1" t="s">
        <v>283</v>
      </c>
      <c r="K474" s="3">
        <v>7</v>
      </c>
    </row>
    <row r="475" spans="1:11">
      <c r="A475" s="1">
        <v>46223</v>
      </c>
      <c r="B475" t="s">
        <v>1975</v>
      </c>
      <c r="C475">
        <v>3.508</v>
      </c>
      <c r="E475" s="1">
        <v>46120</v>
      </c>
      <c r="F475" s="1" t="s">
        <v>163</v>
      </c>
      <c r="G475" s="9">
        <v>7.3</v>
      </c>
      <c r="I475" s="1">
        <v>46224</v>
      </c>
      <c r="J475" s="1" t="s">
        <v>284</v>
      </c>
      <c r="K475" s="3">
        <v>188</v>
      </c>
    </row>
    <row r="476" spans="1:11">
      <c r="A476" s="1">
        <v>46223</v>
      </c>
      <c r="B476" t="s">
        <v>1976</v>
      </c>
      <c r="C476">
        <v>3.5790000000000002</v>
      </c>
      <c r="E476" s="1">
        <v>46119</v>
      </c>
      <c r="F476" s="1" t="s">
        <v>160</v>
      </c>
      <c r="G476" s="9">
        <v>5.5</v>
      </c>
      <c r="I476" s="1">
        <v>46224</v>
      </c>
      <c r="J476" s="1" t="s">
        <v>285</v>
      </c>
      <c r="K476" s="3">
        <v>4.5</v>
      </c>
    </row>
    <row r="477" spans="1:11">
      <c r="A477" s="1">
        <v>46223</v>
      </c>
      <c r="B477" t="s">
        <v>1977</v>
      </c>
      <c r="C477">
        <v>3.8940000000000001</v>
      </c>
      <c r="E477" s="1">
        <v>46119</v>
      </c>
      <c r="F477" s="1" t="s">
        <v>161</v>
      </c>
      <c r="G477" s="9">
        <v>6.3</v>
      </c>
      <c r="I477" s="1">
        <v>46224</v>
      </c>
      <c r="J477" s="1" t="s">
        <v>286</v>
      </c>
      <c r="K477" s="3">
        <v>9000</v>
      </c>
    </row>
    <row r="478" spans="1:11">
      <c r="A478" s="1">
        <v>46223</v>
      </c>
      <c r="B478" t="s">
        <v>1978</v>
      </c>
      <c r="C478">
        <v>4.2089999999999996</v>
      </c>
      <c r="E478" s="1">
        <v>46119</v>
      </c>
      <c r="F478" s="1" t="s">
        <v>162</v>
      </c>
      <c r="G478" s="9">
        <v>6.35</v>
      </c>
      <c r="I478" s="1">
        <v>46224</v>
      </c>
      <c r="J478" s="1" t="s">
        <v>287</v>
      </c>
      <c r="K478" s="3">
        <v>173176.12</v>
      </c>
    </row>
    <row r="479" spans="1:11">
      <c r="A479" s="1">
        <v>46223</v>
      </c>
      <c r="B479" t="s">
        <v>1979</v>
      </c>
      <c r="C479">
        <v>4.266</v>
      </c>
      <c r="E479" s="1">
        <v>46119</v>
      </c>
      <c r="F479" s="1" t="s">
        <v>163</v>
      </c>
      <c r="G479" s="9">
        <v>7.3</v>
      </c>
      <c r="I479" s="1">
        <v>46224</v>
      </c>
      <c r="J479" s="1" t="s">
        <v>288</v>
      </c>
      <c r="K479" s="3">
        <v>-50299.93</v>
      </c>
    </row>
    <row r="480" spans="1:11">
      <c r="A480" s="1">
        <v>46223</v>
      </c>
      <c r="B480" t="s">
        <v>1980</v>
      </c>
      <c r="C480">
        <v>4.4020000000000001</v>
      </c>
      <c r="E480" s="1">
        <v>46118</v>
      </c>
      <c r="F480" s="1" t="s">
        <v>160</v>
      </c>
      <c r="G480" s="9">
        <v>8.6</v>
      </c>
      <c r="I480" s="1">
        <v>46224</v>
      </c>
      <c r="J480" s="1" t="s">
        <v>289</v>
      </c>
      <c r="K480" s="3">
        <v>4</v>
      </c>
    </row>
    <row r="481" spans="1:11">
      <c r="A481" s="1">
        <v>46223</v>
      </c>
      <c r="B481" t="s">
        <v>1981</v>
      </c>
      <c r="C481">
        <v>4.5780000000000003</v>
      </c>
      <c r="E481" s="1">
        <v>46118</v>
      </c>
      <c r="F481" s="1" t="s">
        <v>161</v>
      </c>
      <c r="G481" s="9">
        <v>8.5</v>
      </c>
      <c r="I481" s="1">
        <v>46224</v>
      </c>
      <c r="J481" s="1" t="s">
        <v>290</v>
      </c>
      <c r="K481" s="3">
        <v>4</v>
      </c>
    </row>
    <row r="482" spans="1:11">
      <c r="A482" s="1">
        <v>46223</v>
      </c>
      <c r="B482" t="s">
        <v>1982</v>
      </c>
      <c r="C482">
        <v>4.6580000000000004</v>
      </c>
      <c r="E482" s="1">
        <v>46118</v>
      </c>
      <c r="F482" s="1" t="s">
        <v>162</v>
      </c>
      <c r="G482" s="9">
        <v>7.35</v>
      </c>
      <c r="I482" s="1">
        <v>46223</v>
      </c>
      <c r="J482" s="1" t="s">
        <v>107</v>
      </c>
      <c r="K482" s="3">
        <v>13383492076368</v>
      </c>
    </row>
    <row r="483" spans="1:11">
      <c r="A483" s="1">
        <v>46223</v>
      </c>
      <c r="B483" t="s">
        <v>1983</v>
      </c>
      <c r="C483">
        <v>4.7240000000000002</v>
      </c>
      <c r="E483" s="1">
        <v>46118</v>
      </c>
      <c r="F483" s="1" t="s">
        <v>163</v>
      </c>
      <c r="G483" s="9">
        <v>7.6</v>
      </c>
      <c r="I483" s="1">
        <v>46223</v>
      </c>
      <c r="J483" s="1" t="s">
        <v>282</v>
      </c>
      <c r="K483" s="3">
        <v>1000</v>
      </c>
    </row>
    <row r="484" spans="1:11">
      <c r="A484" s="1">
        <v>46220</v>
      </c>
      <c r="B484" t="s">
        <v>1974</v>
      </c>
      <c r="C484">
        <v>3.4129999999999998</v>
      </c>
      <c r="E484" s="1">
        <v>46115</v>
      </c>
      <c r="F484" s="1" t="s">
        <v>160</v>
      </c>
      <c r="G484" s="9">
        <v>5.5</v>
      </c>
      <c r="I484" s="1">
        <v>46223</v>
      </c>
      <c r="J484" s="1" t="s">
        <v>283</v>
      </c>
      <c r="K484" s="3">
        <v>7</v>
      </c>
    </row>
    <row r="485" spans="1:11">
      <c r="A485" s="1">
        <v>46220</v>
      </c>
      <c r="B485" t="s">
        <v>1975</v>
      </c>
      <c r="C485">
        <v>3.508</v>
      </c>
      <c r="E485" s="1">
        <v>46115</v>
      </c>
      <c r="F485" s="1" t="s">
        <v>161</v>
      </c>
      <c r="G485" s="9">
        <v>6</v>
      </c>
      <c r="I485" s="1">
        <v>46223</v>
      </c>
      <c r="J485" s="1" t="s">
        <v>284</v>
      </c>
      <c r="K485" s="3">
        <v>3188</v>
      </c>
    </row>
    <row r="486" spans="1:11">
      <c r="A486" s="1">
        <v>46220</v>
      </c>
      <c r="B486" t="s">
        <v>1976</v>
      </c>
      <c r="C486">
        <v>3.5790000000000002</v>
      </c>
      <c r="E486" s="1">
        <v>46115</v>
      </c>
      <c r="F486" s="1" t="s">
        <v>162</v>
      </c>
      <c r="G486" s="9">
        <v>6.9</v>
      </c>
      <c r="I486" s="1">
        <v>46223</v>
      </c>
      <c r="J486" s="1" t="s">
        <v>285</v>
      </c>
      <c r="K486" s="3">
        <v>4.5</v>
      </c>
    </row>
    <row r="487" spans="1:11">
      <c r="A487" s="1">
        <v>46220</v>
      </c>
      <c r="B487" t="s">
        <v>1977</v>
      </c>
      <c r="C487">
        <v>3.8929999999999998</v>
      </c>
      <c r="E487" s="1">
        <v>46115</v>
      </c>
      <c r="F487" s="1" t="s">
        <v>163</v>
      </c>
      <c r="G487" s="9">
        <v>7.8</v>
      </c>
      <c r="I487" s="1">
        <v>46223</v>
      </c>
      <c r="J487" s="1" t="s">
        <v>286</v>
      </c>
      <c r="K487" s="3">
        <v>5000</v>
      </c>
    </row>
    <row r="488" spans="1:11">
      <c r="A488" s="1">
        <v>46220</v>
      </c>
      <c r="B488" t="s">
        <v>1978</v>
      </c>
      <c r="C488">
        <v>4.2069999999999999</v>
      </c>
      <c r="E488" s="1">
        <v>46114</v>
      </c>
      <c r="F488" s="1" t="s">
        <v>160</v>
      </c>
      <c r="G488" s="9">
        <v>8.9</v>
      </c>
      <c r="I488" s="1">
        <v>46223</v>
      </c>
      <c r="J488" s="1" t="s">
        <v>287</v>
      </c>
      <c r="K488" s="3">
        <v>184746.12</v>
      </c>
    </row>
    <row r="489" spans="1:11">
      <c r="A489" s="1">
        <v>46220</v>
      </c>
      <c r="B489" t="s">
        <v>1979</v>
      </c>
      <c r="C489">
        <v>4.2670000000000003</v>
      </c>
      <c r="E489" s="1">
        <v>46114</v>
      </c>
      <c r="F489" s="1" t="s">
        <v>161</v>
      </c>
      <c r="G489" s="9">
        <v>8.4499999999999993</v>
      </c>
      <c r="I489" s="1">
        <v>46223</v>
      </c>
      <c r="J489" s="1" t="s">
        <v>288</v>
      </c>
      <c r="K489" s="3">
        <v>-51671.73</v>
      </c>
    </row>
    <row r="490" spans="1:11">
      <c r="A490" s="1">
        <v>46220</v>
      </c>
      <c r="B490" t="s">
        <v>1980</v>
      </c>
      <c r="C490">
        <v>4.4050000000000002</v>
      </c>
      <c r="E490" s="1">
        <v>46114</v>
      </c>
      <c r="F490" s="1" t="s">
        <v>162</v>
      </c>
      <c r="G490" s="9">
        <v>7</v>
      </c>
      <c r="I490" s="1">
        <v>46223</v>
      </c>
      <c r="J490" s="1" t="s">
        <v>289</v>
      </c>
      <c r="K490" s="3">
        <v>2</v>
      </c>
    </row>
    <row r="491" spans="1:11">
      <c r="A491" s="1">
        <v>46220</v>
      </c>
      <c r="B491" t="s">
        <v>1981</v>
      </c>
      <c r="C491">
        <v>4.5810000000000004</v>
      </c>
      <c r="E491" s="1">
        <v>46114</v>
      </c>
      <c r="F491" s="1" t="s">
        <v>163</v>
      </c>
      <c r="G491" s="9">
        <v>7.65</v>
      </c>
      <c r="I491" s="1">
        <v>46223</v>
      </c>
      <c r="J491" s="1" t="s">
        <v>290</v>
      </c>
      <c r="K491" s="3">
        <v>2</v>
      </c>
    </row>
    <row r="492" spans="1:11">
      <c r="A492" s="1">
        <v>46220</v>
      </c>
      <c r="B492" t="s">
        <v>1982</v>
      </c>
      <c r="C492">
        <v>4.6580000000000004</v>
      </c>
      <c r="E492" s="1">
        <v>46113</v>
      </c>
      <c r="F492" s="1" t="s">
        <v>160</v>
      </c>
      <c r="G492" s="9">
        <v>9</v>
      </c>
      <c r="I492" s="1">
        <v>46222</v>
      </c>
      <c r="J492" s="1" t="s">
        <v>107</v>
      </c>
      <c r="K492" s="3">
        <v>13955731905500</v>
      </c>
    </row>
    <row r="493" spans="1:11">
      <c r="A493" s="1">
        <v>46220</v>
      </c>
      <c r="B493" t="s">
        <v>1983</v>
      </c>
      <c r="C493">
        <v>4.7240000000000002</v>
      </c>
      <c r="E493" s="1">
        <v>46113</v>
      </c>
      <c r="F493" s="1" t="s">
        <v>161</v>
      </c>
      <c r="G493" s="9">
        <v>8.5</v>
      </c>
      <c r="I493" s="1">
        <v>46221</v>
      </c>
      <c r="J493" s="1" t="s">
        <v>282</v>
      </c>
      <c r="K493" s="3">
        <v>1000</v>
      </c>
    </row>
    <row r="494" spans="1:11">
      <c r="A494" s="1">
        <v>46219</v>
      </c>
      <c r="B494" t="s">
        <v>1974</v>
      </c>
      <c r="C494">
        <v>3.3959999999999999</v>
      </c>
      <c r="E494" s="1">
        <v>46113</v>
      </c>
      <c r="F494" s="1" t="s">
        <v>162</v>
      </c>
      <c r="G494" s="9">
        <v>8.5</v>
      </c>
      <c r="I494" s="1">
        <v>46221</v>
      </c>
      <c r="J494" s="1" t="s">
        <v>283</v>
      </c>
      <c r="K494" s="3">
        <v>7</v>
      </c>
    </row>
    <row r="495" spans="1:11">
      <c r="A495" s="1">
        <v>46219</v>
      </c>
      <c r="B495" t="s">
        <v>1975</v>
      </c>
      <c r="C495">
        <v>3.5</v>
      </c>
      <c r="E495" s="1">
        <v>46113</v>
      </c>
      <c r="F495" s="1" t="s">
        <v>163</v>
      </c>
      <c r="G495" s="9">
        <v>7.95</v>
      </c>
      <c r="I495" s="1">
        <v>46221</v>
      </c>
      <c r="J495" s="1" t="s">
        <v>284</v>
      </c>
      <c r="K495" s="3">
        <v>430</v>
      </c>
    </row>
    <row r="496" spans="1:11">
      <c r="A496" s="1">
        <v>46219</v>
      </c>
      <c r="B496" t="s">
        <v>1976</v>
      </c>
      <c r="C496">
        <v>3.5710000000000002</v>
      </c>
      <c r="E496" s="1">
        <v>46112</v>
      </c>
      <c r="F496" s="1" t="s">
        <v>160</v>
      </c>
      <c r="G496" s="9">
        <v>9.5</v>
      </c>
      <c r="I496" s="1">
        <v>46221</v>
      </c>
      <c r="J496" s="1" t="s">
        <v>285</v>
      </c>
      <c r="K496" s="3">
        <v>4.5</v>
      </c>
    </row>
    <row r="497" spans="1:11">
      <c r="A497" s="1">
        <v>46219</v>
      </c>
      <c r="B497" t="s">
        <v>1977</v>
      </c>
      <c r="C497">
        <v>3.8929999999999998</v>
      </c>
      <c r="E497" s="1">
        <v>46112</v>
      </c>
      <c r="F497" s="1" t="s">
        <v>161</v>
      </c>
      <c r="G497" s="9">
        <v>8.8000000000000007</v>
      </c>
      <c r="I497" s="1">
        <v>46221</v>
      </c>
      <c r="J497" s="1" t="s">
        <v>286</v>
      </c>
      <c r="K497" s="3">
        <v>0</v>
      </c>
    </row>
    <row r="498" spans="1:11">
      <c r="A498" s="1">
        <v>46219</v>
      </c>
      <c r="B498" t="s">
        <v>1978</v>
      </c>
      <c r="C498">
        <v>4.2149999999999999</v>
      </c>
      <c r="E498" s="1">
        <v>46112</v>
      </c>
      <c r="F498" s="1" t="s">
        <v>162</v>
      </c>
      <c r="G498" s="9">
        <v>8.4499999999999993</v>
      </c>
      <c r="I498" s="1">
        <v>46221</v>
      </c>
      <c r="J498" s="1" t="s">
        <v>287</v>
      </c>
      <c r="K498" s="3">
        <v>186988.12</v>
      </c>
    </row>
    <row r="499" spans="1:11">
      <c r="A499" s="1">
        <v>46219</v>
      </c>
      <c r="B499" t="s">
        <v>1979</v>
      </c>
      <c r="C499">
        <v>4.2679999999999998</v>
      </c>
      <c r="E499" s="1">
        <v>46112</v>
      </c>
      <c r="F499" s="1" t="s">
        <v>163</v>
      </c>
      <c r="G499" s="9">
        <v>8.25</v>
      </c>
      <c r="I499" s="1">
        <v>46220</v>
      </c>
      <c r="J499" s="1" t="s">
        <v>282</v>
      </c>
      <c r="K499" s="3">
        <v>1000</v>
      </c>
    </row>
    <row r="500" spans="1:11">
      <c r="A500" s="1">
        <v>46219</v>
      </c>
      <c r="B500" t="s">
        <v>1980</v>
      </c>
      <c r="C500">
        <v>4.4020000000000001</v>
      </c>
      <c r="E500" s="1">
        <v>46111</v>
      </c>
      <c r="F500" s="1" t="s">
        <v>160</v>
      </c>
      <c r="G500" s="9">
        <v>12</v>
      </c>
      <c r="I500" s="1">
        <v>46220</v>
      </c>
      <c r="J500" s="1" t="s">
        <v>283</v>
      </c>
      <c r="K500" s="3">
        <v>7</v>
      </c>
    </row>
    <row r="501" spans="1:11">
      <c r="A501" s="1">
        <v>46219</v>
      </c>
      <c r="B501" t="s">
        <v>1981</v>
      </c>
      <c r="C501">
        <v>4.5780000000000003</v>
      </c>
      <c r="E501" s="1">
        <v>46111</v>
      </c>
      <c r="F501" s="1" t="s">
        <v>161</v>
      </c>
      <c r="G501" s="9">
        <v>11.6</v>
      </c>
      <c r="I501" s="1">
        <v>46220</v>
      </c>
      <c r="J501" s="1" t="s">
        <v>284</v>
      </c>
      <c r="K501" s="3">
        <v>966</v>
      </c>
    </row>
    <row r="502" spans="1:11">
      <c r="A502" s="1">
        <v>46219</v>
      </c>
      <c r="B502" t="s">
        <v>1982</v>
      </c>
      <c r="C502">
        <v>4.6449999999999996</v>
      </c>
      <c r="E502" s="1">
        <v>46111</v>
      </c>
      <c r="F502" s="1" t="s">
        <v>162</v>
      </c>
      <c r="G502" s="9">
        <v>7.45</v>
      </c>
      <c r="I502" s="1">
        <v>46220</v>
      </c>
      <c r="J502" s="1" t="s">
        <v>285</v>
      </c>
      <c r="K502" s="3">
        <v>4.5</v>
      </c>
    </row>
    <row r="503" spans="1:11">
      <c r="A503" s="1">
        <v>46219</v>
      </c>
      <c r="B503" t="s">
        <v>1983</v>
      </c>
      <c r="C503">
        <v>4.7119999999999997</v>
      </c>
      <c r="E503" s="1">
        <v>46111</v>
      </c>
      <c r="F503" s="1" t="s">
        <v>163</v>
      </c>
      <c r="G503" s="9">
        <v>7.75</v>
      </c>
      <c r="I503" s="1">
        <v>46220</v>
      </c>
      <c r="J503" s="1" t="s">
        <v>286</v>
      </c>
      <c r="K503" s="3">
        <v>2304.4299999999998</v>
      </c>
    </row>
    <row r="504" spans="1:11">
      <c r="A504" s="1">
        <v>46218</v>
      </c>
      <c r="B504" t="s">
        <v>1974</v>
      </c>
      <c r="C504">
        <v>3.3959999999999999</v>
      </c>
      <c r="E504" s="1">
        <v>46108</v>
      </c>
      <c r="F504" s="1" t="s">
        <v>160</v>
      </c>
      <c r="G504" s="9">
        <v>4.5</v>
      </c>
      <c r="I504" s="1">
        <v>46220</v>
      </c>
      <c r="J504" s="1" t="s">
        <v>287</v>
      </c>
      <c r="K504" s="3">
        <v>186558.12</v>
      </c>
    </row>
    <row r="505" spans="1:11">
      <c r="A505" s="1">
        <v>46218</v>
      </c>
      <c r="B505" t="s">
        <v>1975</v>
      </c>
      <c r="C505">
        <v>3.5</v>
      </c>
      <c r="E505" s="1">
        <v>46108</v>
      </c>
      <c r="F505" s="1" t="s">
        <v>161</v>
      </c>
      <c r="G505" s="9">
        <v>7</v>
      </c>
      <c r="I505" s="1">
        <v>46220</v>
      </c>
      <c r="J505" s="1" t="s">
        <v>288</v>
      </c>
      <c r="K505" s="3">
        <v>-40296.160000000003</v>
      </c>
    </row>
    <row r="506" spans="1:11">
      <c r="A506" s="1">
        <v>46218</v>
      </c>
      <c r="B506" t="s">
        <v>1976</v>
      </c>
      <c r="C506">
        <v>3.5710000000000002</v>
      </c>
      <c r="E506" s="1">
        <v>46108</v>
      </c>
      <c r="F506" s="1" t="s">
        <v>162</v>
      </c>
      <c r="G506" s="9">
        <v>7.45</v>
      </c>
      <c r="I506" s="1">
        <v>46220</v>
      </c>
      <c r="J506" s="1" t="s">
        <v>289</v>
      </c>
      <c r="K506" s="3">
        <v>3</v>
      </c>
    </row>
    <row r="507" spans="1:11">
      <c r="A507" s="1">
        <v>46218</v>
      </c>
      <c r="B507" t="s">
        <v>1977</v>
      </c>
      <c r="C507">
        <v>3.89</v>
      </c>
      <c r="E507" s="1">
        <v>46108</v>
      </c>
      <c r="F507" s="1" t="s">
        <v>163</v>
      </c>
      <c r="G507" s="9">
        <v>7.45</v>
      </c>
      <c r="I507" s="1">
        <v>46220</v>
      </c>
      <c r="J507" s="1" t="s">
        <v>290</v>
      </c>
      <c r="K507" s="3">
        <v>3</v>
      </c>
    </row>
    <row r="508" spans="1:11">
      <c r="A508" s="1">
        <v>46218</v>
      </c>
      <c r="B508" t="s">
        <v>1978</v>
      </c>
      <c r="C508">
        <v>4.2089999999999996</v>
      </c>
      <c r="E508" s="1">
        <v>46107</v>
      </c>
      <c r="F508" s="1" t="s">
        <v>160</v>
      </c>
      <c r="G508" s="9">
        <v>4.5</v>
      </c>
      <c r="I508" s="1">
        <v>46219</v>
      </c>
      <c r="J508" s="1" t="s">
        <v>107</v>
      </c>
      <c r="K508" s="3">
        <v>13251069349149</v>
      </c>
    </row>
    <row r="509" spans="1:11">
      <c r="A509" s="1">
        <v>46218</v>
      </c>
      <c r="B509" t="s">
        <v>1979</v>
      </c>
      <c r="C509">
        <v>4.2640000000000002</v>
      </c>
      <c r="E509" s="1">
        <v>46107</v>
      </c>
      <c r="F509" s="1" t="s">
        <v>161</v>
      </c>
      <c r="G509" s="9">
        <v>6.78</v>
      </c>
      <c r="I509" s="1">
        <v>46219</v>
      </c>
      <c r="J509" s="1" t="s">
        <v>282</v>
      </c>
      <c r="K509" s="3">
        <v>1000</v>
      </c>
    </row>
    <row r="510" spans="1:11">
      <c r="A510" s="1">
        <v>46218</v>
      </c>
      <c r="B510" t="s">
        <v>1980</v>
      </c>
      <c r="C510">
        <v>4.4000000000000004</v>
      </c>
      <c r="E510" s="1">
        <v>46107</v>
      </c>
      <c r="F510" s="1" t="s">
        <v>162</v>
      </c>
      <c r="G510" s="9">
        <v>9</v>
      </c>
      <c r="I510" s="1">
        <v>46219</v>
      </c>
      <c r="J510" s="1" t="s">
        <v>283</v>
      </c>
      <c r="K510" s="3">
        <v>7</v>
      </c>
    </row>
    <row r="511" spans="1:11">
      <c r="A511" s="1">
        <v>46218</v>
      </c>
      <c r="B511" t="s">
        <v>1981</v>
      </c>
      <c r="C511">
        <v>4.5739999999999998</v>
      </c>
      <c r="E511" s="1">
        <v>46107</v>
      </c>
      <c r="F511" s="1" t="s">
        <v>163</v>
      </c>
      <c r="G511" s="9">
        <v>7.45</v>
      </c>
      <c r="I511" s="1">
        <v>46219</v>
      </c>
      <c r="J511" s="1" t="s">
        <v>284</v>
      </c>
      <c r="K511" s="3">
        <v>1785</v>
      </c>
    </row>
    <row r="512" spans="1:11">
      <c r="A512" s="1">
        <v>46218</v>
      </c>
      <c r="B512" t="s">
        <v>1982</v>
      </c>
      <c r="C512">
        <v>4.6449999999999996</v>
      </c>
      <c r="E512" s="1">
        <v>46106</v>
      </c>
      <c r="F512" s="1" t="s">
        <v>160</v>
      </c>
      <c r="G512" s="9">
        <v>6.8</v>
      </c>
      <c r="I512" s="1">
        <v>46219</v>
      </c>
      <c r="J512" s="1" t="s">
        <v>285</v>
      </c>
      <c r="K512" s="3">
        <v>4.5</v>
      </c>
    </row>
    <row r="513" spans="1:11">
      <c r="A513" s="1">
        <v>46218</v>
      </c>
      <c r="B513" t="s">
        <v>1983</v>
      </c>
      <c r="C513">
        <v>4.7119999999999997</v>
      </c>
      <c r="E513" s="1">
        <v>46106</v>
      </c>
      <c r="F513" s="1" t="s">
        <v>161</v>
      </c>
      <c r="G513" s="9">
        <v>7.8</v>
      </c>
      <c r="I513" s="1">
        <v>46219</v>
      </c>
      <c r="J513" s="1" t="s">
        <v>286</v>
      </c>
      <c r="K513" s="3">
        <v>3934</v>
      </c>
    </row>
    <row r="514" spans="1:11">
      <c r="A514" s="1">
        <v>46217</v>
      </c>
      <c r="B514" t="s">
        <v>1974</v>
      </c>
      <c r="C514">
        <v>3.3959999999999999</v>
      </c>
      <c r="E514" s="1">
        <v>46106</v>
      </c>
      <c r="F514" s="1" t="s">
        <v>162</v>
      </c>
      <c r="G514" s="9">
        <v>9</v>
      </c>
      <c r="I514" s="1">
        <v>46219</v>
      </c>
      <c r="J514" s="1" t="s">
        <v>287</v>
      </c>
      <c r="K514" s="3">
        <v>187896.55</v>
      </c>
    </row>
    <row r="515" spans="1:11">
      <c r="A515" s="1">
        <v>46217</v>
      </c>
      <c r="B515" t="s">
        <v>1975</v>
      </c>
      <c r="C515">
        <v>3.5</v>
      </c>
      <c r="E515" s="1">
        <v>46106</v>
      </c>
      <c r="F515" s="1" t="s">
        <v>163</v>
      </c>
      <c r="G515" s="9">
        <v>7.7</v>
      </c>
      <c r="I515" s="1">
        <v>46219</v>
      </c>
      <c r="J515" s="1" t="s">
        <v>288</v>
      </c>
      <c r="K515" s="3">
        <v>-40957.43</v>
      </c>
    </row>
    <row r="516" spans="1:11">
      <c r="A516" s="1">
        <v>46217</v>
      </c>
      <c r="B516" t="s">
        <v>1976</v>
      </c>
      <c r="C516">
        <v>3.5710000000000002</v>
      </c>
      <c r="E516" s="1">
        <v>46105</v>
      </c>
      <c r="F516" s="1" t="s">
        <v>160</v>
      </c>
      <c r="G516" s="9">
        <v>8</v>
      </c>
      <c r="I516" s="1">
        <v>46219</v>
      </c>
      <c r="J516" s="1" t="s">
        <v>289</v>
      </c>
      <c r="K516" s="3">
        <v>7</v>
      </c>
    </row>
    <row r="517" spans="1:11">
      <c r="A517" s="1">
        <v>46217</v>
      </c>
      <c r="B517" t="s">
        <v>1977</v>
      </c>
      <c r="C517">
        <v>3.8879999999999999</v>
      </c>
      <c r="E517" s="1">
        <v>46105</v>
      </c>
      <c r="F517" s="1" t="s">
        <v>161</v>
      </c>
      <c r="G517" s="9">
        <v>8.5</v>
      </c>
      <c r="I517" s="1">
        <v>46219</v>
      </c>
      <c r="J517" s="1" t="s">
        <v>290</v>
      </c>
      <c r="K517" s="3">
        <v>7</v>
      </c>
    </row>
    <row r="518" spans="1:11">
      <c r="A518" s="1">
        <v>46217</v>
      </c>
      <c r="B518" t="s">
        <v>1978</v>
      </c>
      <c r="C518">
        <v>4.2060000000000004</v>
      </c>
      <c r="E518" s="1">
        <v>46105</v>
      </c>
      <c r="F518" s="1" t="s">
        <v>162</v>
      </c>
      <c r="G518" s="9">
        <v>9</v>
      </c>
      <c r="I518" s="1">
        <v>46218</v>
      </c>
      <c r="J518" s="1" t="s">
        <v>282</v>
      </c>
      <c r="K518" s="3">
        <v>1000</v>
      </c>
    </row>
    <row r="519" spans="1:11">
      <c r="A519" s="1">
        <v>46217</v>
      </c>
      <c r="B519" t="s">
        <v>1979</v>
      </c>
      <c r="C519">
        <v>4.266</v>
      </c>
      <c r="E519" s="1">
        <v>46105</v>
      </c>
      <c r="F519" s="1" t="s">
        <v>163</v>
      </c>
      <c r="G519" s="9">
        <v>7.8</v>
      </c>
      <c r="I519" s="1">
        <v>46218</v>
      </c>
      <c r="J519" s="1" t="s">
        <v>283</v>
      </c>
      <c r="K519" s="3">
        <v>7</v>
      </c>
    </row>
    <row r="520" spans="1:11">
      <c r="A520" s="1">
        <v>46217</v>
      </c>
      <c r="B520" t="s">
        <v>1980</v>
      </c>
      <c r="C520">
        <v>4.3979999999999997</v>
      </c>
      <c r="E520" s="1">
        <v>46104</v>
      </c>
      <c r="F520" s="1" t="s">
        <v>160</v>
      </c>
      <c r="G520" s="9">
        <v>5.4</v>
      </c>
      <c r="I520" s="1">
        <v>46218</v>
      </c>
      <c r="J520" s="1" t="s">
        <v>284</v>
      </c>
      <c r="K520" s="3">
        <v>2000</v>
      </c>
    </row>
    <row r="521" spans="1:11">
      <c r="A521" s="1">
        <v>46217</v>
      </c>
      <c r="B521" t="s">
        <v>1981</v>
      </c>
      <c r="C521">
        <v>4.5739999999999998</v>
      </c>
      <c r="E521" s="1">
        <v>46104</v>
      </c>
      <c r="F521" s="1" t="s">
        <v>161</v>
      </c>
      <c r="G521" s="9">
        <v>6.15</v>
      </c>
      <c r="I521" s="1">
        <v>46218</v>
      </c>
      <c r="J521" s="1" t="s">
        <v>285</v>
      </c>
      <c r="K521" s="3">
        <v>4.5</v>
      </c>
    </row>
    <row r="522" spans="1:11">
      <c r="A522" s="1">
        <v>46217</v>
      </c>
      <c r="B522" t="s">
        <v>1982</v>
      </c>
      <c r="C522">
        <v>4.641</v>
      </c>
      <c r="E522" s="1">
        <v>46104</v>
      </c>
      <c r="F522" s="1" t="s">
        <v>162</v>
      </c>
      <c r="G522" s="9">
        <v>7.5</v>
      </c>
      <c r="I522" s="1">
        <v>46218</v>
      </c>
      <c r="J522" s="1" t="s">
        <v>286</v>
      </c>
      <c r="K522" s="3">
        <v>4562</v>
      </c>
    </row>
    <row r="523" spans="1:11">
      <c r="A523" s="1">
        <v>46217</v>
      </c>
      <c r="B523" t="s">
        <v>1983</v>
      </c>
      <c r="C523">
        <v>4.7119999999999997</v>
      </c>
      <c r="E523" s="1">
        <v>46104</v>
      </c>
      <c r="F523" s="1" t="s">
        <v>163</v>
      </c>
      <c r="G523" s="9">
        <v>7.8</v>
      </c>
      <c r="I523" s="1">
        <v>46218</v>
      </c>
      <c r="J523" s="1" t="s">
        <v>287</v>
      </c>
      <c r="K523" s="3">
        <v>190045.55</v>
      </c>
    </row>
    <row r="524" spans="1:11">
      <c r="A524" s="1">
        <v>46216</v>
      </c>
      <c r="B524" t="s">
        <v>1974</v>
      </c>
      <c r="C524">
        <v>3.3959999999999999</v>
      </c>
      <c r="E524" s="1">
        <v>46101</v>
      </c>
      <c r="F524" s="1" t="s">
        <v>160</v>
      </c>
      <c r="G524" s="9">
        <v>4.2</v>
      </c>
      <c r="I524" s="1">
        <v>46218</v>
      </c>
      <c r="J524" s="1" t="s">
        <v>288</v>
      </c>
      <c r="K524" s="3">
        <v>-38238.43</v>
      </c>
    </row>
    <row r="525" spans="1:11">
      <c r="A525" s="1">
        <v>46216</v>
      </c>
      <c r="B525" t="s">
        <v>1975</v>
      </c>
      <c r="C525">
        <v>3.5</v>
      </c>
      <c r="E525" s="1">
        <v>46101</v>
      </c>
      <c r="F525" s="1" t="s">
        <v>161</v>
      </c>
      <c r="G525" s="9">
        <v>5.7</v>
      </c>
      <c r="I525" s="1">
        <v>46218</v>
      </c>
      <c r="J525" s="1" t="s">
        <v>289</v>
      </c>
      <c r="K525" s="3">
        <v>5</v>
      </c>
    </row>
    <row r="526" spans="1:11">
      <c r="A526" s="1">
        <v>46216</v>
      </c>
      <c r="B526" t="s">
        <v>1976</v>
      </c>
      <c r="C526">
        <v>3.5710000000000002</v>
      </c>
      <c r="E526" s="1">
        <v>46101</v>
      </c>
      <c r="F526" s="1" t="s">
        <v>162</v>
      </c>
      <c r="G526" s="9">
        <v>7.1</v>
      </c>
      <c r="I526" s="1">
        <v>46218</v>
      </c>
      <c r="J526" s="1" t="s">
        <v>290</v>
      </c>
      <c r="K526" s="3">
        <v>5</v>
      </c>
    </row>
    <row r="527" spans="1:11">
      <c r="A527" s="1">
        <v>46216</v>
      </c>
      <c r="B527" t="s">
        <v>1977</v>
      </c>
      <c r="C527">
        <v>3.8879999999999999</v>
      </c>
      <c r="E527" s="1">
        <v>46101</v>
      </c>
      <c r="F527" s="1" t="s">
        <v>163</v>
      </c>
      <c r="G527" s="9">
        <v>7.4</v>
      </c>
      <c r="I527" s="1">
        <v>46218</v>
      </c>
      <c r="J527" s="1" t="s">
        <v>107</v>
      </c>
      <c r="K527" s="3">
        <v>13057091660548</v>
      </c>
    </row>
    <row r="528" spans="1:11">
      <c r="A528" s="1">
        <v>46216</v>
      </c>
      <c r="B528" t="s">
        <v>1978</v>
      </c>
      <c r="C528">
        <v>4.2060000000000004</v>
      </c>
      <c r="E528" s="1">
        <v>46100</v>
      </c>
      <c r="F528" s="1" t="s">
        <v>160</v>
      </c>
      <c r="G528" s="9">
        <v>4.5999999999999996</v>
      </c>
      <c r="I528" s="1">
        <v>46217</v>
      </c>
      <c r="J528" s="1" t="s">
        <v>282</v>
      </c>
      <c r="K528" s="3">
        <v>1000</v>
      </c>
    </row>
    <row r="529" spans="1:11">
      <c r="A529" s="1">
        <v>46216</v>
      </c>
      <c r="B529" t="s">
        <v>1979</v>
      </c>
      <c r="C529">
        <v>4.266</v>
      </c>
      <c r="E529" s="1">
        <v>46100</v>
      </c>
      <c r="F529" s="1" t="s">
        <v>161</v>
      </c>
      <c r="G529" s="9">
        <v>5.7</v>
      </c>
      <c r="I529" s="1">
        <v>46217</v>
      </c>
      <c r="J529" s="1" t="s">
        <v>283</v>
      </c>
      <c r="K529" s="3">
        <v>7</v>
      </c>
    </row>
    <row r="530" spans="1:11">
      <c r="A530" s="1">
        <v>46216</v>
      </c>
      <c r="B530" t="s">
        <v>1980</v>
      </c>
      <c r="C530">
        <v>4.3979999999999997</v>
      </c>
      <c r="E530" s="1">
        <v>46100</v>
      </c>
      <c r="F530" s="1" t="s">
        <v>162</v>
      </c>
      <c r="G530" s="9">
        <v>7.1</v>
      </c>
      <c r="I530" s="1">
        <v>46217</v>
      </c>
      <c r="J530" s="1" t="s">
        <v>284</v>
      </c>
      <c r="K530" s="3">
        <v>1339.77</v>
      </c>
    </row>
    <row r="531" spans="1:11">
      <c r="A531" s="1">
        <v>46216</v>
      </c>
      <c r="B531" t="s">
        <v>1981</v>
      </c>
      <c r="C531">
        <v>4.5739999999999998</v>
      </c>
      <c r="E531" s="1">
        <v>46100</v>
      </c>
      <c r="F531" s="1" t="s">
        <v>163</v>
      </c>
      <c r="G531" s="9">
        <v>7.45</v>
      </c>
      <c r="I531" s="1">
        <v>46217</v>
      </c>
      <c r="J531" s="1" t="s">
        <v>285</v>
      </c>
      <c r="K531" s="3">
        <v>4.5</v>
      </c>
    </row>
    <row r="532" spans="1:11">
      <c r="A532" s="1">
        <v>46216</v>
      </c>
      <c r="B532" t="s">
        <v>1982</v>
      </c>
      <c r="C532">
        <v>4.641</v>
      </c>
      <c r="E532" s="1">
        <v>46099</v>
      </c>
      <c r="F532" s="1" t="s">
        <v>160</v>
      </c>
      <c r="G532" s="9">
        <v>4.5999999999999996</v>
      </c>
      <c r="I532" s="1">
        <v>46217</v>
      </c>
      <c r="J532" s="1" t="s">
        <v>286</v>
      </c>
      <c r="K532" s="3">
        <v>4821</v>
      </c>
    </row>
    <row r="533" spans="1:11">
      <c r="A533" s="1">
        <v>46216</v>
      </c>
      <c r="B533" t="s">
        <v>1983</v>
      </c>
      <c r="C533">
        <v>4.7119999999999997</v>
      </c>
      <c r="E533" s="1">
        <v>46099</v>
      </c>
      <c r="F533" s="1" t="s">
        <v>161</v>
      </c>
      <c r="G533" s="9">
        <v>5.5</v>
      </c>
      <c r="I533" s="1">
        <v>46217</v>
      </c>
      <c r="J533" s="1" t="s">
        <v>287</v>
      </c>
      <c r="K533" s="3">
        <v>192607.55</v>
      </c>
    </row>
    <row r="534" spans="1:11">
      <c r="A534" s="1">
        <v>46213</v>
      </c>
      <c r="B534" t="s">
        <v>1974</v>
      </c>
      <c r="C534">
        <v>3.3959999999999999</v>
      </c>
      <c r="E534" s="1">
        <v>46099</v>
      </c>
      <c r="F534" s="1" t="s">
        <v>162</v>
      </c>
      <c r="G534" s="9">
        <v>7</v>
      </c>
      <c r="I534" s="1">
        <v>46217</v>
      </c>
      <c r="J534" s="1" t="s">
        <v>288</v>
      </c>
      <c r="K534" s="3">
        <v>-24800.43</v>
      </c>
    </row>
    <row r="535" spans="1:11">
      <c r="A535" s="1">
        <v>46213</v>
      </c>
      <c r="B535" t="s">
        <v>1975</v>
      </c>
      <c r="C535">
        <v>3.5</v>
      </c>
      <c r="E535" s="1">
        <v>46099</v>
      </c>
      <c r="F535" s="1" t="s">
        <v>163</v>
      </c>
      <c r="G535" s="9">
        <v>7.7</v>
      </c>
      <c r="I535" s="1">
        <v>46217</v>
      </c>
      <c r="J535" s="1" t="s">
        <v>289</v>
      </c>
      <c r="K535" s="3">
        <v>6</v>
      </c>
    </row>
    <row r="536" spans="1:11">
      <c r="A536" s="1">
        <v>46213</v>
      </c>
      <c r="B536" t="s">
        <v>1976</v>
      </c>
      <c r="C536">
        <v>3.5710000000000002</v>
      </c>
      <c r="E536" s="1">
        <v>46098</v>
      </c>
      <c r="F536" s="1" t="s">
        <v>160</v>
      </c>
      <c r="G536" s="9">
        <v>4.5</v>
      </c>
      <c r="I536" s="1">
        <v>46217</v>
      </c>
      <c r="J536" s="1" t="s">
        <v>290</v>
      </c>
      <c r="K536" s="3">
        <v>6</v>
      </c>
    </row>
    <row r="537" spans="1:11">
      <c r="A537" s="1">
        <v>46213</v>
      </c>
      <c r="B537" t="s">
        <v>1977</v>
      </c>
      <c r="C537">
        <v>3.8879999999999999</v>
      </c>
      <c r="E537" s="1">
        <v>46098</v>
      </c>
      <c r="F537" s="1" t="s">
        <v>161</v>
      </c>
      <c r="G537" s="9">
        <v>5.3</v>
      </c>
      <c r="I537" s="1">
        <v>46217</v>
      </c>
      <c r="J537" s="1" t="s">
        <v>107</v>
      </c>
      <c r="K537" s="3">
        <v>13278034878349</v>
      </c>
    </row>
    <row r="538" spans="1:11">
      <c r="A538" s="1">
        <v>46213</v>
      </c>
      <c r="B538" t="s">
        <v>1978</v>
      </c>
      <c r="C538">
        <v>4.2060000000000004</v>
      </c>
      <c r="E538" s="1">
        <v>46098</v>
      </c>
      <c r="F538" s="1" t="s">
        <v>162</v>
      </c>
      <c r="G538" s="9">
        <v>5.8</v>
      </c>
      <c r="I538" s="1">
        <v>46216</v>
      </c>
      <c r="J538" s="1" t="s">
        <v>107</v>
      </c>
      <c r="K538" s="3">
        <v>13059143452788</v>
      </c>
    </row>
    <row r="539" spans="1:11">
      <c r="A539" s="1">
        <v>46213</v>
      </c>
      <c r="B539" t="s">
        <v>1979</v>
      </c>
      <c r="C539">
        <v>4.2640000000000002</v>
      </c>
      <c r="E539" s="1">
        <v>46098</v>
      </c>
      <c r="F539" s="1" t="s">
        <v>163</v>
      </c>
      <c r="G539" s="9">
        <v>7.58</v>
      </c>
      <c r="I539" s="1">
        <v>46216</v>
      </c>
      <c r="J539" s="1" t="s">
        <v>288</v>
      </c>
      <c r="K539" s="3">
        <v>-20621.43</v>
      </c>
    </row>
    <row r="540" spans="1:11">
      <c r="A540" s="1">
        <v>46213</v>
      </c>
      <c r="B540" t="s">
        <v>1980</v>
      </c>
      <c r="C540">
        <v>4.3979999999999997</v>
      </c>
      <c r="E540" s="1">
        <v>46097</v>
      </c>
      <c r="F540" s="1" t="s">
        <v>160</v>
      </c>
      <c r="G540" s="9">
        <v>4</v>
      </c>
      <c r="I540" s="1">
        <v>46216</v>
      </c>
      <c r="J540" s="1" t="s">
        <v>289</v>
      </c>
      <c r="K540" s="3">
        <v>5</v>
      </c>
    </row>
    <row r="541" spans="1:11">
      <c r="A541" s="1">
        <v>46213</v>
      </c>
      <c r="B541" t="s">
        <v>1981</v>
      </c>
      <c r="C541">
        <v>4.5739999999999998</v>
      </c>
      <c r="E541" s="1">
        <v>46097</v>
      </c>
      <c r="F541" s="1" t="s">
        <v>161</v>
      </c>
      <c r="G541" s="9">
        <v>4.8</v>
      </c>
      <c r="I541" s="1">
        <v>46216</v>
      </c>
      <c r="J541" s="1" t="s">
        <v>290</v>
      </c>
      <c r="K541" s="3">
        <v>5</v>
      </c>
    </row>
    <row r="542" spans="1:11">
      <c r="A542" s="1">
        <v>46213</v>
      </c>
      <c r="B542" t="s">
        <v>1982</v>
      </c>
      <c r="C542">
        <v>4.641</v>
      </c>
      <c r="E542" s="1">
        <v>46097</v>
      </c>
      <c r="F542" s="1" t="s">
        <v>162</v>
      </c>
      <c r="G542" s="9">
        <v>5.4</v>
      </c>
      <c r="I542" s="1">
        <v>46216</v>
      </c>
      <c r="J542" s="1" t="s">
        <v>282</v>
      </c>
      <c r="K542" s="3">
        <v>1000</v>
      </c>
    </row>
    <row r="543" spans="1:11">
      <c r="A543" s="1">
        <v>46213</v>
      </c>
      <c r="B543" t="s">
        <v>1983</v>
      </c>
      <c r="C543">
        <v>4.7119999999999997</v>
      </c>
      <c r="E543" s="1">
        <v>46097</v>
      </c>
      <c r="F543" s="1" t="s">
        <v>163</v>
      </c>
      <c r="G543" s="9">
        <v>7.3</v>
      </c>
      <c r="I543" s="1">
        <v>46216</v>
      </c>
      <c r="J543" s="1" t="s">
        <v>283</v>
      </c>
      <c r="K543" s="3">
        <v>7</v>
      </c>
    </row>
    <row r="544" spans="1:11">
      <c r="A544" s="1">
        <v>46212</v>
      </c>
      <c r="B544" t="s">
        <v>1974</v>
      </c>
      <c r="C544">
        <v>3.3959999999999999</v>
      </c>
      <c r="E544" s="1">
        <v>46094</v>
      </c>
      <c r="F544" s="1" t="s">
        <v>160</v>
      </c>
      <c r="G544" s="9">
        <v>4</v>
      </c>
      <c r="I544" s="1">
        <v>46216</v>
      </c>
      <c r="J544" s="1" t="s">
        <v>284</v>
      </c>
      <c r="K544" s="3">
        <v>1999.43</v>
      </c>
    </row>
    <row r="545" spans="1:11">
      <c r="A545" s="1">
        <v>46212</v>
      </c>
      <c r="B545" t="s">
        <v>1975</v>
      </c>
      <c r="C545">
        <v>3.5</v>
      </c>
      <c r="E545" s="1">
        <v>46094</v>
      </c>
      <c r="F545" s="1" t="s">
        <v>161</v>
      </c>
      <c r="G545" s="9">
        <v>4.8</v>
      </c>
      <c r="I545" s="1">
        <v>46216</v>
      </c>
      <c r="J545" s="1" t="s">
        <v>285</v>
      </c>
      <c r="K545" s="3">
        <v>4.5</v>
      </c>
    </row>
    <row r="546" spans="1:11">
      <c r="A546" s="1">
        <v>46212</v>
      </c>
      <c r="B546" t="s">
        <v>1976</v>
      </c>
      <c r="C546">
        <v>3.5710000000000002</v>
      </c>
      <c r="E546" s="1">
        <v>46094</v>
      </c>
      <c r="F546" s="1" t="s">
        <v>162</v>
      </c>
      <c r="G546" s="9">
        <v>5.5</v>
      </c>
      <c r="I546" s="1">
        <v>46216</v>
      </c>
      <c r="J546" s="1" t="s">
        <v>286</v>
      </c>
      <c r="K546" s="3">
        <v>13729</v>
      </c>
    </row>
    <row r="547" spans="1:11">
      <c r="A547" s="1">
        <v>46212</v>
      </c>
      <c r="B547" t="s">
        <v>1977</v>
      </c>
      <c r="C547">
        <v>3.8879999999999999</v>
      </c>
      <c r="E547" s="1">
        <v>46094</v>
      </c>
      <c r="F547" s="1" t="s">
        <v>163</v>
      </c>
      <c r="G547" s="9">
        <v>7.3</v>
      </c>
      <c r="I547" s="1">
        <v>46216</v>
      </c>
      <c r="J547" s="1" t="s">
        <v>287</v>
      </c>
      <c r="K547" s="3">
        <v>196088.78</v>
      </c>
    </row>
    <row r="548" spans="1:11">
      <c r="A548" s="1">
        <v>46212</v>
      </c>
      <c r="B548" t="s">
        <v>1978</v>
      </c>
      <c r="C548">
        <v>4.2060000000000004</v>
      </c>
      <c r="E548" s="1">
        <v>46093</v>
      </c>
      <c r="F548" s="1" t="s">
        <v>160</v>
      </c>
      <c r="G548" s="9">
        <v>4.2</v>
      </c>
      <c r="I548" s="1">
        <v>46215</v>
      </c>
      <c r="J548" s="1" t="s">
        <v>107</v>
      </c>
      <c r="K548" s="3">
        <v>12819202273490</v>
      </c>
    </row>
    <row r="549" spans="1:11">
      <c r="A549" s="1">
        <v>46212</v>
      </c>
      <c r="B549" t="s">
        <v>1979</v>
      </c>
      <c r="C549">
        <v>4.2640000000000002</v>
      </c>
      <c r="E549" s="1">
        <v>46093</v>
      </c>
      <c r="F549" s="1" t="s">
        <v>161</v>
      </c>
      <c r="G549" s="9">
        <v>5.0999999999999996</v>
      </c>
      <c r="I549" s="1">
        <v>46213</v>
      </c>
      <c r="J549" s="1" t="s">
        <v>282</v>
      </c>
      <c r="K549" s="3">
        <v>1000</v>
      </c>
    </row>
    <row r="550" spans="1:11">
      <c r="A550" s="1">
        <v>46212</v>
      </c>
      <c r="B550" t="s">
        <v>1980</v>
      </c>
      <c r="C550">
        <v>4.3970000000000002</v>
      </c>
      <c r="E550" s="1">
        <v>46093</v>
      </c>
      <c r="F550" s="1" t="s">
        <v>162</v>
      </c>
      <c r="G550" s="9">
        <v>5.5</v>
      </c>
      <c r="I550" s="1">
        <v>46213</v>
      </c>
      <c r="J550" s="1" t="s">
        <v>283</v>
      </c>
      <c r="K550" s="3">
        <v>7</v>
      </c>
    </row>
    <row r="551" spans="1:11">
      <c r="A551" s="1">
        <v>46212</v>
      </c>
      <c r="B551" t="s">
        <v>1981</v>
      </c>
      <c r="C551">
        <v>4.5659999999999998</v>
      </c>
      <c r="E551" s="1">
        <v>46093</v>
      </c>
      <c r="F551" s="1" t="s">
        <v>163</v>
      </c>
      <c r="G551" s="9">
        <v>7.15</v>
      </c>
      <c r="I551" s="1">
        <v>46213</v>
      </c>
      <c r="J551" s="1" t="s">
        <v>284</v>
      </c>
      <c r="K551" s="3">
        <v>724.13</v>
      </c>
    </row>
    <row r="552" spans="1:11">
      <c r="A552" s="1">
        <v>46212</v>
      </c>
      <c r="B552" t="s">
        <v>1982</v>
      </c>
      <c r="C552">
        <v>4.6159999999999997</v>
      </c>
      <c r="E552" s="1">
        <v>46092</v>
      </c>
      <c r="F552" s="1" t="s">
        <v>160</v>
      </c>
      <c r="G552" s="9">
        <v>4.5</v>
      </c>
      <c r="I552" s="1">
        <v>46213</v>
      </c>
      <c r="J552" s="1" t="s">
        <v>285</v>
      </c>
      <c r="K552" s="3">
        <v>4.5</v>
      </c>
    </row>
    <row r="553" spans="1:11">
      <c r="A553" s="1">
        <v>46212</v>
      </c>
      <c r="B553" t="s">
        <v>1983</v>
      </c>
      <c r="C553">
        <v>4.6950000000000003</v>
      </c>
      <c r="E553" s="1">
        <v>46092</v>
      </c>
      <c r="F553" s="1" t="s">
        <v>161</v>
      </c>
      <c r="G553" s="9">
        <v>5.5</v>
      </c>
      <c r="I553" s="1">
        <v>46213</v>
      </c>
      <c r="J553" s="1" t="s">
        <v>286</v>
      </c>
      <c r="K553" s="3">
        <v>4000</v>
      </c>
    </row>
    <row r="554" spans="1:11">
      <c r="A554" s="1">
        <v>46211</v>
      </c>
      <c r="B554" t="s">
        <v>1974</v>
      </c>
      <c r="C554">
        <v>3.3959999999999999</v>
      </c>
      <c r="E554" s="1">
        <v>46092</v>
      </c>
      <c r="F554" s="1" t="s">
        <v>162</v>
      </c>
      <c r="G554" s="9">
        <v>6</v>
      </c>
      <c r="I554" s="1">
        <v>46213</v>
      </c>
      <c r="J554" s="1" t="s">
        <v>287</v>
      </c>
      <c r="K554" s="3">
        <v>207818.35</v>
      </c>
    </row>
    <row r="555" spans="1:11">
      <c r="A555" s="1">
        <v>46211</v>
      </c>
      <c r="B555" t="s">
        <v>1975</v>
      </c>
      <c r="C555">
        <v>3.5</v>
      </c>
      <c r="E555" s="1">
        <v>46092</v>
      </c>
      <c r="F555" s="1" t="s">
        <v>163</v>
      </c>
      <c r="G555" s="9">
        <v>7.35</v>
      </c>
      <c r="I555" s="1">
        <v>46213</v>
      </c>
      <c r="J555" s="1" t="s">
        <v>288</v>
      </c>
      <c r="K555" s="3">
        <v>-29350.43</v>
      </c>
    </row>
    <row r="556" spans="1:11">
      <c r="A556" s="1">
        <v>46211</v>
      </c>
      <c r="B556" t="s">
        <v>1976</v>
      </c>
      <c r="C556">
        <v>3.5710000000000002</v>
      </c>
      <c r="E556" s="1">
        <v>46091</v>
      </c>
      <c r="F556" s="1" t="s">
        <v>160</v>
      </c>
      <c r="G556" s="9">
        <v>5.8</v>
      </c>
      <c r="I556" s="1">
        <v>46213</v>
      </c>
      <c r="J556" s="1" t="s">
        <v>289</v>
      </c>
      <c r="K556" s="3">
        <v>5</v>
      </c>
    </row>
    <row r="557" spans="1:11">
      <c r="A557" s="1">
        <v>46211</v>
      </c>
      <c r="B557" t="s">
        <v>1977</v>
      </c>
      <c r="C557">
        <v>3.8849999999999998</v>
      </c>
      <c r="E557" s="1">
        <v>46091</v>
      </c>
      <c r="F557" s="1" t="s">
        <v>161</v>
      </c>
      <c r="G557" s="9">
        <v>6.2</v>
      </c>
      <c r="I557" s="1">
        <v>46213</v>
      </c>
      <c r="J557" s="1" t="s">
        <v>290</v>
      </c>
      <c r="K557" s="3">
        <v>5</v>
      </c>
    </row>
    <row r="558" spans="1:11">
      <c r="A558" s="1">
        <v>46211</v>
      </c>
      <c r="B558" t="s">
        <v>1978</v>
      </c>
      <c r="C558">
        <v>4.1989999999999998</v>
      </c>
      <c r="E558" s="1">
        <v>46091</v>
      </c>
      <c r="F558" s="1" t="s">
        <v>162</v>
      </c>
      <c r="G558" s="9">
        <v>6.8</v>
      </c>
      <c r="I558" s="1">
        <v>46212</v>
      </c>
      <c r="J558" s="1" t="s">
        <v>282</v>
      </c>
      <c r="K558" s="3">
        <v>1000</v>
      </c>
    </row>
    <row r="559" spans="1:11">
      <c r="A559" s="1">
        <v>46211</v>
      </c>
      <c r="B559" t="s">
        <v>1979</v>
      </c>
      <c r="C559">
        <v>4.2590000000000003</v>
      </c>
      <c r="E559" s="1">
        <v>46091</v>
      </c>
      <c r="F559" s="1" t="s">
        <v>163</v>
      </c>
      <c r="G559" s="9">
        <v>7.3</v>
      </c>
      <c r="I559" s="1">
        <v>46212</v>
      </c>
      <c r="J559" s="1" t="s">
        <v>283</v>
      </c>
      <c r="K559" s="3">
        <v>7</v>
      </c>
    </row>
    <row r="560" spans="1:11">
      <c r="A560" s="1">
        <v>46211</v>
      </c>
      <c r="B560" t="s">
        <v>1980</v>
      </c>
      <c r="C560">
        <v>4.399</v>
      </c>
      <c r="E560" s="1">
        <v>46090</v>
      </c>
      <c r="F560" s="1" t="s">
        <v>160</v>
      </c>
      <c r="G560" s="9">
        <v>6</v>
      </c>
      <c r="I560" s="1">
        <v>46212</v>
      </c>
      <c r="J560" s="1" t="s">
        <v>284</v>
      </c>
      <c r="K560" s="3">
        <v>479</v>
      </c>
    </row>
    <row r="561" spans="1:11">
      <c r="A561" s="1">
        <v>46211</v>
      </c>
      <c r="B561" t="s">
        <v>1981</v>
      </c>
      <c r="C561">
        <v>4.5739999999999998</v>
      </c>
      <c r="E561" s="1">
        <v>46090</v>
      </c>
      <c r="F561" s="1" t="s">
        <v>161</v>
      </c>
      <c r="G561" s="9">
        <v>6.5</v>
      </c>
      <c r="I561" s="1">
        <v>46212</v>
      </c>
      <c r="J561" s="1" t="s">
        <v>285</v>
      </c>
      <c r="K561" s="3">
        <v>4.5</v>
      </c>
    </row>
    <row r="562" spans="1:11">
      <c r="A562" s="1">
        <v>46211</v>
      </c>
      <c r="B562" t="s">
        <v>1982</v>
      </c>
      <c r="C562">
        <v>4.641</v>
      </c>
      <c r="E562" s="1">
        <v>46090</v>
      </c>
      <c r="F562" s="1" t="s">
        <v>162</v>
      </c>
      <c r="G562" s="9">
        <v>6.15</v>
      </c>
      <c r="I562" s="1">
        <v>46212</v>
      </c>
      <c r="J562" s="1" t="s">
        <v>107</v>
      </c>
      <c r="K562" s="3">
        <v>12819202273490</v>
      </c>
    </row>
    <row r="563" spans="1:11">
      <c r="A563" s="1">
        <v>46211</v>
      </c>
      <c r="B563" t="s">
        <v>1983</v>
      </c>
      <c r="C563">
        <v>4.7119999999999997</v>
      </c>
      <c r="E563" s="1">
        <v>46090</v>
      </c>
      <c r="F563" s="1" t="s">
        <v>163</v>
      </c>
      <c r="G563" s="9">
        <v>7.3</v>
      </c>
      <c r="I563" s="1">
        <v>46212</v>
      </c>
      <c r="J563" s="1" t="s">
        <v>286</v>
      </c>
      <c r="K563" s="3">
        <v>7000</v>
      </c>
    </row>
    <row r="564" spans="1:11">
      <c r="A564" s="1">
        <v>46210</v>
      </c>
      <c r="B564" t="s">
        <v>1974</v>
      </c>
      <c r="C564">
        <v>3.3959999999999999</v>
      </c>
      <c r="E564" s="1">
        <v>46087</v>
      </c>
      <c r="F564" s="1" t="s">
        <v>160</v>
      </c>
      <c r="G564" s="9">
        <v>4.5999999999999996</v>
      </c>
      <c r="I564" s="1">
        <v>46212</v>
      </c>
      <c r="J564" s="1" t="s">
        <v>287</v>
      </c>
      <c r="K564" s="3">
        <v>211094.22</v>
      </c>
    </row>
    <row r="565" spans="1:11">
      <c r="A565" s="1">
        <v>46210</v>
      </c>
      <c r="B565" t="s">
        <v>1975</v>
      </c>
      <c r="C565">
        <v>3.5</v>
      </c>
      <c r="E565" s="1">
        <v>46087</v>
      </c>
      <c r="F565" s="1" t="s">
        <v>161</v>
      </c>
      <c r="G565" s="9">
        <v>5.2</v>
      </c>
      <c r="I565" s="1">
        <v>46212</v>
      </c>
      <c r="J565" s="1" t="s">
        <v>288</v>
      </c>
      <c r="K565" s="3">
        <v>-31046</v>
      </c>
    </row>
    <row r="566" spans="1:11">
      <c r="A566" s="1">
        <v>46210</v>
      </c>
      <c r="B566" t="s">
        <v>1976</v>
      </c>
      <c r="C566">
        <v>3.5710000000000002</v>
      </c>
      <c r="E566" s="1">
        <v>46087</v>
      </c>
      <c r="F566" s="1" t="s">
        <v>162</v>
      </c>
      <c r="G566" s="9">
        <v>5.75</v>
      </c>
      <c r="I566" s="1">
        <v>46212</v>
      </c>
      <c r="J566" s="1" t="s">
        <v>289</v>
      </c>
      <c r="K566" s="3">
        <v>3</v>
      </c>
    </row>
    <row r="567" spans="1:11">
      <c r="A567" s="1">
        <v>46210</v>
      </c>
      <c r="B567" t="s">
        <v>1977</v>
      </c>
      <c r="C567">
        <v>3.8839999999999999</v>
      </c>
      <c r="E567" s="1">
        <v>46087</v>
      </c>
      <c r="F567" s="1" t="s">
        <v>163</v>
      </c>
      <c r="G567" s="9">
        <v>6.95</v>
      </c>
      <c r="I567" s="1">
        <v>46212</v>
      </c>
      <c r="J567" s="1" t="s">
        <v>290</v>
      </c>
      <c r="K567" s="3">
        <v>3</v>
      </c>
    </row>
    <row r="568" spans="1:11">
      <c r="A568" s="1">
        <v>46210</v>
      </c>
      <c r="B568" t="s">
        <v>1978</v>
      </c>
      <c r="C568">
        <v>4.1970000000000001</v>
      </c>
      <c r="E568" s="1">
        <v>46086</v>
      </c>
      <c r="F568" s="1" t="s">
        <v>160</v>
      </c>
      <c r="G568" s="9">
        <v>5.8</v>
      </c>
      <c r="I568" s="1">
        <v>46211</v>
      </c>
      <c r="J568" s="1" t="s">
        <v>107</v>
      </c>
      <c r="K568" s="3">
        <v>12819202273490</v>
      </c>
    </row>
    <row r="569" spans="1:11">
      <c r="A569" s="1">
        <v>46210</v>
      </c>
      <c r="B569" t="s">
        <v>1979</v>
      </c>
      <c r="C569">
        <v>4.258</v>
      </c>
      <c r="E569" s="1">
        <v>46086</v>
      </c>
      <c r="F569" s="1" t="s">
        <v>161</v>
      </c>
      <c r="G569" s="9">
        <v>6</v>
      </c>
      <c r="I569" s="1">
        <v>46211</v>
      </c>
      <c r="J569" s="1" t="s">
        <v>288</v>
      </c>
      <c r="K569" s="3">
        <v>-34112</v>
      </c>
    </row>
    <row r="570" spans="1:11">
      <c r="A570" s="1">
        <v>46210</v>
      </c>
      <c r="B570" t="s">
        <v>1980</v>
      </c>
      <c r="C570">
        <v>4.399</v>
      </c>
      <c r="E570" s="1">
        <v>46086</v>
      </c>
      <c r="F570" s="1" t="s">
        <v>162</v>
      </c>
      <c r="G570" s="9">
        <v>7.65</v>
      </c>
      <c r="I570" s="1">
        <v>46211</v>
      </c>
      <c r="J570" s="1" t="s">
        <v>289</v>
      </c>
      <c r="K570" s="3">
        <v>13</v>
      </c>
    </row>
    <row r="571" spans="1:11">
      <c r="A571" s="1">
        <v>46210</v>
      </c>
      <c r="B571" t="s">
        <v>1981</v>
      </c>
      <c r="C571">
        <v>4.5739999999999998</v>
      </c>
      <c r="E571" s="1">
        <v>46086</v>
      </c>
      <c r="F571" s="1" t="s">
        <v>163</v>
      </c>
      <c r="G571" s="9">
        <v>7.5</v>
      </c>
      <c r="I571" s="1">
        <v>46211</v>
      </c>
      <c r="J571" s="1" t="s">
        <v>290</v>
      </c>
      <c r="K571" s="3">
        <v>13</v>
      </c>
    </row>
    <row r="572" spans="1:11">
      <c r="A572" s="1">
        <v>46210</v>
      </c>
      <c r="B572" t="s">
        <v>1982</v>
      </c>
      <c r="C572">
        <v>4.641</v>
      </c>
      <c r="E572" s="1">
        <v>46085</v>
      </c>
      <c r="F572" s="1" t="s">
        <v>160</v>
      </c>
      <c r="G572" s="9">
        <v>11</v>
      </c>
      <c r="I572" s="1">
        <v>46211</v>
      </c>
      <c r="J572" s="1" t="s">
        <v>282</v>
      </c>
      <c r="K572" s="3">
        <v>1000</v>
      </c>
    </row>
    <row r="573" spans="1:11">
      <c r="A573" s="1">
        <v>46210</v>
      </c>
      <c r="B573" t="s">
        <v>1983</v>
      </c>
      <c r="C573">
        <v>4.7119999999999997</v>
      </c>
      <c r="E573" s="1">
        <v>46085</v>
      </c>
      <c r="F573" s="1" t="s">
        <v>161</v>
      </c>
      <c r="G573" s="9">
        <v>9</v>
      </c>
      <c r="I573" s="1">
        <v>46211</v>
      </c>
      <c r="J573" s="1" t="s">
        <v>283</v>
      </c>
      <c r="K573" s="3">
        <v>7</v>
      </c>
    </row>
    <row r="574" spans="1:11">
      <c r="A574" s="1">
        <v>46209</v>
      </c>
      <c r="B574" t="s">
        <v>1974</v>
      </c>
      <c r="C574">
        <v>3.3959999999999999</v>
      </c>
      <c r="E574" s="1">
        <v>46085</v>
      </c>
      <c r="F574" s="1" t="s">
        <v>162</v>
      </c>
      <c r="G574" s="9">
        <v>9.5</v>
      </c>
      <c r="I574" s="1">
        <v>46211</v>
      </c>
      <c r="J574" s="1" t="s">
        <v>284</v>
      </c>
      <c r="K574" s="3">
        <v>3562</v>
      </c>
    </row>
    <row r="575" spans="1:11">
      <c r="A575" s="1">
        <v>46209</v>
      </c>
      <c r="B575" t="s">
        <v>1975</v>
      </c>
      <c r="C575">
        <v>3.5</v>
      </c>
      <c r="E575" s="1">
        <v>46085</v>
      </c>
      <c r="F575" s="1" t="s">
        <v>163</v>
      </c>
      <c r="G575" s="9">
        <v>7.98</v>
      </c>
      <c r="I575" s="1">
        <v>46211</v>
      </c>
      <c r="J575" s="1" t="s">
        <v>285</v>
      </c>
      <c r="K575" s="3">
        <v>4.5</v>
      </c>
    </row>
    <row r="576" spans="1:11">
      <c r="A576" s="1">
        <v>46209</v>
      </c>
      <c r="B576" t="s">
        <v>1976</v>
      </c>
      <c r="C576">
        <v>3.5710000000000002</v>
      </c>
      <c r="E576" s="1">
        <v>46084</v>
      </c>
      <c r="F576" s="1" t="s">
        <v>160</v>
      </c>
      <c r="G576" s="9">
        <v>10</v>
      </c>
      <c r="I576" s="1">
        <v>46211</v>
      </c>
      <c r="J576" s="1" t="s">
        <v>286</v>
      </c>
      <c r="K576" s="3">
        <v>5000</v>
      </c>
    </row>
    <row r="577" spans="1:11">
      <c r="A577" s="1">
        <v>46209</v>
      </c>
      <c r="B577" t="s">
        <v>1977</v>
      </c>
      <c r="C577">
        <v>3.8839999999999999</v>
      </c>
      <c r="E577" s="1">
        <v>46084</v>
      </c>
      <c r="F577" s="1" t="s">
        <v>161</v>
      </c>
      <c r="G577" s="9">
        <v>9</v>
      </c>
      <c r="I577" s="1">
        <v>46211</v>
      </c>
      <c r="J577" s="1" t="s">
        <v>287</v>
      </c>
      <c r="K577" s="3">
        <v>217615.22</v>
      </c>
    </row>
    <row r="578" spans="1:11">
      <c r="A578" s="1">
        <v>46209</v>
      </c>
      <c r="B578" t="s">
        <v>1978</v>
      </c>
      <c r="C578">
        <v>4.1970000000000001</v>
      </c>
      <c r="E578" s="1">
        <v>46084</v>
      </c>
      <c r="F578" s="1" t="s">
        <v>162</v>
      </c>
      <c r="G578" s="9">
        <v>8.6</v>
      </c>
      <c r="I578" s="1">
        <v>46210</v>
      </c>
      <c r="J578" s="1" t="s">
        <v>282</v>
      </c>
      <c r="K578" s="3">
        <v>1000</v>
      </c>
    </row>
    <row r="579" spans="1:11">
      <c r="A579" s="1">
        <v>46209</v>
      </c>
      <c r="B579" t="s">
        <v>1979</v>
      </c>
      <c r="C579">
        <v>4.258</v>
      </c>
      <c r="E579" s="1">
        <v>46084</v>
      </c>
      <c r="F579" s="1" t="s">
        <v>163</v>
      </c>
      <c r="G579" s="9">
        <v>8</v>
      </c>
      <c r="I579" s="1">
        <v>46210</v>
      </c>
      <c r="J579" s="1" t="s">
        <v>283</v>
      </c>
      <c r="K579" s="3">
        <v>7</v>
      </c>
    </row>
    <row r="580" spans="1:11">
      <c r="A580" s="1">
        <v>46209</v>
      </c>
      <c r="B580" t="s">
        <v>1980</v>
      </c>
      <c r="C580">
        <v>4.3970000000000002</v>
      </c>
      <c r="E580" s="1">
        <v>46083</v>
      </c>
      <c r="F580" s="1" t="s">
        <v>160</v>
      </c>
      <c r="G580" s="9">
        <v>11.1</v>
      </c>
      <c r="I580" s="1">
        <v>46210</v>
      </c>
      <c r="J580" s="1" t="s">
        <v>284</v>
      </c>
      <c r="K580" s="3">
        <v>5000</v>
      </c>
    </row>
    <row r="581" spans="1:11">
      <c r="A581" s="1">
        <v>46209</v>
      </c>
      <c r="B581" t="s">
        <v>1981</v>
      </c>
      <c r="C581">
        <v>4.5720000000000001</v>
      </c>
      <c r="E581" s="1">
        <v>46083</v>
      </c>
      <c r="F581" s="1" t="s">
        <v>161</v>
      </c>
      <c r="G581" s="9">
        <v>12</v>
      </c>
      <c r="I581" s="1">
        <v>46210</v>
      </c>
      <c r="J581" s="1" t="s">
        <v>285</v>
      </c>
      <c r="K581" s="3">
        <v>4.5</v>
      </c>
    </row>
    <row r="582" spans="1:11">
      <c r="A582" s="1">
        <v>46209</v>
      </c>
      <c r="B582" t="s">
        <v>1982</v>
      </c>
      <c r="C582">
        <v>4.641</v>
      </c>
      <c r="E582" s="1">
        <v>46083</v>
      </c>
      <c r="F582" s="1" t="s">
        <v>162</v>
      </c>
      <c r="G582" s="9">
        <v>9.25</v>
      </c>
      <c r="I582" s="1">
        <v>46210</v>
      </c>
      <c r="J582" s="1" t="s">
        <v>286</v>
      </c>
      <c r="K582" s="3">
        <v>20964.07</v>
      </c>
    </row>
    <row r="583" spans="1:11">
      <c r="A583" s="1">
        <v>46209</v>
      </c>
      <c r="B583" t="s">
        <v>1983</v>
      </c>
      <c r="C583">
        <v>4.7119999999999997</v>
      </c>
      <c r="E583" s="1">
        <v>46083</v>
      </c>
      <c r="F583" s="1" t="s">
        <v>163</v>
      </c>
      <c r="G583" s="9">
        <v>7.8</v>
      </c>
      <c r="I583" s="1">
        <v>46210</v>
      </c>
      <c r="J583" s="1" t="s">
        <v>287</v>
      </c>
      <c r="K583" s="3">
        <v>219053.22</v>
      </c>
    </row>
    <row r="584" spans="1:11">
      <c r="A584" s="1">
        <v>46206</v>
      </c>
      <c r="B584" t="s">
        <v>1974</v>
      </c>
      <c r="C584">
        <v>3.3959999999999999</v>
      </c>
      <c r="E584" s="1">
        <v>46080</v>
      </c>
      <c r="F584" s="1" t="s">
        <v>160</v>
      </c>
      <c r="G584" s="9">
        <v>4.8</v>
      </c>
      <c r="I584" s="1">
        <v>46210</v>
      </c>
      <c r="J584" s="1" t="s">
        <v>288</v>
      </c>
      <c r="K584" s="3">
        <v>-34550</v>
      </c>
    </row>
    <row r="585" spans="1:11">
      <c r="A585" s="1">
        <v>46206</v>
      </c>
      <c r="B585" t="s">
        <v>1975</v>
      </c>
      <c r="C585">
        <v>3.5</v>
      </c>
      <c r="E585" s="1">
        <v>46080</v>
      </c>
      <c r="F585" s="1" t="s">
        <v>161</v>
      </c>
      <c r="G585" s="9">
        <v>7.5</v>
      </c>
      <c r="I585" s="1">
        <v>46210</v>
      </c>
      <c r="J585" s="1" t="s">
        <v>289</v>
      </c>
      <c r="K585" s="3">
        <v>15</v>
      </c>
    </row>
    <row r="586" spans="1:11">
      <c r="A586" s="1">
        <v>46206</v>
      </c>
      <c r="B586" t="s">
        <v>1976</v>
      </c>
      <c r="C586">
        <v>3.5710000000000002</v>
      </c>
      <c r="E586" s="1">
        <v>46080</v>
      </c>
      <c r="F586" s="1" t="s">
        <v>162</v>
      </c>
      <c r="G586" s="9">
        <v>7</v>
      </c>
      <c r="I586" s="1">
        <v>46210</v>
      </c>
      <c r="J586" s="1" t="s">
        <v>290</v>
      </c>
      <c r="K586" s="3">
        <v>15</v>
      </c>
    </row>
    <row r="587" spans="1:11">
      <c r="A587" s="1">
        <v>46206</v>
      </c>
      <c r="B587" t="s">
        <v>1977</v>
      </c>
      <c r="C587">
        <v>3.8839999999999999</v>
      </c>
      <c r="E587" s="1">
        <v>46080</v>
      </c>
      <c r="F587" s="1" t="s">
        <v>163</v>
      </c>
      <c r="G587" s="9">
        <v>7.2</v>
      </c>
      <c r="I587" s="1">
        <v>46210</v>
      </c>
      <c r="J587" s="1" t="s">
        <v>107</v>
      </c>
      <c r="K587" s="3">
        <v>12280968427004</v>
      </c>
    </row>
    <row r="588" spans="1:11">
      <c r="A588" s="1">
        <v>46206</v>
      </c>
      <c r="B588" t="s">
        <v>1978</v>
      </c>
      <c r="C588">
        <v>4.1970000000000001</v>
      </c>
      <c r="E588" s="1">
        <v>46079</v>
      </c>
      <c r="F588" s="1" t="s">
        <v>160</v>
      </c>
      <c r="G588" s="9">
        <v>2.8</v>
      </c>
      <c r="I588" s="1">
        <v>46209</v>
      </c>
      <c r="J588" s="1" t="s">
        <v>107</v>
      </c>
      <c r="K588" s="3">
        <v>13852114848079</v>
      </c>
    </row>
    <row r="589" spans="1:11">
      <c r="A589" s="1">
        <v>46206</v>
      </c>
      <c r="B589" t="s">
        <v>1979</v>
      </c>
      <c r="C589">
        <v>4.258</v>
      </c>
      <c r="E589" s="1">
        <v>46079</v>
      </c>
      <c r="F589" s="1" t="s">
        <v>161</v>
      </c>
      <c r="G589" s="9">
        <v>5.95</v>
      </c>
      <c r="I589" s="1">
        <v>46209</v>
      </c>
      <c r="J589" s="1" t="s">
        <v>282</v>
      </c>
      <c r="K589" s="3">
        <v>3000</v>
      </c>
    </row>
    <row r="590" spans="1:11">
      <c r="A590" s="1">
        <v>46206</v>
      </c>
      <c r="B590" t="s">
        <v>1980</v>
      </c>
      <c r="C590">
        <v>4.3959999999999999</v>
      </c>
      <c r="E590" s="1">
        <v>46079</v>
      </c>
      <c r="F590" s="1" t="s">
        <v>162</v>
      </c>
      <c r="G590" s="9">
        <v>6.95</v>
      </c>
      <c r="I590" s="1">
        <v>46209</v>
      </c>
      <c r="J590" s="1" t="s">
        <v>283</v>
      </c>
      <c r="K590" s="3">
        <v>7</v>
      </c>
    </row>
    <row r="591" spans="1:11">
      <c r="A591" s="1">
        <v>46206</v>
      </c>
      <c r="B591" t="s">
        <v>1981</v>
      </c>
      <c r="C591">
        <v>4.5720000000000001</v>
      </c>
      <c r="E591" s="1">
        <v>46079</v>
      </c>
      <c r="F591" s="1" t="s">
        <v>163</v>
      </c>
      <c r="G591" s="9">
        <v>7.2</v>
      </c>
      <c r="I591" s="1">
        <v>46209</v>
      </c>
      <c r="J591" s="1" t="s">
        <v>284</v>
      </c>
      <c r="K591" s="3">
        <v>6417</v>
      </c>
    </row>
    <row r="592" spans="1:11">
      <c r="A592" s="1">
        <v>46206</v>
      </c>
      <c r="B592" t="s">
        <v>1982</v>
      </c>
      <c r="C592">
        <v>4.641</v>
      </c>
      <c r="E592" s="1">
        <v>46078</v>
      </c>
      <c r="F592" s="1" t="s">
        <v>160</v>
      </c>
      <c r="G592" s="9">
        <v>3.7</v>
      </c>
      <c r="I592" s="1">
        <v>46209</v>
      </c>
      <c r="J592" s="1" t="s">
        <v>285</v>
      </c>
      <c r="K592" s="3">
        <v>4.5</v>
      </c>
    </row>
    <row r="593" spans="1:11">
      <c r="A593" s="1">
        <v>46206</v>
      </c>
      <c r="B593" t="s">
        <v>1983</v>
      </c>
      <c r="C593">
        <v>4.7119999999999997</v>
      </c>
      <c r="E593" s="1">
        <v>46078</v>
      </c>
      <c r="F593" s="1" t="s">
        <v>161</v>
      </c>
      <c r="G593" s="9">
        <v>5.65</v>
      </c>
      <c r="I593" s="1">
        <v>46209</v>
      </c>
      <c r="J593" s="1" t="s">
        <v>286</v>
      </c>
      <c r="K593" s="3">
        <v>10597.08</v>
      </c>
    </row>
    <row r="594" spans="1:11">
      <c r="A594" s="1">
        <v>46205</v>
      </c>
      <c r="B594" t="s">
        <v>1974</v>
      </c>
      <c r="C594">
        <v>3.3959999999999999</v>
      </c>
      <c r="E594" s="1">
        <v>46078</v>
      </c>
      <c r="F594" s="1" t="s">
        <v>162</v>
      </c>
      <c r="G594" s="9">
        <v>6.4</v>
      </c>
      <c r="I594" s="1">
        <v>46209</v>
      </c>
      <c r="J594" s="1" t="s">
        <v>287</v>
      </c>
      <c r="K594" s="3">
        <v>235017.29</v>
      </c>
    </row>
    <row r="595" spans="1:11">
      <c r="A595" s="1">
        <v>46205</v>
      </c>
      <c r="B595" t="s">
        <v>1975</v>
      </c>
      <c r="C595">
        <v>3.5</v>
      </c>
      <c r="E595" s="1">
        <v>46078</v>
      </c>
      <c r="F595" s="1" t="s">
        <v>163</v>
      </c>
      <c r="G595" s="9">
        <v>7.15</v>
      </c>
      <c r="I595" s="1">
        <v>46209</v>
      </c>
      <c r="J595" s="1" t="s">
        <v>288</v>
      </c>
      <c r="K595" s="3">
        <v>-50693.07</v>
      </c>
    </row>
    <row r="596" spans="1:11">
      <c r="A596" s="1">
        <v>46205</v>
      </c>
      <c r="B596" t="s">
        <v>1976</v>
      </c>
      <c r="C596">
        <v>3.5710000000000002</v>
      </c>
      <c r="E596" s="1">
        <v>46077</v>
      </c>
      <c r="F596" s="1" t="s">
        <v>160</v>
      </c>
      <c r="G596" s="9">
        <v>4.5</v>
      </c>
      <c r="I596" s="1">
        <v>46209</v>
      </c>
      <c r="J596" s="1" t="s">
        <v>289</v>
      </c>
      <c r="K596" s="3">
        <v>11</v>
      </c>
    </row>
    <row r="597" spans="1:11">
      <c r="A597" s="1">
        <v>46205</v>
      </c>
      <c r="B597" t="s">
        <v>1977</v>
      </c>
      <c r="C597">
        <v>3.8839999999999999</v>
      </c>
      <c r="E597" s="1">
        <v>46077</v>
      </c>
      <c r="F597" s="1" t="s">
        <v>161</v>
      </c>
      <c r="G597" s="9">
        <v>5.5</v>
      </c>
      <c r="I597" s="1">
        <v>46209</v>
      </c>
      <c r="J597" s="1" t="s">
        <v>290</v>
      </c>
      <c r="K597" s="3">
        <v>11</v>
      </c>
    </row>
    <row r="598" spans="1:11">
      <c r="A598" s="1">
        <v>46205</v>
      </c>
      <c r="B598" t="s">
        <v>1978</v>
      </c>
      <c r="C598">
        <v>4.1970000000000001</v>
      </c>
      <c r="E598" s="1">
        <v>46077</v>
      </c>
      <c r="F598" s="1" t="s">
        <v>162</v>
      </c>
      <c r="G598" s="9">
        <v>6.1</v>
      </c>
      <c r="I598" s="1">
        <v>46208</v>
      </c>
      <c r="J598" s="1" t="s">
        <v>107</v>
      </c>
      <c r="K598" s="3">
        <v>14541378787831</v>
      </c>
    </row>
    <row r="599" spans="1:11">
      <c r="A599" s="1">
        <v>46205</v>
      </c>
      <c r="B599" t="s">
        <v>1979</v>
      </c>
      <c r="C599">
        <v>4.258</v>
      </c>
      <c r="E599" s="1">
        <v>46077</v>
      </c>
      <c r="F599" s="1" t="s">
        <v>163</v>
      </c>
      <c r="G599" s="9">
        <v>6.6</v>
      </c>
      <c r="I599" s="1">
        <v>46207</v>
      </c>
      <c r="J599" s="1" t="s">
        <v>282</v>
      </c>
      <c r="K599" s="3">
        <v>3000</v>
      </c>
    </row>
    <row r="600" spans="1:11">
      <c r="A600" s="1">
        <v>46205</v>
      </c>
      <c r="B600" t="s">
        <v>1980</v>
      </c>
      <c r="C600">
        <v>4.399</v>
      </c>
      <c r="E600" s="1">
        <v>46076</v>
      </c>
      <c r="F600" s="1" t="s">
        <v>160</v>
      </c>
      <c r="G600" s="9">
        <v>6.6</v>
      </c>
      <c r="I600" s="1">
        <v>46207</v>
      </c>
      <c r="J600" s="1" t="s">
        <v>283</v>
      </c>
      <c r="K600" s="3">
        <v>7</v>
      </c>
    </row>
    <row r="601" spans="1:11">
      <c r="A601" s="1">
        <v>46205</v>
      </c>
      <c r="B601" t="s">
        <v>1981</v>
      </c>
      <c r="C601">
        <v>4.5739999999999998</v>
      </c>
      <c r="E601" s="1">
        <v>46076</v>
      </c>
      <c r="F601" s="1" t="s">
        <v>161</v>
      </c>
      <c r="G601" s="9">
        <v>6.9</v>
      </c>
      <c r="I601" s="1">
        <v>46207</v>
      </c>
      <c r="J601" s="1" t="s">
        <v>284</v>
      </c>
      <c r="K601" s="3">
        <v>6417</v>
      </c>
    </row>
    <row r="602" spans="1:11">
      <c r="A602" s="1">
        <v>46205</v>
      </c>
      <c r="B602" t="s">
        <v>1982</v>
      </c>
      <c r="C602">
        <v>4.641</v>
      </c>
      <c r="E602" s="1">
        <v>46076</v>
      </c>
      <c r="F602" s="1" t="s">
        <v>162</v>
      </c>
      <c r="G602" s="9">
        <v>6.1</v>
      </c>
      <c r="I602" s="1">
        <v>46207</v>
      </c>
      <c r="J602" s="1" t="s">
        <v>285</v>
      </c>
      <c r="K602" s="3">
        <v>4.5</v>
      </c>
    </row>
    <row r="603" spans="1:11">
      <c r="A603" s="1">
        <v>46205</v>
      </c>
      <c r="B603" t="s">
        <v>1983</v>
      </c>
      <c r="C603">
        <v>4.7119999999999997</v>
      </c>
      <c r="E603" s="1">
        <v>46076</v>
      </c>
      <c r="F603" s="1" t="s">
        <v>163</v>
      </c>
      <c r="G603" s="9">
        <v>6.85</v>
      </c>
      <c r="I603" s="1">
        <v>46207</v>
      </c>
      <c r="J603" s="1" t="s">
        <v>286</v>
      </c>
      <c r="K603" s="3">
        <v>0</v>
      </c>
    </row>
    <row r="604" spans="1:11">
      <c r="A604" s="1">
        <v>46204</v>
      </c>
      <c r="B604" t="s">
        <v>1974</v>
      </c>
      <c r="C604">
        <v>3.3959999999999999</v>
      </c>
      <c r="E604" s="1">
        <v>46066</v>
      </c>
      <c r="F604" s="1" t="s">
        <v>160</v>
      </c>
      <c r="G604" s="9">
        <v>5.8</v>
      </c>
      <c r="I604" s="1">
        <v>46207</v>
      </c>
      <c r="J604" s="1" t="s">
        <v>287</v>
      </c>
      <c r="K604" s="3">
        <v>245614.37</v>
      </c>
    </row>
    <row r="605" spans="1:11">
      <c r="A605" s="1">
        <v>46204</v>
      </c>
      <c r="B605" t="s">
        <v>1975</v>
      </c>
      <c r="C605">
        <v>3.5</v>
      </c>
      <c r="E605" s="1">
        <v>46066</v>
      </c>
      <c r="F605" s="1" t="s">
        <v>161</v>
      </c>
      <c r="G605" s="9">
        <v>6.85</v>
      </c>
      <c r="I605" s="1">
        <v>46206</v>
      </c>
      <c r="J605" s="1" t="s">
        <v>282</v>
      </c>
      <c r="K605" s="3">
        <v>0</v>
      </c>
    </row>
    <row r="606" spans="1:11">
      <c r="A606" s="1">
        <v>46204</v>
      </c>
      <c r="B606" t="s">
        <v>1976</v>
      </c>
      <c r="C606">
        <v>3.5710000000000002</v>
      </c>
      <c r="E606" s="1">
        <v>46066</v>
      </c>
      <c r="F606" s="1" t="s">
        <v>162</v>
      </c>
      <c r="G606" s="9">
        <v>6.3</v>
      </c>
      <c r="I606" s="1">
        <v>46206</v>
      </c>
      <c r="J606" s="1" t="s">
        <v>283</v>
      </c>
      <c r="K606" s="3">
        <v>7</v>
      </c>
    </row>
    <row r="607" spans="1:11">
      <c r="A607" s="1">
        <v>46204</v>
      </c>
      <c r="B607" t="s">
        <v>1977</v>
      </c>
      <c r="C607">
        <v>3.8860000000000001</v>
      </c>
      <c r="E607" s="1">
        <v>46066</v>
      </c>
      <c r="F607" s="1" t="s">
        <v>163</v>
      </c>
      <c r="G607" s="9">
        <v>6.8</v>
      </c>
      <c r="I607" s="1">
        <v>46206</v>
      </c>
      <c r="J607" s="1" t="s">
        <v>284</v>
      </c>
      <c r="K607" s="3">
        <v>353</v>
      </c>
    </row>
    <row r="608" spans="1:11">
      <c r="A608" s="1">
        <v>46204</v>
      </c>
      <c r="B608" t="s">
        <v>1978</v>
      </c>
      <c r="C608">
        <v>4.2009999999999996</v>
      </c>
      <c r="E608" s="1">
        <v>46065</v>
      </c>
      <c r="F608" s="1" t="s">
        <v>160</v>
      </c>
      <c r="G608" s="9">
        <v>3.7</v>
      </c>
      <c r="I608" s="1">
        <v>46206</v>
      </c>
      <c r="J608" s="1" t="s">
        <v>285</v>
      </c>
      <c r="K608" s="3">
        <v>4.5</v>
      </c>
    </row>
    <row r="609" spans="1:11">
      <c r="A609" s="1">
        <v>46204</v>
      </c>
      <c r="B609" t="s">
        <v>1979</v>
      </c>
      <c r="C609">
        <v>4.2610000000000001</v>
      </c>
      <c r="E609" s="1">
        <v>46065</v>
      </c>
      <c r="F609" s="1" t="s">
        <v>161</v>
      </c>
      <c r="G609" s="9">
        <v>5.6</v>
      </c>
      <c r="I609" s="1">
        <v>46206</v>
      </c>
      <c r="J609" s="1" t="s">
        <v>286</v>
      </c>
      <c r="K609" s="3">
        <v>5024</v>
      </c>
    </row>
    <row r="610" spans="1:11">
      <c r="A610" s="1">
        <v>46204</v>
      </c>
      <c r="B610" t="s">
        <v>1980</v>
      </c>
      <c r="C610">
        <v>4.3979999999999997</v>
      </c>
      <c r="E610" s="1">
        <v>46065</v>
      </c>
      <c r="F610" s="1" t="s">
        <v>162</v>
      </c>
      <c r="G610" s="9">
        <v>6.3</v>
      </c>
      <c r="I610" s="1">
        <v>46206</v>
      </c>
      <c r="J610" s="1" t="s">
        <v>287</v>
      </c>
      <c r="K610" s="3">
        <v>239197.37</v>
      </c>
    </row>
    <row r="611" spans="1:11">
      <c r="A611" s="1">
        <v>46204</v>
      </c>
      <c r="B611" t="s">
        <v>1981</v>
      </c>
      <c r="C611">
        <v>4.5739999999999998</v>
      </c>
      <c r="E611" s="1">
        <v>46065</v>
      </c>
      <c r="F611" s="1" t="s">
        <v>163</v>
      </c>
      <c r="G611" s="9">
        <v>6.8</v>
      </c>
      <c r="I611" s="1">
        <v>46206</v>
      </c>
      <c r="J611" s="1" t="s">
        <v>288</v>
      </c>
      <c r="K611" s="3">
        <v>-47561.15</v>
      </c>
    </row>
    <row r="612" spans="1:11">
      <c r="A612" s="1">
        <v>46204</v>
      </c>
      <c r="B612" t="s">
        <v>1982</v>
      </c>
      <c r="C612">
        <v>4.641</v>
      </c>
      <c r="E612" s="1">
        <v>46064</v>
      </c>
      <c r="F612" s="1" t="s">
        <v>160</v>
      </c>
      <c r="G612" s="9">
        <v>4.2</v>
      </c>
      <c r="I612" s="1">
        <v>46206</v>
      </c>
      <c r="J612" s="1" t="s">
        <v>289</v>
      </c>
      <c r="K612" s="3">
        <v>3</v>
      </c>
    </row>
    <row r="613" spans="1:11">
      <c r="A613" s="1">
        <v>46204</v>
      </c>
      <c r="B613" t="s">
        <v>1983</v>
      </c>
      <c r="C613">
        <v>4.7119999999999997</v>
      </c>
      <c r="E613" s="1">
        <v>46064</v>
      </c>
      <c r="F613" s="1" t="s">
        <v>161</v>
      </c>
      <c r="G613" s="9">
        <v>6.8</v>
      </c>
      <c r="I613" s="1">
        <v>46206</v>
      </c>
      <c r="J613" s="1" t="s">
        <v>290</v>
      </c>
      <c r="K613" s="3">
        <v>3</v>
      </c>
    </row>
    <row r="614" spans="1:11">
      <c r="A614" s="1">
        <v>46203</v>
      </c>
      <c r="B614" t="s">
        <v>1974</v>
      </c>
      <c r="C614">
        <v>3.3959999999999999</v>
      </c>
      <c r="E614" s="1">
        <v>46064</v>
      </c>
      <c r="F614" s="1" t="s">
        <v>162</v>
      </c>
      <c r="G614" s="9">
        <v>8.35</v>
      </c>
      <c r="I614" s="1">
        <v>46205</v>
      </c>
      <c r="J614" s="1" t="s">
        <v>107</v>
      </c>
      <c r="K614" s="3">
        <v>14946783501168</v>
      </c>
    </row>
    <row r="615" spans="1:11">
      <c r="A615" s="1">
        <v>46203</v>
      </c>
      <c r="B615" t="s">
        <v>1975</v>
      </c>
      <c r="C615">
        <v>3.5</v>
      </c>
      <c r="E615" s="1">
        <v>46064</v>
      </c>
      <c r="F615" s="1" t="s">
        <v>163</v>
      </c>
      <c r="G615" s="9">
        <v>7</v>
      </c>
      <c r="I615" s="1">
        <v>46205</v>
      </c>
      <c r="J615" s="1" t="s">
        <v>282</v>
      </c>
      <c r="K615" s="3">
        <v>5000</v>
      </c>
    </row>
    <row r="616" spans="1:11">
      <c r="A616" s="1">
        <v>46203</v>
      </c>
      <c r="B616" t="s">
        <v>1976</v>
      </c>
      <c r="C616">
        <v>3.5710000000000002</v>
      </c>
      <c r="E616" s="1">
        <v>46063</v>
      </c>
      <c r="F616" s="1" t="s">
        <v>160</v>
      </c>
      <c r="G616" s="9">
        <v>8.5</v>
      </c>
      <c r="I616" s="1">
        <v>46205</v>
      </c>
      <c r="J616" s="1" t="s">
        <v>283</v>
      </c>
      <c r="K616" s="3">
        <v>7</v>
      </c>
    </row>
    <row r="617" spans="1:11">
      <c r="A617" s="1">
        <v>46203</v>
      </c>
      <c r="B617" t="s">
        <v>1977</v>
      </c>
      <c r="C617">
        <v>3.8839999999999999</v>
      </c>
      <c r="E617" s="1">
        <v>46063</v>
      </c>
      <c r="F617" s="1" t="s">
        <v>161</v>
      </c>
      <c r="G617" s="9">
        <v>9</v>
      </c>
      <c r="I617" s="1">
        <v>46205</v>
      </c>
      <c r="J617" s="1" t="s">
        <v>284</v>
      </c>
      <c r="K617" s="3">
        <v>11972.85</v>
      </c>
    </row>
    <row r="618" spans="1:11">
      <c r="A618" s="1">
        <v>46203</v>
      </c>
      <c r="B618" t="s">
        <v>1978</v>
      </c>
      <c r="C618">
        <v>4.1980000000000004</v>
      </c>
      <c r="E618" s="1">
        <v>46063</v>
      </c>
      <c r="F618" s="1" t="s">
        <v>162</v>
      </c>
      <c r="G618" s="9">
        <v>9</v>
      </c>
      <c r="I618" s="1">
        <v>46205</v>
      </c>
      <c r="J618" s="1" t="s">
        <v>285</v>
      </c>
      <c r="K618" s="3">
        <v>4.5</v>
      </c>
    </row>
    <row r="619" spans="1:11">
      <c r="A619" s="1">
        <v>46203</v>
      </c>
      <c r="B619" t="s">
        <v>1979</v>
      </c>
      <c r="C619">
        <v>4.2560000000000002</v>
      </c>
      <c r="E619" s="1">
        <v>46063</v>
      </c>
      <c r="F619" s="1" t="s">
        <v>163</v>
      </c>
      <c r="G619" s="9">
        <v>9.1999999999999993</v>
      </c>
      <c r="I619" s="1">
        <v>46205</v>
      </c>
      <c r="J619" s="1" t="s">
        <v>286</v>
      </c>
      <c r="K619" s="3">
        <v>6506</v>
      </c>
    </row>
    <row r="620" spans="1:11">
      <c r="A620" s="1">
        <v>46203</v>
      </c>
      <c r="B620" t="s">
        <v>1980</v>
      </c>
      <c r="C620">
        <v>4.3949999999999996</v>
      </c>
      <c r="E620" s="1">
        <v>46062</v>
      </c>
      <c r="F620" s="1" t="s">
        <v>160</v>
      </c>
      <c r="G620" s="9">
        <v>9</v>
      </c>
      <c r="I620" s="1">
        <v>46205</v>
      </c>
      <c r="J620" s="1" t="s">
        <v>287</v>
      </c>
      <c r="K620" s="3">
        <v>243868.37</v>
      </c>
    </row>
    <row r="621" spans="1:11">
      <c r="A621" s="1">
        <v>46203</v>
      </c>
      <c r="B621" t="s">
        <v>1981</v>
      </c>
      <c r="C621">
        <v>4.569</v>
      </c>
      <c r="E621" s="1">
        <v>46062</v>
      </c>
      <c r="F621" s="1" t="s">
        <v>161</v>
      </c>
      <c r="G621" s="9">
        <v>9</v>
      </c>
      <c r="I621" s="1">
        <v>46205</v>
      </c>
      <c r="J621" s="1" t="s">
        <v>288</v>
      </c>
      <c r="K621" s="3">
        <v>-48585.15</v>
      </c>
    </row>
    <row r="622" spans="1:11">
      <c r="A622" s="1">
        <v>46203</v>
      </c>
      <c r="B622" t="s">
        <v>1982</v>
      </c>
      <c r="C622">
        <v>4.6369999999999996</v>
      </c>
      <c r="E622" s="1">
        <v>46062</v>
      </c>
      <c r="F622" s="1" t="s">
        <v>162</v>
      </c>
      <c r="G622" s="9">
        <v>9.5</v>
      </c>
      <c r="I622" s="1">
        <v>46205</v>
      </c>
      <c r="J622" s="1" t="s">
        <v>289</v>
      </c>
      <c r="K622" s="3">
        <v>14</v>
      </c>
    </row>
    <row r="623" spans="1:11">
      <c r="A623" s="1">
        <v>46203</v>
      </c>
      <c r="B623" t="s">
        <v>1983</v>
      </c>
      <c r="C623">
        <v>4.71</v>
      </c>
      <c r="E623" s="1">
        <v>46062</v>
      </c>
      <c r="F623" s="1" t="s">
        <v>163</v>
      </c>
      <c r="G623" s="9">
        <v>9.5</v>
      </c>
      <c r="I623" s="1">
        <v>46205</v>
      </c>
      <c r="J623" s="1" t="s">
        <v>290</v>
      </c>
      <c r="K623" s="3">
        <v>14</v>
      </c>
    </row>
    <row r="624" spans="1:11">
      <c r="A624" s="1">
        <v>46202</v>
      </c>
      <c r="B624" t="s">
        <v>1974</v>
      </c>
      <c r="C624">
        <v>3.3919999999999999</v>
      </c>
      <c r="E624" s="1">
        <v>46059</v>
      </c>
      <c r="F624" s="1" t="s">
        <v>160</v>
      </c>
      <c r="G624" s="9">
        <v>10</v>
      </c>
      <c r="I624" s="1">
        <v>46204</v>
      </c>
      <c r="J624" s="1" t="s">
        <v>107</v>
      </c>
      <c r="K624" s="3">
        <v>14946783501168</v>
      </c>
    </row>
    <row r="625" spans="1:11">
      <c r="A625" s="1">
        <v>46202</v>
      </c>
      <c r="B625" t="s">
        <v>1975</v>
      </c>
      <c r="C625">
        <v>3.496</v>
      </c>
      <c r="E625" s="1">
        <v>46059</v>
      </c>
      <c r="F625" s="1" t="s">
        <v>161</v>
      </c>
      <c r="G625" s="9">
        <v>9.8000000000000007</v>
      </c>
      <c r="I625" s="1">
        <v>46204</v>
      </c>
      <c r="J625" s="1" t="s">
        <v>282</v>
      </c>
      <c r="K625" s="3">
        <v>3000</v>
      </c>
    </row>
    <row r="626" spans="1:11">
      <c r="A626" s="1">
        <v>46202</v>
      </c>
      <c r="B626" t="s">
        <v>1976</v>
      </c>
      <c r="C626">
        <v>3.5670000000000002</v>
      </c>
      <c r="E626" s="1">
        <v>46059</v>
      </c>
      <c r="F626" s="1" t="s">
        <v>162</v>
      </c>
      <c r="G626" s="9">
        <v>9.65</v>
      </c>
      <c r="I626" s="1">
        <v>46204</v>
      </c>
      <c r="J626" s="1" t="s">
        <v>283</v>
      </c>
      <c r="K626" s="3">
        <v>7</v>
      </c>
    </row>
    <row r="627" spans="1:11">
      <c r="A627" s="1">
        <v>46202</v>
      </c>
      <c r="B627" t="s">
        <v>1977</v>
      </c>
      <c r="C627">
        <v>3.88</v>
      </c>
      <c r="E627" s="1">
        <v>46059</v>
      </c>
      <c r="F627" s="1" t="s">
        <v>163</v>
      </c>
      <c r="G627" s="9">
        <v>9.5</v>
      </c>
      <c r="I627" s="1">
        <v>46204</v>
      </c>
      <c r="J627" s="1" t="s">
        <v>284</v>
      </c>
      <c r="K627" s="3">
        <v>7000</v>
      </c>
    </row>
    <row r="628" spans="1:11">
      <c r="A628" s="1">
        <v>46202</v>
      </c>
      <c r="B628" t="s">
        <v>1978</v>
      </c>
      <c r="C628">
        <v>4.1929999999999996</v>
      </c>
      <c r="E628" s="1">
        <v>46058</v>
      </c>
      <c r="F628" s="1" t="s">
        <v>160</v>
      </c>
      <c r="G628" s="9">
        <v>8.5</v>
      </c>
      <c r="I628" s="1">
        <v>46204</v>
      </c>
      <c r="J628" s="1" t="s">
        <v>285</v>
      </c>
      <c r="K628" s="3">
        <v>4.5</v>
      </c>
    </row>
    <row r="629" spans="1:11">
      <c r="A629" s="1">
        <v>46202</v>
      </c>
      <c r="B629" t="s">
        <v>1979</v>
      </c>
      <c r="C629">
        <v>4.2469999999999999</v>
      </c>
      <c r="E629" s="1">
        <v>46058</v>
      </c>
      <c r="F629" s="1" t="s">
        <v>161</v>
      </c>
      <c r="G629" s="9">
        <v>8.6</v>
      </c>
      <c r="I629" s="1">
        <v>46204</v>
      </c>
      <c r="J629" s="1" t="s">
        <v>286</v>
      </c>
      <c r="K629" s="3">
        <v>14000</v>
      </c>
    </row>
    <row r="630" spans="1:11">
      <c r="A630" s="1">
        <v>46202</v>
      </c>
      <c r="B630" t="s">
        <v>1980</v>
      </c>
      <c r="C630">
        <v>4.399</v>
      </c>
      <c r="E630" s="1">
        <v>46058</v>
      </c>
      <c r="F630" s="1" t="s">
        <v>162</v>
      </c>
      <c r="G630" s="9">
        <v>9</v>
      </c>
      <c r="I630" s="1">
        <v>46204</v>
      </c>
      <c r="J630" s="1" t="s">
        <v>287</v>
      </c>
      <c r="K630" s="3">
        <v>238401.52</v>
      </c>
    </row>
    <row r="631" spans="1:11">
      <c r="A631" s="1">
        <v>46202</v>
      </c>
      <c r="B631" t="s">
        <v>1981</v>
      </c>
      <c r="C631">
        <v>4.5759999999999996</v>
      </c>
      <c r="E631" s="1">
        <v>46058</v>
      </c>
      <c r="F631" s="1" t="s">
        <v>163</v>
      </c>
      <c r="G631" s="9">
        <v>8.5</v>
      </c>
      <c r="I631" s="1">
        <v>46204</v>
      </c>
      <c r="J631" s="1" t="s">
        <v>288</v>
      </c>
      <c r="K631" s="3">
        <v>-48091.15</v>
      </c>
    </row>
    <row r="632" spans="1:11">
      <c r="A632" s="1">
        <v>46202</v>
      </c>
      <c r="B632" t="s">
        <v>1982</v>
      </c>
      <c r="C632">
        <v>4.62</v>
      </c>
      <c r="E632" s="1">
        <v>46057</v>
      </c>
      <c r="F632" s="1" t="s">
        <v>160</v>
      </c>
      <c r="G632" s="9">
        <v>10</v>
      </c>
      <c r="I632" s="1">
        <v>46204</v>
      </c>
      <c r="J632" s="1" t="s">
        <v>289</v>
      </c>
      <c r="K632" s="3">
        <v>15</v>
      </c>
    </row>
    <row r="633" spans="1:11">
      <c r="A633" s="1">
        <v>46202</v>
      </c>
      <c r="B633" t="s">
        <v>1983</v>
      </c>
      <c r="C633">
        <v>4.6909999999999998</v>
      </c>
      <c r="E633" s="1">
        <v>46057</v>
      </c>
      <c r="F633" s="1" t="s">
        <v>161</v>
      </c>
      <c r="G633" s="9">
        <v>9.75</v>
      </c>
      <c r="I633" s="1">
        <v>46204</v>
      </c>
      <c r="J633" s="1" t="s">
        <v>290</v>
      </c>
      <c r="K633" s="3">
        <v>15</v>
      </c>
    </row>
    <row r="634" spans="1:11">
      <c r="A634" s="1">
        <v>46199</v>
      </c>
      <c r="B634" t="s">
        <v>1974</v>
      </c>
      <c r="C634">
        <v>3.3919999999999999</v>
      </c>
      <c r="E634" s="1">
        <v>46057</v>
      </c>
      <c r="F634" s="1" t="s">
        <v>162</v>
      </c>
      <c r="G634" s="9">
        <v>6.4</v>
      </c>
      <c r="I634" s="1">
        <v>46203</v>
      </c>
      <c r="J634" s="1" t="s">
        <v>282</v>
      </c>
      <c r="K634" s="3">
        <v>22000</v>
      </c>
    </row>
    <row r="635" spans="1:11">
      <c r="A635" s="1">
        <v>46199</v>
      </c>
      <c r="B635" t="s">
        <v>1975</v>
      </c>
      <c r="C635">
        <v>3.496</v>
      </c>
      <c r="E635" s="1">
        <v>46057</v>
      </c>
      <c r="F635" s="1" t="s">
        <v>163</v>
      </c>
      <c r="G635" s="9">
        <v>9.5500000000000007</v>
      </c>
      <c r="I635" s="1">
        <v>46203</v>
      </c>
      <c r="J635" s="1" t="s">
        <v>283</v>
      </c>
      <c r="K635" s="3">
        <v>7</v>
      </c>
    </row>
    <row r="636" spans="1:11">
      <c r="A636" s="1">
        <v>46199</v>
      </c>
      <c r="B636" t="s">
        <v>1976</v>
      </c>
      <c r="C636">
        <v>3.5670000000000002</v>
      </c>
      <c r="E636" s="1">
        <v>46056</v>
      </c>
      <c r="F636" s="1" t="s">
        <v>160</v>
      </c>
      <c r="G636" s="9">
        <v>17</v>
      </c>
      <c r="I636" s="1">
        <v>46203</v>
      </c>
      <c r="J636" s="1" t="s">
        <v>284</v>
      </c>
      <c r="K636" s="3">
        <v>31551.119999999999</v>
      </c>
    </row>
    <row r="637" spans="1:11">
      <c r="A637" s="1">
        <v>46199</v>
      </c>
      <c r="B637" t="s">
        <v>1977</v>
      </c>
      <c r="C637">
        <v>3.879</v>
      </c>
      <c r="E637" s="1">
        <v>46056</v>
      </c>
      <c r="F637" s="1" t="s">
        <v>161</v>
      </c>
      <c r="G637" s="9">
        <v>15</v>
      </c>
      <c r="I637" s="1">
        <v>46203</v>
      </c>
      <c r="J637" s="1" t="s">
        <v>285</v>
      </c>
      <c r="K637" s="3">
        <v>4.5</v>
      </c>
    </row>
    <row r="638" spans="1:11">
      <c r="A638" s="1">
        <v>46199</v>
      </c>
      <c r="B638" t="s">
        <v>1978</v>
      </c>
      <c r="C638">
        <v>4.1920000000000002</v>
      </c>
      <c r="E638" s="1">
        <v>46056</v>
      </c>
      <c r="F638" s="1" t="s">
        <v>162</v>
      </c>
      <c r="G638" s="9">
        <v>6.4</v>
      </c>
      <c r="I638" s="1">
        <v>46203</v>
      </c>
      <c r="J638" s="1" t="s">
        <v>286</v>
      </c>
      <c r="K638" s="3">
        <v>17000</v>
      </c>
    </row>
    <row r="639" spans="1:11">
      <c r="A639" s="1">
        <v>46199</v>
      </c>
      <c r="B639" t="s">
        <v>1979</v>
      </c>
      <c r="C639">
        <v>4.2469999999999999</v>
      </c>
      <c r="E639" s="1">
        <v>46056</v>
      </c>
      <c r="F639" s="1" t="s">
        <v>163</v>
      </c>
      <c r="G639" s="9">
        <v>9.5</v>
      </c>
      <c r="I639" s="1">
        <v>46203</v>
      </c>
      <c r="J639" s="1" t="s">
        <v>287</v>
      </c>
      <c r="K639" s="3">
        <v>245401.52</v>
      </c>
    </row>
    <row r="640" spans="1:11">
      <c r="A640" s="1">
        <v>46199</v>
      </c>
      <c r="B640" t="s">
        <v>1980</v>
      </c>
      <c r="C640">
        <v>4.3959999999999999</v>
      </c>
      <c r="E640" s="1">
        <v>46055</v>
      </c>
      <c r="F640" s="1" t="s">
        <v>160</v>
      </c>
      <c r="G640" s="9">
        <v>9.1</v>
      </c>
      <c r="I640" s="1">
        <v>46203</v>
      </c>
      <c r="J640" s="1" t="s">
        <v>288</v>
      </c>
      <c r="K640" s="3">
        <v>-57091.15</v>
      </c>
    </row>
    <row r="641" spans="1:11">
      <c r="A641" s="1">
        <v>46199</v>
      </c>
      <c r="B641" t="s">
        <v>1981</v>
      </c>
      <c r="C641">
        <v>4.5709999999999997</v>
      </c>
      <c r="E641" s="1">
        <v>46055</v>
      </c>
      <c r="F641" s="1" t="s">
        <v>161</v>
      </c>
      <c r="G641" s="9">
        <v>9.6</v>
      </c>
      <c r="I641" s="1">
        <v>46203</v>
      </c>
      <c r="J641" s="1" t="s">
        <v>289</v>
      </c>
      <c r="K641" s="3">
        <v>27</v>
      </c>
    </row>
    <row r="642" spans="1:11">
      <c r="A642" s="1">
        <v>46199</v>
      </c>
      <c r="B642" t="s">
        <v>1982</v>
      </c>
      <c r="C642">
        <v>4.62</v>
      </c>
      <c r="E642" s="1">
        <v>46055</v>
      </c>
      <c r="F642" s="1" t="s">
        <v>162</v>
      </c>
      <c r="G642" s="9">
        <v>6.4</v>
      </c>
      <c r="I642" s="1">
        <v>46203</v>
      </c>
      <c r="J642" s="1" t="s">
        <v>290</v>
      </c>
      <c r="K642" s="3">
        <v>27</v>
      </c>
    </row>
    <row r="643" spans="1:11">
      <c r="A643" s="1">
        <v>46199</v>
      </c>
      <c r="B643" t="s">
        <v>1983</v>
      </c>
      <c r="C643">
        <v>4.6909999999999998</v>
      </c>
      <c r="E643" s="1">
        <v>46055</v>
      </c>
      <c r="F643" s="1" t="s">
        <v>163</v>
      </c>
      <c r="G643" s="9">
        <v>7.5</v>
      </c>
      <c r="I643" s="1">
        <v>46203</v>
      </c>
      <c r="J643" s="1" t="s">
        <v>107</v>
      </c>
      <c r="K643" s="3">
        <v>14946783501168</v>
      </c>
    </row>
    <row r="644" spans="1:11">
      <c r="A644" s="1">
        <v>46198</v>
      </c>
      <c r="B644" t="s">
        <v>1974</v>
      </c>
      <c r="C644">
        <v>3.375</v>
      </c>
      <c r="E644" s="1">
        <v>46052</v>
      </c>
      <c r="F644" s="1" t="s">
        <v>160</v>
      </c>
      <c r="G644" s="9">
        <v>5.2</v>
      </c>
      <c r="I644" s="1">
        <v>46202</v>
      </c>
      <c r="J644" s="1" t="s">
        <v>107</v>
      </c>
      <c r="K644" s="3">
        <v>13809303809342</v>
      </c>
    </row>
    <row r="645" spans="1:11">
      <c r="A645" s="1">
        <v>46198</v>
      </c>
      <c r="B645" t="s">
        <v>1975</v>
      </c>
      <c r="C645">
        <v>3.4710000000000001</v>
      </c>
      <c r="E645" s="1">
        <v>46052</v>
      </c>
      <c r="F645" s="1" t="s">
        <v>161</v>
      </c>
      <c r="G645" s="9">
        <v>5.5</v>
      </c>
      <c r="I645" s="1">
        <v>46202</v>
      </c>
      <c r="J645" s="1" t="s">
        <v>282</v>
      </c>
      <c r="K645" s="3">
        <v>0</v>
      </c>
    </row>
    <row r="646" spans="1:11">
      <c r="A646" s="1">
        <v>46198</v>
      </c>
      <c r="B646" t="s">
        <v>1976</v>
      </c>
      <c r="C646">
        <v>3.5539999999999998</v>
      </c>
      <c r="E646" s="1">
        <v>46052</v>
      </c>
      <c r="F646" s="1" t="s">
        <v>162</v>
      </c>
      <c r="G646" s="9">
        <v>6.4</v>
      </c>
      <c r="I646" s="1">
        <v>46202</v>
      </c>
      <c r="J646" s="1" t="s">
        <v>283</v>
      </c>
      <c r="K646" s="3">
        <v>7</v>
      </c>
    </row>
    <row r="647" spans="1:11">
      <c r="A647" s="1">
        <v>46198</v>
      </c>
      <c r="B647" t="s">
        <v>1977</v>
      </c>
      <c r="C647">
        <v>3.87</v>
      </c>
      <c r="E647" s="1">
        <v>46052</v>
      </c>
      <c r="F647" s="1" t="s">
        <v>163</v>
      </c>
      <c r="G647" s="9">
        <v>7.3</v>
      </c>
      <c r="I647" s="1">
        <v>46202</v>
      </c>
      <c r="J647" s="1" t="s">
        <v>284</v>
      </c>
      <c r="K647" s="3">
        <v>18199.669999999998</v>
      </c>
    </row>
    <row r="648" spans="1:11">
      <c r="A648" s="1">
        <v>46198</v>
      </c>
      <c r="B648" t="s">
        <v>1978</v>
      </c>
      <c r="C648">
        <v>4.1849999999999996</v>
      </c>
      <c r="E648" s="1">
        <v>46051</v>
      </c>
      <c r="F648" s="1" t="s">
        <v>160</v>
      </c>
      <c r="G648" s="9">
        <v>4.0999999999999996</v>
      </c>
      <c r="I648" s="1">
        <v>46202</v>
      </c>
      <c r="J648" s="1" t="s">
        <v>285</v>
      </c>
      <c r="K648" s="3">
        <v>4.5</v>
      </c>
    </row>
    <row r="649" spans="1:11">
      <c r="A649" s="1">
        <v>46198</v>
      </c>
      <c r="B649" t="s">
        <v>1979</v>
      </c>
      <c r="C649">
        <v>4.2460000000000004</v>
      </c>
      <c r="E649" s="1">
        <v>46051</v>
      </c>
      <c r="F649" s="1" t="s">
        <v>161</v>
      </c>
      <c r="G649" s="9">
        <v>5.5</v>
      </c>
      <c r="I649" s="1">
        <v>46202</v>
      </c>
      <c r="J649" s="1" t="s">
        <v>286</v>
      </c>
      <c r="K649" s="3">
        <v>17000</v>
      </c>
    </row>
    <row r="650" spans="1:11">
      <c r="A650" s="1">
        <v>46198</v>
      </c>
      <c r="B650" t="s">
        <v>1980</v>
      </c>
      <c r="C650">
        <v>4.3970000000000002</v>
      </c>
      <c r="E650" s="1">
        <v>46051</v>
      </c>
      <c r="F650" s="1" t="s">
        <v>162</v>
      </c>
      <c r="G650" s="9">
        <v>6.4</v>
      </c>
      <c r="I650" s="1">
        <v>46202</v>
      </c>
      <c r="J650" s="1" t="s">
        <v>287</v>
      </c>
      <c r="K650" s="3">
        <v>230850.4</v>
      </c>
    </row>
    <row r="651" spans="1:11">
      <c r="A651" s="1">
        <v>46198</v>
      </c>
      <c r="B651" t="s">
        <v>1981</v>
      </c>
      <c r="C651">
        <v>4.5730000000000004</v>
      </c>
      <c r="E651" s="1">
        <v>46051</v>
      </c>
      <c r="F651" s="1" t="s">
        <v>163</v>
      </c>
      <c r="G651" s="9">
        <v>7.33</v>
      </c>
      <c r="I651" s="1">
        <v>46202</v>
      </c>
      <c r="J651" s="1" t="s">
        <v>288</v>
      </c>
      <c r="K651" s="3">
        <v>-53127.08</v>
      </c>
    </row>
    <row r="652" spans="1:11">
      <c r="A652" s="1">
        <v>46198</v>
      </c>
      <c r="B652" t="s">
        <v>1982</v>
      </c>
      <c r="C652">
        <v>4.62</v>
      </c>
      <c r="E652" s="1">
        <v>46050</v>
      </c>
      <c r="F652" s="1" t="s">
        <v>160</v>
      </c>
      <c r="G652" s="9">
        <v>6.2</v>
      </c>
      <c r="I652" s="1">
        <v>46202</v>
      </c>
      <c r="J652" s="1" t="s">
        <v>289</v>
      </c>
      <c r="K652" s="3">
        <v>19</v>
      </c>
    </row>
    <row r="653" spans="1:11">
      <c r="A653" s="1">
        <v>46198</v>
      </c>
      <c r="B653" t="s">
        <v>1983</v>
      </c>
      <c r="C653">
        <v>4.6909999999999998</v>
      </c>
      <c r="E653" s="1">
        <v>46050</v>
      </c>
      <c r="F653" s="1" t="s">
        <v>161</v>
      </c>
      <c r="G653" s="9">
        <v>6.7</v>
      </c>
      <c r="I653" s="1">
        <v>46202</v>
      </c>
      <c r="J653" s="1" t="s">
        <v>290</v>
      </c>
      <c r="K653" s="3">
        <v>19</v>
      </c>
    </row>
    <row r="654" spans="1:11">
      <c r="A654" s="1">
        <v>46197</v>
      </c>
      <c r="B654" t="s">
        <v>1974</v>
      </c>
      <c r="C654">
        <v>3.375</v>
      </c>
      <c r="E654" s="1">
        <v>46050</v>
      </c>
      <c r="F654" s="1" t="s">
        <v>162</v>
      </c>
      <c r="G654" s="9">
        <v>6.78</v>
      </c>
      <c r="I654" s="1">
        <v>46201</v>
      </c>
      <c r="J654" s="1" t="s">
        <v>107</v>
      </c>
      <c r="K654" s="3">
        <v>11867504381410</v>
      </c>
    </row>
    <row r="655" spans="1:11">
      <c r="A655" s="1">
        <v>46197</v>
      </c>
      <c r="B655" t="s">
        <v>1975</v>
      </c>
      <c r="C655">
        <v>3.4710000000000001</v>
      </c>
      <c r="E655" s="1">
        <v>46050</v>
      </c>
      <c r="F655" s="1" t="s">
        <v>163</v>
      </c>
      <c r="G655" s="9">
        <v>7.4</v>
      </c>
      <c r="I655" s="1">
        <v>46199</v>
      </c>
      <c r="J655" s="1" t="s">
        <v>282</v>
      </c>
      <c r="K655" s="3">
        <v>0</v>
      </c>
    </row>
    <row r="656" spans="1:11">
      <c r="A656" s="1">
        <v>46197</v>
      </c>
      <c r="B656" t="s">
        <v>1976</v>
      </c>
      <c r="C656">
        <v>3.5539999999999998</v>
      </c>
      <c r="E656" s="1">
        <v>46049</v>
      </c>
      <c r="F656" s="1" t="s">
        <v>160</v>
      </c>
      <c r="G656" s="9">
        <v>6</v>
      </c>
      <c r="I656" s="1">
        <v>46199</v>
      </c>
      <c r="J656" s="1" t="s">
        <v>283</v>
      </c>
      <c r="K656" s="3">
        <v>7</v>
      </c>
    </row>
    <row r="657" spans="1:11">
      <c r="A657" s="1">
        <v>46197</v>
      </c>
      <c r="B657" t="s">
        <v>1977</v>
      </c>
      <c r="C657">
        <v>3.87</v>
      </c>
      <c r="E657" s="1">
        <v>46049</v>
      </c>
      <c r="F657" s="1" t="s">
        <v>161</v>
      </c>
      <c r="G657" s="9">
        <v>6.3</v>
      </c>
      <c r="I657" s="1">
        <v>46199</v>
      </c>
      <c r="J657" s="1" t="s">
        <v>284</v>
      </c>
      <c r="K657" s="3">
        <v>4447.5200000000004</v>
      </c>
    </row>
    <row r="658" spans="1:11">
      <c r="A658" s="1">
        <v>46197</v>
      </c>
      <c r="B658" t="s">
        <v>1978</v>
      </c>
      <c r="C658">
        <v>4.1849999999999996</v>
      </c>
      <c r="E658" s="1">
        <v>46049</v>
      </c>
      <c r="F658" s="1" t="s">
        <v>162</v>
      </c>
      <c r="G658" s="9">
        <v>6.7</v>
      </c>
      <c r="I658" s="1">
        <v>46199</v>
      </c>
      <c r="J658" s="1" t="s">
        <v>285</v>
      </c>
      <c r="K658" s="3">
        <v>4.5</v>
      </c>
    </row>
    <row r="659" spans="1:11">
      <c r="A659" s="1">
        <v>46197</v>
      </c>
      <c r="B659" t="s">
        <v>1979</v>
      </c>
      <c r="C659">
        <v>4.2460000000000004</v>
      </c>
      <c r="E659" s="1">
        <v>46049</v>
      </c>
      <c r="F659" s="1" t="s">
        <v>163</v>
      </c>
      <c r="G659" s="9">
        <v>7.4</v>
      </c>
      <c r="I659" s="1">
        <v>46199</v>
      </c>
      <c r="J659" s="1" t="s">
        <v>286</v>
      </c>
      <c r="K659" s="3">
        <v>7000</v>
      </c>
    </row>
    <row r="660" spans="1:11">
      <c r="A660" s="1">
        <v>46197</v>
      </c>
      <c r="B660" t="s">
        <v>1980</v>
      </c>
      <c r="C660">
        <v>4.3959999999999999</v>
      </c>
      <c r="E660" s="1">
        <v>46048</v>
      </c>
      <c r="F660" s="1" t="s">
        <v>160</v>
      </c>
      <c r="G660" s="9">
        <v>5.6</v>
      </c>
      <c r="I660" s="1">
        <v>46199</v>
      </c>
      <c r="J660" s="1" t="s">
        <v>287</v>
      </c>
      <c r="K660" s="3">
        <v>229650.73</v>
      </c>
    </row>
    <row r="661" spans="1:11">
      <c r="A661" s="1">
        <v>46197</v>
      </c>
      <c r="B661" t="s">
        <v>1981</v>
      </c>
      <c r="C661">
        <v>4.5709999999999997</v>
      </c>
      <c r="E661" s="1">
        <v>46048</v>
      </c>
      <c r="F661" s="1" t="s">
        <v>161</v>
      </c>
      <c r="G661" s="9">
        <v>5.9</v>
      </c>
      <c r="I661" s="1">
        <v>46199</v>
      </c>
      <c r="J661" s="1" t="s">
        <v>288</v>
      </c>
      <c r="K661" s="3">
        <v>-59530</v>
      </c>
    </row>
    <row r="662" spans="1:11">
      <c r="A662" s="1">
        <v>46197</v>
      </c>
      <c r="B662" t="s">
        <v>1982</v>
      </c>
      <c r="C662">
        <v>4.62</v>
      </c>
      <c r="E662" s="1">
        <v>46048</v>
      </c>
      <c r="F662" s="1" t="s">
        <v>162</v>
      </c>
      <c r="G662" s="9">
        <v>5.75</v>
      </c>
      <c r="I662" s="1">
        <v>46199</v>
      </c>
      <c r="J662" s="1" t="s">
        <v>289</v>
      </c>
      <c r="K662" s="3">
        <v>10</v>
      </c>
    </row>
    <row r="663" spans="1:11">
      <c r="A663" s="1">
        <v>46197</v>
      </c>
      <c r="B663" t="s">
        <v>1983</v>
      </c>
      <c r="C663">
        <v>4.6909999999999998</v>
      </c>
      <c r="E663" s="1">
        <v>46048</v>
      </c>
      <c r="F663" s="1" t="s">
        <v>163</v>
      </c>
      <c r="G663" s="9">
        <v>7.4</v>
      </c>
      <c r="I663" s="1">
        <v>46199</v>
      </c>
      <c r="J663" s="1" t="s">
        <v>290</v>
      </c>
      <c r="K663" s="3">
        <v>10</v>
      </c>
    </row>
    <row r="664" spans="1:11">
      <c r="A664" s="1">
        <v>46196</v>
      </c>
      <c r="B664" t="s">
        <v>1974</v>
      </c>
      <c r="C664">
        <v>3.375</v>
      </c>
      <c r="E664" s="1">
        <v>46045</v>
      </c>
      <c r="F664" s="1" t="s">
        <v>160</v>
      </c>
      <c r="G664" s="9">
        <v>4.5999999999999996</v>
      </c>
      <c r="I664" s="1">
        <v>46198</v>
      </c>
      <c r="J664" s="1" t="s">
        <v>107</v>
      </c>
      <c r="K664" s="3">
        <v>10718104928864</v>
      </c>
    </row>
    <row r="665" spans="1:11">
      <c r="A665" s="1">
        <v>46196</v>
      </c>
      <c r="B665" t="s">
        <v>1975</v>
      </c>
      <c r="C665">
        <v>3.4710000000000001</v>
      </c>
      <c r="E665" s="1">
        <v>46045</v>
      </c>
      <c r="F665" s="1" t="s">
        <v>161</v>
      </c>
      <c r="G665" s="9">
        <v>5.2</v>
      </c>
      <c r="I665" s="1">
        <v>46198</v>
      </c>
      <c r="J665" s="1" t="s">
        <v>282</v>
      </c>
      <c r="K665" s="3">
        <v>0</v>
      </c>
    </row>
    <row r="666" spans="1:11">
      <c r="A666" s="1">
        <v>46196</v>
      </c>
      <c r="B666" t="s">
        <v>1976</v>
      </c>
      <c r="C666">
        <v>3.5539999999999998</v>
      </c>
      <c r="E666" s="1">
        <v>46045</v>
      </c>
      <c r="F666" s="1" t="s">
        <v>162</v>
      </c>
      <c r="G666" s="9">
        <v>5.65</v>
      </c>
      <c r="I666" s="1">
        <v>46198</v>
      </c>
      <c r="J666" s="1" t="s">
        <v>283</v>
      </c>
      <c r="K666" s="3">
        <v>7</v>
      </c>
    </row>
    <row r="667" spans="1:11">
      <c r="A667" s="1">
        <v>46196</v>
      </c>
      <c r="B667" t="s">
        <v>1977</v>
      </c>
      <c r="C667">
        <v>3.87</v>
      </c>
      <c r="E667" s="1">
        <v>46045</v>
      </c>
      <c r="F667" s="1" t="s">
        <v>163</v>
      </c>
      <c r="G667" s="9">
        <v>6.8</v>
      </c>
      <c r="I667" s="1">
        <v>46198</v>
      </c>
      <c r="J667" s="1" t="s">
        <v>284</v>
      </c>
      <c r="K667" s="3">
        <v>1912</v>
      </c>
    </row>
    <row r="668" spans="1:11">
      <c r="A668" s="1">
        <v>46196</v>
      </c>
      <c r="B668" t="s">
        <v>1978</v>
      </c>
      <c r="C668">
        <v>4.1849999999999996</v>
      </c>
      <c r="E668" s="1">
        <v>46044</v>
      </c>
      <c r="F668" s="1" t="s">
        <v>160</v>
      </c>
      <c r="G668" s="9">
        <v>2.8</v>
      </c>
      <c r="I668" s="1">
        <v>46198</v>
      </c>
      <c r="J668" s="1" t="s">
        <v>285</v>
      </c>
      <c r="K668" s="3">
        <v>4.5</v>
      </c>
    </row>
    <row r="669" spans="1:11">
      <c r="A669" s="1">
        <v>46196</v>
      </c>
      <c r="B669" t="s">
        <v>1979</v>
      </c>
      <c r="C669">
        <v>4.2460000000000004</v>
      </c>
      <c r="E669" s="1">
        <v>46044</v>
      </c>
      <c r="F669" s="1" t="s">
        <v>161</v>
      </c>
      <c r="G669" s="9">
        <v>4.2</v>
      </c>
      <c r="I669" s="1">
        <v>46198</v>
      </c>
      <c r="J669" s="1" t="s">
        <v>286</v>
      </c>
      <c r="K669" s="3">
        <v>4000</v>
      </c>
    </row>
    <row r="670" spans="1:11">
      <c r="A670" s="1">
        <v>46196</v>
      </c>
      <c r="B670" t="s">
        <v>1980</v>
      </c>
      <c r="C670">
        <v>4.3940000000000001</v>
      </c>
      <c r="E670" s="1">
        <v>46044</v>
      </c>
      <c r="F670" s="1" t="s">
        <v>162</v>
      </c>
      <c r="G670" s="9">
        <v>4.8</v>
      </c>
      <c r="I670" s="1">
        <v>46198</v>
      </c>
      <c r="J670" s="1" t="s">
        <v>287</v>
      </c>
      <c r="K670" s="3">
        <v>232202.61</v>
      </c>
    </row>
    <row r="671" spans="1:11">
      <c r="A671" s="1">
        <v>46196</v>
      </c>
      <c r="B671" t="s">
        <v>1981</v>
      </c>
      <c r="C671">
        <v>4.5670000000000002</v>
      </c>
      <c r="E671" s="1">
        <v>46044</v>
      </c>
      <c r="F671" s="1" t="s">
        <v>163</v>
      </c>
      <c r="G671" s="9">
        <v>6.75</v>
      </c>
      <c r="I671" s="1">
        <v>46198</v>
      </c>
      <c r="J671" s="1" t="s">
        <v>288</v>
      </c>
      <c r="K671" s="3">
        <v>-61506</v>
      </c>
    </row>
    <row r="672" spans="1:11">
      <c r="A672" s="1">
        <v>46196</v>
      </c>
      <c r="B672" t="s">
        <v>1982</v>
      </c>
      <c r="C672">
        <v>4.62</v>
      </c>
      <c r="E672" s="1">
        <v>46043</v>
      </c>
      <c r="F672" s="1" t="s">
        <v>160</v>
      </c>
      <c r="G672" s="9">
        <v>2.8</v>
      </c>
      <c r="I672" s="1">
        <v>46198</v>
      </c>
      <c r="J672" s="1" t="s">
        <v>289</v>
      </c>
      <c r="K672" s="3">
        <v>6</v>
      </c>
    </row>
    <row r="673" spans="1:11">
      <c r="A673" s="1">
        <v>46196</v>
      </c>
      <c r="B673" t="s">
        <v>1983</v>
      </c>
      <c r="C673">
        <v>4.6909999999999998</v>
      </c>
      <c r="E673" s="1">
        <v>46043</v>
      </c>
      <c r="F673" s="1" t="s">
        <v>161</v>
      </c>
      <c r="G673" s="9">
        <v>4.0999999999999996</v>
      </c>
      <c r="I673" s="1">
        <v>46198</v>
      </c>
      <c r="J673" s="1" t="s">
        <v>290</v>
      </c>
      <c r="K673" s="3">
        <v>6</v>
      </c>
    </row>
    <row r="674" spans="1:11">
      <c r="A674" s="1">
        <v>46195</v>
      </c>
      <c r="B674" t="s">
        <v>1974</v>
      </c>
      <c r="C674">
        <v>3.375</v>
      </c>
      <c r="E674" s="1">
        <v>46043</v>
      </c>
      <c r="F674" s="1" t="s">
        <v>162</v>
      </c>
      <c r="G674" s="9">
        <v>5.05</v>
      </c>
      <c r="I674" s="1">
        <v>46197</v>
      </c>
      <c r="J674" s="1" t="s">
        <v>282</v>
      </c>
      <c r="K674" s="3">
        <v>0</v>
      </c>
    </row>
    <row r="675" spans="1:11">
      <c r="A675" s="1">
        <v>46195</v>
      </c>
      <c r="B675" t="s">
        <v>1975</v>
      </c>
      <c r="C675">
        <v>3.4710000000000001</v>
      </c>
      <c r="E675" s="1">
        <v>46043</v>
      </c>
      <c r="F675" s="1" t="s">
        <v>163</v>
      </c>
      <c r="G675" s="9">
        <v>6.8</v>
      </c>
      <c r="I675" s="1">
        <v>46197</v>
      </c>
      <c r="J675" s="1" t="s">
        <v>283</v>
      </c>
      <c r="K675" s="3">
        <v>7</v>
      </c>
    </row>
    <row r="676" spans="1:11">
      <c r="A676" s="1">
        <v>46195</v>
      </c>
      <c r="B676" t="s">
        <v>1976</v>
      </c>
      <c r="C676">
        <v>3.5539999999999998</v>
      </c>
      <c r="E676" s="1">
        <v>46042</v>
      </c>
      <c r="F676" s="1" t="s">
        <v>160</v>
      </c>
      <c r="G676" s="9">
        <v>2.8</v>
      </c>
      <c r="I676" s="1">
        <v>46197</v>
      </c>
      <c r="J676" s="1" t="s">
        <v>284</v>
      </c>
      <c r="K676" s="3">
        <v>1973.09</v>
      </c>
    </row>
    <row r="677" spans="1:11">
      <c r="A677" s="1">
        <v>46195</v>
      </c>
      <c r="B677" t="s">
        <v>1977</v>
      </c>
      <c r="C677">
        <v>3.8660000000000001</v>
      </c>
      <c r="E677" s="1">
        <v>46042</v>
      </c>
      <c r="F677" s="1" t="s">
        <v>161</v>
      </c>
      <c r="G677" s="9">
        <v>4.0999999999999996</v>
      </c>
      <c r="I677" s="1">
        <v>46197</v>
      </c>
      <c r="J677" s="1" t="s">
        <v>285</v>
      </c>
      <c r="K677" s="3">
        <v>4.5</v>
      </c>
    </row>
    <row r="678" spans="1:11">
      <c r="A678" s="1">
        <v>46195</v>
      </c>
      <c r="B678" t="s">
        <v>1978</v>
      </c>
      <c r="C678">
        <v>4.1779999999999999</v>
      </c>
      <c r="E678" s="1">
        <v>46042</v>
      </c>
      <c r="F678" s="1" t="s">
        <v>162</v>
      </c>
      <c r="G678" s="9">
        <v>5.15</v>
      </c>
      <c r="I678" s="1">
        <v>46197</v>
      </c>
      <c r="J678" s="1" t="s">
        <v>286</v>
      </c>
      <c r="K678" s="3">
        <v>8000</v>
      </c>
    </row>
    <row r="679" spans="1:11">
      <c r="A679" s="1">
        <v>46195</v>
      </c>
      <c r="B679" t="s">
        <v>1979</v>
      </c>
      <c r="C679">
        <v>4.2460000000000004</v>
      </c>
      <c r="E679" s="1">
        <v>46042</v>
      </c>
      <c r="F679" s="1" t="s">
        <v>163</v>
      </c>
      <c r="G679" s="9">
        <v>6.8</v>
      </c>
      <c r="I679" s="1">
        <v>46197</v>
      </c>
      <c r="J679" s="1" t="s">
        <v>287</v>
      </c>
      <c r="K679" s="3">
        <v>234290.61</v>
      </c>
    </row>
    <row r="680" spans="1:11">
      <c r="A680" s="1">
        <v>46195</v>
      </c>
      <c r="B680" t="s">
        <v>1980</v>
      </c>
      <c r="C680">
        <v>4.3970000000000002</v>
      </c>
      <c r="E680" s="1">
        <v>46041</v>
      </c>
      <c r="F680" s="1" t="s">
        <v>160</v>
      </c>
      <c r="G680" s="9">
        <v>3.4</v>
      </c>
      <c r="I680" s="1">
        <v>46197</v>
      </c>
      <c r="J680" s="1" t="s">
        <v>288</v>
      </c>
      <c r="K680" s="3">
        <v>-59000</v>
      </c>
    </row>
    <row r="681" spans="1:11">
      <c r="A681" s="1">
        <v>46195</v>
      </c>
      <c r="B681" t="s">
        <v>1981</v>
      </c>
      <c r="C681">
        <v>4.569</v>
      </c>
      <c r="E681" s="1">
        <v>46041</v>
      </c>
      <c r="F681" s="1" t="s">
        <v>161</v>
      </c>
      <c r="G681" s="9">
        <v>4.5999999999999996</v>
      </c>
      <c r="I681" s="1">
        <v>46197</v>
      </c>
      <c r="J681" s="1" t="s">
        <v>289</v>
      </c>
      <c r="K681" s="3">
        <v>10</v>
      </c>
    </row>
    <row r="682" spans="1:11">
      <c r="A682" s="1">
        <v>46195</v>
      </c>
      <c r="B682" t="s">
        <v>1982</v>
      </c>
      <c r="C682">
        <v>4.62</v>
      </c>
      <c r="E682" s="1">
        <v>46041</v>
      </c>
      <c r="F682" s="1" t="s">
        <v>162</v>
      </c>
      <c r="G682" s="9">
        <v>5.3</v>
      </c>
      <c r="I682" s="1">
        <v>46197</v>
      </c>
      <c r="J682" s="1" t="s">
        <v>290</v>
      </c>
      <c r="K682" s="3">
        <v>10</v>
      </c>
    </row>
    <row r="683" spans="1:11">
      <c r="A683" s="1">
        <v>46195</v>
      </c>
      <c r="B683" t="s">
        <v>1983</v>
      </c>
      <c r="C683">
        <v>4.6909999999999998</v>
      </c>
      <c r="E683" s="1">
        <v>46041</v>
      </c>
      <c r="F683" s="1" t="s">
        <v>163</v>
      </c>
      <c r="G683" s="9">
        <v>6.4</v>
      </c>
      <c r="I683" s="1">
        <v>46197</v>
      </c>
      <c r="J683" s="1" t="s">
        <v>107</v>
      </c>
      <c r="K683" s="3">
        <v>10885449324982</v>
      </c>
    </row>
    <row r="684" spans="1:11">
      <c r="A684" s="1">
        <v>46192</v>
      </c>
      <c r="B684" t="s">
        <v>1974</v>
      </c>
      <c r="C684">
        <v>3.375</v>
      </c>
      <c r="E684" s="1">
        <v>46038</v>
      </c>
      <c r="F684" s="1" t="s">
        <v>160</v>
      </c>
      <c r="G684" s="9">
        <v>3.8</v>
      </c>
      <c r="I684" s="1">
        <v>46196</v>
      </c>
      <c r="J684" s="1" t="s">
        <v>107</v>
      </c>
      <c r="K684" s="3">
        <v>11230822337654</v>
      </c>
    </row>
    <row r="685" spans="1:11">
      <c r="A685" s="1">
        <v>46192</v>
      </c>
      <c r="B685" t="s">
        <v>1975</v>
      </c>
      <c r="C685">
        <v>3.4710000000000001</v>
      </c>
      <c r="E685" s="1">
        <v>46038</v>
      </c>
      <c r="F685" s="1" t="s">
        <v>161</v>
      </c>
      <c r="G685" s="9">
        <v>4.5999999999999996</v>
      </c>
      <c r="I685" s="1">
        <v>46196</v>
      </c>
      <c r="J685" s="1" t="s">
        <v>282</v>
      </c>
      <c r="K685" s="3">
        <v>0</v>
      </c>
    </row>
    <row r="686" spans="1:11">
      <c r="A686" s="1">
        <v>46192</v>
      </c>
      <c r="B686" t="s">
        <v>1976</v>
      </c>
      <c r="C686">
        <v>3.5539999999999998</v>
      </c>
      <c r="E686" s="1">
        <v>46038</v>
      </c>
      <c r="F686" s="1" t="s">
        <v>162</v>
      </c>
      <c r="G686" s="9">
        <v>5.5</v>
      </c>
      <c r="I686" s="1">
        <v>46196</v>
      </c>
      <c r="J686" s="1" t="s">
        <v>283</v>
      </c>
      <c r="K686" s="3">
        <v>7</v>
      </c>
    </row>
    <row r="687" spans="1:11">
      <c r="A687" s="1">
        <v>46192</v>
      </c>
      <c r="B687" t="s">
        <v>1977</v>
      </c>
      <c r="C687">
        <v>3.871</v>
      </c>
      <c r="E687" s="1">
        <v>46038</v>
      </c>
      <c r="F687" s="1" t="s">
        <v>163</v>
      </c>
      <c r="G687" s="9">
        <v>6.55</v>
      </c>
      <c r="I687" s="1">
        <v>46196</v>
      </c>
      <c r="J687" s="1" t="s">
        <v>284</v>
      </c>
      <c r="K687" s="3">
        <v>7627.94</v>
      </c>
    </row>
    <row r="688" spans="1:11">
      <c r="A688" s="1">
        <v>46192</v>
      </c>
      <c r="B688" t="s">
        <v>1978</v>
      </c>
      <c r="C688">
        <v>4.1890000000000001</v>
      </c>
      <c r="E688" s="1">
        <v>46037</v>
      </c>
      <c r="F688" s="1" t="s">
        <v>160</v>
      </c>
      <c r="G688" s="9">
        <v>4.2</v>
      </c>
      <c r="I688" s="1">
        <v>46196</v>
      </c>
      <c r="J688" s="1" t="s">
        <v>285</v>
      </c>
      <c r="K688" s="3">
        <v>4.5</v>
      </c>
    </row>
    <row r="689" spans="1:11">
      <c r="A689" s="1">
        <v>46192</v>
      </c>
      <c r="B689" t="s">
        <v>1979</v>
      </c>
      <c r="C689">
        <v>4.2460000000000004</v>
      </c>
      <c r="E689" s="1">
        <v>46037</v>
      </c>
      <c r="F689" s="1" t="s">
        <v>161</v>
      </c>
      <c r="G689" s="9">
        <v>4.9000000000000004</v>
      </c>
      <c r="I689" s="1">
        <v>46196</v>
      </c>
      <c r="J689" s="1" t="s">
        <v>286</v>
      </c>
      <c r="K689" s="3">
        <v>6000</v>
      </c>
    </row>
    <row r="690" spans="1:11">
      <c r="A690" s="1">
        <v>46192</v>
      </c>
      <c r="B690" t="s">
        <v>1980</v>
      </c>
      <c r="C690">
        <v>4.3899999999999997</v>
      </c>
      <c r="E690" s="1">
        <v>46037</v>
      </c>
      <c r="F690" s="1" t="s">
        <v>162</v>
      </c>
      <c r="G690" s="9">
        <v>5.25</v>
      </c>
      <c r="I690" s="1">
        <v>46196</v>
      </c>
      <c r="J690" s="1" t="s">
        <v>287</v>
      </c>
      <c r="K690" s="3">
        <v>240317.52</v>
      </c>
    </row>
    <row r="691" spans="1:11">
      <c r="A691" s="1">
        <v>46192</v>
      </c>
      <c r="B691" t="s">
        <v>1981</v>
      </c>
      <c r="C691">
        <v>4.5659999999999998</v>
      </c>
      <c r="E691" s="1">
        <v>46037</v>
      </c>
      <c r="F691" s="1" t="s">
        <v>163</v>
      </c>
      <c r="G691" s="9">
        <v>6.3</v>
      </c>
      <c r="I691" s="1">
        <v>46196</v>
      </c>
      <c r="J691" s="1" t="s">
        <v>288</v>
      </c>
      <c r="K691" s="3">
        <v>-53000</v>
      </c>
    </row>
    <row r="692" spans="1:11">
      <c r="A692" s="1">
        <v>46192</v>
      </c>
      <c r="B692" t="s">
        <v>1982</v>
      </c>
      <c r="C692">
        <v>4.62</v>
      </c>
      <c r="E692" s="1">
        <v>46036</v>
      </c>
      <c r="F692" s="1" t="s">
        <v>160</v>
      </c>
      <c r="G692" s="9">
        <v>4.0999999999999996</v>
      </c>
      <c r="I692" s="1">
        <v>46196</v>
      </c>
      <c r="J692" s="1" t="s">
        <v>289</v>
      </c>
      <c r="K692" s="3">
        <v>13</v>
      </c>
    </row>
    <row r="693" spans="1:11">
      <c r="A693" s="1">
        <v>46192</v>
      </c>
      <c r="B693" t="s">
        <v>1983</v>
      </c>
      <c r="C693">
        <v>4.6909999999999998</v>
      </c>
      <c r="E693" s="1">
        <v>46036</v>
      </c>
      <c r="F693" s="1" t="s">
        <v>161</v>
      </c>
      <c r="G693" s="9">
        <v>4.8</v>
      </c>
      <c r="I693" s="1">
        <v>46196</v>
      </c>
      <c r="J693" s="1" t="s">
        <v>290</v>
      </c>
      <c r="K693" s="3">
        <v>13</v>
      </c>
    </row>
    <row r="694" spans="1:11">
      <c r="A694" s="1">
        <v>46191</v>
      </c>
      <c r="B694" t="s">
        <v>1974</v>
      </c>
      <c r="C694">
        <v>3.371</v>
      </c>
      <c r="E694" s="1">
        <v>46036</v>
      </c>
      <c r="F694" s="1" t="s">
        <v>162</v>
      </c>
      <c r="G694" s="9">
        <v>5.15</v>
      </c>
      <c r="I694" s="1">
        <v>46195</v>
      </c>
      <c r="J694" s="1" t="s">
        <v>282</v>
      </c>
      <c r="K694" s="3">
        <v>0</v>
      </c>
    </row>
    <row r="695" spans="1:11">
      <c r="A695" s="1">
        <v>46191</v>
      </c>
      <c r="B695" t="s">
        <v>1975</v>
      </c>
      <c r="C695">
        <v>3.4670000000000001</v>
      </c>
      <c r="E695" s="1">
        <v>46036</v>
      </c>
      <c r="F695" s="1" t="s">
        <v>163</v>
      </c>
      <c r="G695" s="9">
        <v>6.1</v>
      </c>
      <c r="I695" s="1">
        <v>46195</v>
      </c>
      <c r="J695" s="1" t="s">
        <v>283</v>
      </c>
      <c r="K695" s="3">
        <v>7</v>
      </c>
    </row>
    <row r="696" spans="1:11">
      <c r="A696" s="1">
        <v>46191</v>
      </c>
      <c r="B696" t="s">
        <v>1976</v>
      </c>
      <c r="C696">
        <v>3.55</v>
      </c>
      <c r="E696" s="1">
        <v>46035</v>
      </c>
      <c r="F696" s="1" t="s">
        <v>160</v>
      </c>
      <c r="G696" s="9">
        <v>4</v>
      </c>
      <c r="I696" s="1">
        <v>46195</v>
      </c>
      <c r="J696" s="1" t="s">
        <v>284</v>
      </c>
      <c r="K696" s="3">
        <v>15000</v>
      </c>
    </row>
    <row r="697" spans="1:11">
      <c r="A697" s="1">
        <v>46191</v>
      </c>
      <c r="B697" t="s">
        <v>1977</v>
      </c>
      <c r="C697">
        <v>3.8660000000000001</v>
      </c>
      <c r="E697" s="1">
        <v>46035</v>
      </c>
      <c r="F697" s="1" t="s">
        <v>161</v>
      </c>
      <c r="G697" s="9">
        <v>4.5999999999999996</v>
      </c>
      <c r="I697" s="1">
        <v>46195</v>
      </c>
      <c r="J697" s="1" t="s">
        <v>285</v>
      </c>
      <c r="K697" s="3">
        <v>4.5</v>
      </c>
    </row>
    <row r="698" spans="1:11">
      <c r="A698" s="1">
        <v>46191</v>
      </c>
      <c r="B698" t="s">
        <v>1978</v>
      </c>
      <c r="C698">
        <v>4.1820000000000004</v>
      </c>
      <c r="E698" s="1">
        <v>46035</v>
      </c>
      <c r="F698" s="1" t="s">
        <v>162</v>
      </c>
      <c r="G698" s="9">
        <v>5.05</v>
      </c>
      <c r="I698" s="1">
        <v>46195</v>
      </c>
      <c r="J698" s="1" t="s">
        <v>286</v>
      </c>
      <c r="K698" s="3">
        <v>2000</v>
      </c>
    </row>
    <row r="699" spans="1:11">
      <c r="A699" s="1">
        <v>46191</v>
      </c>
      <c r="B699" t="s">
        <v>1979</v>
      </c>
      <c r="C699">
        <v>4.2350000000000003</v>
      </c>
      <c r="E699" s="1">
        <v>46035</v>
      </c>
      <c r="F699" s="1" t="s">
        <v>163</v>
      </c>
      <c r="G699" s="9">
        <v>6.3</v>
      </c>
      <c r="I699" s="1">
        <v>46195</v>
      </c>
      <c r="J699" s="1" t="s">
        <v>287</v>
      </c>
      <c r="K699" s="3">
        <v>238689.58</v>
      </c>
    </row>
    <row r="700" spans="1:11">
      <c r="A700" s="1">
        <v>46191</v>
      </c>
      <c r="B700" t="s">
        <v>1980</v>
      </c>
      <c r="C700">
        <v>4.3849999999999998</v>
      </c>
      <c r="E700" s="1">
        <v>46034</v>
      </c>
      <c r="F700" s="1" t="s">
        <v>160</v>
      </c>
      <c r="G700" s="9">
        <v>4</v>
      </c>
      <c r="I700" s="1">
        <v>46195</v>
      </c>
      <c r="J700" s="1" t="s">
        <v>288</v>
      </c>
      <c r="K700" s="3">
        <v>-42000</v>
      </c>
    </row>
    <row r="701" spans="1:11">
      <c r="A701" s="1">
        <v>46191</v>
      </c>
      <c r="B701" t="s">
        <v>1981</v>
      </c>
      <c r="C701">
        <v>4.5599999999999996</v>
      </c>
      <c r="E701" s="1">
        <v>46034</v>
      </c>
      <c r="F701" s="1" t="s">
        <v>161</v>
      </c>
      <c r="G701" s="9">
        <v>4.5</v>
      </c>
      <c r="I701" s="1">
        <v>46195</v>
      </c>
      <c r="J701" s="1" t="s">
        <v>289</v>
      </c>
      <c r="K701" s="3">
        <v>16</v>
      </c>
    </row>
    <row r="702" spans="1:11">
      <c r="A702" s="1">
        <v>46191</v>
      </c>
      <c r="B702" t="s">
        <v>1982</v>
      </c>
      <c r="C702">
        <v>4.6079999999999997</v>
      </c>
      <c r="E702" s="1">
        <v>46034</v>
      </c>
      <c r="F702" s="1" t="s">
        <v>162</v>
      </c>
      <c r="G702" s="9">
        <v>4.95</v>
      </c>
      <c r="I702" s="1">
        <v>46195</v>
      </c>
      <c r="J702" s="1" t="s">
        <v>290</v>
      </c>
      <c r="K702" s="3">
        <v>16</v>
      </c>
    </row>
    <row r="703" spans="1:11">
      <c r="A703" s="1">
        <v>46191</v>
      </c>
      <c r="B703" t="s">
        <v>1983</v>
      </c>
      <c r="C703">
        <v>4.6829999999999998</v>
      </c>
      <c r="E703" s="1">
        <v>46034</v>
      </c>
      <c r="F703" s="1" t="s">
        <v>163</v>
      </c>
      <c r="G703" s="9">
        <v>6.3</v>
      </c>
      <c r="I703" s="1">
        <v>46195</v>
      </c>
      <c r="J703" s="1" t="s">
        <v>107</v>
      </c>
      <c r="K703" s="3">
        <v>11057216574767</v>
      </c>
    </row>
    <row r="704" spans="1:11">
      <c r="A704" s="1">
        <v>46190</v>
      </c>
      <c r="B704" t="s">
        <v>1974</v>
      </c>
      <c r="C704">
        <v>3.363</v>
      </c>
      <c r="E704" s="1">
        <v>46031</v>
      </c>
      <c r="F704" s="1" t="s">
        <v>160</v>
      </c>
      <c r="G704" s="9">
        <v>3</v>
      </c>
      <c r="I704" s="1">
        <v>46194</v>
      </c>
      <c r="J704" s="1" t="s">
        <v>107</v>
      </c>
      <c r="K704" s="3">
        <v>10328863518412</v>
      </c>
    </row>
    <row r="705" spans="1:11">
      <c r="A705" s="1">
        <v>46190</v>
      </c>
      <c r="B705" t="s">
        <v>1975</v>
      </c>
      <c r="C705">
        <v>3.4580000000000002</v>
      </c>
      <c r="E705" s="1">
        <v>46031</v>
      </c>
      <c r="F705" s="1" t="s">
        <v>161</v>
      </c>
      <c r="G705" s="9">
        <v>3.95</v>
      </c>
      <c r="I705" s="1">
        <v>46192</v>
      </c>
      <c r="J705" s="1" t="s">
        <v>282</v>
      </c>
      <c r="K705" s="3">
        <v>0</v>
      </c>
    </row>
    <row r="706" spans="1:11">
      <c r="A706" s="1">
        <v>46190</v>
      </c>
      <c r="B706" t="s">
        <v>1976</v>
      </c>
      <c r="C706">
        <v>3.5419999999999998</v>
      </c>
      <c r="E706" s="1">
        <v>46031</v>
      </c>
      <c r="F706" s="1" t="s">
        <v>162</v>
      </c>
      <c r="G706" s="9">
        <v>4.8</v>
      </c>
      <c r="I706" s="1">
        <v>46192</v>
      </c>
      <c r="J706" s="1" t="s">
        <v>283</v>
      </c>
      <c r="K706" s="3">
        <v>7</v>
      </c>
    </row>
    <row r="707" spans="1:11">
      <c r="A707" s="1">
        <v>46190</v>
      </c>
      <c r="B707" t="s">
        <v>1977</v>
      </c>
      <c r="C707">
        <v>3.8479999999999999</v>
      </c>
      <c r="E707" s="1">
        <v>46031</v>
      </c>
      <c r="F707" s="1" t="s">
        <v>163</v>
      </c>
      <c r="G707" s="9">
        <v>6.3</v>
      </c>
      <c r="I707" s="1">
        <v>46192</v>
      </c>
      <c r="J707" s="1" t="s">
        <v>284</v>
      </c>
      <c r="K707" s="3">
        <v>5544.16</v>
      </c>
    </row>
    <row r="708" spans="1:11">
      <c r="A708" s="1">
        <v>46190</v>
      </c>
      <c r="B708" t="s">
        <v>1978</v>
      </c>
      <c r="C708">
        <v>4.1539999999999999</v>
      </c>
      <c r="E708" s="1">
        <v>46030</v>
      </c>
      <c r="F708" s="1" t="s">
        <v>160</v>
      </c>
      <c r="G708" s="9">
        <v>3.6</v>
      </c>
      <c r="I708" s="1">
        <v>46192</v>
      </c>
      <c r="J708" s="1" t="s">
        <v>285</v>
      </c>
      <c r="K708" s="3">
        <v>4.5</v>
      </c>
    </row>
    <row r="709" spans="1:11">
      <c r="A709" s="1">
        <v>46190</v>
      </c>
      <c r="B709" t="s">
        <v>1979</v>
      </c>
      <c r="C709">
        <v>4.1989999999999998</v>
      </c>
      <c r="E709" s="1">
        <v>46030</v>
      </c>
      <c r="F709" s="1" t="s">
        <v>161</v>
      </c>
      <c r="G709" s="9">
        <v>4.3</v>
      </c>
      <c r="I709" s="1">
        <v>46192</v>
      </c>
      <c r="J709" s="1" t="s">
        <v>286</v>
      </c>
      <c r="K709" s="3">
        <v>6000</v>
      </c>
    </row>
    <row r="710" spans="1:11">
      <c r="A710" s="1">
        <v>46190</v>
      </c>
      <c r="B710" t="s">
        <v>1980</v>
      </c>
      <c r="C710">
        <v>4.3520000000000003</v>
      </c>
      <c r="E710" s="1">
        <v>46030</v>
      </c>
      <c r="F710" s="1" t="s">
        <v>162</v>
      </c>
      <c r="G710" s="9">
        <v>5.0999999999999996</v>
      </c>
      <c r="I710" s="1">
        <v>46192</v>
      </c>
      <c r="J710" s="1" t="s">
        <v>287</v>
      </c>
      <c r="K710" s="3">
        <v>225689.58</v>
      </c>
    </row>
    <row r="711" spans="1:11">
      <c r="A711" s="1">
        <v>46190</v>
      </c>
      <c r="B711" t="s">
        <v>1981</v>
      </c>
      <c r="C711">
        <v>4.5430000000000001</v>
      </c>
      <c r="E711" s="1">
        <v>46030</v>
      </c>
      <c r="F711" s="1" t="s">
        <v>163</v>
      </c>
      <c r="G711" s="9">
        <v>6.3</v>
      </c>
      <c r="I711" s="1">
        <v>46192</v>
      </c>
      <c r="J711" s="1" t="s">
        <v>288</v>
      </c>
      <c r="K711" s="3">
        <v>-27000</v>
      </c>
    </row>
    <row r="712" spans="1:11">
      <c r="A712" s="1">
        <v>46190</v>
      </c>
      <c r="B712" t="s">
        <v>1982</v>
      </c>
      <c r="C712">
        <v>4.6020000000000003</v>
      </c>
      <c r="E712" s="1">
        <v>46029</v>
      </c>
      <c r="F712" s="1" t="s">
        <v>160</v>
      </c>
      <c r="G712" s="9">
        <v>4.7</v>
      </c>
      <c r="I712" s="1">
        <v>46192</v>
      </c>
      <c r="J712" s="1" t="s">
        <v>289</v>
      </c>
      <c r="K712" s="3">
        <v>9</v>
      </c>
    </row>
    <row r="713" spans="1:11">
      <c r="A713" s="1">
        <v>46190</v>
      </c>
      <c r="B713" t="s">
        <v>1983</v>
      </c>
      <c r="C713">
        <v>4.6790000000000003</v>
      </c>
      <c r="E713" s="1">
        <v>46029</v>
      </c>
      <c r="F713" s="1" t="s">
        <v>161</v>
      </c>
      <c r="G713" s="9">
        <v>5.2</v>
      </c>
      <c r="I713" s="1">
        <v>46192</v>
      </c>
      <c r="J713" s="1" t="s">
        <v>290</v>
      </c>
      <c r="K713" s="3">
        <v>9</v>
      </c>
    </row>
    <row r="714" spans="1:11">
      <c r="A714" s="1">
        <v>46189</v>
      </c>
      <c r="B714" t="s">
        <v>1974</v>
      </c>
      <c r="C714">
        <v>3.363</v>
      </c>
      <c r="E714" s="1">
        <v>46029</v>
      </c>
      <c r="F714" s="1" t="s">
        <v>162</v>
      </c>
      <c r="G714" s="9">
        <v>5.8</v>
      </c>
      <c r="I714" s="1">
        <v>46191</v>
      </c>
      <c r="J714" s="1" t="s">
        <v>107</v>
      </c>
      <c r="K714" s="3">
        <v>10776806261476</v>
      </c>
    </row>
    <row r="715" spans="1:11">
      <c r="A715" s="1">
        <v>46189</v>
      </c>
      <c r="B715" t="s">
        <v>1975</v>
      </c>
      <c r="C715">
        <v>3.45</v>
      </c>
      <c r="E715" s="1">
        <v>46029</v>
      </c>
      <c r="F715" s="1" t="s">
        <v>163</v>
      </c>
      <c r="G715" s="9">
        <v>6.5</v>
      </c>
      <c r="I715" s="1">
        <v>46191</v>
      </c>
      <c r="J715" s="1" t="s">
        <v>282</v>
      </c>
      <c r="K715" s="3">
        <v>0</v>
      </c>
    </row>
    <row r="716" spans="1:11">
      <c r="A716" s="1">
        <v>46189</v>
      </c>
      <c r="B716" t="s">
        <v>1976</v>
      </c>
      <c r="C716">
        <v>3.5419999999999998</v>
      </c>
      <c r="E716" s="1">
        <v>46028</v>
      </c>
      <c r="F716" s="1" t="s">
        <v>160</v>
      </c>
      <c r="G716" s="9">
        <v>5.7</v>
      </c>
      <c r="I716" s="1">
        <v>46191</v>
      </c>
      <c r="J716" s="1" t="s">
        <v>283</v>
      </c>
      <c r="K716" s="3">
        <v>7</v>
      </c>
    </row>
    <row r="717" spans="1:11">
      <c r="A717" s="1">
        <v>46189</v>
      </c>
      <c r="B717" t="s">
        <v>1977</v>
      </c>
      <c r="C717">
        <v>3.8479999999999999</v>
      </c>
      <c r="E717" s="1">
        <v>46028</v>
      </c>
      <c r="F717" s="1" t="s">
        <v>161</v>
      </c>
      <c r="G717" s="9">
        <v>6</v>
      </c>
      <c r="I717" s="1">
        <v>46191</v>
      </c>
      <c r="J717" s="1" t="s">
        <v>284</v>
      </c>
      <c r="K717" s="3">
        <v>8000</v>
      </c>
    </row>
    <row r="718" spans="1:11">
      <c r="A718" s="1">
        <v>46189</v>
      </c>
      <c r="B718" t="s">
        <v>1978</v>
      </c>
      <c r="C718">
        <v>4.1539999999999999</v>
      </c>
      <c r="E718" s="1">
        <v>46028</v>
      </c>
      <c r="F718" s="1" t="s">
        <v>162</v>
      </c>
      <c r="G718" s="9">
        <v>7.05</v>
      </c>
      <c r="I718" s="1">
        <v>46191</v>
      </c>
      <c r="J718" s="1" t="s">
        <v>285</v>
      </c>
      <c r="K718" s="3">
        <v>4.5</v>
      </c>
    </row>
    <row r="719" spans="1:11">
      <c r="A719" s="1">
        <v>46189</v>
      </c>
      <c r="B719" t="s">
        <v>1979</v>
      </c>
      <c r="C719">
        <v>4.1989999999999998</v>
      </c>
      <c r="E719" s="1">
        <v>46028</v>
      </c>
      <c r="F719" s="1" t="s">
        <v>163</v>
      </c>
      <c r="G719" s="9">
        <v>6.95</v>
      </c>
      <c r="I719" s="1">
        <v>46191</v>
      </c>
      <c r="J719" s="1" t="s">
        <v>286</v>
      </c>
      <c r="K719" s="3">
        <v>12000</v>
      </c>
    </row>
    <row r="720" spans="1:11">
      <c r="A720" s="1">
        <v>46189</v>
      </c>
      <c r="B720" t="s">
        <v>1980</v>
      </c>
      <c r="C720">
        <v>4.3499999999999996</v>
      </c>
      <c r="E720" s="1">
        <v>46027</v>
      </c>
      <c r="F720" s="1" t="s">
        <v>160</v>
      </c>
      <c r="G720" s="9">
        <v>7</v>
      </c>
      <c r="I720" s="1">
        <v>46191</v>
      </c>
      <c r="J720" s="1" t="s">
        <v>287</v>
      </c>
      <c r="K720" s="3">
        <v>226145.42</v>
      </c>
    </row>
    <row r="721" spans="1:11">
      <c r="A721" s="1">
        <v>46189</v>
      </c>
      <c r="B721" t="s">
        <v>1981</v>
      </c>
      <c r="C721">
        <v>4.5430000000000001</v>
      </c>
      <c r="E721" s="1">
        <v>46027</v>
      </c>
      <c r="F721" s="1" t="s">
        <v>161</v>
      </c>
      <c r="G721" s="9">
        <v>7.3</v>
      </c>
      <c r="I721" s="1">
        <v>46191</v>
      </c>
      <c r="J721" s="1" t="s">
        <v>288</v>
      </c>
      <c r="K721" s="3">
        <v>-26000</v>
      </c>
    </row>
    <row r="722" spans="1:11">
      <c r="A722" s="1">
        <v>46189</v>
      </c>
      <c r="B722" t="s">
        <v>1982</v>
      </c>
      <c r="C722">
        <v>4.5810000000000004</v>
      </c>
      <c r="E722" s="1">
        <v>46027</v>
      </c>
      <c r="F722" s="1" t="s">
        <v>162</v>
      </c>
      <c r="G722" s="9">
        <v>7.35</v>
      </c>
      <c r="I722" s="1">
        <v>46191</v>
      </c>
      <c r="J722" s="1" t="s">
        <v>289</v>
      </c>
      <c r="K722" s="3">
        <v>11</v>
      </c>
    </row>
    <row r="723" spans="1:11">
      <c r="A723" s="1">
        <v>46189</v>
      </c>
      <c r="B723" t="s">
        <v>1983</v>
      </c>
      <c r="C723">
        <v>4.6580000000000004</v>
      </c>
      <c r="E723" s="1">
        <v>46027</v>
      </c>
      <c r="F723" s="1" t="s">
        <v>163</v>
      </c>
      <c r="G723" s="9">
        <v>7.65</v>
      </c>
      <c r="I723" s="1">
        <v>46191</v>
      </c>
      <c r="J723" s="1" t="s">
        <v>290</v>
      </c>
      <c r="K723" s="3">
        <v>11</v>
      </c>
    </row>
    <row r="724" spans="1:11">
      <c r="A724" s="1">
        <v>46188</v>
      </c>
      <c r="B724" t="s">
        <v>1974</v>
      </c>
      <c r="C724">
        <v>3.363</v>
      </c>
      <c r="E724" s="1">
        <v>46022</v>
      </c>
      <c r="F724" s="1" t="s">
        <v>160</v>
      </c>
      <c r="G724" s="9">
        <v>8.6999999999999993</v>
      </c>
      <c r="I724" s="1">
        <v>46190</v>
      </c>
      <c r="J724" s="1" t="s">
        <v>107</v>
      </c>
      <c r="K724" s="3">
        <v>10044550103112</v>
      </c>
    </row>
    <row r="725" spans="1:11">
      <c r="A725" s="1">
        <v>46188</v>
      </c>
      <c r="B725" t="s">
        <v>1975</v>
      </c>
      <c r="C725">
        <v>3.4580000000000002</v>
      </c>
      <c r="E725" s="1">
        <v>46022</v>
      </c>
      <c r="F725" s="1" t="s">
        <v>161</v>
      </c>
      <c r="G725" s="9">
        <v>9.1</v>
      </c>
      <c r="I725" s="1">
        <v>46190</v>
      </c>
      <c r="J725" s="1" t="s">
        <v>282</v>
      </c>
      <c r="K725" s="3">
        <v>0</v>
      </c>
    </row>
    <row r="726" spans="1:11">
      <c r="A726" s="1">
        <v>46188</v>
      </c>
      <c r="B726" t="s">
        <v>1976</v>
      </c>
      <c r="C726">
        <v>3.5419999999999998</v>
      </c>
      <c r="E726" s="1">
        <v>46022</v>
      </c>
      <c r="F726" s="1" t="s">
        <v>162</v>
      </c>
      <c r="G726" s="9">
        <v>9.1999999999999993</v>
      </c>
      <c r="I726" s="1">
        <v>46190</v>
      </c>
      <c r="J726" s="1" t="s">
        <v>283</v>
      </c>
      <c r="K726" s="3">
        <v>7</v>
      </c>
    </row>
    <row r="727" spans="1:11">
      <c r="A727" s="1">
        <v>46188</v>
      </c>
      <c r="B727" t="s">
        <v>1977</v>
      </c>
      <c r="C727">
        <v>3.8439999999999999</v>
      </c>
      <c r="E727" s="1">
        <v>46022</v>
      </c>
      <c r="F727" s="1" t="s">
        <v>163</v>
      </c>
      <c r="G727" s="9">
        <v>8.1</v>
      </c>
      <c r="I727" s="1">
        <v>46190</v>
      </c>
      <c r="J727" s="1" t="s">
        <v>284</v>
      </c>
      <c r="K727" s="3">
        <v>8000</v>
      </c>
    </row>
    <row r="728" spans="1:11">
      <c r="A728" s="1">
        <v>46188</v>
      </c>
      <c r="B728" t="s">
        <v>1978</v>
      </c>
      <c r="C728">
        <v>4.1459999999999999</v>
      </c>
      <c r="E728" s="1">
        <v>46021</v>
      </c>
      <c r="F728" s="1" t="s">
        <v>160</v>
      </c>
      <c r="G728" s="9">
        <v>1.8</v>
      </c>
      <c r="I728" s="1">
        <v>46190</v>
      </c>
      <c r="J728" s="1" t="s">
        <v>285</v>
      </c>
      <c r="K728" s="3">
        <v>4.5</v>
      </c>
    </row>
    <row r="729" spans="1:11">
      <c r="A729" s="1">
        <v>46188</v>
      </c>
      <c r="B729" t="s">
        <v>1979</v>
      </c>
      <c r="C729">
        <v>4.1929999999999996</v>
      </c>
      <c r="E729" s="1">
        <v>46021</v>
      </c>
      <c r="F729" s="1" t="s">
        <v>161</v>
      </c>
      <c r="G729" s="9">
        <v>9.01</v>
      </c>
      <c r="I729" s="1">
        <v>46190</v>
      </c>
      <c r="J729" s="1" t="s">
        <v>286</v>
      </c>
      <c r="K729" s="3">
        <v>17938</v>
      </c>
    </row>
    <row r="730" spans="1:11">
      <c r="A730" s="1">
        <v>46188</v>
      </c>
      <c r="B730" t="s">
        <v>1980</v>
      </c>
      <c r="C730">
        <v>4.3499999999999996</v>
      </c>
      <c r="E730" s="1">
        <v>46021</v>
      </c>
      <c r="F730" s="1" t="s">
        <v>162</v>
      </c>
      <c r="G730" s="9">
        <v>9.1999999999999993</v>
      </c>
      <c r="I730" s="1">
        <v>46190</v>
      </c>
      <c r="J730" s="1" t="s">
        <v>287</v>
      </c>
      <c r="K730" s="3">
        <v>230145.42</v>
      </c>
    </row>
    <row r="731" spans="1:11">
      <c r="A731" s="1">
        <v>46188</v>
      </c>
      <c r="B731" t="s">
        <v>1981</v>
      </c>
      <c r="C731">
        <v>4.5430000000000001</v>
      </c>
      <c r="E731" s="1">
        <v>46021</v>
      </c>
      <c r="F731" s="1" t="s">
        <v>163</v>
      </c>
      <c r="G731" s="9">
        <v>8.18</v>
      </c>
      <c r="I731" s="1">
        <v>46190</v>
      </c>
      <c r="J731" s="1" t="s">
        <v>288</v>
      </c>
      <c r="K731" s="3">
        <v>-34000</v>
      </c>
    </row>
    <row r="732" spans="1:11">
      <c r="A732" s="1">
        <v>46188</v>
      </c>
      <c r="B732" t="s">
        <v>1982</v>
      </c>
      <c r="C732">
        <v>4.5940000000000003</v>
      </c>
      <c r="E732" s="1">
        <v>46020</v>
      </c>
      <c r="F732" s="1" t="s">
        <v>160</v>
      </c>
      <c r="G732" s="9">
        <v>3.3</v>
      </c>
      <c r="I732" s="1">
        <v>46190</v>
      </c>
      <c r="J732" s="1" t="s">
        <v>289</v>
      </c>
      <c r="K732" s="3">
        <v>16</v>
      </c>
    </row>
    <row r="733" spans="1:11">
      <c r="A733" s="1">
        <v>46188</v>
      </c>
      <c r="B733" t="s">
        <v>1983</v>
      </c>
      <c r="C733">
        <v>4.6710000000000003</v>
      </c>
      <c r="E733" s="1">
        <v>46020</v>
      </c>
      <c r="F733" s="1" t="s">
        <v>161</v>
      </c>
      <c r="G733" s="9">
        <v>8.5</v>
      </c>
      <c r="I733" s="1">
        <v>46190</v>
      </c>
      <c r="J733" s="1" t="s">
        <v>290</v>
      </c>
      <c r="K733" s="3">
        <v>16</v>
      </c>
    </row>
    <row r="734" spans="1:11">
      <c r="A734" s="1">
        <v>46185</v>
      </c>
      <c r="B734" t="s">
        <v>1974</v>
      </c>
      <c r="C734">
        <v>3.363</v>
      </c>
      <c r="E734" s="1">
        <v>46020</v>
      </c>
      <c r="F734" s="1" t="s">
        <v>162</v>
      </c>
      <c r="G734" s="9">
        <v>8.6999999999999993</v>
      </c>
      <c r="I734" s="1">
        <v>46189</v>
      </c>
      <c r="J734" s="1" t="s">
        <v>282</v>
      </c>
      <c r="K734" s="3">
        <v>0</v>
      </c>
    </row>
    <row r="735" spans="1:11">
      <c r="A735" s="1">
        <v>46185</v>
      </c>
      <c r="B735" t="s">
        <v>1975</v>
      </c>
      <c r="C735">
        <v>3.4580000000000002</v>
      </c>
      <c r="E735" s="1">
        <v>46020</v>
      </c>
      <c r="F735" s="1" t="s">
        <v>163</v>
      </c>
      <c r="G735" s="9">
        <v>7.75</v>
      </c>
      <c r="I735" s="1">
        <v>46189</v>
      </c>
      <c r="J735" s="1" t="s">
        <v>283</v>
      </c>
      <c r="K735" s="3">
        <v>7</v>
      </c>
    </row>
    <row r="736" spans="1:11">
      <c r="A736" s="1">
        <v>46185</v>
      </c>
      <c r="B736" t="s">
        <v>1976</v>
      </c>
      <c r="C736">
        <v>3.5419999999999998</v>
      </c>
      <c r="E736" s="1">
        <v>46017</v>
      </c>
      <c r="F736" s="1" t="s">
        <v>160</v>
      </c>
      <c r="G736" s="9">
        <v>4.3</v>
      </c>
      <c r="I736" s="1">
        <v>46189</v>
      </c>
      <c r="J736" s="1" t="s">
        <v>284</v>
      </c>
      <c r="K736" s="3">
        <v>4000</v>
      </c>
    </row>
    <row r="737" spans="1:11">
      <c r="A737" s="1">
        <v>46185</v>
      </c>
      <c r="B737" t="s">
        <v>1977</v>
      </c>
      <c r="C737">
        <v>3.8439999999999999</v>
      </c>
      <c r="E737" s="1">
        <v>46017</v>
      </c>
      <c r="F737" s="1" t="s">
        <v>161</v>
      </c>
      <c r="G737" s="9">
        <v>8.5500000000000007</v>
      </c>
      <c r="I737" s="1">
        <v>46189</v>
      </c>
      <c r="J737" s="1" t="s">
        <v>285</v>
      </c>
      <c r="K737" s="3">
        <v>4.5</v>
      </c>
    </row>
    <row r="738" spans="1:11">
      <c r="A738" s="1">
        <v>46185</v>
      </c>
      <c r="B738" t="s">
        <v>1978</v>
      </c>
      <c r="C738">
        <v>4.1459999999999999</v>
      </c>
      <c r="E738" s="1">
        <v>46017</v>
      </c>
      <c r="F738" s="1" t="s">
        <v>162</v>
      </c>
      <c r="G738" s="9">
        <v>8.73</v>
      </c>
      <c r="I738" s="1">
        <v>46189</v>
      </c>
      <c r="J738" s="1" t="s">
        <v>286</v>
      </c>
      <c r="K738" s="3">
        <v>22000</v>
      </c>
    </row>
    <row r="739" spans="1:11">
      <c r="A739" s="1">
        <v>46185</v>
      </c>
      <c r="B739" t="s">
        <v>1979</v>
      </c>
      <c r="C739">
        <v>4.1929999999999996</v>
      </c>
      <c r="E739" s="1">
        <v>46017</v>
      </c>
      <c r="F739" s="1" t="s">
        <v>163</v>
      </c>
      <c r="G739" s="9">
        <v>7.6</v>
      </c>
      <c r="I739" s="1">
        <v>46189</v>
      </c>
      <c r="J739" s="1" t="s">
        <v>287</v>
      </c>
      <c r="K739" s="3">
        <v>240083.42</v>
      </c>
    </row>
    <row r="740" spans="1:11">
      <c r="A740" s="1">
        <v>46185</v>
      </c>
      <c r="B740" t="s">
        <v>1980</v>
      </c>
      <c r="C740">
        <v>4.3470000000000004</v>
      </c>
      <c r="E740" s="1">
        <v>46016</v>
      </c>
      <c r="F740" s="1" t="s">
        <v>160</v>
      </c>
      <c r="G740" s="9">
        <v>5.5</v>
      </c>
      <c r="I740" s="1">
        <v>46189</v>
      </c>
      <c r="J740" s="1" t="s">
        <v>288</v>
      </c>
      <c r="K740" s="3">
        <v>-43938</v>
      </c>
    </row>
    <row r="741" spans="1:11">
      <c r="A741" s="1">
        <v>46185</v>
      </c>
      <c r="B741" t="s">
        <v>1981</v>
      </c>
      <c r="C741">
        <v>4.5419999999999998</v>
      </c>
      <c r="E741" s="1">
        <v>46016</v>
      </c>
      <c r="F741" s="1" t="s">
        <v>161</v>
      </c>
      <c r="G741" s="9">
        <v>6.7</v>
      </c>
      <c r="I741" s="1">
        <v>46189</v>
      </c>
      <c r="J741" s="1" t="s">
        <v>289</v>
      </c>
      <c r="K741" s="3">
        <v>13</v>
      </c>
    </row>
    <row r="742" spans="1:11">
      <c r="A742" s="1">
        <v>46185</v>
      </c>
      <c r="B742" t="s">
        <v>1982</v>
      </c>
      <c r="C742">
        <v>4.5940000000000003</v>
      </c>
      <c r="E742" s="1">
        <v>46016</v>
      </c>
      <c r="F742" s="1" t="s">
        <v>162</v>
      </c>
      <c r="G742" s="9">
        <v>8.6999999999999993</v>
      </c>
      <c r="I742" s="1">
        <v>46189</v>
      </c>
      <c r="J742" s="1" t="s">
        <v>290</v>
      </c>
      <c r="K742" s="3">
        <v>13</v>
      </c>
    </row>
    <row r="743" spans="1:11">
      <c r="A743" s="1">
        <v>46185</v>
      </c>
      <c r="B743" t="s">
        <v>1983</v>
      </c>
      <c r="C743">
        <v>4.6710000000000003</v>
      </c>
      <c r="E743" s="1">
        <v>46016</v>
      </c>
      <c r="F743" s="1" t="s">
        <v>163</v>
      </c>
      <c r="G743" s="9">
        <v>7.6</v>
      </c>
      <c r="I743" s="1">
        <v>46189</v>
      </c>
      <c r="J743" s="1" t="s">
        <v>107</v>
      </c>
      <c r="K743" s="3">
        <v>10309863512919</v>
      </c>
    </row>
    <row r="744" spans="1:11">
      <c r="A744" s="1">
        <v>46184</v>
      </c>
      <c r="B744" t="s">
        <v>1974</v>
      </c>
      <c r="C744">
        <v>3.3580000000000001</v>
      </c>
      <c r="E744" s="1">
        <v>46015</v>
      </c>
      <c r="F744" s="1" t="s">
        <v>160</v>
      </c>
      <c r="G744" s="9">
        <v>6.3</v>
      </c>
      <c r="I744" s="1">
        <v>46188</v>
      </c>
      <c r="J744" s="1" t="s">
        <v>282</v>
      </c>
      <c r="K744" s="3">
        <v>0</v>
      </c>
    </row>
    <row r="745" spans="1:11">
      <c r="A745" s="1">
        <v>46184</v>
      </c>
      <c r="B745" t="s">
        <v>1975</v>
      </c>
      <c r="C745">
        <v>3.4540000000000002</v>
      </c>
      <c r="E745" s="1">
        <v>46015</v>
      </c>
      <c r="F745" s="1" t="s">
        <v>161</v>
      </c>
      <c r="G745" s="9">
        <v>6.8</v>
      </c>
      <c r="I745" s="1">
        <v>46188</v>
      </c>
      <c r="J745" s="1" t="s">
        <v>283</v>
      </c>
      <c r="K745" s="3">
        <v>7</v>
      </c>
    </row>
    <row r="746" spans="1:11">
      <c r="A746" s="1">
        <v>46184</v>
      </c>
      <c r="B746" t="s">
        <v>1976</v>
      </c>
      <c r="C746">
        <v>3.5379999999999998</v>
      </c>
      <c r="E746" s="1">
        <v>46015</v>
      </c>
      <c r="F746" s="1" t="s">
        <v>162</v>
      </c>
      <c r="G746" s="9">
        <v>8.6999999999999993</v>
      </c>
      <c r="I746" s="1">
        <v>46188</v>
      </c>
      <c r="J746" s="1" t="s">
        <v>284</v>
      </c>
      <c r="K746" s="3">
        <v>2000</v>
      </c>
    </row>
    <row r="747" spans="1:11">
      <c r="A747" s="1">
        <v>46184</v>
      </c>
      <c r="B747" t="s">
        <v>1977</v>
      </c>
      <c r="C747">
        <v>3.8420000000000001</v>
      </c>
      <c r="E747" s="1">
        <v>46015</v>
      </c>
      <c r="F747" s="1" t="s">
        <v>163</v>
      </c>
      <c r="G747" s="9">
        <v>7.6</v>
      </c>
      <c r="I747" s="1">
        <v>46188</v>
      </c>
      <c r="J747" s="1" t="s">
        <v>285</v>
      </c>
      <c r="K747" s="3">
        <v>4.5</v>
      </c>
    </row>
    <row r="748" spans="1:11">
      <c r="A748" s="1">
        <v>46184</v>
      </c>
      <c r="B748" t="s">
        <v>1978</v>
      </c>
      <c r="C748">
        <v>4.1459999999999999</v>
      </c>
      <c r="E748" s="1">
        <v>46014</v>
      </c>
      <c r="F748" s="1" t="s">
        <v>160</v>
      </c>
      <c r="G748" s="9">
        <v>6.5</v>
      </c>
      <c r="I748" s="1">
        <v>46188</v>
      </c>
      <c r="J748" s="1" t="s">
        <v>286</v>
      </c>
      <c r="K748" s="3">
        <v>24122</v>
      </c>
    </row>
    <row r="749" spans="1:11">
      <c r="A749" s="1">
        <v>46184</v>
      </c>
      <c r="B749" t="s">
        <v>1979</v>
      </c>
      <c r="C749">
        <v>4.1929999999999996</v>
      </c>
      <c r="E749" s="1">
        <v>46014</v>
      </c>
      <c r="F749" s="1" t="s">
        <v>161</v>
      </c>
      <c r="G749" s="9">
        <v>7</v>
      </c>
      <c r="I749" s="1">
        <v>46188</v>
      </c>
      <c r="J749" s="1" t="s">
        <v>287</v>
      </c>
      <c r="K749" s="3">
        <v>258083.42</v>
      </c>
    </row>
    <row r="750" spans="1:11">
      <c r="A750" s="1">
        <v>46184</v>
      </c>
      <c r="B750" t="s">
        <v>1980</v>
      </c>
      <c r="C750">
        <v>4.3470000000000004</v>
      </c>
      <c r="E750" s="1">
        <v>46014</v>
      </c>
      <c r="F750" s="1" t="s">
        <v>162</v>
      </c>
      <c r="G750" s="9">
        <v>7.8</v>
      </c>
      <c r="I750" s="1">
        <v>46188</v>
      </c>
      <c r="J750" s="1" t="s">
        <v>288</v>
      </c>
      <c r="K750" s="3">
        <v>-59938</v>
      </c>
    </row>
    <row r="751" spans="1:11">
      <c r="A751" s="1">
        <v>46184</v>
      </c>
      <c r="B751" t="s">
        <v>1981</v>
      </c>
      <c r="C751">
        <v>4.5389999999999997</v>
      </c>
      <c r="E751" s="1">
        <v>46014</v>
      </c>
      <c r="F751" s="1" t="s">
        <v>163</v>
      </c>
      <c r="G751" s="9">
        <v>7.53</v>
      </c>
      <c r="I751" s="1">
        <v>46188</v>
      </c>
      <c r="J751" s="1" t="s">
        <v>289</v>
      </c>
      <c r="K751" s="3">
        <v>6</v>
      </c>
    </row>
    <row r="752" spans="1:11">
      <c r="A752" s="1">
        <v>46184</v>
      </c>
      <c r="B752" t="s">
        <v>1982</v>
      </c>
      <c r="C752">
        <v>4.59</v>
      </c>
      <c r="E752" s="1">
        <v>46013</v>
      </c>
      <c r="F752" s="1" t="s">
        <v>160</v>
      </c>
      <c r="G752" s="9">
        <v>6.7</v>
      </c>
      <c r="I752" s="1">
        <v>46188</v>
      </c>
      <c r="J752" s="1" t="s">
        <v>290</v>
      </c>
      <c r="K752" s="3">
        <v>6</v>
      </c>
    </row>
    <row r="753" spans="1:11">
      <c r="A753" s="1">
        <v>46184</v>
      </c>
      <c r="B753" t="s">
        <v>1983</v>
      </c>
      <c r="C753">
        <v>4.6539999999999999</v>
      </c>
      <c r="E753" s="1">
        <v>46013</v>
      </c>
      <c r="F753" s="1" t="s">
        <v>161</v>
      </c>
      <c r="G753" s="9">
        <v>7.1</v>
      </c>
      <c r="I753" s="1">
        <v>46188</v>
      </c>
      <c r="J753" s="1" t="s">
        <v>107</v>
      </c>
      <c r="K753" s="3">
        <v>11997656518810</v>
      </c>
    </row>
    <row r="754" spans="1:11">
      <c r="A754" s="1">
        <v>46183</v>
      </c>
      <c r="B754" t="s">
        <v>1974</v>
      </c>
      <c r="C754">
        <v>3.3460000000000001</v>
      </c>
      <c r="E754" s="1">
        <v>46013</v>
      </c>
      <c r="F754" s="1" t="s">
        <v>162</v>
      </c>
      <c r="G754" s="9">
        <v>7.78</v>
      </c>
      <c r="I754" s="1">
        <v>46187</v>
      </c>
      <c r="J754" s="1" t="s">
        <v>107</v>
      </c>
      <c r="K754" s="3">
        <v>11997656518810</v>
      </c>
    </row>
    <row r="755" spans="1:11">
      <c r="A755" s="1">
        <v>46183</v>
      </c>
      <c r="B755" t="s">
        <v>1975</v>
      </c>
      <c r="C755">
        <v>3.4420000000000002</v>
      </c>
      <c r="E755" s="1">
        <v>46013</v>
      </c>
      <c r="F755" s="1" t="s">
        <v>163</v>
      </c>
      <c r="G755" s="9">
        <v>7.4</v>
      </c>
      <c r="I755" s="1">
        <v>46185</v>
      </c>
      <c r="J755" s="1" t="s">
        <v>282</v>
      </c>
      <c r="K755" s="3">
        <v>0</v>
      </c>
    </row>
    <row r="756" spans="1:11">
      <c r="A756" s="1">
        <v>46183</v>
      </c>
      <c r="B756" t="s">
        <v>1976</v>
      </c>
      <c r="C756">
        <v>3.5249999999999999</v>
      </c>
      <c r="E756" s="1">
        <v>46010</v>
      </c>
      <c r="F756" s="1" t="s">
        <v>160</v>
      </c>
      <c r="G756" s="9">
        <v>5.7</v>
      </c>
      <c r="I756" s="1">
        <v>46185</v>
      </c>
      <c r="J756" s="1" t="s">
        <v>283</v>
      </c>
      <c r="K756" s="3">
        <v>7</v>
      </c>
    </row>
    <row r="757" spans="1:11">
      <c r="A757" s="1">
        <v>46183</v>
      </c>
      <c r="B757" t="s">
        <v>1977</v>
      </c>
      <c r="C757">
        <v>3.827</v>
      </c>
      <c r="E757" s="1">
        <v>46010</v>
      </c>
      <c r="F757" s="1" t="s">
        <v>161</v>
      </c>
      <c r="G757" s="9">
        <v>6.15</v>
      </c>
      <c r="I757" s="1">
        <v>46185</v>
      </c>
      <c r="J757" s="1" t="s">
        <v>284</v>
      </c>
      <c r="K757" s="3">
        <v>1217.45</v>
      </c>
    </row>
    <row r="758" spans="1:11">
      <c r="A758" s="1">
        <v>46183</v>
      </c>
      <c r="B758" t="s">
        <v>1978</v>
      </c>
      <c r="C758">
        <v>4.1289999999999996</v>
      </c>
      <c r="E758" s="1">
        <v>46010</v>
      </c>
      <c r="F758" s="1" t="s">
        <v>162</v>
      </c>
      <c r="G758" s="9">
        <v>7.5</v>
      </c>
      <c r="I758" s="1">
        <v>46185</v>
      </c>
      <c r="J758" s="1" t="s">
        <v>285</v>
      </c>
      <c r="K758" s="3">
        <v>4.5</v>
      </c>
    </row>
    <row r="759" spans="1:11">
      <c r="A759" s="1">
        <v>46183</v>
      </c>
      <c r="B759" t="s">
        <v>1979</v>
      </c>
      <c r="C759">
        <v>4.1790000000000003</v>
      </c>
      <c r="E759" s="1">
        <v>46010</v>
      </c>
      <c r="F759" s="1" t="s">
        <v>163</v>
      </c>
      <c r="G759" s="9">
        <v>7.4</v>
      </c>
      <c r="I759" s="1">
        <v>46185</v>
      </c>
      <c r="J759" s="1" t="s">
        <v>286</v>
      </c>
      <c r="K759" s="3">
        <v>10000</v>
      </c>
    </row>
    <row r="760" spans="1:11">
      <c r="A760" s="1">
        <v>46183</v>
      </c>
      <c r="B760" t="s">
        <v>1980</v>
      </c>
      <c r="C760">
        <v>4.34</v>
      </c>
      <c r="E760" s="1">
        <v>46009</v>
      </c>
      <c r="F760" s="1" t="s">
        <v>160</v>
      </c>
      <c r="G760" s="9">
        <v>4.5999999999999996</v>
      </c>
      <c r="I760" s="1">
        <v>46185</v>
      </c>
      <c r="J760" s="1" t="s">
        <v>287</v>
      </c>
      <c r="K760" s="3">
        <v>280205.42</v>
      </c>
    </row>
    <row r="761" spans="1:11">
      <c r="A761" s="1">
        <v>46183</v>
      </c>
      <c r="B761" t="s">
        <v>1981</v>
      </c>
      <c r="C761">
        <v>4.5380000000000003</v>
      </c>
      <c r="E761" s="1">
        <v>46009</v>
      </c>
      <c r="F761" s="1" t="s">
        <v>161</v>
      </c>
      <c r="G761" s="9">
        <v>5.0999999999999996</v>
      </c>
      <c r="I761" s="1">
        <v>46185</v>
      </c>
      <c r="J761" s="1" t="s">
        <v>288</v>
      </c>
      <c r="K761" s="3">
        <v>-82060</v>
      </c>
    </row>
    <row r="762" spans="1:11">
      <c r="A762" s="1">
        <v>46183</v>
      </c>
      <c r="B762" t="s">
        <v>1982</v>
      </c>
      <c r="C762">
        <v>4.5839999999999996</v>
      </c>
      <c r="E762" s="1">
        <v>46009</v>
      </c>
      <c r="F762" s="1" t="s">
        <v>162</v>
      </c>
      <c r="G762" s="9">
        <v>7.2</v>
      </c>
      <c r="I762" s="1">
        <v>46185</v>
      </c>
      <c r="J762" s="1" t="s">
        <v>289</v>
      </c>
      <c r="K762" s="3">
        <v>8</v>
      </c>
    </row>
    <row r="763" spans="1:11">
      <c r="A763" s="1">
        <v>46183</v>
      </c>
      <c r="B763" t="s">
        <v>1983</v>
      </c>
      <c r="C763">
        <v>4.6449999999999996</v>
      </c>
      <c r="E763" s="1">
        <v>46009</v>
      </c>
      <c r="F763" s="1" t="s">
        <v>163</v>
      </c>
      <c r="G763" s="9">
        <v>7.1</v>
      </c>
      <c r="I763" s="1">
        <v>46185</v>
      </c>
      <c r="J763" s="1" t="s">
        <v>290</v>
      </c>
      <c r="K763" s="3">
        <v>8</v>
      </c>
    </row>
    <row r="764" spans="1:11">
      <c r="A764" s="1">
        <v>46182</v>
      </c>
      <c r="B764" t="s">
        <v>1974</v>
      </c>
      <c r="C764">
        <v>3.3439999999999999</v>
      </c>
      <c r="E764" s="1">
        <v>46008</v>
      </c>
      <c r="F764" s="1" t="s">
        <v>160</v>
      </c>
      <c r="G764" s="9">
        <v>4.5</v>
      </c>
      <c r="I764" s="1">
        <v>46184</v>
      </c>
      <c r="J764" s="1" t="s">
        <v>107</v>
      </c>
      <c r="K764" s="3">
        <v>13377454439073</v>
      </c>
    </row>
    <row r="765" spans="1:11">
      <c r="A765" s="1">
        <v>46182</v>
      </c>
      <c r="B765" t="s">
        <v>1975</v>
      </c>
      <c r="C765">
        <v>3.44</v>
      </c>
      <c r="E765" s="1">
        <v>46008</v>
      </c>
      <c r="F765" s="1" t="s">
        <v>161</v>
      </c>
      <c r="G765" s="9">
        <v>5</v>
      </c>
      <c r="I765" s="1">
        <v>46184</v>
      </c>
      <c r="J765" s="1" t="s">
        <v>282</v>
      </c>
      <c r="K765" s="3">
        <v>1000</v>
      </c>
    </row>
    <row r="766" spans="1:11">
      <c r="A766" s="1">
        <v>46182</v>
      </c>
      <c r="B766" t="s">
        <v>1976</v>
      </c>
      <c r="C766">
        <v>3.5230000000000001</v>
      </c>
      <c r="E766" s="1">
        <v>46008</v>
      </c>
      <c r="F766" s="1" t="s">
        <v>162</v>
      </c>
      <c r="G766" s="9">
        <v>6.5</v>
      </c>
      <c r="I766" s="1">
        <v>46184</v>
      </c>
      <c r="J766" s="1" t="s">
        <v>283</v>
      </c>
      <c r="K766" s="3">
        <v>7</v>
      </c>
    </row>
    <row r="767" spans="1:11">
      <c r="A767" s="1">
        <v>46182</v>
      </c>
      <c r="B767" t="s">
        <v>1977</v>
      </c>
      <c r="C767">
        <v>3.8260000000000001</v>
      </c>
      <c r="E767" s="1">
        <v>46008</v>
      </c>
      <c r="F767" s="1" t="s">
        <v>163</v>
      </c>
      <c r="G767" s="9">
        <v>7.1</v>
      </c>
      <c r="I767" s="1">
        <v>46184</v>
      </c>
      <c r="J767" s="1" t="s">
        <v>284</v>
      </c>
      <c r="K767" s="3">
        <v>2934</v>
      </c>
    </row>
    <row r="768" spans="1:11">
      <c r="A768" s="1">
        <v>46182</v>
      </c>
      <c r="B768" t="s">
        <v>1978</v>
      </c>
      <c r="C768">
        <v>4.1289999999999996</v>
      </c>
      <c r="E768" s="1">
        <v>46007</v>
      </c>
      <c r="F768" s="1" t="s">
        <v>160</v>
      </c>
      <c r="G768" s="9">
        <v>5.3</v>
      </c>
      <c r="I768" s="1">
        <v>46184</v>
      </c>
      <c r="J768" s="1" t="s">
        <v>285</v>
      </c>
      <c r="K768" s="3">
        <v>4.5</v>
      </c>
    </row>
    <row r="769" spans="1:11">
      <c r="A769" s="1">
        <v>46182</v>
      </c>
      <c r="B769" t="s">
        <v>1979</v>
      </c>
      <c r="C769">
        <v>4.1740000000000004</v>
      </c>
      <c r="E769" s="1">
        <v>46007</v>
      </c>
      <c r="F769" s="1" t="s">
        <v>161</v>
      </c>
      <c r="G769" s="9">
        <v>5.8</v>
      </c>
      <c r="I769" s="1">
        <v>46184</v>
      </c>
      <c r="J769" s="1" t="s">
        <v>286</v>
      </c>
      <c r="K769" s="3">
        <v>5000</v>
      </c>
    </row>
    <row r="770" spans="1:11">
      <c r="A770" s="1">
        <v>46182</v>
      </c>
      <c r="B770" t="s">
        <v>1980</v>
      </c>
      <c r="C770">
        <v>4.3390000000000004</v>
      </c>
      <c r="E770" s="1">
        <v>46007</v>
      </c>
      <c r="F770" s="1" t="s">
        <v>162</v>
      </c>
      <c r="G770" s="9">
        <v>6.7</v>
      </c>
      <c r="I770" s="1">
        <v>46184</v>
      </c>
      <c r="J770" s="1" t="s">
        <v>287</v>
      </c>
      <c r="K770" s="3">
        <v>288987.96999999997</v>
      </c>
    </row>
    <row r="771" spans="1:11">
      <c r="A771" s="1">
        <v>46182</v>
      </c>
      <c r="B771" t="s">
        <v>1981</v>
      </c>
      <c r="C771">
        <v>4.5229999999999997</v>
      </c>
      <c r="E771" s="1">
        <v>46007</v>
      </c>
      <c r="F771" s="1" t="s">
        <v>163</v>
      </c>
      <c r="G771" s="9">
        <v>7.15</v>
      </c>
      <c r="I771" s="1">
        <v>46184</v>
      </c>
      <c r="J771" s="1" t="s">
        <v>288</v>
      </c>
      <c r="K771" s="3">
        <v>-86060</v>
      </c>
    </row>
    <row r="772" spans="1:11">
      <c r="A772" s="1">
        <v>46182</v>
      </c>
      <c r="B772" t="s">
        <v>1982</v>
      </c>
      <c r="C772">
        <v>4.585</v>
      </c>
      <c r="E772" s="1">
        <v>46006</v>
      </c>
      <c r="F772" s="1" t="s">
        <v>160</v>
      </c>
      <c r="G772" s="9">
        <v>6.3</v>
      </c>
      <c r="I772" s="1">
        <v>46184</v>
      </c>
      <c r="J772" s="1" t="s">
        <v>289</v>
      </c>
      <c r="K772" s="3">
        <v>12</v>
      </c>
    </row>
    <row r="773" spans="1:11">
      <c r="A773" s="1">
        <v>46182</v>
      </c>
      <c r="B773" t="s">
        <v>1983</v>
      </c>
      <c r="C773">
        <v>4.6459999999999999</v>
      </c>
      <c r="E773" s="1">
        <v>46006</v>
      </c>
      <c r="F773" s="1" t="s">
        <v>161</v>
      </c>
      <c r="G773" s="9">
        <v>6.5</v>
      </c>
      <c r="I773" s="1">
        <v>46184</v>
      </c>
      <c r="J773" s="1" t="s">
        <v>290</v>
      </c>
      <c r="K773" s="3">
        <v>12</v>
      </c>
    </row>
    <row r="774" spans="1:11">
      <c r="A774" s="1">
        <v>46181</v>
      </c>
      <c r="B774" t="s">
        <v>1974</v>
      </c>
      <c r="C774">
        <v>3.3439999999999999</v>
      </c>
      <c r="E774" s="1">
        <v>46006</v>
      </c>
      <c r="F774" s="1" t="s">
        <v>162</v>
      </c>
      <c r="G774" s="9">
        <v>7.5</v>
      </c>
      <c r="I774" s="1">
        <v>46183</v>
      </c>
      <c r="J774" s="1" t="s">
        <v>107</v>
      </c>
      <c r="K774" s="3">
        <v>13631887623434</v>
      </c>
    </row>
    <row r="775" spans="1:11">
      <c r="A775" s="1">
        <v>46181</v>
      </c>
      <c r="B775" t="s">
        <v>1975</v>
      </c>
      <c r="C775">
        <v>3.44</v>
      </c>
      <c r="E775" s="1">
        <v>46006</v>
      </c>
      <c r="F775" s="1" t="s">
        <v>163</v>
      </c>
      <c r="G775" s="9">
        <v>7.4</v>
      </c>
      <c r="I775" s="1">
        <v>46183</v>
      </c>
      <c r="J775" s="1" t="s">
        <v>282</v>
      </c>
      <c r="K775" s="3">
        <v>1000</v>
      </c>
    </row>
    <row r="776" spans="1:11">
      <c r="A776" s="1">
        <v>46181</v>
      </c>
      <c r="B776" t="s">
        <v>1976</v>
      </c>
      <c r="C776">
        <v>3.5230000000000001</v>
      </c>
      <c r="E776" s="1">
        <v>46003</v>
      </c>
      <c r="F776" s="1" t="s">
        <v>160</v>
      </c>
      <c r="G776" s="9">
        <v>7.1</v>
      </c>
      <c r="I776" s="1">
        <v>46183</v>
      </c>
      <c r="J776" s="1" t="s">
        <v>283</v>
      </c>
      <c r="K776" s="3">
        <v>7</v>
      </c>
    </row>
    <row r="777" spans="1:11">
      <c r="A777" s="1">
        <v>46181</v>
      </c>
      <c r="B777" t="s">
        <v>1977</v>
      </c>
      <c r="C777">
        <v>3.8260000000000001</v>
      </c>
      <c r="E777" s="1">
        <v>46003</v>
      </c>
      <c r="F777" s="1" t="s">
        <v>161</v>
      </c>
      <c r="G777" s="9">
        <v>7.3</v>
      </c>
      <c r="I777" s="1">
        <v>46183</v>
      </c>
      <c r="J777" s="1" t="s">
        <v>284</v>
      </c>
      <c r="K777" s="3">
        <v>2938</v>
      </c>
    </row>
    <row r="778" spans="1:11">
      <c r="A778" s="1">
        <v>46181</v>
      </c>
      <c r="B778" t="s">
        <v>1978</v>
      </c>
      <c r="C778">
        <v>4.1289999999999996</v>
      </c>
      <c r="E778" s="1">
        <v>46003</v>
      </c>
      <c r="F778" s="1" t="s">
        <v>162</v>
      </c>
      <c r="G778" s="9">
        <v>7.6</v>
      </c>
      <c r="I778" s="1">
        <v>46183</v>
      </c>
      <c r="J778" s="1" t="s">
        <v>285</v>
      </c>
      <c r="K778" s="3">
        <v>4.5</v>
      </c>
    </row>
    <row r="779" spans="1:11">
      <c r="A779" s="1">
        <v>46181</v>
      </c>
      <c r="B779" t="s">
        <v>1979</v>
      </c>
      <c r="C779">
        <v>4.1740000000000004</v>
      </c>
      <c r="E779" s="1">
        <v>46003</v>
      </c>
      <c r="F779" s="1" t="s">
        <v>163</v>
      </c>
      <c r="G779" s="9">
        <v>7.4</v>
      </c>
      <c r="I779" s="1">
        <v>46183</v>
      </c>
      <c r="J779" s="1" t="s">
        <v>286</v>
      </c>
      <c r="K779" s="3">
        <v>7628.89</v>
      </c>
    </row>
    <row r="780" spans="1:11">
      <c r="A780" s="1">
        <v>46181</v>
      </c>
      <c r="B780" t="s">
        <v>1980</v>
      </c>
      <c r="C780">
        <v>4.335</v>
      </c>
      <c r="E780" s="1">
        <v>46002</v>
      </c>
      <c r="F780" s="1" t="s">
        <v>160</v>
      </c>
      <c r="G780" s="9">
        <v>7.4</v>
      </c>
      <c r="I780" s="1">
        <v>46183</v>
      </c>
      <c r="J780" s="1" t="s">
        <v>287</v>
      </c>
      <c r="K780" s="3">
        <v>291053.96999999997</v>
      </c>
    </row>
    <row r="781" spans="1:11">
      <c r="A781" s="1">
        <v>46181</v>
      </c>
      <c r="B781" t="s">
        <v>1981</v>
      </c>
      <c r="C781">
        <v>4.5199999999999996</v>
      </c>
      <c r="E781" s="1">
        <v>46002</v>
      </c>
      <c r="F781" s="1" t="s">
        <v>161</v>
      </c>
      <c r="G781" s="9">
        <v>7.5</v>
      </c>
      <c r="I781" s="1">
        <v>46183</v>
      </c>
      <c r="J781" s="1" t="s">
        <v>288</v>
      </c>
      <c r="K781" s="3">
        <v>-79060</v>
      </c>
    </row>
    <row r="782" spans="1:11">
      <c r="A782" s="1">
        <v>46181</v>
      </c>
      <c r="B782" t="s">
        <v>1982</v>
      </c>
      <c r="C782">
        <v>4.5810000000000004</v>
      </c>
      <c r="E782" s="1">
        <v>46002</v>
      </c>
      <c r="F782" s="1" t="s">
        <v>162</v>
      </c>
      <c r="G782" s="9">
        <v>7.5</v>
      </c>
      <c r="I782" s="1">
        <v>46183</v>
      </c>
      <c r="J782" s="1" t="s">
        <v>289</v>
      </c>
      <c r="K782" s="3">
        <v>12</v>
      </c>
    </row>
    <row r="783" spans="1:11">
      <c r="A783" s="1">
        <v>46181</v>
      </c>
      <c r="B783" t="s">
        <v>1983</v>
      </c>
      <c r="C783">
        <v>4.6459999999999999</v>
      </c>
      <c r="E783" s="1">
        <v>46002</v>
      </c>
      <c r="F783" s="1" t="s">
        <v>163</v>
      </c>
      <c r="G783" s="9">
        <v>7.4</v>
      </c>
      <c r="I783" s="1">
        <v>46183</v>
      </c>
      <c r="J783" s="1" t="s">
        <v>290</v>
      </c>
      <c r="K783" s="3">
        <v>12</v>
      </c>
    </row>
    <row r="784" spans="1:11">
      <c r="A784" s="1">
        <v>46178</v>
      </c>
      <c r="B784" t="s">
        <v>1974</v>
      </c>
      <c r="C784">
        <v>3.34</v>
      </c>
      <c r="E784" s="1">
        <v>46001</v>
      </c>
      <c r="F784" s="1" t="s">
        <v>160</v>
      </c>
      <c r="G784" s="9">
        <v>7.3</v>
      </c>
      <c r="I784" s="1">
        <v>46182</v>
      </c>
      <c r="J784" s="1" t="s">
        <v>288</v>
      </c>
      <c r="K784" s="3">
        <v>-68750.89</v>
      </c>
    </row>
    <row r="785" spans="1:11">
      <c r="A785" s="1">
        <v>46178</v>
      </c>
      <c r="B785" t="s">
        <v>1975</v>
      </c>
      <c r="C785">
        <v>3.4350000000000001</v>
      </c>
      <c r="E785" s="1">
        <v>46001</v>
      </c>
      <c r="F785" s="1" t="s">
        <v>161</v>
      </c>
      <c r="G785" s="9">
        <v>7.5</v>
      </c>
      <c r="I785" s="1">
        <v>46182</v>
      </c>
      <c r="J785" s="1" t="s">
        <v>289</v>
      </c>
      <c r="K785" s="3">
        <v>9</v>
      </c>
    </row>
    <row r="786" spans="1:11">
      <c r="A786" s="1">
        <v>46178</v>
      </c>
      <c r="B786" t="s">
        <v>1976</v>
      </c>
      <c r="C786">
        <v>3.5190000000000001</v>
      </c>
      <c r="E786" s="1">
        <v>46001</v>
      </c>
      <c r="F786" s="1" t="s">
        <v>162</v>
      </c>
      <c r="G786" s="9">
        <v>7.4</v>
      </c>
      <c r="I786" s="1">
        <v>46182</v>
      </c>
      <c r="J786" s="1" t="s">
        <v>290</v>
      </c>
      <c r="K786" s="3">
        <v>9</v>
      </c>
    </row>
    <row r="787" spans="1:11">
      <c r="A787" s="1">
        <v>46178</v>
      </c>
      <c r="B787" t="s">
        <v>1977</v>
      </c>
      <c r="C787">
        <v>3.823</v>
      </c>
      <c r="E787" s="1">
        <v>46001</v>
      </c>
      <c r="F787" s="1" t="s">
        <v>163</v>
      </c>
      <c r="G787" s="9">
        <v>7.4</v>
      </c>
      <c r="I787" s="1">
        <v>46182</v>
      </c>
      <c r="J787" s="1" t="s">
        <v>107</v>
      </c>
      <c r="K787" s="3">
        <v>13825952785617</v>
      </c>
    </row>
    <row r="788" spans="1:11">
      <c r="A788" s="1">
        <v>46178</v>
      </c>
      <c r="B788" t="s">
        <v>1978</v>
      </c>
      <c r="C788">
        <v>4.1280000000000001</v>
      </c>
      <c r="E788" s="1">
        <v>46000</v>
      </c>
      <c r="F788" s="1" t="s">
        <v>160</v>
      </c>
      <c r="G788" s="9">
        <v>7.5</v>
      </c>
      <c r="I788" s="1">
        <v>46182</v>
      </c>
      <c r="J788" s="1" t="s">
        <v>282</v>
      </c>
      <c r="K788" s="3">
        <v>1000</v>
      </c>
    </row>
    <row r="789" spans="1:11">
      <c r="A789" s="1">
        <v>46178</v>
      </c>
      <c r="B789" t="s">
        <v>1979</v>
      </c>
      <c r="C789">
        <v>4.1740000000000004</v>
      </c>
      <c r="E789" s="1">
        <v>46000</v>
      </c>
      <c r="F789" s="1" t="s">
        <v>161</v>
      </c>
      <c r="G789" s="9">
        <v>7.6</v>
      </c>
      <c r="I789" s="1">
        <v>46182</v>
      </c>
      <c r="J789" s="1" t="s">
        <v>283</v>
      </c>
      <c r="K789" s="3">
        <v>7</v>
      </c>
    </row>
    <row r="790" spans="1:11">
      <c r="A790" s="1">
        <v>46178</v>
      </c>
      <c r="B790" t="s">
        <v>1980</v>
      </c>
      <c r="C790">
        <v>4.3339999999999996</v>
      </c>
      <c r="E790" s="1">
        <v>46000</v>
      </c>
      <c r="F790" s="1" t="s">
        <v>162</v>
      </c>
      <c r="G790" s="9">
        <v>7.6</v>
      </c>
      <c r="I790" s="1">
        <v>46182</v>
      </c>
      <c r="J790" s="1" t="s">
        <v>284</v>
      </c>
      <c r="K790" s="3">
        <v>2821</v>
      </c>
    </row>
    <row r="791" spans="1:11">
      <c r="A791" s="1">
        <v>46178</v>
      </c>
      <c r="B791" t="s">
        <v>1981</v>
      </c>
      <c r="C791">
        <v>4.5170000000000003</v>
      </c>
      <c r="E791" s="1">
        <v>46000</v>
      </c>
      <c r="F791" s="1" t="s">
        <v>163</v>
      </c>
      <c r="G791" s="9">
        <v>7.3</v>
      </c>
      <c r="I791" s="1">
        <v>46182</v>
      </c>
      <c r="J791" s="1" t="s">
        <v>285</v>
      </c>
      <c r="K791" s="3">
        <v>4.5</v>
      </c>
    </row>
    <row r="792" spans="1:11">
      <c r="A792" s="1">
        <v>46178</v>
      </c>
      <c r="B792" t="s">
        <v>1982</v>
      </c>
      <c r="C792">
        <v>4.577</v>
      </c>
      <c r="E792" s="1">
        <v>45999</v>
      </c>
      <c r="F792" s="1" t="s">
        <v>160</v>
      </c>
      <c r="G792" s="9">
        <v>7.5</v>
      </c>
      <c r="I792" s="1">
        <v>46182</v>
      </c>
      <c r="J792" s="1" t="s">
        <v>286</v>
      </c>
      <c r="K792" s="3">
        <v>10996.2</v>
      </c>
    </row>
    <row r="793" spans="1:11">
      <c r="A793" s="1">
        <v>46178</v>
      </c>
      <c r="B793" t="s">
        <v>1983</v>
      </c>
      <c r="C793">
        <v>4.6420000000000003</v>
      </c>
      <c r="E793" s="1">
        <v>45999</v>
      </c>
      <c r="F793" s="1" t="s">
        <v>161</v>
      </c>
      <c r="G793" s="9">
        <v>7.6</v>
      </c>
      <c r="I793" s="1">
        <v>46182</v>
      </c>
      <c r="J793" s="1" t="s">
        <v>287</v>
      </c>
      <c r="K793" s="3">
        <v>295744.86</v>
      </c>
    </row>
    <row r="794" spans="1:11">
      <c r="A794" s="1">
        <v>46177</v>
      </c>
      <c r="B794" t="s">
        <v>1974</v>
      </c>
      <c r="C794">
        <v>3.335</v>
      </c>
      <c r="E794" s="1">
        <v>45999</v>
      </c>
      <c r="F794" s="1" t="s">
        <v>162</v>
      </c>
      <c r="G794" s="9">
        <v>7.5</v>
      </c>
      <c r="I794" s="1">
        <v>46181</v>
      </c>
      <c r="J794" s="1" t="s">
        <v>107</v>
      </c>
      <c r="K794" s="3">
        <v>14033728064446</v>
      </c>
    </row>
    <row r="795" spans="1:11">
      <c r="A795" s="1">
        <v>46177</v>
      </c>
      <c r="B795" t="s">
        <v>1975</v>
      </c>
      <c r="C795">
        <v>3.431</v>
      </c>
      <c r="E795" s="1">
        <v>45999</v>
      </c>
      <c r="F795" s="1" t="s">
        <v>163</v>
      </c>
      <c r="G795" s="9">
        <v>7.1</v>
      </c>
      <c r="I795" s="1">
        <v>46181</v>
      </c>
      <c r="J795" s="1" t="s">
        <v>282</v>
      </c>
      <c r="K795" s="3">
        <v>17000</v>
      </c>
    </row>
    <row r="796" spans="1:11">
      <c r="A796" s="1">
        <v>46177</v>
      </c>
      <c r="B796" t="s">
        <v>1976</v>
      </c>
      <c r="C796">
        <v>3.5150000000000001</v>
      </c>
      <c r="E796" s="1">
        <v>45996</v>
      </c>
      <c r="F796" s="1" t="s">
        <v>160</v>
      </c>
      <c r="G796" s="9">
        <v>7.4</v>
      </c>
      <c r="I796" s="1">
        <v>46181</v>
      </c>
      <c r="J796" s="1" t="s">
        <v>283</v>
      </c>
      <c r="K796" s="3">
        <v>7</v>
      </c>
    </row>
    <row r="797" spans="1:11">
      <c r="A797" s="1">
        <v>46177</v>
      </c>
      <c r="B797" t="s">
        <v>1977</v>
      </c>
      <c r="C797">
        <v>3.8210000000000002</v>
      </c>
      <c r="E797" s="1">
        <v>45996</v>
      </c>
      <c r="F797" s="1" t="s">
        <v>161</v>
      </c>
      <c r="G797" s="9">
        <v>7.5</v>
      </c>
      <c r="I797" s="1">
        <v>46181</v>
      </c>
      <c r="J797" s="1" t="s">
        <v>284</v>
      </c>
      <c r="K797" s="3">
        <v>33199</v>
      </c>
    </row>
    <row r="798" spans="1:11">
      <c r="A798" s="1">
        <v>46177</v>
      </c>
      <c r="B798" t="s">
        <v>1978</v>
      </c>
      <c r="C798">
        <v>4.1280000000000001</v>
      </c>
      <c r="E798" s="1">
        <v>45996</v>
      </c>
      <c r="F798" s="1" t="s">
        <v>162</v>
      </c>
      <c r="G798" s="9">
        <v>7.5</v>
      </c>
      <c r="I798" s="1">
        <v>46181</v>
      </c>
      <c r="J798" s="1" t="s">
        <v>285</v>
      </c>
      <c r="K798" s="3">
        <v>4.5</v>
      </c>
    </row>
    <row r="799" spans="1:11">
      <c r="A799" s="1">
        <v>46177</v>
      </c>
      <c r="B799" t="s">
        <v>1979</v>
      </c>
      <c r="C799">
        <v>4.1740000000000004</v>
      </c>
      <c r="E799" s="1">
        <v>45996</v>
      </c>
      <c r="F799" s="1" t="s">
        <v>163</v>
      </c>
      <c r="G799" s="9">
        <v>7.15</v>
      </c>
      <c r="I799" s="1">
        <v>46181</v>
      </c>
      <c r="J799" s="1" t="s">
        <v>286</v>
      </c>
      <c r="K799" s="3">
        <v>35218.25</v>
      </c>
    </row>
    <row r="800" spans="1:11">
      <c r="A800" s="1">
        <v>46177</v>
      </c>
      <c r="B800" t="s">
        <v>1980</v>
      </c>
      <c r="C800">
        <v>4.3339999999999996</v>
      </c>
      <c r="E800" s="1">
        <v>45995</v>
      </c>
      <c r="F800" s="1" t="s">
        <v>160</v>
      </c>
      <c r="G800" s="9">
        <v>7</v>
      </c>
      <c r="I800" s="1">
        <v>46181</v>
      </c>
      <c r="J800" s="1" t="s">
        <v>287</v>
      </c>
      <c r="K800" s="3">
        <v>303920.06</v>
      </c>
    </row>
    <row r="801" spans="1:11">
      <c r="A801" s="1">
        <v>46177</v>
      </c>
      <c r="B801" t="s">
        <v>1981</v>
      </c>
      <c r="C801">
        <v>4.5170000000000003</v>
      </c>
      <c r="E801" s="1">
        <v>45995</v>
      </c>
      <c r="F801" s="1" t="s">
        <v>161</v>
      </c>
      <c r="G801" s="9">
        <v>6.9</v>
      </c>
      <c r="I801" s="1">
        <v>46181</v>
      </c>
      <c r="J801" s="1" t="s">
        <v>288</v>
      </c>
      <c r="K801" s="3">
        <v>-57747.09</v>
      </c>
    </row>
    <row r="802" spans="1:11">
      <c r="A802" s="1">
        <v>46177</v>
      </c>
      <c r="B802" t="s">
        <v>1982</v>
      </c>
      <c r="C802">
        <v>4.577</v>
      </c>
      <c r="E802" s="1">
        <v>45995</v>
      </c>
      <c r="F802" s="1" t="s">
        <v>162</v>
      </c>
      <c r="G802" s="9">
        <v>7.45</v>
      </c>
      <c r="I802" s="1">
        <v>46181</v>
      </c>
      <c r="J802" s="1" t="s">
        <v>289</v>
      </c>
      <c r="K802" s="3">
        <v>32</v>
      </c>
    </row>
    <row r="803" spans="1:11">
      <c r="A803" s="1">
        <v>46177</v>
      </c>
      <c r="B803" t="s">
        <v>1983</v>
      </c>
      <c r="C803">
        <v>4.6420000000000003</v>
      </c>
      <c r="E803" s="1">
        <v>45995</v>
      </c>
      <c r="F803" s="1" t="s">
        <v>163</v>
      </c>
      <c r="G803" s="9">
        <v>7.3</v>
      </c>
      <c r="I803" s="1">
        <v>46181</v>
      </c>
      <c r="J803" s="1" t="s">
        <v>290</v>
      </c>
      <c r="K803" s="3">
        <v>32</v>
      </c>
    </row>
    <row r="804" spans="1:11">
      <c r="A804" s="1">
        <v>46176</v>
      </c>
      <c r="B804" t="s">
        <v>1974</v>
      </c>
      <c r="C804">
        <v>3.327</v>
      </c>
      <c r="E804" s="1">
        <v>45994</v>
      </c>
      <c r="F804" s="1" t="s">
        <v>160</v>
      </c>
      <c r="G804" s="9">
        <v>7.5</v>
      </c>
      <c r="I804" s="1">
        <v>46180</v>
      </c>
      <c r="J804" s="1" t="s">
        <v>107</v>
      </c>
      <c r="K804" s="3">
        <v>14030475878275</v>
      </c>
    </row>
    <row r="805" spans="1:11">
      <c r="A805" s="1">
        <v>46176</v>
      </c>
      <c r="B805" t="s">
        <v>1975</v>
      </c>
      <c r="C805">
        <v>3.423</v>
      </c>
      <c r="E805" s="1">
        <v>45994</v>
      </c>
      <c r="F805" s="1" t="s">
        <v>161</v>
      </c>
      <c r="G805" s="9">
        <v>7.5</v>
      </c>
      <c r="I805" s="1">
        <v>46178</v>
      </c>
      <c r="J805" s="1" t="s">
        <v>282</v>
      </c>
      <c r="K805" s="3">
        <v>7000</v>
      </c>
    </row>
    <row r="806" spans="1:11">
      <c r="A806" s="1">
        <v>46176</v>
      </c>
      <c r="B806" t="s">
        <v>1976</v>
      </c>
      <c r="C806">
        <v>3.5059999999999998</v>
      </c>
      <c r="E806" s="1">
        <v>45994</v>
      </c>
      <c r="F806" s="1" t="s">
        <v>162</v>
      </c>
      <c r="G806" s="9">
        <v>7.45</v>
      </c>
      <c r="I806" s="1">
        <v>46178</v>
      </c>
      <c r="J806" s="1" t="s">
        <v>283</v>
      </c>
      <c r="K806" s="3">
        <v>7</v>
      </c>
    </row>
    <row r="807" spans="1:11">
      <c r="A807" s="1">
        <v>46176</v>
      </c>
      <c r="B807" t="s">
        <v>1977</v>
      </c>
      <c r="C807">
        <v>3.8159999999999998</v>
      </c>
      <c r="E807" s="1">
        <v>45994</v>
      </c>
      <c r="F807" s="1" t="s">
        <v>163</v>
      </c>
      <c r="G807" s="9">
        <v>7.35</v>
      </c>
      <c r="I807" s="1">
        <v>46178</v>
      </c>
      <c r="J807" s="1" t="s">
        <v>284</v>
      </c>
      <c r="K807" s="3">
        <v>12000</v>
      </c>
    </row>
    <row r="808" spans="1:11">
      <c r="A808" s="1">
        <v>46176</v>
      </c>
      <c r="B808" t="s">
        <v>1978</v>
      </c>
      <c r="C808">
        <v>4.125</v>
      </c>
      <c r="E808" s="1">
        <v>45993</v>
      </c>
      <c r="F808" s="1" t="s">
        <v>160</v>
      </c>
      <c r="G808" s="9">
        <v>7.5</v>
      </c>
      <c r="I808" s="1">
        <v>46178</v>
      </c>
      <c r="J808" s="1" t="s">
        <v>285</v>
      </c>
      <c r="K808" s="3">
        <v>0</v>
      </c>
    </row>
    <row r="809" spans="1:11">
      <c r="A809" s="1">
        <v>46176</v>
      </c>
      <c r="B809" t="s">
        <v>1979</v>
      </c>
      <c r="C809">
        <v>4.1719999999999997</v>
      </c>
      <c r="E809" s="1">
        <v>45993</v>
      </c>
      <c r="F809" s="1" t="s">
        <v>161</v>
      </c>
      <c r="G809" s="9">
        <v>7.5</v>
      </c>
      <c r="I809" s="1">
        <v>46178</v>
      </c>
      <c r="J809" s="1" t="s">
        <v>286</v>
      </c>
      <c r="K809" s="3">
        <v>20000</v>
      </c>
    </row>
    <row r="810" spans="1:11">
      <c r="A810" s="1">
        <v>46176</v>
      </c>
      <c r="B810" t="s">
        <v>1980</v>
      </c>
      <c r="C810">
        <v>4.3289999999999997</v>
      </c>
      <c r="E810" s="1">
        <v>45993</v>
      </c>
      <c r="F810" s="1" t="s">
        <v>162</v>
      </c>
      <c r="G810" s="9">
        <v>6.3</v>
      </c>
      <c r="I810" s="1">
        <v>46178</v>
      </c>
      <c r="J810" s="1" t="s">
        <v>287</v>
      </c>
      <c r="K810" s="3">
        <v>305939.31</v>
      </c>
    </row>
    <row r="811" spans="1:11">
      <c r="A811" s="1">
        <v>46176</v>
      </c>
      <c r="B811" t="s">
        <v>1981</v>
      </c>
      <c r="C811">
        <v>4.5049999999999999</v>
      </c>
      <c r="E811" s="1">
        <v>45993</v>
      </c>
      <c r="F811" s="1" t="s">
        <v>163</v>
      </c>
      <c r="G811" s="9">
        <v>6.9</v>
      </c>
      <c r="I811" s="1">
        <v>46178</v>
      </c>
      <c r="J811" s="1" t="s">
        <v>288</v>
      </c>
      <c r="K811" s="3">
        <v>-68843.34</v>
      </c>
    </row>
    <row r="812" spans="1:11">
      <c r="A812" s="1">
        <v>46176</v>
      </c>
      <c r="B812" t="s">
        <v>1982</v>
      </c>
      <c r="C812">
        <v>4.577</v>
      </c>
      <c r="E812" s="1">
        <v>45992</v>
      </c>
      <c r="F812" s="1" t="s">
        <v>160</v>
      </c>
      <c r="G812" s="9">
        <v>7</v>
      </c>
      <c r="I812" s="1">
        <v>46178</v>
      </c>
      <c r="J812" s="1" t="s">
        <v>289</v>
      </c>
      <c r="K812" s="3">
        <v>24</v>
      </c>
    </row>
    <row r="813" spans="1:11">
      <c r="A813" s="1">
        <v>46176</v>
      </c>
      <c r="B813" t="s">
        <v>1983</v>
      </c>
      <c r="C813">
        <v>4.6420000000000003</v>
      </c>
      <c r="E813" s="1">
        <v>45992</v>
      </c>
      <c r="F813" s="1" t="s">
        <v>161</v>
      </c>
      <c r="G813" s="9">
        <v>7.3</v>
      </c>
      <c r="I813" s="1">
        <v>46178</v>
      </c>
      <c r="J813" s="1" t="s">
        <v>290</v>
      </c>
      <c r="K813" s="3">
        <v>24</v>
      </c>
    </row>
    <row r="814" spans="1:11">
      <c r="A814" s="1">
        <v>46175</v>
      </c>
      <c r="B814" t="s">
        <v>1974</v>
      </c>
      <c r="C814">
        <v>3.31</v>
      </c>
      <c r="E814" s="1">
        <v>45992</v>
      </c>
      <c r="F814" s="1" t="s">
        <v>162</v>
      </c>
      <c r="G814" s="9">
        <v>6.1</v>
      </c>
      <c r="I814" s="1">
        <v>46177</v>
      </c>
      <c r="J814" s="1" t="s">
        <v>107</v>
      </c>
      <c r="K814" s="3">
        <v>13987636919999</v>
      </c>
    </row>
    <row r="815" spans="1:11">
      <c r="A815" s="1">
        <v>46175</v>
      </c>
      <c r="B815" t="s">
        <v>1975</v>
      </c>
      <c r="C815">
        <v>3.4060000000000001</v>
      </c>
      <c r="E815" s="1">
        <v>45992</v>
      </c>
      <c r="F815" s="1" t="s">
        <v>163</v>
      </c>
      <c r="G815" s="9">
        <v>6.95</v>
      </c>
      <c r="I815" s="1">
        <v>46177</v>
      </c>
      <c r="J815" s="1" t="s">
        <v>282</v>
      </c>
      <c r="K815" s="3">
        <v>1000</v>
      </c>
    </row>
    <row r="816" spans="1:11">
      <c r="A816" s="1">
        <v>46175</v>
      </c>
      <c r="B816" t="s">
        <v>1976</v>
      </c>
      <c r="C816">
        <v>3.49</v>
      </c>
      <c r="E816" s="1">
        <v>45989</v>
      </c>
      <c r="F816" s="1" t="s">
        <v>160</v>
      </c>
      <c r="G816" s="9">
        <v>5.38</v>
      </c>
      <c r="I816" s="1">
        <v>46177</v>
      </c>
      <c r="J816" s="1" t="s">
        <v>283</v>
      </c>
      <c r="K816" s="3">
        <v>7</v>
      </c>
    </row>
    <row r="817" spans="1:11">
      <c r="A817" s="1">
        <v>46175</v>
      </c>
      <c r="B817" t="s">
        <v>1977</v>
      </c>
      <c r="C817">
        <v>3.8069999999999999</v>
      </c>
      <c r="E817" s="1">
        <v>45989</v>
      </c>
      <c r="F817" s="1" t="s">
        <v>161</v>
      </c>
      <c r="G817" s="9">
        <v>6</v>
      </c>
      <c r="I817" s="1">
        <v>46177</v>
      </c>
      <c r="J817" s="1" t="s">
        <v>284</v>
      </c>
      <c r="K817" s="3">
        <v>3000</v>
      </c>
    </row>
    <row r="818" spans="1:11">
      <c r="A818" s="1">
        <v>46175</v>
      </c>
      <c r="B818" t="s">
        <v>1978</v>
      </c>
      <c r="C818">
        <v>4.125</v>
      </c>
      <c r="E818" s="1">
        <v>45989</v>
      </c>
      <c r="F818" s="1" t="s">
        <v>162</v>
      </c>
      <c r="G818" s="9">
        <v>6.1</v>
      </c>
      <c r="I818" s="1">
        <v>46177</v>
      </c>
      <c r="J818" s="1" t="s">
        <v>285</v>
      </c>
      <c r="K818" s="3">
        <v>4.5</v>
      </c>
    </row>
    <row r="819" spans="1:11">
      <c r="A819" s="1">
        <v>46175</v>
      </c>
      <c r="B819" t="s">
        <v>1979</v>
      </c>
      <c r="C819">
        <v>4.1719999999999997</v>
      </c>
      <c r="E819" s="1">
        <v>45989</v>
      </c>
      <c r="F819" s="1" t="s">
        <v>163</v>
      </c>
      <c r="G819" s="9">
        <v>6.15</v>
      </c>
      <c r="I819" s="1">
        <v>46177</v>
      </c>
      <c r="J819" s="1" t="s">
        <v>286</v>
      </c>
      <c r="K819" s="3">
        <v>13000</v>
      </c>
    </row>
    <row r="820" spans="1:11">
      <c r="A820" s="1">
        <v>46175</v>
      </c>
      <c r="B820" t="s">
        <v>1980</v>
      </c>
      <c r="C820">
        <v>4.3280000000000003</v>
      </c>
      <c r="E820" s="1">
        <v>45988</v>
      </c>
      <c r="F820" s="1" t="s">
        <v>160</v>
      </c>
      <c r="G820" s="9">
        <v>5.5</v>
      </c>
      <c r="I820" s="1">
        <v>46177</v>
      </c>
      <c r="J820" s="1" t="s">
        <v>287</v>
      </c>
      <c r="K820" s="3">
        <v>313939.31</v>
      </c>
    </row>
    <row r="821" spans="1:11">
      <c r="A821" s="1">
        <v>46175</v>
      </c>
      <c r="B821" t="s">
        <v>1981</v>
      </c>
      <c r="C821">
        <v>4.5049999999999999</v>
      </c>
      <c r="E821" s="1">
        <v>45988</v>
      </c>
      <c r="F821" s="1" t="s">
        <v>161</v>
      </c>
      <c r="G821" s="9">
        <v>5.9</v>
      </c>
      <c r="I821" s="1">
        <v>46177</v>
      </c>
      <c r="J821" s="1" t="s">
        <v>288</v>
      </c>
      <c r="K821" s="3">
        <v>-78843.34</v>
      </c>
    </row>
    <row r="822" spans="1:11">
      <c r="A822" s="1">
        <v>46175</v>
      </c>
      <c r="B822" t="s">
        <v>1982</v>
      </c>
      <c r="C822">
        <v>4.5229999999999997</v>
      </c>
      <c r="E822" s="1">
        <v>45988</v>
      </c>
      <c r="F822" s="1" t="s">
        <v>162</v>
      </c>
      <c r="G822" s="9">
        <v>6.4</v>
      </c>
      <c r="I822" s="1">
        <v>46177</v>
      </c>
      <c r="J822" s="1" t="s">
        <v>289</v>
      </c>
      <c r="K822" s="3">
        <v>17</v>
      </c>
    </row>
    <row r="823" spans="1:11">
      <c r="A823" s="1">
        <v>46175</v>
      </c>
      <c r="B823" t="s">
        <v>1983</v>
      </c>
      <c r="C823">
        <v>4.5880000000000001</v>
      </c>
      <c r="E823" s="1">
        <v>45988</v>
      </c>
      <c r="F823" s="1" t="s">
        <v>163</v>
      </c>
      <c r="G823" s="9">
        <v>6.2</v>
      </c>
      <c r="I823" s="1">
        <v>46177</v>
      </c>
      <c r="J823" s="1" t="s">
        <v>290</v>
      </c>
      <c r="K823" s="3">
        <v>17</v>
      </c>
    </row>
    <row r="824" spans="1:11">
      <c r="A824" s="1">
        <v>46174</v>
      </c>
      <c r="B824" t="s">
        <v>1974</v>
      </c>
      <c r="C824">
        <v>3.294</v>
      </c>
      <c r="E824" s="1">
        <v>45987</v>
      </c>
      <c r="F824" s="1" t="s">
        <v>160</v>
      </c>
      <c r="G824" s="9">
        <v>5.8</v>
      </c>
      <c r="I824" s="1">
        <v>46176</v>
      </c>
      <c r="J824" s="1" t="s">
        <v>107</v>
      </c>
      <c r="K824" s="3">
        <v>14565916546674</v>
      </c>
    </row>
    <row r="825" spans="1:11">
      <c r="A825" s="1">
        <v>46174</v>
      </c>
      <c r="B825" t="s">
        <v>1975</v>
      </c>
      <c r="C825">
        <v>3.3980000000000001</v>
      </c>
      <c r="E825" s="1">
        <v>45987</v>
      </c>
      <c r="F825" s="1" t="s">
        <v>161</v>
      </c>
      <c r="G825" s="9">
        <v>6</v>
      </c>
      <c r="I825" s="1">
        <v>46176</v>
      </c>
      <c r="J825" s="1" t="s">
        <v>282</v>
      </c>
      <c r="K825" s="3">
        <v>4000</v>
      </c>
    </row>
    <row r="826" spans="1:11">
      <c r="A826" s="1">
        <v>46174</v>
      </c>
      <c r="B826" t="s">
        <v>1976</v>
      </c>
      <c r="C826">
        <v>3.4689999999999999</v>
      </c>
      <c r="E826" s="1">
        <v>45987</v>
      </c>
      <c r="F826" s="1" t="s">
        <v>162</v>
      </c>
      <c r="G826" s="9">
        <v>6.4</v>
      </c>
      <c r="I826" s="1">
        <v>46176</v>
      </c>
      <c r="J826" s="1" t="s">
        <v>283</v>
      </c>
      <c r="K826" s="3">
        <v>7</v>
      </c>
    </row>
    <row r="827" spans="1:11">
      <c r="A827" s="1">
        <v>46174</v>
      </c>
      <c r="B827" t="s">
        <v>1977</v>
      </c>
      <c r="C827">
        <v>3.7959999999999998</v>
      </c>
      <c r="E827" s="1">
        <v>45987</v>
      </c>
      <c r="F827" s="1" t="s">
        <v>163</v>
      </c>
      <c r="G827" s="9">
        <v>6.15</v>
      </c>
      <c r="I827" s="1">
        <v>46176</v>
      </c>
      <c r="J827" s="1" t="s">
        <v>284</v>
      </c>
      <c r="K827" s="3">
        <v>6628.89</v>
      </c>
    </row>
    <row r="828" spans="1:11">
      <c r="A828" s="1">
        <v>46174</v>
      </c>
      <c r="B828" t="s">
        <v>1978</v>
      </c>
      <c r="C828">
        <v>4.1239999999999997</v>
      </c>
      <c r="E828" s="1">
        <v>45986</v>
      </c>
      <c r="F828" s="1" t="s">
        <v>160</v>
      </c>
      <c r="G828" s="9">
        <v>6.5</v>
      </c>
      <c r="I828" s="1">
        <v>46176</v>
      </c>
      <c r="J828" s="1" t="s">
        <v>285</v>
      </c>
      <c r="K828" s="3">
        <v>4.5</v>
      </c>
    </row>
    <row r="829" spans="1:11">
      <c r="A829" s="1">
        <v>46174</v>
      </c>
      <c r="B829" t="s">
        <v>1979</v>
      </c>
      <c r="C829">
        <v>4.1719999999999997</v>
      </c>
      <c r="E829" s="1">
        <v>45986</v>
      </c>
      <c r="F829" s="1" t="s">
        <v>161</v>
      </c>
      <c r="G829" s="9">
        <v>6.5</v>
      </c>
      <c r="I829" s="1">
        <v>46176</v>
      </c>
      <c r="J829" s="1" t="s">
        <v>286</v>
      </c>
      <c r="K829" s="3">
        <v>10000</v>
      </c>
    </row>
    <row r="830" spans="1:11">
      <c r="A830" s="1">
        <v>46174</v>
      </c>
      <c r="B830" t="s">
        <v>1980</v>
      </c>
      <c r="C830">
        <v>4.33</v>
      </c>
      <c r="E830" s="1">
        <v>45986</v>
      </c>
      <c r="F830" s="1" t="s">
        <v>162</v>
      </c>
      <c r="G830" s="9">
        <v>6.45</v>
      </c>
      <c r="I830" s="1">
        <v>46176</v>
      </c>
      <c r="J830" s="1" t="s">
        <v>287</v>
      </c>
      <c r="K830" s="3">
        <v>323939.31</v>
      </c>
    </row>
    <row r="831" spans="1:11">
      <c r="A831" s="1">
        <v>46174</v>
      </c>
      <c r="B831" t="s">
        <v>1981</v>
      </c>
      <c r="C831">
        <v>4.5049999999999999</v>
      </c>
      <c r="E831" s="1">
        <v>45986</v>
      </c>
      <c r="F831" s="1" t="s">
        <v>163</v>
      </c>
      <c r="G831" s="9">
        <v>6</v>
      </c>
      <c r="I831" s="1">
        <v>46176</v>
      </c>
      <c r="J831" s="1" t="s">
        <v>288</v>
      </c>
      <c r="K831" s="3">
        <v>-86843.34</v>
      </c>
    </row>
    <row r="832" spans="1:11">
      <c r="A832" s="1">
        <v>46174</v>
      </c>
      <c r="B832" t="s">
        <v>1982</v>
      </c>
      <c r="C832">
        <v>4.5</v>
      </c>
      <c r="E832" s="1">
        <v>45985</v>
      </c>
      <c r="F832" s="1" t="s">
        <v>160</v>
      </c>
      <c r="G832" s="9">
        <v>4.4000000000000004</v>
      </c>
      <c r="I832" s="1">
        <v>46176</v>
      </c>
      <c r="J832" s="1" t="s">
        <v>289</v>
      </c>
      <c r="K832" s="3">
        <v>11</v>
      </c>
    </row>
    <row r="833" spans="1:11">
      <c r="A833" s="1">
        <v>46174</v>
      </c>
      <c r="B833" t="s">
        <v>1983</v>
      </c>
      <c r="C833">
        <v>4.5709999999999997</v>
      </c>
      <c r="E833" s="1">
        <v>45985</v>
      </c>
      <c r="F833" s="1" t="s">
        <v>161</v>
      </c>
      <c r="G833" s="9">
        <v>4.6500000000000004</v>
      </c>
      <c r="I833" s="1">
        <v>46176</v>
      </c>
      <c r="J833" s="1" t="s">
        <v>290</v>
      </c>
      <c r="K833" s="3">
        <v>11</v>
      </c>
    </row>
    <row r="834" spans="1:11">
      <c r="A834" s="1">
        <v>46171</v>
      </c>
      <c r="B834" t="s">
        <v>1974</v>
      </c>
      <c r="C834">
        <v>3.294</v>
      </c>
      <c r="E834" s="1">
        <v>45985</v>
      </c>
      <c r="F834" s="1" t="s">
        <v>162</v>
      </c>
      <c r="G834" s="9">
        <v>5</v>
      </c>
      <c r="I834" s="1">
        <v>46175</v>
      </c>
      <c r="J834" s="1" t="s">
        <v>289</v>
      </c>
      <c r="K834" s="3">
        <v>14</v>
      </c>
    </row>
    <row r="835" spans="1:11">
      <c r="A835" s="1">
        <v>46171</v>
      </c>
      <c r="B835" t="s">
        <v>1975</v>
      </c>
      <c r="C835">
        <v>3.3980000000000001</v>
      </c>
      <c r="E835" s="1">
        <v>45985</v>
      </c>
      <c r="F835" s="1" t="s">
        <v>163</v>
      </c>
      <c r="G835" s="9">
        <v>5.15</v>
      </c>
      <c r="I835" s="1">
        <v>46175</v>
      </c>
      <c r="J835" s="1" t="s">
        <v>290</v>
      </c>
      <c r="K835" s="3">
        <v>14</v>
      </c>
    </row>
    <row r="836" spans="1:11">
      <c r="A836" s="1">
        <v>46171</v>
      </c>
      <c r="B836" t="s">
        <v>1976</v>
      </c>
      <c r="C836">
        <v>3.4689999999999999</v>
      </c>
      <c r="E836" s="1">
        <v>45982</v>
      </c>
      <c r="F836" s="1" t="s">
        <v>160</v>
      </c>
      <c r="G836" s="9">
        <v>4.4000000000000004</v>
      </c>
      <c r="I836" s="1">
        <v>46175</v>
      </c>
      <c r="J836" s="1" t="s">
        <v>107</v>
      </c>
      <c r="K836" s="3">
        <v>14490445994628</v>
      </c>
    </row>
    <row r="837" spans="1:11">
      <c r="A837" s="1">
        <v>46171</v>
      </c>
      <c r="B837" t="s">
        <v>1977</v>
      </c>
      <c r="C837">
        <v>3.7949999999999999</v>
      </c>
      <c r="E837" s="1">
        <v>45982</v>
      </c>
      <c r="F837" s="1" t="s">
        <v>161</v>
      </c>
      <c r="G837" s="9">
        <v>4.6500000000000004</v>
      </c>
      <c r="I837" s="1">
        <v>46175</v>
      </c>
      <c r="J837" s="1" t="s">
        <v>282</v>
      </c>
      <c r="K837" s="3">
        <v>2000</v>
      </c>
    </row>
    <row r="838" spans="1:11">
      <c r="A838" s="1">
        <v>46171</v>
      </c>
      <c r="B838" t="s">
        <v>1978</v>
      </c>
      <c r="C838">
        <v>4.1219999999999999</v>
      </c>
      <c r="E838" s="1">
        <v>45982</v>
      </c>
      <c r="F838" s="1" t="s">
        <v>162</v>
      </c>
      <c r="G838" s="9">
        <v>5</v>
      </c>
      <c r="I838" s="1">
        <v>46175</v>
      </c>
      <c r="J838" s="1" t="s">
        <v>283</v>
      </c>
      <c r="K838" s="3">
        <v>7</v>
      </c>
    </row>
    <row r="839" spans="1:11">
      <c r="A839" s="1">
        <v>46171</v>
      </c>
      <c r="B839" t="s">
        <v>1979</v>
      </c>
      <c r="C839">
        <v>4.1719999999999997</v>
      </c>
      <c r="E839" s="1">
        <v>45982</v>
      </c>
      <c r="F839" s="1" t="s">
        <v>163</v>
      </c>
      <c r="G839" s="9">
        <v>5.15</v>
      </c>
      <c r="I839" s="1">
        <v>46175</v>
      </c>
      <c r="J839" s="1" t="s">
        <v>284</v>
      </c>
      <c r="K839" s="3">
        <v>6025.52</v>
      </c>
    </row>
    <row r="840" spans="1:11">
      <c r="A840" s="1">
        <v>46171</v>
      </c>
      <c r="B840" t="s">
        <v>1980</v>
      </c>
      <c r="C840">
        <v>4.3209999999999997</v>
      </c>
      <c r="E840" s="1">
        <v>45981</v>
      </c>
      <c r="F840" s="1" t="s">
        <v>160</v>
      </c>
      <c r="G840" s="9">
        <v>4.2</v>
      </c>
      <c r="I840" s="1">
        <v>46175</v>
      </c>
      <c r="J840" s="1" t="s">
        <v>285</v>
      </c>
      <c r="K840" s="3">
        <v>4.5</v>
      </c>
    </row>
    <row r="841" spans="1:11">
      <c r="A841" s="1">
        <v>46171</v>
      </c>
      <c r="B841" t="s">
        <v>1981</v>
      </c>
      <c r="C841">
        <v>4.4980000000000002</v>
      </c>
      <c r="E841" s="1">
        <v>45981</v>
      </c>
      <c r="F841" s="1" t="s">
        <v>161</v>
      </c>
      <c r="G841" s="9">
        <v>4.5</v>
      </c>
      <c r="I841" s="1">
        <v>46175</v>
      </c>
      <c r="J841" s="1" t="s">
        <v>286</v>
      </c>
      <c r="K841" s="3">
        <v>24646</v>
      </c>
    </row>
    <row r="842" spans="1:11">
      <c r="A842" s="1">
        <v>46171</v>
      </c>
      <c r="B842" t="s">
        <v>1982</v>
      </c>
      <c r="C842">
        <v>4.4820000000000002</v>
      </c>
      <c r="E842" s="1">
        <v>45981</v>
      </c>
      <c r="F842" s="1" t="s">
        <v>162</v>
      </c>
      <c r="G842" s="9">
        <v>4.8</v>
      </c>
      <c r="I842" s="1">
        <v>46175</v>
      </c>
      <c r="J842" s="1" t="s">
        <v>287</v>
      </c>
      <c r="K842" s="3">
        <v>327310.42</v>
      </c>
    </row>
    <row r="843" spans="1:11">
      <c r="A843" s="1">
        <v>46171</v>
      </c>
      <c r="B843" t="s">
        <v>1983</v>
      </c>
      <c r="C843">
        <v>4.55</v>
      </c>
      <c r="E843" s="1">
        <v>45981</v>
      </c>
      <c r="F843" s="1" t="s">
        <v>163</v>
      </c>
      <c r="G843" s="9">
        <v>5.13</v>
      </c>
      <c r="I843" s="1">
        <v>46175</v>
      </c>
      <c r="J843" s="1" t="s">
        <v>288</v>
      </c>
      <c r="K843" s="3">
        <v>-89214.45</v>
      </c>
    </row>
    <row r="844" spans="1:11">
      <c r="A844" s="1">
        <v>46170</v>
      </c>
      <c r="B844" t="s">
        <v>1974</v>
      </c>
      <c r="C844">
        <v>3.2810000000000001</v>
      </c>
      <c r="E844" s="1">
        <v>45980</v>
      </c>
      <c r="F844" s="1" t="s">
        <v>160</v>
      </c>
      <c r="G844" s="9">
        <v>4.4000000000000004</v>
      </c>
      <c r="I844" s="1">
        <v>46174</v>
      </c>
      <c r="J844" s="1" t="s">
        <v>282</v>
      </c>
      <c r="K844" s="3">
        <v>20000</v>
      </c>
    </row>
    <row r="845" spans="1:11">
      <c r="A845" s="1">
        <v>46170</v>
      </c>
      <c r="B845" t="s">
        <v>1975</v>
      </c>
      <c r="C845">
        <v>3.3849999999999998</v>
      </c>
      <c r="E845" s="1">
        <v>45980</v>
      </c>
      <c r="F845" s="1" t="s">
        <v>161</v>
      </c>
      <c r="G845" s="9">
        <v>4.5999999999999996</v>
      </c>
      <c r="I845" s="1">
        <v>46174</v>
      </c>
      <c r="J845" s="1" t="s">
        <v>283</v>
      </c>
      <c r="K845" s="3">
        <v>7</v>
      </c>
    </row>
    <row r="846" spans="1:11">
      <c r="A846" s="1">
        <v>46170</v>
      </c>
      <c r="B846" t="s">
        <v>1976</v>
      </c>
      <c r="C846">
        <v>3.4580000000000002</v>
      </c>
      <c r="E846" s="1">
        <v>45980</v>
      </c>
      <c r="F846" s="1" t="s">
        <v>162</v>
      </c>
      <c r="G846" s="9">
        <v>4.7</v>
      </c>
      <c r="I846" s="1">
        <v>46174</v>
      </c>
      <c r="J846" s="1" t="s">
        <v>284</v>
      </c>
      <c r="K846" s="3">
        <v>35002.9</v>
      </c>
    </row>
    <row r="847" spans="1:11">
      <c r="A847" s="1">
        <v>46170</v>
      </c>
      <c r="B847" t="s">
        <v>1977</v>
      </c>
      <c r="C847">
        <v>3.7930000000000001</v>
      </c>
      <c r="E847" s="1">
        <v>45980</v>
      </c>
      <c r="F847" s="1" t="s">
        <v>163</v>
      </c>
      <c r="G847" s="9">
        <v>5.15</v>
      </c>
      <c r="I847" s="1">
        <v>46174</v>
      </c>
      <c r="J847" s="1" t="s">
        <v>285</v>
      </c>
      <c r="K847" s="3">
        <v>4.5</v>
      </c>
    </row>
    <row r="848" spans="1:11">
      <c r="A848" s="1">
        <v>46170</v>
      </c>
      <c r="B848" t="s">
        <v>1978</v>
      </c>
      <c r="C848">
        <v>4.1280000000000001</v>
      </c>
      <c r="E848" s="1">
        <v>45979</v>
      </c>
      <c r="F848" s="1" t="s">
        <v>160</v>
      </c>
      <c r="G848" s="9">
        <v>4.4000000000000004</v>
      </c>
      <c r="I848" s="1">
        <v>46174</v>
      </c>
      <c r="J848" s="1" t="s">
        <v>286</v>
      </c>
      <c r="K848" s="3">
        <v>21383</v>
      </c>
    </row>
    <row r="849" spans="1:11">
      <c r="A849" s="1">
        <v>46170</v>
      </c>
      <c r="B849" t="s">
        <v>1979</v>
      </c>
      <c r="C849">
        <v>4.1580000000000004</v>
      </c>
      <c r="E849" s="1">
        <v>45979</v>
      </c>
      <c r="F849" s="1" t="s">
        <v>161</v>
      </c>
      <c r="G849" s="9">
        <v>4.5999999999999996</v>
      </c>
      <c r="I849" s="1">
        <v>46174</v>
      </c>
      <c r="J849" s="1" t="s">
        <v>287</v>
      </c>
      <c r="K849" s="3">
        <v>345930.9</v>
      </c>
    </row>
    <row r="850" spans="1:11">
      <c r="A850" s="1">
        <v>46170</v>
      </c>
      <c r="B850" t="s">
        <v>1980</v>
      </c>
      <c r="C850">
        <v>4.3259999999999996</v>
      </c>
      <c r="E850" s="1">
        <v>45979</v>
      </c>
      <c r="F850" s="1" t="s">
        <v>162</v>
      </c>
      <c r="G850" s="9">
        <v>4.7</v>
      </c>
      <c r="I850" s="1">
        <v>46174</v>
      </c>
      <c r="J850" s="1" t="s">
        <v>288</v>
      </c>
      <c r="K850" s="3">
        <v>-102864.25</v>
      </c>
    </row>
    <row r="851" spans="1:11">
      <c r="A851" s="1">
        <v>46170</v>
      </c>
      <c r="B851" t="s">
        <v>1981</v>
      </c>
      <c r="C851">
        <v>4.5019999999999998</v>
      </c>
      <c r="E851" s="1">
        <v>45979</v>
      </c>
      <c r="F851" s="1" t="s">
        <v>163</v>
      </c>
      <c r="G851" s="9">
        <v>5.15</v>
      </c>
      <c r="I851" s="1">
        <v>46174</v>
      </c>
      <c r="J851" s="1" t="s">
        <v>289</v>
      </c>
      <c r="K851" s="3">
        <v>25</v>
      </c>
    </row>
    <row r="852" spans="1:11">
      <c r="A852" s="1">
        <v>46170</v>
      </c>
      <c r="B852" t="s">
        <v>1982</v>
      </c>
      <c r="C852">
        <v>4.4379999999999997</v>
      </c>
      <c r="E852" s="1">
        <v>45978</v>
      </c>
      <c r="F852" s="1" t="s">
        <v>160</v>
      </c>
      <c r="G852" s="9">
        <v>4.5999999999999996</v>
      </c>
      <c r="I852" s="1">
        <v>46174</v>
      </c>
      <c r="J852" s="1" t="s">
        <v>290</v>
      </c>
      <c r="K852" s="3">
        <v>25</v>
      </c>
    </row>
    <row r="853" spans="1:11">
      <c r="A853" s="1">
        <v>46170</v>
      </c>
      <c r="B853" t="s">
        <v>1983</v>
      </c>
      <c r="C853">
        <v>4.5049999999999999</v>
      </c>
      <c r="E853" s="1">
        <v>45978</v>
      </c>
      <c r="F853" s="1" t="s">
        <v>161</v>
      </c>
      <c r="G853" s="9">
        <v>4.7</v>
      </c>
      <c r="I853" s="1">
        <v>46174</v>
      </c>
      <c r="J853" s="1" t="s">
        <v>107</v>
      </c>
      <c r="K853" s="3">
        <v>14488995492728</v>
      </c>
    </row>
    <row r="854" spans="1:11">
      <c r="A854" s="1">
        <v>46169</v>
      </c>
      <c r="B854" t="s">
        <v>1974</v>
      </c>
      <c r="C854">
        <v>3.2730000000000001</v>
      </c>
      <c r="E854" s="1">
        <v>45978</v>
      </c>
      <c r="F854" s="1" t="s">
        <v>162</v>
      </c>
      <c r="G854" s="9">
        <v>4.9000000000000004</v>
      </c>
      <c r="I854" s="1">
        <v>46173</v>
      </c>
      <c r="J854" s="1" t="s">
        <v>107</v>
      </c>
      <c r="K854" s="3">
        <v>14303210251504</v>
      </c>
    </row>
    <row r="855" spans="1:11">
      <c r="A855" s="1">
        <v>46169</v>
      </c>
      <c r="B855" t="s">
        <v>1975</v>
      </c>
      <c r="C855">
        <v>3.3690000000000002</v>
      </c>
      <c r="E855" s="1">
        <v>45978</v>
      </c>
      <c r="F855" s="1" t="s">
        <v>163</v>
      </c>
      <c r="G855" s="9">
        <v>5.4</v>
      </c>
      <c r="I855" s="1">
        <v>46171</v>
      </c>
      <c r="J855" s="1" t="s">
        <v>282</v>
      </c>
      <c r="K855" s="3">
        <v>10000</v>
      </c>
    </row>
    <row r="856" spans="1:11">
      <c r="A856" s="1">
        <v>46169</v>
      </c>
      <c r="B856" t="s">
        <v>1976</v>
      </c>
      <c r="C856">
        <v>3.45</v>
      </c>
      <c r="E856" s="1">
        <v>45975</v>
      </c>
      <c r="F856" s="1" t="s">
        <v>160</v>
      </c>
      <c r="G856" s="9">
        <v>4.5</v>
      </c>
      <c r="I856" s="1">
        <v>46171</v>
      </c>
      <c r="J856" s="1" t="s">
        <v>283</v>
      </c>
      <c r="K856" s="3">
        <v>7</v>
      </c>
    </row>
    <row r="857" spans="1:11">
      <c r="A857" s="1">
        <v>46169</v>
      </c>
      <c r="B857" t="s">
        <v>1977</v>
      </c>
      <c r="C857">
        <v>3.76</v>
      </c>
      <c r="E857" s="1">
        <v>45975</v>
      </c>
      <c r="F857" s="1" t="s">
        <v>161</v>
      </c>
      <c r="G857" s="9">
        <v>4.7</v>
      </c>
      <c r="I857" s="1">
        <v>46171</v>
      </c>
      <c r="J857" s="1" t="s">
        <v>284</v>
      </c>
      <c r="K857" s="3">
        <v>15123</v>
      </c>
    </row>
    <row r="858" spans="1:11">
      <c r="A858" s="1">
        <v>46169</v>
      </c>
      <c r="B858" t="s">
        <v>1978</v>
      </c>
      <c r="C858">
        <v>4.07</v>
      </c>
      <c r="E858" s="1">
        <v>45975</v>
      </c>
      <c r="F858" s="1" t="s">
        <v>162</v>
      </c>
      <c r="G858" s="9">
        <v>5.75</v>
      </c>
      <c r="I858" s="1">
        <v>46171</v>
      </c>
      <c r="J858" s="1" t="s">
        <v>285</v>
      </c>
      <c r="K858" s="3">
        <v>4.5</v>
      </c>
    </row>
    <row r="859" spans="1:11">
      <c r="A859" s="1">
        <v>46169</v>
      </c>
      <c r="B859" t="s">
        <v>1979</v>
      </c>
      <c r="C859">
        <v>4.1360000000000001</v>
      </c>
      <c r="E859" s="1">
        <v>45975</v>
      </c>
      <c r="F859" s="1" t="s">
        <v>163</v>
      </c>
      <c r="G859" s="9">
        <v>5.5</v>
      </c>
      <c r="I859" s="1">
        <v>46171</v>
      </c>
      <c r="J859" s="1" t="s">
        <v>286</v>
      </c>
      <c r="K859" s="3">
        <v>9000</v>
      </c>
    </row>
    <row r="860" spans="1:11">
      <c r="A860" s="1">
        <v>46169</v>
      </c>
      <c r="B860" t="s">
        <v>1980</v>
      </c>
      <c r="C860">
        <v>4.2519999999999998</v>
      </c>
      <c r="E860" s="1">
        <v>45974</v>
      </c>
      <c r="F860" s="1" t="s">
        <v>160</v>
      </c>
      <c r="G860" s="9">
        <v>5.4</v>
      </c>
      <c r="I860" s="1">
        <v>46171</v>
      </c>
      <c r="J860" s="1" t="s">
        <v>287</v>
      </c>
      <c r="K860" s="3">
        <v>332311</v>
      </c>
    </row>
    <row r="861" spans="1:11">
      <c r="A861" s="1">
        <v>46169</v>
      </c>
      <c r="B861" t="s">
        <v>1981</v>
      </c>
      <c r="C861">
        <v>4.3769999999999998</v>
      </c>
      <c r="E861" s="1">
        <v>45974</v>
      </c>
      <c r="F861" s="1" t="s">
        <v>161</v>
      </c>
      <c r="G861" s="9">
        <v>5.5</v>
      </c>
      <c r="I861" s="1">
        <v>46171</v>
      </c>
      <c r="J861" s="1" t="s">
        <v>288</v>
      </c>
      <c r="K861" s="3">
        <v>-89029</v>
      </c>
    </row>
    <row r="862" spans="1:11">
      <c r="A862" s="1">
        <v>46169</v>
      </c>
      <c r="B862" t="s">
        <v>1982</v>
      </c>
      <c r="C862">
        <v>4.4279999999999999</v>
      </c>
      <c r="E862" s="1">
        <v>45974</v>
      </c>
      <c r="F862" s="1" t="s">
        <v>162</v>
      </c>
      <c r="G862" s="9">
        <v>5.7</v>
      </c>
      <c r="I862" s="1">
        <v>46171</v>
      </c>
      <c r="J862" s="1" t="s">
        <v>289</v>
      </c>
      <c r="K862" s="3">
        <v>14</v>
      </c>
    </row>
    <row r="863" spans="1:11">
      <c r="A863" s="1">
        <v>46169</v>
      </c>
      <c r="B863" t="s">
        <v>1983</v>
      </c>
      <c r="C863">
        <v>4.4909999999999997</v>
      </c>
      <c r="E863" s="1">
        <v>45974</v>
      </c>
      <c r="F863" s="1" t="s">
        <v>163</v>
      </c>
      <c r="G863" s="9">
        <v>6.1</v>
      </c>
      <c r="I863" s="1">
        <v>46171</v>
      </c>
      <c r="J863" s="1" t="s">
        <v>290</v>
      </c>
      <c r="K863" s="3">
        <v>14</v>
      </c>
    </row>
    <row r="864" spans="1:11">
      <c r="A864" s="1">
        <v>46168</v>
      </c>
      <c r="B864" t="s">
        <v>1974</v>
      </c>
      <c r="C864">
        <v>3.2730000000000001</v>
      </c>
      <c r="E864" s="1">
        <v>45973</v>
      </c>
      <c r="F864" s="1" t="s">
        <v>160</v>
      </c>
      <c r="G864" s="9">
        <v>6.1</v>
      </c>
      <c r="I864" s="1">
        <v>46170</v>
      </c>
      <c r="J864" s="1" t="s">
        <v>282</v>
      </c>
      <c r="K864" s="3">
        <v>10000</v>
      </c>
    </row>
    <row r="865" spans="1:11">
      <c r="A865" s="1">
        <v>46168</v>
      </c>
      <c r="B865" t="s">
        <v>1975</v>
      </c>
      <c r="C865">
        <v>3.3690000000000002</v>
      </c>
      <c r="E865" s="1">
        <v>45973</v>
      </c>
      <c r="F865" s="1" t="s">
        <v>161</v>
      </c>
      <c r="G865" s="9">
        <v>6.3</v>
      </c>
      <c r="I865" s="1">
        <v>46170</v>
      </c>
      <c r="J865" s="1" t="s">
        <v>283</v>
      </c>
      <c r="K865" s="3">
        <v>7</v>
      </c>
    </row>
    <row r="866" spans="1:11">
      <c r="A866" s="1">
        <v>46168</v>
      </c>
      <c r="B866" t="s">
        <v>1976</v>
      </c>
      <c r="C866">
        <v>3.45</v>
      </c>
      <c r="E866" s="1">
        <v>45973</v>
      </c>
      <c r="F866" s="1" t="s">
        <v>162</v>
      </c>
      <c r="G866" s="9">
        <v>6.2</v>
      </c>
      <c r="I866" s="1">
        <v>46170</v>
      </c>
      <c r="J866" s="1" t="s">
        <v>284</v>
      </c>
      <c r="K866" s="3">
        <v>19159</v>
      </c>
    </row>
    <row r="867" spans="1:11">
      <c r="A867" s="1">
        <v>46168</v>
      </c>
      <c r="B867" t="s">
        <v>1977</v>
      </c>
      <c r="C867">
        <v>3.758</v>
      </c>
      <c r="E867" s="1">
        <v>45973</v>
      </c>
      <c r="F867" s="1" t="s">
        <v>163</v>
      </c>
      <c r="G867" s="9">
        <v>6.2</v>
      </c>
      <c r="I867" s="1">
        <v>46170</v>
      </c>
      <c r="J867" s="1" t="s">
        <v>285</v>
      </c>
      <c r="K867" s="3">
        <v>4.5</v>
      </c>
    </row>
    <row r="868" spans="1:11">
      <c r="A868" s="1">
        <v>46168</v>
      </c>
      <c r="B868" t="s">
        <v>1978</v>
      </c>
      <c r="C868">
        <v>4.0659999999999998</v>
      </c>
      <c r="E868" s="1">
        <v>45972</v>
      </c>
      <c r="F868" s="1" t="s">
        <v>160</v>
      </c>
      <c r="G868" s="9">
        <v>6.2</v>
      </c>
      <c r="I868" s="1">
        <v>46170</v>
      </c>
      <c r="J868" s="1" t="s">
        <v>286</v>
      </c>
      <c r="K868" s="3">
        <v>16778</v>
      </c>
    </row>
    <row r="869" spans="1:11">
      <c r="A869" s="1">
        <v>46168</v>
      </c>
      <c r="B869" t="s">
        <v>1979</v>
      </c>
      <c r="C869">
        <v>4.133</v>
      </c>
      <c r="E869" s="1">
        <v>45972</v>
      </c>
      <c r="F869" s="1" t="s">
        <v>161</v>
      </c>
      <c r="G869" s="9">
        <v>6.2</v>
      </c>
      <c r="I869" s="1">
        <v>46170</v>
      </c>
      <c r="J869" s="1" t="s">
        <v>287</v>
      </c>
      <c r="K869" s="3">
        <v>326188</v>
      </c>
    </row>
    <row r="870" spans="1:11">
      <c r="A870" s="1">
        <v>46168</v>
      </c>
      <c r="B870" t="s">
        <v>1980</v>
      </c>
      <c r="C870">
        <v>4.25</v>
      </c>
      <c r="E870" s="1">
        <v>45972</v>
      </c>
      <c r="F870" s="1" t="s">
        <v>162</v>
      </c>
      <c r="G870" s="9">
        <v>6</v>
      </c>
      <c r="I870" s="1">
        <v>46170</v>
      </c>
      <c r="J870" s="1" t="s">
        <v>288</v>
      </c>
      <c r="K870" s="3">
        <v>-78029</v>
      </c>
    </row>
    <row r="871" spans="1:11">
      <c r="A871" s="1">
        <v>46168</v>
      </c>
      <c r="B871" t="s">
        <v>1981</v>
      </c>
      <c r="C871">
        <v>4.3769999999999998</v>
      </c>
      <c r="E871" s="1">
        <v>45972</v>
      </c>
      <c r="F871" s="1" t="s">
        <v>163</v>
      </c>
      <c r="G871" s="9">
        <v>6.08</v>
      </c>
      <c r="I871" s="1">
        <v>46170</v>
      </c>
      <c r="J871" s="1" t="s">
        <v>289</v>
      </c>
      <c r="K871" s="3">
        <v>21</v>
      </c>
    </row>
    <row r="872" spans="1:11">
      <c r="A872" s="1">
        <v>46168</v>
      </c>
      <c r="B872" t="s">
        <v>1982</v>
      </c>
      <c r="C872">
        <v>4.4279999999999999</v>
      </c>
      <c r="E872" s="1">
        <v>45971</v>
      </c>
      <c r="F872" s="1" t="s">
        <v>160</v>
      </c>
      <c r="G872" s="9">
        <v>6</v>
      </c>
      <c r="I872" s="1">
        <v>46170</v>
      </c>
      <c r="J872" s="1" t="s">
        <v>290</v>
      </c>
      <c r="K872" s="3">
        <v>21</v>
      </c>
    </row>
    <row r="873" spans="1:11">
      <c r="A873" s="1">
        <v>46168</v>
      </c>
      <c r="B873" t="s">
        <v>1983</v>
      </c>
      <c r="C873">
        <v>4.4909999999999997</v>
      </c>
      <c r="E873" s="1">
        <v>45971</v>
      </c>
      <c r="F873" s="1" t="s">
        <v>161</v>
      </c>
      <c r="G873" s="9">
        <v>6.1</v>
      </c>
      <c r="I873" s="1">
        <v>46170</v>
      </c>
      <c r="J873" s="1" t="s">
        <v>107</v>
      </c>
      <c r="K873" s="3">
        <v>14488591832888</v>
      </c>
    </row>
    <row r="874" spans="1:11">
      <c r="A874" s="1">
        <v>46167</v>
      </c>
      <c r="B874" t="s">
        <v>1974</v>
      </c>
      <c r="C874">
        <v>3.2730000000000001</v>
      </c>
      <c r="E874" s="1">
        <v>45971</v>
      </c>
      <c r="F874" s="1" t="s">
        <v>162</v>
      </c>
      <c r="G874" s="9">
        <v>6.25</v>
      </c>
      <c r="I874" s="1">
        <v>46169</v>
      </c>
      <c r="J874" s="1" t="s">
        <v>282</v>
      </c>
      <c r="K874" s="3">
        <v>6000</v>
      </c>
    </row>
    <row r="875" spans="1:11">
      <c r="A875" s="1">
        <v>46167</v>
      </c>
      <c r="B875" t="s">
        <v>1975</v>
      </c>
      <c r="C875">
        <v>3.3690000000000002</v>
      </c>
      <c r="E875" s="1">
        <v>45971</v>
      </c>
      <c r="F875" s="1" t="s">
        <v>163</v>
      </c>
      <c r="G875" s="9">
        <v>6.1</v>
      </c>
      <c r="I875" s="1">
        <v>46169</v>
      </c>
      <c r="J875" s="1" t="s">
        <v>283</v>
      </c>
      <c r="K875" s="3">
        <v>7</v>
      </c>
    </row>
    <row r="876" spans="1:11">
      <c r="A876" s="1">
        <v>46167</v>
      </c>
      <c r="B876" t="s">
        <v>1976</v>
      </c>
      <c r="C876">
        <v>3.45</v>
      </c>
      <c r="E876" s="1">
        <v>45968</v>
      </c>
      <c r="F876" s="1" t="s">
        <v>160</v>
      </c>
      <c r="G876" s="9">
        <v>5.9</v>
      </c>
      <c r="I876" s="1">
        <v>46169</v>
      </c>
      <c r="J876" s="1" t="s">
        <v>284</v>
      </c>
      <c r="K876" s="3">
        <v>33000</v>
      </c>
    </row>
    <row r="877" spans="1:11">
      <c r="A877" s="1">
        <v>46167</v>
      </c>
      <c r="B877" t="s">
        <v>1977</v>
      </c>
      <c r="C877">
        <v>3.758</v>
      </c>
      <c r="E877" s="1">
        <v>45968</v>
      </c>
      <c r="F877" s="1" t="s">
        <v>161</v>
      </c>
      <c r="G877" s="9">
        <v>6.03</v>
      </c>
      <c r="I877" s="1">
        <v>46169</v>
      </c>
      <c r="J877" s="1" t="s">
        <v>285</v>
      </c>
      <c r="K877" s="3">
        <v>4.5</v>
      </c>
    </row>
    <row r="878" spans="1:11">
      <c r="A878" s="1">
        <v>46167</v>
      </c>
      <c r="B878" t="s">
        <v>1978</v>
      </c>
      <c r="C878">
        <v>4.0659999999999998</v>
      </c>
      <c r="E878" s="1">
        <v>45968</v>
      </c>
      <c r="F878" s="1" t="s">
        <v>162</v>
      </c>
      <c r="G878" s="9">
        <v>6.15</v>
      </c>
      <c r="I878" s="1">
        <v>46169</v>
      </c>
      <c r="J878" s="1" t="s">
        <v>286</v>
      </c>
      <c r="K878" s="3">
        <v>23970</v>
      </c>
    </row>
    <row r="879" spans="1:11">
      <c r="A879" s="1">
        <v>46167</v>
      </c>
      <c r="B879" t="s">
        <v>1979</v>
      </c>
      <c r="C879">
        <v>4.133</v>
      </c>
      <c r="E879" s="1">
        <v>45968</v>
      </c>
      <c r="F879" s="1" t="s">
        <v>163</v>
      </c>
      <c r="G879" s="9">
        <v>5.9</v>
      </c>
      <c r="I879" s="1">
        <v>46169</v>
      </c>
      <c r="J879" s="1" t="s">
        <v>287</v>
      </c>
      <c r="K879" s="3">
        <v>323807</v>
      </c>
    </row>
    <row r="880" spans="1:11">
      <c r="A880" s="1">
        <v>46167</v>
      </c>
      <c r="B880" t="s">
        <v>1980</v>
      </c>
      <c r="C880">
        <v>4.25</v>
      </c>
      <c r="E880" s="1">
        <v>45967</v>
      </c>
      <c r="F880" s="1" t="s">
        <v>160</v>
      </c>
      <c r="G880" s="9">
        <v>6</v>
      </c>
      <c r="I880" s="1">
        <v>46169</v>
      </c>
      <c r="J880" s="1" t="s">
        <v>288</v>
      </c>
      <c r="K880" s="3">
        <v>-81807</v>
      </c>
    </row>
    <row r="881" spans="1:11">
      <c r="A881" s="1">
        <v>46167</v>
      </c>
      <c r="B881" t="s">
        <v>1981</v>
      </c>
      <c r="C881">
        <v>4.3769999999999998</v>
      </c>
      <c r="E881" s="1">
        <v>45967</v>
      </c>
      <c r="F881" s="1" t="s">
        <v>161</v>
      </c>
      <c r="G881" s="9">
        <v>6.1</v>
      </c>
      <c r="I881" s="1">
        <v>46169</v>
      </c>
      <c r="J881" s="1" t="s">
        <v>289</v>
      </c>
      <c r="K881" s="3">
        <v>36</v>
      </c>
    </row>
    <row r="882" spans="1:11">
      <c r="A882" s="1">
        <v>46167</v>
      </c>
      <c r="B882" t="s">
        <v>1982</v>
      </c>
      <c r="C882">
        <v>4.4279999999999999</v>
      </c>
      <c r="E882" s="1">
        <v>45967</v>
      </c>
      <c r="F882" s="1" t="s">
        <v>162</v>
      </c>
      <c r="G882" s="9">
        <v>5.8</v>
      </c>
      <c r="I882" s="1">
        <v>46169</v>
      </c>
      <c r="J882" s="1" t="s">
        <v>290</v>
      </c>
      <c r="K882" s="3">
        <v>36</v>
      </c>
    </row>
    <row r="883" spans="1:11">
      <c r="A883" s="1">
        <v>46167</v>
      </c>
      <c r="B883" t="s">
        <v>1983</v>
      </c>
      <c r="C883">
        <v>4.4909999999999997</v>
      </c>
      <c r="E883" s="1">
        <v>45967</v>
      </c>
      <c r="F883" s="1" t="s">
        <v>163</v>
      </c>
      <c r="G883" s="9">
        <v>6.1</v>
      </c>
      <c r="I883" s="1">
        <v>46169</v>
      </c>
      <c r="J883" s="1" t="s">
        <v>107</v>
      </c>
      <c r="K883" s="3">
        <v>14725744286568</v>
      </c>
    </row>
    <row r="884" spans="1:11">
      <c r="A884" s="1">
        <v>46164</v>
      </c>
      <c r="B884" t="s">
        <v>1974</v>
      </c>
      <c r="C884">
        <v>3.2730000000000001</v>
      </c>
      <c r="E884" s="1">
        <v>45966</v>
      </c>
      <c r="F884" s="1" t="s">
        <v>160</v>
      </c>
      <c r="G884" s="9">
        <v>6</v>
      </c>
      <c r="I884" s="1">
        <v>46168</v>
      </c>
      <c r="J884" s="1" t="s">
        <v>282</v>
      </c>
      <c r="K884" s="3">
        <v>25000</v>
      </c>
    </row>
    <row r="885" spans="1:11">
      <c r="A885" s="1">
        <v>46164</v>
      </c>
      <c r="B885" t="s">
        <v>1975</v>
      </c>
      <c r="C885">
        <v>3.3690000000000002</v>
      </c>
      <c r="E885" s="1">
        <v>45966</v>
      </c>
      <c r="F885" s="1" t="s">
        <v>161</v>
      </c>
      <c r="G885" s="9">
        <v>6</v>
      </c>
      <c r="I885" s="1">
        <v>46168</v>
      </c>
      <c r="J885" s="1" t="s">
        <v>283</v>
      </c>
      <c r="K885" s="3">
        <v>7</v>
      </c>
    </row>
    <row r="886" spans="1:11">
      <c r="A886" s="1">
        <v>46164</v>
      </c>
      <c r="B886" t="s">
        <v>1976</v>
      </c>
      <c r="C886">
        <v>3.45</v>
      </c>
      <c r="E886" s="1">
        <v>45966</v>
      </c>
      <c r="F886" s="1" t="s">
        <v>162</v>
      </c>
      <c r="G886" s="9">
        <v>5.8</v>
      </c>
      <c r="I886" s="1">
        <v>46168</v>
      </c>
      <c r="J886" s="1" t="s">
        <v>284</v>
      </c>
      <c r="K886" s="3">
        <v>37646</v>
      </c>
    </row>
    <row r="887" spans="1:11">
      <c r="A887" s="1">
        <v>46164</v>
      </c>
      <c r="B887" t="s">
        <v>1977</v>
      </c>
      <c r="C887">
        <v>3.7559999999999998</v>
      </c>
      <c r="E887" s="1">
        <v>45966</v>
      </c>
      <c r="F887" s="1" t="s">
        <v>163</v>
      </c>
      <c r="G887" s="9">
        <v>5.8</v>
      </c>
      <c r="I887" s="1">
        <v>46168</v>
      </c>
      <c r="J887" s="1" t="s">
        <v>285</v>
      </c>
      <c r="K887" s="3">
        <v>4.5</v>
      </c>
    </row>
    <row r="888" spans="1:11">
      <c r="A888" s="1">
        <v>46164</v>
      </c>
      <c r="B888" t="s">
        <v>1978</v>
      </c>
      <c r="C888">
        <v>4.0609999999999999</v>
      </c>
      <c r="E888" s="1">
        <v>45965</v>
      </c>
      <c r="F888" s="1" t="s">
        <v>160</v>
      </c>
      <c r="G888" s="9">
        <v>5.7</v>
      </c>
      <c r="I888" s="1">
        <v>46168</v>
      </c>
      <c r="J888" s="1" t="s">
        <v>286</v>
      </c>
      <c r="K888" s="3">
        <v>29000</v>
      </c>
    </row>
    <row r="889" spans="1:11">
      <c r="A889" s="1">
        <v>46164</v>
      </c>
      <c r="B889" t="s">
        <v>1979</v>
      </c>
      <c r="C889">
        <v>4.133</v>
      </c>
      <c r="E889" s="1">
        <v>45965</v>
      </c>
      <c r="F889" s="1" t="s">
        <v>161</v>
      </c>
      <c r="G889" s="9">
        <v>5.8</v>
      </c>
      <c r="I889" s="1">
        <v>46168</v>
      </c>
      <c r="J889" s="1" t="s">
        <v>287</v>
      </c>
      <c r="K889" s="3">
        <v>314777</v>
      </c>
    </row>
    <row r="890" spans="1:11">
      <c r="A890" s="1">
        <v>46164</v>
      </c>
      <c r="B890" t="s">
        <v>1980</v>
      </c>
      <c r="C890">
        <v>4.2530000000000001</v>
      </c>
      <c r="E890" s="1">
        <v>45965</v>
      </c>
      <c r="F890" s="1" t="s">
        <v>162</v>
      </c>
      <c r="G890" s="9">
        <v>5.7</v>
      </c>
      <c r="I890" s="1">
        <v>46168</v>
      </c>
      <c r="J890" s="1" t="s">
        <v>288</v>
      </c>
      <c r="K890" s="3">
        <v>-95777</v>
      </c>
    </row>
    <row r="891" spans="1:11">
      <c r="A891" s="1">
        <v>46164</v>
      </c>
      <c r="B891" t="s">
        <v>1981</v>
      </c>
      <c r="C891">
        <v>4.3769999999999998</v>
      </c>
      <c r="E891" s="1">
        <v>45965</v>
      </c>
      <c r="F891" s="1" t="s">
        <v>163</v>
      </c>
      <c r="G891" s="9">
        <v>5.85</v>
      </c>
      <c r="I891" s="1">
        <v>46168</v>
      </c>
      <c r="J891" s="1" t="s">
        <v>289</v>
      </c>
      <c r="K891" s="3">
        <v>38</v>
      </c>
    </row>
    <row r="892" spans="1:11">
      <c r="A892" s="1">
        <v>46164</v>
      </c>
      <c r="B892" t="s">
        <v>1982</v>
      </c>
      <c r="C892">
        <v>4.4240000000000004</v>
      </c>
      <c r="E892" s="1">
        <v>45964</v>
      </c>
      <c r="F892" s="1" t="s">
        <v>160</v>
      </c>
      <c r="G892" s="9">
        <v>5.4</v>
      </c>
      <c r="I892" s="1">
        <v>46168</v>
      </c>
      <c r="J892" s="1" t="s">
        <v>290</v>
      </c>
      <c r="K892" s="3">
        <v>38</v>
      </c>
    </row>
    <row r="893" spans="1:11">
      <c r="A893" s="1">
        <v>46164</v>
      </c>
      <c r="B893" t="s">
        <v>1983</v>
      </c>
      <c r="C893">
        <v>4.4870000000000001</v>
      </c>
      <c r="E893" s="1">
        <v>45964</v>
      </c>
      <c r="F893" s="1" t="s">
        <v>161</v>
      </c>
      <c r="G893" s="9">
        <v>5.65</v>
      </c>
      <c r="I893" s="1">
        <v>46168</v>
      </c>
      <c r="J893" s="1" t="s">
        <v>107</v>
      </c>
      <c r="K893" s="3">
        <v>15062788599030</v>
      </c>
    </row>
    <row r="894" spans="1:11">
      <c r="A894" s="1">
        <v>46163</v>
      </c>
      <c r="B894" t="s">
        <v>1974</v>
      </c>
      <c r="C894">
        <v>3.2730000000000001</v>
      </c>
      <c r="E894" s="1">
        <v>45964</v>
      </c>
      <c r="F894" s="1" t="s">
        <v>162</v>
      </c>
      <c r="G894" s="9">
        <v>5.5</v>
      </c>
      <c r="I894" s="1">
        <v>46167</v>
      </c>
      <c r="J894" s="1" t="s">
        <v>282</v>
      </c>
      <c r="K894" s="3">
        <v>11000</v>
      </c>
    </row>
    <row r="895" spans="1:11">
      <c r="A895" s="1">
        <v>46163</v>
      </c>
      <c r="B895" t="s">
        <v>1975</v>
      </c>
      <c r="C895">
        <v>3.3690000000000002</v>
      </c>
      <c r="E895" s="1">
        <v>45964</v>
      </c>
      <c r="F895" s="1" t="s">
        <v>163</v>
      </c>
      <c r="G895" s="9">
        <v>5.6</v>
      </c>
      <c r="I895" s="1">
        <v>46167</v>
      </c>
      <c r="J895" s="1" t="s">
        <v>283</v>
      </c>
      <c r="K895" s="3">
        <v>7</v>
      </c>
    </row>
    <row r="896" spans="1:11">
      <c r="A896" s="1">
        <v>46163</v>
      </c>
      <c r="B896" t="s">
        <v>1976</v>
      </c>
      <c r="C896">
        <v>3.45</v>
      </c>
      <c r="E896" s="1">
        <v>45961</v>
      </c>
      <c r="F896" s="1" t="s">
        <v>160</v>
      </c>
      <c r="G896" s="9">
        <v>4.58</v>
      </c>
      <c r="I896" s="1">
        <v>46167</v>
      </c>
      <c r="J896" s="1" t="s">
        <v>284</v>
      </c>
      <c r="K896" s="3">
        <v>24552</v>
      </c>
    </row>
    <row r="897" spans="1:11">
      <c r="A897" s="1">
        <v>46163</v>
      </c>
      <c r="B897" t="s">
        <v>1977</v>
      </c>
      <c r="C897">
        <v>3.7559999999999998</v>
      </c>
      <c r="E897" s="1">
        <v>45961</v>
      </c>
      <c r="F897" s="1" t="s">
        <v>161</v>
      </c>
      <c r="G897" s="9">
        <v>5.05</v>
      </c>
      <c r="I897" s="1">
        <v>46167</v>
      </c>
      <c r="J897" s="1" t="s">
        <v>285</v>
      </c>
      <c r="K897" s="3">
        <v>4.5</v>
      </c>
    </row>
    <row r="898" spans="1:11">
      <c r="A898" s="1">
        <v>46163</v>
      </c>
      <c r="B898" t="s">
        <v>1978</v>
      </c>
      <c r="C898">
        <v>4.0609999999999999</v>
      </c>
      <c r="E898" s="1">
        <v>45961</v>
      </c>
      <c r="F898" s="1" t="s">
        <v>162</v>
      </c>
      <c r="G898" s="9">
        <v>5.28</v>
      </c>
      <c r="I898" s="1">
        <v>46167</v>
      </c>
      <c r="J898" s="1" t="s">
        <v>286</v>
      </c>
      <c r="K898" s="3">
        <v>20000</v>
      </c>
    </row>
    <row r="899" spans="1:11">
      <c r="A899" s="1">
        <v>46163</v>
      </c>
      <c r="B899" t="s">
        <v>1979</v>
      </c>
      <c r="C899">
        <v>4.133</v>
      </c>
      <c r="E899" s="1">
        <v>45961</v>
      </c>
      <c r="F899" s="1" t="s">
        <v>163</v>
      </c>
      <c r="G899" s="9">
        <v>5.65</v>
      </c>
      <c r="I899" s="1">
        <v>46167</v>
      </c>
      <c r="J899" s="1" t="s">
        <v>287</v>
      </c>
      <c r="K899" s="3">
        <v>306131</v>
      </c>
    </row>
    <row r="900" spans="1:11">
      <c r="A900" s="1">
        <v>46163</v>
      </c>
      <c r="B900" t="s">
        <v>1980</v>
      </c>
      <c r="C900">
        <v>4.2510000000000003</v>
      </c>
      <c r="E900" s="1">
        <v>45960</v>
      </c>
      <c r="F900" s="1" t="s">
        <v>160</v>
      </c>
      <c r="G900" s="9">
        <v>3.24</v>
      </c>
      <c r="I900" s="1">
        <v>46167</v>
      </c>
      <c r="J900" s="1" t="s">
        <v>288</v>
      </c>
      <c r="K900" s="3">
        <v>-100131</v>
      </c>
    </row>
    <row r="901" spans="1:11">
      <c r="A901" s="1">
        <v>46163</v>
      </c>
      <c r="B901" t="s">
        <v>1981</v>
      </c>
      <c r="C901">
        <v>4.37</v>
      </c>
      <c r="E901" s="1">
        <v>45960</v>
      </c>
      <c r="F901" s="1" t="s">
        <v>161</v>
      </c>
      <c r="G901" s="9">
        <v>4.54</v>
      </c>
      <c r="I901" s="1">
        <v>46167</v>
      </c>
      <c r="J901" s="1" t="s">
        <v>289</v>
      </c>
      <c r="K901" s="3">
        <v>31</v>
      </c>
    </row>
    <row r="902" spans="1:11">
      <c r="A902" s="1">
        <v>46163</v>
      </c>
      <c r="B902" t="s">
        <v>1982</v>
      </c>
      <c r="C902">
        <v>4.4240000000000004</v>
      </c>
      <c r="E902" s="1">
        <v>45960</v>
      </c>
      <c r="F902" s="1" t="s">
        <v>162</v>
      </c>
      <c r="G902" s="9">
        <v>5.0199999999999996</v>
      </c>
      <c r="I902" s="1">
        <v>46167</v>
      </c>
      <c r="J902" s="1" t="s">
        <v>290</v>
      </c>
      <c r="K902" s="3">
        <v>31</v>
      </c>
    </row>
    <row r="903" spans="1:11">
      <c r="A903" s="1">
        <v>46163</v>
      </c>
      <c r="B903" t="s">
        <v>1983</v>
      </c>
      <c r="C903">
        <v>4.4870000000000001</v>
      </c>
      <c r="E903" s="1">
        <v>45960</v>
      </c>
      <c r="F903" s="1" t="s">
        <v>163</v>
      </c>
      <c r="G903" s="9">
        <v>5.38</v>
      </c>
      <c r="I903" s="1">
        <v>46167</v>
      </c>
      <c r="J903" s="1" t="s">
        <v>107</v>
      </c>
      <c r="K903" s="3">
        <v>15335212606024</v>
      </c>
    </row>
    <row r="904" spans="1:11">
      <c r="A904" s="1">
        <v>46162</v>
      </c>
      <c r="B904" t="s">
        <v>1974</v>
      </c>
      <c r="C904">
        <v>3.2730000000000001</v>
      </c>
      <c r="E904" s="1">
        <v>45959</v>
      </c>
      <c r="F904" s="1" t="s">
        <v>160</v>
      </c>
      <c r="G904" s="9">
        <v>4.22</v>
      </c>
      <c r="I904" s="1">
        <v>46166</v>
      </c>
      <c r="J904" s="1" t="s">
        <v>107</v>
      </c>
      <c r="K904" s="3">
        <v>15351543955491</v>
      </c>
    </row>
    <row r="905" spans="1:11">
      <c r="A905" s="1">
        <v>46162</v>
      </c>
      <c r="B905" t="s">
        <v>1975</v>
      </c>
      <c r="C905">
        <v>3.3690000000000002</v>
      </c>
      <c r="E905" s="1">
        <v>45959</v>
      </c>
      <c r="F905" s="1" t="s">
        <v>161</v>
      </c>
      <c r="G905" s="9">
        <v>4.72</v>
      </c>
      <c r="I905" s="1">
        <v>46164</v>
      </c>
      <c r="J905" s="1" t="s">
        <v>282</v>
      </c>
      <c r="K905" s="3">
        <v>5000</v>
      </c>
    </row>
    <row r="906" spans="1:11">
      <c r="A906" s="1">
        <v>46162</v>
      </c>
      <c r="B906" t="s">
        <v>1976</v>
      </c>
      <c r="C906">
        <v>3.45</v>
      </c>
      <c r="E906" s="1">
        <v>45959</v>
      </c>
      <c r="F906" s="1" t="s">
        <v>162</v>
      </c>
      <c r="G906" s="9">
        <v>5.22</v>
      </c>
      <c r="I906" s="1">
        <v>46164</v>
      </c>
      <c r="J906" s="1" t="s">
        <v>283</v>
      </c>
      <c r="K906" s="3">
        <v>7</v>
      </c>
    </row>
    <row r="907" spans="1:11">
      <c r="A907" s="1">
        <v>46162</v>
      </c>
      <c r="B907" t="s">
        <v>1977</v>
      </c>
      <c r="C907">
        <v>3.7549999999999999</v>
      </c>
      <c r="E907" s="1">
        <v>45959</v>
      </c>
      <c r="F907" s="1" t="s">
        <v>163</v>
      </c>
      <c r="G907" s="9">
        <v>5.68</v>
      </c>
      <c r="I907" s="1">
        <v>46164</v>
      </c>
      <c r="J907" s="1" t="s">
        <v>284</v>
      </c>
      <c r="K907" s="3">
        <v>14000</v>
      </c>
    </row>
    <row r="908" spans="1:11">
      <c r="A908" s="1">
        <v>46162</v>
      </c>
      <c r="B908" t="s">
        <v>1978</v>
      </c>
      <c r="C908">
        <v>4.0590000000000002</v>
      </c>
      <c r="E908" s="1">
        <v>45958</v>
      </c>
      <c r="F908" s="1" t="s">
        <v>160</v>
      </c>
      <c r="G908" s="9">
        <v>5.45</v>
      </c>
      <c r="I908" s="1">
        <v>46164</v>
      </c>
      <c r="J908" s="1" t="s">
        <v>285</v>
      </c>
      <c r="K908" s="3">
        <v>4.5</v>
      </c>
    </row>
    <row r="909" spans="1:11">
      <c r="A909" s="1">
        <v>46162</v>
      </c>
      <c r="B909" t="s">
        <v>1979</v>
      </c>
      <c r="C909">
        <v>4.133</v>
      </c>
      <c r="E909" s="1">
        <v>45958</v>
      </c>
      <c r="F909" s="1" t="s">
        <v>161</v>
      </c>
      <c r="G909" s="9">
        <v>5.68</v>
      </c>
      <c r="I909" s="1">
        <v>46164</v>
      </c>
      <c r="J909" s="1" t="s">
        <v>286</v>
      </c>
      <c r="K909" s="3">
        <v>4000</v>
      </c>
    </row>
    <row r="910" spans="1:11">
      <c r="A910" s="1">
        <v>46162</v>
      </c>
      <c r="B910" t="s">
        <v>1980</v>
      </c>
      <c r="C910">
        <v>4.2439999999999998</v>
      </c>
      <c r="E910" s="1">
        <v>45958</v>
      </c>
      <c r="F910" s="1" t="s">
        <v>162</v>
      </c>
      <c r="G910" s="9">
        <v>5.75</v>
      </c>
      <c r="I910" s="1">
        <v>46164</v>
      </c>
      <c r="J910" s="1" t="s">
        <v>287</v>
      </c>
      <c r="K910" s="3">
        <v>301579</v>
      </c>
    </row>
    <row r="911" spans="1:11">
      <c r="A911" s="1">
        <v>46162</v>
      </c>
      <c r="B911" t="s">
        <v>1981</v>
      </c>
      <c r="C911">
        <v>4.367</v>
      </c>
      <c r="E911" s="1">
        <v>45958</v>
      </c>
      <c r="F911" s="1" t="s">
        <v>163</v>
      </c>
      <c r="G911" s="9">
        <v>5.83</v>
      </c>
      <c r="I911" s="1">
        <v>46164</v>
      </c>
      <c r="J911" s="1" t="s">
        <v>288</v>
      </c>
      <c r="K911" s="3">
        <v>-98748</v>
      </c>
    </row>
    <row r="912" spans="1:11">
      <c r="A912" s="1">
        <v>46162</v>
      </c>
      <c r="B912" t="s">
        <v>1982</v>
      </c>
      <c r="C912">
        <v>4.42</v>
      </c>
      <c r="E912" s="1">
        <v>45957</v>
      </c>
      <c r="F912" s="1" t="s">
        <v>160</v>
      </c>
      <c r="G912" s="9">
        <v>6</v>
      </c>
      <c r="I912" s="1">
        <v>46164</v>
      </c>
      <c r="J912" s="1" t="s">
        <v>289</v>
      </c>
      <c r="K912" s="3">
        <v>31</v>
      </c>
    </row>
    <row r="913" spans="1:11">
      <c r="A913" s="1">
        <v>46162</v>
      </c>
      <c r="B913" t="s">
        <v>1983</v>
      </c>
      <c r="C913">
        <v>4.4829999999999997</v>
      </c>
      <c r="E913" s="1">
        <v>45957</v>
      </c>
      <c r="F913" s="1" t="s">
        <v>161</v>
      </c>
      <c r="G913" s="9">
        <v>6</v>
      </c>
      <c r="I913" s="1">
        <v>46164</v>
      </c>
      <c r="J913" s="1" t="s">
        <v>290</v>
      </c>
      <c r="K913" s="3">
        <v>31</v>
      </c>
    </row>
    <row r="914" spans="1:11">
      <c r="A914" s="1">
        <v>46161</v>
      </c>
      <c r="B914" t="s">
        <v>1974</v>
      </c>
      <c r="C914">
        <v>3.2730000000000001</v>
      </c>
      <c r="E914" s="1">
        <v>45957</v>
      </c>
      <c r="F914" s="1" t="s">
        <v>162</v>
      </c>
      <c r="G914" s="9">
        <v>6.02</v>
      </c>
      <c r="I914" s="1">
        <v>46163</v>
      </c>
      <c r="J914" s="1" t="s">
        <v>282</v>
      </c>
      <c r="K914" s="3">
        <v>3000</v>
      </c>
    </row>
    <row r="915" spans="1:11">
      <c r="A915" s="1">
        <v>46161</v>
      </c>
      <c r="B915" t="s">
        <v>1975</v>
      </c>
      <c r="C915">
        <v>3.3690000000000002</v>
      </c>
      <c r="E915" s="1">
        <v>45957</v>
      </c>
      <c r="F915" s="1" t="s">
        <v>163</v>
      </c>
      <c r="G915" s="9">
        <v>5.96</v>
      </c>
      <c r="I915" s="1">
        <v>46163</v>
      </c>
      <c r="J915" s="1" t="s">
        <v>283</v>
      </c>
      <c r="K915" s="3">
        <v>7</v>
      </c>
    </row>
    <row r="916" spans="1:11">
      <c r="A916" s="1">
        <v>46161</v>
      </c>
      <c r="B916" t="s">
        <v>1976</v>
      </c>
      <c r="C916">
        <v>3.45</v>
      </c>
      <c r="E916" s="1">
        <v>45954</v>
      </c>
      <c r="F916" s="1" t="s">
        <v>160</v>
      </c>
      <c r="G916" s="9">
        <v>5.86</v>
      </c>
      <c r="I916" s="1">
        <v>46163</v>
      </c>
      <c r="J916" s="1" t="s">
        <v>284</v>
      </c>
      <c r="K916" s="3">
        <v>10000</v>
      </c>
    </row>
    <row r="917" spans="1:11">
      <c r="A917" s="1">
        <v>46161</v>
      </c>
      <c r="B917" t="s">
        <v>1977</v>
      </c>
      <c r="C917">
        <v>3.75</v>
      </c>
      <c r="E917" s="1">
        <v>45954</v>
      </c>
      <c r="F917" s="1" t="s">
        <v>161</v>
      </c>
      <c r="G917" s="9">
        <v>5.88</v>
      </c>
      <c r="I917" s="1">
        <v>46163</v>
      </c>
      <c r="J917" s="1" t="s">
        <v>285</v>
      </c>
      <c r="K917" s="3">
        <v>4.5</v>
      </c>
    </row>
    <row r="918" spans="1:11">
      <c r="A918" s="1">
        <v>46161</v>
      </c>
      <c r="B918" t="s">
        <v>1978</v>
      </c>
      <c r="C918">
        <v>4.05</v>
      </c>
      <c r="E918" s="1">
        <v>45954</v>
      </c>
      <c r="F918" s="1" t="s">
        <v>162</v>
      </c>
      <c r="G918" s="9">
        <v>5.9</v>
      </c>
      <c r="I918" s="1">
        <v>46163</v>
      </c>
      <c r="J918" s="1" t="s">
        <v>286</v>
      </c>
      <c r="K918" s="3">
        <v>5000</v>
      </c>
    </row>
    <row r="919" spans="1:11">
      <c r="A919" s="1">
        <v>46161</v>
      </c>
      <c r="B919" t="s">
        <v>1979</v>
      </c>
      <c r="C919">
        <v>4.1319999999999997</v>
      </c>
      <c r="E919" s="1">
        <v>45954</v>
      </c>
      <c r="F919" s="1" t="s">
        <v>163</v>
      </c>
      <c r="G919" s="9">
        <v>5.8</v>
      </c>
      <c r="I919" s="1">
        <v>46163</v>
      </c>
      <c r="J919" s="1" t="s">
        <v>287</v>
      </c>
      <c r="K919" s="3">
        <v>291579</v>
      </c>
    </row>
    <row r="920" spans="1:11">
      <c r="A920" s="1">
        <v>46161</v>
      </c>
      <c r="B920" t="s">
        <v>1980</v>
      </c>
      <c r="C920">
        <v>4.24</v>
      </c>
      <c r="E920" s="1">
        <v>45953</v>
      </c>
      <c r="F920" s="1" t="s">
        <v>160</v>
      </c>
      <c r="G920" s="9">
        <v>5.9</v>
      </c>
      <c r="I920" s="1">
        <v>46163</v>
      </c>
      <c r="J920" s="1" t="s">
        <v>288</v>
      </c>
      <c r="K920" s="3">
        <v>-93748</v>
      </c>
    </row>
    <row r="921" spans="1:11">
      <c r="A921" s="1">
        <v>46161</v>
      </c>
      <c r="B921" t="s">
        <v>1981</v>
      </c>
      <c r="C921">
        <v>4.3559999999999999</v>
      </c>
      <c r="E921" s="1">
        <v>45953</v>
      </c>
      <c r="F921" s="1" t="s">
        <v>161</v>
      </c>
      <c r="G921" s="9">
        <v>5.92</v>
      </c>
      <c r="I921" s="1">
        <v>46163</v>
      </c>
      <c r="J921" s="1" t="s">
        <v>289</v>
      </c>
      <c r="K921" s="3">
        <v>24</v>
      </c>
    </row>
    <row r="922" spans="1:11">
      <c r="A922" s="1">
        <v>46161</v>
      </c>
      <c r="B922" t="s">
        <v>1982</v>
      </c>
      <c r="C922">
        <v>4.4029999999999996</v>
      </c>
      <c r="E922" s="1">
        <v>45953</v>
      </c>
      <c r="F922" s="1" t="s">
        <v>162</v>
      </c>
      <c r="G922" s="9">
        <v>5.93</v>
      </c>
      <c r="I922" s="1">
        <v>46163</v>
      </c>
      <c r="J922" s="1" t="s">
        <v>290</v>
      </c>
      <c r="K922" s="3">
        <v>24</v>
      </c>
    </row>
    <row r="923" spans="1:11">
      <c r="A923" s="1">
        <v>46161</v>
      </c>
      <c r="B923" t="s">
        <v>1983</v>
      </c>
      <c r="C923">
        <v>4.4660000000000002</v>
      </c>
      <c r="E923" s="1">
        <v>45953</v>
      </c>
      <c r="F923" s="1" t="s">
        <v>163</v>
      </c>
      <c r="G923" s="9">
        <v>5.85</v>
      </c>
      <c r="I923" s="1">
        <v>46163</v>
      </c>
      <c r="J923" s="1" t="s">
        <v>107</v>
      </c>
      <c r="K923" s="3">
        <v>15413274099105</v>
      </c>
    </row>
    <row r="924" spans="1:11">
      <c r="A924" s="1">
        <v>46160</v>
      </c>
      <c r="B924" t="s">
        <v>1974</v>
      </c>
      <c r="C924">
        <v>3.2730000000000001</v>
      </c>
      <c r="E924" s="1">
        <v>45952</v>
      </c>
      <c r="F924" s="1" t="s">
        <v>160</v>
      </c>
      <c r="G924" s="9">
        <v>6.28</v>
      </c>
      <c r="I924" s="1">
        <v>46162</v>
      </c>
      <c r="J924" s="1" t="s">
        <v>282</v>
      </c>
      <c r="K924" s="3">
        <v>2000</v>
      </c>
    </row>
    <row r="925" spans="1:11">
      <c r="A925" s="1">
        <v>46160</v>
      </c>
      <c r="B925" t="s">
        <v>1975</v>
      </c>
      <c r="C925">
        <v>3.3690000000000002</v>
      </c>
      <c r="E925" s="1">
        <v>45952</v>
      </c>
      <c r="F925" s="1" t="s">
        <v>161</v>
      </c>
      <c r="G925" s="9">
        <v>6.28</v>
      </c>
      <c r="I925" s="1">
        <v>46162</v>
      </c>
      <c r="J925" s="1" t="s">
        <v>283</v>
      </c>
      <c r="K925" s="3">
        <v>7</v>
      </c>
    </row>
    <row r="926" spans="1:11">
      <c r="A926" s="1">
        <v>46160</v>
      </c>
      <c r="B926" t="s">
        <v>1976</v>
      </c>
      <c r="C926">
        <v>3.45</v>
      </c>
      <c r="E926" s="1">
        <v>45952</v>
      </c>
      <c r="F926" s="1" t="s">
        <v>162</v>
      </c>
      <c r="G926" s="9">
        <v>6.04</v>
      </c>
      <c r="I926" s="1">
        <v>46162</v>
      </c>
      <c r="J926" s="1" t="s">
        <v>284</v>
      </c>
      <c r="K926" s="3">
        <v>8000</v>
      </c>
    </row>
    <row r="927" spans="1:11">
      <c r="A927" s="1">
        <v>46160</v>
      </c>
      <c r="B927" t="s">
        <v>1977</v>
      </c>
      <c r="C927">
        <v>3.7480000000000002</v>
      </c>
      <c r="E927" s="1">
        <v>45952</v>
      </c>
      <c r="F927" s="1" t="s">
        <v>163</v>
      </c>
      <c r="G927" s="9">
        <v>5.8</v>
      </c>
      <c r="I927" s="1">
        <v>46162</v>
      </c>
      <c r="J927" s="1" t="s">
        <v>285</v>
      </c>
      <c r="K927" s="3">
        <v>4.5</v>
      </c>
    </row>
    <row r="928" spans="1:11">
      <c r="A928" s="1">
        <v>46160</v>
      </c>
      <c r="B928" t="s">
        <v>1978</v>
      </c>
      <c r="C928">
        <v>4.0460000000000003</v>
      </c>
      <c r="E928" s="1">
        <v>45951</v>
      </c>
      <c r="F928" s="1" t="s">
        <v>160</v>
      </c>
      <c r="G928" s="9">
        <v>5.0999999999999996</v>
      </c>
      <c r="I928" s="1">
        <v>46162</v>
      </c>
      <c r="J928" s="1" t="s">
        <v>286</v>
      </c>
      <c r="K928" s="3">
        <v>7000</v>
      </c>
    </row>
    <row r="929" spans="1:11">
      <c r="A929" s="1">
        <v>46160</v>
      </c>
      <c r="B929" t="s">
        <v>1979</v>
      </c>
      <c r="C929">
        <v>4.1319999999999997</v>
      </c>
      <c r="E929" s="1">
        <v>45951</v>
      </c>
      <c r="F929" s="1" t="s">
        <v>161</v>
      </c>
      <c r="G929" s="9">
        <v>5.3</v>
      </c>
      <c r="I929" s="1">
        <v>46162</v>
      </c>
      <c r="J929" s="1" t="s">
        <v>287</v>
      </c>
      <c r="K929" s="3">
        <v>286579</v>
      </c>
    </row>
    <row r="930" spans="1:11">
      <c r="A930" s="1">
        <v>46160</v>
      </c>
      <c r="B930" t="s">
        <v>1980</v>
      </c>
      <c r="C930">
        <v>4.2439999999999998</v>
      </c>
      <c r="E930" s="1">
        <v>45951</v>
      </c>
      <c r="F930" s="1" t="s">
        <v>162</v>
      </c>
      <c r="G930" s="9">
        <v>5.48</v>
      </c>
      <c r="I930" s="1">
        <v>46162</v>
      </c>
      <c r="J930" s="1" t="s">
        <v>288</v>
      </c>
      <c r="K930" s="3">
        <v>-81970</v>
      </c>
    </row>
    <row r="931" spans="1:11">
      <c r="A931" s="1">
        <v>46160</v>
      </c>
      <c r="B931" t="s">
        <v>1981</v>
      </c>
      <c r="C931">
        <v>4.351</v>
      </c>
      <c r="E931" s="1">
        <v>45951</v>
      </c>
      <c r="F931" s="1" t="s">
        <v>163</v>
      </c>
      <c r="G931" s="9">
        <v>5.56</v>
      </c>
      <c r="I931" s="1">
        <v>46162</v>
      </c>
      <c r="J931" s="1" t="s">
        <v>289</v>
      </c>
      <c r="K931" s="3">
        <v>26</v>
      </c>
    </row>
    <row r="932" spans="1:11">
      <c r="A932" s="1">
        <v>46160</v>
      </c>
      <c r="B932" t="s">
        <v>1982</v>
      </c>
      <c r="C932">
        <v>4.4029999999999996</v>
      </c>
      <c r="E932" s="1">
        <v>45950</v>
      </c>
      <c r="F932" s="1" t="s">
        <v>160</v>
      </c>
      <c r="G932" s="9">
        <v>5.0599999999999996</v>
      </c>
      <c r="I932" s="1">
        <v>46162</v>
      </c>
      <c r="J932" s="1" t="s">
        <v>290</v>
      </c>
      <c r="K932" s="3">
        <v>26</v>
      </c>
    </row>
    <row r="933" spans="1:11">
      <c r="A933" s="1">
        <v>46160</v>
      </c>
      <c r="B933" t="s">
        <v>1983</v>
      </c>
      <c r="C933">
        <v>4.4660000000000002</v>
      </c>
      <c r="E933" s="1">
        <v>45950</v>
      </c>
      <c r="F933" s="1" t="s">
        <v>161</v>
      </c>
      <c r="G933" s="9">
        <v>5.34</v>
      </c>
      <c r="I933" s="1">
        <v>46162</v>
      </c>
      <c r="J933" s="1" t="s">
        <v>107</v>
      </c>
      <c r="K933" s="3">
        <v>14315369563719</v>
      </c>
    </row>
    <row r="934" spans="1:11">
      <c r="A934" s="1">
        <v>46157</v>
      </c>
      <c r="B934" t="s">
        <v>1974</v>
      </c>
      <c r="C934">
        <v>3.2730000000000001</v>
      </c>
      <c r="E934" s="1">
        <v>45950</v>
      </c>
      <c r="F934" s="1" t="s">
        <v>162</v>
      </c>
      <c r="G934" s="9">
        <v>5.44</v>
      </c>
      <c r="I934" s="1">
        <v>46161</v>
      </c>
      <c r="J934" s="1" t="s">
        <v>107</v>
      </c>
      <c r="K934" s="3">
        <v>13836552682523</v>
      </c>
    </row>
    <row r="935" spans="1:11">
      <c r="A935" s="1">
        <v>46157</v>
      </c>
      <c r="B935" t="s">
        <v>1975</v>
      </c>
      <c r="C935">
        <v>3.3690000000000002</v>
      </c>
      <c r="E935" s="1">
        <v>45950</v>
      </c>
      <c r="F935" s="1" t="s">
        <v>163</v>
      </c>
      <c r="G935" s="9">
        <v>5.56</v>
      </c>
      <c r="I935" s="1">
        <v>46161</v>
      </c>
      <c r="J935" s="1" t="s">
        <v>282</v>
      </c>
      <c r="K935" s="3">
        <v>2000</v>
      </c>
    </row>
    <row r="936" spans="1:11">
      <c r="A936" s="1">
        <v>46157</v>
      </c>
      <c r="B936" t="s">
        <v>1976</v>
      </c>
      <c r="C936">
        <v>3.45</v>
      </c>
      <c r="E936" s="1">
        <v>45947</v>
      </c>
      <c r="F936" s="1" t="s">
        <v>160</v>
      </c>
      <c r="G936" s="9">
        <v>5.45</v>
      </c>
      <c r="I936" s="1">
        <v>46161</v>
      </c>
      <c r="J936" s="1" t="s">
        <v>283</v>
      </c>
      <c r="K936" s="3">
        <v>7</v>
      </c>
    </row>
    <row r="937" spans="1:11">
      <c r="A937" s="1">
        <v>46157</v>
      </c>
      <c r="B937" t="s">
        <v>1977</v>
      </c>
      <c r="C937">
        <v>3.75</v>
      </c>
      <c r="E937" s="1">
        <v>45947</v>
      </c>
      <c r="F937" s="1" t="s">
        <v>161</v>
      </c>
      <c r="G937" s="9">
        <v>5.55</v>
      </c>
      <c r="I937" s="1">
        <v>46161</v>
      </c>
      <c r="J937" s="1" t="s">
        <v>284</v>
      </c>
      <c r="K937" s="3">
        <v>9000</v>
      </c>
    </row>
    <row r="938" spans="1:11">
      <c r="A938" s="1">
        <v>46157</v>
      </c>
      <c r="B938" t="s">
        <v>1978</v>
      </c>
      <c r="C938">
        <v>4.05</v>
      </c>
      <c r="E938" s="1">
        <v>45947</v>
      </c>
      <c r="F938" s="1" t="s">
        <v>162</v>
      </c>
      <c r="G938" s="9">
        <v>5.6</v>
      </c>
      <c r="I938" s="1">
        <v>46161</v>
      </c>
      <c r="J938" s="1" t="s">
        <v>285</v>
      </c>
      <c r="K938" s="3">
        <v>4.5</v>
      </c>
    </row>
    <row r="939" spans="1:11">
      <c r="A939" s="1">
        <v>46157</v>
      </c>
      <c r="B939" t="s">
        <v>1979</v>
      </c>
      <c r="C939">
        <v>4.1319999999999997</v>
      </c>
      <c r="E939" s="1">
        <v>45947</v>
      </c>
      <c r="F939" s="1" t="s">
        <v>163</v>
      </c>
      <c r="G939" s="9">
        <v>5.63</v>
      </c>
      <c r="I939" s="1">
        <v>46161</v>
      </c>
      <c r="J939" s="1" t="s">
        <v>286</v>
      </c>
      <c r="K939" s="3">
        <v>15000</v>
      </c>
    </row>
    <row r="940" spans="1:11">
      <c r="A940" s="1">
        <v>46157</v>
      </c>
      <c r="B940" t="s">
        <v>1980</v>
      </c>
      <c r="C940">
        <v>4.24</v>
      </c>
      <c r="E940" s="1">
        <v>45946</v>
      </c>
      <c r="F940" s="1" t="s">
        <v>160</v>
      </c>
      <c r="G940" s="9">
        <v>5.86</v>
      </c>
      <c r="I940" s="1">
        <v>46161</v>
      </c>
      <c r="J940" s="1" t="s">
        <v>287</v>
      </c>
      <c r="K940" s="3">
        <v>285579</v>
      </c>
    </row>
    <row r="941" spans="1:11">
      <c r="A941" s="1">
        <v>46157</v>
      </c>
      <c r="B941" t="s">
        <v>1981</v>
      </c>
      <c r="C941">
        <v>4.3499999999999996</v>
      </c>
      <c r="E941" s="1">
        <v>45946</v>
      </c>
      <c r="F941" s="1" t="s">
        <v>161</v>
      </c>
      <c r="G941" s="9">
        <v>5.88</v>
      </c>
      <c r="I941" s="1">
        <v>46161</v>
      </c>
      <c r="J941" s="1" t="s">
        <v>288</v>
      </c>
      <c r="K941" s="3">
        <v>-65000</v>
      </c>
    </row>
    <row r="942" spans="1:11">
      <c r="A942" s="1">
        <v>46157</v>
      </c>
      <c r="B942" t="s">
        <v>1982</v>
      </c>
      <c r="C942">
        <v>4.4029999999999996</v>
      </c>
      <c r="E942" s="1">
        <v>45946</v>
      </c>
      <c r="F942" s="1" t="s">
        <v>162</v>
      </c>
      <c r="G942" s="9">
        <v>5.76</v>
      </c>
      <c r="I942" s="1">
        <v>46161</v>
      </c>
      <c r="J942" s="1" t="s">
        <v>289</v>
      </c>
      <c r="K942" s="3">
        <v>29</v>
      </c>
    </row>
    <row r="943" spans="1:11">
      <c r="A943" s="1">
        <v>46157</v>
      </c>
      <c r="B943" t="s">
        <v>1983</v>
      </c>
      <c r="C943">
        <v>4.4660000000000002</v>
      </c>
      <c r="E943" s="1">
        <v>45946</v>
      </c>
      <c r="F943" s="1" t="s">
        <v>163</v>
      </c>
      <c r="G943" s="9">
        <v>5.58</v>
      </c>
      <c r="I943" s="1">
        <v>46161</v>
      </c>
      <c r="J943" s="1" t="s">
        <v>290</v>
      </c>
      <c r="K943" s="3">
        <v>29</v>
      </c>
    </row>
    <row r="944" spans="1:11">
      <c r="A944" s="1">
        <v>46156</v>
      </c>
      <c r="B944" t="s">
        <v>1974</v>
      </c>
      <c r="C944">
        <v>3.2730000000000001</v>
      </c>
      <c r="E944" s="1">
        <v>45945</v>
      </c>
      <c r="F944" s="1" t="s">
        <v>160</v>
      </c>
      <c r="G944" s="9">
        <v>5.04</v>
      </c>
      <c r="I944" s="1">
        <v>46160</v>
      </c>
      <c r="J944" s="1" t="s">
        <v>107</v>
      </c>
      <c r="K944" s="3">
        <v>13558654773939</v>
      </c>
    </row>
    <row r="945" spans="1:11">
      <c r="A945" s="1">
        <v>46156</v>
      </c>
      <c r="B945" t="s">
        <v>1975</v>
      </c>
      <c r="C945">
        <v>3.3690000000000002</v>
      </c>
      <c r="E945" s="1">
        <v>45945</v>
      </c>
      <c r="F945" s="1" t="s">
        <v>161</v>
      </c>
      <c r="G945" s="9">
        <v>5.18</v>
      </c>
      <c r="I945" s="1">
        <v>46160</v>
      </c>
      <c r="J945" s="1" t="s">
        <v>282</v>
      </c>
      <c r="K945" s="3">
        <v>1000</v>
      </c>
    </row>
    <row r="946" spans="1:11">
      <c r="A946" s="1">
        <v>46156</v>
      </c>
      <c r="B946" t="s">
        <v>1976</v>
      </c>
      <c r="C946">
        <v>3.45</v>
      </c>
      <c r="E946" s="1">
        <v>45945</v>
      </c>
      <c r="F946" s="1" t="s">
        <v>162</v>
      </c>
      <c r="G946" s="9">
        <v>5.24</v>
      </c>
      <c r="I946" s="1">
        <v>46160</v>
      </c>
      <c r="J946" s="1" t="s">
        <v>283</v>
      </c>
      <c r="K946" s="3">
        <v>7</v>
      </c>
    </row>
    <row r="947" spans="1:11">
      <c r="A947" s="1">
        <v>46156</v>
      </c>
      <c r="B947" t="s">
        <v>1977</v>
      </c>
      <c r="C947">
        <v>3.7469999999999999</v>
      </c>
      <c r="E947" s="1">
        <v>45945</v>
      </c>
      <c r="F947" s="1" t="s">
        <v>163</v>
      </c>
      <c r="G947" s="9">
        <v>5.38</v>
      </c>
      <c r="I947" s="1">
        <v>46160</v>
      </c>
      <c r="J947" s="1" t="s">
        <v>284</v>
      </c>
      <c r="K947" s="3">
        <v>4000</v>
      </c>
    </row>
    <row r="948" spans="1:11">
      <c r="A948" s="1">
        <v>46156</v>
      </c>
      <c r="B948" t="s">
        <v>1978</v>
      </c>
      <c r="C948">
        <v>4.0439999999999996</v>
      </c>
      <c r="E948" s="1">
        <v>45944</v>
      </c>
      <c r="F948" s="1" t="s">
        <v>160</v>
      </c>
      <c r="G948" s="9">
        <v>4.9000000000000004</v>
      </c>
      <c r="I948" s="1">
        <v>46160</v>
      </c>
      <c r="J948" s="1" t="s">
        <v>285</v>
      </c>
      <c r="K948" s="3">
        <v>4.5</v>
      </c>
    </row>
    <row r="949" spans="1:11">
      <c r="A949" s="1">
        <v>46156</v>
      </c>
      <c r="B949" t="s">
        <v>1979</v>
      </c>
      <c r="C949">
        <v>4.1319999999999997</v>
      </c>
      <c r="E949" s="1">
        <v>45944</v>
      </c>
      <c r="F949" s="1" t="s">
        <v>161</v>
      </c>
      <c r="G949" s="9">
        <v>5.0199999999999996</v>
      </c>
      <c r="I949" s="1">
        <v>46160</v>
      </c>
      <c r="J949" s="1" t="s">
        <v>286</v>
      </c>
      <c r="K949" s="3">
        <v>22000</v>
      </c>
    </row>
    <row r="950" spans="1:11">
      <c r="A950" s="1">
        <v>46156</v>
      </c>
      <c r="B950" t="s">
        <v>1980</v>
      </c>
      <c r="C950">
        <v>4.2430000000000003</v>
      </c>
      <c r="E950" s="1">
        <v>45944</v>
      </c>
      <c r="F950" s="1" t="s">
        <v>162</v>
      </c>
      <c r="G950" s="9">
        <v>5.0999999999999996</v>
      </c>
      <c r="I950" s="1">
        <v>46160</v>
      </c>
      <c r="J950" s="1" t="s">
        <v>287</v>
      </c>
      <c r="K950" s="3">
        <v>291579</v>
      </c>
    </row>
    <row r="951" spans="1:11">
      <c r="A951" s="1">
        <v>46156</v>
      </c>
      <c r="B951" t="s">
        <v>1981</v>
      </c>
      <c r="C951">
        <v>4.3499999999999996</v>
      </c>
      <c r="E951" s="1">
        <v>45944</v>
      </c>
      <c r="F951" s="1" t="s">
        <v>163</v>
      </c>
      <c r="G951" s="9">
        <v>5.3</v>
      </c>
      <c r="I951" s="1">
        <v>46160</v>
      </c>
      <c r="J951" s="1" t="s">
        <v>288</v>
      </c>
      <c r="K951" s="3">
        <v>-51000</v>
      </c>
    </row>
    <row r="952" spans="1:11">
      <c r="A952" s="1">
        <v>46156</v>
      </c>
      <c r="B952" t="s">
        <v>1982</v>
      </c>
      <c r="C952">
        <v>4.4029999999999996</v>
      </c>
      <c r="E952" s="1">
        <v>45943</v>
      </c>
      <c r="F952" s="1" t="s">
        <v>160</v>
      </c>
      <c r="G952" s="9">
        <v>4.75</v>
      </c>
      <c r="I952" s="1">
        <v>46160</v>
      </c>
      <c r="J952" s="1" t="s">
        <v>289</v>
      </c>
      <c r="K952" s="3">
        <v>23</v>
      </c>
    </row>
    <row r="953" spans="1:11">
      <c r="A953" s="1">
        <v>46156</v>
      </c>
      <c r="B953" t="s">
        <v>1983</v>
      </c>
      <c r="C953">
        <v>4.4660000000000002</v>
      </c>
      <c r="E953" s="1">
        <v>45943</v>
      </c>
      <c r="F953" s="1" t="s">
        <v>161</v>
      </c>
      <c r="G953" s="9">
        <v>4.9000000000000004</v>
      </c>
      <c r="I953" s="1">
        <v>46160</v>
      </c>
      <c r="J953" s="1" t="s">
        <v>290</v>
      </c>
      <c r="K953" s="3">
        <v>23</v>
      </c>
    </row>
    <row r="954" spans="1:11">
      <c r="A954" s="1">
        <v>46155</v>
      </c>
      <c r="B954" t="s">
        <v>1974</v>
      </c>
      <c r="C954">
        <v>3.2730000000000001</v>
      </c>
      <c r="E954" s="1">
        <v>45943</v>
      </c>
      <c r="F954" s="1" t="s">
        <v>162</v>
      </c>
      <c r="G954" s="9">
        <v>5</v>
      </c>
      <c r="I954" s="1">
        <v>46159</v>
      </c>
      <c r="J954" s="1" t="s">
        <v>107</v>
      </c>
      <c r="K954" s="3">
        <v>13904868356596</v>
      </c>
    </row>
    <row r="955" spans="1:11">
      <c r="A955" s="1">
        <v>46155</v>
      </c>
      <c r="B955" t="s">
        <v>1975</v>
      </c>
      <c r="C955">
        <v>3.3690000000000002</v>
      </c>
      <c r="E955" s="1">
        <v>45943</v>
      </c>
      <c r="F955" s="1" t="s">
        <v>163</v>
      </c>
      <c r="G955" s="9">
        <v>5.3</v>
      </c>
      <c r="I955" s="1">
        <v>46157</v>
      </c>
      <c r="J955" s="1" t="s">
        <v>282</v>
      </c>
      <c r="K955" s="3">
        <v>2000</v>
      </c>
    </row>
    <row r="956" spans="1:11">
      <c r="A956" s="1">
        <v>46155</v>
      </c>
      <c r="B956" t="s">
        <v>1976</v>
      </c>
      <c r="C956">
        <v>3.45</v>
      </c>
      <c r="E956" s="1">
        <v>45940</v>
      </c>
      <c r="F956" s="1" t="s">
        <v>160</v>
      </c>
      <c r="G956" s="9">
        <v>4.7699999999999996</v>
      </c>
      <c r="I956" s="1">
        <v>46157</v>
      </c>
      <c r="J956" s="1" t="s">
        <v>283</v>
      </c>
      <c r="K956" s="3">
        <v>7</v>
      </c>
    </row>
    <row r="957" spans="1:11">
      <c r="A957" s="1">
        <v>46155</v>
      </c>
      <c r="B957" t="s">
        <v>1977</v>
      </c>
      <c r="C957">
        <v>3.746</v>
      </c>
      <c r="E957" s="1">
        <v>45940</v>
      </c>
      <c r="F957" s="1" t="s">
        <v>161</v>
      </c>
      <c r="G957" s="9">
        <v>4.93</v>
      </c>
      <c r="I957" s="1">
        <v>46157</v>
      </c>
      <c r="J957" s="1" t="s">
        <v>284</v>
      </c>
      <c r="K957" s="3">
        <v>4000</v>
      </c>
    </row>
    <row r="958" spans="1:11">
      <c r="A958" s="1">
        <v>46155</v>
      </c>
      <c r="B958" t="s">
        <v>1978</v>
      </c>
      <c r="C958">
        <v>4.0430000000000001</v>
      </c>
      <c r="E958" s="1">
        <v>45940</v>
      </c>
      <c r="F958" s="1" t="s">
        <v>162</v>
      </c>
      <c r="G958" s="9">
        <v>5.03</v>
      </c>
      <c r="I958" s="1">
        <v>46157</v>
      </c>
      <c r="J958" s="1" t="s">
        <v>285</v>
      </c>
      <c r="K958" s="3">
        <v>4.5</v>
      </c>
    </row>
    <row r="959" spans="1:11">
      <c r="A959" s="1">
        <v>46155</v>
      </c>
      <c r="B959" t="s">
        <v>1979</v>
      </c>
      <c r="C959">
        <v>4.1289999999999996</v>
      </c>
      <c r="E959" s="1">
        <v>45940</v>
      </c>
      <c r="F959" s="1" t="s">
        <v>163</v>
      </c>
      <c r="G959" s="9">
        <v>5.35</v>
      </c>
      <c r="I959" s="1">
        <v>46157</v>
      </c>
      <c r="J959" s="1" t="s">
        <v>286</v>
      </c>
      <c r="K959" s="3">
        <v>12000</v>
      </c>
    </row>
    <row r="960" spans="1:11">
      <c r="A960" s="1">
        <v>46155</v>
      </c>
      <c r="B960" t="s">
        <v>1980</v>
      </c>
      <c r="C960">
        <v>4.2380000000000004</v>
      </c>
      <c r="E960" s="1">
        <v>45939</v>
      </c>
      <c r="F960" s="1" t="s">
        <v>160</v>
      </c>
      <c r="G960" s="9">
        <v>5.18</v>
      </c>
      <c r="I960" s="1">
        <v>46157</v>
      </c>
      <c r="J960" s="1" t="s">
        <v>287</v>
      </c>
      <c r="K960" s="3">
        <v>309579</v>
      </c>
    </row>
    <row r="961" spans="1:11">
      <c r="A961" s="1">
        <v>46155</v>
      </c>
      <c r="B961" t="s">
        <v>1981</v>
      </c>
      <c r="C961">
        <v>4.3479999999999999</v>
      </c>
      <c r="E961" s="1">
        <v>45939</v>
      </c>
      <c r="F961" s="1" t="s">
        <v>161</v>
      </c>
      <c r="G961" s="9">
        <v>5.24</v>
      </c>
      <c r="I961" s="1">
        <v>46157</v>
      </c>
      <c r="J961" s="1" t="s">
        <v>288</v>
      </c>
      <c r="K961" s="3">
        <v>-53000</v>
      </c>
    </row>
    <row r="962" spans="1:11">
      <c r="A962" s="1">
        <v>46155</v>
      </c>
      <c r="B962" t="s">
        <v>1982</v>
      </c>
      <c r="C962">
        <v>4.3979999999999997</v>
      </c>
      <c r="E962" s="1">
        <v>45939</v>
      </c>
      <c r="F962" s="1" t="s">
        <v>162</v>
      </c>
      <c r="G962" s="9">
        <v>5.32</v>
      </c>
      <c r="I962" s="1">
        <v>46157</v>
      </c>
      <c r="J962" s="1" t="s">
        <v>289</v>
      </c>
      <c r="K962" s="3">
        <v>21</v>
      </c>
    </row>
    <row r="963" spans="1:11">
      <c r="A963" s="1">
        <v>46155</v>
      </c>
      <c r="B963" t="s">
        <v>1983</v>
      </c>
      <c r="C963">
        <v>4.46</v>
      </c>
      <c r="E963" s="1">
        <v>45939</v>
      </c>
      <c r="F963" s="1" t="s">
        <v>163</v>
      </c>
      <c r="G963" s="9">
        <v>5.4</v>
      </c>
      <c r="I963" s="1">
        <v>46157</v>
      </c>
      <c r="J963" s="1" t="s">
        <v>290</v>
      </c>
      <c r="K963" s="3">
        <v>21</v>
      </c>
    </row>
    <row r="964" spans="1:11">
      <c r="A964" s="1">
        <v>46154</v>
      </c>
      <c r="B964" t="s">
        <v>1974</v>
      </c>
      <c r="C964">
        <v>3.2730000000000001</v>
      </c>
      <c r="E964" s="1">
        <v>45938</v>
      </c>
      <c r="F964" s="1" t="s">
        <v>160</v>
      </c>
      <c r="G964" s="9">
        <v>4.9800000000000004</v>
      </c>
      <c r="I964" s="1">
        <v>46156</v>
      </c>
      <c r="J964" s="1" t="s">
        <v>107</v>
      </c>
      <c r="K964" s="3">
        <v>13782890216399</v>
      </c>
    </row>
    <row r="965" spans="1:11">
      <c r="A965" s="1">
        <v>46154</v>
      </c>
      <c r="B965" t="s">
        <v>1975</v>
      </c>
      <c r="C965">
        <v>3.3690000000000002</v>
      </c>
      <c r="E965" s="1">
        <v>45938</v>
      </c>
      <c r="F965" s="1" t="s">
        <v>161</v>
      </c>
      <c r="G965" s="9">
        <v>5.0999999999999996</v>
      </c>
      <c r="I965" s="1">
        <v>46156</v>
      </c>
      <c r="J965" s="1" t="s">
        <v>282</v>
      </c>
      <c r="K965" s="3">
        <v>3000</v>
      </c>
    </row>
    <row r="966" spans="1:11">
      <c r="A966" s="1">
        <v>46154</v>
      </c>
      <c r="B966" t="s">
        <v>1976</v>
      </c>
      <c r="C966">
        <v>3.45</v>
      </c>
      <c r="E966" s="1">
        <v>45938</v>
      </c>
      <c r="F966" s="1" t="s">
        <v>162</v>
      </c>
      <c r="G966" s="9">
        <v>5.12</v>
      </c>
      <c r="I966" s="1">
        <v>46156</v>
      </c>
      <c r="J966" s="1" t="s">
        <v>283</v>
      </c>
      <c r="K966" s="3">
        <v>7</v>
      </c>
    </row>
    <row r="967" spans="1:11">
      <c r="A967" s="1">
        <v>46154</v>
      </c>
      <c r="B967" t="s">
        <v>1977</v>
      </c>
      <c r="C967">
        <v>3.75</v>
      </c>
      <c r="E967" s="1">
        <v>45938</v>
      </c>
      <c r="F967" s="1" t="s">
        <v>163</v>
      </c>
      <c r="G967" s="9">
        <v>5.3</v>
      </c>
      <c r="I967" s="1">
        <v>46156</v>
      </c>
      <c r="J967" s="1" t="s">
        <v>284</v>
      </c>
      <c r="K967" s="3">
        <v>5000</v>
      </c>
    </row>
    <row r="968" spans="1:11">
      <c r="A968" s="1">
        <v>46154</v>
      </c>
      <c r="B968" t="s">
        <v>1978</v>
      </c>
      <c r="C968">
        <v>4.05</v>
      </c>
      <c r="E968" s="1">
        <v>45937</v>
      </c>
      <c r="F968" s="1" t="s">
        <v>160</v>
      </c>
      <c r="G968" s="9">
        <v>4.78</v>
      </c>
      <c r="I968" s="1">
        <v>46156</v>
      </c>
      <c r="J968" s="1" t="s">
        <v>285</v>
      </c>
      <c r="K968" s="3">
        <v>4.5</v>
      </c>
    </row>
    <row r="969" spans="1:11">
      <c r="A969" s="1">
        <v>46154</v>
      </c>
      <c r="B969" t="s">
        <v>1979</v>
      </c>
      <c r="C969">
        <v>4.1289999999999996</v>
      </c>
      <c r="E969" s="1">
        <v>45937</v>
      </c>
      <c r="F969" s="1" t="s">
        <v>161</v>
      </c>
      <c r="G969" s="9">
        <v>4.95</v>
      </c>
      <c r="I969" s="1">
        <v>46156</v>
      </c>
      <c r="J969" s="1" t="s">
        <v>286</v>
      </c>
      <c r="K969" s="3">
        <v>4000</v>
      </c>
    </row>
    <row r="970" spans="1:11">
      <c r="A970" s="1">
        <v>46154</v>
      </c>
      <c r="B970" t="s">
        <v>1980</v>
      </c>
      <c r="C970">
        <v>4.2359999999999998</v>
      </c>
      <c r="E970" s="1">
        <v>45937</v>
      </c>
      <c r="F970" s="1" t="s">
        <v>162</v>
      </c>
      <c r="G970" s="9">
        <v>5.05</v>
      </c>
      <c r="I970" s="1">
        <v>46156</v>
      </c>
      <c r="J970" s="1" t="s">
        <v>287</v>
      </c>
      <c r="K970" s="3">
        <v>317579</v>
      </c>
    </row>
    <row r="971" spans="1:11">
      <c r="A971" s="1">
        <v>46154</v>
      </c>
      <c r="B971" t="s">
        <v>1981</v>
      </c>
      <c r="C971">
        <v>4.3460000000000001</v>
      </c>
      <c r="E971" s="1">
        <v>45937</v>
      </c>
      <c r="F971" s="1" t="s">
        <v>163</v>
      </c>
      <c r="G971" s="9">
        <v>5.28</v>
      </c>
      <c r="I971" s="1">
        <v>46156</v>
      </c>
      <c r="J971" s="1" t="s">
        <v>288</v>
      </c>
      <c r="K971" s="3">
        <v>-61000</v>
      </c>
    </row>
    <row r="972" spans="1:11">
      <c r="A972" s="1">
        <v>46154</v>
      </c>
      <c r="B972" t="s">
        <v>1982</v>
      </c>
      <c r="C972">
        <v>4.3979999999999997</v>
      </c>
      <c r="E972" s="1">
        <v>45936</v>
      </c>
      <c r="F972" s="1" t="s">
        <v>160</v>
      </c>
      <c r="G972" s="9">
        <v>4.4800000000000004</v>
      </c>
      <c r="I972" s="1">
        <v>46156</v>
      </c>
      <c r="J972" s="1" t="s">
        <v>289</v>
      </c>
      <c r="K972" s="3">
        <v>21</v>
      </c>
    </row>
    <row r="973" spans="1:11">
      <c r="A973" s="1">
        <v>46154</v>
      </c>
      <c r="B973" t="s">
        <v>1983</v>
      </c>
      <c r="C973">
        <v>4.46</v>
      </c>
      <c r="E973" s="1">
        <v>45936</v>
      </c>
      <c r="F973" s="1" t="s">
        <v>161</v>
      </c>
      <c r="G973" s="9">
        <v>4.63</v>
      </c>
      <c r="I973" s="1">
        <v>46156</v>
      </c>
      <c r="J973" s="1" t="s">
        <v>290</v>
      </c>
      <c r="K973" s="3">
        <v>21</v>
      </c>
    </row>
    <row r="974" spans="1:11">
      <c r="A974" s="1">
        <v>46153</v>
      </c>
      <c r="B974" t="s">
        <v>1974</v>
      </c>
      <c r="C974">
        <v>3.2730000000000001</v>
      </c>
      <c r="E974" s="1">
        <v>45936</v>
      </c>
      <c r="F974" s="1" t="s">
        <v>162</v>
      </c>
      <c r="G974" s="9">
        <v>4.83</v>
      </c>
      <c r="I974" s="1">
        <v>46155</v>
      </c>
      <c r="J974" s="1" t="s">
        <v>282</v>
      </c>
      <c r="K974" s="3">
        <v>4000</v>
      </c>
    </row>
    <row r="975" spans="1:11">
      <c r="A975" s="1">
        <v>46153</v>
      </c>
      <c r="B975" t="s">
        <v>1975</v>
      </c>
      <c r="C975">
        <v>3.3690000000000002</v>
      </c>
      <c r="E975" s="1">
        <v>45936</v>
      </c>
      <c r="F975" s="1" t="s">
        <v>163</v>
      </c>
      <c r="G975" s="9">
        <v>5.25</v>
      </c>
      <c r="I975" s="1">
        <v>46155</v>
      </c>
      <c r="J975" s="1" t="s">
        <v>283</v>
      </c>
      <c r="K975" s="3">
        <v>7</v>
      </c>
    </row>
    <row r="976" spans="1:11">
      <c r="A976" s="1">
        <v>46153</v>
      </c>
      <c r="B976" t="s">
        <v>1976</v>
      </c>
      <c r="C976">
        <v>3.45</v>
      </c>
      <c r="E976" s="1">
        <v>45933</v>
      </c>
      <c r="F976" s="1" t="s">
        <v>160</v>
      </c>
      <c r="G976" s="9">
        <v>4.3</v>
      </c>
      <c r="I976" s="1">
        <v>46155</v>
      </c>
      <c r="J976" s="1" t="s">
        <v>284</v>
      </c>
      <c r="K976" s="3">
        <v>8000</v>
      </c>
    </row>
    <row r="977" spans="1:11">
      <c r="A977" s="1">
        <v>46153</v>
      </c>
      <c r="B977" t="s">
        <v>1977</v>
      </c>
      <c r="C977">
        <v>3.7480000000000002</v>
      </c>
      <c r="E977" s="1">
        <v>45933</v>
      </c>
      <c r="F977" s="1" t="s">
        <v>161</v>
      </c>
      <c r="G977" s="9">
        <v>4.5199999999999996</v>
      </c>
      <c r="I977" s="1">
        <v>46155</v>
      </c>
      <c r="J977" s="1" t="s">
        <v>285</v>
      </c>
      <c r="K977" s="3">
        <v>4.5</v>
      </c>
    </row>
    <row r="978" spans="1:11">
      <c r="A978" s="1">
        <v>46153</v>
      </c>
      <c r="B978" t="s">
        <v>1978</v>
      </c>
      <c r="C978">
        <v>4.0460000000000003</v>
      </c>
      <c r="E978" s="1">
        <v>45933</v>
      </c>
      <c r="F978" s="1" t="s">
        <v>162</v>
      </c>
      <c r="G978" s="9">
        <v>4.66</v>
      </c>
      <c r="I978" s="1">
        <v>46155</v>
      </c>
      <c r="J978" s="1" t="s">
        <v>286</v>
      </c>
      <c r="K978" s="3">
        <v>4000</v>
      </c>
    </row>
    <row r="979" spans="1:11">
      <c r="A979" s="1">
        <v>46153</v>
      </c>
      <c r="B979" t="s">
        <v>1979</v>
      </c>
      <c r="C979">
        <v>4.1289999999999996</v>
      </c>
      <c r="E979" s="1">
        <v>45933</v>
      </c>
      <c r="F979" s="1" t="s">
        <v>163</v>
      </c>
      <c r="G979" s="9">
        <v>5.16</v>
      </c>
      <c r="I979" s="1">
        <v>46155</v>
      </c>
      <c r="J979" s="1" t="s">
        <v>287</v>
      </c>
      <c r="K979" s="3">
        <v>316579</v>
      </c>
    </row>
    <row r="980" spans="1:11">
      <c r="A980" s="1">
        <v>46153</v>
      </c>
      <c r="B980" t="s">
        <v>1980</v>
      </c>
      <c r="C980">
        <v>4.2350000000000003</v>
      </c>
      <c r="E980" s="1">
        <v>45932</v>
      </c>
      <c r="F980" s="1" t="s">
        <v>160</v>
      </c>
      <c r="G980" s="9">
        <v>4.4000000000000004</v>
      </c>
      <c r="I980" s="1">
        <v>46155</v>
      </c>
      <c r="J980" s="1" t="s">
        <v>288</v>
      </c>
      <c r="K980" s="3">
        <v>-60000</v>
      </c>
    </row>
    <row r="981" spans="1:11">
      <c r="A981" s="1">
        <v>46153</v>
      </c>
      <c r="B981" t="s">
        <v>1981</v>
      </c>
      <c r="C981">
        <v>4.3460000000000001</v>
      </c>
      <c r="E981" s="1">
        <v>45932</v>
      </c>
      <c r="F981" s="1" t="s">
        <v>161</v>
      </c>
      <c r="G981" s="9">
        <v>4.5999999999999996</v>
      </c>
      <c r="I981" s="1">
        <v>46155</v>
      </c>
      <c r="J981" s="1" t="s">
        <v>289</v>
      </c>
      <c r="K981" s="3">
        <v>22</v>
      </c>
    </row>
    <row r="982" spans="1:11">
      <c r="A982" s="1">
        <v>46153</v>
      </c>
      <c r="B982" t="s">
        <v>1982</v>
      </c>
      <c r="C982">
        <v>4.3979999999999997</v>
      </c>
      <c r="E982" s="1">
        <v>45932</v>
      </c>
      <c r="F982" s="1" t="s">
        <v>162</v>
      </c>
      <c r="G982" s="9">
        <v>4.79</v>
      </c>
      <c r="I982" s="1">
        <v>46155</v>
      </c>
      <c r="J982" s="1" t="s">
        <v>290</v>
      </c>
      <c r="K982" s="3">
        <v>22</v>
      </c>
    </row>
    <row r="983" spans="1:11">
      <c r="A983" s="1">
        <v>46153</v>
      </c>
      <c r="B983" t="s">
        <v>1983</v>
      </c>
      <c r="C983">
        <v>4.46</v>
      </c>
      <c r="E983" s="1">
        <v>45932</v>
      </c>
      <c r="F983" s="1" t="s">
        <v>163</v>
      </c>
      <c r="G983" s="9">
        <v>5.27</v>
      </c>
      <c r="I983" s="1">
        <v>46155</v>
      </c>
      <c r="J983" s="1" t="s">
        <v>107</v>
      </c>
      <c r="K983" s="3">
        <v>14120894289613</v>
      </c>
    </row>
    <row r="984" spans="1:11">
      <c r="A984" s="1">
        <v>46150</v>
      </c>
      <c r="B984" t="s">
        <v>1974</v>
      </c>
      <c r="C984">
        <v>3.2730000000000001</v>
      </c>
      <c r="E984" s="1">
        <v>45931</v>
      </c>
      <c r="F984" s="1" t="s">
        <v>160</v>
      </c>
      <c r="G984" s="9">
        <v>4.5599999999999996</v>
      </c>
      <c r="I984" s="1">
        <v>46154</v>
      </c>
      <c r="J984" s="1" t="s">
        <v>107</v>
      </c>
      <c r="K984" s="3">
        <v>13420399358693</v>
      </c>
    </row>
    <row r="985" spans="1:11">
      <c r="A985" s="1">
        <v>46150</v>
      </c>
      <c r="B985" t="s">
        <v>1975</v>
      </c>
      <c r="C985">
        <v>3.3690000000000002</v>
      </c>
      <c r="E985" s="1">
        <v>45931</v>
      </c>
      <c r="F985" s="1" t="s">
        <v>161</v>
      </c>
      <c r="G985" s="9">
        <v>4.9000000000000004</v>
      </c>
      <c r="I985" s="1">
        <v>46154</v>
      </c>
      <c r="J985" s="1" t="s">
        <v>282</v>
      </c>
      <c r="K985" s="3">
        <v>4000</v>
      </c>
    </row>
    <row r="986" spans="1:11">
      <c r="A986" s="1">
        <v>46150</v>
      </c>
      <c r="B986" t="s">
        <v>1976</v>
      </c>
      <c r="C986">
        <v>3.45</v>
      </c>
      <c r="E986" s="1">
        <v>45931</v>
      </c>
      <c r="F986" s="1" t="s">
        <v>162</v>
      </c>
      <c r="G986" s="9">
        <v>5.08</v>
      </c>
      <c r="I986" s="1">
        <v>46154</v>
      </c>
      <c r="J986" s="1" t="s">
        <v>283</v>
      </c>
      <c r="K986" s="3">
        <v>7</v>
      </c>
    </row>
    <row r="987" spans="1:11">
      <c r="A987" s="1">
        <v>46150</v>
      </c>
      <c r="B987" t="s">
        <v>1977</v>
      </c>
      <c r="C987">
        <v>3.75</v>
      </c>
      <c r="E987" s="1">
        <v>45931</v>
      </c>
      <c r="F987" s="1" t="s">
        <v>163</v>
      </c>
      <c r="G987" s="9">
        <v>5.28</v>
      </c>
      <c r="I987" s="1">
        <v>46154</v>
      </c>
      <c r="J987" s="1" t="s">
        <v>284</v>
      </c>
      <c r="K987" s="3">
        <v>10000</v>
      </c>
    </row>
    <row r="988" spans="1:11">
      <c r="A988" s="1">
        <v>46150</v>
      </c>
      <c r="B988" t="s">
        <v>1978</v>
      </c>
      <c r="C988">
        <v>4.05</v>
      </c>
      <c r="E988" s="1">
        <v>45930</v>
      </c>
      <c r="F988" s="1" t="s">
        <v>160</v>
      </c>
      <c r="G988" s="9">
        <v>4.9400000000000004</v>
      </c>
      <c r="I988" s="1">
        <v>46154</v>
      </c>
      <c r="J988" s="1" t="s">
        <v>285</v>
      </c>
      <c r="K988" s="3">
        <v>4.5</v>
      </c>
    </row>
    <row r="989" spans="1:11">
      <c r="A989" s="1">
        <v>46150</v>
      </c>
      <c r="B989" t="s">
        <v>1979</v>
      </c>
      <c r="C989">
        <v>4.1289999999999996</v>
      </c>
      <c r="E989" s="1">
        <v>45930</v>
      </c>
      <c r="F989" s="1" t="s">
        <v>161</v>
      </c>
      <c r="G989" s="9">
        <v>5.26</v>
      </c>
      <c r="I989" s="1">
        <v>46154</v>
      </c>
      <c r="J989" s="1" t="s">
        <v>286</v>
      </c>
      <c r="K989" s="3">
        <v>3000</v>
      </c>
    </row>
    <row r="990" spans="1:11">
      <c r="A990" s="1">
        <v>46150</v>
      </c>
      <c r="B990" t="s">
        <v>1980</v>
      </c>
      <c r="C990">
        <v>4.2350000000000003</v>
      </c>
      <c r="E990" s="1">
        <v>45930</v>
      </c>
      <c r="F990" s="1" t="s">
        <v>162</v>
      </c>
      <c r="G990" s="9">
        <v>5.42</v>
      </c>
      <c r="I990" s="1">
        <v>46154</v>
      </c>
      <c r="J990" s="1" t="s">
        <v>287</v>
      </c>
      <c r="K990" s="3">
        <v>312579</v>
      </c>
    </row>
    <row r="991" spans="1:11">
      <c r="A991" s="1">
        <v>46150</v>
      </c>
      <c r="B991" t="s">
        <v>1981</v>
      </c>
      <c r="C991">
        <v>4.3460000000000001</v>
      </c>
      <c r="E991" s="1">
        <v>45930</v>
      </c>
      <c r="F991" s="1" t="s">
        <v>163</v>
      </c>
      <c r="G991" s="9">
        <v>5.48</v>
      </c>
      <c r="I991" s="1">
        <v>46154</v>
      </c>
      <c r="J991" s="1" t="s">
        <v>288</v>
      </c>
      <c r="K991" s="3">
        <v>-57000</v>
      </c>
    </row>
    <row r="992" spans="1:11">
      <c r="A992" s="1">
        <v>46150</v>
      </c>
      <c r="B992" t="s">
        <v>1982</v>
      </c>
      <c r="C992">
        <v>4.3979999999999997</v>
      </c>
      <c r="E992" s="1">
        <v>45929</v>
      </c>
      <c r="F992" s="1" t="s">
        <v>160</v>
      </c>
      <c r="G992" s="9">
        <v>3.73</v>
      </c>
      <c r="I992" s="1">
        <v>46154</v>
      </c>
      <c r="J992" s="1" t="s">
        <v>289</v>
      </c>
      <c r="K992" s="3">
        <v>22</v>
      </c>
    </row>
    <row r="993" spans="1:11">
      <c r="A993" s="1">
        <v>46150</v>
      </c>
      <c r="B993" t="s">
        <v>1983</v>
      </c>
      <c r="C993">
        <v>4.46</v>
      </c>
      <c r="E993" s="1">
        <v>45929</v>
      </c>
      <c r="F993" s="1" t="s">
        <v>161</v>
      </c>
      <c r="G993" s="9">
        <v>5.25</v>
      </c>
      <c r="I993" s="1">
        <v>46154</v>
      </c>
      <c r="J993" s="1" t="s">
        <v>290</v>
      </c>
      <c r="K993" s="3">
        <v>22</v>
      </c>
    </row>
    <row r="994" spans="1:11">
      <c r="A994" s="1">
        <v>46149</v>
      </c>
      <c r="B994" t="s">
        <v>1974</v>
      </c>
      <c r="C994">
        <v>3.2709999999999999</v>
      </c>
      <c r="E994" s="1">
        <v>45929</v>
      </c>
      <c r="F994" s="1" t="s">
        <v>162</v>
      </c>
      <c r="G994" s="9">
        <v>5.33</v>
      </c>
      <c r="I994" s="1">
        <v>46153</v>
      </c>
      <c r="J994" s="1" t="s">
        <v>282</v>
      </c>
      <c r="K994" s="3">
        <v>1000</v>
      </c>
    </row>
    <row r="995" spans="1:11">
      <c r="A995" s="1">
        <v>46149</v>
      </c>
      <c r="B995" t="s">
        <v>1975</v>
      </c>
      <c r="C995">
        <v>3.367</v>
      </c>
      <c r="E995" s="1">
        <v>45929</v>
      </c>
      <c r="F995" s="1" t="s">
        <v>163</v>
      </c>
      <c r="G995" s="9">
        <v>5.47</v>
      </c>
      <c r="I995" s="1">
        <v>46153</v>
      </c>
      <c r="J995" s="1" t="s">
        <v>283</v>
      </c>
      <c r="K995" s="3">
        <v>7</v>
      </c>
    </row>
    <row r="996" spans="1:11">
      <c r="A996" s="1">
        <v>46149</v>
      </c>
      <c r="B996" t="s">
        <v>1976</v>
      </c>
      <c r="C996">
        <v>3.45</v>
      </c>
      <c r="E996" s="1">
        <v>45926</v>
      </c>
      <c r="F996" s="1" t="s">
        <v>160</v>
      </c>
      <c r="G996" s="9">
        <v>4.3600000000000003</v>
      </c>
      <c r="I996" s="1">
        <v>46153</v>
      </c>
      <c r="J996" s="1" t="s">
        <v>284</v>
      </c>
      <c r="K996" s="3">
        <v>6000</v>
      </c>
    </row>
    <row r="997" spans="1:11">
      <c r="A997" s="1">
        <v>46149</v>
      </c>
      <c r="B997" t="s">
        <v>1977</v>
      </c>
      <c r="C997">
        <v>3.75</v>
      </c>
      <c r="E997" s="1">
        <v>45926</v>
      </c>
      <c r="F997" s="1" t="s">
        <v>161</v>
      </c>
      <c r="G997" s="9">
        <v>5.66</v>
      </c>
      <c r="I997" s="1">
        <v>46153</v>
      </c>
      <c r="J997" s="1" t="s">
        <v>285</v>
      </c>
      <c r="K997" s="3">
        <v>4.5</v>
      </c>
    </row>
    <row r="998" spans="1:11">
      <c r="A998" s="1">
        <v>46149</v>
      </c>
      <c r="B998" t="s">
        <v>1978</v>
      </c>
      <c r="C998">
        <v>4.05</v>
      </c>
      <c r="E998" s="1">
        <v>45926</v>
      </c>
      <c r="F998" s="1" t="s">
        <v>162</v>
      </c>
      <c r="G998" s="9">
        <v>5.7</v>
      </c>
      <c r="I998" s="1">
        <v>46153</v>
      </c>
      <c r="J998" s="1" t="s">
        <v>286</v>
      </c>
      <c r="K998" s="3">
        <v>15873</v>
      </c>
    </row>
    <row r="999" spans="1:11">
      <c r="A999" s="1">
        <v>46149</v>
      </c>
      <c r="B999" t="s">
        <v>1979</v>
      </c>
      <c r="C999">
        <v>4.1289999999999996</v>
      </c>
      <c r="E999" s="1">
        <v>45926</v>
      </c>
      <c r="F999" s="1" t="s">
        <v>163</v>
      </c>
      <c r="G999" s="9">
        <v>5.56</v>
      </c>
      <c r="I999" s="1">
        <v>46153</v>
      </c>
      <c r="J999" s="1" t="s">
        <v>287</v>
      </c>
      <c r="K999" s="3">
        <v>305579</v>
      </c>
    </row>
    <row r="1000" spans="1:11">
      <c r="A1000" s="1">
        <v>46149</v>
      </c>
      <c r="B1000" t="s">
        <v>1980</v>
      </c>
      <c r="C1000">
        <v>4.2350000000000003</v>
      </c>
      <c r="E1000" s="1">
        <v>45925</v>
      </c>
      <c r="F1000" s="1" t="s">
        <v>160</v>
      </c>
      <c r="G1000" s="9">
        <v>4.62</v>
      </c>
      <c r="I1000" s="1">
        <v>46153</v>
      </c>
      <c r="J1000" s="1" t="s">
        <v>288</v>
      </c>
      <c r="K1000" s="3">
        <v>-45000</v>
      </c>
    </row>
    <row r="1001" spans="1:11">
      <c r="A1001" s="1">
        <v>46149</v>
      </c>
      <c r="B1001" t="s">
        <v>1981</v>
      </c>
      <c r="C1001">
        <v>4.3369999999999997</v>
      </c>
      <c r="E1001" s="1">
        <v>45925</v>
      </c>
      <c r="F1001" s="1" t="s">
        <v>161</v>
      </c>
      <c r="G1001" s="9">
        <v>5.77</v>
      </c>
      <c r="I1001" s="1">
        <v>46153</v>
      </c>
      <c r="J1001" s="1" t="s">
        <v>289</v>
      </c>
      <c r="K1001" s="3">
        <v>19</v>
      </c>
    </row>
    <row r="1002" spans="1:11">
      <c r="A1002" s="1">
        <v>46149</v>
      </c>
      <c r="B1002" t="s">
        <v>1982</v>
      </c>
      <c r="C1002">
        <v>4.3929999999999998</v>
      </c>
      <c r="E1002" s="1">
        <v>45925</v>
      </c>
      <c r="F1002" s="1" t="s">
        <v>162</v>
      </c>
      <c r="G1002" s="9">
        <v>5.78</v>
      </c>
      <c r="I1002" s="1">
        <v>46153</v>
      </c>
      <c r="J1002" s="1" t="s">
        <v>290</v>
      </c>
      <c r="K1002" s="3">
        <v>19</v>
      </c>
    </row>
    <row r="1003" spans="1:11">
      <c r="A1003" s="1">
        <v>46149</v>
      </c>
      <c r="B1003" t="s">
        <v>1983</v>
      </c>
      <c r="C1003">
        <v>4.4560000000000004</v>
      </c>
      <c r="E1003" s="1">
        <v>45925</v>
      </c>
      <c r="F1003" s="1" t="s">
        <v>163</v>
      </c>
      <c r="G1003" s="9">
        <v>5.57</v>
      </c>
      <c r="I1003" s="1">
        <v>46153</v>
      </c>
      <c r="J1003" s="1" t="s">
        <v>107</v>
      </c>
      <c r="K1003" s="3">
        <v>12649600000000</v>
      </c>
    </row>
    <row r="1004" spans="1:11">
      <c r="A1004" s="1">
        <v>46148</v>
      </c>
      <c r="B1004" t="s">
        <v>1974</v>
      </c>
      <c r="C1004">
        <v>3.2709999999999999</v>
      </c>
      <c r="E1004" s="1">
        <v>45924</v>
      </c>
      <c r="F1004" s="1" t="s">
        <v>160</v>
      </c>
      <c r="G1004" s="9">
        <v>4.3499999999999996</v>
      </c>
      <c r="I1004" s="1">
        <v>46152</v>
      </c>
      <c r="J1004" s="1" t="s">
        <v>107</v>
      </c>
      <c r="K1004" s="3">
        <v>12759863836355</v>
      </c>
    </row>
    <row r="1005" spans="1:11">
      <c r="A1005" s="1">
        <v>46148</v>
      </c>
      <c r="B1005" t="s">
        <v>1975</v>
      </c>
      <c r="C1005">
        <v>3.367</v>
      </c>
      <c r="E1005" s="1">
        <v>45924</v>
      </c>
      <c r="F1005" s="1" t="s">
        <v>161</v>
      </c>
      <c r="G1005" s="9">
        <v>5.23</v>
      </c>
      <c r="I1005" s="1">
        <v>46150</v>
      </c>
      <c r="J1005" s="1" t="s">
        <v>282</v>
      </c>
      <c r="K1005" s="3">
        <v>1000</v>
      </c>
    </row>
    <row r="1006" spans="1:11">
      <c r="A1006" s="1">
        <v>46148</v>
      </c>
      <c r="B1006" t="s">
        <v>1976</v>
      </c>
      <c r="C1006">
        <v>3.45</v>
      </c>
      <c r="E1006" s="1">
        <v>45924</v>
      </c>
      <c r="F1006" s="1" t="s">
        <v>162</v>
      </c>
      <c r="G1006" s="9">
        <v>5.4</v>
      </c>
      <c r="I1006" s="1">
        <v>46150</v>
      </c>
      <c r="J1006" s="1" t="s">
        <v>283</v>
      </c>
      <c r="K1006" s="3">
        <v>7</v>
      </c>
    </row>
    <row r="1007" spans="1:11">
      <c r="A1007" s="1">
        <v>46148</v>
      </c>
      <c r="B1007" t="s">
        <v>1977</v>
      </c>
      <c r="C1007">
        <v>3.754</v>
      </c>
      <c r="E1007" s="1">
        <v>45924</v>
      </c>
      <c r="F1007" s="1" t="s">
        <v>163</v>
      </c>
      <c r="G1007" s="9">
        <v>5.48</v>
      </c>
      <c r="I1007" s="1">
        <v>46150</v>
      </c>
      <c r="J1007" s="1" t="s">
        <v>284</v>
      </c>
      <c r="K1007" s="3">
        <v>3000</v>
      </c>
    </row>
    <row r="1008" spans="1:11">
      <c r="A1008" s="1">
        <v>46148</v>
      </c>
      <c r="B1008" t="s">
        <v>1978</v>
      </c>
      <c r="C1008">
        <v>4.0570000000000004</v>
      </c>
      <c r="E1008" s="1">
        <v>45923</v>
      </c>
      <c r="F1008" s="1" t="s">
        <v>160</v>
      </c>
      <c r="G1008" s="9">
        <v>4</v>
      </c>
      <c r="I1008" s="1">
        <v>46150</v>
      </c>
      <c r="J1008" s="1" t="s">
        <v>285</v>
      </c>
      <c r="K1008" s="3">
        <v>4.5</v>
      </c>
    </row>
    <row r="1009" spans="1:11">
      <c r="A1009" s="1">
        <v>46148</v>
      </c>
      <c r="B1009" t="s">
        <v>1979</v>
      </c>
      <c r="C1009">
        <v>4.1289999999999996</v>
      </c>
      <c r="E1009" s="1">
        <v>45923</v>
      </c>
      <c r="F1009" s="1" t="s">
        <v>161</v>
      </c>
      <c r="G1009" s="9">
        <v>4.22</v>
      </c>
      <c r="I1009" s="1">
        <v>46150</v>
      </c>
      <c r="J1009" s="1" t="s">
        <v>286</v>
      </c>
      <c r="K1009" s="3">
        <v>8000</v>
      </c>
    </row>
    <row r="1010" spans="1:11">
      <c r="A1010" s="1">
        <v>46148</v>
      </c>
      <c r="B1010" t="s">
        <v>1980</v>
      </c>
      <c r="C1010">
        <v>4.2350000000000003</v>
      </c>
      <c r="E1010" s="1">
        <v>45923</v>
      </c>
      <c r="F1010" s="1" t="s">
        <v>162</v>
      </c>
      <c r="G1010" s="9">
        <v>5</v>
      </c>
      <c r="I1010" s="1">
        <v>46150</v>
      </c>
      <c r="J1010" s="1" t="s">
        <v>287</v>
      </c>
      <c r="K1010" s="3">
        <v>315452</v>
      </c>
    </row>
    <row r="1011" spans="1:11">
      <c r="A1011" s="1">
        <v>46148</v>
      </c>
      <c r="B1011" t="s">
        <v>1981</v>
      </c>
      <c r="C1011">
        <v>4.335</v>
      </c>
      <c r="E1011" s="1">
        <v>45923</v>
      </c>
      <c r="F1011" s="1" t="s">
        <v>163</v>
      </c>
      <c r="G1011" s="9">
        <v>5.28</v>
      </c>
      <c r="I1011" s="1">
        <v>46150</v>
      </c>
      <c r="J1011" s="1" t="s">
        <v>288</v>
      </c>
      <c r="K1011" s="3">
        <v>-38873</v>
      </c>
    </row>
    <row r="1012" spans="1:11">
      <c r="A1012" s="1">
        <v>46148</v>
      </c>
      <c r="B1012" t="s">
        <v>1982</v>
      </c>
      <c r="C1012">
        <v>4.3929999999999998</v>
      </c>
      <c r="E1012" s="1">
        <v>45922</v>
      </c>
      <c r="F1012" s="1" t="s">
        <v>160</v>
      </c>
      <c r="G1012" s="9">
        <v>3.88</v>
      </c>
      <c r="I1012" s="1">
        <v>46150</v>
      </c>
      <c r="J1012" s="1" t="s">
        <v>289</v>
      </c>
      <c r="K1012" s="3">
        <v>13</v>
      </c>
    </row>
    <row r="1013" spans="1:11">
      <c r="A1013" s="1">
        <v>46148</v>
      </c>
      <c r="B1013" t="s">
        <v>1983</v>
      </c>
      <c r="C1013">
        <v>4.4560000000000004</v>
      </c>
      <c r="E1013" s="1">
        <v>45922</v>
      </c>
      <c r="F1013" s="1" t="s">
        <v>161</v>
      </c>
      <c r="G1013" s="9">
        <v>4.0999999999999996</v>
      </c>
      <c r="I1013" s="1">
        <v>46150</v>
      </c>
      <c r="J1013" s="1" t="s">
        <v>290</v>
      </c>
      <c r="K1013" s="3">
        <v>13</v>
      </c>
    </row>
    <row r="1014" spans="1:11">
      <c r="A1014" s="1">
        <v>46147</v>
      </c>
      <c r="B1014" t="s">
        <v>1974</v>
      </c>
      <c r="C1014">
        <v>3.2709999999999999</v>
      </c>
      <c r="E1014" s="1">
        <v>45922</v>
      </c>
      <c r="F1014" s="1" t="s">
        <v>162</v>
      </c>
      <c r="G1014" s="9">
        <v>4.8499999999999996</v>
      </c>
      <c r="I1014" s="1">
        <v>46149</v>
      </c>
      <c r="J1014" s="1" t="s">
        <v>282</v>
      </c>
      <c r="K1014" s="3">
        <v>1000</v>
      </c>
    </row>
    <row r="1015" spans="1:11">
      <c r="A1015" s="1">
        <v>46147</v>
      </c>
      <c r="B1015" t="s">
        <v>1975</v>
      </c>
      <c r="C1015">
        <v>3.367</v>
      </c>
      <c r="E1015" s="1">
        <v>45922</v>
      </c>
      <c r="F1015" s="1" t="s">
        <v>163</v>
      </c>
      <c r="G1015" s="9">
        <v>5.2</v>
      </c>
      <c r="I1015" s="1">
        <v>46149</v>
      </c>
      <c r="J1015" s="1" t="s">
        <v>283</v>
      </c>
      <c r="K1015" s="3">
        <v>7</v>
      </c>
    </row>
    <row r="1016" spans="1:11">
      <c r="A1016" s="1">
        <v>46147</v>
      </c>
      <c r="B1016" t="s">
        <v>1976</v>
      </c>
      <c r="C1016">
        <v>3.45</v>
      </c>
      <c r="E1016" s="1">
        <v>45919</v>
      </c>
      <c r="F1016" s="1" t="s">
        <v>160</v>
      </c>
      <c r="G1016" s="9">
        <v>3.92</v>
      </c>
      <c r="I1016" s="1">
        <v>46149</v>
      </c>
      <c r="J1016" s="1" t="s">
        <v>284</v>
      </c>
      <c r="K1016" s="3">
        <v>3000</v>
      </c>
    </row>
    <row r="1017" spans="1:11">
      <c r="A1017" s="1">
        <v>46147</v>
      </c>
      <c r="B1017" t="s">
        <v>1977</v>
      </c>
      <c r="C1017">
        <v>3.75</v>
      </c>
      <c r="E1017" s="1">
        <v>45919</v>
      </c>
      <c r="F1017" s="1" t="s">
        <v>161</v>
      </c>
      <c r="G1017" s="9">
        <v>4.28</v>
      </c>
      <c r="I1017" s="1">
        <v>46149</v>
      </c>
      <c r="J1017" s="1" t="s">
        <v>285</v>
      </c>
      <c r="K1017" s="3">
        <v>4.5</v>
      </c>
    </row>
    <row r="1018" spans="1:11">
      <c r="A1018" s="1">
        <v>46147</v>
      </c>
      <c r="B1018" t="s">
        <v>1978</v>
      </c>
      <c r="C1018">
        <v>4.05</v>
      </c>
      <c r="E1018" s="1">
        <v>45919</v>
      </c>
      <c r="F1018" s="1" t="s">
        <v>162</v>
      </c>
      <c r="G1018" s="9">
        <v>4.92</v>
      </c>
      <c r="I1018" s="1">
        <v>46149</v>
      </c>
      <c r="J1018" s="1" t="s">
        <v>286</v>
      </c>
      <c r="K1018" s="3">
        <v>9168</v>
      </c>
    </row>
    <row r="1019" spans="1:11">
      <c r="A1019" s="1">
        <v>46147</v>
      </c>
      <c r="B1019" t="s">
        <v>1979</v>
      </c>
      <c r="C1019">
        <v>4.1289999999999996</v>
      </c>
      <c r="E1019" s="1">
        <v>45919</v>
      </c>
      <c r="F1019" s="1" t="s">
        <v>163</v>
      </c>
      <c r="G1019" s="9">
        <v>5.24</v>
      </c>
      <c r="I1019" s="1">
        <v>46149</v>
      </c>
      <c r="J1019" s="1" t="s">
        <v>287</v>
      </c>
      <c r="K1019" s="3">
        <v>320452</v>
      </c>
    </row>
    <row r="1020" spans="1:11">
      <c r="A1020" s="1">
        <v>46147</v>
      </c>
      <c r="B1020" t="s">
        <v>1980</v>
      </c>
      <c r="C1020">
        <v>4.2320000000000002</v>
      </c>
      <c r="E1020" s="1">
        <v>45918</v>
      </c>
      <c r="F1020" s="1" t="s">
        <v>160</v>
      </c>
      <c r="G1020" s="9">
        <v>4.2</v>
      </c>
      <c r="I1020" s="1">
        <v>46149</v>
      </c>
      <c r="J1020" s="1" t="s">
        <v>107</v>
      </c>
      <c r="K1020" s="3">
        <v>13194386299131</v>
      </c>
    </row>
    <row r="1021" spans="1:11">
      <c r="A1021" s="1">
        <v>46147</v>
      </c>
      <c r="B1021" t="s">
        <v>1981</v>
      </c>
      <c r="C1021">
        <v>4.335</v>
      </c>
      <c r="E1021" s="1">
        <v>45918</v>
      </c>
      <c r="F1021" s="1" t="s">
        <v>161</v>
      </c>
      <c r="G1021" s="9">
        <v>4.5</v>
      </c>
      <c r="I1021" s="1">
        <v>46149</v>
      </c>
      <c r="J1021" s="1" t="s">
        <v>288</v>
      </c>
      <c r="K1021" s="3">
        <v>-34873</v>
      </c>
    </row>
    <row r="1022" spans="1:11">
      <c r="A1022" s="1">
        <v>46147</v>
      </c>
      <c r="B1022" t="s">
        <v>1982</v>
      </c>
      <c r="C1022">
        <v>4.3929999999999998</v>
      </c>
      <c r="E1022" s="1">
        <v>45918</v>
      </c>
      <c r="F1022" s="1" t="s">
        <v>162</v>
      </c>
      <c r="G1022" s="9">
        <v>4.88</v>
      </c>
      <c r="I1022" s="1">
        <v>46149</v>
      </c>
      <c r="J1022" s="1" t="s">
        <v>289</v>
      </c>
      <c r="K1022" s="3">
        <v>13</v>
      </c>
    </row>
    <row r="1023" spans="1:11">
      <c r="A1023" s="1">
        <v>46147</v>
      </c>
      <c r="B1023" t="s">
        <v>1983</v>
      </c>
      <c r="C1023">
        <v>4.4560000000000004</v>
      </c>
      <c r="E1023" s="1">
        <v>45918</v>
      </c>
      <c r="F1023" s="1" t="s">
        <v>163</v>
      </c>
      <c r="G1023" s="9">
        <v>5.25</v>
      </c>
      <c r="I1023" s="1">
        <v>46149</v>
      </c>
      <c r="J1023" s="1" t="s">
        <v>290</v>
      </c>
      <c r="K1023" s="3">
        <v>13</v>
      </c>
    </row>
    <row r="1024" spans="1:11">
      <c r="A1024" s="1">
        <v>46146</v>
      </c>
      <c r="B1024" t="s">
        <v>1974</v>
      </c>
      <c r="C1024">
        <v>3.2629999999999999</v>
      </c>
      <c r="E1024" s="1">
        <v>45917</v>
      </c>
      <c r="F1024" s="1" t="s">
        <v>160</v>
      </c>
      <c r="G1024" s="9">
        <v>4.59</v>
      </c>
      <c r="I1024" s="1">
        <v>46148</v>
      </c>
      <c r="J1024" s="1" t="s">
        <v>288</v>
      </c>
      <c r="K1024" s="3">
        <v>-40041</v>
      </c>
    </row>
    <row r="1025" spans="1:11">
      <c r="A1025" s="1">
        <v>46146</v>
      </c>
      <c r="B1025" t="s">
        <v>1975</v>
      </c>
      <c r="C1025">
        <v>3.3580000000000001</v>
      </c>
      <c r="E1025" s="1">
        <v>45917</v>
      </c>
      <c r="F1025" s="1" t="s">
        <v>161</v>
      </c>
      <c r="G1025" s="9">
        <v>4.7</v>
      </c>
      <c r="I1025" s="1">
        <v>46148</v>
      </c>
      <c r="J1025" s="1" t="s">
        <v>289</v>
      </c>
      <c r="K1025" s="3">
        <v>14</v>
      </c>
    </row>
    <row r="1026" spans="1:11">
      <c r="A1026" s="1">
        <v>46146</v>
      </c>
      <c r="B1026" t="s">
        <v>1976</v>
      </c>
      <c r="C1026">
        <v>3.4670000000000001</v>
      </c>
      <c r="E1026" s="1">
        <v>45917</v>
      </c>
      <c r="F1026" s="1" t="s">
        <v>162</v>
      </c>
      <c r="G1026" s="9">
        <v>4.96</v>
      </c>
      <c r="I1026" s="1">
        <v>46148</v>
      </c>
      <c r="J1026" s="1" t="s">
        <v>290</v>
      </c>
      <c r="K1026" s="3">
        <v>14</v>
      </c>
    </row>
    <row r="1027" spans="1:11">
      <c r="A1027" s="1">
        <v>46146</v>
      </c>
      <c r="B1027" t="s">
        <v>1977</v>
      </c>
      <c r="C1027">
        <v>3.76</v>
      </c>
      <c r="E1027" s="1">
        <v>45917</v>
      </c>
      <c r="F1027" s="1" t="s">
        <v>163</v>
      </c>
      <c r="G1027" s="9">
        <v>5.29</v>
      </c>
      <c r="I1027" s="1">
        <v>46148</v>
      </c>
      <c r="J1027" s="1" t="s">
        <v>282</v>
      </c>
      <c r="K1027" s="3">
        <v>0</v>
      </c>
    </row>
    <row r="1028" spans="1:11">
      <c r="A1028" s="1">
        <v>46146</v>
      </c>
      <c r="B1028" t="s">
        <v>1978</v>
      </c>
      <c r="C1028">
        <v>4.0540000000000003</v>
      </c>
      <c r="E1028" s="1">
        <v>45916</v>
      </c>
      <c r="F1028" s="1" t="s">
        <v>160</v>
      </c>
      <c r="G1028" s="9">
        <v>4.49</v>
      </c>
      <c r="I1028" s="1">
        <v>46148</v>
      </c>
      <c r="J1028" s="1" t="s">
        <v>283</v>
      </c>
      <c r="K1028" s="3">
        <v>7</v>
      </c>
    </row>
    <row r="1029" spans="1:11">
      <c r="A1029" s="1">
        <v>46146</v>
      </c>
      <c r="B1029" t="s">
        <v>1979</v>
      </c>
      <c r="C1029">
        <v>4.13</v>
      </c>
      <c r="E1029" s="1">
        <v>45916</v>
      </c>
      <c r="F1029" s="1" t="s">
        <v>161</v>
      </c>
      <c r="G1029" s="9">
        <v>4.67</v>
      </c>
      <c r="I1029" s="1">
        <v>46148</v>
      </c>
      <c r="J1029" s="1" t="s">
        <v>284</v>
      </c>
      <c r="K1029" s="3">
        <v>3000</v>
      </c>
    </row>
    <row r="1030" spans="1:11">
      <c r="A1030" s="1">
        <v>46146</v>
      </c>
      <c r="B1030" t="s">
        <v>1980</v>
      </c>
      <c r="C1030">
        <v>4.226</v>
      </c>
      <c r="E1030" s="1">
        <v>45916</v>
      </c>
      <c r="F1030" s="1" t="s">
        <v>162</v>
      </c>
      <c r="G1030" s="9">
        <v>4.8899999999999997</v>
      </c>
      <c r="I1030" s="1">
        <v>46148</v>
      </c>
      <c r="J1030" s="1" t="s">
        <v>285</v>
      </c>
      <c r="K1030" s="3">
        <v>4.5</v>
      </c>
    </row>
    <row r="1031" spans="1:11">
      <c r="A1031" s="1">
        <v>46146</v>
      </c>
      <c r="B1031" t="s">
        <v>1981</v>
      </c>
      <c r="C1031">
        <v>4.335</v>
      </c>
      <c r="E1031" s="1">
        <v>45916</v>
      </c>
      <c r="F1031" s="1" t="s">
        <v>163</v>
      </c>
      <c r="G1031" s="9">
        <v>5.26</v>
      </c>
      <c r="I1031" s="1">
        <v>46148</v>
      </c>
      <c r="J1031" s="1" t="s">
        <v>286</v>
      </c>
      <c r="K1031" s="3">
        <v>6000</v>
      </c>
    </row>
    <row r="1032" spans="1:11">
      <c r="A1032" s="1">
        <v>46146</v>
      </c>
      <c r="B1032" t="s">
        <v>1982</v>
      </c>
      <c r="C1032">
        <v>4.3929999999999998</v>
      </c>
      <c r="E1032" s="1">
        <v>45915</v>
      </c>
      <c r="F1032" s="1" t="s">
        <v>160</v>
      </c>
      <c r="G1032" s="9">
        <v>4.2300000000000004</v>
      </c>
      <c r="I1032" s="1">
        <v>46148</v>
      </c>
      <c r="J1032" s="1" t="s">
        <v>287</v>
      </c>
      <c r="K1032" s="3">
        <v>326620</v>
      </c>
    </row>
    <row r="1033" spans="1:11">
      <c r="A1033" s="1">
        <v>46146</v>
      </c>
      <c r="B1033" t="s">
        <v>1983</v>
      </c>
      <c r="C1033">
        <v>4.468</v>
      </c>
      <c r="E1033" s="1">
        <v>45915</v>
      </c>
      <c r="F1033" s="1" t="s">
        <v>161</v>
      </c>
      <c r="G1033" s="9">
        <v>4.4800000000000004</v>
      </c>
      <c r="I1033" s="1">
        <v>46148</v>
      </c>
      <c r="J1033" s="1" t="s">
        <v>107</v>
      </c>
      <c r="K1033" s="3">
        <v>12589074265816</v>
      </c>
    </row>
    <row r="1034" spans="1:11">
      <c r="A1034" s="1">
        <v>46141</v>
      </c>
      <c r="B1034" t="s">
        <v>1974</v>
      </c>
      <c r="C1034">
        <v>3.2629999999999999</v>
      </c>
      <c r="E1034" s="1">
        <v>45915</v>
      </c>
      <c r="F1034" s="1" t="s">
        <v>162</v>
      </c>
      <c r="G1034" s="9">
        <v>4.68</v>
      </c>
      <c r="I1034" s="1">
        <v>46147</v>
      </c>
      <c r="J1034" s="1" t="s">
        <v>107</v>
      </c>
      <c r="K1034" s="3">
        <v>12286161871365</v>
      </c>
    </row>
    <row r="1035" spans="1:11">
      <c r="A1035" s="1">
        <v>46141</v>
      </c>
      <c r="B1035" t="s">
        <v>1975</v>
      </c>
      <c r="C1035">
        <v>3.3580000000000001</v>
      </c>
      <c r="E1035" s="1">
        <v>45915</v>
      </c>
      <c r="F1035" s="1" t="s">
        <v>163</v>
      </c>
      <c r="G1035" s="9">
        <v>5.2</v>
      </c>
      <c r="I1035" s="1">
        <v>46147</v>
      </c>
      <c r="J1035" s="1" t="s">
        <v>282</v>
      </c>
      <c r="K1035" s="3">
        <v>0</v>
      </c>
    </row>
    <row r="1036" spans="1:11">
      <c r="A1036" s="1">
        <v>46141</v>
      </c>
      <c r="B1036" t="s">
        <v>1976</v>
      </c>
      <c r="C1036">
        <v>3.4670000000000001</v>
      </c>
      <c r="E1036" s="1">
        <v>45912</v>
      </c>
      <c r="F1036" s="1" t="s">
        <v>160</v>
      </c>
      <c r="G1036" s="9">
        <v>4.16</v>
      </c>
      <c r="I1036" s="1">
        <v>46147</v>
      </c>
      <c r="J1036" s="1" t="s">
        <v>283</v>
      </c>
      <c r="K1036" s="3">
        <v>7</v>
      </c>
    </row>
    <row r="1037" spans="1:11">
      <c r="A1037" s="1">
        <v>46141</v>
      </c>
      <c r="B1037" t="s">
        <v>1977</v>
      </c>
      <c r="C1037">
        <v>3.762</v>
      </c>
      <c r="E1037" s="1">
        <v>45912</v>
      </c>
      <c r="F1037" s="1" t="s">
        <v>161</v>
      </c>
      <c r="G1037" s="9">
        <v>4.4400000000000004</v>
      </c>
      <c r="I1037" s="1">
        <v>46147</v>
      </c>
      <c r="J1037" s="1" t="s">
        <v>284</v>
      </c>
      <c r="K1037" s="3">
        <v>17000</v>
      </c>
    </row>
    <row r="1038" spans="1:11">
      <c r="A1038" s="1">
        <v>46141</v>
      </c>
      <c r="B1038" t="s">
        <v>1978</v>
      </c>
      <c r="C1038">
        <v>4.0570000000000004</v>
      </c>
      <c r="E1038" s="1">
        <v>45912</v>
      </c>
      <c r="F1038" s="1" t="s">
        <v>162</v>
      </c>
      <c r="G1038" s="9">
        <v>4.68</v>
      </c>
      <c r="I1038" s="1">
        <v>46147</v>
      </c>
      <c r="J1038" s="1" t="s">
        <v>285</v>
      </c>
      <c r="K1038" s="3">
        <v>4.5</v>
      </c>
    </row>
    <row r="1039" spans="1:11">
      <c r="A1039" s="1">
        <v>46141</v>
      </c>
      <c r="B1039" t="s">
        <v>1979</v>
      </c>
      <c r="C1039">
        <v>4.13</v>
      </c>
      <c r="E1039" s="1">
        <v>45912</v>
      </c>
      <c r="F1039" s="1" t="s">
        <v>163</v>
      </c>
      <c r="G1039" s="9">
        <v>5.24</v>
      </c>
      <c r="I1039" s="1">
        <v>46147</v>
      </c>
      <c r="J1039" s="1" t="s">
        <v>286</v>
      </c>
      <c r="K1039" s="3">
        <v>8000</v>
      </c>
    </row>
    <row r="1040" spans="1:11">
      <c r="A1040" s="1">
        <v>46141</v>
      </c>
      <c r="B1040" t="s">
        <v>1980</v>
      </c>
      <c r="C1040">
        <v>4.2359999999999998</v>
      </c>
      <c r="E1040" s="1">
        <v>45911</v>
      </c>
      <c r="F1040" s="1" t="s">
        <v>160</v>
      </c>
      <c r="G1040" s="9">
        <v>4.07</v>
      </c>
      <c r="I1040" s="1">
        <v>46147</v>
      </c>
      <c r="J1040" s="1" t="s">
        <v>287</v>
      </c>
      <c r="K1040" s="3">
        <v>329620</v>
      </c>
    </row>
    <row r="1041" spans="1:11">
      <c r="A1041" s="1">
        <v>46141</v>
      </c>
      <c r="B1041" t="s">
        <v>1981</v>
      </c>
      <c r="C1041">
        <v>4.335</v>
      </c>
      <c r="E1041" s="1">
        <v>45911</v>
      </c>
      <c r="F1041" s="1" t="s">
        <v>161</v>
      </c>
      <c r="G1041" s="9">
        <v>4.38</v>
      </c>
      <c r="I1041" s="1">
        <v>46147</v>
      </c>
      <c r="J1041" s="1" t="s">
        <v>288</v>
      </c>
      <c r="K1041" s="3">
        <v>-42041</v>
      </c>
    </row>
    <row r="1042" spans="1:11">
      <c r="A1042" s="1">
        <v>46141</v>
      </c>
      <c r="B1042" t="s">
        <v>1982</v>
      </c>
      <c r="C1042">
        <v>4.3929999999999998</v>
      </c>
      <c r="E1042" s="1">
        <v>45911</v>
      </c>
      <c r="F1042" s="1" t="s">
        <v>162</v>
      </c>
      <c r="G1042" s="9">
        <v>4.63</v>
      </c>
      <c r="I1042" s="1">
        <v>46147</v>
      </c>
      <c r="J1042" s="1" t="s">
        <v>289</v>
      </c>
      <c r="K1042" s="3">
        <v>29</v>
      </c>
    </row>
    <row r="1043" spans="1:11">
      <c r="A1043" s="1">
        <v>46141</v>
      </c>
      <c r="B1043" t="s">
        <v>1983</v>
      </c>
      <c r="C1043">
        <v>4.468</v>
      </c>
      <c r="E1043" s="1">
        <v>45911</v>
      </c>
      <c r="F1043" s="1" t="s">
        <v>163</v>
      </c>
      <c r="G1043" s="9">
        <v>5.18</v>
      </c>
      <c r="I1043" s="1">
        <v>46147</v>
      </c>
      <c r="J1043" s="1" t="s">
        <v>290</v>
      </c>
      <c r="K1043" s="3">
        <v>29</v>
      </c>
    </row>
    <row r="1044" spans="1:11">
      <c r="A1044" s="1">
        <v>46140</v>
      </c>
      <c r="B1044" t="s">
        <v>1974</v>
      </c>
      <c r="C1044">
        <v>3.2629999999999999</v>
      </c>
      <c r="E1044" s="1">
        <v>45910</v>
      </c>
      <c r="F1044" s="1" t="s">
        <v>160</v>
      </c>
      <c r="G1044" s="9">
        <v>4.0999999999999996</v>
      </c>
      <c r="I1044" s="1">
        <v>46146</v>
      </c>
      <c r="J1044" s="1" t="s">
        <v>107</v>
      </c>
      <c r="K1044" s="3">
        <v>12286161871365</v>
      </c>
    </row>
    <row r="1045" spans="1:11">
      <c r="A1045" s="1">
        <v>46140</v>
      </c>
      <c r="B1045" t="s">
        <v>1975</v>
      </c>
      <c r="C1045">
        <v>3.3580000000000001</v>
      </c>
      <c r="E1045" s="1">
        <v>45910</v>
      </c>
      <c r="F1045" s="1" t="s">
        <v>161</v>
      </c>
      <c r="G1045" s="9">
        <v>4.38</v>
      </c>
      <c r="I1045" s="1">
        <v>46146</v>
      </c>
      <c r="J1045" s="1" t="s">
        <v>282</v>
      </c>
      <c r="K1045" s="3">
        <v>0</v>
      </c>
    </row>
    <row r="1046" spans="1:11">
      <c r="A1046" s="1">
        <v>46140</v>
      </c>
      <c r="B1046" t="s">
        <v>1976</v>
      </c>
      <c r="C1046">
        <v>3.4420000000000002</v>
      </c>
      <c r="E1046" s="1">
        <v>45910</v>
      </c>
      <c r="F1046" s="1" t="s">
        <v>162</v>
      </c>
      <c r="G1046" s="9">
        <v>4.63</v>
      </c>
      <c r="I1046" s="1">
        <v>46146</v>
      </c>
      <c r="J1046" s="1" t="s">
        <v>283</v>
      </c>
      <c r="K1046" s="3">
        <v>7</v>
      </c>
    </row>
    <row r="1047" spans="1:11">
      <c r="A1047" s="1">
        <v>46140</v>
      </c>
      <c r="B1047" t="s">
        <v>1977</v>
      </c>
      <c r="C1047">
        <v>3.7490000000000001</v>
      </c>
      <c r="E1047" s="1">
        <v>45910</v>
      </c>
      <c r="F1047" s="1" t="s">
        <v>163</v>
      </c>
      <c r="G1047" s="9">
        <v>5.22</v>
      </c>
      <c r="I1047" s="1">
        <v>46146</v>
      </c>
      <c r="J1047" s="1" t="s">
        <v>284</v>
      </c>
      <c r="K1047" s="3">
        <v>17000</v>
      </c>
    </row>
    <row r="1048" spans="1:11">
      <c r="A1048" s="1">
        <v>46140</v>
      </c>
      <c r="B1048" t="s">
        <v>1978</v>
      </c>
      <c r="C1048">
        <v>4.0570000000000004</v>
      </c>
      <c r="E1048" s="1">
        <v>45909</v>
      </c>
      <c r="F1048" s="1" t="s">
        <v>160</v>
      </c>
      <c r="G1048" s="9">
        <v>4.2</v>
      </c>
      <c r="I1048" s="1">
        <v>46146</v>
      </c>
      <c r="J1048" s="1" t="s">
        <v>285</v>
      </c>
      <c r="K1048" s="3">
        <v>4.5</v>
      </c>
    </row>
    <row r="1049" spans="1:11">
      <c r="A1049" s="1">
        <v>46140</v>
      </c>
      <c r="B1049" t="s">
        <v>1979</v>
      </c>
      <c r="C1049">
        <v>4.13</v>
      </c>
      <c r="E1049" s="1">
        <v>45909</v>
      </c>
      <c r="F1049" s="1" t="s">
        <v>161</v>
      </c>
      <c r="G1049" s="9">
        <v>4.5</v>
      </c>
      <c r="I1049" s="1">
        <v>46146</v>
      </c>
      <c r="J1049" s="1" t="s">
        <v>286</v>
      </c>
      <c r="K1049" s="3">
        <v>6000</v>
      </c>
    </row>
    <row r="1050" spans="1:11">
      <c r="A1050" s="1">
        <v>46140</v>
      </c>
      <c r="B1050" t="s">
        <v>1980</v>
      </c>
      <c r="C1050">
        <v>4.2329999999999997</v>
      </c>
      <c r="E1050" s="1">
        <v>45909</v>
      </c>
      <c r="F1050" s="1" t="s">
        <v>162</v>
      </c>
      <c r="G1050" s="9">
        <v>4.72</v>
      </c>
      <c r="I1050" s="1">
        <v>46146</v>
      </c>
      <c r="J1050" s="1" t="s">
        <v>287</v>
      </c>
      <c r="K1050" s="3">
        <v>320620</v>
      </c>
    </row>
    <row r="1051" spans="1:11">
      <c r="A1051" s="1">
        <v>46140</v>
      </c>
      <c r="B1051" t="s">
        <v>1981</v>
      </c>
      <c r="C1051">
        <v>4.3339999999999996</v>
      </c>
      <c r="E1051" s="1">
        <v>45909</v>
      </c>
      <c r="F1051" s="1" t="s">
        <v>163</v>
      </c>
      <c r="G1051" s="9">
        <v>5.2</v>
      </c>
      <c r="I1051" s="1">
        <v>46146</v>
      </c>
      <c r="J1051" s="1" t="s">
        <v>288</v>
      </c>
      <c r="K1051" s="3">
        <v>-47041</v>
      </c>
    </row>
    <row r="1052" spans="1:11">
      <c r="A1052" s="1">
        <v>46140</v>
      </c>
      <c r="B1052" t="s">
        <v>1982</v>
      </c>
      <c r="C1052">
        <v>4.3929999999999998</v>
      </c>
      <c r="E1052" s="1">
        <v>45908</v>
      </c>
      <c r="F1052" s="1" t="s">
        <v>160</v>
      </c>
      <c r="G1052" s="9">
        <v>4.5</v>
      </c>
      <c r="I1052" s="1">
        <v>46146</v>
      </c>
      <c r="J1052" s="1" t="s">
        <v>289</v>
      </c>
      <c r="K1052" s="3">
        <v>27</v>
      </c>
    </row>
    <row r="1053" spans="1:11">
      <c r="A1053" s="1">
        <v>46140</v>
      </c>
      <c r="B1053" t="s">
        <v>1983</v>
      </c>
      <c r="C1053">
        <v>4.468</v>
      </c>
      <c r="E1053" s="1">
        <v>45908</v>
      </c>
      <c r="F1053" s="1" t="s">
        <v>161</v>
      </c>
      <c r="G1053" s="9">
        <v>4.74</v>
      </c>
      <c r="I1053" s="1">
        <v>46146</v>
      </c>
      <c r="J1053" s="1" t="s">
        <v>290</v>
      </c>
      <c r="K1053" s="3">
        <v>27</v>
      </c>
    </row>
    <row r="1054" spans="1:11">
      <c r="A1054" s="1">
        <v>46136</v>
      </c>
      <c r="B1054" t="s">
        <v>1974</v>
      </c>
      <c r="C1054">
        <v>3.2629999999999999</v>
      </c>
      <c r="E1054" s="1">
        <v>45908</v>
      </c>
      <c r="F1054" s="1" t="s">
        <v>162</v>
      </c>
      <c r="G1054" s="9">
        <v>4.88</v>
      </c>
      <c r="I1054" s="1">
        <v>46145</v>
      </c>
      <c r="J1054" s="1" t="s">
        <v>107</v>
      </c>
      <c r="K1054" s="3">
        <v>12141795666401</v>
      </c>
    </row>
    <row r="1055" spans="1:11">
      <c r="A1055" s="1">
        <v>46136</v>
      </c>
      <c r="B1055" t="s">
        <v>1975</v>
      </c>
      <c r="C1055">
        <v>3.3580000000000001</v>
      </c>
      <c r="E1055" s="1">
        <v>45908</v>
      </c>
      <c r="F1055" s="1" t="s">
        <v>163</v>
      </c>
      <c r="G1055" s="9">
        <v>5.24</v>
      </c>
      <c r="I1055" s="1">
        <v>46142</v>
      </c>
      <c r="J1055" s="1" t="s">
        <v>107</v>
      </c>
      <c r="K1055" s="3">
        <v>12141795666401</v>
      </c>
    </row>
    <row r="1056" spans="1:11">
      <c r="A1056" s="1">
        <v>46136</v>
      </c>
      <c r="B1056" t="s">
        <v>1976</v>
      </c>
      <c r="C1056">
        <v>3.4420000000000002</v>
      </c>
      <c r="E1056" s="1">
        <v>45905</v>
      </c>
      <c r="F1056" s="1" t="s">
        <v>160</v>
      </c>
      <c r="G1056" s="9">
        <v>4</v>
      </c>
      <c r="I1056" s="1">
        <v>46141</v>
      </c>
      <c r="J1056" s="1" t="s">
        <v>282</v>
      </c>
      <c r="K1056" s="3">
        <v>0</v>
      </c>
    </row>
    <row r="1057" spans="1:11">
      <c r="A1057" s="1">
        <v>46136</v>
      </c>
      <c r="B1057" t="s">
        <v>1977</v>
      </c>
      <c r="C1057">
        <v>3.7490000000000001</v>
      </c>
      <c r="E1057" s="1">
        <v>45905</v>
      </c>
      <c r="F1057" s="1" t="s">
        <v>161</v>
      </c>
      <c r="G1057" s="9">
        <v>4.42</v>
      </c>
      <c r="I1057" s="1">
        <v>46141</v>
      </c>
      <c r="J1057" s="1" t="s">
        <v>283</v>
      </c>
      <c r="K1057" s="3">
        <v>7</v>
      </c>
    </row>
    <row r="1058" spans="1:11">
      <c r="A1058" s="1">
        <v>46136</v>
      </c>
      <c r="B1058" t="s">
        <v>1978</v>
      </c>
      <c r="C1058">
        <v>4.0570000000000004</v>
      </c>
      <c r="E1058" s="1">
        <v>45905</v>
      </c>
      <c r="F1058" s="1" t="s">
        <v>162</v>
      </c>
      <c r="G1058" s="9">
        <v>4.72</v>
      </c>
      <c r="I1058" s="1">
        <v>46141</v>
      </c>
      <c r="J1058" s="1" t="s">
        <v>284</v>
      </c>
      <c r="K1058" s="3">
        <v>9000</v>
      </c>
    </row>
    <row r="1059" spans="1:11">
      <c r="A1059" s="1">
        <v>46136</v>
      </c>
      <c r="B1059" t="s">
        <v>1979</v>
      </c>
      <c r="C1059">
        <v>4.13</v>
      </c>
      <c r="E1059" s="1">
        <v>45905</v>
      </c>
      <c r="F1059" s="1" t="s">
        <v>163</v>
      </c>
      <c r="G1059" s="9">
        <v>5.24</v>
      </c>
      <c r="I1059" s="1">
        <v>46141</v>
      </c>
      <c r="J1059" s="1" t="s">
        <v>285</v>
      </c>
      <c r="K1059" s="3">
        <v>4.5</v>
      </c>
    </row>
    <row r="1060" spans="1:11">
      <c r="A1060" s="1">
        <v>46136</v>
      </c>
      <c r="B1060" t="s">
        <v>1980</v>
      </c>
      <c r="C1060">
        <v>4.2329999999999997</v>
      </c>
      <c r="E1060" s="1">
        <v>45904</v>
      </c>
      <c r="F1060" s="1" t="s">
        <v>160</v>
      </c>
      <c r="G1060" s="9">
        <v>4.75</v>
      </c>
      <c r="I1060" s="1">
        <v>46141</v>
      </c>
      <c r="J1060" s="1" t="s">
        <v>286</v>
      </c>
      <c r="K1060" s="3">
        <v>4091</v>
      </c>
    </row>
    <row r="1061" spans="1:11">
      <c r="A1061" s="1">
        <v>46136</v>
      </c>
      <c r="B1061" t="s">
        <v>1981</v>
      </c>
      <c r="C1061">
        <v>4.3339999999999996</v>
      </c>
      <c r="E1061" s="1">
        <v>45904</v>
      </c>
      <c r="F1061" s="1" t="s">
        <v>161</v>
      </c>
      <c r="G1061" s="9">
        <v>4.9800000000000004</v>
      </c>
      <c r="I1061" s="1">
        <v>46141</v>
      </c>
      <c r="J1061" s="1" t="s">
        <v>287</v>
      </c>
      <c r="K1061" s="3">
        <v>309620</v>
      </c>
    </row>
    <row r="1062" spans="1:11">
      <c r="A1062" s="1">
        <v>46136</v>
      </c>
      <c r="B1062" t="s">
        <v>1982</v>
      </c>
      <c r="C1062">
        <v>4.3929999999999998</v>
      </c>
      <c r="E1062" s="1">
        <v>45904</v>
      </c>
      <c r="F1062" s="1" t="s">
        <v>162</v>
      </c>
      <c r="G1062" s="9">
        <v>5.13</v>
      </c>
      <c r="I1062" s="1">
        <v>46141</v>
      </c>
      <c r="J1062" s="1" t="s">
        <v>288</v>
      </c>
      <c r="K1062" s="3">
        <v>-20000</v>
      </c>
    </row>
    <row r="1063" spans="1:11">
      <c r="A1063" s="1">
        <v>46136</v>
      </c>
      <c r="B1063" t="s">
        <v>1983</v>
      </c>
      <c r="C1063">
        <v>4.468</v>
      </c>
      <c r="E1063" s="1">
        <v>45904</v>
      </c>
      <c r="F1063" s="1" t="s">
        <v>163</v>
      </c>
      <c r="G1063" s="9">
        <v>5.33</v>
      </c>
      <c r="I1063" s="1">
        <v>46141</v>
      </c>
      <c r="J1063" s="1" t="s">
        <v>289</v>
      </c>
      <c r="K1063" s="3">
        <v>25</v>
      </c>
    </row>
    <row r="1064" spans="1:11">
      <c r="A1064" s="1">
        <v>46135</v>
      </c>
      <c r="B1064" t="s">
        <v>1974</v>
      </c>
      <c r="C1064">
        <v>3.2629999999999999</v>
      </c>
      <c r="E1064" s="1">
        <v>45903</v>
      </c>
      <c r="F1064" s="1" t="s">
        <v>160</v>
      </c>
      <c r="G1064" s="9">
        <v>5</v>
      </c>
      <c r="I1064" s="1">
        <v>46141</v>
      </c>
      <c r="J1064" s="1" t="s">
        <v>290</v>
      </c>
      <c r="K1064" s="3">
        <v>25</v>
      </c>
    </row>
    <row r="1065" spans="1:11">
      <c r="A1065" s="1">
        <v>46135</v>
      </c>
      <c r="B1065" t="s">
        <v>1975</v>
      </c>
      <c r="C1065">
        <v>3.3580000000000001</v>
      </c>
      <c r="E1065" s="1">
        <v>45903</v>
      </c>
      <c r="F1065" s="1" t="s">
        <v>161</v>
      </c>
      <c r="G1065" s="9">
        <v>5.23</v>
      </c>
      <c r="I1065" s="1">
        <v>46140</v>
      </c>
      <c r="J1065" s="1" t="s">
        <v>282</v>
      </c>
      <c r="K1065" s="3">
        <v>0</v>
      </c>
    </row>
    <row r="1066" spans="1:11">
      <c r="A1066" s="1">
        <v>46135</v>
      </c>
      <c r="B1066" t="s">
        <v>1976</v>
      </c>
      <c r="C1066">
        <v>3.4420000000000002</v>
      </c>
      <c r="E1066" s="1">
        <v>45903</v>
      </c>
      <c r="F1066" s="1" t="s">
        <v>162</v>
      </c>
      <c r="G1066" s="9">
        <v>5.28</v>
      </c>
      <c r="I1066" s="1">
        <v>46140</v>
      </c>
      <c r="J1066" s="1" t="s">
        <v>283</v>
      </c>
      <c r="K1066" s="3">
        <v>7</v>
      </c>
    </row>
    <row r="1067" spans="1:11">
      <c r="A1067" s="1">
        <v>46135</v>
      </c>
      <c r="B1067" t="s">
        <v>1977</v>
      </c>
      <c r="C1067">
        <v>3.7509999999999999</v>
      </c>
      <c r="E1067" s="1">
        <v>45903</v>
      </c>
      <c r="F1067" s="1" t="s">
        <v>163</v>
      </c>
      <c r="G1067" s="9">
        <v>5.38</v>
      </c>
      <c r="I1067" s="1">
        <v>46140</v>
      </c>
      <c r="J1067" s="1" t="s">
        <v>284</v>
      </c>
      <c r="K1067" s="3">
        <v>4000</v>
      </c>
    </row>
    <row r="1068" spans="1:11">
      <c r="A1068" s="1">
        <v>46135</v>
      </c>
      <c r="B1068" t="s">
        <v>1978</v>
      </c>
      <c r="C1068">
        <v>4.0609999999999999</v>
      </c>
      <c r="E1068" s="1">
        <v>45898</v>
      </c>
      <c r="F1068" s="1" t="s">
        <v>160</v>
      </c>
      <c r="G1068" s="9">
        <v>3.84</v>
      </c>
      <c r="I1068" s="1">
        <v>46140</v>
      </c>
      <c r="J1068" s="1" t="s">
        <v>285</v>
      </c>
      <c r="K1068" s="3">
        <v>4.5</v>
      </c>
    </row>
    <row r="1069" spans="1:11">
      <c r="A1069" s="1">
        <v>46135</v>
      </c>
      <c r="B1069" t="s">
        <v>1979</v>
      </c>
      <c r="C1069">
        <v>4.13</v>
      </c>
      <c r="E1069" s="1">
        <v>45898</v>
      </c>
      <c r="F1069" s="1" t="s">
        <v>161</v>
      </c>
      <c r="G1069" s="9">
        <v>4.3899999999999997</v>
      </c>
      <c r="I1069" s="1">
        <v>46140</v>
      </c>
      <c r="J1069" s="1" t="s">
        <v>286</v>
      </c>
      <c r="K1069" s="3">
        <v>5000</v>
      </c>
    </row>
    <row r="1070" spans="1:11">
      <c r="A1070" s="1">
        <v>46135</v>
      </c>
      <c r="B1070" t="s">
        <v>1980</v>
      </c>
      <c r="C1070">
        <v>4.2329999999999997</v>
      </c>
      <c r="E1070" s="1">
        <v>45898</v>
      </c>
      <c r="F1070" s="1" t="s">
        <v>162</v>
      </c>
      <c r="G1070" s="9">
        <v>4.99</v>
      </c>
      <c r="I1070" s="1">
        <v>46140</v>
      </c>
      <c r="J1070" s="1" t="s">
        <v>287</v>
      </c>
      <c r="K1070" s="3">
        <v>304711</v>
      </c>
    </row>
    <row r="1071" spans="1:11">
      <c r="A1071" s="1">
        <v>46135</v>
      </c>
      <c r="B1071" t="s">
        <v>1981</v>
      </c>
      <c r="C1071">
        <v>4.3330000000000002</v>
      </c>
      <c r="E1071" s="1">
        <v>45898</v>
      </c>
      <c r="F1071" s="1" t="s">
        <v>163</v>
      </c>
      <c r="G1071" s="9">
        <v>5.33</v>
      </c>
      <c r="I1071" s="1">
        <v>46140</v>
      </c>
      <c r="J1071" s="1" t="s">
        <v>288</v>
      </c>
      <c r="K1071" s="3">
        <v>-18091</v>
      </c>
    </row>
    <row r="1072" spans="1:11">
      <c r="A1072" s="1">
        <v>46135</v>
      </c>
      <c r="B1072" t="s">
        <v>1982</v>
      </c>
      <c r="C1072">
        <v>4.3929999999999998</v>
      </c>
      <c r="E1072" s="1">
        <v>45897</v>
      </c>
      <c r="F1072" s="1" t="s">
        <v>160</v>
      </c>
      <c r="G1072" s="9">
        <v>1.98</v>
      </c>
      <c r="I1072" s="1">
        <v>46140</v>
      </c>
      <c r="J1072" s="1" t="s">
        <v>289</v>
      </c>
      <c r="K1072" s="3">
        <v>11</v>
      </c>
    </row>
    <row r="1073" spans="1:11">
      <c r="A1073" s="1">
        <v>46135</v>
      </c>
      <c r="B1073" t="s">
        <v>1983</v>
      </c>
      <c r="C1073">
        <v>4.468</v>
      </c>
      <c r="E1073" s="1">
        <v>45897</v>
      </c>
      <c r="F1073" s="1" t="s">
        <v>161</v>
      </c>
      <c r="G1073" s="9">
        <v>4.08</v>
      </c>
      <c r="I1073" s="1">
        <v>46140</v>
      </c>
      <c r="J1073" s="1" t="s">
        <v>290</v>
      </c>
      <c r="K1073" s="3">
        <v>11</v>
      </c>
    </row>
    <row r="1074" spans="1:11">
      <c r="A1074" s="1">
        <v>46134</v>
      </c>
      <c r="B1074" t="s">
        <v>1974</v>
      </c>
      <c r="C1074">
        <v>3.258</v>
      </c>
      <c r="E1074" s="1">
        <v>45897</v>
      </c>
      <c r="F1074" s="1" t="s">
        <v>162</v>
      </c>
      <c r="G1074" s="9">
        <v>4.8600000000000003</v>
      </c>
      <c r="I1074" s="1">
        <v>46140</v>
      </c>
      <c r="J1074" s="1" t="s">
        <v>107</v>
      </c>
      <c r="K1074" s="3">
        <v>13051522532864</v>
      </c>
    </row>
    <row r="1075" spans="1:11">
      <c r="A1075" s="1">
        <v>46134</v>
      </c>
      <c r="B1075" t="s">
        <v>1975</v>
      </c>
      <c r="C1075">
        <v>3.3540000000000001</v>
      </c>
      <c r="E1075" s="1">
        <v>45897</v>
      </c>
      <c r="F1075" s="1" t="s">
        <v>163</v>
      </c>
      <c r="G1075" s="9">
        <v>5.22</v>
      </c>
      <c r="I1075" s="1">
        <v>46139</v>
      </c>
      <c r="J1075" s="1" t="s">
        <v>107</v>
      </c>
      <c r="K1075" s="3">
        <v>13051522532864</v>
      </c>
    </row>
    <row r="1076" spans="1:11">
      <c r="A1076" s="1">
        <v>46134</v>
      </c>
      <c r="B1076" t="s">
        <v>1976</v>
      </c>
      <c r="C1076">
        <v>3.4380000000000002</v>
      </c>
      <c r="E1076" s="1">
        <v>45896</v>
      </c>
      <c r="F1076" s="1" t="s">
        <v>160</v>
      </c>
      <c r="G1076" s="9">
        <v>3.33</v>
      </c>
      <c r="I1076" s="1">
        <v>46136</v>
      </c>
      <c r="J1076" s="1" t="s">
        <v>282</v>
      </c>
      <c r="K1076" s="3">
        <v>0</v>
      </c>
    </row>
    <row r="1077" spans="1:11">
      <c r="A1077" s="1">
        <v>46134</v>
      </c>
      <c r="B1077" t="s">
        <v>1977</v>
      </c>
      <c r="C1077">
        <v>3.7480000000000002</v>
      </c>
      <c r="E1077" s="1">
        <v>45896</v>
      </c>
      <c r="F1077" s="1" t="s">
        <v>161</v>
      </c>
      <c r="G1077" s="9">
        <v>4.5999999999999996</v>
      </c>
      <c r="I1077" s="1">
        <v>46136</v>
      </c>
      <c r="J1077" s="1" t="s">
        <v>283</v>
      </c>
      <c r="K1077" s="3">
        <v>7</v>
      </c>
    </row>
    <row r="1078" spans="1:11">
      <c r="A1078" s="1">
        <v>46134</v>
      </c>
      <c r="B1078" t="s">
        <v>1978</v>
      </c>
      <c r="C1078">
        <v>4.0590000000000002</v>
      </c>
      <c r="E1078" s="1">
        <v>45896</v>
      </c>
      <c r="F1078" s="1" t="s">
        <v>162</v>
      </c>
      <c r="G1078" s="9">
        <v>4.93</v>
      </c>
      <c r="I1078" s="1">
        <v>46136</v>
      </c>
      <c r="J1078" s="1" t="s">
        <v>284</v>
      </c>
      <c r="K1078" s="3">
        <v>10000</v>
      </c>
    </row>
    <row r="1079" spans="1:11">
      <c r="A1079" s="1">
        <v>46134</v>
      </c>
      <c r="B1079" t="s">
        <v>1979</v>
      </c>
      <c r="C1079">
        <v>4.133</v>
      </c>
      <c r="E1079" s="1">
        <v>45896</v>
      </c>
      <c r="F1079" s="1" t="s">
        <v>163</v>
      </c>
      <c r="G1079" s="9">
        <v>5.28</v>
      </c>
      <c r="I1079" s="1">
        <v>46136</v>
      </c>
      <c r="J1079" s="1" t="s">
        <v>285</v>
      </c>
      <c r="K1079" s="3">
        <v>4.5</v>
      </c>
    </row>
    <row r="1080" spans="1:11">
      <c r="A1080" s="1">
        <v>46134</v>
      </c>
      <c r="B1080" t="s">
        <v>1980</v>
      </c>
      <c r="C1080">
        <v>4.2300000000000004</v>
      </c>
      <c r="E1080" s="1">
        <v>45895</v>
      </c>
      <c r="F1080" s="1" t="s">
        <v>160</v>
      </c>
      <c r="G1080" s="9">
        <v>4</v>
      </c>
      <c r="I1080" s="1">
        <v>46136</v>
      </c>
      <c r="J1080" s="1" t="s">
        <v>286</v>
      </c>
      <c r="K1080" s="3">
        <v>5077</v>
      </c>
    </row>
    <row r="1081" spans="1:11">
      <c r="A1081" s="1">
        <v>46134</v>
      </c>
      <c r="B1081" t="s">
        <v>1981</v>
      </c>
      <c r="C1081">
        <v>4.3330000000000002</v>
      </c>
      <c r="E1081" s="1">
        <v>45895</v>
      </c>
      <c r="F1081" s="1" t="s">
        <v>161</v>
      </c>
      <c r="G1081" s="9">
        <v>5.05</v>
      </c>
      <c r="I1081" s="1">
        <v>46136</v>
      </c>
      <c r="J1081" s="1" t="s">
        <v>287</v>
      </c>
      <c r="K1081" s="3">
        <v>305711</v>
      </c>
    </row>
    <row r="1082" spans="1:11">
      <c r="A1082" s="1">
        <v>46134</v>
      </c>
      <c r="B1082" t="s">
        <v>1982</v>
      </c>
      <c r="C1082">
        <v>4.3929999999999998</v>
      </c>
      <c r="E1082" s="1">
        <v>45895</v>
      </c>
      <c r="F1082" s="1" t="s">
        <v>162</v>
      </c>
      <c r="G1082" s="9">
        <v>5.33</v>
      </c>
      <c r="I1082" s="1">
        <v>46136</v>
      </c>
      <c r="J1082" s="1" t="s">
        <v>288</v>
      </c>
      <c r="K1082" s="3">
        <v>-9091</v>
      </c>
    </row>
    <row r="1083" spans="1:11">
      <c r="A1083" s="1">
        <v>46134</v>
      </c>
      <c r="B1083" t="s">
        <v>1983</v>
      </c>
      <c r="C1083">
        <v>4.468</v>
      </c>
      <c r="E1083" s="1">
        <v>45895</v>
      </c>
      <c r="F1083" s="1" t="s">
        <v>163</v>
      </c>
      <c r="G1083" s="9">
        <v>5.45</v>
      </c>
      <c r="I1083" s="1">
        <v>46136</v>
      </c>
      <c r="J1083" s="1" t="s">
        <v>289</v>
      </c>
      <c r="K1083" s="3">
        <v>11</v>
      </c>
    </row>
    <row r="1084" spans="1:11">
      <c r="A1084" s="1">
        <v>46133</v>
      </c>
      <c r="B1084" t="s">
        <v>1974</v>
      </c>
      <c r="C1084">
        <v>3.2170000000000001</v>
      </c>
      <c r="E1084" s="1">
        <v>45894</v>
      </c>
      <c r="F1084" s="1" t="s">
        <v>160</v>
      </c>
      <c r="G1084" s="9">
        <v>4.92</v>
      </c>
      <c r="I1084" s="1">
        <v>46136</v>
      </c>
      <c r="J1084" s="1" t="s">
        <v>290</v>
      </c>
      <c r="K1084" s="3">
        <v>11</v>
      </c>
    </row>
    <row r="1085" spans="1:11">
      <c r="A1085" s="1">
        <v>46133</v>
      </c>
      <c r="B1085" t="s">
        <v>1975</v>
      </c>
      <c r="C1085">
        <v>3.3130000000000002</v>
      </c>
      <c r="E1085" s="1">
        <v>45894</v>
      </c>
      <c r="F1085" s="1" t="s">
        <v>161</v>
      </c>
      <c r="G1085" s="9">
        <v>5.48</v>
      </c>
      <c r="I1085" s="1">
        <v>46135</v>
      </c>
      <c r="J1085" s="1" t="s">
        <v>282</v>
      </c>
      <c r="K1085" s="3">
        <v>0</v>
      </c>
    </row>
    <row r="1086" spans="1:11">
      <c r="A1086" s="1">
        <v>46133</v>
      </c>
      <c r="B1086" t="s">
        <v>1976</v>
      </c>
      <c r="C1086">
        <v>3.3959999999999999</v>
      </c>
      <c r="E1086" s="1">
        <v>45894</v>
      </c>
      <c r="F1086" s="1" t="s">
        <v>162</v>
      </c>
      <c r="G1086" s="9">
        <v>5.6</v>
      </c>
      <c r="I1086" s="1">
        <v>46135</v>
      </c>
      <c r="J1086" s="1" t="s">
        <v>283</v>
      </c>
      <c r="K1086" s="3">
        <v>7</v>
      </c>
    </row>
    <row r="1087" spans="1:11">
      <c r="A1087" s="1">
        <v>46133</v>
      </c>
      <c r="B1087" t="s">
        <v>1977</v>
      </c>
      <c r="C1087">
        <v>3.73</v>
      </c>
      <c r="E1087" s="1">
        <v>45894</v>
      </c>
      <c r="F1087" s="1" t="s">
        <v>163</v>
      </c>
      <c r="G1087" s="9">
        <v>5.68</v>
      </c>
      <c r="I1087" s="1">
        <v>46135</v>
      </c>
      <c r="J1087" s="1" t="s">
        <v>284</v>
      </c>
      <c r="K1087" s="3">
        <v>18165</v>
      </c>
    </row>
    <row r="1088" spans="1:11">
      <c r="A1088" s="1">
        <v>46133</v>
      </c>
      <c r="B1088" t="s">
        <v>1978</v>
      </c>
      <c r="C1088">
        <v>4.0640000000000001</v>
      </c>
      <c r="E1088" s="1">
        <v>45891</v>
      </c>
      <c r="F1088" s="1" t="s">
        <v>160</v>
      </c>
      <c r="G1088" s="9">
        <v>4.96</v>
      </c>
      <c r="I1088" s="1">
        <v>46135</v>
      </c>
      <c r="J1088" s="1" t="s">
        <v>285</v>
      </c>
      <c r="K1088" s="3">
        <v>4.5</v>
      </c>
    </row>
    <row r="1089" spans="1:11">
      <c r="A1089" s="1">
        <v>46133</v>
      </c>
      <c r="B1089" t="s">
        <v>1979</v>
      </c>
      <c r="C1089">
        <v>4.133</v>
      </c>
      <c r="E1089" s="1">
        <v>45891</v>
      </c>
      <c r="F1089" s="1" t="s">
        <v>161</v>
      </c>
      <c r="G1089" s="9">
        <v>5.16</v>
      </c>
      <c r="I1089" s="1">
        <v>46135</v>
      </c>
      <c r="J1089" s="1" t="s">
        <v>286</v>
      </c>
      <c r="K1089" s="3">
        <v>1080.45</v>
      </c>
    </row>
    <row r="1090" spans="1:11">
      <c r="A1090" s="1">
        <v>46133</v>
      </c>
      <c r="B1090" t="s">
        <v>1980</v>
      </c>
      <c r="C1090">
        <v>4.2350000000000003</v>
      </c>
      <c r="E1090" s="1">
        <v>45891</v>
      </c>
      <c r="F1090" s="1" t="s">
        <v>162</v>
      </c>
      <c r="G1090" s="9">
        <v>5.6</v>
      </c>
      <c r="I1090" s="1">
        <v>46135</v>
      </c>
      <c r="J1090" s="1" t="s">
        <v>287</v>
      </c>
      <c r="K1090" s="3">
        <v>300788</v>
      </c>
    </row>
    <row r="1091" spans="1:11">
      <c r="A1091" s="1">
        <v>46133</v>
      </c>
      <c r="B1091" t="s">
        <v>1981</v>
      </c>
      <c r="C1091">
        <v>4.3330000000000002</v>
      </c>
      <c r="E1091" s="1">
        <v>45891</v>
      </c>
      <c r="F1091" s="1" t="s">
        <v>163</v>
      </c>
      <c r="G1091" s="9">
        <v>5.7</v>
      </c>
      <c r="I1091" s="1">
        <v>46135</v>
      </c>
      <c r="J1091" s="1" t="s">
        <v>288</v>
      </c>
      <c r="K1091" s="3">
        <v>-14168</v>
      </c>
    </row>
    <row r="1092" spans="1:11">
      <c r="A1092" s="1">
        <v>46133</v>
      </c>
      <c r="B1092" t="s">
        <v>1982</v>
      </c>
      <c r="C1092">
        <v>4.3890000000000002</v>
      </c>
      <c r="E1092" s="1">
        <v>45890</v>
      </c>
      <c r="F1092" s="1" t="s">
        <v>160</v>
      </c>
      <c r="G1092" s="9">
        <v>4.5599999999999996</v>
      </c>
      <c r="I1092" s="1">
        <v>46135</v>
      </c>
      <c r="J1092" s="1" t="s">
        <v>289</v>
      </c>
      <c r="K1092" s="3">
        <v>10</v>
      </c>
    </row>
    <row r="1093" spans="1:11">
      <c r="A1093" s="1">
        <v>46133</v>
      </c>
      <c r="B1093" t="s">
        <v>1983</v>
      </c>
      <c r="C1093">
        <v>4.4560000000000004</v>
      </c>
      <c r="E1093" s="1">
        <v>45890</v>
      </c>
      <c r="F1093" s="1" t="s">
        <v>161</v>
      </c>
      <c r="G1093" s="9">
        <v>4.8</v>
      </c>
      <c r="I1093" s="1">
        <v>46135</v>
      </c>
      <c r="J1093" s="1" t="s">
        <v>290</v>
      </c>
      <c r="K1093" s="3">
        <v>10</v>
      </c>
    </row>
    <row r="1094" spans="1:11">
      <c r="A1094" s="1">
        <v>46132</v>
      </c>
      <c r="B1094" t="s">
        <v>1974</v>
      </c>
      <c r="C1094">
        <v>3.258</v>
      </c>
      <c r="E1094" s="1">
        <v>45890</v>
      </c>
      <c r="F1094" s="1" t="s">
        <v>162</v>
      </c>
      <c r="G1094" s="9">
        <v>5.16</v>
      </c>
      <c r="I1094" s="1">
        <v>46135</v>
      </c>
      <c r="J1094" s="1" t="s">
        <v>107</v>
      </c>
      <c r="K1094" s="3">
        <v>12660777487005</v>
      </c>
    </row>
    <row r="1095" spans="1:11">
      <c r="A1095" s="1">
        <v>46132</v>
      </c>
      <c r="B1095" t="s">
        <v>1975</v>
      </c>
      <c r="C1095">
        <v>3.3540000000000001</v>
      </c>
      <c r="E1095" s="1">
        <v>45890</v>
      </c>
      <c r="F1095" s="1" t="s">
        <v>163</v>
      </c>
      <c r="G1095" s="9">
        <v>5.3</v>
      </c>
      <c r="I1095" s="1">
        <v>46134</v>
      </c>
      <c r="J1095" s="1" t="s">
        <v>282</v>
      </c>
      <c r="K1095" s="3">
        <v>0</v>
      </c>
    </row>
    <row r="1096" spans="1:11">
      <c r="A1096" s="1">
        <v>46132</v>
      </c>
      <c r="B1096" t="s">
        <v>1976</v>
      </c>
      <c r="C1096">
        <v>3.4380000000000002</v>
      </c>
      <c r="E1096" s="1">
        <v>45889</v>
      </c>
      <c r="F1096" s="1" t="s">
        <v>160</v>
      </c>
      <c r="G1096" s="9">
        <v>3.88</v>
      </c>
      <c r="I1096" s="1">
        <v>46134</v>
      </c>
      <c r="J1096" s="1" t="s">
        <v>283</v>
      </c>
      <c r="K1096" s="3">
        <v>7</v>
      </c>
    </row>
    <row r="1097" spans="1:11">
      <c r="A1097" s="1">
        <v>46132</v>
      </c>
      <c r="B1097" t="s">
        <v>1977</v>
      </c>
      <c r="C1097">
        <v>3.754</v>
      </c>
      <c r="E1097" s="1">
        <v>45889</v>
      </c>
      <c r="F1097" s="1" t="s">
        <v>161</v>
      </c>
      <c r="G1097" s="9">
        <v>4.38</v>
      </c>
      <c r="I1097" s="1">
        <v>46134</v>
      </c>
      <c r="J1097" s="1" t="s">
        <v>284</v>
      </c>
      <c r="K1097" s="3">
        <v>30970</v>
      </c>
    </row>
    <row r="1098" spans="1:11">
      <c r="A1098" s="1">
        <v>46132</v>
      </c>
      <c r="B1098" t="s">
        <v>1978</v>
      </c>
      <c r="C1098">
        <v>4.0709999999999997</v>
      </c>
      <c r="E1098" s="1">
        <v>45889</v>
      </c>
      <c r="F1098" s="1" t="s">
        <v>162</v>
      </c>
      <c r="G1098" s="9">
        <v>4.93</v>
      </c>
      <c r="I1098" s="1">
        <v>46134</v>
      </c>
      <c r="J1098" s="1" t="s">
        <v>285</v>
      </c>
      <c r="K1098" s="3">
        <v>4.5</v>
      </c>
    </row>
    <row r="1099" spans="1:11">
      <c r="A1099" s="1">
        <v>46132</v>
      </c>
      <c r="B1099" t="s">
        <v>1979</v>
      </c>
      <c r="C1099">
        <v>4.1310000000000002</v>
      </c>
      <c r="E1099" s="1">
        <v>45889</v>
      </c>
      <c r="F1099" s="1" t="s">
        <v>163</v>
      </c>
      <c r="G1099" s="9">
        <v>5.25</v>
      </c>
      <c r="I1099" s="1">
        <v>46134</v>
      </c>
      <c r="J1099" s="1" t="s">
        <v>286</v>
      </c>
      <c r="K1099" s="3">
        <v>2000</v>
      </c>
    </row>
    <row r="1100" spans="1:11">
      <c r="A1100" s="1">
        <v>46132</v>
      </c>
      <c r="B1100" t="s">
        <v>1980</v>
      </c>
      <c r="C1100">
        <v>4.2350000000000003</v>
      </c>
      <c r="E1100" s="1">
        <v>45888</v>
      </c>
      <c r="F1100" s="1" t="s">
        <v>160</v>
      </c>
      <c r="G1100" s="9">
        <v>3.85</v>
      </c>
      <c r="I1100" s="1">
        <v>46134</v>
      </c>
      <c r="J1100" s="1" t="s">
        <v>287</v>
      </c>
      <c r="K1100" s="3">
        <v>283703.45</v>
      </c>
    </row>
    <row r="1101" spans="1:11">
      <c r="A1101" s="1">
        <v>46132</v>
      </c>
      <c r="B1101" t="s">
        <v>1981</v>
      </c>
      <c r="C1101">
        <v>4.33</v>
      </c>
      <c r="E1101" s="1">
        <v>45888</v>
      </c>
      <c r="F1101" s="1" t="s">
        <v>161</v>
      </c>
      <c r="G1101" s="9">
        <v>4.32</v>
      </c>
      <c r="I1101" s="1">
        <v>46134</v>
      </c>
      <c r="J1101" s="1" t="s">
        <v>288</v>
      </c>
      <c r="K1101" s="3">
        <v>-15248.45</v>
      </c>
    </row>
    <row r="1102" spans="1:11">
      <c r="A1102" s="1">
        <v>46132</v>
      </c>
      <c r="B1102" t="s">
        <v>1982</v>
      </c>
      <c r="C1102">
        <v>4.3929999999999998</v>
      </c>
      <c r="E1102" s="1">
        <v>45888</v>
      </c>
      <c r="F1102" s="1" t="s">
        <v>162</v>
      </c>
      <c r="G1102" s="9">
        <v>4.93</v>
      </c>
      <c r="I1102" s="1">
        <v>46134</v>
      </c>
      <c r="J1102" s="1" t="s">
        <v>289</v>
      </c>
      <c r="K1102" s="3">
        <v>25</v>
      </c>
    </row>
    <row r="1103" spans="1:11">
      <c r="A1103" s="1">
        <v>46132</v>
      </c>
      <c r="B1103" t="s">
        <v>1983</v>
      </c>
      <c r="C1103">
        <v>4.468</v>
      </c>
      <c r="E1103" s="1">
        <v>45888</v>
      </c>
      <c r="F1103" s="1" t="s">
        <v>163</v>
      </c>
      <c r="G1103" s="9">
        <v>5.27</v>
      </c>
      <c r="I1103" s="1">
        <v>46134</v>
      </c>
      <c r="J1103" s="1" t="s">
        <v>290</v>
      </c>
      <c r="K1103" s="3">
        <v>25</v>
      </c>
    </row>
    <row r="1104" spans="1:11">
      <c r="A1104" s="1">
        <v>46129</v>
      </c>
      <c r="B1104" t="s">
        <v>1974</v>
      </c>
      <c r="C1104">
        <v>3.2170000000000001</v>
      </c>
      <c r="E1104" s="1">
        <v>45887</v>
      </c>
      <c r="F1104" s="1" t="s">
        <v>160</v>
      </c>
      <c r="G1104" s="9">
        <v>4.5</v>
      </c>
      <c r="I1104" s="1">
        <v>46134</v>
      </c>
      <c r="J1104" s="1" t="s">
        <v>107</v>
      </c>
      <c r="K1104" s="3">
        <v>12510952660468</v>
      </c>
    </row>
    <row r="1105" spans="1:11">
      <c r="A1105" s="1">
        <v>46129</v>
      </c>
      <c r="B1105" t="s">
        <v>1975</v>
      </c>
      <c r="C1105">
        <v>3.3130000000000002</v>
      </c>
      <c r="E1105" s="1">
        <v>45887</v>
      </c>
      <c r="F1105" s="1" t="s">
        <v>161</v>
      </c>
      <c r="G1105" s="9">
        <v>4.78</v>
      </c>
      <c r="I1105" s="1">
        <v>46133</v>
      </c>
      <c r="J1105" s="1" t="s">
        <v>282</v>
      </c>
      <c r="K1105" s="3">
        <v>0</v>
      </c>
    </row>
    <row r="1106" spans="1:11">
      <c r="A1106" s="1">
        <v>46129</v>
      </c>
      <c r="B1106" t="s">
        <v>1976</v>
      </c>
      <c r="C1106">
        <v>3.3959999999999999</v>
      </c>
      <c r="E1106" s="1">
        <v>45887</v>
      </c>
      <c r="F1106" s="1" t="s">
        <v>162</v>
      </c>
      <c r="G1106" s="9">
        <v>4.9000000000000004</v>
      </c>
      <c r="I1106" s="1">
        <v>46133</v>
      </c>
      <c r="J1106" s="1" t="s">
        <v>283</v>
      </c>
      <c r="K1106" s="3">
        <v>7</v>
      </c>
    </row>
    <row r="1107" spans="1:11">
      <c r="A1107" s="1">
        <v>46129</v>
      </c>
      <c r="B1107" t="s">
        <v>1977</v>
      </c>
      <c r="C1107">
        <v>3.7330000000000001</v>
      </c>
      <c r="E1107" s="1">
        <v>45887</v>
      </c>
      <c r="F1107" s="1" t="s">
        <v>163</v>
      </c>
      <c r="G1107" s="9">
        <v>5.3</v>
      </c>
      <c r="I1107" s="1">
        <v>46133</v>
      </c>
      <c r="J1107" s="1" t="s">
        <v>284</v>
      </c>
      <c r="K1107" s="3">
        <v>35000</v>
      </c>
    </row>
    <row r="1108" spans="1:11">
      <c r="A1108" s="1">
        <v>46129</v>
      </c>
      <c r="B1108" t="s">
        <v>1978</v>
      </c>
      <c r="C1108">
        <v>4.069</v>
      </c>
      <c r="E1108" s="1">
        <v>45884</v>
      </c>
      <c r="F1108" s="1" t="s">
        <v>160</v>
      </c>
      <c r="G1108" s="9">
        <v>4.5599999999999996</v>
      </c>
      <c r="I1108" s="1">
        <v>46133</v>
      </c>
      <c r="J1108" s="1" t="s">
        <v>285</v>
      </c>
      <c r="K1108" s="3">
        <v>4.5</v>
      </c>
    </row>
    <row r="1109" spans="1:11">
      <c r="A1109" s="1">
        <v>46129</v>
      </c>
      <c r="B1109" t="s">
        <v>1979</v>
      </c>
      <c r="C1109">
        <v>4.125</v>
      </c>
      <c r="E1109" s="1">
        <v>45884</v>
      </c>
      <c r="F1109" s="1" t="s">
        <v>161</v>
      </c>
      <c r="G1109" s="9">
        <v>4.72</v>
      </c>
      <c r="I1109" s="1">
        <v>46133</v>
      </c>
      <c r="J1109" s="1" t="s">
        <v>286</v>
      </c>
      <c r="K1109" s="3">
        <v>2000</v>
      </c>
    </row>
    <row r="1110" spans="1:11">
      <c r="A1110" s="1">
        <v>46129</v>
      </c>
      <c r="B1110" t="s">
        <v>1980</v>
      </c>
      <c r="C1110">
        <v>4.2249999999999996</v>
      </c>
      <c r="E1110" s="1">
        <v>45884</v>
      </c>
      <c r="F1110" s="1" t="s">
        <v>162</v>
      </c>
      <c r="G1110" s="9">
        <v>4.76</v>
      </c>
      <c r="I1110" s="1">
        <v>46133</v>
      </c>
      <c r="J1110" s="1" t="s">
        <v>287</v>
      </c>
      <c r="K1110" s="3">
        <v>254733.45</v>
      </c>
    </row>
    <row r="1111" spans="1:11">
      <c r="A1111" s="1">
        <v>46129</v>
      </c>
      <c r="B1111" t="s">
        <v>1981</v>
      </c>
      <c r="C1111">
        <v>4.327</v>
      </c>
      <c r="E1111" s="1">
        <v>45884</v>
      </c>
      <c r="F1111" s="1" t="s">
        <v>163</v>
      </c>
      <c r="G1111" s="9">
        <v>5.22</v>
      </c>
      <c r="I1111" s="1">
        <v>46133</v>
      </c>
      <c r="J1111" s="1" t="s">
        <v>288</v>
      </c>
      <c r="K1111" s="3">
        <v>-13157.45</v>
      </c>
    </row>
    <row r="1112" spans="1:11">
      <c r="A1112" s="1">
        <v>46129</v>
      </c>
      <c r="B1112" t="s">
        <v>1982</v>
      </c>
      <c r="C1112">
        <v>4.3890000000000002</v>
      </c>
      <c r="E1112" s="1">
        <v>45883</v>
      </c>
      <c r="F1112" s="1" t="s">
        <v>160</v>
      </c>
      <c r="G1112" s="9">
        <v>3.98</v>
      </c>
      <c r="I1112" s="1">
        <v>46133</v>
      </c>
      <c r="J1112" s="1" t="s">
        <v>289</v>
      </c>
      <c r="K1112" s="3">
        <v>35</v>
      </c>
    </row>
    <row r="1113" spans="1:11">
      <c r="A1113" s="1">
        <v>46129</v>
      </c>
      <c r="B1113" t="s">
        <v>1983</v>
      </c>
      <c r="C1113">
        <v>4.4640000000000004</v>
      </c>
      <c r="E1113" s="1">
        <v>45883</v>
      </c>
      <c r="F1113" s="1" t="s">
        <v>161</v>
      </c>
      <c r="G1113" s="9">
        <v>4.2</v>
      </c>
      <c r="I1113" s="1">
        <v>46133</v>
      </c>
      <c r="J1113" s="1" t="s">
        <v>290</v>
      </c>
      <c r="K1113" s="3">
        <v>35</v>
      </c>
    </row>
    <row r="1114" spans="1:11">
      <c r="A1114" s="1">
        <v>46128</v>
      </c>
      <c r="B1114" t="s">
        <v>1974</v>
      </c>
      <c r="C1114">
        <v>3.2170000000000001</v>
      </c>
      <c r="E1114" s="1">
        <v>45883</v>
      </c>
      <c r="F1114" s="1" t="s">
        <v>162</v>
      </c>
      <c r="G1114" s="9">
        <v>4.5999999999999996</v>
      </c>
      <c r="I1114" s="1">
        <v>46133</v>
      </c>
      <c r="J1114" s="1" t="s">
        <v>107</v>
      </c>
      <c r="K1114" s="3">
        <v>12299196140266</v>
      </c>
    </row>
    <row r="1115" spans="1:11">
      <c r="A1115" s="1">
        <v>46128</v>
      </c>
      <c r="B1115" t="s">
        <v>1975</v>
      </c>
      <c r="C1115">
        <v>3.3130000000000002</v>
      </c>
      <c r="E1115" s="1">
        <v>45883</v>
      </c>
      <c r="F1115" s="1" t="s">
        <v>163</v>
      </c>
      <c r="G1115" s="9">
        <v>5.14</v>
      </c>
      <c r="I1115" s="1">
        <v>46132</v>
      </c>
      <c r="J1115" s="1" t="s">
        <v>107</v>
      </c>
      <c r="K1115" s="3">
        <v>11792462982249</v>
      </c>
    </row>
    <row r="1116" spans="1:11">
      <c r="A1116" s="1">
        <v>46128</v>
      </c>
      <c r="B1116" t="s">
        <v>1976</v>
      </c>
      <c r="C1116">
        <v>3.3959999999999999</v>
      </c>
      <c r="E1116" s="1">
        <v>45882</v>
      </c>
      <c r="F1116" s="1" t="s">
        <v>160</v>
      </c>
      <c r="G1116" s="9">
        <v>4.25</v>
      </c>
      <c r="I1116" s="1">
        <v>46132</v>
      </c>
      <c r="J1116" s="1" t="s">
        <v>282</v>
      </c>
      <c r="K1116" s="3">
        <v>0</v>
      </c>
    </row>
    <row r="1117" spans="1:11">
      <c r="A1117" s="1">
        <v>46128</v>
      </c>
      <c r="B1117" t="s">
        <v>1977</v>
      </c>
      <c r="C1117">
        <v>3.726</v>
      </c>
      <c r="E1117" s="1">
        <v>45882</v>
      </c>
      <c r="F1117" s="1" t="s">
        <v>161</v>
      </c>
      <c r="G1117" s="9">
        <v>4.45</v>
      </c>
      <c r="I1117" s="1">
        <v>46132</v>
      </c>
      <c r="J1117" s="1" t="s">
        <v>283</v>
      </c>
      <c r="K1117" s="3">
        <v>7</v>
      </c>
    </row>
    <row r="1118" spans="1:11">
      <c r="A1118" s="1">
        <v>46128</v>
      </c>
      <c r="B1118" t="s">
        <v>1978</v>
      </c>
      <c r="C1118">
        <v>4.0570000000000004</v>
      </c>
      <c r="E1118" s="1">
        <v>45882</v>
      </c>
      <c r="F1118" s="1" t="s">
        <v>162</v>
      </c>
      <c r="G1118" s="9">
        <v>4.7300000000000004</v>
      </c>
      <c r="I1118" s="1">
        <v>46132</v>
      </c>
      <c r="J1118" s="1" t="s">
        <v>284</v>
      </c>
      <c r="K1118" s="3">
        <v>15000</v>
      </c>
    </row>
    <row r="1119" spans="1:11">
      <c r="A1119" s="1">
        <v>46128</v>
      </c>
      <c r="B1119" t="s">
        <v>1979</v>
      </c>
      <c r="C1119">
        <v>4.125</v>
      </c>
      <c r="E1119" s="1">
        <v>45882</v>
      </c>
      <c r="F1119" s="1" t="s">
        <v>163</v>
      </c>
      <c r="G1119" s="9">
        <v>5.28</v>
      </c>
      <c r="I1119" s="1">
        <v>46132</v>
      </c>
      <c r="J1119" s="1" t="s">
        <v>285</v>
      </c>
      <c r="K1119" s="3">
        <v>4.5</v>
      </c>
    </row>
    <row r="1120" spans="1:11">
      <c r="A1120" s="1">
        <v>46128</v>
      </c>
      <c r="B1120" t="s">
        <v>1980</v>
      </c>
      <c r="C1120">
        <v>4.2240000000000002</v>
      </c>
      <c r="E1120" s="1">
        <v>45881</v>
      </c>
      <c r="F1120" s="1" t="s">
        <v>160</v>
      </c>
      <c r="G1120" s="9">
        <v>5.07</v>
      </c>
      <c r="I1120" s="1">
        <v>46132</v>
      </c>
      <c r="J1120" s="1" t="s">
        <v>286</v>
      </c>
      <c r="K1120" s="3">
        <v>9346</v>
      </c>
    </row>
    <row r="1121" spans="1:11">
      <c r="A1121" s="1">
        <v>46128</v>
      </c>
      <c r="B1121" t="s">
        <v>1981</v>
      </c>
      <c r="C1121">
        <v>4.3250000000000002</v>
      </c>
      <c r="E1121" s="1">
        <v>45881</v>
      </c>
      <c r="F1121" s="1" t="s">
        <v>161</v>
      </c>
      <c r="G1121" s="9">
        <v>5.18</v>
      </c>
      <c r="I1121" s="1">
        <v>46132</v>
      </c>
      <c r="J1121" s="1" t="s">
        <v>287</v>
      </c>
      <c r="K1121" s="3">
        <v>221733.45</v>
      </c>
    </row>
    <row r="1122" spans="1:11">
      <c r="A1122" s="1">
        <v>46128</v>
      </c>
      <c r="B1122" t="s">
        <v>1982</v>
      </c>
      <c r="C1122">
        <v>4.3879999999999999</v>
      </c>
      <c r="E1122" s="1">
        <v>45881</v>
      </c>
      <c r="F1122" s="1" t="s">
        <v>162</v>
      </c>
      <c r="G1122" s="9">
        <v>5.38</v>
      </c>
      <c r="I1122" s="1">
        <v>46132</v>
      </c>
      <c r="J1122" s="1" t="s">
        <v>288</v>
      </c>
      <c r="K1122" s="3">
        <v>-10157.450000000001</v>
      </c>
    </row>
    <row r="1123" spans="1:11">
      <c r="A1123" s="1">
        <v>46128</v>
      </c>
      <c r="B1123" t="s">
        <v>1983</v>
      </c>
      <c r="C1123">
        <v>4.4630000000000001</v>
      </c>
      <c r="E1123" s="1">
        <v>45881</v>
      </c>
      <c r="F1123" s="1" t="s">
        <v>163</v>
      </c>
      <c r="G1123" s="9">
        <v>5.6</v>
      </c>
      <c r="I1123" s="1">
        <v>46132</v>
      </c>
      <c r="J1123" s="1" t="s">
        <v>289</v>
      </c>
      <c r="K1123" s="3">
        <v>26</v>
      </c>
    </row>
    <row r="1124" spans="1:11">
      <c r="A1124" s="1">
        <v>46127</v>
      </c>
      <c r="B1124" t="s">
        <v>1974</v>
      </c>
      <c r="C1124">
        <v>3.2130000000000001</v>
      </c>
      <c r="E1124" s="1">
        <v>45880</v>
      </c>
      <c r="F1124" s="1" t="s">
        <v>160</v>
      </c>
      <c r="G1124" s="9">
        <v>5.84</v>
      </c>
      <c r="I1124" s="1">
        <v>46132</v>
      </c>
      <c r="J1124" s="1" t="s">
        <v>290</v>
      </c>
      <c r="K1124" s="3">
        <v>26</v>
      </c>
    </row>
    <row r="1125" spans="1:11">
      <c r="A1125" s="1">
        <v>46127</v>
      </c>
      <c r="B1125" t="s">
        <v>1975</v>
      </c>
      <c r="C1125">
        <v>3.3079999999999998</v>
      </c>
      <c r="E1125" s="1">
        <v>45880</v>
      </c>
      <c r="F1125" s="1" t="s">
        <v>161</v>
      </c>
      <c r="G1125" s="9">
        <v>6.02</v>
      </c>
      <c r="I1125" s="1">
        <v>46131</v>
      </c>
      <c r="J1125" s="1" t="s">
        <v>107</v>
      </c>
      <c r="K1125" s="3">
        <v>12515122390297</v>
      </c>
    </row>
    <row r="1126" spans="1:11">
      <c r="A1126" s="1">
        <v>46127</v>
      </c>
      <c r="B1126" t="s">
        <v>1976</v>
      </c>
      <c r="C1126">
        <v>3.3959999999999999</v>
      </c>
      <c r="E1126" s="1">
        <v>45880</v>
      </c>
      <c r="F1126" s="1" t="s">
        <v>162</v>
      </c>
      <c r="G1126" s="9">
        <v>6.06</v>
      </c>
      <c r="I1126" s="1">
        <v>46129</v>
      </c>
      <c r="J1126" s="1" t="s">
        <v>282</v>
      </c>
      <c r="K1126" s="3">
        <v>1000</v>
      </c>
    </row>
    <row r="1127" spans="1:11">
      <c r="A1127" s="1">
        <v>46127</v>
      </c>
      <c r="B1127" t="s">
        <v>1977</v>
      </c>
      <c r="C1127">
        <v>3.7309999999999999</v>
      </c>
      <c r="E1127" s="1">
        <v>45880</v>
      </c>
      <c r="F1127" s="1" t="s">
        <v>163</v>
      </c>
      <c r="G1127" s="9">
        <v>5.76</v>
      </c>
      <c r="I1127" s="1">
        <v>46129</v>
      </c>
      <c r="J1127" s="1" t="s">
        <v>283</v>
      </c>
      <c r="K1127" s="3">
        <v>7</v>
      </c>
    </row>
    <row r="1128" spans="1:11">
      <c r="A1128" s="1">
        <v>46127</v>
      </c>
      <c r="B1128" t="s">
        <v>1978</v>
      </c>
      <c r="C1128">
        <v>4.0670000000000002</v>
      </c>
      <c r="E1128" s="1">
        <v>45877</v>
      </c>
      <c r="F1128" s="1" t="s">
        <v>160</v>
      </c>
      <c r="G1128" s="9">
        <v>6.28</v>
      </c>
      <c r="I1128" s="1">
        <v>46129</v>
      </c>
      <c r="J1128" s="1" t="s">
        <v>284</v>
      </c>
      <c r="K1128" s="3">
        <v>3077</v>
      </c>
    </row>
    <row r="1129" spans="1:11">
      <c r="A1129" s="1">
        <v>46127</v>
      </c>
      <c r="B1129" t="s">
        <v>1979</v>
      </c>
      <c r="C1129">
        <v>4.1219999999999999</v>
      </c>
      <c r="E1129" s="1">
        <v>45877</v>
      </c>
      <c r="F1129" s="1" t="s">
        <v>161</v>
      </c>
      <c r="G1129" s="9">
        <v>6.38</v>
      </c>
      <c r="I1129" s="1">
        <v>46129</v>
      </c>
      <c r="J1129" s="1" t="s">
        <v>285</v>
      </c>
      <c r="K1129" s="3">
        <v>4.5</v>
      </c>
    </row>
    <row r="1130" spans="1:11">
      <c r="A1130" s="1">
        <v>46127</v>
      </c>
      <c r="B1130" t="s">
        <v>1980</v>
      </c>
      <c r="C1130">
        <v>4.2210000000000001</v>
      </c>
      <c r="E1130" s="1">
        <v>45877</v>
      </c>
      <c r="F1130" s="1" t="s">
        <v>162</v>
      </c>
      <c r="G1130" s="9">
        <v>6.2</v>
      </c>
      <c r="I1130" s="1">
        <v>46129</v>
      </c>
      <c r="J1130" s="1" t="s">
        <v>286</v>
      </c>
      <c r="K1130" s="3">
        <v>2000</v>
      </c>
    </row>
    <row r="1131" spans="1:11">
      <c r="A1131" s="1">
        <v>46127</v>
      </c>
      <c r="B1131" t="s">
        <v>1981</v>
      </c>
      <c r="C1131">
        <v>4.319</v>
      </c>
      <c r="E1131" s="1">
        <v>45877</v>
      </c>
      <c r="F1131" s="1" t="s">
        <v>163</v>
      </c>
      <c r="G1131" s="9">
        <v>5.75</v>
      </c>
      <c r="I1131" s="1">
        <v>46129</v>
      </c>
      <c r="J1131" s="1" t="s">
        <v>287</v>
      </c>
      <c r="K1131" s="3">
        <v>216079.45</v>
      </c>
    </row>
    <row r="1132" spans="1:11">
      <c r="A1132" s="1">
        <v>46127</v>
      </c>
      <c r="B1132" t="s">
        <v>1982</v>
      </c>
      <c r="C1132">
        <v>4.3879999999999999</v>
      </c>
      <c r="E1132" s="1">
        <v>45876</v>
      </c>
      <c r="F1132" s="1" t="s">
        <v>160</v>
      </c>
      <c r="G1132" s="9">
        <v>6.73</v>
      </c>
      <c r="I1132" s="1">
        <v>46129</v>
      </c>
      <c r="J1132" s="1" t="s">
        <v>288</v>
      </c>
      <c r="K1132" s="3">
        <v>-19503.45</v>
      </c>
    </row>
    <row r="1133" spans="1:11">
      <c r="A1133" s="1">
        <v>46127</v>
      </c>
      <c r="B1133" t="s">
        <v>1983</v>
      </c>
      <c r="C1133">
        <v>4.4630000000000001</v>
      </c>
      <c r="E1133" s="1">
        <v>45876</v>
      </c>
      <c r="F1133" s="1" t="s">
        <v>161</v>
      </c>
      <c r="G1133" s="9">
        <v>6.55</v>
      </c>
      <c r="I1133" s="1">
        <v>46129</v>
      </c>
      <c r="J1133" s="1" t="s">
        <v>289</v>
      </c>
      <c r="K1133" s="3">
        <v>14</v>
      </c>
    </row>
    <row r="1134" spans="1:11">
      <c r="A1134" s="1">
        <v>46126</v>
      </c>
      <c r="B1134" t="s">
        <v>1974</v>
      </c>
      <c r="C1134">
        <v>3.2130000000000001</v>
      </c>
      <c r="E1134" s="1">
        <v>45876</v>
      </c>
      <c r="F1134" s="1" t="s">
        <v>162</v>
      </c>
      <c r="G1134" s="9">
        <v>6.1</v>
      </c>
      <c r="I1134" s="1">
        <v>46129</v>
      </c>
      <c r="J1134" s="1" t="s">
        <v>290</v>
      </c>
      <c r="K1134" s="3">
        <v>14</v>
      </c>
    </row>
    <row r="1135" spans="1:11">
      <c r="A1135" s="1">
        <v>46126</v>
      </c>
      <c r="B1135" t="s">
        <v>1975</v>
      </c>
      <c r="C1135">
        <v>3.3079999999999998</v>
      </c>
      <c r="E1135" s="1">
        <v>45876</v>
      </c>
      <c r="F1135" s="1" t="s">
        <v>163</v>
      </c>
      <c r="G1135" s="9">
        <v>5.7</v>
      </c>
      <c r="I1135" s="1">
        <v>46128</v>
      </c>
      <c r="J1135" s="1" t="s">
        <v>107</v>
      </c>
      <c r="K1135" s="3">
        <v>12145003422131</v>
      </c>
    </row>
    <row r="1136" spans="1:11">
      <c r="A1136" s="1">
        <v>46126</v>
      </c>
      <c r="B1136" t="s">
        <v>1976</v>
      </c>
      <c r="C1136">
        <v>3.3959999999999999</v>
      </c>
      <c r="E1136" s="1">
        <v>45875</v>
      </c>
      <c r="F1136" s="1" t="s">
        <v>160</v>
      </c>
      <c r="G1136" s="9">
        <v>5.5</v>
      </c>
      <c r="I1136" s="1">
        <v>46128</v>
      </c>
      <c r="J1136" s="1" t="s">
        <v>282</v>
      </c>
      <c r="K1136" s="3">
        <v>1000</v>
      </c>
    </row>
    <row r="1137" spans="1:11">
      <c r="A1137" s="1">
        <v>46126</v>
      </c>
      <c r="B1137" t="s">
        <v>1977</v>
      </c>
      <c r="C1137">
        <v>3.7330000000000001</v>
      </c>
      <c r="E1137" s="1">
        <v>45875</v>
      </c>
      <c r="F1137" s="1" t="s">
        <v>161</v>
      </c>
      <c r="G1137" s="9">
        <v>5.55</v>
      </c>
      <c r="I1137" s="1">
        <v>46128</v>
      </c>
      <c r="J1137" s="1" t="s">
        <v>283</v>
      </c>
      <c r="K1137" s="3">
        <v>7</v>
      </c>
    </row>
    <row r="1138" spans="1:11">
      <c r="A1138" s="1">
        <v>46126</v>
      </c>
      <c r="B1138" t="s">
        <v>1978</v>
      </c>
      <c r="C1138">
        <v>4.069</v>
      </c>
      <c r="E1138" s="1">
        <v>45875</v>
      </c>
      <c r="F1138" s="1" t="s">
        <v>162</v>
      </c>
      <c r="G1138" s="9">
        <v>5.55</v>
      </c>
      <c r="I1138" s="1">
        <v>46128</v>
      </c>
      <c r="J1138" s="1" t="s">
        <v>284</v>
      </c>
      <c r="K1138" s="3">
        <v>4080.45</v>
      </c>
    </row>
    <row r="1139" spans="1:11">
      <c r="A1139" s="1">
        <v>46126</v>
      </c>
      <c r="B1139" t="s">
        <v>1979</v>
      </c>
      <c r="C1139">
        <v>4.125</v>
      </c>
      <c r="E1139" s="1">
        <v>45875</v>
      </c>
      <c r="F1139" s="1" t="s">
        <v>163</v>
      </c>
      <c r="G1139" s="9">
        <v>5.43</v>
      </c>
      <c r="I1139" s="1">
        <v>46128</v>
      </c>
      <c r="J1139" s="1" t="s">
        <v>285</v>
      </c>
      <c r="K1139" s="3">
        <v>4.5</v>
      </c>
    </row>
    <row r="1140" spans="1:11">
      <c r="A1140" s="1">
        <v>46126</v>
      </c>
      <c r="B1140" t="s">
        <v>1980</v>
      </c>
      <c r="C1140">
        <v>4.2279999999999998</v>
      </c>
      <c r="E1140" s="1">
        <v>45874</v>
      </c>
      <c r="F1140" s="1" t="s">
        <v>160</v>
      </c>
      <c r="G1140" s="9">
        <v>5.52</v>
      </c>
      <c r="I1140" s="1">
        <v>46128</v>
      </c>
      <c r="J1140" s="1" t="s">
        <v>286</v>
      </c>
      <c r="K1140" s="3">
        <v>22000</v>
      </c>
    </row>
    <row r="1141" spans="1:11">
      <c r="A1141" s="1">
        <v>46126</v>
      </c>
      <c r="B1141" t="s">
        <v>1981</v>
      </c>
      <c r="C1141">
        <v>4.3220000000000001</v>
      </c>
      <c r="E1141" s="1">
        <v>45874</v>
      </c>
      <c r="F1141" s="1" t="s">
        <v>161</v>
      </c>
      <c r="G1141" s="9">
        <v>5.54</v>
      </c>
      <c r="I1141" s="1">
        <v>46128</v>
      </c>
      <c r="J1141" s="1" t="s">
        <v>287</v>
      </c>
      <c r="K1141" s="3">
        <v>215002.45</v>
      </c>
    </row>
    <row r="1142" spans="1:11">
      <c r="A1142" s="1">
        <v>46126</v>
      </c>
      <c r="B1142" t="s">
        <v>1982</v>
      </c>
      <c r="C1142">
        <v>4.383</v>
      </c>
      <c r="E1142" s="1">
        <v>45874</v>
      </c>
      <c r="F1142" s="1" t="s">
        <v>162</v>
      </c>
      <c r="G1142" s="9">
        <v>5.52</v>
      </c>
      <c r="I1142" s="1">
        <v>46128</v>
      </c>
      <c r="J1142" s="1" t="s">
        <v>288</v>
      </c>
      <c r="K1142" s="3">
        <v>-16426.45</v>
      </c>
    </row>
    <row r="1143" spans="1:11">
      <c r="A1143" s="1">
        <v>46126</v>
      </c>
      <c r="B1143" t="s">
        <v>1983</v>
      </c>
      <c r="C1143">
        <v>4.4669999999999996</v>
      </c>
      <c r="E1143" s="1">
        <v>45874</v>
      </c>
      <c r="F1143" s="1" t="s">
        <v>163</v>
      </c>
      <c r="G1143" s="9">
        <v>5.38</v>
      </c>
      <c r="I1143" s="1">
        <v>46128</v>
      </c>
      <c r="J1143" s="1" t="s">
        <v>289</v>
      </c>
      <c r="K1143" s="3">
        <v>16</v>
      </c>
    </row>
    <row r="1144" spans="1:11">
      <c r="A1144" s="1">
        <v>46125</v>
      </c>
      <c r="B1144" t="s">
        <v>1974</v>
      </c>
      <c r="C1144">
        <v>3.2130000000000001</v>
      </c>
      <c r="E1144" s="1">
        <v>45873</v>
      </c>
      <c r="F1144" s="1" t="s">
        <v>160</v>
      </c>
      <c r="G1144" s="9">
        <v>5.3</v>
      </c>
      <c r="I1144" s="1">
        <v>46128</v>
      </c>
      <c r="J1144" s="1" t="s">
        <v>290</v>
      </c>
      <c r="K1144" s="3">
        <v>16</v>
      </c>
    </row>
    <row r="1145" spans="1:11">
      <c r="A1145" s="1">
        <v>46125</v>
      </c>
      <c r="B1145" t="s">
        <v>1975</v>
      </c>
      <c r="C1145">
        <v>3.3079999999999998</v>
      </c>
      <c r="E1145" s="1">
        <v>45873</v>
      </c>
      <c r="F1145" s="1" t="s">
        <v>161</v>
      </c>
      <c r="G1145" s="9">
        <v>5.35</v>
      </c>
      <c r="I1145" s="1">
        <v>46127</v>
      </c>
      <c r="J1145" s="1" t="s">
        <v>282</v>
      </c>
      <c r="K1145" s="3">
        <v>1000</v>
      </c>
    </row>
    <row r="1146" spans="1:11">
      <c r="A1146" s="1">
        <v>46125</v>
      </c>
      <c r="B1146" t="s">
        <v>1976</v>
      </c>
      <c r="C1146">
        <v>3.3959999999999999</v>
      </c>
      <c r="E1146" s="1">
        <v>45873</v>
      </c>
      <c r="F1146" s="1" t="s">
        <v>162</v>
      </c>
      <c r="G1146" s="9">
        <v>5.35</v>
      </c>
      <c r="I1146" s="1">
        <v>46127</v>
      </c>
      <c r="J1146" s="1" t="s">
        <v>283</v>
      </c>
      <c r="K1146" s="3">
        <v>7</v>
      </c>
    </row>
    <row r="1147" spans="1:11">
      <c r="A1147" s="1">
        <v>46125</v>
      </c>
      <c r="B1147" t="s">
        <v>1977</v>
      </c>
      <c r="C1147">
        <v>3.7309999999999999</v>
      </c>
      <c r="E1147" s="1">
        <v>45873</v>
      </c>
      <c r="F1147" s="1" t="s">
        <v>163</v>
      </c>
      <c r="G1147" s="9">
        <v>5.3</v>
      </c>
      <c r="I1147" s="1">
        <v>46127</v>
      </c>
      <c r="J1147" s="1" t="s">
        <v>284</v>
      </c>
      <c r="K1147" s="3">
        <v>5000</v>
      </c>
    </row>
    <row r="1148" spans="1:11">
      <c r="A1148" s="1">
        <v>46125</v>
      </c>
      <c r="B1148" t="s">
        <v>1978</v>
      </c>
      <c r="C1148">
        <v>4.0670000000000002</v>
      </c>
      <c r="E1148" s="1">
        <v>45870</v>
      </c>
      <c r="F1148" s="1" t="s">
        <v>160</v>
      </c>
      <c r="G1148" s="9">
        <v>5.4</v>
      </c>
      <c r="I1148" s="1">
        <v>46127</v>
      </c>
      <c r="J1148" s="1" t="s">
        <v>285</v>
      </c>
      <c r="K1148" s="3">
        <v>4.5</v>
      </c>
    </row>
    <row r="1149" spans="1:11">
      <c r="A1149" s="1">
        <v>46125</v>
      </c>
      <c r="B1149" t="s">
        <v>1979</v>
      </c>
      <c r="C1149">
        <v>4.1280000000000001</v>
      </c>
      <c r="E1149" s="1">
        <v>45870</v>
      </c>
      <c r="F1149" s="1" t="s">
        <v>161</v>
      </c>
      <c r="G1149" s="9">
        <v>5.45</v>
      </c>
      <c r="I1149" s="1">
        <v>46127</v>
      </c>
      <c r="J1149" s="1" t="s">
        <v>286</v>
      </c>
      <c r="K1149" s="3">
        <v>32000</v>
      </c>
    </row>
    <row r="1150" spans="1:11">
      <c r="A1150" s="1">
        <v>46125</v>
      </c>
      <c r="B1150" t="s">
        <v>1980</v>
      </c>
      <c r="C1150">
        <v>4.2300000000000004</v>
      </c>
      <c r="E1150" s="1">
        <v>45870</v>
      </c>
      <c r="F1150" s="1" t="s">
        <v>162</v>
      </c>
      <c r="G1150" s="9">
        <v>5.45</v>
      </c>
      <c r="I1150" s="1">
        <v>46127</v>
      </c>
      <c r="J1150" s="1" t="s">
        <v>287</v>
      </c>
      <c r="K1150" s="3">
        <v>232922</v>
      </c>
    </row>
    <row r="1151" spans="1:11">
      <c r="A1151" s="1">
        <v>46125</v>
      </c>
      <c r="B1151" t="s">
        <v>1981</v>
      </c>
      <c r="C1151">
        <v>4.3220000000000001</v>
      </c>
      <c r="E1151" s="1">
        <v>45870</v>
      </c>
      <c r="F1151" s="1" t="s">
        <v>163</v>
      </c>
      <c r="G1151" s="9">
        <v>5.38</v>
      </c>
      <c r="I1151" s="1">
        <v>46127</v>
      </c>
      <c r="J1151" s="1" t="s">
        <v>288</v>
      </c>
      <c r="K1151" s="3">
        <v>-37346</v>
      </c>
    </row>
    <row r="1152" spans="1:11">
      <c r="A1152" s="1">
        <v>46125</v>
      </c>
      <c r="B1152" t="s">
        <v>1982</v>
      </c>
      <c r="C1152">
        <v>4.383</v>
      </c>
      <c r="E1152" s="1">
        <v>45869</v>
      </c>
      <c r="F1152" s="1" t="s">
        <v>160</v>
      </c>
      <c r="G1152" s="9">
        <v>3.38</v>
      </c>
      <c r="I1152" s="1">
        <v>46127</v>
      </c>
      <c r="J1152" s="1" t="s">
        <v>289</v>
      </c>
      <c r="K1152" s="3">
        <v>15</v>
      </c>
    </row>
    <row r="1153" spans="1:11">
      <c r="A1153" s="1">
        <v>46125</v>
      </c>
      <c r="B1153" t="s">
        <v>1983</v>
      </c>
      <c r="C1153">
        <v>4.4669999999999996</v>
      </c>
      <c r="E1153" s="1">
        <v>45869</v>
      </c>
      <c r="F1153" s="1" t="s">
        <v>161</v>
      </c>
      <c r="G1153" s="9">
        <v>4.34</v>
      </c>
      <c r="I1153" s="1">
        <v>46127</v>
      </c>
      <c r="J1153" s="1" t="s">
        <v>290</v>
      </c>
      <c r="K1153" s="3">
        <v>15</v>
      </c>
    </row>
    <row r="1154" spans="1:11">
      <c r="A1154" s="1">
        <v>46122</v>
      </c>
      <c r="B1154" t="s">
        <v>1974</v>
      </c>
      <c r="C1154">
        <v>3.2130000000000001</v>
      </c>
      <c r="E1154" s="1">
        <v>45869</v>
      </c>
      <c r="F1154" s="1" t="s">
        <v>162</v>
      </c>
      <c r="G1154" s="9">
        <v>4.54</v>
      </c>
      <c r="I1154" s="1">
        <v>46127</v>
      </c>
      <c r="J1154" s="1" t="s">
        <v>107</v>
      </c>
      <c r="K1154" s="3">
        <v>11968194832577</v>
      </c>
    </row>
    <row r="1155" spans="1:11">
      <c r="A1155" s="1">
        <v>46122</v>
      </c>
      <c r="B1155" t="s">
        <v>1975</v>
      </c>
      <c r="C1155">
        <v>3.3079999999999998</v>
      </c>
      <c r="E1155" s="1">
        <v>45869</v>
      </c>
      <c r="F1155" s="1" t="s">
        <v>163</v>
      </c>
      <c r="G1155" s="9">
        <v>4.92</v>
      </c>
      <c r="I1155" s="1">
        <v>46126</v>
      </c>
      <c r="J1155" s="1" t="s">
        <v>282</v>
      </c>
      <c r="K1155" s="3">
        <v>1000</v>
      </c>
    </row>
    <row r="1156" spans="1:11">
      <c r="A1156" s="1">
        <v>46122</v>
      </c>
      <c r="B1156" t="s">
        <v>1976</v>
      </c>
      <c r="C1156">
        <v>3.3959999999999999</v>
      </c>
      <c r="E1156" s="1">
        <v>45868</v>
      </c>
      <c r="F1156" s="1" t="s">
        <v>160</v>
      </c>
      <c r="G1156" s="9">
        <v>3.68</v>
      </c>
      <c r="I1156" s="1">
        <v>46126</v>
      </c>
      <c r="J1156" s="1" t="s">
        <v>283</v>
      </c>
      <c r="K1156" s="3">
        <v>7</v>
      </c>
    </row>
    <row r="1157" spans="1:11">
      <c r="A1157" s="1">
        <v>46122</v>
      </c>
      <c r="B1157" t="s">
        <v>1977</v>
      </c>
      <c r="C1157">
        <v>3.7349999999999999</v>
      </c>
      <c r="E1157" s="1">
        <v>45868</v>
      </c>
      <c r="F1157" s="1" t="s">
        <v>161</v>
      </c>
      <c r="G1157" s="9">
        <v>4.37</v>
      </c>
      <c r="I1157" s="1">
        <v>46126</v>
      </c>
      <c r="J1157" s="1" t="s">
        <v>284</v>
      </c>
      <c r="K1157" s="3">
        <v>11000</v>
      </c>
    </row>
    <row r="1158" spans="1:11">
      <c r="A1158" s="1">
        <v>46122</v>
      </c>
      <c r="B1158" t="s">
        <v>1978</v>
      </c>
      <c r="C1158">
        <v>4.0750000000000002</v>
      </c>
      <c r="E1158" s="1">
        <v>45868</v>
      </c>
      <c r="F1158" s="1" t="s">
        <v>162</v>
      </c>
      <c r="G1158" s="9">
        <v>4.5</v>
      </c>
      <c r="I1158" s="1">
        <v>46126</v>
      </c>
      <c r="J1158" s="1" t="s">
        <v>285</v>
      </c>
      <c r="K1158" s="3">
        <v>4.5</v>
      </c>
    </row>
    <row r="1159" spans="1:11">
      <c r="A1159" s="1">
        <v>46122</v>
      </c>
      <c r="B1159" t="s">
        <v>1979</v>
      </c>
      <c r="C1159">
        <v>4.1280000000000001</v>
      </c>
      <c r="E1159" s="1">
        <v>45868</v>
      </c>
      <c r="F1159" s="1" t="s">
        <v>163</v>
      </c>
      <c r="G1159" s="9">
        <v>4.87</v>
      </c>
      <c r="I1159" s="1">
        <v>46126</v>
      </c>
      <c r="J1159" s="1" t="s">
        <v>286</v>
      </c>
      <c r="K1159" s="3">
        <v>32000</v>
      </c>
    </row>
    <row r="1160" spans="1:11">
      <c r="A1160" s="1">
        <v>46122</v>
      </c>
      <c r="B1160" t="s">
        <v>1980</v>
      </c>
      <c r="C1160">
        <v>4.2329999999999997</v>
      </c>
      <c r="E1160" s="1">
        <v>45867</v>
      </c>
      <c r="F1160" s="1" t="s">
        <v>160</v>
      </c>
      <c r="G1160" s="9">
        <v>4.42</v>
      </c>
      <c r="I1160" s="1">
        <v>46126</v>
      </c>
      <c r="J1160" s="1" t="s">
        <v>287</v>
      </c>
      <c r="K1160" s="3">
        <v>259922</v>
      </c>
    </row>
    <row r="1161" spans="1:11">
      <c r="A1161" s="1">
        <v>46122</v>
      </c>
      <c r="B1161" t="s">
        <v>1981</v>
      </c>
      <c r="C1161">
        <v>4.3220000000000001</v>
      </c>
      <c r="E1161" s="1">
        <v>45867</v>
      </c>
      <c r="F1161" s="1" t="s">
        <v>161</v>
      </c>
      <c r="G1161" s="9">
        <v>4.72</v>
      </c>
      <c r="I1161" s="1">
        <v>46126</v>
      </c>
      <c r="J1161" s="1" t="s">
        <v>288</v>
      </c>
      <c r="K1161" s="3">
        <v>-67346</v>
      </c>
    </row>
    <row r="1162" spans="1:11">
      <c r="A1162" s="1">
        <v>46122</v>
      </c>
      <c r="B1162" t="s">
        <v>1982</v>
      </c>
      <c r="C1162">
        <v>4.383</v>
      </c>
      <c r="E1162" s="1">
        <v>45867</v>
      </c>
      <c r="F1162" s="1" t="s">
        <v>162</v>
      </c>
      <c r="G1162" s="9">
        <v>4.87</v>
      </c>
      <c r="I1162" s="1">
        <v>46126</v>
      </c>
      <c r="J1162" s="1" t="s">
        <v>289</v>
      </c>
      <c r="K1162" s="3">
        <v>22</v>
      </c>
    </row>
    <row r="1163" spans="1:11">
      <c r="A1163" s="1">
        <v>46122</v>
      </c>
      <c r="B1163" t="s">
        <v>1983</v>
      </c>
      <c r="C1163">
        <v>4.4669999999999996</v>
      </c>
      <c r="E1163" s="1">
        <v>45867</v>
      </c>
      <c r="F1163" s="1" t="s">
        <v>163</v>
      </c>
      <c r="G1163" s="9">
        <v>5</v>
      </c>
      <c r="I1163" s="1">
        <v>46126</v>
      </c>
      <c r="J1163" s="1" t="s">
        <v>290</v>
      </c>
      <c r="K1163" s="3">
        <v>22</v>
      </c>
    </row>
    <row r="1164" spans="1:11">
      <c r="A1164" s="1">
        <v>46121</v>
      </c>
      <c r="B1164" t="s">
        <v>1974</v>
      </c>
      <c r="C1164">
        <v>3.2130000000000001</v>
      </c>
      <c r="E1164" s="1">
        <v>45866</v>
      </c>
      <c r="F1164" s="1" t="s">
        <v>160</v>
      </c>
      <c r="G1164" s="9">
        <v>5.88</v>
      </c>
      <c r="I1164" s="1">
        <v>46126</v>
      </c>
      <c r="J1164" s="1" t="s">
        <v>107</v>
      </c>
      <c r="K1164" s="3">
        <v>13435532031372</v>
      </c>
    </row>
    <row r="1165" spans="1:11">
      <c r="A1165" s="1">
        <v>46121</v>
      </c>
      <c r="B1165" t="s">
        <v>1975</v>
      </c>
      <c r="C1165">
        <v>3.3079999999999998</v>
      </c>
      <c r="E1165" s="1">
        <v>45866</v>
      </c>
      <c r="F1165" s="1" t="s">
        <v>161</v>
      </c>
      <c r="G1165" s="9">
        <v>6</v>
      </c>
      <c r="I1165" s="1">
        <v>46125</v>
      </c>
      <c r="J1165" s="1" t="s">
        <v>282</v>
      </c>
      <c r="K1165" s="3">
        <v>4000</v>
      </c>
    </row>
    <row r="1166" spans="1:11">
      <c r="A1166" s="1">
        <v>46121</v>
      </c>
      <c r="B1166" t="s">
        <v>1976</v>
      </c>
      <c r="C1166">
        <v>3.3959999999999999</v>
      </c>
      <c r="E1166" s="1">
        <v>45866</v>
      </c>
      <c r="F1166" s="1" t="s">
        <v>162</v>
      </c>
      <c r="G1166" s="9">
        <v>5.95</v>
      </c>
      <c r="I1166" s="1">
        <v>46125</v>
      </c>
      <c r="J1166" s="1" t="s">
        <v>283</v>
      </c>
      <c r="K1166" s="3">
        <v>7</v>
      </c>
    </row>
    <row r="1167" spans="1:11">
      <c r="A1167" s="1">
        <v>46121</v>
      </c>
      <c r="B1167" t="s">
        <v>1977</v>
      </c>
      <c r="C1167">
        <v>3.734</v>
      </c>
      <c r="E1167" s="1">
        <v>45866</v>
      </c>
      <c r="F1167" s="1" t="s">
        <v>163</v>
      </c>
      <c r="G1167" s="9">
        <v>5.63</v>
      </c>
      <c r="I1167" s="1">
        <v>46125</v>
      </c>
      <c r="J1167" s="1" t="s">
        <v>284</v>
      </c>
      <c r="K1167" s="3">
        <v>33702</v>
      </c>
    </row>
    <row r="1168" spans="1:11">
      <c r="A1168" s="1">
        <v>46121</v>
      </c>
      <c r="B1168" t="s">
        <v>1978</v>
      </c>
      <c r="C1168">
        <v>4.0709999999999997</v>
      </c>
      <c r="E1168" s="1">
        <v>45863</v>
      </c>
      <c r="F1168" s="1" t="s">
        <v>160</v>
      </c>
      <c r="G1168" s="9">
        <v>6.57</v>
      </c>
      <c r="I1168" s="1">
        <v>46125</v>
      </c>
      <c r="J1168" s="1" t="s">
        <v>285</v>
      </c>
      <c r="K1168" s="3">
        <v>4.5</v>
      </c>
    </row>
    <row r="1169" spans="1:11">
      <c r="A1169" s="1">
        <v>46121</v>
      </c>
      <c r="B1169" t="s">
        <v>1979</v>
      </c>
      <c r="C1169">
        <v>4.1289999999999996</v>
      </c>
      <c r="E1169" s="1">
        <v>45863</v>
      </c>
      <c r="F1169" s="1" t="s">
        <v>161</v>
      </c>
      <c r="G1169" s="9">
        <v>6.53</v>
      </c>
      <c r="I1169" s="1">
        <v>46125</v>
      </c>
      <c r="J1169" s="1" t="s">
        <v>286</v>
      </c>
      <c r="K1169" s="3">
        <v>41345</v>
      </c>
    </row>
    <row r="1170" spans="1:11">
      <c r="A1170" s="1">
        <v>46121</v>
      </c>
      <c r="B1170" t="s">
        <v>1980</v>
      </c>
      <c r="C1170">
        <v>4.226</v>
      </c>
      <c r="E1170" s="1">
        <v>45863</v>
      </c>
      <c r="F1170" s="1" t="s">
        <v>162</v>
      </c>
      <c r="G1170" s="9">
        <v>6.33</v>
      </c>
      <c r="I1170" s="1">
        <v>46125</v>
      </c>
      <c r="J1170" s="1" t="s">
        <v>287</v>
      </c>
      <c r="K1170" s="3">
        <v>280922</v>
      </c>
    </row>
    <row r="1171" spans="1:11">
      <c r="A1171" s="1">
        <v>46121</v>
      </c>
      <c r="B1171" t="s">
        <v>1981</v>
      </c>
      <c r="C1171">
        <v>4.3220000000000001</v>
      </c>
      <c r="E1171" s="1">
        <v>45863</v>
      </c>
      <c r="F1171" s="1" t="s">
        <v>163</v>
      </c>
      <c r="G1171" s="9">
        <v>5.73</v>
      </c>
      <c r="I1171" s="1">
        <v>46125</v>
      </c>
      <c r="J1171" s="1" t="s">
        <v>288</v>
      </c>
      <c r="K1171" s="3">
        <v>-97346</v>
      </c>
    </row>
    <row r="1172" spans="1:11">
      <c r="A1172" s="1">
        <v>46121</v>
      </c>
      <c r="B1172" t="s">
        <v>1982</v>
      </c>
      <c r="C1172">
        <v>4.383</v>
      </c>
      <c r="E1172" s="1">
        <v>45862</v>
      </c>
      <c r="F1172" s="1" t="s">
        <v>160</v>
      </c>
      <c r="G1172" s="9">
        <v>6.02</v>
      </c>
      <c r="I1172" s="1">
        <v>46125</v>
      </c>
      <c r="J1172" s="1" t="s">
        <v>289</v>
      </c>
      <c r="K1172" s="3">
        <v>32</v>
      </c>
    </row>
    <row r="1173" spans="1:11">
      <c r="A1173" s="1">
        <v>46121</v>
      </c>
      <c r="B1173" t="s">
        <v>1983</v>
      </c>
      <c r="C1173">
        <v>4.4669999999999996</v>
      </c>
      <c r="E1173" s="1">
        <v>45862</v>
      </c>
      <c r="F1173" s="1" t="s">
        <v>161</v>
      </c>
      <c r="G1173" s="9">
        <v>5.92</v>
      </c>
      <c r="I1173" s="1">
        <v>46125</v>
      </c>
      <c r="J1173" s="1" t="s">
        <v>290</v>
      </c>
      <c r="K1173" s="3">
        <v>32</v>
      </c>
    </row>
    <row r="1174" spans="1:11">
      <c r="A1174" s="1">
        <v>46120</v>
      </c>
      <c r="B1174" t="s">
        <v>1974</v>
      </c>
      <c r="C1174">
        <v>3.2130000000000001</v>
      </c>
      <c r="E1174" s="1">
        <v>45862</v>
      </c>
      <c r="F1174" s="1" t="s">
        <v>162</v>
      </c>
      <c r="G1174" s="9">
        <v>5.86</v>
      </c>
      <c r="I1174" s="1">
        <v>46125</v>
      </c>
      <c r="J1174" s="1" t="s">
        <v>107</v>
      </c>
      <c r="K1174" s="3">
        <v>15299769811305</v>
      </c>
    </row>
    <row r="1175" spans="1:11">
      <c r="A1175" s="1">
        <v>46120</v>
      </c>
      <c r="B1175" t="s">
        <v>1975</v>
      </c>
      <c r="C1175">
        <v>3.3079999999999998</v>
      </c>
      <c r="E1175" s="1">
        <v>45862</v>
      </c>
      <c r="F1175" s="1" t="s">
        <v>163</v>
      </c>
      <c r="G1175" s="9">
        <v>5.42</v>
      </c>
      <c r="I1175" s="1">
        <v>46124</v>
      </c>
      <c r="J1175" s="1" t="s">
        <v>107</v>
      </c>
      <c r="K1175" s="3">
        <v>15825017561774</v>
      </c>
    </row>
    <row r="1176" spans="1:11">
      <c r="A1176" s="1">
        <v>46120</v>
      </c>
      <c r="B1176" t="s">
        <v>1976</v>
      </c>
      <c r="C1176">
        <v>3.3959999999999999</v>
      </c>
      <c r="E1176" s="1">
        <v>45861</v>
      </c>
      <c r="F1176" s="1" t="s">
        <v>160</v>
      </c>
      <c r="G1176" s="9">
        <v>5.34</v>
      </c>
      <c r="I1176" s="1">
        <v>46122</v>
      </c>
      <c r="J1176" s="1" t="s">
        <v>282</v>
      </c>
      <c r="K1176" s="3">
        <v>0</v>
      </c>
    </row>
    <row r="1177" spans="1:11">
      <c r="A1177" s="1">
        <v>46120</v>
      </c>
      <c r="B1177" t="s">
        <v>1977</v>
      </c>
      <c r="C1177">
        <v>3.73</v>
      </c>
      <c r="E1177" s="1">
        <v>45861</v>
      </c>
      <c r="F1177" s="1" t="s">
        <v>161</v>
      </c>
      <c r="G1177" s="9">
        <v>5.24</v>
      </c>
      <c r="I1177" s="1">
        <v>46122</v>
      </c>
      <c r="J1177" s="1" t="s">
        <v>283</v>
      </c>
      <c r="K1177" s="3">
        <v>7</v>
      </c>
    </row>
    <row r="1178" spans="1:11">
      <c r="A1178" s="1">
        <v>46120</v>
      </c>
      <c r="B1178" t="s">
        <v>1978</v>
      </c>
      <c r="C1178">
        <v>4.0640000000000001</v>
      </c>
      <c r="E1178" s="1">
        <v>45861</v>
      </c>
      <c r="F1178" s="1" t="s">
        <v>162</v>
      </c>
      <c r="G1178" s="9">
        <v>5.18</v>
      </c>
      <c r="I1178" s="1">
        <v>46122</v>
      </c>
      <c r="J1178" s="1" t="s">
        <v>284</v>
      </c>
      <c r="K1178" s="3">
        <v>25000</v>
      </c>
    </row>
    <row r="1179" spans="1:11">
      <c r="A1179" s="1">
        <v>46120</v>
      </c>
      <c r="B1179" t="s">
        <v>1979</v>
      </c>
      <c r="C1179">
        <v>4.1260000000000003</v>
      </c>
      <c r="E1179" s="1">
        <v>45861</v>
      </c>
      <c r="F1179" s="1" t="s">
        <v>163</v>
      </c>
      <c r="G1179" s="9">
        <v>5.04</v>
      </c>
      <c r="I1179" s="1">
        <v>46122</v>
      </c>
      <c r="J1179" s="1" t="s">
        <v>285</v>
      </c>
      <c r="K1179" s="3">
        <v>4.5</v>
      </c>
    </row>
    <row r="1180" spans="1:11">
      <c r="A1180" s="1">
        <v>46120</v>
      </c>
      <c r="B1180" t="s">
        <v>1980</v>
      </c>
      <c r="C1180">
        <v>4.2249999999999996</v>
      </c>
      <c r="E1180" s="1">
        <v>45860</v>
      </c>
      <c r="F1180" s="1" t="s">
        <v>160</v>
      </c>
      <c r="G1180" s="9">
        <v>5.08</v>
      </c>
      <c r="I1180" s="1">
        <v>46122</v>
      </c>
      <c r="J1180" s="1" t="s">
        <v>286</v>
      </c>
      <c r="K1180" s="3">
        <v>5000</v>
      </c>
    </row>
    <row r="1181" spans="1:11">
      <c r="A1181" s="1">
        <v>46120</v>
      </c>
      <c r="B1181" t="s">
        <v>1981</v>
      </c>
      <c r="C1181">
        <v>4.3220000000000001</v>
      </c>
      <c r="E1181" s="1">
        <v>45860</v>
      </c>
      <c r="F1181" s="1" t="s">
        <v>161</v>
      </c>
      <c r="G1181" s="9">
        <v>5.08</v>
      </c>
      <c r="I1181" s="1">
        <v>46122</v>
      </c>
      <c r="J1181" s="1" t="s">
        <v>287</v>
      </c>
      <c r="K1181" s="3">
        <v>288565</v>
      </c>
    </row>
    <row r="1182" spans="1:11">
      <c r="A1182" s="1">
        <v>46120</v>
      </c>
      <c r="B1182" t="s">
        <v>1982</v>
      </c>
      <c r="C1182">
        <v>4.383</v>
      </c>
      <c r="E1182" s="1">
        <v>45860</v>
      </c>
      <c r="F1182" s="1" t="s">
        <v>162</v>
      </c>
      <c r="G1182" s="9">
        <v>5.03</v>
      </c>
      <c r="I1182" s="1">
        <v>46122</v>
      </c>
      <c r="J1182" s="1" t="s">
        <v>288</v>
      </c>
      <c r="K1182" s="3">
        <v>-129345</v>
      </c>
    </row>
    <row r="1183" spans="1:11">
      <c r="A1183" s="1">
        <v>46120</v>
      </c>
      <c r="B1183" t="s">
        <v>1983</v>
      </c>
      <c r="C1183">
        <v>4.4669999999999996</v>
      </c>
      <c r="E1183" s="1">
        <v>45860</v>
      </c>
      <c r="F1183" s="1" t="s">
        <v>163</v>
      </c>
      <c r="G1183" s="9">
        <v>5</v>
      </c>
      <c r="I1183" s="1">
        <v>46122</v>
      </c>
      <c r="J1183" s="1" t="s">
        <v>289</v>
      </c>
      <c r="K1183" s="3">
        <v>33</v>
      </c>
    </row>
    <row r="1184" spans="1:11">
      <c r="A1184" s="1">
        <v>46119</v>
      </c>
      <c r="B1184" t="s">
        <v>1974</v>
      </c>
      <c r="C1184">
        <v>3.2130000000000001</v>
      </c>
      <c r="E1184" s="1">
        <v>45859</v>
      </c>
      <c r="F1184" s="1" t="s">
        <v>160</v>
      </c>
      <c r="G1184" s="9">
        <v>5</v>
      </c>
      <c r="I1184" s="1">
        <v>46122</v>
      </c>
      <c r="J1184" s="1" t="s">
        <v>290</v>
      </c>
      <c r="K1184" s="3">
        <v>33</v>
      </c>
    </row>
    <row r="1185" spans="1:11">
      <c r="A1185" s="1">
        <v>46119</v>
      </c>
      <c r="B1185" t="s">
        <v>1975</v>
      </c>
      <c r="C1185">
        <v>3.3079999999999998</v>
      </c>
      <c r="E1185" s="1">
        <v>45859</v>
      </c>
      <c r="F1185" s="1" t="s">
        <v>161</v>
      </c>
      <c r="G1185" s="9">
        <v>5</v>
      </c>
      <c r="I1185" s="1">
        <v>46121</v>
      </c>
      <c r="J1185" s="1" t="s">
        <v>107</v>
      </c>
      <c r="K1185" s="3">
        <v>16025942169497</v>
      </c>
    </row>
    <row r="1186" spans="1:11">
      <c r="A1186" s="1">
        <v>46119</v>
      </c>
      <c r="B1186" t="s">
        <v>1976</v>
      </c>
      <c r="C1186">
        <v>3.3959999999999999</v>
      </c>
      <c r="E1186" s="1">
        <v>45859</v>
      </c>
      <c r="F1186" s="1" t="s">
        <v>162</v>
      </c>
      <c r="G1186" s="9">
        <v>5</v>
      </c>
      <c r="I1186" s="1">
        <v>46121</v>
      </c>
      <c r="J1186" s="1" t="s">
        <v>282</v>
      </c>
      <c r="K1186" s="3">
        <v>0</v>
      </c>
    </row>
    <row r="1187" spans="1:11">
      <c r="A1187" s="1">
        <v>46119</v>
      </c>
      <c r="B1187" t="s">
        <v>1977</v>
      </c>
      <c r="C1187">
        <v>3.7320000000000002</v>
      </c>
      <c r="E1187" s="1">
        <v>45859</v>
      </c>
      <c r="F1187" s="1" t="s">
        <v>163</v>
      </c>
      <c r="G1187" s="9">
        <v>4.93</v>
      </c>
      <c r="I1187" s="1">
        <v>46121</v>
      </c>
      <c r="J1187" s="1" t="s">
        <v>283</v>
      </c>
      <c r="K1187" s="3">
        <v>7</v>
      </c>
    </row>
    <row r="1188" spans="1:11">
      <c r="A1188" s="1">
        <v>46119</v>
      </c>
      <c r="B1188" t="s">
        <v>1978</v>
      </c>
      <c r="C1188">
        <v>4.0679999999999996</v>
      </c>
      <c r="E1188" s="1">
        <v>45856</v>
      </c>
      <c r="F1188" s="1" t="s">
        <v>160</v>
      </c>
      <c r="G1188" s="9">
        <v>5.0199999999999996</v>
      </c>
      <c r="I1188" s="1">
        <v>46121</v>
      </c>
      <c r="J1188" s="1" t="s">
        <v>284</v>
      </c>
      <c r="K1188" s="3">
        <v>6000</v>
      </c>
    </row>
    <row r="1189" spans="1:11">
      <c r="A1189" s="1">
        <v>46119</v>
      </c>
      <c r="B1189" t="s">
        <v>1979</v>
      </c>
      <c r="C1189">
        <v>4.1219999999999999</v>
      </c>
      <c r="E1189" s="1">
        <v>45856</v>
      </c>
      <c r="F1189" s="1" t="s">
        <v>161</v>
      </c>
      <c r="G1189" s="9">
        <v>5.0599999999999996</v>
      </c>
      <c r="I1189" s="1">
        <v>46121</v>
      </c>
      <c r="J1189" s="1" t="s">
        <v>285</v>
      </c>
      <c r="K1189" s="3">
        <v>4.5</v>
      </c>
    </row>
    <row r="1190" spans="1:11">
      <c r="A1190" s="1">
        <v>46119</v>
      </c>
      <c r="B1190" t="s">
        <v>1980</v>
      </c>
      <c r="C1190">
        <v>4.2240000000000002</v>
      </c>
      <c r="E1190" s="1">
        <v>45856</v>
      </c>
      <c r="F1190" s="1" t="s">
        <v>162</v>
      </c>
      <c r="G1190" s="9">
        <v>5.0199999999999996</v>
      </c>
      <c r="I1190" s="1">
        <v>46121</v>
      </c>
      <c r="J1190" s="1" t="s">
        <v>286</v>
      </c>
      <c r="K1190" s="3">
        <v>3393</v>
      </c>
    </row>
    <row r="1191" spans="1:11">
      <c r="A1191" s="1">
        <v>46119</v>
      </c>
      <c r="B1191" t="s">
        <v>1981</v>
      </c>
      <c r="C1191">
        <v>4.3170000000000002</v>
      </c>
      <c r="E1191" s="1">
        <v>45856</v>
      </c>
      <c r="F1191" s="1" t="s">
        <v>163</v>
      </c>
      <c r="G1191" s="9">
        <v>4.96</v>
      </c>
      <c r="I1191" s="1">
        <v>46121</v>
      </c>
      <c r="J1191" s="1" t="s">
        <v>287</v>
      </c>
      <c r="K1191" s="3">
        <v>268565</v>
      </c>
    </row>
    <row r="1192" spans="1:11">
      <c r="A1192" s="1">
        <v>46119</v>
      </c>
      <c r="B1192" t="s">
        <v>1982</v>
      </c>
      <c r="C1192">
        <v>4.383</v>
      </c>
      <c r="E1192" s="1">
        <v>45855</v>
      </c>
      <c r="F1192" s="1" t="s">
        <v>160</v>
      </c>
      <c r="G1192" s="9">
        <v>5.23</v>
      </c>
      <c r="I1192" s="1">
        <v>46121</v>
      </c>
      <c r="J1192" s="1" t="s">
        <v>288</v>
      </c>
      <c r="K1192" s="3">
        <v>-132345</v>
      </c>
    </row>
    <row r="1193" spans="1:11">
      <c r="A1193" s="1">
        <v>46119</v>
      </c>
      <c r="B1193" t="s">
        <v>1983</v>
      </c>
      <c r="C1193">
        <v>4.4669999999999996</v>
      </c>
      <c r="E1193" s="1">
        <v>45855</v>
      </c>
      <c r="F1193" s="1" t="s">
        <v>161</v>
      </c>
      <c r="G1193" s="9">
        <v>5.13</v>
      </c>
      <c r="I1193" s="1">
        <v>46121</v>
      </c>
      <c r="J1193" s="1" t="s">
        <v>289</v>
      </c>
      <c r="K1193" s="3">
        <v>28</v>
      </c>
    </row>
    <row r="1194" spans="1:11">
      <c r="A1194" s="1">
        <v>46118</v>
      </c>
      <c r="B1194" t="s">
        <v>1974</v>
      </c>
      <c r="C1194">
        <v>3.2130000000000001</v>
      </c>
      <c r="E1194" s="1">
        <v>45855</v>
      </c>
      <c r="F1194" s="1" t="s">
        <v>162</v>
      </c>
      <c r="G1194" s="9">
        <v>5.07</v>
      </c>
      <c r="I1194" s="1">
        <v>46121</v>
      </c>
      <c r="J1194" s="1" t="s">
        <v>290</v>
      </c>
      <c r="K1194" s="3">
        <v>28</v>
      </c>
    </row>
    <row r="1195" spans="1:11">
      <c r="A1195" s="1">
        <v>46118</v>
      </c>
      <c r="B1195" t="s">
        <v>1975</v>
      </c>
      <c r="C1195">
        <v>3.3079999999999998</v>
      </c>
      <c r="E1195" s="1">
        <v>45855</v>
      </c>
      <c r="F1195" s="1" t="s">
        <v>163</v>
      </c>
      <c r="G1195" s="9">
        <v>4.97</v>
      </c>
      <c r="I1195" s="1">
        <v>46120</v>
      </c>
      <c r="J1195" s="1" t="s">
        <v>282</v>
      </c>
      <c r="K1195" s="3">
        <v>0</v>
      </c>
    </row>
    <row r="1196" spans="1:11">
      <c r="A1196" s="1">
        <v>46118</v>
      </c>
      <c r="B1196" t="s">
        <v>1976</v>
      </c>
      <c r="C1196">
        <v>3.3959999999999999</v>
      </c>
      <c r="E1196" s="1">
        <v>45854</v>
      </c>
      <c r="F1196" s="1" t="s">
        <v>160</v>
      </c>
      <c r="G1196" s="9">
        <v>5.24</v>
      </c>
      <c r="I1196" s="1">
        <v>46120</v>
      </c>
      <c r="J1196" s="1" t="s">
        <v>283</v>
      </c>
      <c r="K1196" s="3">
        <v>7</v>
      </c>
    </row>
    <row r="1197" spans="1:11">
      <c r="A1197" s="1">
        <v>46118</v>
      </c>
      <c r="B1197" t="s">
        <v>1977</v>
      </c>
      <c r="C1197">
        <v>3.73</v>
      </c>
      <c r="E1197" s="1">
        <v>45854</v>
      </c>
      <c r="F1197" s="1" t="s">
        <v>161</v>
      </c>
      <c r="G1197" s="9">
        <v>5.12</v>
      </c>
      <c r="I1197" s="1">
        <v>46120</v>
      </c>
      <c r="J1197" s="1" t="s">
        <v>284</v>
      </c>
      <c r="K1197" s="3">
        <v>4000</v>
      </c>
    </row>
    <row r="1198" spans="1:11">
      <c r="A1198" s="1">
        <v>46118</v>
      </c>
      <c r="B1198" t="s">
        <v>1978</v>
      </c>
      <c r="C1198">
        <v>4.0640000000000001</v>
      </c>
      <c r="E1198" s="1">
        <v>45854</v>
      </c>
      <c r="F1198" s="1" t="s">
        <v>162</v>
      </c>
      <c r="G1198" s="9">
        <v>5.0599999999999996</v>
      </c>
      <c r="I1198" s="1">
        <v>46120</v>
      </c>
      <c r="J1198" s="1" t="s">
        <v>285</v>
      </c>
      <c r="K1198" s="3">
        <v>4.5</v>
      </c>
    </row>
    <row r="1199" spans="1:11">
      <c r="A1199" s="1">
        <v>46118</v>
      </c>
      <c r="B1199" t="s">
        <v>1979</v>
      </c>
      <c r="C1199">
        <v>4.1219999999999999</v>
      </c>
      <c r="E1199" s="1">
        <v>45854</v>
      </c>
      <c r="F1199" s="1" t="s">
        <v>163</v>
      </c>
      <c r="G1199" s="9">
        <v>4.8600000000000003</v>
      </c>
      <c r="I1199" s="1">
        <v>46120</v>
      </c>
      <c r="J1199" s="1" t="s">
        <v>286</v>
      </c>
      <c r="K1199" s="3">
        <v>33000</v>
      </c>
    </row>
    <row r="1200" spans="1:11">
      <c r="A1200" s="1">
        <v>46118</v>
      </c>
      <c r="B1200" t="s">
        <v>1980</v>
      </c>
      <c r="C1200">
        <v>4.2249999999999996</v>
      </c>
      <c r="E1200" s="1">
        <v>45853</v>
      </c>
      <c r="F1200" s="1" t="s">
        <v>160</v>
      </c>
      <c r="G1200" s="9">
        <v>4.8</v>
      </c>
      <c r="I1200" s="1">
        <v>46120</v>
      </c>
      <c r="J1200" s="1" t="s">
        <v>287</v>
      </c>
      <c r="K1200" s="3">
        <v>265958</v>
      </c>
    </row>
    <row r="1201" spans="1:11">
      <c r="A1201" s="1">
        <v>46118</v>
      </c>
      <c r="B1201" t="s">
        <v>1981</v>
      </c>
      <c r="C1201">
        <v>4.3140000000000001</v>
      </c>
      <c r="E1201" s="1">
        <v>45853</v>
      </c>
      <c r="F1201" s="1" t="s">
        <v>161</v>
      </c>
      <c r="G1201" s="9">
        <v>4.83</v>
      </c>
      <c r="I1201" s="1">
        <v>46120</v>
      </c>
      <c r="J1201" s="1" t="s">
        <v>288</v>
      </c>
      <c r="K1201" s="3">
        <v>-113738</v>
      </c>
    </row>
    <row r="1202" spans="1:11">
      <c r="A1202" s="1">
        <v>46118</v>
      </c>
      <c r="B1202" t="s">
        <v>1982</v>
      </c>
      <c r="C1202">
        <v>4.383</v>
      </c>
      <c r="E1202" s="1">
        <v>45853</v>
      </c>
      <c r="F1202" s="1" t="s">
        <v>162</v>
      </c>
      <c r="G1202" s="9">
        <v>4.83</v>
      </c>
      <c r="I1202" s="1">
        <v>46120</v>
      </c>
      <c r="J1202" s="1" t="s">
        <v>289</v>
      </c>
      <c r="K1202" s="3">
        <v>26</v>
      </c>
    </row>
    <row r="1203" spans="1:11">
      <c r="A1203" s="1">
        <v>46118</v>
      </c>
      <c r="B1203" t="s">
        <v>1983</v>
      </c>
      <c r="C1203">
        <v>4.4669999999999996</v>
      </c>
      <c r="E1203" s="1">
        <v>45853</v>
      </c>
      <c r="F1203" s="1" t="s">
        <v>163</v>
      </c>
      <c r="G1203" s="9">
        <v>4.78</v>
      </c>
      <c r="I1203" s="1">
        <v>46120</v>
      </c>
      <c r="J1203" s="1" t="s">
        <v>290</v>
      </c>
      <c r="K1203" s="3">
        <v>25</v>
      </c>
    </row>
    <row r="1204" spans="1:11">
      <c r="A1204" s="1">
        <v>46115</v>
      </c>
      <c r="B1204" t="s">
        <v>1974</v>
      </c>
      <c r="C1204">
        <v>3.2040000000000002</v>
      </c>
      <c r="E1204" s="1">
        <v>45852</v>
      </c>
      <c r="F1204" s="1" t="s">
        <v>160</v>
      </c>
      <c r="G1204" s="9">
        <v>4.7300000000000004</v>
      </c>
      <c r="I1204" s="1">
        <v>46120</v>
      </c>
      <c r="J1204" s="1" t="s">
        <v>107</v>
      </c>
      <c r="K1204" s="3">
        <v>16438106529266</v>
      </c>
    </row>
    <row r="1205" spans="1:11">
      <c r="A1205" s="1">
        <v>46115</v>
      </c>
      <c r="B1205" t="s">
        <v>1975</v>
      </c>
      <c r="C1205">
        <v>3.3</v>
      </c>
      <c r="E1205" s="1">
        <v>45852</v>
      </c>
      <c r="F1205" s="1" t="s">
        <v>161</v>
      </c>
      <c r="G1205" s="9">
        <v>4.7</v>
      </c>
      <c r="I1205" s="1">
        <v>46119</v>
      </c>
      <c r="J1205" s="1" t="s">
        <v>107</v>
      </c>
      <c r="K1205" s="3">
        <v>17263521236547</v>
      </c>
    </row>
    <row r="1206" spans="1:11">
      <c r="A1206" s="1">
        <v>46115</v>
      </c>
      <c r="B1206" t="s">
        <v>1976</v>
      </c>
      <c r="C1206">
        <v>3.3879999999999999</v>
      </c>
      <c r="E1206" s="1">
        <v>45852</v>
      </c>
      <c r="F1206" s="1" t="s">
        <v>162</v>
      </c>
      <c r="G1206" s="9">
        <v>4.7300000000000004</v>
      </c>
      <c r="I1206" s="1">
        <v>46119</v>
      </c>
      <c r="J1206" s="1" t="s">
        <v>289</v>
      </c>
      <c r="K1206" s="3">
        <v>27</v>
      </c>
    </row>
    <row r="1207" spans="1:11">
      <c r="A1207" s="1">
        <v>46115</v>
      </c>
      <c r="B1207" t="s">
        <v>1977</v>
      </c>
      <c r="C1207">
        <v>3.726</v>
      </c>
      <c r="E1207" s="1">
        <v>45852</v>
      </c>
      <c r="F1207" s="1" t="s">
        <v>163</v>
      </c>
      <c r="G1207" s="9">
        <v>4.6500000000000004</v>
      </c>
      <c r="I1207" s="1">
        <v>46119</v>
      </c>
      <c r="J1207" s="1" t="s">
        <v>290</v>
      </c>
      <c r="K1207" s="3">
        <v>27</v>
      </c>
    </row>
    <row r="1208" spans="1:11">
      <c r="A1208" s="1">
        <v>46115</v>
      </c>
      <c r="B1208" t="s">
        <v>1978</v>
      </c>
      <c r="C1208">
        <v>4.0640000000000001</v>
      </c>
      <c r="E1208" s="1">
        <v>45849</v>
      </c>
      <c r="F1208" s="1" t="s">
        <v>160</v>
      </c>
      <c r="G1208" s="9">
        <v>4.7</v>
      </c>
      <c r="I1208" s="1">
        <v>46119</v>
      </c>
      <c r="J1208" s="1" t="s">
        <v>282</v>
      </c>
      <c r="K1208" s="3">
        <v>0</v>
      </c>
    </row>
    <row r="1209" spans="1:11">
      <c r="A1209" s="1">
        <v>46115</v>
      </c>
      <c r="B1209" t="s">
        <v>1979</v>
      </c>
      <c r="C1209">
        <v>4.1219999999999999</v>
      </c>
      <c r="E1209" s="1">
        <v>45849</v>
      </c>
      <c r="F1209" s="1" t="s">
        <v>161</v>
      </c>
      <c r="G1209" s="9">
        <v>4.7300000000000004</v>
      </c>
      <c r="I1209" s="1">
        <v>46119</v>
      </c>
      <c r="J1209" s="1" t="s">
        <v>283</v>
      </c>
      <c r="K1209" s="3">
        <v>7</v>
      </c>
    </row>
    <row r="1210" spans="1:11">
      <c r="A1210" s="1">
        <v>46115</v>
      </c>
      <c r="B1210" t="s">
        <v>1980</v>
      </c>
      <c r="C1210">
        <v>4.218</v>
      </c>
      <c r="E1210" s="1">
        <v>45849</v>
      </c>
      <c r="F1210" s="1" t="s">
        <v>162</v>
      </c>
      <c r="G1210" s="9">
        <v>4.7300000000000004</v>
      </c>
      <c r="I1210" s="1">
        <v>46119</v>
      </c>
      <c r="J1210" s="1" t="s">
        <v>284</v>
      </c>
      <c r="K1210" s="3">
        <v>5000</v>
      </c>
    </row>
    <row r="1211" spans="1:11">
      <c r="A1211" s="1">
        <v>46115</v>
      </c>
      <c r="B1211" t="s">
        <v>1981</v>
      </c>
      <c r="C1211">
        <v>4.3049999999999997</v>
      </c>
      <c r="E1211" s="1">
        <v>45849</v>
      </c>
      <c r="F1211" s="1" t="s">
        <v>163</v>
      </c>
      <c r="G1211" s="9">
        <v>4.63</v>
      </c>
      <c r="I1211" s="1">
        <v>46119</v>
      </c>
      <c r="J1211" s="1" t="s">
        <v>285</v>
      </c>
      <c r="K1211" s="3">
        <v>4.5</v>
      </c>
    </row>
    <row r="1212" spans="1:11">
      <c r="A1212" s="1">
        <v>46115</v>
      </c>
      <c r="B1212" t="s">
        <v>1982</v>
      </c>
      <c r="C1212">
        <v>4.383</v>
      </c>
      <c r="E1212" s="1">
        <v>45848</v>
      </c>
      <c r="F1212" s="1" t="s">
        <v>160</v>
      </c>
      <c r="G1212" s="9">
        <v>4.72</v>
      </c>
      <c r="I1212" s="1">
        <v>46119</v>
      </c>
      <c r="J1212" s="1" t="s">
        <v>286</v>
      </c>
      <c r="K1212" s="3">
        <v>50478</v>
      </c>
    </row>
    <row r="1213" spans="1:11">
      <c r="A1213" s="1">
        <v>46115</v>
      </c>
      <c r="B1213" t="s">
        <v>1983</v>
      </c>
      <c r="C1213">
        <v>4.4669999999999996</v>
      </c>
      <c r="E1213" s="1">
        <v>45848</v>
      </c>
      <c r="F1213" s="1" t="s">
        <v>161</v>
      </c>
      <c r="G1213" s="9">
        <v>4.7300000000000004</v>
      </c>
      <c r="I1213" s="1">
        <v>46119</v>
      </c>
      <c r="J1213" s="1" t="s">
        <v>287</v>
      </c>
      <c r="K1213" s="3">
        <v>294958</v>
      </c>
    </row>
    <row r="1214" spans="1:11">
      <c r="A1214" s="1">
        <v>46114</v>
      </c>
      <c r="B1214" t="s">
        <v>1974</v>
      </c>
      <c r="C1214">
        <v>3.2040000000000002</v>
      </c>
      <c r="E1214" s="1">
        <v>45848</v>
      </c>
      <c r="F1214" s="1" t="s">
        <v>162</v>
      </c>
      <c r="G1214" s="9">
        <v>4.72</v>
      </c>
      <c r="I1214" s="1">
        <v>46119</v>
      </c>
      <c r="J1214" s="1" t="s">
        <v>288</v>
      </c>
      <c r="K1214" s="3">
        <v>-114738</v>
      </c>
    </row>
    <row r="1215" spans="1:11">
      <c r="A1215" s="1">
        <v>46114</v>
      </c>
      <c r="B1215" t="s">
        <v>1975</v>
      </c>
      <c r="C1215">
        <v>3.3</v>
      </c>
      <c r="E1215" s="1">
        <v>45848</v>
      </c>
      <c r="F1215" s="1" t="s">
        <v>163</v>
      </c>
      <c r="G1215" s="9">
        <v>4.63</v>
      </c>
      <c r="I1215" s="1">
        <v>46118</v>
      </c>
      <c r="J1215" s="1" t="s">
        <v>107</v>
      </c>
      <c r="K1215" s="3">
        <v>18621114229776</v>
      </c>
    </row>
    <row r="1216" spans="1:11">
      <c r="A1216" s="1">
        <v>46114</v>
      </c>
      <c r="B1216" t="s">
        <v>1976</v>
      </c>
      <c r="C1216">
        <v>3.3879999999999999</v>
      </c>
      <c r="E1216" s="1">
        <v>45847</v>
      </c>
      <c r="F1216" s="1" t="s">
        <v>160</v>
      </c>
      <c r="G1216" s="9">
        <v>4.7</v>
      </c>
      <c r="I1216" s="1">
        <v>46118</v>
      </c>
      <c r="J1216" s="1" t="s">
        <v>282</v>
      </c>
      <c r="K1216" s="3">
        <v>0</v>
      </c>
    </row>
    <row r="1217" spans="1:11">
      <c r="A1217" s="1">
        <v>46114</v>
      </c>
      <c r="B1217" t="s">
        <v>1977</v>
      </c>
      <c r="C1217">
        <v>3.726</v>
      </c>
      <c r="E1217" s="1">
        <v>45847</v>
      </c>
      <c r="F1217" s="1" t="s">
        <v>161</v>
      </c>
      <c r="G1217" s="9">
        <v>4.72</v>
      </c>
      <c r="I1217" s="1">
        <v>46118</v>
      </c>
      <c r="J1217" s="1" t="s">
        <v>283</v>
      </c>
      <c r="K1217" s="3">
        <v>7</v>
      </c>
    </row>
    <row r="1218" spans="1:11">
      <c r="A1218" s="1">
        <v>46114</v>
      </c>
      <c r="B1218" t="s">
        <v>1978</v>
      </c>
      <c r="C1218">
        <v>4.0640000000000001</v>
      </c>
      <c r="E1218" s="1">
        <v>45847</v>
      </c>
      <c r="F1218" s="1" t="s">
        <v>162</v>
      </c>
      <c r="G1218" s="9">
        <v>4.7</v>
      </c>
      <c r="I1218" s="1">
        <v>46118</v>
      </c>
      <c r="J1218" s="1" t="s">
        <v>284</v>
      </c>
      <c r="K1218" s="3">
        <v>30369</v>
      </c>
    </row>
    <row r="1219" spans="1:11">
      <c r="A1219" s="1">
        <v>46114</v>
      </c>
      <c r="B1219" t="s">
        <v>1979</v>
      </c>
      <c r="C1219">
        <v>4.117</v>
      </c>
      <c r="E1219" s="1">
        <v>45847</v>
      </c>
      <c r="F1219" s="1" t="s">
        <v>163</v>
      </c>
      <c r="G1219" s="9">
        <v>4.67</v>
      </c>
      <c r="I1219" s="1">
        <v>46118</v>
      </c>
      <c r="J1219" s="1" t="s">
        <v>285</v>
      </c>
      <c r="K1219" s="3">
        <v>4.5</v>
      </c>
    </row>
    <row r="1220" spans="1:11">
      <c r="A1220" s="1">
        <v>46114</v>
      </c>
      <c r="B1220" t="s">
        <v>1980</v>
      </c>
      <c r="C1220">
        <v>4.2130000000000001</v>
      </c>
      <c r="E1220" s="1">
        <v>45846</v>
      </c>
      <c r="F1220" s="1" t="s">
        <v>160</v>
      </c>
      <c r="G1220" s="9">
        <v>4.57</v>
      </c>
      <c r="I1220" s="1">
        <v>46118</v>
      </c>
      <c r="J1220" s="1" t="s">
        <v>286</v>
      </c>
      <c r="K1220" s="3">
        <v>44757</v>
      </c>
    </row>
    <row r="1221" spans="1:11">
      <c r="A1221" s="1">
        <v>46114</v>
      </c>
      <c r="B1221" t="s">
        <v>1981</v>
      </c>
      <c r="C1221">
        <v>4.3049999999999997</v>
      </c>
      <c r="E1221" s="1">
        <v>45846</v>
      </c>
      <c r="F1221" s="1" t="s">
        <v>161</v>
      </c>
      <c r="G1221" s="9">
        <v>4.5999999999999996</v>
      </c>
      <c r="I1221" s="1">
        <v>46118</v>
      </c>
      <c r="J1221" s="1" t="s">
        <v>287</v>
      </c>
      <c r="K1221" s="3">
        <v>340436</v>
      </c>
    </row>
    <row r="1222" spans="1:11">
      <c r="A1222" s="1">
        <v>46114</v>
      </c>
      <c r="B1222" t="s">
        <v>1982</v>
      </c>
      <c r="C1222">
        <v>4.383</v>
      </c>
      <c r="E1222" s="1">
        <v>45846</v>
      </c>
      <c r="F1222" s="1" t="s">
        <v>162</v>
      </c>
      <c r="G1222" s="9">
        <v>4.63</v>
      </c>
      <c r="I1222" s="1">
        <v>46118</v>
      </c>
      <c r="J1222" s="1" t="s">
        <v>288</v>
      </c>
      <c r="K1222" s="3">
        <v>-133216</v>
      </c>
    </row>
    <row r="1223" spans="1:11">
      <c r="A1223" s="1">
        <v>46114</v>
      </c>
      <c r="B1223" t="s">
        <v>1983</v>
      </c>
      <c r="C1223">
        <v>4.4669999999999996</v>
      </c>
      <c r="E1223" s="1">
        <v>45846</v>
      </c>
      <c r="F1223" s="1" t="s">
        <v>163</v>
      </c>
      <c r="G1223" s="9">
        <v>4.62</v>
      </c>
      <c r="I1223" s="1">
        <v>46118</v>
      </c>
      <c r="J1223" s="1" t="s">
        <v>289</v>
      </c>
      <c r="K1223" s="3">
        <v>26</v>
      </c>
    </row>
    <row r="1224" spans="1:11">
      <c r="A1224" s="1">
        <v>46113</v>
      </c>
      <c r="B1224" t="s">
        <v>1974</v>
      </c>
      <c r="C1224">
        <v>3.2040000000000002</v>
      </c>
      <c r="E1224" s="1">
        <v>45845</v>
      </c>
      <c r="F1224" s="1" t="s">
        <v>160</v>
      </c>
      <c r="G1224" s="9">
        <v>4.38</v>
      </c>
      <c r="I1224" s="1">
        <v>46118</v>
      </c>
      <c r="J1224" s="1" t="s">
        <v>290</v>
      </c>
      <c r="K1224" s="3">
        <v>26</v>
      </c>
    </row>
    <row r="1225" spans="1:11">
      <c r="A1225" s="1">
        <v>46113</v>
      </c>
      <c r="B1225" t="s">
        <v>1975</v>
      </c>
      <c r="C1225">
        <v>3.3</v>
      </c>
      <c r="E1225" s="1">
        <v>45845</v>
      </c>
      <c r="F1225" s="1" t="s">
        <v>161</v>
      </c>
      <c r="G1225" s="9">
        <v>4.46</v>
      </c>
      <c r="I1225" s="1">
        <v>46117</v>
      </c>
      <c r="J1225" s="1" t="s">
        <v>107</v>
      </c>
      <c r="K1225" s="3">
        <v>18323481288283</v>
      </c>
    </row>
    <row r="1226" spans="1:11">
      <c r="A1226" s="1">
        <v>46113</v>
      </c>
      <c r="B1226" t="s">
        <v>1976</v>
      </c>
      <c r="C1226">
        <v>3.3879999999999999</v>
      </c>
      <c r="E1226" s="1">
        <v>45845</v>
      </c>
      <c r="F1226" s="1" t="s">
        <v>162</v>
      </c>
      <c r="G1226" s="9">
        <v>4.4800000000000004</v>
      </c>
      <c r="I1226" s="1">
        <v>46115</v>
      </c>
      <c r="J1226" s="1" t="s">
        <v>282</v>
      </c>
      <c r="K1226" s="3">
        <v>0</v>
      </c>
    </row>
    <row r="1227" spans="1:11">
      <c r="A1227" s="1">
        <v>46113</v>
      </c>
      <c r="B1227" t="s">
        <v>1977</v>
      </c>
      <c r="C1227">
        <v>3.722</v>
      </c>
      <c r="E1227" s="1">
        <v>45845</v>
      </c>
      <c r="F1227" s="1" t="s">
        <v>163</v>
      </c>
      <c r="G1227" s="9">
        <v>4.54</v>
      </c>
      <c r="I1227" s="1">
        <v>46115</v>
      </c>
      <c r="J1227" s="1" t="s">
        <v>283</v>
      </c>
      <c r="K1227" s="3">
        <v>7</v>
      </c>
    </row>
    <row r="1228" spans="1:11">
      <c r="A1228" s="1">
        <v>46113</v>
      </c>
      <c r="B1228" t="s">
        <v>1978</v>
      </c>
      <c r="C1228">
        <v>4.0570000000000004</v>
      </c>
      <c r="E1228" s="1">
        <v>45842</v>
      </c>
      <c r="F1228" s="1" t="s">
        <v>160</v>
      </c>
      <c r="G1228" s="9">
        <v>4.18</v>
      </c>
      <c r="I1228" s="1">
        <v>46115</v>
      </c>
      <c r="J1228" s="1" t="s">
        <v>284</v>
      </c>
      <c r="K1228" s="3">
        <v>3000</v>
      </c>
    </row>
    <row r="1229" spans="1:11">
      <c r="A1229" s="1">
        <v>46113</v>
      </c>
      <c r="B1229" t="s">
        <v>1979</v>
      </c>
      <c r="C1229">
        <v>4.117</v>
      </c>
      <c r="E1229" s="1">
        <v>45842</v>
      </c>
      <c r="F1229" s="1" t="s">
        <v>161</v>
      </c>
      <c r="G1229" s="9">
        <v>4.33</v>
      </c>
      <c r="I1229" s="1">
        <v>46115</v>
      </c>
      <c r="J1229" s="1" t="s">
        <v>285</v>
      </c>
      <c r="K1229" s="3">
        <v>4.5</v>
      </c>
    </row>
    <row r="1230" spans="1:11">
      <c r="A1230" s="1">
        <v>46113</v>
      </c>
      <c r="B1230" t="s">
        <v>1980</v>
      </c>
      <c r="C1230">
        <v>4.2160000000000002</v>
      </c>
      <c r="E1230" s="1">
        <v>45842</v>
      </c>
      <c r="F1230" s="1" t="s">
        <v>162</v>
      </c>
      <c r="G1230" s="9">
        <v>4.4000000000000004</v>
      </c>
      <c r="I1230" s="1">
        <v>46115</v>
      </c>
      <c r="J1230" s="1" t="s">
        <v>286</v>
      </c>
      <c r="K1230" s="3">
        <v>8517</v>
      </c>
    </row>
    <row r="1231" spans="1:11">
      <c r="A1231" s="1">
        <v>46113</v>
      </c>
      <c r="B1231" t="s">
        <v>1981</v>
      </c>
      <c r="C1231">
        <v>4.3049999999999997</v>
      </c>
      <c r="E1231" s="1">
        <v>45842</v>
      </c>
      <c r="F1231" s="1" t="s">
        <v>163</v>
      </c>
      <c r="G1231" s="9">
        <v>4.5</v>
      </c>
      <c r="I1231" s="1">
        <v>46115</v>
      </c>
      <c r="J1231" s="1" t="s">
        <v>287</v>
      </c>
      <c r="K1231" s="3">
        <v>354824</v>
      </c>
    </row>
    <row r="1232" spans="1:11">
      <c r="A1232" s="1">
        <v>46113</v>
      </c>
      <c r="B1232" t="s">
        <v>1982</v>
      </c>
      <c r="C1232">
        <v>4.383</v>
      </c>
      <c r="E1232" s="1">
        <v>45841</v>
      </c>
      <c r="F1232" s="1" t="s">
        <v>161</v>
      </c>
      <c r="G1232" s="9">
        <v>4.18</v>
      </c>
      <c r="I1232" s="1">
        <v>46115</v>
      </c>
      <c r="J1232" s="1" t="s">
        <v>288</v>
      </c>
      <c r="K1232" s="3">
        <v>-136628</v>
      </c>
    </row>
    <row r="1233" spans="1:11">
      <c r="A1233" s="1">
        <v>46113</v>
      </c>
      <c r="B1233" t="s">
        <v>1983</v>
      </c>
      <c r="C1233">
        <v>4.4669999999999996</v>
      </c>
      <c r="E1233" s="1">
        <v>45841</v>
      </c>
      <c r="F1233" s="1" t="s">
        <v>162</v>
      </c>
      <c r="G1233" s="9">
        <v>4.25</v>
      </c>
      <c r="I1233" s="1">
        <v>46115</v>
      </c>
      <c r="J1233" s="1" t="s">
        <v>289</v>
      </c>
      <c r="K1233" s="3">
        <v>17</v>
      </c>
    </row>
    <row r="1234" spans="1:11">
      <c r="A1234" s="1">
        <v>46112</v>
      </c>
      <c r="B1234" t="s">
        <v>1974</v>
      </c>
      <c r="C1234">
        <v>3.2040000000000002</v>
      </c>
      <c r="E1234" s="1">
        <v>45841</v>
      </c>
      <c r="F1234" s="1" t="s">
        <v>163</v>
      </c>
      <c r="G1234" s="9">
        <v>4.4800000000000004</v>
      </c>
      <c r="I1234" s="1">
        <v>46115</v>
      </c>
      <c r="J1234" s="1" t="s">
        <v>290</v>
      </c>
      <c r="K1234" s="3">
        <v>17</v>
      </c>
    </row>
    <row r="1235" spans="1:11">
      <c r="A1235" s="1">
        <v>46112</v>
      </c>
      <c r="B1235" t="s">
        <v>1975</v>
      </c>
      <c r="C1235">
        <v>3.3</v>
      </c>
      <c r="E1235" s="1">
        <v>45841</v>
      </c>
      <c r="F1235" s="1" t="s">
        <v>160</v>
      </c>
      <c r="G1235" s="9">
        <v>4</v>
      </c>
      <c r="I1235" s="1">
        <v>46114</v>
      </c>
      <c r="J1235" s="1" t="s">
        <v>282</v>
      </c>
      <c r="K1235" s="3">
        <v>0</v>
      </c>
    </row>
    <row r="1236" spans="1:11">
      <c r="A1236" s="1">
        <v>46112</v>
      </c>
      <c r="B1236" t="s">
        <v>1976</v>
      </c>
      <c r="C1236">
        <v>3.3879999999999999</v>
      </c>
      <c r="E1236" s="1">
        <v>45840</v>
      </c>
      <c r="F1236" s="1" t="s">
        <v>160</v>
      </c>
      <c r="G1236" s="9">
        <v>3.83</v>
      </c>
      <c r="I1236" s="1">
        <v>46114</v>
      </c>
      <c r="J1236" s="1" t="s">
        <v>283</v>
      </c>
      <c r="K1236" s="3">
        <v>7</v>
      </c>
    </row>
    <row r="1237" spans="1:11">
      <c r="A1237" s="1">
        <v>46112</v>
      </c>
      <c r="B1237" t="s">
        <v>1977</v>
      </c>
      <c r="C1237">
        <v>3.7240000000000002</v>
      </c>
      <c r="E1237" s="1">
        <v>45840</v>
      </c>
      <c r="F1237" s="1" t="s">
        <v>161</v>
      </c>
      <c r="G1237" s="9">
        <v>4.08</v>
      </c>
      <c r="I1237" s="1">
        <v>46114</v>
      </c>
      <c r="J1237" s="1" t="s">
        <v>284</v>
      </c>
      <c r="K1237" s="3">
        <v>32781</v>
      </c>
    </row>
    <row r="1238" spans="1:11">
      <c r="A1238" s="1">
        <v>46112</v>
      </c>
      <c r="B1238" t="s">
        <v>1978</v>
      </c>
      <c r="C1238">
        <v>4.0609999999999999</v>
      </c>
      <c r="E1238" s="1">
        <v>45840</v>
      </c>
      <c r="F1238" s="1" t="s">
        <v>162</v>
      </c>
      <c r="G1238" s="9">
        <v>4.22</v>
      </c>
      <c r="I1238" s="1">
        <v>46114</v>
      </c>
      <c r="J1238" s="1" t="s">
        <v>285</v>
      </c>
      <c r="K1238" s="3">
        <v>4.5</v>
      </c>
    </row>
    <row r="1239" spans="1:11">
      <c r="A1239" s="1">
        <v>46112</v>
      </c>
      <c r="B1239" t="s">
        <v>1979</v>
      </c>
      <c r="C1239">
        <v>4.117</v>
      </c>
      <c r="E1239" s="1">
        <v>45840</v>
      </c>
      <c r="F1239" s="1" t="s">
        <v>163</v>
      </c>
      <c r="G1239" s="9">
        <v>4.47</v>
      </c>
      <c r="I1239" s="1">
        <v>46114</v>
      </c>
      <c r="J1239" s="1" t="s">
        <v>286</v>
      </c>
      <c r="K1239" s="3">
        <v>7360</v>
      </c>
    </row>
    <row r="1240" spans="1:11">
      <c r="A1240" s="1">
        <v>46112</v>
      </c>
      <c r="B1240" t="s">
        <v>1980</v>
      </c>
      <c r="C1240">
        <v>4.2130000000000001</v>
      </c>
      <c r="E1240" s="1">
        <v>45839</v>
      </c>
      <c r="F1240" s="1" t="s">
        <v>160</v>
      </c>
      <c r="G1240" s="9">
        <v>4.72</v>
      </c>
      <c r="I1240" s="1">
        <v>46114</v>
      </c>
      <c r="J1240" s="1" t="s">
        <v>287</v>
      </c>
      <c r="K1240" s="3">
        <v>360341</v>
      </c>
    </row>
    <row r="1241" spans="1:11">
      <c r="A1241" s="1">
        <v>46112</v>
      </c>
      <c r="B1241" t="s">
        <v>1981</v>
      </c>
      <c r="C1241">
        <v>4.3049999999999997</v>
      </c>
      <c r="E1241" s="1">
        <v>45839</v>
      </c>
      <c r="F1241" s="1" t="s">
        <v>161</v>
      </c>
      <c r="G1241" s="9">
        <v>4.82</v>
      </c>
      <c r="I1241" s="1">
        <v>46114</v>
      </c>
      <c r="J1241" s="1" t="s">
        <v>288</v>
      </c>
      <c r="K1241" s="3">
        <v>-140145</v>
      </c>
    </row>
    <row r="1242" spans="1:11">
      <c r="A1242" s="1">
        <v>46112</v>
      </c>
      <c r="B1242" t="s">
        <v>1982</v>
      </c>
      <c r="C1242">
        <v>4.383</v>
      </c>
      <c r="E1242" s="1">
        <v>45839</v>
      </c>
      <c r="F1242" s="1" t="s">
        <v>162</v>
      </c>
      <c r="G1242" s="9">
        <v>4.74</v>
      </c>
      <c r="I1242" s="1">
        <v>46114</v>
      </c>
      <c r="J1242" s="1" t="s">
        <v>289</v>
      </c>
      <c r="K1242" s="3">
        <v>25</v>
      </c>
    </row>
    <row r="1243" spans="1:11">
      <c r="A1243" s="1">
        <v>46112</v>
      </c>
      <c r="B1243" t="s">
        <v>1983</v>
      </c>
      <c r="C1243">
        <v>4.4669999999999996</v>
      </c>
      <c r="E1243" s="1">
        <v>45839</v>
      </c>
      <c r="F1243" s="1" t="s">
        <v>163</v>
      </c>
      <c r="G1243" s="9">
        <v>4.78</v>
      </c>
      <c r="I1243" s="1">
        <v>46114</v>
      </c>
      <c r="J1243" s="1" t="s">
        <v>290</v>
      </c>
      <c r="K1243" s="3">
        <v>25</v>
      </c>
    </row>
    <row r="1244" spans="1:11">
      <c r="A1244" s="1">
        <v>46111</v>
      </c>
      <c r="B1244" t="s">
        <v>1974</v>
      </c>
      <c r="C1244">
        <v>3.2040000000000002</v>
      </c>
      <c r="E1244" s="1">
        <v>45838</v>
      </c>
      <c r="F1244" s="1" t="s">
        <v>160</v>
      </c>
      <c r="G1244" s="9">
        <v>7.6</v>
      </c>
      <c r="I1244" s="1">
        <v>46114</v>
      </c>
      <c r="J1244" s="1" t="s">
        <v>107</v>
      </c>
      <c r="K1244" s="3">
        <v>18605615543796</v>
      </c>
    </row>
    <row r="1245" spans="1:11">
      <c r="A1245" s="1">
        <v>46111</v>
      </c>
      <c r="B1245" t="s">
        <v>1975</v>
      </c>
      <c r="C1245">
        <v>3.3</v>
      </c>
      <c r="E1245" s="1">
        <v>45838</v>
      </c>
      <c r="F1245" s="1" t="s">
        <v>161</v>
      </c>
      <c r="G1245" s="9">
        <v>6.5</v>
      </c>
      <c r="I1245" s="1">
        <v>46113</v>
      </c>
      <c r="J1245" s="1" t="s">
        <v>107</v>
      </c>
      <c r="K1245" s="3">
        <v>18434714899744</v>
      </c>
    </row>
    <row r="1246" spans="1:11">
      <c r="A1246" s="1">
        <v>46111</v>
      </c>
      <c r="B1246" t="s">
        <v>1976</v>
      </c>
      <c r="C1246">
        <v>3.3879999999999999</v>
      </c>
      <c r="E1246" s="1">
        <v>45838</v>
      </c>
      <c r="F1246" s="1" t="s">
        <v>162</v>
      </c>
      <c r="G1246" s="9">
        <v>5.72</v>
      </c>
      <c r="I1246" s="1">
        <v>46113</v>
      </c>
      <c r="J1246" s="1" t="s">
        <v>282</v>
      </c>
      <c r="K1246" s="3">
        <v>25000</v>
      </c>
    </row>
    <row r="1247" spans="1:11">
      <c r="A1247" s="1">
        <v>46111</v>
      </c>
      <c r="B1247" t="s">
        <v>1977</v>
      </c>
      <c r="C1247">
        <v>3.726</v>
      </c>
      <c r="E1247" s="1">
        <v>45838</v>
      </c>
      <c r="F1247" s="1" t="s">
        <v>163</v>
      </c>
      <c r="G1247" s="9">
        <v>4.9800000000000004</v>
      </c>
      <c r="I1247" s="1">
        <v>46113</v>
      </c>
      <c r="J1247" s="1" t="s">
        <v>283</v>
      </c>
      <c r="K1247" s="3">
        <v>7</v>
      </c>
    </row>
    <row r="1248" spans="1:11">
      <c r="A1248" s="1">
        <v>46111</v>
      </c>
      <c r="B1248" t="s">
        <v>1978</v>
      </c>
      <c r="C1248">
        <v>4.0640000000000001</v>
      </c>
      <c r="E1248" s="1">
        <v>45835</v>
      </c>
      <c r="F1248" s="1" t="s">
        <v>160</v>
      </c>
      <c r="G1248" s="9">
        <v>4.83</v>
      </c>
      <c r="I1248" s="1">
        <v>46113</v>
      </c>
      <c r="J1248" s="1" t="s">
        <v>284</v>
      </c>
      <c r="K1248" s="3">
        <v>65000</v>
      </c>
    </row>
    <row r="1249" spans="1:11">
      <c r="A1249" s="1">
        <v>46111</v>
      </c>
      <c r="B1249" t="s">
        <v>1979</v>
      </c>
      <c r="C1249">
        <v>4.117</v>
      </c>
      <c r="E1249" s="1">
        <v>45835</v>
      </c>
      <c r="F1249" s="1" t="s">
        <v>161</v>
      </c>
      <c r="G1249" s="9">
        <v>5.05</v>
      </c>
      <c r="I1249" s="1">
        <v>46113</v>
      </c>
      <c r="J1249" s="1" t="s">
        <v>285</v>
      </c>
      <c r="K1249" s="3">
        <v>4.5</v>
      </c>
    </row>
    <row r="1250" spans="1:11">
      <c r="A1250" s="1">
        <v>46111</v>
      </c>
      <c r="B1250" t="s">
        <v>1980</v>
      </c>
      <c r="C1250">
        <v>4.2080000000000002</v>
      </c>
      <c r="E1250" s="1">
        <v>45835</v>
      </c>
      <c r="F1250" s="1" t="s">
        <v>162</v>
      </c>
      <c r="G1250" s="9">
        <v>4.9800000000000004</v>
      </c>
      <c r="I1250" s="1">
        <v>46113</v>
      </c>
      <c r="J1250" s="1" t="s">
        <v>286</v>
      </c>
      <c r="K1250" s="3">
        <v>20170</v>
      </c>
    </row>
    <row r="1251" spans="1:11">
      <c r="A1251" s="1">
        <v>46111</v>
      </c>
      <c r="B1251" t="s">
        <v>1981</v>
      </c>
      <c r="C1251">
        <v>4.3049999999999997</v>
      </c>
      <c r="E1251" s="1">
        <v>45835</v>
      </c>
      <c r="F1251" s="1" t="s">
        <v>163</v>
      </c>
      <c r="G1251" s="9">
        <v>4.8</v>
      </c>
      <c r="I1251" s="1">
        <v>46113</v>
      </c>
      <c r="J1251" s="1" t="s">
        <v>287</v>
      </c>
      <c r="K1251" s="3">
        <v>334920</v>
      </c>
    </row>
    <row r="1252" spans="1:11">
      <c r="A1252" s="1">
        <v>46111</v>
      </c>
      <c r="B1252" t="s">
        <v>1982</v>
      </c>
      <c r="C1252">
        <v>4.383</v>
      </c>
      <c r="E1252" s="1">
        <v>45834</v>
      </c>
      <c r="F1252" s="1" t="s">
        <v>160</v>
      </c>
      <c r="G1252" s="9">
        <v>4.43</v>
      </c>
      <c r="I1252" s="1">
        <v>46113</v>
      </c>
      <c r="J1252" s="1" t="s">
        <v>288</v>
      </c>
      <c r="K1252" s="3">
        <v>-144112</v>
      </c>
    </row>
    <row r="1253" spans="1:11">
      <c r="A1253" s="1">
        <v>46111</v>
      </c>
      <c r="B1253" t="s">
        <v>1983</v>
      </c>
      <c r="C1253">
        <v>4.4669999999999996</v>
      </c>
      <c r="E1253" s="1">
        <v>45834</v>
      </c>
      <c r="F1253" s="1" t="s">
        <v>161</v>
      </c>
      <c r="G1253" s="9">
        <v>4.55</v>
      </c>
      <c r="I1253" s="1">
        <v>46113</v>
      </c>
      <c r="J1253" s="1" t="s">
        <v>289</v>
      </c>
      <c r="K1253" s="3">
        <v>46</v>
      </c>
    </row>
    <row r="1254" spans="1:11">
      <c r="A1254" s="1">
        <v>46108</v>
      </c>
      <c r="B1254" t="s">
        <v>1974</v>
      </c>
      <c r="C1254">
        <v>3.2040000000000002</v>
      </c>
      <c r="E1254" s="1">
        <v>45834</v>
      </c>
      <c r="F1254" s="1" t="s">
        <v>162</v>
      </c>
      <c r="G1254" s="9">
        <v>4.5999999999999996</v>
      </c>
      <c r="I1254" s="1">
        <v>46113</v>
      </c>
      <c r="J1254" s="1" t="s">
        <v>290</v>
      </c>
      <c r="K1254" s="3">
        <v>46</v>
      </c>
    </row>
    <row r="1255" spans="1:11">
      <c r="A1255" s="1">
        <v>46108</v>
      </c>
      <c r="B1255" t="s">
        <v>1975</v>
      </c>
      <c r="C1255">
        <v>3.3</v>
      </c>
      <c r="E1255" s="1">
        <v>45834</v>
      </c>
      <c r="F1255" s="1" t="s">
        <v>163</v>
      </c>
      <c r="G1255" s="9">
        <v>4.68</v>
      </c>
      <c r="I1255" s="1">
        <v>46112</v>
      </c>
      <c r="J1255" s="1" t="s">
        <v>282</v>
      </c>
      <c r="K1255" s="3">
        <v>20000</v>
      </c>
    </row>
    <row r="1256" spans="1:11">
      <c r="A1256" s="1">
        <v>46108</v>
      </c>
      <c r="B1256" t="s">
        <v>1976</v>
      </c>
      <c r="C1256">
        <v>3.3879999999999999</v>
      </c>
      <c r="E1256" s="1">
        <v>45833</v>
      </c>
      <c r="F1256" s="1" t="s">
        <v>160</v>
      </c>
      <c r="G1256" s="9">
        <v>3.37</v>
      </c>
      <c r="I1256" s="1">
        <v>46112</v>
      </c>
      <c r="J1256" s="1" t="s">
        <v>283</v>
      </c>
      <c r="K1256" s="3">
        <v>7</v>
      </c>
    </row>
    <row r="1257" spans="1:11">
      <c r="A1257" s="1">
        <v>46108</v>
      </c>
      <c r="B1257" t="s">
        <v>1977</v>
      </c>
      <c r="C1257">
        <v>3.726</v>
      </c>
      <c r="E1257" s="1">
        <v>45833</v>
      </c>
      <c r="F1257" s="1" t="s">
        <v>161</v>
      </c>
      <c r="G1257" s="9">
        <v>4.28</v>
      </c>
      <c r="I1257" s="1">
        <v>46112</v>
      </c>
      <c r="J1257" s="1" t="s">
        <v>284</v>
      </c>
      <c r="K1257" s="3">
        <v>65000</v>
      </c>
    </row>
    <row r="1258" spans="1:11">
      <c r="A1258" s="1">
        <v>46108</v>
      </c>
      <c r="B1258" t="s">
        <v>1978</v>
      </c>
      <c r="C1258">
        <v>4.0640000000000001</v>
      </c>
      <c r="E1258" s="1">
        <v>45833</v>
      </c>
      <c r="F1258" s="1" t="s">
        <v>162</v>
      </c>
      <c r="G1258" s="9">
        <v>4.4000000000000004</v>
      </c>
      <c r="I1258" s="1">
        <v>46112</v>
      </c>
      <c r="J1258" s="1" t="s">
        <v>285</v>
      </c>
      <c r="K1258" s="3">
        <v>4.5</v>
      </c>
    </row>
    <row r="1259" spans="1:11">
      <c r="A1259" s="1">
        <v>46108</v>
      </c>
      <c r="B1259" t="s">
        <v>1979</v>
      </c>
      <c r="C1259">
        <v>4.117</v>
      </c>
      <c r="E1259" s="1">
        <v>45833</v>
      </c>
      <c r="F1259" s="1" t="s">
        <v>163</v>
      </c>
      <c r="G1259" s="9">
        <v>4.47</v>
      </c>
      <c r="I1259" s="1">
        <v>46112</v>
      </c>
      <c r="J1259" s="1" t="s">
        <v>286</v>
      </c>
      <c r="K1259" s="3">
        <v>50614</v>
      </c>
    </row>
    <row r="1260" spans="1:11">
      <c r="A1260" s="1">
        <v>46108</v>
      </c>
      <c r="B1260" t="s">
        <v>1980</v>
      </c>
      <c r="C1260">
        <v>4.2130000000000001</v>
      </c>
      <c r="E1260" s="1">
        <v>45832</v>
      </c>
      <c r="F1260" s="1" t="s">
        <v>160</v>
      </c>
      <c r="G1260" s="9">
        <v>1.73</v>
      </c>
      <c r="I1260" s="1">
        <v>46112</v>
      </c>
      <c r="J1260" s="1" t="s">
        <v>287</v>
      </c>
      <c r="K1260" s="3">
        <v>290090</v>
      </c>
    </row>
    <row r="1261" spans="1:11">
      <c r="A1261" s="1">
        <v>46108</v>
      </c>
      <c r="B1261" t="s">
        <v>1981</v>
      </c>
      <c r="C1261">
        <v>4.3049999999999997</v>
      </c>
      <c r="E1261" s="1">
        <v>45832</v>
      </c>
      <c r="F1261" s="1" t="s">
        <v>161</v>
      </c>
      <c r="G1261" s="9">
        <v>3.95</v>
      </c>
      <c r="I1261" s="1">
        <v>46112</v>
      </c>
      <c r="J1261" s="1" t="s">
        <v>288</v>
      </c>
      <c r="K1261" s="3">
        <v>-131282</v>
      </c>
    </row>
    <row r="1262" spans="1:11">
      <c r="A1262" s="1">
        <v>46108</v>
      </c>
      <c r="B1262" t="s">
        <v>1982</v>
      </c>
      <c r="C1262">
        <v>4.383</v>
      </c>
      <c r="E1262" s="1">
        <v>45832</v>
      </c>
      <c r="F1262" s="1" t="s">
        <v>162</v>
      </c>
      <c r="G1262" s="9">
        <v>4.05</v>
      </c>
      <c r="I1262" s="1">
        <v>46112</v>
      </c>
      <c r="J1262" s="1" t="s">
        <v>289</v>
      </c>
      <c r="K1262" s="3">
        <v>47</v>
      </c>
    </row>
    <row r="1263" spans="1:11">
      <c r="A1263" s="1">
        <v>46108</v>
      </c>
      <c r="B1263" t="s">
        <v>1983</v>
      </c>
      <c r="C1263">
        <v>4.4669999999999996</v>
      </c>
      <c r="E1263" s="1">
        <v>45832</v>
      </c>
      <c r="F1263" s="1" t="s">
        <v>163</v>
      </c>
      <c r="G1263" s="9">
        <v>4.2</v>
      </c>
      <c r="I1263" s="1">
        <v>46112</v>
      </c>
      <c r="J1263" s="1" t="s">
        <v>290</v>
      </c>
      <c r="K1263" s="3">
        <v>47</v>
      </c>
    </row>
    <row r="1264" spans="1:11">
      <c r="A1264" s="1">
        <v>46107</v>
      </c>
      <c r="B1264" t="s">
        <v>1974</v>
      </c>
      <c r="C1264">
        <v>3.2040000000000002</v>
      </c>
      <c r="E1264" s="1">
        <v>45831</v>
      </c>
      <c r="F1264" s="1" t="s">
        <v>160</v>
      </c>
      <c r="G1264" s="9">
        <v>1.66</v>
      </c>
      <c r="I1264" s="1">
        <v>46112</v>
      </c>
      <c r="J1264" s="1" t="s">
        <v>107</v>
      </c>
      <c r="K1264" s="3">
        <v>17428306992286</v>
      </c>
    </row>
    <row r="1265" spans="1:11">
      <c r="A1265" s="1">
        <v>46107</v>
      </c>
      <c r="B1265" t="s">
        <v>1975</v>
      </c>
      <c r="C1265">
        <v>3.3</v>
      </c>
      <c r="E1265" s="1">
        <v>45831</v>
      </c>
      <c r="F1265" s="1" t="s">
        <v>161</v>
      </c>
      <c r="G1265" s="9">
        <v>2.2799999999999998</v>
      </c>
      <c r="I1265" s="1">
        <v>46111</v>
      </c>
      <c r="J1265" s="1" t="s">
        <v>107</v>
      </c>
      <c r="K1265" s="3">
        <v>16193221164485</v>
      </c>
    </row>
    <row r="1266" spans="1:11">
      <c r="A1266" s="1">
        <v>46107</v>
      </c>
      <c r="B1266" t="s">
        <v>1976</v>
      </c>
      <c r="C1266">
        <v>3.3879999999999999</v>
      </c>
      <c r="E1266" s="1">
        <v>45831</v>
      </c>
      <c r="F1266" s="1" t="s">
        <v>162</v>
      </c>
      <c r="G1266" s="9">
        <v>3.78</v>
      </c>
      <c r="I1266" s="1">
        <v>46111</v>
      </c>
      <c r="J1266" s="1" t="s">
        <v>286</v>
      </c>
      <c r="K1266" s="3">
        <v>58967</v>
      </c>
    </row>
    <row r="1267" spans="1:11">
      <c r="A1267" s="1">
        <v>46107</v>
      </c>
      <c r="B1267" t="s">
        <v>1977</v>
      </c>
      <c r="C1267">
        <v>3.7290000000000001</v>
      </c>
      <c r="E1267" s="1">
        <v>45831</v>
      </c>
      <c r="F1267" s="1" t="s">
        <v>163</v>
      </c>
      <c r="G1267" s="9">
        <v>4.1399999999999997</v>
      </c>
      <c r="I1267" s="1">
        <v>46111</v>
      </c>
      <c r="J1267" s="1" t="s">
        <v>287</v>
      </c>
      <c r="K1267" s="3">
        <v>275704</v>
      </c>
    </row>
    <row r="1268" spans="1:11">
      <c r="A1268" s="1">
        <v>46107</v>
      </c>
      <c r="B1268" t="s">
        <v>1978</v>
      </c>
      <c r="C1268">
        <v>4.0709999999999997</v>
      </c>
      <c r="E1268" s="1">
        <v>45828</v>
      </c>
      <c r="F1268" s="1" t="s">
        <v>160</v>
      </c>
      <c r="G1268" s="9">
        <v>1.9</v>
      </c>
      <c r="I1268" s="1">
        <v>46111</v>
      </c>
      <c r="J1268" s="1" t="s">
        <v>288</v>
      </c>
      <c r="K1268" s="3">
        <v>-131418</v>
      </c>
    </row>
    <row r="1269" spans="1:11">
      <c r="A1269" s="1">
        <v>46107</v>
      </c>
      <c r="B1269" t="s">
        <v>1979</v>
      </c>
      <c r="C1269">
        <v>4.117</v>
      </c>
      <c r="E1269" s="1">
        <v>45828</v>
      </c>
      <c r="F1269" s="1" t="s">
        <v>161</v>
      </c>
      <c r="G1269" s="9">
        <v>2.2999999999999998</v>
      </c>
      <c r="I1269" s="1">
        <v>46111</v>
      </c>
      <c r="J1269" s="1" t="s">
        <v>289</v>
      </c>
      <c r="K1269" s="3">
        <v>62</v>
      </c>
    </row>
    <row r="1270" spans="1:11">
      <c r="A1270" s="1">
        <v>46107</v>
      </c>
      <c r="B1270" t="s">
        <v>1980</v>
      </c>
      <c r="C1270">
        <v>4.2009999999999996</v>
      </c>
      <c r="E1270" s="1">
        <v>45828</v>
      </c>
      <c r="F1270" s="1" t="s">
        <v>162</v>
      </c>
      <c r="G1270" s="9">
        <v>3.85</v>
      </c>
      <c r="I1270" s="1">
        <v>46111</v>
      </c>
      <c r="J1270" s="1" t="s">
        <v>290</v>
      </c>
      <c r="K1270" s="3">
        <v>62</v>
      </c>
    </row>
    <row r="1271" spans="1:11">
      <c r="A1271" s="1">
        <v>46107</v>
      </c>
      <c r="B1271" t="s">
        <v>1981</v>
      </c>
      <c r="C1271">
        <v>4.3049999999999997</v>
      </c>
      <c r="E1271" s="1">
        <v>45828</v>
      </c>
      <c r="F1271" s="1" t="s">
        <v>163</v>
      </c>
      <c r="G1271" s="9">
        <v>4.2300000000000004</v>
      </c>
      <c r="I1271" s="1">
        <v>46111</v>
      </c>
      <c r="J1271" s="1" t="s">
        <v>282</v>
      </c>
      <c r="K1271" s="3">
        <v>35000</v>
      </c>
    </row>
    <row r="1272" spans="1:11">
      <c r="A1272" s="1">
        <v>46107</v>
      </c>
      <c r="B1272" t="s">
        <v>1982</v>
      </c>
      <c r="C1272">
        <v>4.383</v>
      </c>
      <c r="E1272" s="1">
        <v>45827</v>
      </c>
      <c r="F1272" s="1" t="s">
        <v>160</v>
      </c>
      <c r="G1272" s="9">
        <v>1.68</v>
      </c>
      <c r="I1272" s="1">
        <v>46111</v>
      </c>
      <c r="J1272" s="1" t="s">
        <v>283</v>
      </c>
      <c r="K1272" s="3">
        <v>7</v>
      </c>
    </row>
    <row r="1273" spans="1:11">
      <c r="A1273" s="1">
        <v>46107</v>
      </c>
      <c r="B1273" t="s">
        <v>1983</v>
      </c>
      <c r="C1273">
        <v>4.4630000000000001</v>
      </c>
      <c r="E1273" s="1">
        <v>45827</v>
      </c>
      <c r="F1273" s="1" t="s">
        <v>161</v>
      </c>
      <c r="G1273" s="9">
        <v>2.2200000000000002</v>
      </c>
      <c r="I1273" s="1">
        <v>46111</v>
      </c>
      <c r="J1273" s="1" t="s">
        <v>284</v>
      </c>
      <c r="K1273" s="3">
        <v>90000</v>
      </c>
    </row>
    <row r="1274" spans="1:11">
      <c r="A1274" s="1">
        <v>46106</v>
      </c>
      <c r="B1274" t="s">
        <v>1974</v>
      </c>
      <c r="C1274">
        <v>3.2040000000000002</v>
      </c>
      <c r="E1274" s="1">
        <v>45827</v>
      </c>
      <c r="F1274" s="1" t="s">
        <v>162</v>
      </c>
      <c r="G1274" s="9">
        <v>3.73</v>
      </c>
      <c r="I1274" s="1">
        <v>46111</v>
      </c>
      <c r="J1274" s="1" t="s">
        <v>285</v>
      </c>
      <c r="K1274" s="3">
        <v>4.5</v>
      </c>
    </row>
    <row r="1275" spans="1:11">
      <c r="A1275" s="1">
        <v>46106</v>
      </c>
      <c r="B1275" t="s">
        <v>1975</v>
      </c>
      <c r="C1275">
        <v>3.3</v>
      </c>
      <c r="E1275" s="1">
        <v>45827</v>
      </c>
      <c r="F1275" s="1" t="s">
        <v>163</v>
      </c>
      <c r="G1275" s="9">
        <v>4.0999999999999996</v>
      </c>
      <c r="I1275" s="1">
        <v>46110</v>
      </c>
      <c r="J1275" s="1" t="s">
        <v>107</v>
      </c>
      <c r="K1275" s="3">
        <v>13749161428839</v>
      </c>
    </row>
    <row r="1276" spans="1:11">
      <c r="A1276" s="1">
        <v>46106</v>
      </c>
      <c r="B1276" t="s">
        <v>1976</v>
      </c>
      <c r="C1276">
        <v>3.3879999999999999</v>
      </c>
      <c r="E1276" s="1">
        <v>45826</v>
      </c>
      <c r="F1276" s="1" t="s">
        <v>160</v>
      </c>
      <c r="G1276" s="9">
        <v>2.02</v>
      </c>
      <c r="I1276" s="1">
        <v>46108</v>
      </c>
      <c r="J1276" s="1" t="s">
        <v>282</v>
      </c>
      <c r="K1276" s="3">
        <v>5000</v>
      </c>
    </row>
    <row r="1277" spans="1:11">
      <c r="A1277" s="1">
        <v>46106</v>
      </c>
      <c r="B1277" t="s">
        <v>1977</v>
      </c>
      <c r="C1277">
        <v>3.7240000000000002</v>
      </c>
      <c r="E1277" s="1">
        <v>45826</v>
      </c>
      <c r="F1277" s="1" t="s">
        <v>161</v>
      </c>
      <c r="G1277" s="9">
        <v>2.56</v>
      </c>
      <c r="I1277" s="1">
        <v>46108</v>
      </c>
      <c r="J1277" s="1" t="s">
        <v>283</v>
      </c>
      <c r="K1277" s="3">
        <v>7</v>
      </c>
    </row>
    <row r="1278" spans="1:11">
      <c r="A1278" s="1">
        <v>46106</v>
      </c>
      <c r="B1278" t="s">
        <v>1978</v>
      </c>
      <c r="C1278">
        <v>4.0609999999999999</v>
      </c>
      <c r="E1278" s="1">
        <v>45826</v>
      </c>
      <c r="F1278" s="1" t="s">
        <v>162</v>
      </c>
      <c r="G1278" s="9">
        <v>3.82</v>
      </c>
      <c r="I1278" s="1">
        <v>46108</v>
      </c>
      <c r="J1278" s="1" t="s">
        <v>284</v>
      </c>
      <c r="K1278" s="3">
        <v>10000</v>
      </c>
    </row>
    <row r="1279" spans="1:11">
      <c r="A1279" s="1">
        <v>46106</v>
      </c>
      <c r="B1279" t="s">
        <v>1979</v>
      </c>
      <c r="C1279">
        <v>4.0919999999999996</v>
      </c>
      <c r="E1279" s="1">
        <v>45826</v>
      </c>
      <c r="F1279" s="1" t="s">
        <v>163</v>
      </c>
      <c r="G1279" s="9">
        <v>4.0999999999999996</v>
      </c>
      <c r="I1279" s="1">
        <v>46108</v>
      </c>
      <c r="J1279" s="1" t="s">
        <v>285</v>
      </c>
      <c r="K1279" s="3">
        <v>4.5</v>
      </c>
    </row>
    <row r="1280" spans="1:11">
      <c r="A1280" s="1">
        <v>46106</v>
      </c>
      <c r="B1280" t="s">
        <v>1980</v>
      </c>
      <c r="C1280">
        <v>4.2</v>
      </c>
      <c r="E1280" s="1">
        <v>45825</v>
      </c>
      <c r="F1280" s="1" t="s">
        <v>160</v>
      </c>
      <c r="G1280" s="9">
        <v>2.5</v>
      </c>
      <c r="I1280" s="1">
        <v>46108</v>
      </c>
      <c r="J1280" s="1" t="s">
        <v>286</v>
      </c>
      <c r="K1280" s="3">
        <v>12000</v>
      </c>
    </row>
    <row r="1281" spans="1:11">
      <c r="A1281" s="1">
        <v>46106</v>
      </c>
      <c r="B1281" t="s">
        <v>1981</v>
      </c>
      <c r="C1281">
        <v>4.3049999999999997</v>
      </c>
      <c r="E1281" s="1">
        <v>45825</v>
      </c>
      <c r="F1281" s="1" t="s">
        <v>161</v>
      </c>
      <c r="G1281" s="9">
        <v>3</v>
      </c>
      <c r="I1281" s="1">
        <v>46108</v>
      </c>
      <c r="J1281" s="1" t="s">
        <v>287</v>
      </c>
      <c r="K1281" s="3">
        <v>244671</v>
      </c>
    </row>
    <row r="1282" spans="1:11">
      <c r="A1282" s="1">
        <v>46106</v>
      </c>
      <c r="B1282" t="s">
        <v>1982</v>
      </c>
      <c r="C1282">
        <v>4.383</v>
      </c>
      <c r="E1282" s="1">
        <v>45825</v>
      </c>
      <c r="F1282" s="1" t="s">
        <v>162</v>
      </c>
      <c r="G1282" s="9">
        <v>3.92</v>
      </c>
      <c r="I1282" s="1">
        <v>46108</v>
      </c>
      <c r="J1282" s="1" t="s">
        <v>288</v>
      </c>
      <c r="K1282" s="3">
        <v>-145628</v>
      </c>
    </row>
    <row r="1283" spans="1:11">
      <c r="A1283" s="1">
        <v>46106</v>
      </c>
      <c r="B1283" t="s">
        <v>1983</v>
      </c>
      <c r="C1283">
        <v>4.4379999999999997</v>
      </c>
      <c r="E1283" s="1">
        <v>45825</v>
      </c>
      <c r="F1283" s="1" t="s">
        <v>163</v>
      </c>
      <c r="G1283" s="9">
        <v>4.22</v>
      </c>
      <c r="I1283" s="1">
        <v>46108</v>
      </c>
      <c r="J1283" s="1" t="s">
        <v>289</v>
      </c>
      <c r="K1283" s="3">
        <v>55</v>
      </c>
    </row>
    <row r="1284" spans="1:11">
      <c r="A1284" s="1">
        <v>46105</v>
      </c>
      <c r="B1284" t="s">
        <v>1974</v>
      </c>
      <c r="C1284">
        <v>3.2040000000000002</v>
      </c>
      <c r="E1284" s="1">
        <v>45824</v>
      </c>
      <c r="F1284" s="1" t="s">
        <v>160</v>
      </c>
      <c r="G1284" s="9">
        <v>3.24</v>
      </c>
      <c r="I1284" s="1">
        <v>46108</v>
      </c>
      <c r="J1284" s="1" t="s">
        <v>290</v>
      </c>
      <c r="K1284" s="3">
        <v>55</v>
      </c>
    </row>
    <row r="1285" spans="1:11">
      <c r="A1285" s="1">
        <v>46105</v>
      </c>
      <c r="B1285" t="s">
        <v>1975</v>
      </c>
      <c r="C1285">
        <v>3.3</v>
      </c>
      <c r="E1285" s="1">
        <v>45824</v>
      </c>
      <c r="F1285" s="1" t="s">
        <v>161</v>
      </c>
      <c r="G1285" s="9">
        <v>3.64</v>
      </c>
      <c r="I1285" s="1">
        <v>46107</v>
      </c>
      <c r="J1285" s="1" t="s">
        <v>107</v>
      </c>
      <c r="K1285" s="3">
        <v>13548120910618</v>
      </c>
    </row>
    <row r="1286" spans="1:11">
      <c r="A1286" s="1">
        <v>46105</v>
      </c>
      <c r="B1286" t="s">
        <v>1976</v>
      </c>
      <c r="C1286">
        <v>3.3849999999999998</v>
      </c>
      <c r="E1286" s="1">
        <v>45824</v>
      </c>
      <c r="F1286" s="1" t="s">
        <v>162</v>
      </c>
      <c r="G1286" s="9">
        <v>3.98</v>
      </c>
      <c r="I1286" s="1">
        <v>46107</v>
      </c>
      <c r="J1286" s="1" t="s">
        <v>282</v>
      </c>
      <c r="K1286" s="3">
        <v>1000</v>
      </c>
    </row>
    <row r="1287" spans="1:11">
      <c r="A1287" s="1">
        <v>46105</v>
      </c>
      <c r="B1287" t="s">
        <v>1977</v>
      </c>
      <c r="C1287">
        <v>3.7189999999999999</v>
      </c>
      <c r="E1287" s="1">
        <v>45824</v>
      </c>
      <c r="F1287" s="1" t="s">
        <v>163</v>
      </c>
      <c r="G1287" s="9">
        <v>4.28</v>
      </c>
      <c r="I1287" s="1">
        <v>46107</v>
      </c>
      <c r="J1287" s="1" t="s">
        <v>283</v>
      </c>
      <c r="K1287" s="3">
        <v>7</v>
      </c>
    </row>
    <row r="1288" spans="1:11">
      <c r="A1288" s="1">
        <v>46105</v>
      </c>
      <c r="B1288" t="s">
        <v>1978</v>
      </c>
      <c r="C1288">
        <v>4.0540000000000003</v>
      </c>
      <c r="E1288" s="1">
        <v>45821</v>
      </c>
      <c r="F1288" s="1" t="s">
        <v>160</v>
      </c>
      <c r="G1288" s="9">
        <v>3.7</v>
      </c>
      <c r="I1288" s="1">
        <v>46107</v>
      </c>
      <c r="J1288" s="1" t="s">
        <v>284</v>
      </c>
      <c r="K1288" s="3">
        <v>3000</v>
      </c>
    </row>
    <row r="1289" spans="1:11">
      <c r="A1289" s="1">
        <v>46105</v>
      </c>
      <c r="B1289" t="s">
        <v>1979</v>
      </c>
      <c r="C1289">
        <v>4.0919999999999996</v>
      </c>
      <c r="E1289" s="1">
        <v>45821</v>
      </c>
      <c r="F1289" s="1" t="s">
        <v>161</v>
      </c>
      <c r="G1289" s="9">
        <v>4</v>
      </c>
      <c r="I1289" s="1">
        <v>46107</v>
      </c>
      <c r="J1289" s="1" t="s">
        <v>285</v>
      </c>
      <c r="K1289" s="3">
        <v>4.5</v>
      </c>
    </row>
    <row r="1290" spans="1:11">
      <c r="A1290" s="1">
        <v>46105</v>
      </c>
      <c r="B1290" t="s">
        <v>1980</v>
      </c>
      <c r="C1290">
        <v>4.2060000000000004</v>
      </c>
      <c r="E1290" s="1">
        <v>45821</v>
      </c>
      <c r="F1290" s="1" t="s">
        <v>162</v>
      </c>
      <c r="G1290" s="9">
        <v>4.1500000000000004</v>
      </c>
      <c r="I1290" s="1">
        <v>46107</v>
      </c>
      <c r="J1290" s="1" t="s">
        <v>286</v>
      </c>
      <c r="K1290" s="3">
        <v>4004</v>
      </c>
    </row>
    <row r="1291" spans="1:11">
      <c r="A1291" s="1">
        <v>46105</v>
      </c>
      <c r="B1291" t="s">
        <v>1981</v>
      </c>
      <c r="C1291">
        <v>4.3049999999999997</v>
      </c>
      <c r="E1291" s="1">
        <v>45821</v>
      </c>
      <c r="F1291" s="1" t="s">
        <v>163</v>
      </c>
      <c r="G1291" s="9">
        <v>4.3</v>
      </c>
      <c r="I1291" s="1">
        <v>46107</v>
      </c>
      <c r="J1291" s="1" t="s">
        <v>287</v>
      </c>
      <c r="K1291" s="3">
        <v>246671</v>
      </c>
    </row>
    <row r="1292" spans="1:11">
      <c r="A1292" s="1">
        <v>46105</v>
      </c>
      <c r="B1292" t="s">
        <v>1982</v>
      </c>
      <c r="C1292">
        <v>4.383</v>
      </c>
      <c r="E1292" s="1">
        <v>45820</v>
      </c>
      <c r="F1292" s="1" t="s">
        <v>160</v>
      </c>
      <c r="G1292" s="9">
        <v>4.04</v>
      </c>
      <c r="I1292" s="1">
        <v>46107</v>
      </c>
      <c r="J1292" s="1" t="s">
        <v>288</v>
      </c>
      <c r="K1292" s="3">
        <v>-149111</v>
      </c>
    </row>
    <row r="1293" spans="1:11">
      <c r="A1293" s="1">
        <v>46105</v>
      </c>
      <c r="B1293" t="s">
        <v>1983</v>
      </c>
      <c r="C1293">
        <v>4.4379999999999997</v>
      </c>
      <c r="E1293" s="1">
        <v>45820</v>
      </c>
      <c r="F1293" s="1" t="s">
        <v>161</v>
      </c>
      <c r="G1293" s="9">
        <v>4.1399999999999997</v>
      </c>
      <c r="I1293" s="1">
        <v>46107</v>
      </c>
      <c r="J1293" s="1" t="s">
        <v>289</v>
      </c>
      <c r="K1293" s="3">
        <v>41</v>
      </c>
    </row>
    <row r="1294" spans="1:11">
      <c r="A1294" s="1">
        <v>46104</v>
      </c>
      <c r="B1294" t="s">
        <v>1974</v>
      </c>
      <c r="C1294">
        <v>3.1920000000000002</v>
      </c>
      <c r="E1294" s="1">
        <v>45820</v>
      </c>
      <c r="F1294" s="1" t="s">
        <v>162</v>
      </c>
      <c r="G1294" s="9">
        <v>4.2</v>
      </c>
      <c r="I1294" s="1">
        <v>46107</v>
      </c>
      <c r="J1294" s="1" t="s">
        <v>290</v>
      </c>
      <c r="K1294" s="3">
        <v>38</v>
      </c>
    </row>
    <row r="1295" spans="1:11">
      <c r="A1295" s="1">
        <v>46104</v>
      </c>
      <c r="B1295" t="s">
        <v>1975</v>
      </c>
      <c r="C1295">
        <v>3.2879999999999998</v>
      </c>
      <c r="E1295" s="1">
        <v>45820</v>
      </c>
      <c r="F1295" s="1" t="s">
        <v>163</v>
      </c>
      <c r="G1295" s="9">
        <v>4.34</v>
      </c>
      <c r="I1295" s="1">
        <v>46106</v>
      </c>
      <c r="J1295" s="1" t="s">
        <v>282</v>
      </c>
      <c r="K1295" s="3">
        <v>13000</v>
      </c>
    </row>
    <row r="1296" spans="1:11">
      <c r="A1296" s="1">
        <v>46104</v>
      </c>
      <c r="B1296" t="s">
        <v>1976</v>
      </c>
      <c r="C1296">
        <v>3.3690000000000002</v>
      </c>
      <c r="E1296" s="1">
        <v>45819</v>
      </c>
      <c r="F1296" s="1" t="s">
        <v>160</v>
      </c>
      <c r="G1296" s="9">
        <v>3.3</v>
      </c>
      <c r="I1296" s="1">
        <v>46106</v>
      </c>
      <c r="J1296" s="1" t="s">
        <v>283</v>
      </c>
      <c r="K1296" s="3">
        <v>7</v>
      </c>
    </row>
    <row r="1297" spans="1:11">
      <c r="A1297" s="1">
        <v>46104</v>
      </c>
      <c r="B1297" t="s">
        <v>1977</v>
      </c>
      <c r="C1297">
        <v>3.7080000000000002</v>
      </c>
      <c r="E1297" s="1">
        <v>45819</v>
      </c>
      <c r="F1297" s="1" t="s">
        <v>161</v>
      </c>
      <c r="G1297" s="9">
        <v>3.58</v>
      </c>
      <c r="I1297" s="1">
        <v>46106</v>
      </c>
      <c r="J1297" s="1" t="s">
        <v>284</v>
      </c>
      <c r="K1297" s="3">
        <v>19000</v>
      </c>
    </row>
    <row r="1298" spans="1:11">
      <c r="A1298" s="1">
        <v>46104</v>
      </c>
      <c r="B1298" t="s">
        <v>1978</v>
      </c>
      <c r="C1298">
        <v>4.0460000000000003</v>
      </c>
      <c r="E1298" s="1">
        <v>45819</v>
      </c>
      <c r="F1298" s="1" t="s">
        <v>162</v>
      </c>
      <c r="G1298" s="9">
        <v>3.75</v>
      </c>
      <c r="I1298" s="1">
        <v>46106</v>
      </c>
      <c r="J1298" s="1" t="s">
        <v>285</v>
      </c>
      <c r="K1298" s="3">
        <v>4.5</v>
      </c>
    </row>
    <row r="1299" spans="1:11">
      <c r="A1299" s="1">
        <v>46104</v>
      </c>
      <c r="B1299" t="s">
        <v>1979</v>
      </c>
      <c r="C1299">
        <v>4.0890000000000004</v>
      </c>
      <c r="E1299" s="1">
        <v>45819</v>
      </c>
      <c r="F1299" s="1" t="s">
        <v>163</v>
      </c>
      <c r="G1299" s="9">
        <v>4.2</v>
      </c>
      <c r="I1299" s="1">
        <v>46106</v>
      </c>
      <c r="J1299" s="1" t="s">
        <v>286</v>
      </c>
      <c r="K1299" s="3">
        <v>14447</v>
      </c>
    </row>
    <row r="1300" spans="1:11">
      <c r="A1300" s="1">
        <v>46104</v>
      </c>
      <c r="B1300" t="s">
        <v>1980</v>
      </c>
      <c r="C1300">
        <v>4.1980000000000004</v>
      </c>
      <c r="E1300" s="1">
        <v>45818</v>
      </c>
      <c r="F1300" s="1" t="s">
        <v>160</v>
      </c>
      <c r="G1300" s="9">
        <v>2.9</v>
      </c>
      <c r="I1300" s="1">
        <v>46106</v>
      </c>
      <c r="J1300" s="1" t="s">
        <v>287</v>
      </c>
      <c r="K1300" s="3">
        <v>247675</v>
      </c>
    </row>
    <row r="1301" spans="1:11">
      <c r="A1301" s="1">
        <v>46104</v>
      </c>
      <c r="B1301" t="s">
        <v>1981</v>
      </c>
      <c r="C1301">
        <v>4.3049999999999997</v>
      </c>
      <c r="E1301" s="1">
        <v>45818</v>
      </c>
      <c r="F1301" s="1" t="s">
        <v>161</v>
      </c>
      <c r="G1301" s="9">
        <v>3.24</v>
      </c>
      <c r="I1301" s="1">
        <v>46106</v>
      </c>
      <c r="J1301" s="1" t="s">
        <v>288</v>
      </c>
      <c r="K1301" s="3">
        <v>-145755</v>
      </c>
    </row>
    <row r="1302" spans="1:11">
      <c r="A1302" s="1">
        <v>46104</v>
      </c>
      <c r="B1302" t="s">
        <v>1982</v>
      </c>
      <c r="C1302">
        <v>4.383</v>
      </c>
      <c r="E1302" s="1">
        <v>45818</v>
      </c>
      <c r="F1302" s="1" t="s">
        <v>162</v>
      </c>
      <c r="G1302" s="9">
        <v>3.6</v>
      </c>
      <c r="I1302" s="1">
        <v>46106</v>
      </c>
      <c r="J1302" s="1" t="s">
        <v>289</v>
      </c>
      <c r="K1302" s="3">
        <v>56</v>
      </c>
    </row>
    <row r="1303" spans="1:11">
      <c r="A1303" s="1">
        <v>46104</v>
      </c>
      <c r="B1303" t="s">
        <v>1983</v>
      </c>
      <c r="C1303">
        <v>4.4379999999999997</v>
      </c>
      <c r="E1303" s="1">
        <v>45818</v>
      </c>
      <c r="F1303" s="1" t="s">
        <v>163</v>
      </c>
      <c r="G1303" s="9">
        <v>4.0999999999999996</v>
      </c>
      <c r="I1303" s="1">
        <v>46106</v>
      </c>
      <c r="J1303" s="1" t="s">
        <v>290</v>
      </c>
      <c r="K1303" s="3">
        <v>54</v>
      </c>
    </row>
    <row r="1304" spans="1:11">
      <c r="A1304" s="1">
        <v>46101</v>
      </c>
      <c r="B1304" t="s">
        <v>1974</v>
      </c>
      <c r="C1304">
        <v>3.1880000000000002</v>
      </c>
      <c r="E1304" s="1">
        <v>45817</v>
      </c>
      <c r="F1304" s="1" t="s">
        <v>160</v>
      </c>
      <c r="G1304" s="9">
        <v>2.88</v>
      </c>
      <c r="I1304" s="1">
        <v>46106</v>
      </c>
      <c r="J1304" s="1" t="s">
        <v>107</v>
      </c>
      <c r="K1304" s="3">
        <v>13915843886594</v>
      </c>
    </row>
    <row r="1305" spans="1:11">
      <c r="A1305" s="1">
        <v>46101</v>
      </c>
      <c r="B1305" t="s">
        <v>1975</v>
      </c>
      <c r="C1305">
        <v>3.2829999999999999</v>
      </c>
      <c r="E1305" s="1">
        <v>45817</v>
      </c>
      <c r="F1305" s="1" t="s">
        <v>161</v>
      </c>
      <c r="G1305" s="9">
        <v>3.25</v>
      </c>
      <c r="I1305" s="1">
        <v>46105</v>
      </c>
      <c r="J1305" s="1" t="s">
        <v>107</v>
      </c>
      <c r="K1305" s="3">
        <v>14767148697888</v>
      </c>
    </row>
    <row r="1306" spans="1:11">
      <c r="A1306" s="1">
        <v>46101</v>
      </c>
      <c r="B1306" t="s">
        <v>1976</v>
      </c>
      <c r="C1306">
        <v>3.367</v>
      </c>
      <c r="E1306" s="1">
        <v>45817</v>
      </c>
      <c r="F1306" s="1" t="s">
        <v>162</v>
      </c>
      <c r="G1306" s="9">
        <v>3.6</v>
      </c>
      <c r="I1306" s="1">
        <v>46105</v>
      </c>
      <c r="J1306" s="1" t="s">
        <v>282</v>
      </c>
      <c r="K1306" s="3">
        <v>35000</v>
      </c>
    </row>
    <row r="1307" spans="1:11">
      <c r="A1307" s="1">
        <v>46101</v>
      </c>
      <c r="B1307" t="s">
        <v>1977</v>
      </c>
      <c r="C1307">
        <v>3.7040000000000002</v>
      </c>
      <c r="E1307" s="1">
        <v>45817</v>
      </c>
      <c r="F1307" s="1" t="s">
        <v>163</v>
      </c>
      <c r="G1307" s="9">
        <v>4.0999999999999996</v>
      </c>
      <c r="I1307" s="1">
        <v>46105</v>
      </c>
      <c r="J1307" s="1" t="s">
        <v>283</v>
      </c>
      <c r="K1307" s="3">
        <v>7</v>
      </c>
    </row>
    <row r="1308" spans="1:11">
      <c r="A1308" s="1">
        <v>46101</v>
      </c>
      <c r="B1308" t="s">
        <v>1978</v>
      </c>
      <c r="C1308">
        <v>4.0410000000000004</v>
      </c>
      <c r="E1308" s="1">
        <v>45814</v>
      </c>
      <c r="F1308" s="1" t="s">
        <v>160</v>
      </c>
      <c r="G1308" s="9">
        <v>2.8</v>
      </c>
      <c r="I1308" s="1">
        <v>46105</v>
      </c>
      <c r="J1308" s="1" t="s">
        <v>284</v>
      </c>
      <c r="K1308" s="3">
        <v>58000</v>
      </c>
    </row>
    <row r="1309" spans="1:11">
      <c r="A1309" s="1">
        <v>46101</v>
      </c>
      <c r="B1309" t="s">
        <v>1979</v>
      </c>
      <c r="C1309">
        <v>4.0780000000000003</v>
      </c>
      <c r="E1309" s="1">
        <v>45814</v>
      </c>
      <c r="F1309" s="1" t="s">
        <v>161</v>
      </c>
      <c r="G1309" s="9">
        <v>3.26</v>
      </c>
      <c r="I1309" s="1">
        <v>46105</v>
      </c>
      <c r="J1309" s="1" t="s">
        <v>285</v>
      </c>
      <c r="K1309" s="3">
        <v>4.5</v>
      </c>
    </row>
    <row r="1310" spans="1:11">
      <c r="A1310" s="1">
        <v>46101</v>
      </c>
      <c r="B1310" t="s">
        <v>1980</v>
      </c>
      <c r="C1310">
        <v>4.2039999999999997</v>
      </c>
      <c r="E1310" s="1">
        <v>45814</v>
      </c>
      <c r="F1310" s="1" t="s">
        <v>162</v>
      </c>
      <c r="G1310" s="9">
        <v>3.64</v>
      </c>
      <c r="I1310" s="1">
        <v>46105</v>
      </c>
      <c r="J1310" s="1" t="s">
        <v>286</v>
      </c>
      <c r="K1310" s="3">
        <v>32018</v>
      </c>
    </row>
    <row r="1311" spans="1:11">
      <c r="A1311" s="1">
        <v>46101</v>
      </c>
      <c r="B1311" t="s">
        <v>1981</v>
      </c>
      <c r="C1311">
        <v>4.3049999999999997</v>
      </c>
      <c r="E1311" s="1">
        <v>45814</v>
      </c>
      <c r="F1311" s="1" t="s">
        <v>163</v>
      </c>
      <c r="G1311" s="9">
        <v>4.04</v>
      </c>
      <c r="I1311" s="1">
        <v>46105</v>
      </c>
      <c r="J1311" s="1" t="s">
        <v>287</v>
      </c>
      <c r="K1311" s="3">
        <v>243122</v>
      </c>
    </row>
    <row r="1312" spans="1:11">
      <c r="A1312" s="1">
        <v>46101</v>
      </c>
      <c r="B1312" t="s">
        <v>1982</v>
      </c>
      <c r="C1312">
        <v>4.383</v>
      </c>
      <c r="E1312" s="1">
        <v>45813</v>
      </c>
      <c r="F1312" s="1" t="s">
        <v>160</v>
      </c>
      <c r="G1312" s="9">
        <v>3.09</v>
      </c>
      <c r="I1312" s="1">
        <v>46105</v>
      </c>
      <c r="J1312" s="1" t="s">
        <v>288</v>
      </c>
      <c r="K1312" s="3">
        <v>-140032</v>
      </c>
    </row>
    <row r="1313" spans="1:11">
      <c r="A1313" s="1">
        <v>46101</v>
      </c>
      <c r="B1313" t="s">
        <v>1983</v>
      </c>
      <c r="C1313">
        <v>4.4379999999999997</v>
      </c>
      <c r="E1313" s="1">
        <v>45813</v>
      </c>
      <c r="F1313" s="1" t="s">
        <v>161</v>
      </c>
      <c r="G1313" s="9">
        <v>3.51</v>
      </c>
      <c r="I1313" s="1">
        <v>46105</v>
      </c>
      <c r="J1313" s="1" t="s">
        <v>289</v>
      </c>
      <c r="K1313" s="3">
        <v>60</v>
      </c>
    </row>
    <row r="1314" spans="1:11">
      <c r="A1314" s="1">
        <v>46100</v>
      </c>
      <c r="B1314" t="s">
        <v>1974</v>
      </c>
      <c r="C1314">
        <v>3.1880000000000002</v>
      </c>
      <c r="E1314" s="1">
        <v>45813</v>
      </c>
      <c r="F1314" s="1" t="s">
        <v>162</v>
      </c>
      <c r="G1314" s="9">
        <v>3.8</v>
      </c>
      <c r="I1314" s="1">
        <v>46105</v>
      </c>
      <c r="J1314" s="1" t="s">
        <v>290</v>
      </c>
      <c r="K1314" s="3">
        <v>60</v>
      </c>
    </row>
    <row r="1315" spans="1:11">
      <c r="A1315" s="1">
        <v>46100</v>
      </c>
      <c r="B1315" t="s">
        <v>1975</v>
      </c>
      <c r="C1315">
        <v>3.2829999999999999</v>
      </c>
      <c r="E1315" s="1">
        <v>45813</v>
      </c>
      <c r="F1315" s="1" t="s">
        <v>163</v>
      </c>
      <c r="G1315" s="9">
        <v>4.16</v>
      </c>
      <c r="I1315" s="1">
        <v>46104</v>
      </c>
      <c r="J1315" s="1" t="s">
        <v>107</v>
      </c>
      <c r="K1315" s="3">
        <v>14640891305625</v>
      </c>
    </row>
    <row r="1316" spans="1:11">
      <c r="A1316" s="1">
        <v>46100</v>
      </c>
      <c r="B1316" t="s">
        <v>1976</v>
      </c>
      <c r="C1316">
        <v>3.367</v>
      </c>
      <c r="E1316" s="1">
        <v>45812</v>
      </c>
      <c r="F1316" s="1" t="s">
        <v>160</v>
      </c>
      <c r="G1316" s="9">
        <v>3.19</v>
      </c>
      <c r="I1316" s="1">
        <v>46104</v>
      </c>
      <c r="J1316" s="1" t="s">
        <v>282</v>
      </c>
      <c r="K1316" s="3">
        <v>14000</v>
      </c>
    </row>
    <row r="1317" spans="1:11">
      <c r="A1317" s="1">
        <v>46100</v>
      </c>
      <c r="B1317" t="s">
        <v>1977</v>
      </c>
      <c r="C1317">
        <v>3.7069999999999999</v>
      </c>
      <c r="E1317" s="1">
        <v>45812</v>
      </c>
      <c r="F1317" s="1" t="s">
        <v>161</v>
      </c>
      <c r="G1317" s="9">
        <v>3.69</v>
      </c>
      <c r="I1317" s="1">
        <v>46104</v>
      </c>
      <c r="J1317" s="1" t="s">
        <v>283</v>
      </c>
      <c r="K1317" s="3">
        <v>7</v>
      </c>
    </row>
    <row r="1318" spans="1:11">
      <c r="A1318" s="1">
        <v>46100</v>
      </c>
      <c r="B1318" t="s">
        <v>1978</v>
      </c>
      <c r="C1318">
        <v>4.0460000000000003</v>
      </c>
      <c r="E1318" s="1">
        <v>45812</v>
      </c>
      <c r="F1318" s="1" t="s">
        <v>162</v>
      </c>
      <c r="G1318" s="9">
        <v>4</v>
      </c>
      <c r="I1318" s="1">
        <v>46104</v>
      </c>
      <c r="J1318" s="1" t="s">
        <v>284</v>
      </c>
      <c r="K1318" s="3">
        <v>16000</v>
      </c>
    </row>
    <row r="1319" spans="1:11">
      <c r="A1319" s="1">
        <v>46100</v>
      </c>
      <c r="B1319" t="s">
        <v>1979</v>
      </c>
      <c r="C1319">
        <v>4.0730000000000004</v>
      </c>
      <c r="E1319" s="1">
        <v>45812</v>
      </c>
      <c r="F1319" s="1" t="s">
        <v>163</v>
      </c>
      <c r="G1319" s="9">
        <v>4.2699999999999996</v>
      </c>
      <c r="I1319" s="1">
        <v>46104</v>
      </c>
      <c r="J1319" s="1" t="s">
        <v>285</v>
      </c>
      <c r="K1319" s="3">
        <v>4.5</v>
      </c>
    </row>
    <row r="1320" spans="1:11">
      <c r="A1320" s="1">
        <v>46100</v>
      </c>
      <c r="B1320" t="s">
        <v>1980</v>
      </c>
      <c r="C1320">
        <v>4.1950000000000003</v>
      </c>
      <c r="E1320" s="1">
        <v>45811</v>
      </c>
      <c r="F1320" s="1" t="s">
        <v>160</v>
      </c>
      <c r="G1320" s="9">
        <v>3.75</v>
      </c>
      <c r="I1320" s="1">
        <v>46104</v>
      </c>
      <c r="J1320" s="1" t="s">
        <v>286</v>
      </c>
      <c r="K1320" s="3">
        <v>41907</v>
      </c>
    </row>
    <row r="1321" spans="1:11">
      <c r="A1321" s="1">
        <v>46100</v>
      </c>
      <c r="B1321" t="s">
        <v>1981</v>
      </c>
      <c r="C1321">
        <v>4.3049999999999997</v>
      </c>
      <c r="E1321" s="1">
        <v>45811</v>
      </c>
      <c r="F1321" s="1" t="s">
        <v>161</v>
      </c>
      <c r="G1321" s="9">
        <v>4.05</v>
      </c>
      <c r="I1321" s="1">
        <v>46104</v>
      </c>
      <c r="J1321" s="1" t="s">
        <v>287</v>
      </c>
      <c r="K1321" s="3">
        <v>217140</v>
      </c>
    </row>
    <row r="1322" spans="1:11">
      <c r="A1322" s="1">
        <v>46100</v>
      </c>
      <c r="B1322" t="s">
        <v>1982</v>
      </c>
      <c r="C1322">
        <v>4.383</v>
      </c>
      <c r="E1322" s="1">
        <v>45811</v>
      </c>
      <c r="F1322" s="1" t="s">
        <v>162</v>
      </c>
      <c r="G1322" s="9">
        <v>4.18</v>
      </c>
      <c r="I1322" s="1">
        <v>46104</v>
      </c>
      <c r="J1322" s="1" t="s">
        <v>288</v>
      </c>
      <c r="K1322" s="3">
        <v>-121436</v>
      </c>
    </row>
    <row r="1323" spans="1:11">
      <c r="A1323" s="1">
        <v>46100</v>
      </c>
      <c r="B1323" t="s">
        <v>1983</v>
      </c>
      <c r="C1323">
        <v>4.4379999999999997</v>
      </c>
      <c r="E1323" s="1">
        <v>45811</v>
      </c>
      <c r="F1323" s="1" t="s">
        <v>163</v>
      </c>
      <c r="G1323" s="9">
        <v>4.3499999999999996</v>
      </c>
      <c r="I1323" s="1">
        <v>46104</v>
      </c>
      <c r="J1323" s="1" t="s">
        <v>289</v>
      </c>
      <c r="K1323" s="3">
        <v>56</v>
      </c>
    </row>
    <row r="1324" spans="1:11">
      <c r="A1324" s="1">
        <v>46099</v>
      </c>
      <c r="B1324" t="s">
        <v>1974</v>
      </c>
      <c r="C1324">
        <v>3.1880000000000002</v>
      </c>
      <c r="E1324" s="1">
        <v>45810</v>
      </c>
      <c r="F1324" s="1" t="s">
        <v>160</v>
      </c>
      <c r="G1324" s="9">
        <v>3.83</v>
      </c>
      <c r="I1324" s="1">
        <v>46104</v>
      </c>
      <c r="J1324" s="1" t="s">
        <v>290</v>
      </c>
      <c r="K1324" s="3">
        <v>56</v>
      </c>
    </row>
    <row r="1325" spans="1:11">
      <c r="A1325" s="1">
        <v>46099</v>
      </c>
      <c r="B1325" t="s">
        <v>1975</v>
      </c>
      <c r="C1325">
        <v>3.2829999999999999</v>
      </c>
      <c r="E1325" s="1">
        <v>45810</v>
      </c>
      <c r="F1325" s="1" t="s">
        <v>161</v>
      </c>
      <c r="G1325" s="9">
        <v>4.05</v>
      </c>
      <c r="I1325" s="1">
        <v>46103</v>
      </c>
      <c r="J1325" s="1" t="s">
        <v>107</v>
      </c>
      <c r="K1325" s="3">
        <v>15823089323549</v>
      </c>
    </row>
    <row r="1326" spans="1:11">
      <c r="A1326" s="1">
        <v>46099</v>
      </c>
      <c r="B1326" t="s">
        <v>1976</v>
      </c>
      <c r="C1326">
        <v>3.367</v>
      </c>
      <c r="E1326" s="1">
        <v>45810</v>
      </c>
      <c r="F1326" s="1" t="s">
        <v>162</v>
      </c>
      <c r="G1326" s="9">
        <v>4.2</v>
      </c>
      <c r="I1326" s="1">
        <v>46101</v>
      </c>
      <c r="J1326" s="1" t="s">
        <v>282</v>
      </c>
      <c r="K1326" s="3">
        <v>1000</v>
      </c>
    </row>
    <row r="1327" spans="1:11">
      <c r="A1327" s="1">
        <v>46099</v>
      </c>
      <c r="B1327" t="s">
        <v>1977</v>
      </c>
      <c r="C1327">
        <v>3.71</v>
      </c>
      <c r="E1327" s="1">
        <v>45810</v>
      </c>
      <c r="F1327" s="1" t="s">
        <v>163</v>
      </c>
      <c r="G1327" s="9">
        <v>4.3499999999999996</v>
      </c>
      <c r="I1327" s="1">
        <v>46101</v>
      </c>
      <c r="J1327" s="1" t="s">
        <v>283</v>
      </c>
      <c r="K1327" s="3">
        <v>7</v>
      </c>
    </row>
    <row r="1328" spans="1:11">
      <c r="A1328" s="1">
        <v>46099</v>
      </c>
      <c r="B1328" t="s">
        <v>1978</v>
      </c>
      <c r="C1328">
        <v>4.0540000000000003</v>
      </c>
      <c r="E1328" s="1">
        <v>45807</v>
      </c>
      <c r="F1328" s="1" t="s">
        <v>160</v>
      </c>
      <c r="G1328" s="9">
        <v>3.08</v>
      </c>
      <c r="I1328" s="1">
        <v>46101</v>
      </c>
      <c r="J1328" s="1" t="s">
        <v>284</v>
      </c>
      <c r="K1328" s="3">
        <v>3000</v>
      </c>
    </row>
    <row r="1329" spans="1:11">
      <c r="A1329" s="1">
        <v>46099</v>
      </c>
      <c r="B1329" t="s">
        <v>1979</v>
      </c>
      <c r="C1329">
        <v>4.0730000000000004</v>
      </c>
      <c r="E1329" s="1">
        <v>45807</v>
      </c>
      <c r="F1329" s="1" t="s">
        <v>161</v>
      </c>
      <c r="G1329" s="9">
        <v>3.88</v>
      </c>
      <c r="I1329" s="1">
        <v>46101</v>
      </c>
      <c r="J1329" s="1" t="s">
        <v>285</v>
      </c>
      <c r="K1329" s="3">
        <v>4.5</v>
      </c>
    </row>
    <row r="1330" spans="1:11">
      <c r="A1330" s="1">
        <v>46099</v>
      </c>
      <c r="B1330" t="s">
        <v>1980</v>
      </c>
      <c r="C1330">
        <v>4.1980000000000004</v>
      </c>
      <c r="E1330" s="1">
        <v>45807</v>
      </c>
      <c r="F1330" s="1" t="s">
        <v>162</v>
      </c>
      <c r="G1330" s="9">
        <v>4.12</v>
      </c>
      <c r="I1330" s="1">
        <v>46101</v>
      </c>
      <c r="J1330" s="1" t="s">
        <v>286</v>
      </c>
      <c r="K1330" s="3">
        <v>17725</v>
      </c>
    </row>
    <row r="1331" spans="1:11">
      <c r="A1331" s="1">
        <v>46099</v>
      </c>
      <c r="B1331" t="s">
        <v>1981</v>
      </c>
      <c r="C1331">
        <v>4.3049999999999997</v>
      </c>
      <c r="E1331" s="1">
        <v>45807</v>
      </c>
      <c r="F1331" s="1" t="s">
        <v>163</v>
      </c>
      <c r="G1331" s="9">
        <v>4.3600000000000003</v>
      </c>
      <c r="I1331" s="1">
        <v>46101</v>
      </c>
      <c r="J1331" s="1" t="s">
        <v>287</v>
      </c>
      <c r="K1331" s="3">
        <v>243047</v>
      </c>
    </row>
    <row r="1332" spans="1:11">
      <c r="A1332" s="1">
        <v>46099</v>
      </c>
      <c r="B1332" t="s">
        <v>1982</v>
      </c>
      <c r="C1332">
        <v>4.383</v>
      </c>
      <c r="E1332" s="1">
        <v>45806</v>
      </c>
      <c r="F1332" s="1" t="s">
        <v>160</v>
      </c>
      <c r="G1332" s="9">
        <v>3.78</v>
      </c>
      <c r="I1332" s="1">
        <v>46101</v>
      </c>
      <c r="J1332" s="1" t="s">
        <v>288</v>
      </c>
      <c r="K1332" s="3">
        <v>-104376</v>
      </c>
    </row>
    <row r="1333" spans="1:11">
      <c r="A1333" s="1">
        <v>46099</v>
      </c>
      <c r="B1333" t="s">
        <v>1983</v>
      </c>
      <c r="C1333">
        <v>4.4379999999999997</v>
      </c>
      <c r="E1333" s="1">
        <v>45806</v>
      </c>
      <c r="F1333" s="1" t="s">
        <v>161</v>
      </c>
      <c r="G1333" s="9">
        <v>4.0999999999999996</v>
      </c>
      <c r="I1333" s="1">
        <v>46101</v>
      </c>
      <c r="J1333" s="1" t="s">
        <v>289</v>
      </c>
      <c r="K1333" s="3">
        <v>38</v>
      </c>
    </row>
    <row r="1334" spans="1:11">
      <c r="A1334" s="1">
        <v>46098</v>
      </c>
      <c r="B1334" t="s">
        <v>1974</v>
      </c>
      <c r="C1334">
        <v>3.1880000000000002</v>
      </c>
      <c r="E1334" s="1">
        <v>45806</v>
      </c>
      <c r="F1334" s="1" t="s">
        <v>162</v>
      </c>
      <c r="G1334" s="9">
        <v>4.2</v>
      </c>
      <c r="I1334" s="1">
        <v>46101</v>
      </c>
      <c r="J1334" s="1" t="s">
        <v>290</v>
      </c>
      <c r="K1334" s="3">
        <v>38</v>
      </c>
    </row>
    <row r="1335" spans="1:11">
      <c r="A1335" s="1">
        <v>46098</v>
      </c>
      <c r="B1335" t="s">
        <v>1975</v>
      </c>
      <c r="C1335">
        <v>3.2829999999999999</v>
      </c>
      <c r="E1335" s="1">
        <v>45806</v>
      </c>
      <c r="F1335" s="1" t="s">
        <v>163</v>
      </c>
      <c r="G1335" s="9">
        <v>4.4000000000000004</v>
      </c>
      <c r="I1335" s="1">
        <v>46100</v>
      </c>
      <c r="J1335" s="1" t="s">
        <v>107</v>
      </c>
      <c r="K1335" s="3">
        <v>17462388474803</v>
      </c>
    </row>
    <row r="1336" spans="1:11">
      <c r="A1336" s="1">
        <v>46098</v>
      </c>
      <c r="B1336" t="s">
        <v>1976</v>
      </c>
      <c r="C1336">
        <v>3.367</v>
      </c>
      <c r="E1336" s="1">
        <v>45805</v>
      </c>
      <c r="F1336" s="1" t="s">
        <v>160</v>
      </c>
      <c r="G1336" s="9">
        <v>4.12</v>
      </c>
      <c r="I1336" s="1">
        <v>46100</v>
      </c>
      <c r="J1336" s="1" t="s">
        <v>282</v>
      </c>
      <c r="K1336" s="3">
        <v>1000</v>
      </c>
    </row>
    <row r="1337" spans="1:11">
      <c r="A1337" s="1">
        <v>46098</v>
      </c>
      <c r="B1337" t="s">
        <v>1977</v>
      </c>
      <c r="C1337">
        <v>3.7080000000000002</v>
      </c>
      <c r="E1337" s="1">
        <v>45805</v>
      </c>
      <c r="F1337" s="1" t="s">
        <v>161</v>
      </c>
      <c r="G1337" s="9">
        <v>4.28</v>
      </c>
      <c r="I1337" s="1">
        <v>46100</v>
      </c>
      <c r="J1337" s="1" t="s">
        <v>283</v>
      </c>
      <c r="K1337" s="3">
        <v>7</v>
      </c>
    </row>
    <row r="1338" spans="1:11">
      <c r="A1338" s="1">
        <v>46098</v>
      </c>
      <c r="B1338" t="s">
        <v>1978</v>
      </c>
      <c r="C1338">
        <v>4.05</v>
      </c>
      <c r="E1338" s="1">
        <v>45805</v>
      </c>
      <c r="F1338" s="1" t="s">
        <v>162</v>
      </c>
      <c r="G1338" s="9">
        <v>4.3600000000000003</v>
      </c>
      <c r="I1338" s="1">
        <v>46100</v>
      </c>
      <c r="J1338" s="1" t="s">
        <v>284</v>
      </c>
      <c r="K1338" s="3">
        <v>3000</v>
      </c>
    </row>
    <row r="1339" spans="1:11">
      <c r="A1339" s="1">
        <v>46098</v>
      </c>
      <c r="B1339" t="s">
        <v>1979</v>
      </c>
      <c r="C1339">
        <v>4.0730000000000004</v>
      </c>
      <c r="E1339" s="1">
        <v>45805</v>
      </c>
      <c r="F1339" s="1" t="s">
        <v>163</v>
      </c>
      <c r="G1339" s="9">
        <v>4.46</v>
      </c>
      <c r="I1339" s="1">
        <v>46100</v>
      </c>
      <c r="J1339" s="1" t="s">
        <v>285</v>
      </c>
      <c r="K1339" s="3">
        <v>4.5</v>
      </c>
    </row>
    <row r="1340" spans="1:11">
      <c r="A1340" s="1">
        <v>46098</v>
      </c>
      <c r="B1340" t="s">
        <v>1980</v>
      </c>
      <c r="C1340">
        <v>4.1950000000000003</v>
      </c>
      <c r="E1340" s="1">
        <v>45804</v>
      </c>
      <c r="F1340" s="1" t="s">
        <v>160</v>
      </c>
      <c r="G1340" s="9">
        <v>4.2</v>
      </c>
      <c r="I1340" s="1">
        <v>46100</v>
      </c>
      <c r="J1340" s="1" t="s">
        <v>286</v>
      </c>
      <c r="K1340" s="3">
        <v>8000</v>
      </c>
    </row>
    <row r="1341" spans="1:11">
      <c r="A1341" s="1">
        <v>46098</v>
      </c>
      <c r="B1341" t="s">
        <v>1981</v>
      </c>
      <c r="C1341">
        <v>4.3049999999999997</v>
      </c>
      <c r="E1341" s="1">
        <v>45804</v>
      </c>
      <c r="F1341" s="1" t="s">
        <v>161</v>
      </c>
      <c r="G1341" s="9">
        <v>4.32</v>
      </c>
      <c r="I1341" s="1">
        <v>46100</v>
      </c>
      <c r="J1341" s="1" t="s">
        <v>287</v>
      </c>
      <c r="K1341" s="3">
        <v>257772</v>
      </c>
    </row>
    <row r="1342" spans="1:11">
      <c r="A1342" s="1">
        <v>46098</v>
      </c>
      <c r="B1342" t="s">
        <v>1982</v>
      </c>
      <c r="C1342">
        <v>4.383</v>
      </c>
      <c r="E1342" s="1">
        <v>45804</v>
      </c>
      <c r="F1342" s="1" t="s">
        <v>162</v>
      </c>
      <c r="G1342" s="9">
        <v>4.38</v>
      </c>
      <c r="I1342" s="1">
        <v>46100</v>
      </c>
      <c r="J1342" s="1" t="s">
        <v>288</v>
      </c>
      <c r="K1342" s="3">
        <v>-110101</v>
      </c>
    </row>
    <row r="1343" spans="1:11">
      <c r="A1343" s="1">
        <v>46098</v>
      </c>
      <c r="B1343" t="s">
        <v>1983</v>
      </c>
      <c r="C1343">
        <v>4.4379999999999997</v>
      </c>
      <c r="E1343" s="1">
        <v>45804</v>
      </c>
      <c r="F1343" s="1" t="s">
        <v>163</v>
      </c>
      <c r="G1343" s="9">
        <v>4.4800000000000004</v>
      </c>
      <c r="I1343" s="1">
        <v>46100</v>
      </c>
      <c r="J1343" s="1" t="s">
        <v>289</v>
      </c>
      <c r="K1343" s="3">
        <v>27</v>
      </c>
    </row>
    <row r="1344" spans="1:11">
      <c r="A1344" s="1">
        <v>46097</v>
      </c>
      <c r="B1344" t="s">
        <v>1974</v>
      </c>
      <c r="C1344">
        <v>3.1379999999999999</v>
      </c>
      <c r="E1344" s="1">
        <v>45803</v>
      </c>
      <c r="F1344" s="1" t="s">
        <v>160</v>
      </c>
      <c r="G1344" s="9">
        <v>4</v>
      </c>
      <c r="I1344" s="1">
        <v>46100</v>
      </c>
      <c r="J1344" s="1" t="s">
        <v>290</v>
      </c>
      <c r="K1344" s="3">
        <v>27</v>
      </c>
    </row>
    <row r="1345" spans="1:11">
      <c r="A1345" s="1">
        <v>46097</v>
      </c>
      <c r="B1345" t="s">
        <v>1975</v>
      </c>
      <c r="C1345">
        <v>3.242</v>
      </c>
      <c r="E1345" s="1">
        <v>45803</v>
      </c>
      <c r="F1345" s="1" t="s">
        <v>161</v>
      </c>
      <c r="G1345" s="9">
        <v>4.18</v>
      </c>
      <c r="I1345" s="1">
        <v>46099</v>
      </c>
      <c r="J1345" s="1" t="s">
        <v>107</v>
      </c>
      <c r="K1345" s="3">
        <v>17737737204993</v>
      </c>
    </row>
    <row r="1346" spans="1:11">
      <c r="A1346" s="1">
        <v>46097</v>
      </c>
      <c r="B1346" t="s">
        <v>1976</v>
      </c>
      <c r="C1346">
        <v>3.3250000000000002</v>
      </c>
      <c r="E1346" s="1">
        <v>45803</v>
      </c>
      <c r="F1346" s="1" t="s">
        <v>162</v>
      </c>
      <c r="G1346" s="9">
        <v>4.28</v>
      </c>
      <c r="I1346" s="1">
        <v>46099</v>
      </c>
      <c r="J1346" s="1" t="s">
        <v>282</v>
      </c>
      <c r="K1346" s="3">
        <v>1000</v>
      </c>
    </row>
    <row r="1347" spans="1:11">
      <c r="A1347" s="1">
        <v>46097</v>
      </c>
      <c r="B1347" t="s">
        <v>1977</v>
      </c>
      <c r="C1347">
        <v>3.6840000000000002</v>
      </c>
      <c r="E1347" s="1">
        <v>45803</v>
      </c>
      <c r="F1347" s="1" t="s">
        <v>163</v>
      </c>
      <c r="G1347" s="9">
        <v>4.38</v>
      </c>
      <c r="I1347" s="1">
        <v>46099</v>
      </c>
      <c r="J1347" s="1" t="s">
        <v>283</v>
      </c>
      <c r="K1347" s="3">
        <v>7</v>
      </c>
    </row>
    <row r="1348" spans="1:11">
      <c r="A1348" s="1">
        <v>46097</v>
      </c>
      <c r="B1348" t="s">
        <v>1978</v>
      </c>
      <c r="C1348">
        <v>4.0430000000000001</v>
      </c>
      <c r="E1348" s="1">
        <v>45800</v>
      </c>
      <c r="F1348" s="1" t="s">
        <v>160</v>
      </c>
      <c r="G1348" s="9">
        <v>3.98</v>
      </c>
      <c r="I1348" s="1">
        <v>46099</v>
      </c>
      <c r="J1348" s="1" t="s">
        <v>284</v>
      </c>
      <c r="K1348" s="3">
        <v>3000</v>
      </c>
    </row>
    <row r="1349" spans="1:11">
      <c r="A1349" s="1">
        <v>46097</v>
      </c>
      <c r="B1349" t="s">
        <v>1979</v>
      </c>
      <c r="C1349">
        <v>4.0730000000000004</v>
      </c>
      <c r="E1349" s="1">
        <v>45800</v>
      </c>
      <c r="F1349" s="1" t="s">
        <v>161</v>
      </c>
      <c r="G1349" s="9">
        <v>4.12</v>
      </c>
      <c r="I1349" s="1">
        <v>46099</v>
      </c>
      <c r="J1349" s="1" t="s">
        <v>285</v>
      </c>
      <c r="K1349" s="3">
        <v>4.5</v>
      </c>
    </row>
    <row r="1350" spans="1:11">
      <c r="A1350" s="1">
        <v>46097</v>
      </c>
      <c r="B1350" t="s">
        <v>1980</v>
      </c>
      <c r="C1350">
        <v>4.1980000000000004</v>
      </c>
      <c r="E1350" s="1">
        <v>45800</v>
      </c>
      <c r="F1350" s="1" t="s">
        <v>162</v>
      </c>
      <c r="G1350" s="9">
        <v>4.2</v>
      </c>
      <c r="I1350" s="1">
        <v>46099</v>
      </c>
      <c r="J1350" s="1" t="s">
        <v>286</v>
      </c>
      <c r="K1350" s="3">
        <v>9052</v>
      </c>
    </row>
    <row r="1351" spans="1:11">
      <c r="A1351" s="1">
        <v>46097</v>
      </c>
      <c r="B1351" t="s">
        <v>1981</v>
      </c>
      <c r="C1351">
        <v>4.3049999999999997</v>
      </c>
      <c r="E1351" s="1">
        <v>45800</v>
      </c>
      <c r="F1351" s="1" t="s">
        <v>163</v>
      </c>
      <c r="G1351" s="9">
        <v>4.37</v>
      </c>
      <c r="I1351" s="1">
        <v>46099</v>
      </c>
      <c r="J1351" s="1" t="s">
        <v>287</v>
      </c>
      <c r="K1351" s="3">
        <v>262772</v>
      </c>
    </row>
    <row r="1352" spans="1:11">
      <c r="A1352" s="1">
        <v>46097</v>
      </c>
      <c r="B1352" t="s">
        <v>1982</v>
      </c>
      <c r="C1352">
        <v>4.383</v>
      </c>
      <c r="E1352" s="1">
        <v>45799</v>
      </c>
      <c r="F1352" s="1" t="s">
        <v>160</v>
      </c>
      <c r="G1352" s="9">
        <v>3.85</v>
      </c>
      <c r="I1352" s="1">
        <v>46099</v>
      </c>
      <c r="J1352" s="1" t="s">
        <v>288</v>
      </c>
      <c r="K1352" s="3">
        <v>-114097</v>
      </c>
    </row>
    <row r="1353" spans="1:11">
      <c r="A1353" s="1">
        <v>46097</v>
      </c>
      <c r="B1353" t="s">
        <v>1983</v>
      </c>
      <c r="C1353">
        <v>4.4379999999999997</v>
      </c>
      <c r="E1353" s="1">
        <v>45799</v>
      </c>
      <c r="F1353" s="1" t="s">
        <v>161</v>
      </c>
      <c r="G1353" s="9">
        <v>4</v>
      </c>
      <c r="I1353" s="1">
        <v>46099</v>
      </c>
      <c r="J1353" s="1" t="s">
        <v>289</v>
      </c>
      <c r="K1353" s="3">
        <v>29</v>
      </c>
    </row>
    <row r="1354" spans="1:11">
      <c r="A1354" s="1">
        <v>46094</v>
      </c>
      <c r="B1354" t="s">
        <v>1974</v>
      </c>
      <c r="C1354">
        <v>3.1379999999999999</v>
      </c>
      <c r="E1354" s="1">
        <v>45799</v>
      </c>
      <c r="F1354" s="1" t="s">
        <v>162</v>
      </c>
      <c r="G1354" s="9">
        <v>4.13</v>
      </c>
      <c r="I1354" s="1">
        <v>46099</v>
      </c>
      <c r="J1354" s="1" t="s">
        <v>290</v>
      </c>
      <c r="K1354" s="3">
        <v>27</v>
      </c>
    </row>
    <row r="1355" spans="1:11">
      <c r="A1355" s="1">
        <v>46094</v>
      </c>
      <c r="B1355" t="s">
        <v>1975</v>
      </c>
      <c r="C1355">
        <v>3.242</v>
      </c>
      <c r="E1355" s="1">
        <v>45799</v>
      </c>
      <c r="F1355" s="1" t="s">
        <v>163</v>
      </c>
      <c r="G1355" s="9">
        <v>4.38</v>
      </c>
      <c r="I1355" s="1">
        <v>46098</v>
      </c>
      <c r="J1355" s="1" t="s">
        <v>107</v>
      </c>
      <c r="K1355" s="3">
        <v>19006836788684</v>
      </c>
    </row>
    <row r="1356" spans="1:11">
      <c r="A1356" s="1">
        <v>46094</v>
      </c>
      <c r="B1356" t="s">
        <v>1976</v>
      </c>
      <c r="C1356">
        <v>3.3250000000000002</v>
      </c>
      <c r="E1356" s="1">
        <v>45798</v>
      </c>
      <c r="F1356" s="1" t="s">
        <v>160</v>
      </c>
      <c r="G1356" s="9">
        <v>3.67</v>
      </c>
      <c r="I1356" s="1">
        <v>46098</v>
      </c>
      <c r="J1356" s="1" t="s">
        <v>282</v>
      </c>
      <c r="K1356" s="3">
        <v>1000</v>
      </c>
    </row>
    <row r="1357" spans="1:11">
      <c r="A1357" s="1">
        <v>46094</v>
      </c>
      <c r="B1357" t="s">
        <v>1977</v>
      </c>
      <c r="C1357">
        <v>3.677</v>
      </c>
      <c r="E1357" s="1">
        <v>45798</v>
      </c>
      <c r="F1357" s="1" t="s">
        <v>161</v>
      </c>
      <c r="G1357" s="9">
        <v>3.93</v>
      </c>
      <c r="I1357" s="1">
        <v>46098</v>
      </c>
      <c r="J1357" s="1" t="s">
        <v>283</v>
      </c>
      <c r="K1357" s="3">
        <v>7</v>
      </c>
    </row>
    <row r="1358" spans="1:11">
      <c r="A1358" s="1">
        <v>46094</v>
      </c>
      <c r="B1358" t="s">
        <v>1978</v>
      </c>
      <c r="C1358">
        <v>4.0289999999999999</v>
      </c>
      <c r="E1358" s="1">
        <v>45798</v>
      </c>
      <c r="F1358" s="1" t="s">
        <v>162</v>
      </c>
      <c r="G1358" s="9">
        <v>4.0999999999999996</v>
      </c>
      <c r="I1358" s="1">
        <v>46098</v>
      </c>
      <c r="J1358" s="1" t="s">
        <v>284</v>
      </c>
      <c r="K1358" s="3">
        <v>3000</v>
      </c>
    </row>
    <row r="1359" spans="1:11">
      <c r="A1359" s="1">
        <v>46094</v>
      </c>
      <c r="B1359" t="s">
        <v>1979</v>
      </c>
      <c r="C1359">
        <v>4.0750000000000002</v>
      </c>
      <c r="E1359" s="1">
        <v>45798</v>
      </c>
      <c r="F1359" s="1" t="s">
        <v>163</v>
      </c>
      <c r="G1359" s="9">
        <v>4.33</v>
      </c>
      <c r="I1359" s="1">
        <v>46098</v>
      </c>
      <c r="J1359" s="1" t="s">
        <v>285</v>
      </c>
      <c r="K1359" s="3">
        <v>4.5</v>
      </c>
    </row>
    <row r="1360" spans="1:11">
      <c r="A1360" s="1">
        <v>46094</v>
      </c>
      <c r="B1360" t="s">
        <v>1980</v>
      </c>
      <c r="C1360">
        <v>4.1929999999999996</v>
      </c>
      <c r="E1360" s="1">
        <v>45797</v>
      </c>
      <c r="F1360" s="1" t="s">
        <v>160</v>
      </c>
      <c r="G1360" s="9">
        <v>3.68</v>
      </c>
      <c r="I1360" s="1">
        <v>46098</v>
      </c>
      <c r="J1360" s="1" t="s">
        <v>286</v>
      </c>
      <c r="K1360" s="3">
        <v>22073</v>
      </c>
    </row>
    <row r="1361" spans="1:11">
      <c r="A1361" s="1">
        <v>46094</v>
      </c>
      <c r="B1361" t="s">
        <v>1981</v>
      </c>
      <c r="C1361">
        <v>4.3049999999999997</v>
      </c>
      <c r="E1361" s="1">
        <v>45797</v>
      </c>
      <c r="F1361" s="1" t="s">
        <v>161</v>
      </c>
      <c r="G1361" s="9">
        <v>4</v>
      </c>
      <c r="I1361" s="1">
        <v>46098</v>
      </c>
      <c r="J1361" s="1" t="s">
        <v>287</v>
      </c>
      <c r="K1361" s="3">
        <v>268824</v>
      </c>
    </row>
    <row r="1362" spans="1:11">
      <c r="A1362" s="1">
        <v>46094</v>
      </c>
      <c r="B1362" t="s">
        <v>1982</v>
      </c>
      <c r="C1362">
        <v>4.383</v>
      </c>
      <c r="E1362" s="1">
        <v>45797</v>
      </c>
      <c r="F1362" s="1" t="s">
        <v>162</v>
      </c>
      <c r="G1362" s="9">
        <v>4.1500000000000004</v>
      </c>
      <c r="I1362" s="1">
        <v>46098</v>
      </c>
      <c r="J1362" s="1" t="s">
        <v>288</v>
      </c>
      <c r="K1362" s="3">
        <v>-108702</v>
      </c>
    </row>
    <row r="1363" spans="1:11">
      <c r="A1363" s="1">
        <v>46094</v>
      </c>
      <c r="B1363" t="s">
        <v>1983</v>
      </c>
      <c r="C1363">
        <v>4.4379999999999997</v>
      </c>
      <c r="E1363" s="1">
        <v>45797</v>
      </c>
      <c r="F1363" s="1" t="s">
        <v>163</v>
      </c>
      <c r="G1363" s="9">
        <v>4.4000000000000004</v>
      </c>
      <c r="I1363" s="1">
        <v>46098</v>
      </c>
      <c r="J1363" s="1" t="s">
        <v>289</v>
      </c>
      <c r="K1363" s="3">
        <v>18</v>
      </c>
    </row>
    <row r="1364" spans="1:11">
      <c r="A1364" s="1">
        <v>46093</v>
      </c>
      <c r="B1364" t="s">
        <v>1974</v>
      </c>
      <c r="C1364">
        <v>3.117</v>
      </c>
      <c r="E1364" s="1">
        <v>45796</v>
      </c>
      <c r="F1364" s="1" t="s">
        <v>160</v>
      </c>
      <c r="G1364" s="9">
        <v>3.76</v>
      </c>
      <c r="I1364" s="1">
        <v>46098</v>
      </c>
      <c r="J1364" s="1" t="s">
        <v>290</v>
      </c>
      <c r="K1364" s="3">
        <v>18</v>
      </c>
    </row>
    <row r="1365" spans="1:11">
      <c r="A1365" s="1">
        <v>46093</v>
      </c>
      <c r="B1365" t="s">
        <v>1975</v>
      </c>
      <c r="C1365">
        <v>3.2210000000000001</v>
      </c>
      <c r="E1365" s="1">
        <v>45796</v>
      </c>
      <c r="F1365" s="1" t="s">
        <v>161</v>
      </c>
      <c r="G1365" s="9">
        <v>4</v>
      </c>
      <c r="I1365" s="1">
        <v>46097</v>
      </c>
      <c r="J1365" s="1" t="s">
        <v>107</v>
      </c>
      <c r="K1365" s="3">
        <v>18894770112792</v>
      </c>
    </row>
    <row r="1366" spans="1:11">
      <c r="A1366" s="1">
        <v>46093</v>
      </c>
      <c r="B1366" t="s">
        <v>1976</v>
      </c>
      <c r="C1366">
        <v>3.3</v>
      </c>
      <c r="E1366" s="1">
        <v>45796</v>
      </c>
      <c r="F1366" s="1" t="s">
        <v>162</v>
      </c>
      <c r="G1366" s="9">
        <v>4.22</v>
      </c>
      <c r="I1366" s="1">
        <v>46097</v>
      </c>
      <c r="J1366" s="1" t="s">
        <v>282</v>
      </c>
      <c r="K1366" s="3">
        <v>1000</v>
      </c>
    </row>
    <row r="1367" spans="1:11">
      <c r="A1367" s="1">
        <v>46093</v>
      </c>
      <c r="B1367" t="s">
        <v>1977</v>
      </c>
      <c r="C1367">
        <v>3.6520000000000001</v>
      </c>
      <c r="E1367" s="1">
        <v>45796</v>
      </c>
      <c r="F1367" s="1" t="s">
        <v>163</v>
      </c>
      <c r="G1367" s="9">
        <v>4.4000000000000004</v>
      </c>
      <c r="I1367" s="1">
        <v>46097</v>
      </c>
      <c r="J1367" s="1" t="s">
        <v>283</v>
      </c>
      <c r="K1367" s="3">
        <v>7</v>
      </c>
    </row>
    <row r="1368" spans="1:11">
      <c r="A1368" s="1">
        <v>46093</v>
      </c>
      <c r="B1368" t="s">
        <v>1978</v>
      </c>
      <c r="C1368">
        <v>4.0039999999999996</v>
      </c>
      <c r="E1368" s="1">
        <v>45793</v>
      </c>
      <c r="F1368" s="1" t="s">
        <v>160</v>
      </c>
      <c r="G1368" s="9">
        <v>3.8</v>
      </c>
      <c r="I1368" s="1">
        <v>46097</v>
      </c>
      <c r="J1368" s="1" t="s">
        <v>284</v>
      </c>
      <c r="K1368" s="3">
        <v>2979</v>
      </c>
    </row>
    <row r="1369" spans="1:11">
      <c r="A1369" s="1">
        <v>46093</v>
      </c>
      <c r="B1369" t="s">
        <v>1979</v>
      </c>
      <c r="C1369">
        <v>4.0609999999999999</v>
      </c>
      <c r="E1369" s="1">
        <v>45793</v>
      </c>
      <c r="F1369" s="1" t="s">
        <v>161</v>
      </c>
      <c r="G1369" s="9">
        <v>4.0599999999999996</v>
      </c>
      <c r="I1369" s="1">
        <v>46097</v>
      </c>
      <c r="J1369" s="1" t="s">
        <v>285</v>
      </c>
      <c r="K1369" s="3">
        <v>4.5</v>
      </c>
    </row>
    <row r="1370" spans="1:11">
      <c r="A1370" s="1">
        <v>46093</v>
      </c>
      <c r="B1370" t="s">
        <v>1980</v>
      </c>
      <c r="C1370">
        <v>4.2</v>
      </c>
      <c r="E1370" s="1">
        <v>45793</v>
      </c>
      <c r="F1370" s="1" t="s">
        <v>162</v>
      </c>
      <c r="G1370" s="9">
        <v>4.26</v>
      </c>
      <c r="I1370" s="1">
        <v>46097</v>
      </c>
      <c r="J1370" s="1" t="s">
        <v>286</v>
      </c>
      <c r="K1370" s="3">
        <v>42465</v>
      </c>
    </row>
    <row r="1371" spans="1:11">
      <c r="A1371" s="1">
        <v>46093</v>
      </c>
      <c r="B1371" t="s">
        <v>1981</v>
      </c>
      <c r="C1371">
        <v>4.298</v>
      </c>
      <c r="E1371" s="1">
        <v>45793</v>
      </c>
      <c r="F1371" s="1" t="s">
        <v>163</v>
      </c>
      <c r="G1371" s="9">
        <v>4.4400000000000004</v>
      </c>
      <c r="I1371" s="1">
        <v>46097</v>
      </c>
      <c r="J1371" s="1" t="s">
        <v>287</v>
      </c>
      <c r="K1371" s="3">
        <v>287897</v>
      </c>
    </row>
    <row r="1372" spans="1:11">
      <c r="A1372" s="1">
        <v>46093</v>
      </c>
      <c r="B1372" t="s">
        <v>1982</v>
      </c>
      <c r="C1372">
        <v>4.3789999999999996</v>
      </c>
      <c r="E1372" s="1">
        <v>45792</v>
      </c>
      <c r="F1372" s="1" t="s">
        <v>160</v>
      </c>
      <c r="G1372" s="9">
        <v>3.95</v>
      </c>
      <c r="I1372" s="1">
        <v>46097</v>
      </c>
      <c r="J1372" s="1" t="s">
        <v>288</v>
      </c>
      <c r="K1372" s="3">
        <v>-98757</v>
      </c>
    </row>
    <row r="1373" spans="1:11">
      <c r="A1373" s="1">
        <v>46093</v>
      </c>
      <c r="B1373" t="s">
        <v>1983</v>
      </c>
      <c r="C1373">
        <v>4.4379999999999997</v>
      </c>
      <c r="E1373" s="1">
        <v>45792</v>
      </c>
      <c r="F1373" s="1" t="s">
        <v>161</v>
      </c>
      <c r="G1373" s="9">
        <v>4.1500000000000004</v>
      </c>
      <c r="I1373" s="1">
        <v>46097</v>
      </c>
      <c r="J1373" s="1" t="s">
        <v>289</v>
      </c>
      <c r="K1373" s="3">
        <v>20</v>
      </c>
    </row>
    <row r="1374" spans="1:11">
      <c r="A1374" s="1">
        <v>46092</v>
      </c>
      <c r="B1374" t="s">
        <v>1974</v>
      </c>
      <c r="C1374">
        <v>3.0960000000000001</v>
      </c>
      <c r="E1374" s="1">
        <v>45792</v>
      </c>
      <c r="F1374" s="1" t="s">
        <v>162</v>
      </c>
      <c r="G1374" s="9">
        <v>4.3</v>
      </c>
      <c r="I1374" s="1">
        <v>46097</v>
      </c>
      <c r="J1374" s="1" t="s">
        <v>290</v>
      </c>
      <c r="K1374" s="3">
        <v>20</v>
      </c>
    </row>
    <row r="1375" spans="1:11">
      <c r="A1375" s="1">
        <v>46092</v>
      </c>
      <c r="B1375" t="s">
        <v>1975</v>
      </c>
      <c r="C1375">
        <v>3.2</v>
      </c>
      <c r="E1375" s="1">
        <v>45792</v>
      </c>
      <c r="F1375" s="1" t="s">
        <v>163</v>
      </c>
      <c r="G1375" s="9">
        <v>4.47</v>
      </c>
      <c r="I1375" s="1">
        <v>46096</v>
      </c>
      <c r="J1375" s="1" t="s">
        <v>107</v>
      </c>
      <c r="K1375" s="3">
        <v>18619827308014</v>
      </c>
    </row>
    <row r="1376" spans="1:11">
      <c r="A1376" s="1">
        <v>46092</v>
      </c>
      <c r="B1376" t="s">
        <v>1976</v>
      </c>
      <c r="C1376">
        <v>3.2669999999999999</v>
      </c>
      <c r="E1376" s="1">
        <v>45791</v>
      </c>
      <c r="F1376" s="1" t="s">
        <v>160</v>
      </c>
      <c r="G1376" s="9">
        <v>3.98</v>
      </c>
      <c r="I1376" s="1">
        <v>46094</v>
      </c>
      <c r="J1376" s="1" t="s">
        <v>282</v>
      </c>
      <c r="K1376" s="3">
        <v>1000</v>
      </c>
    </row>
    <row r="1377" spans="1:11">
      <c r="A1377" s="1">
        <v>46092</v>
      </c>
      <c r="B1377" t="s">
        <v>1977</v>
      </c>
      <c r="C1377">
        <v>3.56</v>
      </c>
      <c r="E1377" s="1">
        <v>45791</v>
      </c>
      <c r="F1377" s="1" t="s">
        <v>161</v>
      </c>
      <c r="G1377" s="9">
        <v>4.2</v>
      </c>
      <c r="I1377" s="1">
        <v>46094</v>
      </c>
      <c r="J1377" s="1" t="s">
        <v>283</v>
      </c>
      <c r="K1377" s="3">
        <v>7</v>
      </c>
    </row>
    <row r="1378" spans="1:11">
      <c r="A1378" s="1">
        <v>46092</v>
      </c>
      <c r="B1378" t="s">
        <v>1978</v>
      </c>
      <c r="C1378">
        <v>3.8540000000000001</v>
      </c>
      <c r="E1378" s="1">
        <v>45791</v>
      </c>
      <c r="F1378" s="1" t="s">
        <v>162</v>
      </c>
      <c r="G1378" s="9">
        <v>4.33</v>
      </c>
      <c r="I1378" s="1">
        <v>46094</v>
      </c>
      <c r="J1378" s="1" t="s">
        <v>284</v>
      </c>
      <c r="K1378" s="3">
        <v>3000</v>
      </c>
    </row>
    <row r="1379" spans="1:11">
      <c r="A1379" s="1">
        <v>46092</v>
      </c>
      <c r="B1379" t="s">
        <v>1979</v>
      </c>
      <c r="C1379">
        <v>3.9390000000000001</v>
      </c>
      <c r="E1379" s="1">
        <v>45791</v>
      </c>
      <c r="F1379" s="1" t="s">
        <v>163</v>
      </c>
      <c r="G1379" s="9">
        <v>4.5</v>
      </c>
      <c r="I1379" s="1">
        <v>46094</v>
      </c>
      <c r="J1379" s="1" t="s">
        <v>285</v>
      </c>
      <c r="K1379" s="3">
        <v>4.5</v>
      </c>
    </row>
    <row r="1380" spans="1:11">
      <c r="A1380" s="1">
        <v>46092</v>
      </c>
      <c r="B1380" t="s">
        <v>1980</v>
      </c>
      <c r="C1380">
        <v>4.1890000000000001</v>
      </c>
      <c r="E1380" s="1">
        <v>45790</v>
      </c>
      <c r="F1380" s="1" t="s">
        <v>160</v>
      </c>
      <c r="G1380" s="9">
        <v>4.07</v>
      </c>
      <c r="I1380" s="1">
        <v>46094</v>
      </c>
      <c r="J1380" s="1" t="s">
        <v>286</v>
      </c>
      <c r="K1380" s="3">
        <v>7023</v>
      </c>
    </row>
    <row r="1381" spans="1:11">
      <c r="A1381" s="1">
        <v>46092</v>
      </c>
      <c r="B1381" t="s">
        <v>1981</v>
      </c>
      <c r="C1381">
        <v>4.2880000000000003</v>
      </c>
      <c r="E1381" s="1">
        <v>45790</v>
      </c>
      <c r="F1381" s="1" t="s">
        <v>161</v>
      </c>
      <c r="G1381" s="9">
        <v>4.28</v>
      </c>
      <c r="I1381" s="1">
        <v>46094</v>
      </c>
      <c r="J1381" s="1" t="s">
        <v>287</v>
      </c>
      <c r="K1381" s="3">
        <v>327383</v>
      </c>
    </row>
    <row r="1382" spans="1:11">
      <c r="A1382" s="1">
        <v>46092</v>
      </c>
      <c r="B1382" t="s">
        <v>1982</v>
      </c>
      <c r="C1382">
        <v>4.3460000000000001</v>
      </c>
      <c r="E1382" s="1">
        <v>45790</v>
      </c>
      <c r="F1382" s="1" t="s">
        <v>162</v>
      </c>
      <c r="G1382" s="9">
        <v>4.38</v>
      </c>
      <c r="I1382" s="1">
        <v>46094</v>
      </c>
      <c r="J1382" s="1" t="s">
        <v>288</v>
      </c>
      <c r="K1382" s="3">
        <v>-99315</v>
      </c>
    </row>
    <row r="1383" spans="1:11">
      <c r="A1383" s="1">
        <v>46092</v>
      </c>
      <c r="B1383" t="s">
        <v>1983</v>
      </c>
      <c r="C1383">
        <v>4.4039999999999999</v>
      </c>
      <c r="E1383" s="1">
        <v>45790</v>
      </c>
      <c r="F1383" s="1" t="s">
        <v>163</v>
      </c>
      <c r="G1383" s="9">
        <v>4.5</v>
      </c>
      <c r="I1383" s="1">
        <v>46094</v>
      </c>
      <c r="J1383" s="1" t="s">
        <v>289</v>
      </c>
      <c r="K1383" s="3">
        <v>16</v>
      </c>
    </row>
    <row r="1384" spans="1:11">
      <c r="A1384" s="1">
        <v>46091</v>
      </c>
      <c r="B1384" t="s">
        <v>1974</v>
      </c>
      <c r="C1384">
        <v>3.0960000000000001</v>
      </c>
      <c r="E1384" s="1">
        <v>45789</v>
      </c>
      <c r="F1384" s="1" t="s">
        <v>160</v>
      </c>
      <c r="G1384" s="9">
        <v>4.1399999999999997</v>
      </c>
      <c r="I1384" s="1">
        <v>46094</v>
      </c>
      <c r="J1384" s="1" t="s">
        <v>290</v>
      </c>
      <c r="K1384" s="3">
        <v>16</v>
      </c>
    </row>
    <row r="1385" spans="1:11">
      <c r="A1385" s="1">
        <v>46091</v>
      </c>
      <c r="B1385" t="s">
        <v>1975</v>
      </c>
      <c r="C1385">
        <v>3.2</v>
      </c>
      <c r="E1385" s="1">
        <v>45789</v>
      </c>
      <c r="F1385" s="1" t="s">
        <v>161</v>
      </c>
      <c r="G1385" s="9">
        <v>4.3</v>
      </c>
      <c r="I1385" s="1">
        <v>46093</v>
      </c>
      <c r="J1385" s="1" t="s">
        <v>107</v>
      </c>
      <c r="K1385" s="3">
        <v>18096304162178</v>
      </c>
    </row>
    <row r="1386" spans="1:11">
      <c r="A1386" s="1">
        <v>46091</v>
      </c>
      <c r="B1386" t="s">
        <v>1976</v>
      </c>
      <c r="C1386">
        <v>3.2669999999999999</v>
      </c>
      <c r="E1386" s="1">
        <v>45789</v>
      </c>
      <c r="F1386" s="1" t="s">
        <v>162</v>
      </c>
      <c r="G1386" s="9">
        <v>4.4000000000000004</v>
      </c>
      <c r="I1386" s="1">
        <v>46093</v>
      </c>
      <c r="J1386" s="1" t="s">
        <v>282</v>
      </c>
      <c r="K1386" s="3">
        <v>1000</v>
      </c>
    </row>
    <row r="1387" spans="1:11">
      <c r="A1387" s="1">
        <v>46091</v>
      </c>
      <c r="B1387" t="s">
        <v>1977</v>
      </c>
      <c r="C1387">
        <v>3.5579999999999998</v>
      </c>
      <c r="E1387" s="1">
        <v>45789</v>
      </c>
      <c r="F1387" s="1" t="s">
        <v>163</v>
      </c>
      <c r="G1387" s="9">
        <v>4.5</v>
      </c>
      <c r="I1387" s="1">
        <v>46093</v>
      </c>
      <c r="J1387" s="1" t="s">
        <v>283</v>
      </c>
      <c r="K1387" s="3">
        <v>7</v>
      </c>
    </row>
    <row r="1388" spans="1:11">
      <c r="A1388" s="1">
        <v>46091</v>
      </c>
      <c r="B1388" t="s">
        <v>1978</v>
      </c>
      <c r="C1388">
        <v>3.85</v>
      </c>
      <c r="E1388" s="1">
        <v>45786</v>
      </c>
      <c r="F1388" s="1" t="s">
        <v>160</v>
      </c>
      <c r="G1388" s="9">
        <v>4.1500000000000004</v>
      </c>
      <c r="I1388" s="1">
        <v>46093</v>
      </c>
      <c r="J1388" s="1" t="s">
        <v>284</v>
      </c>
      <c r="K1388" s="3">
        <v>4000</v>
      </c>
    </row>
    <row r="1389" spans="1:11">
      <c r="A1389" s="1">
        <v>46091</v>
      </c>
      <c r="B1389" t="s">
        <v>1979</v>
      </c>
      <c r="C1389">
        <v>3.8690000000000002</v>
      </c>
      <c r="E1389" s="1">
        <v>45786</v>
      </c>
      <c r="F1389" s="1" t="s">
        <v>161</v>
      </c>
      <c r="G1389" s="9">
        <v>4.3</v>
      </c>
      <c r="I1389" s="1">
        <v>46093</v>
      </c>
      <c r="J1389" s="1" t="s">
        <v>285</v>
      </c>
      <c r="K1389" s="3">
        <v>4.5</v>
      </c>
    </row>
    <row r="1390" spans="1:11">
      <c r="A1390" s="1">
        <v>46091</v>
      </c>
      <c r="B1390" t="s">
        <v>1980</v>
      </c>
      <c r="C1390">
        <v>4.1870000000000003</v>
      </c>
      <c r="E1390" s="1">
        <v>45786</v>
      </c>
      <c r="F1390" s="1" t="s">
        <v>162</v>
      </c>
      <c r="G1390" s="9">
        <v>4.4000000000000004</v>
      </c>
      <c r="I1390" s="1">
        <v>46093</v>
      </c>
      <c r="J1390" s="1" t="s">
        <v>286</v>
      </c>
      <c r="K1390" s="3">
        <v>8672</v>
      </c>
    </row>
    <row r="1391" spans="1:11">
      <c r="A1391" s="1">
        <v>46091</v>
      </c>
      <c r="B1391" t="s">
        <v>1981</v>
      </c>
      <c r="C1391">
        <v>4.258</v>
      </c>
      <c r="E1391" s="1">
        <v>45786</v>
      </c>
      <c r="F1391" s="1" t="s">
        <v>163</v>
      </c>
      <c r="G1391" s="9">
        <v>4.5199999999999996</v>
      </c>
      <c r="I1391" s="1">
        <v>46093</v>
      </c>
      <c r="J1391" s="1" t="s">
        <v>287</v>
      </c>
      <c r="K1391" s="3">
        <v>331406</v>
      </c>
    </row>
    <row r="1392" spans="1:11">
      <c r="A1392" s="1">
        <v>46091</v>
      </c>
      <c r="B1392" t="s">
        <v>1982</v>
      </c>
      <c r="C1392">
        <v>4.3460000000000001</v>
      </c>
      <c r="E1392" s="1">
        <v>45785</v>
      </c>
      <c r="F1392" s="1" t="s">
        <v>160</v>
      </c>
      <c r="G1392" s="9">
        <v>4.0199999999999996</v>
      </c>
      <c r="I1392" s="1">
        <v>46093</v>
      </c>
      <c r="J1392" s="1" t="s">
        <v>288</v>
      </c>
      <c r="K1392" s="3">
        <v>-88613</v>
      </c>
    </row>
    <row r="1393" spans="1:11">
      <c r="A1393" s="1">
        <v>46091</v>
      </c>
      <c r="B1393" t="s">
        <v>1983</v>
      </c>
      <c r="C1393">
        <v>4.4039999999999999</v>
      </c>
      <c r="E1393" s="1">
        <v>45785</v>
      </c>
      <c r="F1393" s="1" t="s">
        <v>161</v>
      </c>
      <c r="G1393" s="9">
        <v>4.25</v>
      </c>
      <c r="I1393" s="1">
        <v>46093</v>
      </c>
      <c r="J1393" s="1" t="s">
        <v>289</v>
      </c>
      <c r="K1393" s="3">
        <v>12</v>
      </c>
    </row>
    <row r="1394" spans="1:11">
      <c r="A1394" s="1">
        <v>46090</v>
      </c>
      <c r="B1394" t="s">
        <v>1974</v>
      </c>
      <c r="C1394">
        <v>3.0750000000000002</v>
      </c>
      <c r="E1394" s="1">
        <v>45785</v>
      </c>
      <c r="F1394" s="1" t="s">
        <v>162</v>
      </c>
      <c r="G1394" s="9">
        <v>4.37</v>
      </c>
      <c r="I1394" s="1">
        <v>46093</v>
      </c>
      <c r="J1394" s="1" t="s">
        <v>290</v>
      </c>
      <c r="K1394" s="3">
        <v>12</v>
      </c>
    </row>
    <row r="1395" spans="1:11">
      <c r="A1395" s="1">
        <v>46090</v>
      </c>
      <c r="B1395" t="s">
        <v>1975</v>
      </c>
      <c r="C1395">
        <v>3.1880000000000002</v>
      </c>
      <c r="E1395" s="1">
        <v>45785</v>
      </c>
      <c r="F1395" s="1" t="s">
        <v>163</v>
      </c>
      <c r="G1395" s="9">
        <v>4.5</v>
      </c>
      <c r="I1395" s="1">
        <v>46092</v>
      </c>
      <c r="J1395" s="1" t="s">
        <v>282</v>
      </c>
      <c r="K1395" s="3">
        <v>2000</v>
      </c>
    </row>
    <row r="1396" spans="1:11">
      <c r="A1396" s="1">
        <v>46090</v>
      </c>
      <c r="B1396" t="s">
        <v>1976</v>
      </c>
      <c r="C1396">
        <v>3.246</v>
      </c>
      <c r="E1396" s="1">
        <v>45784</v>
      </c>
      <c r="F1396" s="1" t="s">
        <v>160</v>
      </c>
      <c r="G1396" s="9">
        <v>4.08</v>
      </c>
      <c r="I1396" s="1">
        <v>46092</v>
      </c>
      <c r="J1396" s="1" t="s">
        <v>283</v>
      </c>
      <c r="K1396" s="3">
        <v>7</v>
      </c>
    </row>
    <row r="1397" spans="1:11">
      <c r="A1397" s="1">
        <v>46090</v>
      </c>
      <c r="B1397" t="s">
        <v>1977</v>
      </c>
      <c r="C1397">
        <v>3.5390000000000001</v>
      </c>
      <c r="E1397" s="1">
        <v>45784</v>
      </c>
      <c r="F1397" s="1" t="s">
        <v>161</v>
      </c>
      <c r="G1397" s="9">
        <v>4.3</v>
      </c>
      <c r="I1397" s="1">
        <v>46092</v>
      </c>
      <c r="J1397" s="1" t="s">
        <v>284</v>
      </c>
      <c r="K1397" s="3">
        <v>5000</v>
      </c>
    </row>
    <row r="1398" spans="1:11">
      <c r="A1398" s="1">
        <v>46090</v>
      </c>
      <c r="B1398" t="s">
        <v>1978</v>
      </c>
      <c r="C1398">
        <v>3.8319999999999999</v>
      </c>
      <c r="E1398" s="1">
        <v>45784</v>
      </c>
      <c r="F1398" s="1" t="s">
        <v>162</v>
      </c>
      <c r="G1398" s="9">
        <v>4.4000000000000004</v>
      </c>
      <c r="I1398" s="1">
        <v>46092</v>
      </c>
      <c r="J1398" s="1" t="s">
        <v>285</v>
      </c>
      <c r="K1398" s="3">
        <v>4.5</v>
      </c>
    </row>
    <row r="1399" spans="1:11">
      <c r="A1399" s="1">
        <v>46090</v>
      </c>
      <c r="B1399" t="s">
        <v>1979</v>
      </c>
      <c r="C1399">
        <v>3.8690000000000002</v>
      </c>
      <c r="E1399" s="1">
        <v>45784</v>
      </c>
      <c r="F1399" s="1" t="s">
        <v>163</v>
      </c>
      <c r="G1399" s="9">
        <v>4.5199999999999996</v>
      </c>
      <c r="I1399" s="1">
        <v>46092</v>
      </c>
      <c r="J1399" s="1" t="s">
        <v>286</v>
      </c>
      <c r="K1399" s="3">
        <v>13423</v>
      </c>
    </row>
    <row r="1400" spans="1:11">
      <c r="A1400" s="1">
        <v>46090</v>
      </c>
      <c r="B1400" t="s">
        <v>1980</v>
      </c>
      <c r="C1400">
        <v>4.1779999999999999</v>
      </c>
      <c r="E1400" s="1">
        <v>45783</v>
      </c>
      <c r="F1400" s="1" t="s">
        <v>160</v>
      </c>
      <c r="G1400" s="9">
        <v>4.18</v>
      </c>
      <c r="I1400" s="1">
        <v>46092</v>
      </c>
      <c r="J1400" s="1" t="s">
        <v>287</v>
      </c>
      <c r="K1400" s="3">
        <v>336078</v>
      </c>
    </row>
    <row r="1401" spans="1:11">
      <c r="A1401" s="1">
        <v>46090</v>
      </c>
      <c r="B1401" t="s">
        <v>1981</v>
      </c>
      <c r="C1401">
        <v>4.2530000000000001</v>
      </c>
      <c r="E1401" s="1">
        <v>45783</v>
      </c>
      <c r="F1401" s="1" t="s">
        <v>161</v>
      </c>
      <c r="G1401" s="9">
        <v>4.3600000000000003</v>
      </c>
      <c r="I1401" s="1">
        <v>46092</v>
      </c>
      <c r="J1401" s="1" t="s">
        <v>288</v>
      </c>
      <c r="K1401" s="3">
        <v>-89285</v>
      </c>
    </row>
    <row r="1402" spans="1:11">
      <c r="A1402" s="1">
        <v>46090</v>
      </c>
      <c r="B1402" t="s">
        <v>1982</v>
      </c>
      <c r="C1402">
        <v>4.3419999999999996</v>
      </c>
      <c r="E1402" s="1">
        <v>45783</v>
      </c>
      <c r="F1402" s="1" t="s">
        <v>162</v>
      </c>
      <c r="G1402" s="9">
        <v>4.46</v>
      </c>
      <c r="I1402" s="1">
        <v>46092</v>
      </c>
      <c r="J1402" s="1" t="s">
        <v>289</v>
      </c>
      <c r="K1402" s="3">
        <v>14</v>
      </c>
    </row>
    <row r="1403" spans="1:11">
      <c r="A1403" s="1">
        <v>46090</v>
      </c>
      <c r="B1403" t="s">
        <v>1983</v>
      </c>
      <c r="C1403">
        <v>4.4000000000000004</v>
      </c>
      <c r="E1403" s="1">
        <v>45783</v>
      </c>
      <c r="F1403" s="1" t="s">
        <v>163</v>
      </c>
      <c r="G1403" s="9">
        <v>4.5599999999999996</v>
      </c>
      <c r="I1403" s="1">
        <v>46092</v>
      </c>
      <c r="J1403" s="1" t="s">
        <v>290</v>
      </c>
      <c r="K1403" s="3">
        <v>14</v>
      </c>
    </row>
    <row r="1404" spans="1:11">
      <c r="A1404" s="1">
        <v>46087</v>
      </c>
      <c r="B1404" t="s">
        <v>1974</v>
      </c>
      <c r="C1404">
        <v>3.0579999999999998</v>
      </c>
      <c r="E1404" s="1">
        <v>45782</v>
      </c>
      <c r="F1404" s="1" t="s">
        <v>160</v>
      </c>
      <c r="G1404" s="9">
        <v>4.22</v>
      </c>
      <c r="I1404" s="1">
        <v>46092</v>
      </c>
      <c r="J1404" s="1" t="s">
        <v>107</v>
      </c>
      <c r="K1404" s="3">
        <v>17709400386249</v>
      </c>
    </row>
    <row r="1405" spans="1:11">
      <c r="A1405" s="1">
        <v>46087</v>
      </c>
      <c r="B1405" t="s">
        <v>1975</v>
      </c>
      <c r="C1405">
        <v>3.1709999999999998</v>
      </c>
      <c r="E1405" s="1">
        <v>45782</v>
      </c>
      <c r="F1405" s="1" t="s">
        <v>161</v>
      </c>
      <c r="G1405" s="9">
        <v>4.3899999999999997</v>
      </c>
      <c r="I1405" s="1">
        <v>46091</v>
      </c>
      <c r="J1405" s="1" t="s">
        <v>282</v>
      </c>
      <c r="K1405" s="3">
        <v>3000</v>
      </c>
    </row>
    <row r="1406" spans="1:11">
      <c r="A1406" s="1">
        <v>46087</v>
      </c>
      <c r="B1406" t="s">
        <v>1976</v>
      </c>
      <c r="C1406">
        <v>3.2290000000000001</v>
      </c>
      <c r="E1406" s="1">
        <v>45782</v>
      </c>
      <c r="F1406" s="1" t="s">
        <v>162</v>
      </c>
      <c r="G1406" s="9">
        <v>4.46</v>
      </c>
      <c r="I1406" s="1">
        <v>46091</v>
      </c>
      <c r="J1406" s="1" t="s">
        <v>283</v>
      </c>
      <c r="K1406" s="3">
        <v>7</v>
      </c>
    </row>
    <row r="1407" spans="1:11">
      <c r="A1407" s="1">
        <v>46087</v>
      </c>
      <c r="B1407" t="s">
        <v>1977</v>
      </c>
      <c r="C1407">
        <v>3.5259999999999998</v>
      </c>
      <c r="E1407" s="1">
        <v>45782</v>
      </c>
      <c r="F1407" s="1" t="s">
        <v>163</v>
      </c>
      <c r="G1407" s="9">
        <v>4.54</v>
      </c>
      <c r="I1407" s="1">
        <v>46091</v>
      </c>
      <c r="J1407" s="1" t="s">
        <v>284</v>
      </c>
      <c r="K1407" s="3">
        <v>17000</v>
      </c>
    </row>
    <row r="1408" spans="1:11">
      <c r="A1408" s="1">
        <v>46087</v>
      </c>
      <c r="B1408" t="s">
        <v>1978</v>
      </c>
      <c r="C1408">
        <v>3.8220000000000001</v>
      </c>
      <c r="E1408" s="1">
        <v>45776</v>
      </c>
      <c r="F1408" s="1" t="s">
        <v>160</v>
      </c>
      <c r="G1408" s="9">
        <v>4</v>
      </c>
      <c r="I1408" s="1">
        <v>46091</v>
      </c>
      <c r="J1408" s="1" t="s">
        <v>285</v>
      </c>
      <c r="K1408" s="3">
        <v>4.5</v>
      </c>
    </row>
    <row r="1409" spans="1:11">
      <c r="A1409" s="1">
        <v>46087</v>
      </c>
      <c r="B1409" t="s">
        <v>1979</v>
      </c>
      <c r="C1409">
        <v>3.847</v>
      </c>
      <c r="E1409" s="1">
        <v>45776</v>
      </c>
      <c r="F1409" s="1" t="s">
        <v>161</v>
      </c>
      <c r="G1409" s="9">
        <v>4.2</v>
      </c>
      <c r="I1409" s="1">
        <v>46091</v>
      </c>
      <c r="J1409" s="1" t="s">
        <v>286</v>
      </c>
      <c r="K1409" s="3">
        <v>45099</v>
      </c>
    </row>
    <row r="1410" spans="1:11">
      <c r="A1410" s="1">
        <v>46087</v>
      </c>
      <c r="B1410" t="s">
        <v>1980</v>
      </c>
      <c r="C1410">
        <v>4.1669999999999998</v>
      </c>
      <c r="E1410" s="1">
        <v>45776</v>
      </c>
      <c r="F1410" s="1" t="s">
        <v>162</v>
      </c>
      <c r="G1410" s="9">
        <v>4.37</v>
      </c>
      <c r="I1410" s="1">
        <v>46091</v>
      </c>
      <c r="J1410" s="1" t="s">
        <v>287</v>
      </c>
      <c r="K1410" s="3">
        <v>344501</v>
      </c>
    </row>
    <row r="1411" spans="1:11">
      <c r="A1411" s="1">
        <v>46087</v>
      </c>
      <c r="B1411" t="s">
        <v>1981</v>
      </c>
      <c r="C1411">
        <v>4.2300000000000004</v>
      </c>
      <c r="E1411" s="1">
        <v>45776</v>
      </c>
      <c r="F1411" s="1" t="s">
        <v>163</v>
      </c>
      <c r="G1411" s="9">
        <v>4.54</v>
      </c>
      <c r="I1411" s="1">
        <v>46091</v>
      </c>
      <c r="J1411" s="1" t="s">
        <v>288</v>
      </c>
      <c r="K1411" s="3">
        <v>-93656</v>
      </c>
    </row>
    <row r="1412" spans="1:11">
      <c r="A1412" s="1">
        <v>46087</v>
      </c>
      <c r="B1412" t="s">
        <v>1982</v>
      </c>
      <c r="C1412">
        <v>4.3499999999999996</v>
      </c>
      <c r="E1412" s="1">
        <v>45775</v>
      </c>
      <c r="F1412" s="1" t="s">
        <v>160</v>
      </c>
      <c r="G1412" s="9">
        <v>2.5</v>
      </c>
      <c r="I1412" s="1">
        <v>46091</v>
      </c>
      <c r="J1412" s="1" t="s">
        <v>289</v>
      </c>
      <c r="K1412" s="3">
        <v>22</v>
      </c>
    </row>
    <row r="1413" spans="1:11">
      <c r="A1413" s="1">
        <v>46087</v>
      </c>
      <c r="B1413" t="s">
        <v>1983</v>
      </c>
      <c r="C1413">
        <v>4.4000000000000004</v>
      </c>
      <c r="E1413" s="1">
        <v>45775</v>
      </c>
      <c r="F1413" s="1" t="s">
        <v>161</v>
      </c>
      <c r="G1413" s="9">
        <v>4.28</v>
      </c>
      <c r="I1413" s="1">
        <v>46091</v>
      </c>
      <c r="J1413" s="1" t="s">
        <v>290</v>
      </c>
      <c r="K1413" s="3">
        <v>22</v>
      </c>
    </row>
    <row r="1414" spans="1:11">
      <c r="A1414" s="1">
        <v>46086</v>
      </c>
      <c r="B1414" t="s">
        <v>1974</v>
      </c>
      <c r="C1414">
        <v>3.0579999999999998</v>
      </c>
      <c r="E1414" s="1">
        <v>45775</v>
      </c>
      <c r="F1414" s="1" t="s">
        <v>162</v>
      </c>
      <c r="G1414" s="9">
        <v>4.34</v>
      </c>
      <c r="I1414" s="1">
        <v>46091</v>
      </c>
      <c r="J1414" s="1" t="s">
        <v>107</v>
      </c>
      <c r="K1414" s="3">
        <v>18143071739971</v>
      </c>
    </row>
    <row r="1415" spans="1:11">
      <c r="A1415" s="1">
        <v>46086</v>
      </c>
      <c r="B1415" t="s">
        <v>1975</v>
      </c>
      <c r="C1415">
        <v>3.1709999999999998</v>
      </c>
      <c r="E1415" s="1">
        <v>45775</v>
      </c>
      <c r="F1415" s="1" t="s">
        <v>163</v>
      </c>
      <c r="G1415" s="9">
        <v>4.53</v>
      </c>
      <c r="I1415" s="1">
        <v>46090</v>
      </c>
      <c r="J1415" s="1" t="s">
        <v>282</v>
      </c>
      <c r="K1415" s="3">
        <v>4000</v>
      </c>
    </row>
    <row r="1416" spans="1:11">
      <c r="A1416" s="1">
        <v>46086</v>
      </c>
      <c r="B1416" t="s">
        <v>1976</v>
      </c>
      <c r="C1416">
        <v>3.2290000000000001</v>
      </c>
      <c r="E1416" s="1">
        <v>45772</v>
      </c>
      <c r="F1416" s="1" t="s">
        <v>160</v>
      </c>
      <c r="G1416" s="9">
        <v>2.4300000000000002</v>
      </c>
      <c r="I1416" s="1">
        <v>46090</v>
      </c>
      <c r="J1416" s="1" t="s">
        <v>283</v>
      </c>
      <c r="K1416" s="3">
        <v>7</v>
      </c>
    </row>
    <row r="1417" spans="1:11">
      <c r="A1417" s="1">
        <v>46086</v>
      </c>
      <c r="B1417" t="s">
        <v>1977</v>
      </c>
      <c r="C1417">
        <v>3.5259999999999998</v>
      </c>
      <c r="E1417" s="1">
        <v>45772</v>
      </c>
      <c r="F1417" s="1" t="s">
        <v>161</v>
      </c>
      <c r="G1417" s="9">
        <v>4.13</v>
      </c>
      <c r="I1417" s="1">
        <v>46090</v>
      </c>
      <c r="J1417" s="1" t="s">
        <v>284</v>
      </c>
      <c r="K1417" s="3">
        <v>16000</v>
      </c>
    </row>
    <row r="1418" spans="1:11">
      <c r="A1418" s="1">
        <v>46086</v>
      </c>
      <c r="B1418" t="s">
        <v>1978</v>
      </c>
      <c r="C1418">
        <v>3.8220000000000001</v>
      </c>
      <c r="E1418" s="1">
        <v>45772</v>
      </c>
      <c r="F1418" s="1" t="s">
        <v>162</v>
      </c>
      <c r="G1418" s="9">
        <v>4.28</v>
      </c>
      <c r="I1418" s="1">
        <v>46090</v>
      </c>
      <c r="J1418" s="1" t="s">
        <v>285</v>
      </c>
      <c r="K1418" s="3">
        <v>4.5</v>
      </c>
    </row>
    <row r="1419" spans="1:11">
      <c r="A1419" s="1">
        <v>46086</v>
      </c>
      <c r="B1419" t="s">
        <v>1979</v>
      </c>
      <c r="C1419">
        <v>3.847</v>
      </c>
      <c r="E1419" s="1">
        <v>45772</v>
      </c>
      <c r="F1419" s="1" t="s">
        <v>163</v>
      </c>
      <c r="G1419" s="9">
        <v>4.55</v>
      </c>
      <c r="I1419" s="1">
        <v>46090</v>
      </c>
      <c r="J1419" s="1" t="s">
        <v>286</v>
      </c>
      <c r="K1419" s="3">
        <v>52259</v>
      </c>
    </row>
    <row r="1420" spans="1:11">
      <c r="A1420" s="1">
        <v>46086</v>
      </c>
      <c r="B1420" t="s">
        <v>1980</v>
      </c>
      <c r="C1420">
        <v>4.165</v>
      </c>
      <c r="E1420" s="1">
        <v>45771</v>
      </c>
      <c r="F1420" s="1" t="s">
        <v>160</v>
      </c>
      <c r="G1420" s="9">
        <v>3.33</v>
      </c>
      <c r="I1420" s="1">
        <v>46090</v>
      </c>
      <c r="J1420" s="1" t="s">
        <v>287</v>
      </c>
      <c r="K1420" s="3">
        <v>372600</v>
      </c>
    </row>
    <row r="1421" spans="1:11">
      <c r="A1421" s="1">
        <v>46086</v>
      </c>
      <c r="B1421" t="s">
        <v>1981</v>
      </c>
      <c r="C1421">
        <v>4.2300000000000004</v>
      </c>
      <c r="E1421" s="1">
        <v>45771</v>
      </c>
      <c r="F1421" s="1" t="s">
        <v>161</v>
      </c>
      <c r="G1421" s="9">
        <v>4.3099999999999996</v>
      </c>
      <c r="I1421" s="1">
        <v>46090</v>
      </c>
      <c r="J1421" s="1" t="s">
        <v>288</v>
      </c>
      <c r="K1421" s="3">
        <v>-116682</v>
      </c>
    </row>
    <row r="1422" spans="1:11">
      <c r="A1422" s="1">
        <v>46086</v>
      </c>
      <c r="B1422" t="s">
        <v>1982</v>
      </c>
      <c r="C1422">
        <v>4.3499999999999996</v>
      </c>
      <c r="E1422" s="1">
        <v>45771</v>
      </c>
      <c r="F1422" s="1" t="s">
        <v>162</v>
      </c>
      <c r="G1422" s="9">
        <v>4.47</v>
      </c>
      <c r="I1422" s="1">
        <v>46090</v>
      </c>
      <c r="J1422" s="1" t="s">
        <v>289</v>
      </c>
      <c r="K1422" s="3">
        <v>24</v>
      </c>
    </row>
    <row r="1423" spans="1:11">
      <c r="A1423" s="1">
        <v>46086</v>
      </c>
      <c r="B1423" t="s">
        <v>1983</v>
      </c>
      <c r="C1423">
        <v>4.4000000000000004</v>
      </c>
      <c r="E1423" s="1">
        <v>45771</v>
      </c>
      <c r="F1423" s="1" t="s">
        <v>163</v>
      </c>
      <c r="G1423" s="9">
        <v>4.6100000000000003</v>
      </c>
      <c r="I1423" s="1">
        <v>46090</v>
      </c>
      <c r="J1423" s="1" t="s">
        <v>290</v>
      </c>
      <c r="K1423" s="3">
        <v>24</v>
      </c>
    </row>
    <row r="1424" spans="1:11">
      <c r="A1424" s="1">
        <v>46085</v>
      </c>
      <c r="B1424" t="s">
        <v>1974</v>
      </c>
      <c r="C1424">
        <v>3.0579999999999998</v>
      </c>
      <c r="E1424" s="1">
        <v>45770</v>
      </c>
      <c r="F1424" s="1" t="s">
        <v>160</v>
      </c>
      <c r="G1424" s="9">
        <v>3.97</v>
      </c>
      <c r="I1424" s="1">
        <v>46090</v>
      </c>
      <c r="J1424" s="1" t="s">
        <v>107</v>
      </c>
      <c r="K1424" s="3">
        <v>17787069222345</v>
      </c>
    </row>
    <row r="1425" spans="1:11">
      <c r="A1425" s="1">
        <v>46085</v>
      </c>
      <c r="B1425" t="s">
        <v>1975</v>
      </c>
      <c r="C1425">
        <v>3.1709999999999998</v>
      </c>
      <c r="E1425" s="1">
        <v>45770</v>
      </c>
      <c r="F1425" s="1" t="s">
        <v>161</v>
      </c>
      <c r="G1425" s="9">
        <v>4.53</v>
      </c>
      <c r="I1425" s="1">
        <v>46089</v>
      </c>
      <c r="J1425" s="1" t="s">
        <v>107</v>
      </c>
      <c r="K1425" s="3">
        <v>18538921852190</v>
      </c>
    </row>
    <row r="1426" spans="1:11">
      <c r="A1426" s="1">
        <v>46085</v>
      </c>
      <c r="B1426" t="s">
        <v>1976</v>
      </c>
      <c r="C1426">
        <v>3.2290000000000001</v>
      </c>
      <c r="E1426" s="1">
        <v>45770</v>
      </c>
      <c r="F1426" s="1" t="s">
        <v>162</v>
      </c>
      <c r="G1426" s="9">
        <v>4.63</v>
      </c>
      <c r="I1426" s="1">
        <v>46087</v>
      </c>
      <c r="J1426" s="1" t="s">
        <v>282</v>
      </c>
      <c r="K1426" s="3">
        <v>1000</v>
      </c>
    </row>
    <row r="1427" spans="1:11">
      <c r="A1427" s="1">
        <v>46085</v>
      </c>
      <c r="B1427" t="s">
        <v>1977</v>
      </c>
      <c r="C1427">
        <v>3.52</v>
      </c>
      <c r="E1427" s="1">
        <v>45770</v>
      </c>
      <c r="F1427" s="1" t="s">
        <v>163</v>
      </c>
      <c r="G1427" s="9">
        <v>4.7300000000000004</v>
      </c>
      <c r="I1427" s="1">
        <v>46087</v>
      </c>
      <c r="J1427" s="1" t="s">
        <v>283</v>
      </c>
      <c r="K1427" s="3">
        <v>7</v>
      </c>
    </row>
    <row r="1428" spans="1:11">
      <c r="A1428" s="1">
        <v>46085</v>
      </c>
      <c r="B1428" t="s">
        <v>1978</v>
      </c>
      <c r="C1428">
        <v>3.8109999999999999</v>
      </c>
      <c r="E1428" s="1">
        <v>45769</v>
      </c>
      <c r="F1428" s="1" t="s">
        <v>160</v>
      </c>
      <c r="G1428" s="9">
        <v>4.47</v>
      </c>
      <c r="I1428" s="1">
        <v>46087</v>
      </c>
      <c r="J1428" s="1" t="s">
        <v>284</v>
      </c>
      <c r="K1428" s="3">
        <v>8000</v>
      </c>
    </row>
    <row r="1429" spans="1:11">
      <c r="A1429" s="1">
        <v>46085</v>
      </c>
      <c r="B1429" t="s">
        <v>1979</v>
      </c>
      <c r="C1429">
        <v>3.8450000000000002</v>
      </c>
      <c r="E1429" s="1">
        <v>45769</v>
      </c>
      <c r="F1429" s="1" t="s">
        <v>161</v>
      </c>
      <c r="G1429" s="9">
        <v>4.57</v>
      </c>
      <c r="I1429" s="1">
        <v>46087</v>
      </c>
      <c r="J1429" s="1" t="s">
        <v>285</v>
      </c>
      <c r="K1429" s="3">
        <v>4.5</v>
      </c>
    </row>
    <row r="1430" spans="1:11">
      <c r="A1430" s="1">
        <v>46085</v>
      </c>
      <c r="B1430" t="s">
        <v>1980</v>
      </c>
      <c r="C1430">
        <v>4.1660000000000004</v>
      </c>
      <c r="E1430" s="1">
        <v>45769</v>
      </c>
      <c r="F1430" s="1" t="s">
        <v>162</v>
      </c>
      <c r="G1430" s="9">
        <v>4.6900000000000004</v>
      </c>
      <c r="I1430" s="1">
        <v>46087</v>
      </c>
      <c r="J1430" s="1" t="s">
        <v>286</v>
      </c>
      <c r="K1430" s="3">
        <v>31514</v>
      </c>
    </row>
    <row r="1431" spans="1:11">
      <c r="A1431" s="1">
        <v>46085</v>
      </c>
      <c r="B1431" t="s">
        <v>1981</v>
      </c>
      <c r="C1431">
        <v>4.2279999999999998</v>
      </c>
      <c r="E1431" s="1">
        <v>45769</v>
      </c>
      <c r="F1431" s="1" t="s">
        <v>163</v>
      </c>
      <c r="G1431" s="9">
        <v>4.76</v>
      </c>
      <c r="I1431" s="1">
        <v>46087</v>
      </c>
      <c r="J1431" s="1" t="s">
        <v>287</v>
      </c>
      <c r="K1431" s="3">
        <v>408859</v>
      </c>
    </row>
    <row r="1432" spans="1:11">
      <c r="A1432" s="1">
        <v>46085</v>
      </c>
      <c r="B1432" t="s">
        <v>1982</v>
      </c>
      <c r="C1432">
        <v>4.3499999999999996</v>
      </c>
      <c r="E1432" s="1">
        <v>45768</v>
      </c>
      <c r="F1432" s="1" t="s">
        <v>160</v>
      </c>
      <c r="G1432" s="9">
        <v>4.5599999999999996</v>
      </c>
      <c r="I1432" s="1">
        <v>46087</v>
      </c>
      <c r="J1432" s="1" t="s">
        <v>288</v>
      </c>
      <c r="K1432" s="3">
        <v>-126476</v>
      </c>
    </row>
    <row r="1433" spans="1:11">
      <c r="A1433" s="1">
        <v>46085</v>
      </c>
      <c r="B1433" t="s">
        <v>1983</v>
      </c>
      <c r="C1433">
        <v>4.4000000000000004</v>
      </c>
      <c r="E1433" s="1">
        <v>45768</v>
      </c>
      <c r="F1433" s="1" t="s">
        <v>161</v>
      </c>
      <c r="G1433" s="9">
        <v>4.62</v>
      </c>
      <c r="I1433" s="1">
        <v>46087</v>
      </c>
      <c r="J1433" s="1" t="s">
        <v>289</v>
      </c>
      <c r="K1433" s="3">
        <v>9</v>
      </c>
    </row>
    <row r="1434" spans="1:11">
      <c r="A1434" s="1">
        <v>46084</v>
      </c>
      <c r="B1434" t="s">
        <v>1974</v>
      </c>
      <c r="C1434">
        <v>3.0579999999999998</v>
      </c>
      <c r="E1434" s="1">
        <v>45768</v>
      </c>
      <c r="F1434" s="1" t="s">
        <v>162</v>
      </c>
      <c r="G1434" s="9">
        <v>4.72</v>
      </c>
      <c r="I1434" s="1">
        <v>46087</v>
      </c>
      <c r="J1434" s="1" t="s">
        <v>290</v>
      </c>
      <c r="K1434" s="3">
        <v>9</v>
      </c>
    </row>
    <row r="1435" spans="1:11">
      <c r="A1435" s="1">
        <v>46084</v>
      </c>
      <c r="B1435" t="s">
        <v>1975</v>
      </c>
      <c r="C1435">
        <v>3.1709999999999998</v>
      </c>
      <c r="E1435" s="1">
        <v>45768</v>
      </c>
      <c r="F1435" s="1" t="s">
        <v>163</v>
      </c>
      <c r="G1435" s="9">
        <v>4.74</v>
      </c>
      <c r="I1435" s="1">
        <v>46086</v>
      </c>
      <c r="J1435" s="1" t="s">
        <v>107</v>
      </c>
      <c r="K1435" s="3">
        <v>18182181680824</v>
      </c>
    </row>
    <row r="1436" spans="1:11">
      <c r="A1436" s="1">
        <v>46084</v>
      </c>
      <c r="B1436" t="s">
        <v>1976</v>
      </c>
      <c r="C1436">
        <v>3.2290000000000001</v>
      </c>
      <c r="E1436" s="1">
        <v>45765</v>
      </c>
      <c r="F1436" s="1" t="s">
        <v>160</v>
      </c>
      <c r="G1436" s="9">
        <v>4.18</v>
      </c>
      <c r="I1436" s="1">
        <v>46086</v>
      </c>
      <c r="J1436" s="1" t="s">
        <v>282</v>
      </c>
      <c r="K1436" s="3">
        <v>1000</v>
      </c>
    </row>
    <row r="1437" spans="1:11">
      <c r="A1437" s="1">
        <v>46084</v>
      </c>
      <c r="B1437" t="s">
        <v>1977</v>
      </c>
      <c r="C1437">
        <v>3.52</v>
      </c>
      <c r="E1437" s="1">
        <v>45765</v>
      </c>
      <c r="F1437" s="1" t="s">
        <v>161</v>
      </c>
      <c r="G1437" s="9">
        <v>4.3600000000000003</v>
      </c>
      <c r="I1437" s="1">
        <v>46086</v>
      </c>
      <c r="J1437" s="1" t="s">
        <v>283</v>
      </c>
      <c r="K1437" s="3">
        <v>7</v>
      </c>
    </row>
    <row r="1438" spans="1:11">
      <c r="A1438" s="1">
        <v>46084</v>
      </c>
      <c r="B1438" t="s">
        <v>1978</v>
      </c>
      <c r="C1438">
        <v>3.8109999999999999</v>
      </c>
      <c r="E1438" s="1">
        <v>45765</v>
      </c>
      <c r="F1438" s="1" t="s">
        <v>162</v>
      </c>
      <c r="G1438" s="9">
        <v>4.54</v>
      </c>
      <c r="I1438" s="1">
        <v>46086</v>
      </c>
      <c r="J1438" s="1" t="s">
        <v>284</v>
      </c>
      <c r="K1438" s="3">
        <v>3921</v>
      </c>
    </row>
    <row r="1439" spans="1:11">
      <c r="A1439" s="1">
        <v>46084</v>
      </c>
      <c r="B1439" t="s">
        <v>1979</v>
      </c>
      <c r="C1439">
        <v>3.8450000000000002</v>
      </c>
      <c r="E1439" s="1">
        <v>45765</v>
      </c>
      <c r="F1439" s="1" t="s">
        <v>163</v>
      </c>
      <c r="G1439" s="9">
        <v>4.5999999999999996</v>
      </c>
      <c r="I1439" s="1">
        <v>46086</v>
      </c>
      <c r="J1439" s="1" t="s">
        <v>285</v>
      </c>
      <c r="K1439" s="3">
        <v>4.5</v>
      </c>
    </row>
    <row r="1440" spans="1:11">
      <c r="A1440" s="1">
        <v>46084</v>
      </c>
      <c r="B1440" t="s">
        <v>1980</v>
      </c>
      <c r="C1440">
        <v>4.1619999999999999</v>
      </c>
      <c r="E1440" s="1">
        <v>45764</v>
      </c>
      <c r="F1440" s="1" t="s">
        <v>160</v>
      </c>
      <c r="G1440" s="9">
        <v>4.0999999999999996</v>
      </c>
      <c r="I1440" s="1">
        <v>46086</v>
      </c>
      <c r="J1440" s="1" t="s">
        <v>286</v>
      </c>
      <c r="K1440" s="3">
        <v>11279</v>
      </c>
    </row>
    <row r="1441" spans="1:11">
      <c r="A1441" s="1">
        <v>46084</v>
      </c>
      <c r="B1441" t="s">
        <v>1981</v>
      </c>
      <c r="C1441">
        <v>4.2279999999999998</v>
      </c>
      <c r="E1441" s="1">
        <v>45764</v>
      </c>
      <c r="F1441" s="1" t="s">
        <v>161</v>
      </c>
      <c r="G1441" s="9">
        <v>4.33</v>
      </c>
      <c r="I1441" s="1">
        <v>46086</v>
      </c>
      <c r="J1441" s="1" t="s">
        <v>287</v>
      </c>
      <c r="K1441" s="3">
        <v>432373</v>
      </c>
    </row>
    <row r="1442" spans="1:11">
      <c r="A1442" s="1">
        <v>46084</v>
      </c>
      <c r="B1442" t="s">
        <v>1982</v>
      </c>
      <c r="C1442">
        <v>4.3499999999999996</v>
      </c>
      <c r="E1442" s="1">
        <v>45764</v>
      </c>
      <c r="F1442" s="1" t="s">
        <v>162</v>
      </c>
      <c r="G1442" s="9">
        <v>4.4800000000000004</v>
      </c>
      <c r="I1442" s="1">
        <v>46086</v>
      </c>
      <c r="J1442" s="1" t="s">
        <v>288</v>
      </c>
      <c r="K1442" s="3">
        <v>-150967</v>
      </c>
    </row>
    <row r="1443" spans="1:11">
      <c r="A1443" s="1">
        <v>46084</v>
      </c>
      <c r="B1443" t="s">
        <v>1983</v>
      </c>
      <c r="C1443">
        <v>4.4000000000000004</v>
      </c>
      <c r="E1443" s="1">
        <v>45764</v>
      </c>
      <c r="F1443" s="1" t="s">
        <v>163</v>
      </c>
      <c r="G1443" s="9">
        <v>4.5999999999999996</v>
      </c>
      <c r="I1443" s="1">
        <v>46086</v>
      </c>
      <c r="J1443" s="1" t="s">
        <v>289</v>
      </c>
      <c r="K1443" s="3">
        <v>15</v>
      </c>
    </row>
    <row r="1444" spans="1:11">
      <c r="A1444" s="1">
        <v>46083</v>
      </c>
      <c r="B1444" t="s">
        <v>1974</v>
      </c>
      <c r="C1444">
        <v>3.0459999999999998</v>
      </c>
      <c r="E1444" s="1">
        <v>45763</v>
      </c>
      <c r="F1444" s="1" t="s">
        <v>160</v>
      </c>
      <c r="G1444" s="9">
        <v>4.0599999999999996</v>
      </c>
      <c r="I1444" s="1">
        <v>46086</v>
      </c>
      <c r="J1444" s="1" t="s">
        <v>290</v>
      </c>
      <c r="K1444" s="3">
        <v>15</v>
      </c>
    </row>
    <row r="1445" spans="1:11">
      <c r="A1445" s="1">
        <v>46083</v>
      </c>
      <c r="B1445" t="s">
        <v>1975</v>
      </c>
      <c r="C1445">
        <v>3.1579999999999999</v>
      </c>
      <c r="E1445" s="1">
        <v>45763</v>
      </c>
      <c r="F1445" s="1" t="s">
        <v>161</v>
      </c>
      <c r="G1445" s="9">
        <v>4.3</v>
      </c>
      <c r="I1445" s="1">
        <v>46085</v>
      </c>
      <c r="J1445" s="1" t="s">
        <v>282</v>
      </c>
      <c r="K1445" s="3">
        <v>8000</v>
      </c>
    </row>
    <row r="1446" spans="1:11">
      <c r="A1446" s="1">
        <v>46083</v>
      </c>
      <c r="B1446" t="s">
        <v>1976</v>
      </c>
      <c r="C1446">
        <v>3.2130000000000001</v>
      </c>
      <c r="E1446" s="1">
        <v>45763</v>
      </c>
      <c r="F1446" s="1" t="s">
        <v>162</v>
      </c>
      <c r="G1446" s="9">
        <v>4.46</v>
      </c>
      <c r="I1446" s="1">
        <v>46085</v>
      </c>
      <c r="J1446" s="1" t="s">
        <v>283</v>
      </c>
      <c r="K1446" s="3">
        <v>7</v>
      </c>
    </row>
    <row r="1447" spans="1:11">
      <c r="A1447" s="1">
        <v>46083</v>
      </c>
      <c r="B1447" t="s">
        <v>1977</v>
      </c>
      <c r="C1447">
        <v>3.5169999999999999</v>
      </c>
      <c r="E1447" s="1">
        <v>45763</v>
      </c>
      <c r="F1447" s="1" t="s">
        <v>163</v>
      </c>
      <c r="G1447" s="9">
        <v>4.62</v>
      </c>
      <c r="I1447" s="1">
        <v>46085</v>
      </c>
      <c r="J1447" s="1" t="s">
        <v>284</v>
      </c>
      <c r="K1447" s="3">
        <v>25536</v>
      </c>
    </row>
    <row r="1448" spans="1:11">
      <c r="A1448" s="1">
        <v>46083</v>
      </c>
      <c r="B1448" t="s">
        <v>1978</v>
      </c>
      <c r="C1448">
        <v>3.8210000000000002</v>
      </c>
      <c r="E1448" s="1">
        <v>45762</v>
      </c>
      <c r="F1448" s="1" t="s">
        <v>160</v>
      </c>
      <c r="G1448" s="9">
        <v>4.08</v>
      </c>
      <c r="I1448" s="1">
        <v>46085</v>
      </c>
      <c r="J1448" s="1" t="s">
        <v>285</v>
      </c>
      <c r="K1448" s="3">
        <v>4.5</v>
      </c>
    </row>
    <row r="1449" spans="1:11">
      <c r="A1449" s="1">
        <v>46083</v>
      </c>
      <c r="B1449" t="s">
        <v>1979</v>
      </c>
      <c r="C1449">
        <v>3.8450000000000002</v>
      </c>
      <c r="E1449" s="1">
        <v>45762</v>
      </c>
      <c r="F1449" s="1" t="s">
        <v>161</v>
      </c>
      <c r="G1449" s="9">
        <v>4.34</v>
      </c>
      <c r="I1449" s="1">
        <v>46085</v>
      </c>
      <c r="J1449" s="1" t="s">
        <v>286</v>
      </c>
      <c r="K1449" s="3">
        <v>33860</v>
      </c>
    </row>
    <row r="1450" spans="1:11">
      <c r="A1450" s="1">
        <v>46083</v>
      </c>
      <c r="B1450" t="s">
        <v>1980</v>
      </c>
      <c r="C1450">
        <v>4.157</v>
      </c>
      <c r="E1450" s="1">
        <v>45762</v>
      </c>
      <c r="F1450" s="1" t="s">
        <v>162</v>
      </c>
      <c r="G1450" s="9">
        <v>4.4800000000000004</v>
      </c>
      <c r="I1450" s="1">
        <v>46085</v>
      </c>
      <c r="J1450" s="1" t="s">
        <v>287</v>
      </c>
      <c r="K1450" s="3">
        <v>439731</v>
      </c>
    </row>
    <row r="1451" spans="1:11">
      <c r="A1451" s="1">
        <v>46083</v>
      </c>
      <c r="B1451" t="s">
        <v>1981</v>
      </c>
      <c r="C1451">
        <v>4.2229999999999999</v>
      </c>
      <c r="E1451" s="1">
        <v>45762</v>
      </c>
      <c r="F1451" s="1" t="s">
        <v>163</v>
      </c>
      <c r="G1451" s="9">
        <v>4.5999999999999996</v>
      </c>
      <c r="I1451" s="1">
        <v>46085</v>
      </c>
      <c r="J1451" s="1" t="s">
        <v>288</v>
      </c>
      <c r="K1451" s="3">
        <v>-153574</v>
      </c>
    </row>
    <row r="1452" spans="1:11">
      <c r="A1452" s="1">
        <v>46083</v>
      </c>
      <c r="B1452" t="s">
        <v>1982</v>
      </c>
      <c r="C1452">
        <v>4.2960000000000003</v>
      </c>
      <c r="E1452" s="1">
        <v>45761</v>
      </c>
      <c r="F1452" s="1" t="s">
        <v>160</v>
      </c>
      <c r="G1452" s="9">
        <v>4.0999999999999996</v>
      </c>
      <c r="I1452" s="1">
        <v>46085</v>
      </c>
      <c r="J1452" s="1" t="s">
        <v>289</v>
      </c>
      <c r="K1452" s="3">
        <v>23</v>
      </c>
    </row>
    <row r="1453" spans="1:11">
      <c r="A1453" s="1">
        <v>46083</v>
      </c>
      <c r="B1453" t="s">
        <v>1983</v>
      </c>
      <c r="C1453">
        <v>4.3460000000000001</v>
      </c>
      <c r="E1453" s="1">
        <v>45761</v>
      </c>
      <c r="F1453" s="1" t="s">
        <v>161</v>
      </c>
      <c r="G1453" s="9">
        <v>4.34</v>
      </c>
      <c r="I1453" s="1">
        <v>46085</v>
      </c>
      <c r="J1453" s="1" t="s">
        <v>290</v>
      </c>
      <c r="K1453" s="3">
        <v>23</v>
      </c>
    </row>
    <row r="1454" spans="1:11">
      <c r="A1454" s="1">
        <v>46080</v>
      </c>
      <c r="B1454" t="s">
        <v>1974</v>
      </c>
      <c r="C1454">
        <v>3.0419999999999998</v>
      </c>
      <c r="E1454" s="1">
        <v>45761</v>
      </c>
      <c r="F1454" s="1" t="s">
        <v>162</v>
      </c>
      <c r="G1454" s="9">
        <v>4.4800000000000004</v>
      </c>
      <c r="I1454" s="1">
        <v>46085</v>
      </c>
      <c r="J1454" s="1" t="s">
        <v>107</v>
      </c>
      <c r="K1454" s="3">
        <v>18739341997494</v>
      </c>
    </row>
    <row r="1455" spans="1:11">
      <c r="A1455" s="1">
        <v>46080</v>
      </c>
      <c r="B1455" t="s">
        <v>1975</v>
      </c>
      <c r="C1455">
        <v>3.15</v>
      </c>
      <c r="E1455" s="1">
        <v>45761</v>
      </c>
      <c r="F1455" s="1" t="s">
        <v>163</v>
      </c>
      <c r="G1455" s="9">
        <v>4.62</v>
      </c>
      <c r="I1455" s="1">
        <v>46084</v>
      </c>
      <c r="J1455" s="1" t="s">
        <v>282</v>
      </c>
      <c r="K1455" s="3">
        <v>20000</v>
      </c>
    </row>
    <row r="1456" spans="1:11">
      <c r="A1456" s="1">
        <v>46080</v>
      </c>
      <c r="B1456" t="s">
        <v>1976</v>
      </c>
      <c r="C1456">
        <v>3.2040000000000002</v>
      </c>
      <c r="E1456" s="1">
        <v>45758</v>
      </c>
      <c r="F1456" s="1" t="s">
        <v>160</v>
      </c>
      <c r="G1456" s="9">
        <v>4.08</v>
      </c>
      <c r="I1456" s="1">
        <v>46084</v>
      </c>
      <c r="J1456" s="1" t="s">
        <v>283</v>
      </c>
      <c r="K1456" s="3">
        <v>7</v>
      </c>
    </row>
    <row r="1457" spans="1:11">
      <c r="A1457" s="1">
        <v>46080</v>
      </c>
      <c r="B1457" t="s">
        <v>1977</v>
      </c>
      <c r="C1457">
        <v>3.4790000000000001</v>
      </c>
      <c r="E1457" s="1">
        <v>45758</v>
      </c>
      <c r="F1457" s="1" t="s">
        <v>161</v>
      </c>
      <c r="G1457" s="9">
        <v>4.33</v>
      </c>
      <c r="I1457" s="1">
        <v>46084</v>
      </c>
      <c r="J1457" s="1" t="s">
        <v>284</v>
      </c>
      <c r="K1457" s="3">
        <v>50179</v>
      </c>
    </row>
    <row r="1458" spans="1:11">
      <c r="A1458" s="1">
        <v>46080</v>
      </c>
      <c r="B1458" t="s">
        <v>1978</v>
      </c>
      <c r="C1458">
        <v>3.754</v>
      </c>
      <c r="E1458" s="1">
        <v>45758</v>
      </c>
      <c r="F1458" s="1" t="s">
        <v>162</v>
      </c>
      <c r="G1458" s="9">
        <v>4.5</v>
      </c>
      <c r="I1458" s="1">
        <v>46084</v>
      </c>
      <c r="J1458" s="1" t="s">
        <v>285</v>
      </c>
      <c r="K1458" s="3">
        <v>4.5</v>
      </c>
    </row>
    <row r="1459" spans="1:11">
      <c r="A1459" s="1">
        <v>46080</v>
      </c>
      <c r="B1459" t="s">
        <v>1979</v>
      </c>
      <c r="C1459">
        <v>3.8149999999999999</v>
      </c>
      <c r="E1459" s="1">
        <v>45758</v>
      </c>
      <c r="F1459" s="1" t="s">
        <v>163</v>
      </c>
      <c r="G1459" s="9">
        <v>4.63</v>
      </c>
      <c r="I1459" s="1">
        <v>46084</v>
      </c>
      <c r="J1459" s="1" t="s">
        <v>286</v>
      </c>
      <c r="K1459" s="3">
        <v>41574</v>
      </c>
    </row>
    <row r="1460" spans="1:11">
      <c r="A1460" s="1">
        <v>46080</v>
      </c>
      <c r="B1460" t="s">
        <v>1980</v>
      </c>
      <c r="C1460">
        <v>4.1189999999999998</v>
      </c>
      <c r="E1460" s="1">
        <v>45757</v>
      </c>
      <c r="F1460" s="1" t="s">
        <v>160</v>
      </c>
      <c r="G1460" s="9">
        <v>4.07</v>
      </c>
      <c r="I1460" s="1">
        <v>46084</v>
      </c>
      <c r="J1460" s="1" t="s">
        <v>287</v>
      </c>
      <c r="K1460" s="3">
        <v>448055</v>
      </c>
    </row>
    <row r="1461" spans="1:11">
      <c r="A1461" s="1">
        <v>46080</v>
      </c>
      <c r="B1461" t="s">
        <v>1981</v>
      </c>
      <c r="C1461">
        <v>4.21</v>
      </c>
      <c r="E1461" s="1">
        <v>45757</v>
      </c>
      <c r="F1461" s="1" t="s">
        <v>161</v>
      </c>
      <c r="G1461" s="9">
        <v>4.28</v>
      </c>
      <c r="I1461" s="1">
        <v>46084</v>
      </c>
      <c r="J1461" s="1" t="s">
        <v>288</v>
      </c>
      <c r="K1461" s="3">
        <v>-174011</v>
      </c>
    </row>
    <row r="1462" spans="1:11">
      <c r="A1462" s="1">
        <v>46080</v>
      </c>
      <c r="B1462" t="s">
        <v>1982</v>
      </c>
      <c r="C1462">
        <v>4.2919999999999998</v>
      </c>
      <c r="E1462" s="1">
        <v>45757</v>
      </c>
      <c r="F1462" s="1" t="s">
        <v>162</v>
      </c>
      <c r="G1462" s="9">
        <v>4.4800000000000004</v>
      </c>
      <c r="I1462" s="1">
        <v>46084</v>
      </c>
      <c r="J1462" s="1" t="s">
        <v>289</v>
      </c>
      <c r="K1462" s="3">
        <v>35</v>
      </c>
    </row>
    <row r="1463" spans="1:11">
      <c r="A1463" s="1">
        <v>46080</v>
      </c>
      <c r="B1463" t="s">
        <v>1983</v>
      </c>
      <c r="C1463">
        <v>4.3419999999999996</v>
      </c>
      <c r="E1463" s="1">
        <v>45757</v>
      </c>
      <c r="F1463" s="1" t="s">
        <v>163</v>
      </c>
      <c r="G1463" s="9">
        <v>4.62</v>
      </c>
      <c r="I1463" s="1">
        <v>46084</v>
      </c>
      <c r="J1463" s="1" t="s">
        <v>290</v>
      </c>
      <c r="K1463" s="3">
        <v>35</v>
      </c>
    </row>
    <row r="1464" spans="1:11">
      <c r="A1464" s="1">
        <v>46079</v>
      </c>
      <c r="B1464" t="s">
        <v>1974</v>
      </c>
      <c r="C1464">
        <v>3.0419999999999998</v>
      </c>
      <c r="E1464" s="1">
        <v>45756</v>
      </c>
      <c r="F1464" s="1" t="s">
        <v>160</v>
      </c>
      <c r="G1464" s="9">
        <v>4.18</v>
      </c>
      <c r="I1464" s="1">
        <v>46084</v>
      </c>
      <c r="J1464" s="1" t="s">
        <v>107</v>
      </c>
      <c r="K1464" s="3">
        <v>18793515141338</v>
      </c>
    </row>
    <row r="1465" spans="1:11">
      <c r="A1465" s="1">
        <v>46079</v>
      </c>
      <c r="B1465" t="s">
        <v>1975</v>
      </c>
      <c r="C1465">
        <v>3.15</v>
      </c>
      <c r="E1465" s="1">
        <v>45756</v>
      </c>
      <c r="F1465" s="1" t="s">
        <v>161</v>
      </c>
      <c r="G1465" s="9">
        <v>4.42</v>
      </c>
      <c r="I1465" s="1">
        <v>46083</v>
      </c>
      <c r="J1465" s="1" t="s">
        <v>107</v>
      </c>
      <c r="K1465" s="3">
        <v>18798272489935</v>
      </c>
    </row>
    <row r="1466" spans="1:11">
      <c r="A1466" s="1">
        <v>46079</v>
      </c>
      <c r="B1466" t="s">
        <v>1976</v>
      </c>
      <c r="C1466">
        <v>3.2040000000000002</v>
      </c>
      <c r="E1466" s="1">
        <v>45756</v>
      </c>
      <c r="F1466" s="1" t="s">
        <v>162</v>
      </c>
      <c r="G1466" s="9">
        <v>4.55</v>
      </c>
      <c r="I1466" s="1">
        <v>46083</v>
      </c>
      <c r="J1466" s="1" t="s">
        <v>282</v>
      </c>
      <c r="K1466" s="3">
        <v>38000</v>
      </c>
    </row>
    <row r="1467" spans="1:11">
      <c r="A1467" s="1">
        <v>46079</v>
      </c>
      <c r="B1467" t="s">
        <v>1977</v>
      </c>
      <c r="C1467">
        <v>3.4790000000000001</v>
      </c>
      <c r="E1467" s="1">
        <v>45756</v>
      </c>
      <c r="F1467" s="1" t="s">
        <v>163</v>
      </c>
      <c r="G1467" s="9">
        <v>4.62</v>
      </c>
      <c r="I1467" s="1">
        <v>46083</v>
      </c>
      <c r="J1467" s="1" t="s">
        <v>283</v>
      </c>
      <c r="K1467" s="3">
        <v>7</v>
      </c>
    </row>
    <row r="1468" spans="1:11">
      <c r="A1468" s="1">
        <v>46079</v>
      </c>
      <c r="B1468" t="s">
        <v>1978</v>
      </c>
      <c r="C1468">
        <v>3.754</v>
      </c>
      <c r="E1468" s="1">
        <v>45755</v>
      </c>
      <c r="F1468" s="1" t="s">
        <v>160</v>
      </c>
      <c r="G1468" s="9">
        <v>4.18</v>
      </c>
      <c r="I1468" s="1">
        <v>46083</v>
      </c>
      <c r="J1468" s="1" t="s">
        <v>284</v>
      </c>
      <c r="K1468" s="3">
        <v>82640</v>
      </c>
    </row>
    <row r="1469" spans="1:11">
      <c r="A1469" s="1">
        <v>46079</v>
      </c>
      <c r="B1469" t="s">
        <v>1979</v>
      </c>
      <c r="C1469">
        <v>3.8119999999999998</v>
      </c>
      <c r="E1469" s="1">
        <v>45755</v>
      </c>
      <c r="F1469" s="1" t="s">
        <v>161</v>
      </c>
      <c r="G1469" s="9">
        <v>4.42</v>
      </c>
      <c r="I1469" s="1">
        <v>46083</v>
      </c>
      <c r="J1469" s="1" t="s">
        <v>285</v>
      </c>
      <c r="K1469" s="3">
        <v>4.5</v>
      </c>
    </row>
    <row r="1470" spans="1:11">
      <c r="A1470" s="1">
        <v>46079</v>
      </c>
      <c r="B1470" t="s">
        <v>1980</v>
      </c>
      <c r="C1470">
        <v>4.1189999999999998</v>
      </c>
      <c r="E1470" s="1">
        <v>45755</v>
      </c>
      <c r="F1470" s="1" t="s">
        <v>162</v>
      </c>
      <c r="G1470" s="9">
        <v>4.54</v>
      </c>
      <c r="I1470" s="1">
        <v>46083</v>
      </c>
      <c r="J1470" s="1" t="s">
        <v>286</v>
      </c>
      <c r="K1470" s="3">
        <v>47868</v>
      </c>
    </row>
    <row r="1471" spans="1:11">
      <c r="A1471" s="1">
        <v>46079</v>
      </c>
      <c r="B1471" t="s">
        <v>1981</v>
      </c>
      <c r="C1471">
        <v>4.21</v>
      </c>
      <c r="E1471" s="1">
        <v>45755</v>
      </c>
      <c r="F1471" s="1" t="s">
        <v>163</v>
      </c>
      <c r="G1471" s="9">
        <v>4.62</v>
      </c>
      <c r="I1471" s="1">
        <v>46083</v>
      </c>
      <c r="J1471" s="1" t="s">
        <v>287</v>
      </c>
      <c r="K1471" s="3">
        <v>439450</v>
      </c>
    </row>
    <row r="1472" spans="1:11">
      <c r="A1472" s="1">
        <v>46079</v>
      </c>
      <c r="B1472" t="s">
        <v>1982</v>
      </c>
      <c r="C1472">
        <v>4.2919999999999998</v>
      </c>
      <c r="E1472" s="1">
        <v>45751</v>
      </c>
      <c r="F1472" s="1" t="s">
        <v>160</v>
      </c>
      <c r="G1472" s="9">
        <v>4.0599999999999996</v>
      </c>
      <c r="I1472" s="1">
        <v>46083</v>
      </c>
      <c r="J1472" s="1" t="s">
        <v>288</v>
      </c>
      <c r="K1472" s="3">
        <v>-170486</v>
      </c>
    </row>
    <row r="1473" spans="1:11">
      <c r="A1473" s="1">
        <v>46079</v>
      </c>
      <c r="B1473" t="s">
        <v>1983</v>
      </c>
      <c r="C1473">
        <v>4.3419999999999996</v>
      </c>
      <c r="E1473" s="1">
        <v>45751</v>
      </c>
      <c r="F1473" s="1" t="s">
        <v>161</v>
      </c>
      <c r="G1473" s="9">
        <v>4.3</v>
      </c>
      <c r="I1473" s="1">
        <v>46083</v>
      </c>
      <c r="J1473" s="1" t="s">
        <v>289</v>
      </c>
      <c r="K1473" s="3">
        <v>43</v>
      </c>
    </row>
    <row r="1474" spans="1:11">
      <c r="A1474" s="1">
        <v>46078</v>
      </c>
      <c r="B1474" t="s">
        <v>1974</v>
      </c>
      <c r="C1474">
        <v>3.0059999999999998</v>
      </c>
      <c r="E1474" s="1">
        <v>45751</v>
      </c>
      <c r="F1474" s="1" t="s">
        <v>162</v>
      </c>
      <c r="G1474" s="9">
        <v>4.4000000000000004</v>
      </c>
      <c r="I1474" s="1">
        <v>46083</v>
      </c>
      <c r="J1474" s="1" t="s">
        <v>290</v>
      </c>
      <c r="K1474" s="3">
        <v>43</v>
      </c>
    </row>
    <row r="1475" spans="1:11">
      <c r="A1475" s="1">
        <v>46078</v>
      </c>
      <c r="B1475" t="s">
        <v>1975</v>
      </c>
      <c r="C1475">
        <v>3.15</v>
      </c>
      <c r="E1475" s="1">
        <v>45751</v>
      </c>
      <c r="F1475" s="1" t="s">
        <v>163</v>
      </c>
      <c r="G1475" s="9">
        <v>4.5599999999999996</v>
      </c>
      <c r="I1475" s="1">
        <v>46082</v>
      </c>
      <c r="J1475" s="1" t="s">
        <v>107</v>
      </c>
      <c r="K1475" s="3">
        <v>18253021484626</v>
      </c>
    </row>
    <row r="1476" spans="1:11">
      <c r="A1476" s="1">
        <v>46078</v>
      </c>
      <c r="B1476" t="s">
        <v>1976</v>
      </c>
      <c r="C1476">
        <v>3.2040000000000002</v>
      </c>
      <c r="E1476" s="1">
        <v>45750</v>
      </c>
      <c r="F1476" s="1" t="s">
        <v>160</v>
      </c>
      <c r="G1476" s="9">
        <v>4</v>
      </c>
      <c r="I1476" s="1">
        <v>46081</v>
      </c>
      <c r="J1476" s="1" t="s">
        <v>107</v>
      </c>
      <c r="K1476" s="3">
        <v>18253021484626</v>
      </c>
    </row>
    <row r="1477" spans="1:11">
      <c r="A1477" s="1">
        <v>46078</v>
      </c>
      <c r="B1477" t="s">
        <v>1977</v>
      </c>
      <c r="C1477">
        <v>3.4750000000000001</v>
      </c>
      <c r="E1477" s="1">
        <v>45750</v>
      </c>
      <c r="F1477" s="1" t="s">
        <v>161</v>
      </c>
      <c r="G1477" s="9">
        <v>4.32</v>
      </c>
      <c r="I1477" s="1">
        <v>46080</v>
      </c>
      <c r="J1477" s="1" t="s">
        <v>282</v>
      </c>
      <c r="K1477" s="3">
        <v>3000</v>
      </c>
    </row>
    <row r="1478" spans="1:11">
      <c r="A1478" s="1">
        <v>46078</v>
      </c>
      <c r="B1478" t="s">
        <v>1978</v>
      </c>
      <c r="C1478">
        <v>3.746</v>
      </c>
      <c r="E1478" s="1">
        <v>45750</v>
      </c>
      <c r="F1478" s="1" t="s">
        <v>162</v>
      </c>
      <c r="G1478" s="9">
        <v>4.54</v>
      </c>
      <c r="I1478" s="1">
        <v>46080</v>
      </c>
      <c r="J1478" s="1" t="s">
        <v>283</v>
      </c>
      <c r="K1478" s="3">
        <v>7</v>
      </c>
    </row>
    <row r="1479" spans="1:11">
      <c r="A1479" s="1">
        <v>46078</v>
      </c>
      <c r="B1479" t="s">
        <v>1979</v>
      </c>
      <c r="C1479">
        <v>3.8079999999999998</v>
      </c>
      <c r="E1479" s="1">
        <v>45750</v>
      </c>
      <c r="F1479" s="1" t="s">
        <v>163</v>
      </c>
      <c r="G1479" s="9">
        <v>4.62</v>
      </c>
      <c r="I1479" s="1">
        <v>46080</v>
      </c>
      <c r="J1479" s="1" t="s">
        <v>284</v>
      </c>
      <c r="K1479" s="3">
        <v>3000</v>
      </c>
    </row>
    <row r="1480" spans="1:11">
      <c r="A1480" s="1">
        <v>46078</v>
      </c>
      <c r="B1480" t="s">
        <v>1980</v>
      </c>
      <c r="C1480">
        <v>4.1159999999999997</v>
      </c>
      <c r="E1480" s="1">
        <v>45749</v>
      </c>
      <c r="F1480" s="1" t="s">
        <v>160</v>
      </c>
      <c r="G1480" s="9">
        <v>4.04</v>
      </c>
      <c r="I1480" s="1">
        <v>46080</v>
      </c>
      <c r="J1480" s="1" t="s">
        <v>285</v>
      </c>
      <c r="K1480" s="3">
        <v>4.5</v>
      </c>
    </row>
    <row r="1481" spans="1:11">
      <c r="A1481" s="1">
        <v>46078</v>
      </c>
      <c r="B1481" t="s">
        <v>1981</v>
      </c>
      <c r="C1481">
        <v>4.2030000000000003</v>
      </c>
      <c r="E1481" s="1">
        <v>45749</v>
      </c>
      <c r="F1481" s="1" t="s">
        <v>161</v>
      </c>
      <c r="G1481" s="9">
        <v>4.3</v>
      </c>
      <c r="I1481" s="1">
        <v>46080</v>
      </c>
      <c r="J1481" s="1" t="s">
        <v>286</v>
      </c>
      <c r="K1481" s="3">
        <v>20955</v>
      </c>
    </row>
    <row r="1482" spans="1:11">
      <c r="A1482" s="1">
        <v>46078</v>
      </c>
      <c r="B1482" t="s">
        <v>1982</v>
      </c>
      <c r="C1482">
        <v>4.2919999999999998</v>
      </c>
      <c r="E1482" s="1">
        <v>45749</v>
      </c>
      <c r="F1482" s="1" t="s">
        <v>162</v>
      </c>
      <c r="G1482" s="9">
        <v>4.4800000000000004</v>
      </c>
      <c r="I1482" s="1">
        <v>46080</v>
      </c>
      <c r="J1482" s="1" t="s">
        <v>287</v>
      </c>
      <c r="K1482" s="3">
        <v>404678</v>
      </c>
    </row>
    <row r="1483" spans="1:11">
      <c r="A1483" s="1">
        <v>46078</v>
      </c>
      <c r="B1483" t="s">
        <v>1983</v>
      </c>
      <c r="C1483">
        <v>4.3419999999999996</v>
      </c>
      <c r="E1483" s="1">
        <v>45749</v>
      </c>
      <c r="F1483" s="1" t="s">
        <v>163</v>
      </c>
      <c r="G1483" s="9">
        <v>4.58</v>
      </c>
      <c r="I1483" s="1">
        <v>46080</v>
      </c>
      <c r="J1483" s="1" t="s">
        <v>288</v>
      </c>
      <c r="K1483" s="3">
        <v>-166095</v>
      </c>
    </row>
    <row r="1484" spans="1:11">
      <c r="A1484" s="1">
        <v>46077</v>
      </c>
      <c r="B1484" t="s">
        <v>1974</v>
      </c>
      <c r="C1484">
        <v>3.0059999999999998</v>
      </c>
      <c r="E1484" s="1">
        <v>45748</v>
      </c>
      <c r="F1484" s="1" t="s">
        <v>160</v>
      </c>
      <c r="G1484" s="9">
        <v>4.5199999999999996</v>
      </c>
      <c r="I1484" s="1">
        <v>46080</v>
      </c>
      <c r="J1484" s="1" t="s">
        <v>289</v>
      </c>
      <c r="K1484" s="3">
        <v>7</v>
      </c>
    </row>
    <row r="1485" spans="1:11">
      <c r="A1485" s="1">
        <v>46077</v>
      </c>
      <c r="B1485" t="s">
        <v>1975</v>
      </c>
      <c r="C1485">
        <v>3.15</v>
      </c>
      <c r="E1485" s="1">
        <v>45748</v>
      </c>
      <c r="F1485" s="1" t="s">
        <v>161</v>
      </c>
      <c r="G1485" s="9">
        <v>4.6500000000000004</v>
      </c>
      <c r="I1485" s="1">
        <v>46080</v>
      </c>
      <c r="J1485" s="1" t="s">
        <v>290</v>
      </c>
      <c r="K1485" s="3">
        <v>7</v>
      </c>
    </row>
    <row r="1486" spans="1:11">
      <c r="A1486" s="1">
        <v>46077</v>
      </c>
      <c r="B1486" t="s">
        <v>1976</v>
      </c>
      <c r="C1486">
        <v>3.2040000000000002</v>
      </c>
      <c r="E1486" s="1">
        <v>45748</v>
      </c>
      <c r="F1486" s="1" t="s">
        <v>162</v>
      </c>
      <c r="G1486" s="9">
        <v>4.7</v>
      </c>
      <c r="I1486" s="1">
        <v>46079</v>
      </c>
      <c r="J1486" s="1" t="s">
        <v>282</v>
      </c>
      <c r="K1486" s="3">
        <v>1000</v>
      </c>
    </row>
    <row r="1487" spans="1:11">
      <c r="A1487" s="1">
        <v>46077</v>
      </c>
      <c r="B1487" t="s">
        <v>1977</v>
      </c>
      <c r="C1487">
        <v>3.4769999999999999</v>
      </c>
      <c r="E1487" s="1">
        <v>45748</v>
      </c>
      <c r="F1487" s="1" t="s">
        <v>163</v>
      </c>
      <c r="G1487" s="9">
        <v>4.72</v>
      </c>
      <c r="I1487" s="1">
        <v>46079</v>
      </c>
      <c r="J1487" s="1" t="s">
        <v>283</v>
      </c>
      <c r="K1487" s="3">
        <v>7</v>
      </c>
    </row>
    <row r="1488" spans="1:11">
      <c r="A1488" s="1">
        <v>46077</v>
      </c>
      <c r="B1488" t="s">
        <v>1978</v>
      </c>
      <c r="C1488">
        <v>3.75</v>
      </c>
      <c r="E1488" s="1">
        <v>45747</v>
      </c>
      <c r="F1488" s="1" t="s">
        <v>160</v>
      </c>
      <c r="G1488" s="9">
        <v>4.7</v>
      </c>
      <c r="I1488" s="1">
        <v>46079</v>
      </c>
      <c r="J1488" s="1" t="s">
        <v>284</v>
      </c>
      <c r="K1488" s="3">
        <v>1000</v>
      </c>
    </row>
    <row r="1489" spans="1:11">
      <c r="A1489" s="1">
        <v>46077</v>
      </c>
      <c r="B1489" t="s">
        <v>1979</v>
      </c>
      <c r="C1489">
        <v>3.8079999999999998</v>
      </c>
      <c r="E1489" s="1">
        <v>45747</v>
      </c>
      <c r="F1489" s="1" t="s">
        <v>161</v>
      </c>
      <c r="G1489" s="9">
        <v>4.8</v>
      </c>
      <c r="I1489" s="1">
        <v>46079</v>
      </c>
      <c r="J1489" s="1" t="s">
        <v>285</v>
      </c>
      <c r="K1489" s="3">
        <v>4.5</v>
      </c>
    </row>
    <row r="1490" spans="1:11">
      <c r="A1490" s="1">
        <v>46077</v>
      </c>
      <c r="B1490" t="s">
        <v>1980</v>
      </c>
      <c r="C1490">
        <v>4.1159999999999997</v>
      </c>
      <c r="E1490" s="1">
        <v>45747</v>
      </c>
      <c r="F1490" s="1" t="s">
        <v>162</v>
      </c>
      <c r="G1490" s="9">
        <v>4.78</v>
      </c>
      <c r="I1490" s="1">
        <v>46079</v>
      </c>
      <c r="J1490" s="1" t="s">
        <v>286</v>
      </c>
      <c r="K1490" s="3">
        <v>11459</v>
      </c>
    </row>
    <row r="1491" spans="1:11">
      <c r="A1491" s="1">
        <v>46077</v>
      </c>
      <c r="B1491" t="s">
        <v>1981</v>
      </c>
      <c r="C1491">
        <v>4.2030000000000003</v>
      </c>
      <c r="E1491" s="1">
        <v>45747</v>
      </c>
      <c r="F1491" s="1" t="s">
        <v>163</v>
      </c>
      <c r="G1491" s="9">
        <v>4.78</v>
      </c>
      <c r="I1491" s="1">
        <v>46079</v>
      </c>
      <c r="J1491" s="1" t="s">
        <v>287</v>
      </c>
      <c r="K1491" s="3">
        <v>422633</v>
      </c>
    </row>
    <row r="1492" spans="1:11">
      <c r="A1492" s="1">
        <v>46077</v>
      </c>
      <c r="B1492" t="s">
        <v>1982</v>
      </c>
      <c r="C1492">
        <v>4.2919999999999998</v>
      </c>
      <c r="E1492" s="1">
        <v>45744</v>
      </c>
      <c r="F1492" s="1" t="s">
        <v>160</v>
      </c>
      <c r="G1492" s="9">
        <v>3.58</v>
      </c>
      <c r="I1492" s="1">
        <v>46079</v>
      </c>
      <c r="J1492" s="1" t="s">
        <v>288</v>
      </c>
      <c r="K1492" s="3">
        <v>-155536</v>
      </c>
    </row>
    <row r="1493" spans="1:11">
      <c r="A1493" s="1">
        <v>46077</v>
      </c>
      <c r="B1493" t="s">
        <v>1983</v>
      </c>
      <c r="C1493">
        <v>4.3419999999999996</v>
      </c>
      <c r="E1493" s="1">
        <v>45744</v>
      </c>
      <c r="F1493" s="1" t="s">
        <v>161</v>
      </c>
      <c r="G1493" s="9">
        <v>4.46</v>
      </c>
      <c r="I1493" s="1">
        <v>46079</v>
      </c>
      <c r="J1493" s="1" t="s">
        <v>289</v>
      </c>
      <c r="K1493" s="3">
        <v>3</v>
      </c>
    </row>
    <row r="1494" spans="1:11">
      <c r="A1494" s="1">
        <v>46076</v>
      </c>
      <c r="B1494" t="s">
        <v>1974</v>
      </c>
      <c r="C1494">
        <v>3.004</v>
      </c>
      <c r="E1494" s="1">
        <v>45744</v>
      </c>
      <c r="F1494" s="1" t="s">
        <v>162</v>
      </c>
      <c r="G1494" s="9">
        <v>4.5599999999999996</v>
      </c>
      <c r="I1494" s="1">
        <v>46079</v>
      </c>
      <c r="J1494" s="1" t="s">
        <v>290</v>
      </c>
      <c r="K1494" s="3">
        <v>3</v>
      </c>
    </row>
    <row r="1495" spans="1:11">
      <c r="A1495" s="1">
        <v>46076</v>
      </c>
      <c r="B1495" t="s">
        <v>1975</v>
      </c>
      <c r="C1495">
        <v>3.1480000000000001</v>
      </c>
      <c r="E1495" s="1">
        <v>45744</v>
      </c>
      <c r="F1495" s="1" t="s">
        <v>163</v>
      </c>
      <c r="G1495" s="9">
        <v>4.62</v>
      </c>
      <c r="I1495" s="1">
        <v>46079</v>
      </c>
      <c r="J1495" s="1" t="s">
        <v>107</v>
      </c>
      <c r="K1495" s="3">
        <v>18335359733891</v>
      </c>
    </row>
    <row r="1496" spans="1:11">
      <c r="A1496" s="1">
        <v>46076</v>
      </c>
      <c r="B1496" t="s">
        <v>1976</v>
      </c>
      <c r="C1496">
        <v>3.202</v>
      </c>
      <c r="E1496" s="1">
        <v>45743</v>
      </c>
      <c r="F1496" s="1" t="s">
        <v>160</v>
      </c>
      <c r="G1496" s="9">
        <v>3.96</v>
      </c>
      <c r="I1496" s="1">
        <v>46078</v>
      </c>
      <c r="J1496" s="1" t="s">
        <v>282</v>
      </c>
      <c r="K1496" s="3">
        <v>1000</v>
      </c>
    </row>
    <row r="1497" spans="1:11">
      <c r="A1497" s="1">
        <v>46076</v>
      </c>
      <c r="B1497" t="s">
        <v>1977</v>
      </c>
      <c r="C1497">
        <v>3.4780000000000002</v>
      </c>
      <c r="E1497" s="1">
        <v>45743</v>
      </c>
      <c r="F1497" s="1" t="s">
        <v>161</v>
      </c>
      <c r="G1497" s="9">
        <v>4.46</v>
      </c>
      <c r="I1497" s="1">
        <v>46078</v>
      </c>
      <c r="J1497" s="1" t="s">
        <v>283</v>
      </c>
      <c r="K1497" s="3">
        <v>7</v>
      </c>
    </row>
    <row r="1498" spans="1:11">
      <c r="A1498" s="1">
        <v>46076</v>
      </c>
      <c r="B1498" t="s">
        <v>1978</v>
      </c>
      <c r="C1498">
        <v>3.754</v>
      </c>
      <c r="E1498" s="1">
        <v>45743</v>
      </c>
      <c r="F1498" s="1" t="s">
        <v>162</v>
      </c>
      <c r="G1498" s="9">
        <v>4.5599999999999996</v>
      </c>
      <c r="I1498" s="1">
        <v>46078</v>
      </c>
      <c r="J1498" s="1" t="s">
        <v>284</v>
      </c>
      <c r="K1498" s="3">
        <v>1000</v>
      </c>
    </row>
    <row r="1499" spans="1:11">
      <c r="A1499" s="1">
        <v>46076</v>
      </c>
      <c r="B1499" t="s">
        <v>1979</v>
      </c>
      <c r="C1499">
        <v>3.8079999999999998</v>
      </c>
      <c r="E1499" s="1">
        <v>45743</v>
      </c>
      <c r="F1499" s="1" t="s">
        <v>163</v>
      </c>
      <c r="G1499" s="9">
        <v>4.63</v>
      </c>
      <c r="I1499" s="1">
        <v>46078</v>
      </c>
      <c r="J1499" s="1" t="s">
        <v>285</v>
      </c>
      <c r="K1499" s="3">
        <v>4.5</v>
      </c>
    </row>
    <row r="1500" spans="1:11">
      <c r="A1500" s="1">
        <v>46076</v>
      </c>
      <c r="B1500" t="s">
        <v>1980</v>
      </c>
      <c r="C1500">
        <v>4.1139999999999999</v>
      </c>
      <c r="E1500" s="1">
        <v>45742</v>
      </c>
      <c r="F1500" s="1" t="s">
        <v>160</v>
      </c>
      <c r="G1500" s="9">
        <v>4.34</v>
      </c>
      <c r="I1500" s="1">
        <v>46078</v>
      </c>
      <c r="J1500" s="1" t="s">
        <v>286</v>
      </c>
      <c r="K1500" s="3">
        <v>10793</v>
      </c>
    </row>
    <row r="1501" spans="1:11">
      <c r="A1501" s="1">
        <v>46076</v>
      </c>
      <c r="B1501" t="s">
        <v>1981</v>
      </c>
      <c r="C1501">
        <v>4.2030000000000003</v>
      </c>
      <c r="E1501" s="1">
        <v>45742</v>
      </c>
      <c r="F1501" s="1" t="s">
        <v>161</v>
      </c>
      <c r="G1501" s="9">
        <v>4.5199999999999996</v>
      </c>
      <c r="I1501" s="1">
        <v>46078</v>
      </c>
      <c r="J1501" s="1" t="s">
        <v>287</v>
      </c>
      <c r="K1501" s="3">
        <v>433092</v>
      </c>
    </row>
    <row r="1502" spans="1:11">
      <c r="A1502" s="1">
        <v>46076</v>
      </c>
      <c r="B1502" t="s">
        <v>1982</v>
      </c>
      <c r="C1502">
        <v>4.2919999999999998</v>
      </c>
      <c r="E1502" s="1">
        <v>45742</v>
      </c>
      <c r="F1502" s="1" t="s">
        <v>162</v>
      </c>
      <c r="G1502" s="9">
        <v>4.58</v>
      </c>
      <c r="I1502" s="1">
        <v>46078</v>
      </c>
      <c r="J1502" s="1" t="s">
        <v>288</v>
      </c>
      <c r="K1502" s="3">
        <v>-155716</v>
      </c>
    </row>
    <row r="1503" spans="1:11">
      <c r="A1503" s="1">
        <v>46076</v>
      </c>
      <c r="B1503" t="s">
        <v>1983</v>
      </c>
      <c r="C1503">
        <v>4.3419999999999996</v>
      </c>
      <c r="E1503" s="1">
        <v>45742</v>
      </c>
      <c r="F1503" s="1" t="s">
        <v>163</v>
      </c>
      <c r="G1503" s="9">
        <v>4.5999999999999996</v>
      </c>
      <c r="I1503" s="1">
        <v>46078</v>
      </c>
      <c r="J1503" s="1" t="s">
        <v>289</v>
      </c>
      <c r="K1503" s="3">
        <v>4</v>
      </c>
    </row>
    <row r="1504" spans="1:11">
      <c r="A1504" s="1">
        <v>46066</v>
      </c>
      <c r="B1504" t="s">
        <v>1974</v>
      </c>
      <c r="C1504">
        <v>3.004</v>
      </c>
      <c r="E1504" s="1">
        <v>45741</v>
      </c>
      <c r="F1504" s="1" t="s">
        <v>160</v>
      </c>
      <c r="G1504" s="9">
        <v>4.5</v>
      </c>
      <c r="I1504" s="1">
        <v>46078</v>
      </c>
      <c r="J1504" s="1" t="s">
        <v>290</v>
      </c>
      <c r="K1504" s="3">
        <v>4</v>
      </c>
    </row>
    <row r="1505" spans="1:11">
      <c r="A1505" s="1">
        <v>46066</v>
      </c>
      <c r="B1505" t="s">
        <v>1975</v>
      </c>
      <c r="C1505">
        <v>3.1480000000000001</v>
      </c>
      <c r="E1505" s="1">
        <v>45741</v>
      </c>
      <c r="F1505" s="1" t="s">
        <v>161</v>
      </c>
      <c r="G1505" s="9">
        <v>4.62</v>
      </c>
      <c r="I1505" s="1">
        <v>46078</v>
      </c>
      <c r="J1505" s="1" t="s">
        <v>107</v>
      </c>
      <c r="K1505" s="3">
        <v>18252902745183</v>
      </c>
    </row>
    <row r="1506" spans="1:11">
      <c r="A1506" s="1">
        <v>46066</v>
      </c>
      <c r="B1506" t="s">
        <v>1976</v>
      </c>
      <c r="C1506">
        <v>3.202</v>
      </c>
      <c r="E1506" s="1">
        <v>45741</v>
      </c>
      <c r="F1506" s="1" t="s">
        <v>162</v>
      </c>
      <c r="G1506" s="9">
        <v>4.6399999999999997</v>
      </c>
      <c r="I1506" s="1">
        <v>46077</v>
      </c>
      <c r="J1506" s="1" t="s">
        <v>282</v>
      </c>
      <c r="K1506" s="3">
        <v>1000</v>
      </c>
    </row>
    <row r="1507" spans="1:11">
      <c r="A1507" s="1">
        <v>46066</v>
      </c>
      <c r="B1507" t="s">
        <v>1977</v>
      </c>
      <c r="C1507">
        <v>3.4780000000000002</v>
      </c>
      <c r="E1507" s="1">
        <v>45741</v>
      </c>
      <c r="F1507" s="1" t="s">
        <v>163</v>
      </c>
      <c r="G1507" s="9">
        <v>4.66</v>
      </c>
      <c r="I1507" s="1">
        <v>46077</v>
      </c>
      <c r="J1507" s="1" t="s">
        <v>283</v>
      </c>
      <c r="K1507" s="3">
        <v>7</v>
      </c>
    </row>
    <row r="1508" spans="1:11">
      <c r="A1508" s="1">
        <v>46066</v>
      </c>
      <c r="B1508" t="s">
        <v>1978</v>
      </c>
      <c r="C1508">
        <v>3.754</v>
      </c>
      <c r="E1508" s="1">
        <v>45740</v>
      </c>
      <c r="F1508" s="1" t="s">
        <v>160</v>
      </c>
      <c r="G1508" s="9">
        <v>4.38</v>
      </c>
      <c r="I1508" s="1">
        <v>46077</v>
      </c>
      <c r="J1508" s="1" t="s">
        <v>284</v>
      </c>
      <c r="K1508" s="3">
        <v>1000</v>
      </c>
    </row>
    <row r="1509" spans="1:11">
      <c r="A1509" s="1">
        <v>46066</v>
      </c>
      <c r="B1509" t="s">
        <v>1979</v>
      </c>
      <c r="C1509">
        <v>3.8079999999999998</v>
      </c>
      <c r="E1509" s="1">
        <v>45740</v>
      </c>
      <c r="F1509" s="1" t="s">
        <v>161</v>
      </c>
      <c r="G1509" s="9">
        <v>4.4800000000000004</v>
      </c>
      <c r="I1509" s="1">
        <v>46077</v>
      </c>
      <c r="J1509" s="1" t="s">
        <v>285</v>
      </c>
      <c r="K1509" s="3">
        <v>4.5</v>
      </c>
    </row>
    <row r="1510" spans="1:11">
      <c r="A1510" s="1">
        <v>46066</v>
      </c>
      <c r="B1510" t="s">
        <v>1980</v>
      </c>
      <c r="C1510">
        <v>4.1130000000000004</v>
      </c>
      <c r="E1510" s="1">
        <v>45740</v>
      </c>
      <c r="F1510" s="1" t="s">
        <v>162</v>
      </c>
      <c r="G1510" s="9">
        <v>4.55</v>
      </c>
      <c r="I1510" s="1">
        <v>46077</v>
      </c>
      <c r="J1510" s="1" t="s">
        <v>286</v>
      </c>
      <c r="K1510" s="3">
        <v>30887.69</v>
      </c>
    </row>
    <row r="1511" spans="1:11">
      <c r="A1511" s="1">
        <v>46066</v>
      </c>
      <c r="B1511" t="s">
        <v>1981</v>
      </c>
      <c r="C1511">
        <v>4.2030000000000003</v>
      </c>
      <c r="E1511" s="1">
        <v>45740</v>
      </c>
      <c r="F1511" s="1" t="s">
        <v>163</v>
      </c>
      <c r="G1511" s="9">
        <v>4.58</v>
      </c>
      <c r="I1511" s="1">
        <v>46077</v>
      </c>
      <c r="J1511" s="1" t="s">
        <v>287</v>
      </c>
      <c r="K1511" s="3">
        <v>442885</v>
      </c>
    </row>
    <row r="1512" spans="1:11">
      <c r="A1512" s="1">
        <v>46066</v>
      </c>
      <c r="B1512" t="s">
        <v>1982</v>
      </c>
      <c r="C1512">
        <v>4.2919999999999998</v>
      </c>
      <c r="E1512" s="1">
        <v>45737</v>
      </c>
      <c r="F1512" s="1" t="s">
        <v>160</v>
      </c>
      <c r="G1512" s="9">
        <v>4.22</v>
      </c>
      <c r="I1512" s="1">
        <v>46077</v>
      </c>
      <c r="J1512" s="1" t="s">
        <v>288</v>
      </c>
      <c r="K1512" s="3">
        <v>-132649</v>
      </c>
    </row>
    <row r="1513" spans="1:11">
      <c r="A1513" s="1">
        <v>46066</v>
      </c>
      <c r="B1513" t="s">
        <v>1983</v>
      </c>
      <c r="C1513">
        <v>4.3419999999999996</v>
      </c>
      <c r="E1513" s="1">
        <v>45737</v>
      </c>
      <c r="F1513" s="1" t="s">
        <v>161</v>
      </c>
      <c r="G1513" s="9">
        <v>4.38</v>
      </c>
      <c r="I1513" s="1">
        <v>46077</v>
      </c>
      <c r="J1513" s="1" t="s">
        <v>289</v>
      </c>
      <c r="K1513" s="3">
        <v>3</v>
      </c>
    </row>
    <row r="1514" spans="1:11">
      <c r="A1514" s="1">
        <v>46065</v>
      </c>
      <c r="B1514" t="s">
        <v>1974</v>
      </c>
      <c r="C1514">
        <v>3.004</v>
      </c>
      <c r="E1514" s="1">
        <v>45737</v>
      </c>
      <c r="F1514" s="1" t="s">
        <v>162</v>
      </c>
      <c r="G1514" s="9">
        <v>4.5</v>
      </c>
      <c r="I1514" s="1">
        <v>46077</v>
      </c>
      <c r="J1514" s="1" t="s">
        <v>290</v>
      </c>
      <c r="K1514" s="3">
        <v>3</v>
      </c>
    </row>
    <row r="1515" spans="1:11">
      <c r="A1515" s="1">
        <v>46065</v>
      </c>
      <c r="B1515" t="s">
        <v>1975</v>
      </c>
      <c r="C1515">
        <v>3.1480000000000001</v>
      </c>
      <c r="E1515" s="1">
        <v>45737</v>
      </c>
      <c r="F1515" s="1" t="s">
        <v>163</v>
      </c>
      <c r="G1515" s="9">
        <v>4.54</v>
      </c>
      <c r="I1515" s="1">
        <v>46077</v>
      </c>
      <c r="J1515" s="1" t="s">
        <v>107</v>
      </c>
      <c r="K1515" s="3">
        <v>19006201665347</v>
      </c>
    </row>
    <row r="1516" spans="1:11">
      <c r="A1516" s="1">
        <v>46065</v>
      </c>
      <c r="B1516" t="s">
        <v>1976</v>
      </c>
      <c r="C1516">
        <v>3.202</v>
      </c>
      <c r="E1516" s="1">
        <v>45736</v>
      </c>
      <c r="F1516" s="1" t="s">
        <v>160</v>
      </c>
      <c r="G1516" s="9">
        <v>4.04</v>
      </c>
      <c r="I1516" s="1">
        <v>46076</v>
      </c>
      <c r="J1516" s="1" t="s">
        <v>282</v>
      </c>
      <c r="K1516" s="3">
        <v>0</v>
      </c>
    </row>
    <row r="1517" spans="1:11">
      <c r="A1517" s="1">
        <v>46065</v>
      </c>
      <c r="B1517" t="s">
        <v>1977</v>
      </c>
      <c r="C1517">
        <v>3.48</v>
      </c>
      <c r="E1517" s="1">
        <v>45736</v>
      </c>
      <c r="F1517" s="1" t="s">
        <v>161</v>
      </c>
      <c r="G1517" s="9">
        <v>4.18</v>
      </c>
      <c r="I1517" s="1">
        <v>46076</v>
      </c>
      <c r="J1517" s="1" t="s">
        <v>283</v>
      </c>
      <c r="K1517" s="3">
        <v>7</v>
      </c>
    </row>
    <row r="1518" spans="1:11">
      <c r="A1518" s="1">
        <v>46065</v>
      </c>
      <c r="B1518" t="s">
        <v>1978</v>
      </c>
      <c r="C1518">
        <v>3.758</v>
      </c>
      <c r="E1518" s="1">
        <v>45736</v>
      </c>
      <c r="F1518" s="1" t="s">
        <v>162</v>
      </c>
      <c r="G1518" s="9">
        <v>4.38</v>
      </c>
      <c r="I1518" s="1">
        <v>46076</v>
      </c>
      <c r="J1518" s="1" t="s">
        <v>284</v>
      </c>
      <c r="K1518" s="3">
        <v>3774</v>
      </c>
    </row>
    <row r="1519" spans="1:11">
      <c r="A1519" s="1">
        <v>46065</v>
      </c>
      <c r="B1519" t="s">
        <v>1979</v>
      </c>
      <c r="C1519">
        <v>3.8079999999999998</v>
      </c>
      <c r="E1519" s="1">
        <v>45736</v>
      </c>
      <c r="F1519" s="1" t="s">
        <v>163</v>
      </c>
      <c r="G1519" s="9">
        <v>4.5</v>
      </c>
      <c r="I1519" s="1">
        <v>46076</v>
      </c>
      <c r="J1519" s="1" t="s">
        <v>285</v>
      </c>
      <c r="K1519" s="3">
        <v>4.5</v>
      </c>
    </row>
    <row r="1520" spans="1:11">
      <c r="A1520" s="1">
        <v>46065</v>
      </c>
      <c r="B1520" t="s">
        <v>1980</v>
      </c>
      <c r="C1520">
        <v>4.1130000000000004</v>
      </c>
      <c r="E1520" s="1">
        <v>45735</v>
      </c>
      <c r="F1520" s="1" t="s">
        <v>160</v>
      </c>
      <c r="G1520" s="9">
        <v>4.0999999999999996</v>
      </c>
      <c r="I1520" s="1">
        <v>46076</v>
      </c>
      <c r="J1520" s="1" t="s">
        <v>286</v>
      </c>
      <c r="K1520" s="3">
        <v>14098.08</v>
      </c>
    </row>
    <row r="1521" spans="1:11">
      <c r="A1521" s="1">
        <v>46065</v>
      </c>
      <c r="B1521" t="s">
        <v>1981</v>
      </c>
      <c r="C1521">
        <v>4.2030000000000003</v>
      </c>
      <c r="E1521" s="1">
        <v>45735</v>
      </c>
      <c r="F1521" s="1" t="s">
        <v>161</v>
      </c>
      <c r="G1521" s="9">
        <v>4.26</v>
      </c>
      <c r="I1521" s="1">
        <v>46076</v>
      </c>
      <c r="J1521" s="1" t="s">
        <v>287</v>
      </c>
      <c r="K1521" s="3">
        <v>472772.69</v>
      </c>
    </row>
    <row r="1522" spans="1:11">
      <c r="A1522" s="1">
        <v>46065</v>
      </c>
      <c r="B1522" t="s">
        <v>1982</v>
      </c>
      <c r="C1522">
        <v>4.2919999999999998</v>
      </c>
      <c r="E1522" s="1">
        <v>45735</v>
      </c>
      <c r="F1522" s="1" t="s">
        <v>162</v>
      </c>
      <c r="G1522" s="9">
        <v>4.4000000000000004</v>
      </c>
      <c r="I1522" s="1">
        <v>46076</v>
      </c>
      <c r="J1522" s="1" t="s">
        <v>288</v>
      </c>
      <c r="K1522" s="3">
        <v>-121962.69</v>
      </c>
    </row>
    <row r="1523" spans="1:11">
      <c r="A1523" s="1">
        <v>46065</v>
      </c>
      <c r="B1523" t="s">
        <v>1983</v>
      </c>
      <c r="C1523">
        <v>4.3419999999999996</v>
      </c>
      <c r="E1523" s="1">
        <v>45735</v>
      </c>
      <c r="F1523" s="1" t="s">
        <v>163</v>
      </c>
      <c r="G1523" s="9">
        <v>4.5199999999999996</v>
      </c>
      <c r="I1523" s="1">
        <v>46076</v>
      </c>
      <c r="J1523" s="1" t="s">
        <v>289</v>
      </c>
      <c r="K1523" s="3">
        <v>5</v>
      </c>
    </row>
    <row r="1524" spans="1:11">
      <c r="A1524" s="1">
        <v>46064</v>
      </c>
      <c r="B1524" t="s">
        <v>1974</v>
      </c>
      <c r="C1524">
        <v>3.004</v>
      </c>
      <c r="E1524" s="1">
        <v>45734</v>
      </c>
      <c r="F1524" s="1" t="s">
        <v>160</v>
      </c>
      <c r="G1524" s="9">
        <v>4.16</v>
      </c>
      <c r="I1524" s="1">
        <v>46076</v>
      </c>
      <c r="J1524" s="1" t="s">
        <v>290</v>
      </c>
      <c r="K1524" s="3">
        <v>5</v>
      </c>
    </row>
    <row r="1525" spans="1:11">
      <c r="A1525" s="1">
        <v>46064</v>
      </c>
      <c r="B1525" t="s">
        <v>1975</v>
      </c>
      <c r="C1525">
        <v>3.1480000000000001</v>
      </c>
      <c r="E1525" s="1">
        <v>45734</v>
      </c>
      <c r="F1525" s="1" t="s">
        <v>161</v>
      </c>
      <c r="G1525" s="9">
        <v>4.29</v>
      </c>
      <c r="I1525" s="1">
        <v>46076</v>
      </c>
      <c r="J1525" s="1" t="s">
        <v>107</v>
      </c>
      <c r="K1525" s="3">
        <v>20723543717196</v>
      </c>
    </row>
    <row r="1526" spans="1:11">
      <c r="A1526" s="1">
        <v>46064</v>
      </c>
      <c r="B1526" t="s">
        <v>1976</v>
      </c>
      <c r="C1526">
        <v>3.202</v>
      </c>
      <c r="E1526" s="1">
        <v>45734</v>
      </c>
      <c r="F1526" s="1" t="s">
        <v>162</v>
      </c>
      <c r="G1526" s="9">
        <v>4.4000000000000004</v>
      </c>
      <c r="I1526" s="1">
        <v>46075</v>
      </c>
      <c r="J1526" s="1" t="s">
        <v>107</v>
      </c>
      <c r="K1526" s="3">
        <v>20775640389706</v>
      </c>
    </row>
    <row r="1527" spans="1:11">
      <c r="A1527" s="1">
        <v>46064</v>
      </c>
      <c r="B1527" t="s">
        <v>1977</v>
      </c>
      <c r="C1527">
        <v>3.476</v>
      </c>
      <c r="E1527" s="1">
        <v>45734</v>
      </c>
      <c r="F1527" s="1" t="s">
        <v>163</v>
      </c>
      <c r="G1527" s="9">
        <v>4.51</v>
      </c>
      <c r="I1527" s="1">
        <v>46066</v>
      </c>
      <c r="J1527" s="1" t="s">
        <v>282</v>
      </c>
      <c r="K1527" s="3">
        <v>0</v>
      </c>
    </row>
    <row r="1528" spans="1:11">
      <c r="A1528" s="1">
        <v>46064</v>
      </c>
      <c r="B1528" t="s">
        <v>1978</v>
      </c>
      <c r="C1528">
        <v>3.7509999999999999</v>
      </c>
      <c r="E1528" s="1">
        <v>45733</v>
      </c>
      <c r="F1528" s="1" t="s">
        <v>160</v>
      </c>
      <c r="G1528" s="9">
        <v>4.24</v>
      </c>
      <c r="I1528" s="1">
        <v>46066</v>
      </c>
      <c r="J1528" s="1" t="s">
        <v>283</v>
      </c>
      <c r="K1528" s="3">
        <v>7</v>
      </c>
    </row>
    <row r="1529" spans="1:11">
      <c r="A1529" s="1">
        <v>46064</v>
      </c>
      <c r="B1529" t="s">
        <v>1979</v>
      </c>
      <c r="C1529">
        <v>3.8079999999999998</v>
      </c>
      <c r="E1529" s="1">
        <v>45733</v>
      </c>
      <c r="F1529" s="1" t="s">
        <v>161</v>
      </c>
      <c r="G1529" s="9">
        <v>4.34</v>
      </c>
      <c r="I1529" s="1">
        <v>46066</v>
      </c>
      <c r="J1529" s="1" t="s">
        <v>284</v>
      </c>
      <c r="K1529" s="3">
        <v>11688</v>
      </c>
    </row>
    <row r="1530" spans="1:11">
      <c r="A1530" s="1">
        <v>46064</v>
      </c>
      <c r="B1530" t="s">
        <v>1980</v>
      </c>
      <c r="C1530">
        <v>4.1130000000000004</v>
      </c>
      <c r="E1530" s="1">
        <v>45733</v>
      </c>
      <c r="F1530" s="1" t="s">
        <v>162</v>
      </c>
      <c r="G1530" s="9">
        <v>4.46</v>
      </c>
      <c r="I1530" s="1">
        <v>46066</v>
      </c>
      <c r="J1530" s="1" t="s">
        <v>285</v>
      </c>
      <c r="K1530" s="3">
        <v>4.5</v>
      </c>
    </row>
    <row r="1531" spans="1:11">
      <c r="A1531" s="1">
        <v>46064</v>
      </c>
      <c r="B1531" t="s">
        <v>1981</v>
      </c>
      <c r="C1531">
        <v>4.2030000000000003</v>
      </c>
      <c r="E1531" s="1">
        <v>45733</v>
      </c>
      <c r="F1531" s="1" t="s">
        <v>163</v>
      </c>
      <c r="G1531" s="9">
        <v>4.54</v>
      </c>
      <c r="I1531" s="1">
        <v>46066</v>
      </c>
      <c r="J1531" s="1" t="s">
        <v>286</v>
      </c>
      <c r="K1531" s="3">
        <v>7333</v>
      </c>
    </row>
    <row r="1532" spans="1:11">
      <c r="A1532" s="1">
        <v>46064</v>
      </c>
      <c r="B1532" t="s">
        <v>1982</v>
      </c>
      <c r="C1532">
        <v>4.2919999999999998</v>
      </c>
      <c r="E1532" s="1">
        <v>45730</v>
      </c>
      <c r="F1532" s="1" t="s">
        <v>160</v>
      </c>
      <c r="G1532" s="9">
        <v>4.3</v>
      </c>
      <c r="I1532" s="1">
        <v>46066</v>
      </c>
      <c r="J1532" s="1" t="s">
        <v>287</v>
      </c>
      <c r="K1532" s="3">
        <v>483096.77</v>
      </c>
    </row>
    <row r="1533" spans="1:11">
      <c r="A1533" s="1">
        <v>46064</v>
      </c>
      <c r="B1533" t="s">
        <v>1983</v>
      </c>
      <c r="C1533">
        <v>4.3419999999999996</v>
      </c>
      <c r="E1533" s="1">
        <v>45730</v>
      </c>
      <c r="F1533" s="1" t="s">
        <v>161</v>
      </c>
      <c r="G1533" s="9">
        <v>4.43</v>
      </c>
      <c r="I1533" s="1">
        <v>46066</v>
      </c>
      <c r="J1533" s="1" t="s">
        <v>288</v>
      </c>
      <c r="K1533" s="3">
        <v>-88192.77</v>
      </c>
    </row>
    <row r="1534" spans="1:11">
      <c r="A1534" s="1">
        <v>46063</v>
      </c>
      <c r="B1534" t="s">
        <v>1983</v>
      </c>
      <c r="C1534">
        <v>4.3419999999999996</v>
      </c>
      <c r="E1534" s="1">
        <v>45730</v>
      </c>
      <c r="F1534" s="1" t="s">
        <v>162</v>
      </c>
      <c r="G1534" s="9">
        <v>4.53</v>
      </c>
      <c r="I1534" s="1">
        <v>46066</v>
      </c>
      <c r="J1534" s="1" t="s">
        <v>289</v>
      </c>
      <c r="K1534" s="3">
        <v>4</v>
      </c>
    </row>
    <row r="1535" spans="1:11">
      <c r="A1535" s="1">
        <v>46063</v>
      </c>
      <c r="B1535" t="s">
        <v>1974</v>
      </c>
      <c r="C1535">
        <v>3.0329999999999999</v>
      </c>
      <c r="E1535" s="1">
        <v>45730</v>
      </c>
      <c r="F1535" s="1" t="s">
        <v>163</v>
      </c>
      <c r="G1535" s="9">
        <v>4.6100000000000003</v>
      </c>
      <c r="I1535" s="1">
        <v>46066</v>
      </c>
      <c r="J1535" s="1" t="s">
        <v>290</v>
      </c>
      <c r="K1535" s="3">
        <v>4</v>
      </c>
    </row>
    <row r="1536" spans="1:11">
      <c r="A1536" s="1">
        <v>46063</v>
      </c>
      <c r="B1536" t="s">
        <v>1975</v>
      </c>
      <c r="C1536">
        <v>3.1480000000000001</v>
      </c>
      <c r="E1536" s="1">
        <v>45729</v>
      </c>
      <c r="F1536" s="1" t="s">
        <v>160</v>
      </c>
      <c r="G1536" s="9">
        <v>4.5599999999999996</v>
      </c>
      <c r="I1536" s="1">
        <v>46065</v>
      </c>
      <c r="J1536" s="1" t="s">
        <v>282</v>
      </c>
      <c r="K1536" s="3">
        <v>0</v>
      </c>
    </row>
    <row r="1537" spans="1:11">
      <c r="A1537" s="1">
        <v>46063</v>
      </c>
      <c r="B1537" t="s">
        <v>1976</v>
      </c>
      <c r="C1537">
        <v>3.198</v>
      </c>
      <c r="E1537" s="1">
        <v>45729</v>
      </c>
      <c r="F1537" s="1" t="s">
        <v>161</v>
      </c>
      <c r="G1537" s="9">
        <v>4.62</v>
      </c>
      <c r="I1537" s="1">
        <v>46065</v>
      </c>
      <c r="J1537" s="1" t="s">
        <v>283</v>
      </c>
      <c r="K1537" s="3">
        <v>7</v>
      </c>
    </row>
    <row r="1538" spans="1:11">
      <c r="A1538" s="1">
        <v>46063</v>
      </c>
      <c r="B1538" t="s">
        <v>1977</v>
      </c>
      <c r="C1538">
        <v>3.4729999999999999</v>
      </c>
      <c r="E1538" s="1">
        <v>45729</v>
      </c>
      <c r="F1538" s="1" t="s">
        <v>162</v>
      </c>
      <c r="G1538" s="9">
        <v>4.66</v>
      </c>
      <c r="I1538" s="1">
        <v>46065</v>
      </c>
      <c r="J1538" s="1" t="s">
        <v>284</v>
      </c>
      <c r="K1538" s="3">
        <v>2000</v>
      </c>
    </row>
    <row r="1539" spans="1:11">
      <c r="A1539" s="1">
        <v>46063</v>
      </c>
      <c r="B1539" t="s">
        <v>1978</v>
      </c>
      <c r="C1539">
        <v>3.7469999999999999</v>
      </c>
      <c r="E1539" s="1">
        <v>45729</v>
      </c>
      <c r="F1539" s="1" t="s">
        <v>163</v>
      </c>
      <c r="G1539" s="9">
        <v>4.6399999999999997</v>
      </c>
      <c r="I1539" s="1">
        <v>46065</v>
      </c>
      <c r="J1539" s="1" t="s">
        <v>285</v>
      </c>
      <c r="K1539" s="3">
        <v>4.5</v>
      </c>
    </row>
    <row r="1540" spans="1:11">
      <c r="A1540" s="1">
        <v>46063</v>
      </c>
      <c r="B1540" t="s">
        <v>1979</v>
      </c>
      <c r="C1540">
        <v>3.7970000000000002</v>
      </c>
      <c r="E1540" s="1">
        <v>45728</v>
      </c>
      <c r="F1540" s="1" t="s">
        <v>160</v>
      </c>
      <c r="G1540" s="9">
        <v>4.74</v>
      </c>
      <c r="I1540" s="1">
        <v>46065</v>
      </c>
      <c r="J1540" s="1" t="s">
        <v>286</v>
      </c>
      <c r="K1540" s="3">
        <v>4074</v>
      </c>
    </row>
    <row r="1541" spans="1:11">
      <c r="A1541" s="1">
        <v>46063</v>
      </c>
      <c r="B1541" t="s">
        <v>1980</v>
      </c>
      <c r="C1541">
        <v>4.1100000000000003</v>
      </c>
      <c r="E1541" s="1">
        <v>45728</v>
      </c>
      <c r="F1541" s="1" t="s">
        <v>161</v>
      </c>
      <c r="G1541" s="9">
        <v>4.76</v>
      </c>
      <c r="I1541" s="1">
        <v>46065</v>
      </c>
      <c r="J1541" s="1" t="s">
        <v>287</v>
      </c>
      <c r="K1541" s="3">
        <v>478741.77</v>
      </c>
    </row>
    <row r="1542" spans="1:11">
      <c r="A1542" s="1">
        <v>46063</v>
      </c>
      <c r="B1542" t="s">
        <v>1981</v>
      </c>
      <c r="C1542">
        <v>4.1980000000000004</v>
      </c>
      <c r="E1542" s="1">
        <v>45728</v>
      </c>
      <c r="F1542" s="1" t="s">
        <v>162</v>
      </c>
      <c r="G1542" s="9">
        <v>4.71</v>
      </c>
      <c r="I1542" s="1">
        <v>46065</v>
      </c>
      <c r="J1542" s="1" t="s">
        <v>288</v>
      </c>
      <c r="K1542" s="3">
        <v>-7333</v>
      </c>
    </row>
    <row r="1543" spans="1:11">
      <c r="A1543" s="1">
        <v>46063</v>
      </c>
      <c r="B1543" t="s">
        <v>1982</v>
      </c>
      <c r="C1543">
        <v>4.2919999999999998</v>
      </c>
      <c r="E1543" s="1">
        <v>45728</v>
      </c>
      <c r="F1543" s="1" t="s">
        <v>163</v>
      </c>
      <c r="G1543" s="9">
        <v>4.7300000000000004</v>
      </c>
      <c r="I1543" s="1">
        <v>46065</v>
      </c>
      <c r="J1543" s="1" t="s">
        <v>289</v>
      </c>
      <c r="K1543" s="3">
        <v>3</v>
      </c>
    </row>
    <row r="1544" spans="1:11">
      <c r="A1544" s="1">
        <v>46062</v>
      </c>
      <c r="B1544" t="s">
        <v>1974</v>
      </c>
      <c r="C1544">
        <v>3.004</v>
      </c>
      <c r="E1544" s="1">
        <v>45727</v>
      </c>
      <c r="F1544" s="1" t="s">
        <v>160</v>
      </c>
      <c r="G1544" s="9">
        <v>4.58</v>
      </c>
      <c r="I1544" s="1">
        <v>46065</v>
      </c>
      <c r="J1544" s="1" t="s">
        <v>290</v>
      </c>
      <c r="K1544" s="3">
        <v>3</v>
      </c>
    </row>
    <row r="1545" spans="1:11">
      <c r="A1545" s="1">
        <v>46062</v>
      </c>
      <c r="B1545" t="s">
        <v>1975</v>
      </c>
      <c r="C1545">
        <v>3.1269999999999998</v>
      </c>
      <c r="E1545" s="1">
        <v>45727</v>
      </c>
      <c r="F1545" s="1" t="s">
        <v>161</v>
      </c>
      <c r="G1545" s="9">
        <v>4.5999999999999996</v>
      </c>
      <c r="I1545" s="1">
        <v>46065</v>
      </c>
      <c r="J1545" s="1" t="s">
        <v>107</v>
      </c>
      <c r="K1545" s="3">
        <v>20775640389706</v>
      </c>
    </row>
    <row r="1546" spans="1:11">
      <c r="A1546" s="1">
        <v>46062</v>
      </c>
      <c r="B1546" t="s">
        <v>1976</v>
      </c>
      <c r="C1546">
        <v>3.173</v>
      </c>
      <c r="E1546" s="1">
        <v>45727</v>
      </c>
      <c r="F1546" s="1" t="s">
        <v>162</v>
      </c>
      <c r="G1546" s="9">
        <v>4.5999999999999996</v>
      </c>
      <c r="I1546" s="1">
        <v>46064</v>
      </c>
      <c r="J1546" s="1" t="s">
        <v>285</v>
      </c>
      <c r="K1546" s="3">
        <v>4.5</v>
      </c>
    </row>
    <row r="1547" spans="1:11">
      <c r="A1547" s="1">
        <v>46062</v>
      </c>
      <c r="B1547" t="s">
        <v>1977</v>
      </c>
      <c r="C1547">
        <v>3.4449999999999998</v>
      </c>
      <c r="E1547" s="1">
        <v>45727</v>
      </c>
      <c r="F1547" s="1" t="s">
        <v>163</v>
      </c>
      <c r="G1547" s="9">
        <v>4.54</v>
      </c>
      <c r="I1547" s="1">
        <v>46064</v>
      </c>
      <c r="J1547" s="1" t="s">
        <v>286</v>
      </c>
      <c r="K1547" s="3">
        <v>3696</v>
      </c>
    </row>
    <row r="1548" spans="1:11">
      <c r="A1548" s="1">
        <v>46062</v>
      </c>
      <c r="B1548" t="s">
        <v>1978</v>
      </c>
      <c r="C1548">
        <v>3.718</v>
      </c>
      <c r="E1548" s="1">
        <v>45726</v>
      </c>
      <c r="F1548" s="1" t="s">
        <v>160</v>
      </c>
      <c r="G1548" s="9">
        <v>4.1500000000000004</v>
      </c>
      <c r="I1548" s="1">
        <v>46064</v>
      </c>
      <c r="J1548" s="1" t="s">
        <v>287</v>
      </c>
      <c r="K1548" s="3">
        <v>480815.77</v>
      </c>
    </row>
    <row r="1549" spans="1:11">
      <c r="A1549" s="1">
        <v>46062</v>
      </c>
      <c r="B1549" t="s">
        <v>1979</v>
      </c>
      <c r="C1549">
        <v>3.794</v>
      </c>
      <c r="E1549" s="1">
        <v>45726</v>
      </c>
      <c r="F1549" s="1" t="s">
        <v>161</v>
      </c>
      <c r="G1549" s="9">
        <v>4.32</v>
      </c>
      <c r="I1549" s="1">
        <v>46064</v>
      </c>
      <c r="J1549" s="1" t="s">
        <v>288</v>
      </c>
      <c r="K1549" s="3">
        <v>-11407</v>
      </c>
    </row>
    <row r="1550" spans="1:11">
      <c r="A1550" s="1">
        <v>46062</v>
      </c>
      <c r="B1550" t="s">
        <v>1980</v>
      </c>
      <c r="C1550">
        <v>4.1100000000000003</v>
      </c>
      <c r="E1550" s="1">
        <v>45726</v>
      </c>
      <c r="F1550" s="1" t="s">
        <v>162</v>
      </c>
      <c r="G1550" s="9">
        <v>4.37</v>
      </c>
      <c r="I1550" s="1">
        <v>46064</v>
      </c>
      <c r="J1550" s="1" t="s">
        <v>289</v>
      </c>
      <c r="K1550" s="3">
        <v>7</v>
      </c>
    </row>
    <row r="1551" spans="1:11">
      <c r="A1551" s="1">
        <v>46062</v>
      </c>
      <c r="B1551" t="s">
        <v>1981</v>
      </c>
      <c r="C1551">
        <v>4.1950000000000003</v>
      </c>
      <c r="E1551" s="1">
        <v>45726</v>
      </c>
      <c r="F1551" s="1" t="s">
        <v>163</v>
      </c>
      <c r="G1551" s="9">
        <v>4.53</v>
      </c>
      <c r="I1551" s="1">
        <v>46064</v>
      </c>
      <c r="J1551" s="1" t="s">
        <v>290</v>
      </c>
      <c r="K1551" s="3">
        <v>7</v>
      </c>
    </row>
    <row r="1552" spans="1:11">
      <c r="A1552" s="1">
        <v>46062</v>
      </c>
      <c r="B1552" t="s">
        <v>1982</v>
      </c>
      <c r="C1552">
        <v>4.2919999999999998</v>
      </c>
      <c r="E1552" s="1">
        <v>45723</v>
      </c>
      <c r="F1552" s="1" t="s">
        <v>160</v>
      </c>
      <c r="G1552" s="9">
        <v>3.99</v>
      </c>
      <c r="I1552" s="1">
        <v>46064</v>
      </c>
      <c r="J1552" s="1" t="s">
        <v>107</v>
      </c>
      <c r="K1552" s="3">
        <v>20501093804591</v>
      </c>
    </row>
    <row r="1553" spans="1:11">
      <c r="A1553" s="1">
        <v>46062</v>
      </c>
      <c r="B1553" t="s">
        <v>1983</v>
      </c>
      <c r="C1553">
        <v>4.3419999999999996</v>
      </c>
      <c r="E1553" s="1">
        <v>45723</v>
      </c>
      <c r="F1553" s="1" t="s">
        <v>161</v>
      </c>
      <c r="G1553" s="9">
        <v>4.09</v>
      </c>
      <c r="I1553" s="1">
        <v>46064</v>
      </c>
      <c r="J1553" s="1" t="s">
        <v>282</v>
      </c>
      <c r="K1553" s="3">
        <v>0</v>
      </c>
    </row>
    <row r="1554" spans="1:11">
      <c r="A1554" s="1">
        <v>46059</v>
      </c>
      <c r="B1554" t="s">
        <v>1974</v>
      </c>
      <c r="C1554">
        <v>3.004</v>
      </c>
      <c r="E1554" s="1">
        <v>45723</v>
      </c>
      <c r="F1554" s="1" t="s">
        <v>162</v>
      </c>
      <c r="G1554" s="9">
        <v>4.2699999999999996</v>
      </c>
      <c r="I1554" s="1">
        <v>46064</v>
      </c>
      <c r="J1554" s="1" t="s">
        <v>283</v>
      </c>
      <c r="K1554" s="3">
        <v>7</v>
      </c>
    </row>
    <row r="1555" spans="1:11">
      <c r="A1555" s="1">
        <v>46059</v>
      </c>
      <c r="B1555" t="s">
        <v>1975</v>
      </c>
      <c r="C1555">
        <v>3.1269999999999998</v>
      </c>
      <c r="E1555" s="1">
        <v>45723</v>
      </c>
      <c r="F1555" s="1" t="s">
        <v>163</v>
      </c>
      <c r="G1555" s="9">
        <v>4.43</v>
      </c>
      <c r="I1555" s="1">
        <v>46064</v>
      </c>
      <c r="J1555" s="1" t="s">
        <v>284</v>
      </c>
      <c r="K1555" s="3">
        <v>7941</v>
      </c>
    </row>
    <row r="1556" spans="1:11">
      <c r="A1556" s="1">
        <v>46059</v>
      </c>
      <c r="B1556" t="s">
        <v>1976</v>
      </c>
      <c r="C1556">
        <v>3.173</v>
      </c>
      <c r="E1556" s="1">
        <v>45722</v>
      </c>
      <c r="F1556" s="1" t="s">
        <v>160</v>
      </c>
      <c r="G1556" s="9">
        <v>4.0199999999999996</v>
      </c>
      <c r="I1556" s="1">
        <v>46063</v>
      </c>
      <c r="J1556" s="1" t="s">
        <v>282</v>
      </c>
      <c r="K1556" s="3">
        <v>0</v>
      </c>
    </row>
    <row r="1557" spans="1:11">
      <c r="A1557" s="1">
        <v>46059</v>
      </c>
      <c r="B1557" t="s">
        <v>1977</v>
      </c>
      <c r="C1557">
        <v>3.4209999999999998</v>
      </c>
      <c r="E1557" s="1">
        <v>45722</v>
      </c>
      <c r="F1557" s="1" t="s">
        <v>161</v>
      </c>
      <c r="G1557" s="9">
        <v>4.16</v>
      </c>
      <c r="I1557" s="1">
        <v>46063</v>
      </c>
      <c r="J1557" s="1" t="s">
        <v>283</v>
      </c>
      <c r="K1557" s="3">
        <v>7</v>
      </c>
    </row>
    <row r="1558" spans="1:11">
      <c r="A1558" s="1">
        <v>46059</v>
      </c>
      <c r="B1558" t="s">
        <v>1978</v>
      </c>
      <c r="C1558">
        <v>3.669</v>
      </c>
      <c r="E1558" s="1">
        <v>45722</v>
      </c>
      <c r="F1558" s="1" t="s">
        <v>162</v>
      </c>
      <c r="G1558" s="9">
        <v>4.3</v>
      </c>
      <c r="I1558" s="1">
        <v>46063</v>
      </c>
      <c r="J1558" s="1" t="s">
        <v>284</v>
      </c>
      <c r="K1558" s="3">
        <v>27842</v>
      </c>
    </row>
    <row r="1559" spans="1:11">
      <c r="A1559" s="1">
        <v>46059</v>
      </c>
      <c r="B1559" t="s">
        <v>1979</v>
      </c>
      <c r="C1559">
        <v>3.75</v>
      </c>
      <c r="E1559" s="1">
        <v>45722</v>
      </c>
      <c r="F1559" s="1" t="s">
        <v>163</v>
      </c>
      <c r="G1559" s="9">
        <v>4.42</v>
      </c>
      <c r="I1559" s="1">
        <v>46063</v>
      </c>
      <c r="J1559" s="1" t="s">
        <v>285</v>
      </c>
      <c r="K1559" s="3">
        <v>4.5</v>
      </c>
    </row>
    <row r="1560" spans="1:11">
      <c r="A1560" s="1">
        <v>46059</v>
      </c>
      <c r="B1560" t="s">
        <v>1980</v>
      </c>
      <c r="C1560">
        <v>4.0910000000000002</v>
      </c>
      <c r="E1560" s="1">
        <v>45721</v>
      </c>
      <c r="F1560" s="1" t="s">
        <v>160</v>
      </c>
      <c r="G1560" s="9">
        <v>4.17</v>
      </c>
      <c r="I1560" s="1">
        <v>46063</v>
      </c>
      <c r="J1560" s="1" t="s">
        <v>286</v>
      </c>
      <c r="K1560" s="3">
        <v>40731</v>
      </c>
    </row>
    <row r="1561" spans="1:11">
      <c r="A1561" s="1">
        <v>46059</v>
      </c>
      <c r="B1561" t="s">
        <v>1981</v>
      </c>
      <c r="C1561">
        <v>4.1950000000000003</v>
      </c>
      <c r="E1561" s="1">
        <v>45721</v>
      </c>
      <c r="F1561" s="1" t="s">
        <v>161</v>
      </c>
      <c r="G1561" s="9">
        <v>4.3099999999999996</v>
      </c>
      <c r="I1561" s="1">
        <v>46063</v>
      </c>
      <c r="J1561" s="1" t="s">
        <v>287</v>
      </c>
      <c r="K1561" s="3">
        <v>476570.77</v>
      </c>
    </row>
    <row r="1562" spans="1:11">
      <c r="A1562" s="1">
        <v>46059</v>
      </c>
      <c r="B1562" t="s">
        <v>1982</v>
      </c>
      <c r="C1562">
        <v>4.2919999999999998</v>
      </c>
      <c r="E1562" s="1">
        <v>45721</v>
      </c>
      <c r="F1562" s="1" t="s">
        <v>162</v>
      </c>
      <c r="G1562" s="9">
        <v>4.41</v>
      </c>
      <c r="I1562" s="1">
        <v>46063</v>
      </c>
      <c r="J1562" s="1" t="s">
        <v>288</v>
      </c>
      <c r="K1562" s="3">
        <v>-15103</v>
      </c>
    </row>
    <row r="1563" spans="1:11">
      <c r="A1563" s="1">
        <v>46059</v>
      </c>
      <c r="B1563" t="s">
        <v>1983</v>
      </c>
      <c r="C1563">
        <v>4.3419999999999996</v>
      </c>
      <c r="E1563" s="1">
        <v>45721</v>
      </c>
      <c r="F1563" s="1" t="s">
        <v>163</v>
      </c>
      <c r="G1563" s="9">
        <v>4.51</v>
      </c>
      <c r="I1563" s="1">
        <v>46063</v>
      </c>
      <c r="J1563" s="1" t="s">
        <v>289</v>
      </c>
      <c r="K1563" s="3">
        <v>9</v>
      </c>
    </row>
    <row r="1564" spans="1:11">
      <c r="A1564" s="1">
        <v>46058</v>
      </c>
      <c r="B1564" t="s">
        <v>1974</v>
      </c>
      <c r="C1564">
        <v>3.004</v>
      </c>
      <c r="E1564" s="1">
        <v>45720</v>
      </c>
      <c r="F1564" s="1" t="s">
        <v>160</v>
      </c>
      <c r="G1564" s="9">
        <v>4.7699999999999996</v>
      </c>
      <c r="I1564" s="1">
        <v>46063</v>
      </c>
      <c r="J1564" s="1" t="s">
        <v>290</v>
      </c>
      <c r="K1564" s="3">
        <v>9</v>
      </c>
    </row>
    <row r="1565" spans="1:11">
      <c r="A1565" s="1">
        <v>46058</v>
      </c>
      <c r="B1565" t="s">
        <v>1975</v>
      </c>
      <c r="C1565">
        <v>3.1269999999999998</v>
      </c>
      <c r="E1565" s="1">
        <v>45720</v>
      </c>
      <c r="F1565" s="1" t="s">
        <v>161</v>
      </c>
      <c r="G1565" s="9">
        <v>4.82</v>
      </c>
      <c r="I1565" s="1">
        <v>46063</v>
      </c>
      <c r="J1565" s="1" t="s">
        <v>107</v>
      </c>
      <c r="K1565" s="3">
        <v>17701157138069</v>
      </c>
    </row>
    <row r="1566" spans="1:11">
      <c r="A1566" s="1">
        <v>46058</v>
      </c>
      <c r="B1566" t="s">
        <v>1976</v>
      </c>
      <c r="C1566">
        <v>3.173</v>
      </c>
      <c r="E1566" s="1">
        <v>45720</v>
      </c>
      <c r="F1566" s="1" t="s">
        <v>162</v>
      </c>
      <c r="G1566" s="9">
        <v>4.8499999999999996</v>
      </c>
      <c r="I1566" s="1">
        <v>46062</v>
      </c>
      <c r="J1566" s="1" t="s">
        <v>282</v>
      </c>
      <c r="K1566" s="3">
        <v>0</v>
      </c>
    </row>
    <row r="1567" spans="1:11">
      <c r="A1567" s="1">
        <v>46058</v>
      </c>
      <c r="B1567" t="s">
        <v>1977</v>
      </c>
      <c r="C1567">
        <v>3.419</v>
      </c>
      <c r="E1567" s="1">
        <v>45720</v>
      </c>
      <c r="F1567" s="1" t="s">
        <v>163</v>
      </c>
      <c r="G1567" s="9">
        <v>4.88</v>
      </c>
      <c r="I1567" s="1">
        <v>46062</v>
      </c>
      <c r="J1567" s="1" t="s">
        <v>283</v>
      </c>
      <c r="K1567" s="3">
        <v>7</v>
      </c>
    </row>
    <row r="1568" spans="1:11">
      <c r="A1568" s="1">
        <v>46058</v>
      </c>
      <c r="B1568" t="s">
        <v>1978</v>
      </c>
      <c r="C1568">
        <v>3.665</v>
      </c>
      <c r="E1568" s="1">
        <v>45719</v>
      </c>
      <c r="F1568" s="1" t="s">
        <v>160</v>
      </c>
      <c r="G1568" s="9">
        <v>4.76</v>
      </c>
      <c r="I1568" s="1">
        <v>46062</v>
      </c>
      <c r="J1568" s="1" t="s">
        <v>284</v>
      </c>
      <c r="K1568" s="3">
        <v>20210</v>
      </c>
    </row>
    <row r="1569" spans="1:11">
      <c r="A1569" s="1">
        <v>46058</v>
      </c>
      <c r="B1569" t="s">
        <v>1979</v>
      </c>
      <c r="C1569">
        <v>3.75</v>
      </c>
      <c r="E1569" s="1">
        <v>45719</v>
      </c>
      <c r="F1569" s="1" t="s">
        <v>161</v>
      </c>
      <c r="G1569" s="9">
        <v>4.82</v>
      </c>
      <c r="I1569" s="1">
        <v>46062</v>
      </c>
      <c r="J1569" s="1" t="s">
        <v>285</v>
      </c>
      <c r="K1569" s="3">
        <v>4.5</v>
      </c>
    </row>
    <row r="1570" spans="1:11">
      <c r="A1570" s="1">
        <v>46058</v>
      </c>
      <c r="B1570" t="s">
        <v>1980</v>
      </c>
      <c r="C1570">
        <v>4.0880000000000001</v>
      </c>
      <c r="E1570" s="1">
        <v>45719</v>
      </c>
      <c r="F1570" s="1" t="s">
        <v>162</v>
      </c>
      <c r="G1570" s="9">
        <v>4.82</v>
      </c>
      <c r="I1570" s="1">
        <v>46062</v>
      </c>
      <c r="J1570" s="1" t="s">
        <v>286</v>
      </c>
      <c r="K1570" s="3">
        <v>10965</v>
      </c>
    </row>
    <row r="1571" spans="1:11">
      <c r="A1571" s="1">
        <v>46058</v>
      </c>
      <c r="B1571" t="s">
        <v>1981</v>
      </c>
      <c r="C1571">
        <v>4.1950000000000003</v>
      </c>
      <c r="E1571" s="1">
        <v>45719</v>
      </c>
      <c r="F1571" s="1" t="s">
        <v>163</v>
      </c>
      <c r="G1571" s="9">
        <v>4.88</v>
      </c>
      <c r="I1571" s="1">
        <v>46062</v>
      </c>
      <c r="J1571" s="1" t="s">
        <v>287</v>
      </c>
      <c r="K1571" s="3">
        <v>489459.77</v>
      </c>
    </row>
    <row r="1572" spans="1:11">
      <c r="A1572" s="1">
        <v>46058</v>
      </c>
      <c r="B1572" t="s">
        <v>1982</v>
      </c>
      <c r="C1572">
        <v>4.2919999999999998</v>
      </c>
      <c r="E1572" s="1">
        <v>45716</v>
      </c>
      <c r="F1572" s="1" t="s">
        <v>160</v>
      </c>
      <c r="G1572" s="9">
        <v>4.8</v>
      </c>
      <c r="I1572" s="1">
        <v>46062</v>
      </c>
      <c r="J1572" s="1" t="s">
        <v>288</v>
      </c>
      <c r="K1572" s="3">
        <v>-55834</v>
      </c>
    </row>
    <row r="1573" spans="1:11">
      <c r="A1573" s="1">
        <v>46058</v>
      </c>
      <c r="B1573" t="s">
        <v>1983</v>
      </c>
      <c r="C1573">
        <v>4.3419999999999996</v>
      </c>
      <c r="E1573" s="1">
        <v>45716</v>
      </c>
      <c r="F1573" s="1" t="s">
        <v>161</v>
      </c>
      <c r="G1573" s="9">
        <v>4.88</v>
      </c>
      <c r="I1573" s="1">
        <v>46062</v>
      </c>
      <c r="J1573" s="1" t="s">
        <v>289</v>
      </c>
      <c r="K1573" s="3">
        <v>8</v>
      </c>
    </row>
    <row r="1574" spans="1:11">
      <c r="A1574" s="1">
        <v>46057</v>
      </c>
      <c r="B1574" t="s">
        <v>1974</v>
      </c>
      <c r="C1574">
        <v>3.0139999999999998</v>
      </c>
      <c r="E1574" s="1">
        <v>45716</v>
      </c>
      <c r="F1574" s="1" t="s">
        <v>162</v>
      </c>
      <c r="G1574" s="9">
        <v>4.88</v>
      </c>
      <c r="I1574" s="1">
        <v>46062</v>
      </c>
      <c r="J1574" s="1" t="s">
        <v>290</v>
      </c>
      <c r="K1574" s="3">
        <v>8</v>
      </c>
    </row>
    <row r="1575" spans="1:11">
      <c r="A1575" s="1">
        <v>46057</v>
      </c>
      <c r="B1575" t="s">
        <v>1975</v>
      </c>
      <c r="C1575">
        <v>3.1429999999999998</v>
      </c>
      <c r="E1575" s="1">
        <v>45716</v>
      </c>
      <c r="F1575" s="1" t="s">
        <v>163</v>
      </c>
      <c r="G1575" s="9">
        <v>4.93</v>
      </c>
      <c r="I1575" s="1">
        <v>46062</v>
      </c>
      <c r="J1575" s="1" t="s">
        <v>107</v>
      </c>
      <c r="K1575" s="3">
        <v>16573840862438</v>
      </c>
    </row>
    <row r="1576" spans="1:11">
      <c r="A1576" s="1">
        <v>46057</v>
      </c>
      <c r="B1576" t="s">
        <v>1976</v>
      </c>
      <c r="C1576">
        <v>3.1840000000000002</v>
      </c>
      <c r="E1576" s="1">
        <v>45715</v>
      </c>
      <c r="F1576" s="1" t="s">
        <v>160</v>
      </c>
      <c r="G1576" s="9">
        <v>3.82</v>
      </c>
      <c r="I1576" s="1">
        <v>46061</v>
      </c>
      <c r="J1576" s="1" t="s">
        <v>107</v>
      </c>
      <c r="K1576" s="3">
        <v>15791577687471</v>
      </c>
    </row>
    <row r="1577" spans="1:11">
      <c r="A1577" s="1">
        <v>46057</v>
      </c>
      <c r="B1577" t="s">
        <v>1977</v>
      </c>
      <c r="C1577">
        <v>3.4260000000000002</v>
      </c>
      <c r="E1577" s="1">
        <v>45715</v>
      </c>
      <c r="F1577" s="1" t="s">
        <v>161</v>
      </c>
      <c r="G1577" s="9">
        <v>4.37</v>
      </c>
      <c r="I1577" s="1">
        <v>46059</v>
      </c>
      <c r="J1577" s="1" t="s">
        <v>282</v>
      </c>
      <c r="K1577" s="3">
        <v>10000</v>
      </c>
    </row>
    <row r="1578" spans="1:11">
      <c r="A1578" s="1">
        <v>46057</v>
      </c>
      <c r="B1578" t="s">
        <v>1978</v>
      </c>
      <c r="C1578">
        <v>3.6680000000000001</v>
      </c>
      <c r="E1578" s="1">
        <v>45715</v>
      </c>
      <c r="F1578" s="1" t="s">
        <v>162</v>
      </c>
      <c r="G1578" s="9">
        <v>4.62</v>
      </c>
      <c r="I1578" s="1">
        <v>46059</v>
      </c>
      <c r="J1578" s="1" t="s">
        <v>283</v>
      </c>
      <c r="K1578" s="3">
        <v>7</v>
      </c>
    </row>
    <row r="1579" spans="1:11">
      <c r="A1579" s="1">
        <v>46057</v>
      </c>
      <c r="B1579" t="s">
        <v>1979</v>
      </c>
      <c r="C1579">
        <v>3.75</v>
      </c>
      <c r="E1579" s="1">
        <v>45715</v>
      </c>
      <c r="F1579" s="1" t="s">
        <v>163</v>
      </c>
      <c r="G1579" s="9">
        <v>4.82</v>
      </c>
      <c r="I1579" s="1">
        <v>46059</v>
      </c>
      <c r="J1579" s="1" t="s">
        <v>284</v>
      </c>
      <c r="K1579" s="3">
        <v>30364</v>
      </c>
    </row>
    <row r="1580" spans="1:11">
      <c r="A1580" s="1">
        <v>46057</v>
      </c>
      <c r="B1580" t="s">
        <v>1980</v>
      </c>
      <c r="C1580">
        <v>4.0880000000000001</v>
      </c>
      <c r="E1580" s="1">
        <v>45714</v>
      </c>
      <c r="F1580" s="1" t="s">
        <v>160</v>
      </c>
      <c r="G1580" s="9">
        <v>4.2</v>
      </c>
      <c r="I1580" s="1">
        <v>46059</v>
      </c>
      <c r="J1580" s="1" t="s">
        <v>285</v>
      </c>
      <c r="K1580" s="3">
        <v>4.5</v>
      </c>
    </row>
    <row r="1581" spans="1:11">
      <c r="A1581" s="1">
        <v>46057</v>
      </c>
      <c r="B1581" t="s">
        <v>1981</v>
      </c>
      <c r="C1581">
        <v>4.194</v>
      </c>
      <c r="E1581" s="1">
        <v>45714</v>
      </c>
      <c r="F1581" s="1" t="s">
        <v>161</v>
      </c>
      <c r="G1581" s="9">
        <v>4.5199999999999996</v>
      </c>
      <c r="I1581" s="1">
        <v>46059</v>
      </c>
      <c r="J1581" s="1" t="s">
        <v>286</v>
      </c>
      <c r="K1581" s="3">
        <v>7000</v>
      </c>
    </row>
    <row r="1582" spans="1:11">
      <c r="A1582" s="1">
        <v>46057</v>
      </c>
      <c r="B1582" t="s">
        <v>1982</v>
      </c>
      <c r="C1582">
        <v>4.2949999999999999</v>
      </c>
      <c r="E1582" s="1">
        <v>45714</v>
      </c>
      <c r="F1582" s="1" t="s">
        <v>162</v>
      </c>
      <c r="G1582" s="9">
        <v>4.75</v>
      </c>
      <c r="I1582" s="1">
        <v>46059</v>
      </c>
      <c r="J1582" s="1" t="s">
        <v>287</v>
      </c>
      <c r="K1582" s="3">
        <v>480214.77</v>
      </c>
    </row>
    <row r="1583" spans="1:11">
      <c r="A1583" s="1">
        <v>46057</v>
      </c>
      <c r="B1583" t="s">
        <v>1983</v>
      </c>
      <c r="C1583">
        <v>4.3410000000000002</v>
      </c>
      <c r="E1583" s="1">
        <v>45714</v>
      </c>
      <c r="F1583" s="1" t="s">
        <v>163</v>
      </c>
      <c r="G1583" s="9">
        <v>4.87</v>
      </c>
      <c r="I1583" s="1">
        <v>46059</v>
      </c>
      <c r="J1583" s="1" t="s">
        <v>288</v>
      </c>
      <c r="K1583" s="3">
        <v>-66799</v>
      </c>
    </row>
    <row r="1584" spans="1:11">
      <c r="A1584" s="1">
        <v>46056</v>
      </c>
      <c r="B1584" t="s">
        <v>1974</v>
      </c>
      <c r="C1584">
        <v>2.996</v>
      </c>
      <c r="E1584" s="1">
        <v>45713</v>
      </c>
      <c r="F1584" s="1" t="s">
        <v>160</v>
      </c>
      <c r="G1584" s="9">
        <v>4.76</v>
      </c>
      <c r="I1584" s="1">
        <v>46059</v>
      </c>
      <c r="J1584" s="1" t="s">
        <v>289</v>
      </c>
      <c r="K1584" s="3">
        <v>15</v>
      </c>
    </row>
    <row r="1585" spans="1:11">
      <c r="A1585" s="1">
        <v>46056</v>
      </c>
      <c r="B1585" t="s">
        <v>1975</v>
      </c>
      <c r="C1585">
        <v>3.1190000000000002</v>
      </c>
      <c r="E1585" s="1">
        <v>45713</v>
      </c>
      <c r="F1585" s="1" t="s">
        <v>161</v>
      </c>
      <c r="G1585" s="9">
        <v>4.8</v>
      </c>
      <c r="I1585" s="1">
        <v>46059</v>
      </c>
      <c r="J1585" s="1" t="s">
        <v>290</v>
      </c>
      <c r="K1585" s="3">
        <v>15</v>
      </c>
    </row>
    <row r="1586" spans="1:11">
      <c r="A1586" s="1">
        <v>46056</v>
      </c>
      <c r="B1586" t="s">
        <v>1976</v>
      </c>
      <c r="C1586">
        <v>3.165</v>
      </c>
      <c r="E1586" s="1">
        <v>45713</v>
      </c>
      <c r="F1586" s="1" t="s">
        <v>162</v>
      </c>
      <c r="G1586" s="9">
        <v>4.91</v>
      </c>
      <c r="I1586" s="1">
        <v>46058</v>
      </c>
      <c r="J1586" s="1" t="s">
        <v>282</v>
      </c>
      <c r="K1586" s="3">
        <v>7000</v>
      </c>
    </row>
    <row r="1587" spans="1:11">
      <c r="A1587" s="1">
        <v>46056</v>
      </c>
      <c r="B1587" t="s">
        <v>1977</v>
      </c>
      <c r="C1587">
        <v>3.4039999999999999</v>
      </c>
      <c r="E1587" s="1">
        <v>45713</v>
      </c>
      <c r="F1587" s="1" t="s">
        <v>163</v>
      </c>
      <c r="G1587" s="9">
        <v>4.9400000000000004</v>
      </c>
      <c r="I1587" s="1">
        <v>46058</v>
      </c>
      <c r="J1587" s="1" t="s">
        <v>283</v>
      </c>
      <c r="K1587" s="3">
        <v>7</v>
      </c>
    </row>
    <row r="1588" spans="1:11">
      <c r="A1588" s="1">
        <v>46056</v>
      </c>
      <c r="B1588" t="s">
        <v>1978</v>
      </c>
      <c r="C1588">
        <v>3.6429999999999998</v>
      </c>
      <c r="E1588" s="1">
        <v>45712</v>
      </c>
      <c r="F1588" s="1" t="s">
        <v>160</v>
      </c>
      <c r="G1588" s="9">
        <v>4.53</v>
      </c>
      <c r="I1588" s="1">
        <v>46058</v>
      </c>
      <c r="J1588" s="1" t="s">
        <v>284</v>
      </c>
      <c r="K1588" s="3">
        <v>12421</v>
      </c>
    </row>
    <row r="1589" spans="1:11">
      <c r="A1589" s="1">
        <v>46056</v>
      </c>
      <c r="B1589" t="s">
        <v>1979</v>
      </c>
      <c r="C1589">
        <v>3.75</v>
      </c>
      <c r="E1589" s="1">
        <v>45712</v>
      </c>
      <c r="F1589" s="1" t="s">
        <v>161</v>
      </c>
      <c r="G1589" s="9">
        <v>4.68</v>
      </c>
      <c r="I1589" s="1">
        <v>46058</v>
      </c>
      <c r="J1589" s="1" t="s">
        <v>285</v>
      </c>
      <c r="K1589" s="3">
        <v>4.5</v>
      </c>
    </row>
    <row r="1590" spans="1:11">
      <c r="A1590" s="1">
        <v>46056</v>
      </c>
      <c r="B1590" t="s">
        <v>1980</v>
      </c>
      <c r="C1590">
        <v>4.0730000000000004</v>
      </c>
      <c r="E1590" s="1">
        <v>45712</v>
      </c>
      <c r="F1590" s="1" t="s">
        <v>162</v>
      </c>
      <c r="G1590" s="9">
        <v>4.78</v>
      </c>
      <c r="I1590" s="1">
        <v>46058</v>
      </c>
      <c r="J1590" s="1" t="s">
        <v>286</v>
      </c>
      <c r="K1590" s="3">
        <v>5764</v>
      </c>
    </row>
    <row r="1591" spans="1:11">
      <c r="A1591" s="1">
        <v>46056</v>
      </c>
      <c r="B1591" t="s">
        <v>1981</v>
      </c>
      <c r="C1591">
        <v>4.1890000000000001</v>
      </c>
      <c r="E1591" s="1">
        <v>45712</v>
      </c>
      <c r="F1591" s="1" t="s">
        <v>163</v>
      </c>
      <c r="G1591" s="9">
        <v>4.88</v>
      </c>
      <c r="I1591" s="1">
        <v>46058</v>
      </c>
      <c r="J1591" s="1" t="s">
        <v>287</v>
      </c>
      <c r="K1591" s="3">
        <v>456850.77</v>
      </c>
    </row>
    <row r="1592" spans="1:11">
      <c r="A1592" s="1">
        <v>46056</v>
      </c>
      <c r="B1592" t="s">
        <v>1982</v>
      </c>
      <c r="C1592">
        <v>4.2960000000000003</v>
      </c>
      <c r="E1592" s="1">
        <v>45709</v>
      </c>
      <c r="F1592" s="1" t="s">
        <v>160</v>
      </c>
      <c r="G1592" s="9">
        <v>4.07</v>
      </c>
      <c r="I1592" s="1">
        <v>46058</v>
      </c>
      <c r="J1592" s="1" t="s">
        <v>288</v>
      </c>
      <c r="K1592" s="3">
        <v>-66466</v>
      </c>
    </row>
    <row r="1593" spans="1:11">
      <c r="A1593" s="1">
        <v>46056</v>
      </c>
      <c r="B1593" t="s">
        <v>1983</v>
      </c>
      <c r="C1593">
        <v>4.3419999999999996</v>
      </c>
      <c r="E1593" s="1">
        <v>45709</v>
      </c>
      <c r="F1593" s="1" t="s">
        <v>161</v>
      </c>
      <c r="G1593" s="9">
        <v>4.42</v>
      </c>
      <c r="I1593" s="1">
        <v>46058</v>
      </c>
      <c r="J1593" s="1" t="s">
        <v>289</v>
      </c>
      <c r="K1593" s="3">
        <v>11</v>
      </c>
    </row>
    <row r="1594" spans="1:11">
      <c r="A1594" s="1">
        <v>46055</v>
      </c>
      <c r="B1594" t="s">
        <v>1974</v>
      </c>
      <c r="C1594">
        <v>3.0049999999999999</v>
      </c>
      <c r="E1594" s="1">
        <v>45709</v>
      </c>
      <c r="F1594" s="1" t="s">
        <v>162</v>
      </c>
      <c r="G1594" s="9">
        <v>4.58</v>
      </c>
      <c r="I1594" s="1">
        <v>46058</v>
      </c>
      <c r="J1594" s="1" t="s">
        <v>290</v>
      </c>
      <c r="K1594" s="3">
        <v>11</v>
      </c>
    </row>
    <row r="1595" spans="1:11">
      <c r="A1595" s="1">
        <v>46055</v>
      </c>
      <c r="B1595" t="s">
        <v>1975</v>
      </c>
      <c r="C1595">
        <v>3.1339999999999999</v>
      </c>
      <c r="E1595" s="1">
        <v>45709</v>
      </c>
      <c r="F1595" s="1" t="s">
        <v>163</v>
      </c>
      <c r="G1595" s="9">
        <v>4.78</v>
      </c>
      <c r="I1595" s="1">
        <v>46058</v>
      </c>
      <c r="J1595" s="1" t="s">
        <v>107</v>
      </c>
      <c r="K1595" s="3">
        <v>15762151646683</v>
      </c>
    </row>
    <row r="1596" spans="1:11">
      <c r="A1596" s="1">
        <v>46055</v>
      </c>
      <c r="B1596" t="s">
        <v>1976</v>
      </c>
      <c r="C1596">
        <v>3.1749999999999998</v>
      </c>
      <c r="E1596" s="1">
        <v>45708</v>
      </c>
      <c r="F1596" s="1" t="s">
        <v>160</v>
      </c>
      <c r="G1596" s="9">
        <v>4.18</v>
      </c>
      <c r="I1596" s="1">
        <v>46057</v>
      </c>
      <c r="J1596" s="1" t="s">
        <v>107</v>
      </c>
      <c r="K1596" s="3">
        <v>16218032897089</v>
      </c>
    </row>
    <row r="1597" spans="1:11">
      <c r="A1597" s="1">
        <v>46055</v>
      </c>
      <c r="B1597" t="s">
        <v>1977</v>
      </c>
      <c r="C1597">
        <v>3.4079999999999999</v>
      </c>
      <c r="E1597" s="1">
        <v>45708</v>
      </c>
      <c r="F1597" s="1" t="s">
        <v>161</v>
      </c>
      <c r="G1597" s="9">
        <v>4.45</v>
      </c>
      <c r="I1597" s="1">
        <v>46057</v>
      </c>
      <c r="J1597" s="1" t="s">
        <v>282</v>
      </c>
      <c r="K1597" s="3">
        <v>8000</v>
      </c>
    </row>
    <row r="1598" spans="1:11">
      <c r="A1598" s="1">
        <v>46055</v>
      </c>
      <c r="B1598" t="s">
        <v>1978</v>
      </c>
      <c r="C1598">
        <v>3.641</v>
      </c>
      <c r="E1598" s="1">
        <v>45708</v>
      </c>
      <c r="F1598" s="1" t="s">
        <v>162</v>
      </c>
      <c r="G1598" s="9">
        <v>4.62</v>
      </c>
      <c r="I1598" s="1">
        <v>46057</v>
      </c>
      <c r="J1598" s="1" t="s">
        <v>283</v>
      </c>
      <c r="K1598" s="3">
        <v>7</v>
      </c>
    </row>
    <row r="1599" spans="1:11">
      <c r="A1599" s="1">
        <v>46055</v>
      </c>
      <c r="B1599" t="s">
        <v>1979</v>
      </c>
      <c r="C1599">
        <v>3.7469999999999999</v>
      </c>
      <c r="E1599" s="1">
        <v>45708</v>
      </c>
      <c r="F1599" s="1" t="s">
        <v>163</v>
      </c>
      <c r="G1599" s="9">
        <v>4.8</v>
      </c>
      <c r="I1599" s="1">
        <v>46057</v>
      </c>
      <c r="J1599" s="1" t="s">
        <v>284</v>
      </c>
      <c r="K1599" s="3">
        <v>25716</v>
      </c>
    </row>
    <row r="1600" spans="1:11">
      <c r="A1600" s="1">
        <v>46055</v>
      </c>
      <c r="B1600" t="s">
        <v>1980</v>
      </c>
      <c r="C1600">
        <v>4.0730000000000004</v>
      </c>
      <c r="E1600" s="1">
        <v>45707</v>
      </c>
      <c r="F1600" s="1" t="s">
        <v>160</v>
      </c>
      <c r="G1600" s="9">
        <v>4.33</v>
      </c>
      <c r="I1600" s="1">
        <v>46057</v>
      </c>
      <c r="J1600" s="1" t="s">
        <v>285</v>
      </c>
      <c r="K1600" s="3">
        <v>4.5</v>
      </c>
    </row>
    <row r="1601" spans="1:11">
      <c r="A1601" s="1">
        <v>46055</v>
      </c>
      <c r="B1601" t="s">
        <v>1981</v>
      </c>
      <c r="C1601">
        <v>4.1920000000000002</v>
      </c>
      <c r="E1601" s="1">
        <v>45707</v>
      </c>
      <c r="F1601" s="1" t="s">
        <v>161</v>
      </c>
      <c r="G1601" s="9">
        <v>4.57</v>
      </c>
      <c r="I1601" s="1">
        <v>46057</v>
      </c>
      <c r="J1601" s="1" t="s">
        <v>286</v>
      </c>
      <c r="K1601" s="3">
        <v>17000</v>
      </c>
    </row>
    <row r="1602" spans="1:11">
      <c r="A1602" s="1">
        <v>46055</v>
      </c>
      <c r="B1602" t="s">
        <v>1982</v>
      </c>
      <c r="C1602">
        <v>4.2949999999999999</v>
      </c>
      <c r="E1602" s="1">
        <v>45707</v>
      </c>
      <c r="F1602" s="1" t="s">
        <v>162</v>
      </c>
      <c r="G1602" s="9">
        <v>4.75</v>
      </c>
      <c r="I1602" s="1">
        <v>46057</v>
      </c>
      <c r="J1602" s="1" t="s">
        <v>287</v>
      </c>
      <c r="K1602" s="3">
        <v>450193.77</v>
      </c>
    </row>
    <row r="1603" spans="1:11">
      <c r="A1603" s="1">
        <v>46055</v>
      </c>
      <c r="B1603" t="s">
        <v>1983</v>
      </c>
      <c r="C1603">
        <v>4.3410000000000002</v>
      </c>
      <c r="E1603" s="1">
        <v>45707</v>
      </c>
      <c r="F1603" s="1" t="s">
        <v>163</v>
      </c>
      <c r="G1603" s="9">
        <v>4.88</v>
      </c>
      <c r="I1603" s="1">
        <v>46057</v>
      </c>
      <c r="J1603" s="1" t="s">
        <v>288</v>
      </c>
      <c r="K1603" s="3">
        <v>-68156</v>
      </c>
    </row>
    <row r="1604" spans="1:11">
      <c r="A1604" s="1">
        <v>46052</v>
      </c>
      <c r="B1604" t="s">
        <v>1974</v>
      </c>
      <c r="C1604">
        <v>2.996</v>
      </c>
      <c r="E1604" s="1">
        <v>45706</v>
      </c>
      <c r="F1604" s="1" t="s">
        <v>160</v>
      </c>
      <c r="G1604" s="9">
        <v>4.68</v>
      </c>
      <c r="I1604" s="1">
        <v>46057</v>
      </c>
      <c r="J1604" s="1" t="s">
        <v>289</v>
      </c>
      <c r="K1604" s="3">
        <v>16</v>
      </c>
    </row>
    <row r="1605" spans="1:11">
      <c r="A1605" s="1">
        <v>46052</v>
      </c>
      <c r="B1605" t="s">
        <v>1975</v>
      </c>
      <c r="C1605">
        <v>3.1190000000000002</v>
      </c>
      <c r="E1605" s="1">
        <v>45706</v>
      </c>
      <c r="F1605" s="1" t="s">
        <v>161</v>
      </c>
      <c r="G1605" s="9">
        <v>4.8</v>
      </c>
      <c r="I1605" s="1">
        <v>46057</v>
      </c>
      <c r="J1605" s="1" t="s">
        <v>290</v>
      </c>
      <c r="K1605" s="3">
        <v>16</v>
      </c>
    </row>
    <row r="1606" spans="1:11">
      <c r="A1606" s="1">
        <v>46052</v>
      </c>
      <c r="B1606" t="s">
        <v>1976</v>
      </c>
      <c r="C1606">
        <v>3.165</v>
      </c>
      <c r="E1606" s="1">
        <v>45706</v>
      </c>
      <c r="F1606" s="1" t="s">
        <v>162</v>
      </c>
      <c r="G1606" s="9">
        <v>4.8499999999999996</v>
      </c>
      <c r="I1606" s="1">
        <v>46056</v>
      </c>
      <c r="J1606" s="1" t="s">
        <v>282</v>
      </c>
      <c r="K1606" s="3">
        <v>60000</v>
      </c>
    </row>
    <row r="1607" spans="1:11">
      <c r="A1607" s="1">
        <v>46052</v>
      </c>
      <c r="B1607" t="s">
        <v>1977</v>
      </c>
      <c r="C1607">
        <v>3.3879999999999999</v>
      </c>
      <c r="E1607" s="1">
        <v>45706</v>
      </c>
      <c r="F1607" s="1" t="s">
        <v>163</v>
      </c>
      <c r="G1607" s="9">
        <v>4.92</v>
      </c>
      <c r="I1607" s="1">
        <v>46056</v>
      </c>
      <c r="J1607" s="1" t="s">
        <v>283</v>
      </c>
      <c r="K1607" s="3">
        <v>7</v>
      </c>
    </row>
    <row r="1608" spans="1:11">
      <c r="A1608" s="1">
        <v>46052</v>
      </c>
      <c r="B1608" t="s">
        <v>1978</v>
      </c>
      <c r="C1608">
        <v>3.6110000000000002</v>
      </c>
      <c r="E1608" s="1">
        <v>45705</v>
      </c>
      <c r="F1608" s="1" t="s">
        <v>160</v>
      </c>
      <c r="G1608" s="9">
        <v>4.55</v>
      </c>
      <c r="I1608" s="1">
        <v>46056</v>
      </c>
      <c r="J1608" s="1" t="s">
        <v>284</v>
      </c>
      <c r="K1608" s="3">
        <v>80927</v>
      </c>
    </row>
    <row r="1609" spans="1:11">
      <c r="A1609" s="1">
        <v>46052</v>
      </c>
      <c r="B1609" t="s">
        <v>1979</v>
      </c>
      <c r="C1609">
        <v>3.7029999999999998</v>
      </c>
      <c r="E1609" s="1">
        <v>45705</v>
      </c>
      <c r="F1609" s="1" t="s">
        <v>161</v>
      </c>
      <c r="G1609" s="9">
        <v>4.72</v>
      </c>
      <c r="I1609" s="1">
        <v>46056</v>
      </c>
      <c r="J1609" s="1" t="s">
        <v>285</v>
      </c>
      <c r="K1609" s="3">
        <v>4.5</v>
      </c>
    </row>
    <row r="1610" spans="1:11">
      <c r="A1610" s="1">
        <v>46052</v>
      </c>
      <c r="B1610" t="s">
        <v>1980</v>
      </c>
      <c r="C1610">
        <v>4.0609999999999999</v>
      </c>
      <c r="E1610" s="1">
        <v>45705</v>
      </c>
      <c r="F1610" s="1" t="s">
        <v>162</v>
      </c>
      <c r="G1610" s="9">
        <v>4.75</v>
      </c>
      <c r="I1610" s="1">
        <v>46056</v>
      </c>
      <c r="J1610" s="1" t="s">
        <v>286</v>
      </c>
      <c r="K1610" s="3">
        <v>15875</v>
      </c>
    </row>
    <row r="1611" spans="1:11">
      <c r="A1611" s="1">
        <v>46052</v>
      </c>
      <c r="B1611" t="s">
        <v>1981</v>
      </c>
      <c r="C1611">
        <v>4.1870000000000003</v>
      </c>
      <c r="E1611" s="1">
        <v>45705</v>
      </c>
      <c r="F1611" s="1" t="s">
        <v>163</v>
      </c>
      <c r="G1611" s="9">
        <v>4.9000000000000004</v>
      </c>
      <c r="I1611" s="1">
        <v>46056</v>
      </c>
      <c r="J1611" s="1" t="s">
        <v>287</v>
      </c>
      <c r="K1611" s="3">
        <v>441477.77</v>
      </c>
    </row>
    <row r="1612" spans="1:11">
      <c r="A1612" s="1">
        <v>46052</v>
      </c>
      <c r="B1612" t="s">
        <v>1982</v>
      </c>
      <c r="C1612">
        <v>4.2960000000000003</v>
      </c>
      <c r="E1612" s="1">
        <v>45702</v>
      </c>
      <c r="F1612" s="1" t="s">
        <v>160</v>
      </c>
      <c r="G1612" s="9">
        <v>4.0199999999999996</v>
      </c>
      <c r="I1612" s="1">
        <v>46056</v>
      </c>
      <c r="J1612" s="1" t="s">
        <v>288</v>
      </c>
      <c r="K1612" s="3">
        <v>-81460</v>
      </c>
    </row>
    <row r="1613" spans="1:11">
      <c r="A1613" s="1">
        <v>46052</v>
      </c>
      <c r="B1613" t="s">
        <v>1983</v>
      </c>
      <c r="C1613">
        <v>4.3419999999999996</v>
      </c>
      <c r="E1613" s="1">
        <v>45702</v>
      </c>
      <c r="F1613" s="1" t="s">
        <v>161</v>
      </c>
      <c r="G1613" s="9">
        <v>4.3499999999999996</v>
      </c>
      <c r="I1613" s="1">
        <v>46056</v>
      </c>
      <c r="J1613" s="1" t="s">
        <v>289</v>
      </c>
      <c r="K1613" s="3">
        <v>43</v>
      </c>
    </row>
    <row r="1614" spans="1:11">
      <c r="A1614" s="1">
        <v>46051</v>
      </c>
      <c r="B1614" t="s">
        <v>1974</v>
      </c>
      <c r="C1614">
        <v>2.996</v>
      </c>
      <c r="E1614" s="1">
        <v>45702</v>
      </c>
      <c r="F1614" s="1" t="s">
        <v>162</v>
      </c>
      <c r="G1614" s="9">
        <v>4.63</v>
      </c>
      <c r="I1614" s="1">
        <v>46056</v>
      </c>
      <c r="J1614" s="1" t="s">
        <v>290</v>
      </c>
      <c r="K1614" s="3">
        <v>44</v>
      </c>
    </row>
    <row r="1615" spans="1:11">
      <c r="A1615" s="1">
        <v>46051</v>
      </c>
      <c r="B1615" t="s">
        <v>1975</v>
      </c>
      <c r="C1615">
        <v>3.1190000000000002</v>
      </c>
      <c r="E1615" s="1">
        <v>45702</v>
      </c>
      <c r="F1615" s="1" t="s">
        <v>163</v>
      </c>
      <c r="G1615" s="9">
        <v>4.8</v>
      </c>
      <c r="I1615" s="1">
        <v>46056</v>
      </c>
      <c r="J1615" s="1" t="s">
        <v>107</v>
      </c>
      <c r="K1615" s="3">
        <v>16220361428362</v>
      </c>
    </row>
    <row r="1616" spans="1:11">
      <c r="A1616" s="1">
        <v>46051</v>
      </c>
      <c r="B1616" t="s">
        <v>1976</v>
      </c>
      <c r="C1616">
        <v>3.165</v>
      </c>
      <c r="E1616" s="1">
        <v>45701</v>
      </c>
      <c r="F1616" s="1" t="s">
        <v>160</v>
      </c>
      <c r="G1616" s="9">
        <v>4.26</v>
      </c>
      <c r="I1616" s="1">
        <v>46055</v>
      </c>
      <c r="J1616" s="1" t="s">
        <v>282</v>
      </c>
      <c r="K1616" s="3">
        <v>10000</v>
      </c>
    </row>
    <row r="1617" spans="1:11">
      <c r="A1617" s="1">
        <v>46051</v>
      </c>
      <c r="B1617" t="s">
        <v>1977</v>
      </c>
      <c r="C1617">
        <v>3.3860000000000001</v>
      </c>
      <c r="E1617" s="1">
        <v>45701</v>
      </c>
      <c r="F1617" s="1" t="s">
        <v>161</v>
      </c>
      <c r="G1617" s="9">
        <v>4.5</v>
      </c>
      <c r="I1617" s="1">
        <v>46055</v>
      </c>
      <c r="J1617" s="1" t="s">
        <v>283</v>
      </c>
      <c r="K1617" s="3">
        <v>7</v>
      </c>
    </row>
    <row r="1618" spans="1:11">
      <c r="A1618" s="1">
        <v>46051</v>
      </c>
      <c r="B1618" t="s">
        <v>1978</v>
      </c>
      <c r="C1618">
        <v>3.6070000000000002</v>
      </c>
      <c r="E1618" s="1">
        <v>45701</v>
      </c>
      <c r="F1618" s="1" t="s">
        <v>162</v>
      </c>
      <c r="G1618" s="9">
        <v>4.6399999999999997</v>
      </c>
      <c r="I1618" s="1">
        <v>46055</v>
      </c>
      <c r="J1618" s="1" t="s">
        <v>284</v>
      </c>
      <c r="K1618" s="3">
        <v>80363</v>
      </c>
    </row>
    <row r="1619" spans="1:11">
      <c r="A1619" s="1">
        <v>46051</v>
      </c>
      <c r="B1619" t="s">
        <v>1979</v>
      </c>
      <c r="C1619">
        <v>3.7029999999999998</v>
      </c>
      <c r="E1619" s="1">
        <v>45701</v>
      </c>
      <c r="F1619" s="1" t="s">
        <v>163</v>
      </c>
      <c r="G1619" s="9">
        <v>4.84</v>
      </c>
      <c r="I1619" s="1">
        <v>46055</v>
      </c>
      <c r="J1619" s="1" t="s">
        <v>285</v>
      </c>
      <c r="K1619" s="3">
        <v>4.5</v>
      </c>
    </row>
    <row r="1620" spans="1:11">
      <c r="A1620" s="1">
        <v>46051</v>
      </c>
      <c r="B1620" t="s">
        <v>1980</v>
      </c>
      <c r="C1620">
        <v>4.0650000000000004</v>
      </c>
      <c r="E1620" s="1">
        <v>45700</v>
      </c>
      <c r="F1620" s="1" t="s">
        <v>160</v>
      </c>
      <c r="G1620" s="9">
        <v>4.53</v>
      </c>
      <c r="I1620" s="1">
        <v>46055</v>
      </c>
      <c r="J1620" s="1" t="s">
        <v>286</v>
      </c>
      <c r="K1620" s="3">
        <v>100000</v>
      </c>
    </row>
    <row r="1621" spans="1:11">
      <c r="A1621" s="1">
        <v>46051</v>
      </c>
      <c r="B1621" t="s">
        <v>1981</v>
      </c>
      <c r="C1621">
        <v>4.1870000000000003</v>
      </c>
      <c r="E1621" s="1">
        <v>45700</v>
      </c>
      <c r="F1621" s="1" t="s">
        <v>161</v>
      </c>
      <c r="G1621" s="9">
        <v>4.66</v>
      </c>
      <c r="I1621" s="1">
        <v>46055</v>
      </c>
      <c r="J1621" s="1" t="s">
        <v>287</v>
      </c>
      <c r="K1621" s="3">
        <v>376425.77</v>
      </c>
    </row>
    <row r="1622" spans="1:11">
      <c r="A1622" s="1">
        <v>46051</v>
      </c>
      <c r="B1622" t="s">
        <v>1982</v>
      </c>
      <c r="C1622">
        <v>4.2960000000000003</v>
      </c>
      <c r="E1622" s="1">
        <v>45700</v>
      </c>
      <c r="F1622" s="1" t="s">
        <v>162</v>
      </c>
      <c r="G1622" s="9">
        <v>4.83</v>
      </c>
      <c r="I1622" s="1">
        <v>46055</v>
      </c>
      <c r="J1622" s="1" t="s">
        <v>107</v>
      </c>
      <c r="K1622" s="3">
        <v>15153638650754</v>
      </c>
    </row>
    <row r="1623" spans="1:11">
      <c r="A1623" s="1">
        <v>46051</v>
      </c>
      <c r="B1623" t="s">
        <v>1983</v>
      </c>
      <c r="C1623">
        <v>4.3419999999999996</v>
      </c>
      <c r="E1623" s="1">
        <v>45700</v>
      </c>
      <c r="F1623" s="1" t="s">
        <v>163</v>
      </c>
      <c r="G1623" s="9">
        <v>5.01</v>
      </c>
      <c r="I1623" s="1">
        <v>46055</v>
      </c>
      <c r="J1623" s="1" t="s">
        <v>288</v>
      </c>
      <c r="K1623" s="3">
        <v>-56604</v>
      </c>
    </row>
    <row r="1624" spans="1:11">
      <c r="A1624" s="1">
        <v>46050</v>
      </c>
      <c r="B1624" t="s">
        <v>1974</v>
      </c>
      <c r="C1624">
        <v>2.992</v>
      </c>
      <c r="E1624" s="1">
        <v>45699</v>
      </c>
      <c r="F1624" s="1" t="s">
        <v>160</v>
      </c>
      <c r="G1624" s="9">
        <v>5.42</v>
      </c>
      <c r="I1624" s="1">
        <v>46055</v>
      </c>
      <c r="J1624" s="1" t="s">
        <v>289</v>
      </c>
      <c r="K1624" s="3">
        <v>40</v>
      </c>
    </row>
    <row r="1625" spans="1:11">
      <c r="A1625" s="1">
        <v>46050</v>
      </c>
      <c r="B1625" t="s">
        <v>1975</v>
      </c>
      <c r="C1625">
        <v>3.1190000000000002</v>
      </c>
      <c r="E1625" s="1">
        <v>45699</v>
      </c>
      <c r="F1625" s="1" t="s">
        <v>161</v>
      </c>
      <c r="G1625" s="9">
        <v>5.48</v>
      </c>
      <c r="I1625" s="1">
        <v>46055</v>
      </c>
      <c r="J1625" s="1" t="s">
        <v>290</v>
      </c>
      <c r="K1625" s="3">
        <v>40</v>
      </c>
    </row>
    <row r="1626" spans="1:11">
      <c r="A1626" s="1">
        <v>46050</v>
      </c>
      <c r="B1626" t="s">
        <v>1976</v>
      </c>
      <c r="C1626">
        <v>3.165</v>
      </c>
      <c r="E1626" s="1">
        <v>45699</v>
      </c>
      <c r="F1626" s="1" t="s">
        <v>162</v>
      </c>
      <c r="G1626" s="9">
        <v>5.5</v>
      </c>
      <c r="I1626" s="1">
        <v>46054</v>
      </c>
      <c r="J1626" s="1" t="s">
        <v>107</v>
      </c>
      <c r="K1626" s="3">
        <v>14839920820836</v>
      </c>
    </row>
    <row r="1627" spans="1:11">
      <c r="A1627" s="1">
        <v>46050</v>
      </c>
      <c r="B1627" t="s">
        <v>1977</v>
      </c>
      <c r="C1627">
        <v>3.391</v>
      </c>
      <c r="E1627" s="1">
        <v>45699</v>
      </c>
      <c r="F1627" s="1" t="s">
        <v>163</v>
      </c>
      <c r="G1627" s="9">
        <v>5.38</v>
      </c>
      <c r="I1627" s="1">
        <v>46053</v>
      </c>
      <c r="J1627" s="1" t="s">
        <v>107</v>
      </c>
      <c r="K1627" s="3">
        <v>14839920820836</v>
      </c>
    </row>
    <row r="1628" spans="1:11">
      <c r="A1628" s="1">
        <v>46050</v>
      </c>
      <c r="B1628" t="s">
        <v>1978</v>
      </c>
      <c r="C1628">
        <v>3.6179999999999999</v>
      </c>
      <c r="E1628" s="1">
        <v>45698</v>
      </c>
      <c r="F1628" s="1" t="s">
        <v>160</v>
      </c>
      <c r="G1628" s="9">
        <v>5.51</v>
      </c>
      <c r="I1628" s="1">
        <v>46052</v>
      </c>
      <c r="J1628" s="1" t="s">
        <v>282</v>
      </c>
      <c r="K1628" s="3">
        <v>5000</v>
      </c>
    </row>
    <row r="1629" spans="1:11">
      <c r="A1629" s="1">
        <v>46050</v>
      </c>
      <c r="B1629" t="s">
        <v>1979</v>
      </c>
      <c r="C1629">
        <v>3.7029999999999998</v>
      </c>
      <c r="E1629" s="1">
        <v>45698</v>
      </c>
      <c r="F1629" s="1" t="s">
        <v>161</v>
      </c>
      <c r="G1629" s="9">
        <v>5.5</v>
      </c>
      <c r="I1629" s="1">
        <v>46052</v>
      </c>
      <c r="J1629" s="1" t="s">
        <v>283</v>
      </c>
      <c r="K1629" s="3">
        <v>7</v>
      </c>
    </row>
    <row r="1630" spans="1:11">
      <c r="A1630" s="1">
        <v>46050</v>
      </c>
      <c r="B1630" t="s">
        <v>1980</v>
      </c>
      <c r="C1630">
        <v>4.0599999999999996</v>
      </c>
      <c r="E1630" s="1">
        <v>45698</v>
      </c>
      <c r="F1630" s="1" t="s">
        <v>162</v>
      </c>
      <c r="G1630" s="9">
        <v>5.46</v>
      </c>
      <c r="I1630" s="1">
        <v>46052</v>
      </c>
      <c r="J1630" s="1" t="s">
        <v>284</v>
      </c>
      <c r="K1630" s="3">
        <v>16000</v>
      </c>
    </row>
    <row r="1631" spans="1:11">
      <c r="A1631" s="1">
        <v>46050</v>
      </c>
      <c r="B1631" t="s">
        <v>1981</v>
      </c>
      <c r="C1631">
        <v>4.1870000000000003</v>
      </c>
      <c r="E1631" s="1">
        <v>45698</v>
      </c>
      <c r="F1631" s="1" t="s">
        <v>163</v>
      </c>
      <c r="G1631" s="9">
        <v>5.24</v>
      </c>
      <c r="I1631" s="1">
        <v>46052</v>
      </c>
      <c r="J1631" s="1" t="s">
        <v>285</v>
      </c>
      <c r="K1631" s="3">
        <v>4.5</v>
      </c>
    </row>
    <row r="1632" spans="1:11">
      <c r="A1632" s="1">
        <v>46050</v>
      </c>
      <c r="B1632" t="s">
        <v>1982</v>
      </c>
      <c r="C1632">
        <v>4.2919999999999998</v>
      </c>
      <c r="E1632" s="1">
        <v>45695</v>
      </c>
      <c r="F1632" s="1" t="s">
        <v>160</v>
      </c>
      <c r="G1632" s="9">
        <v>4.5</v>
      </c>
      <c r="I1632" s="1">
        <v>46052</v>
      </c>
      <c r="J1632" s="1" t="s">
        <v>286</v>
      </c>
      <c r="K1632" s="3">
        <v>4448.3100000000004</v>
      </c>
    </row>
    <row r="1633" spans="1:11">
      <c r="A1633" s="1">
        <v>46050</v>
      </c>
      <c r="B1633" t="s">
        <v>1983</v>
      </c>
      <c r="C1633">
        <v>4.3380000000000001</v>
      </c>
      <c r="E1633" s="1">
        <v>45695</v>
      </c>
      <c r="F1633" s="1" t="s">
        <v>161</v>
      </c>
      <c r="G1633" s="9">
        <v>4.68</v>
      </c>
      <c r="I1633" s="1">
        <v>46052</v>
      </c>
      <c r="J1633" s="1" t="s">
        <v>287</v>
      </c>
      <c r="K1633" s="3">
        <v>321062.77</v>
      </c>
    </row>
    <row r="1634" spans="1:11">
      <c r="A1634" s="1">
        <v>46049</v>
      </c>
      <c r="B1634" t="s">
        <v>1974</v>
      </c>
      <c r="C1634">
        <v>2.9830000000000001</v>
      </c>
      <c r="E1634" s="1">
        <v>45695</v>
      </c>
      <c r="F1634" s="1" t="s">
        <v>162</v>
      </c>
      <c r="G1634" s="9">
        <v>4.8</v>
      </c>
      <c r="I1634" s="1">
        <v>46052</v>
      </c>
      <c r="J1634" s="1" t="s">
        <v>288</v>
      </c>
      <c r="K1634" s="3">
        <v>-70639</v>
      </c>
    </row>
    <row r="1635" spans="1:11">
      <c r="A1635" s="1">
        <v>46049</v>
      </c>
      <c r="B1635" t="s">
        <v>1975</v>
      </c>
      <c r="C1635">
        <v>3.11</v>
      </c>
      <c r="E1635" s="1">
        <v>45695</v>
      </c>
      <c r="F1635" s="1" t="s">
        <v>163</v>
      </c>
      <c r="G1635" s="9">
        <v>4.9000000000000004</v>
      </c>
      <c r="I1635" s="1">
        <v>46052</v>
      </c>
      <c r="J1635" s="1" t="s">
        <v>289</v>
      </c>
      <c r="K1635" s="3">
        <v>18</v>
      </c>
    </row>
    <row r="1636" spans="1:11">
      <c r="A1636" s="1">
        <v>46049</v>
      </c>
      <c r="B1636" t="s">
        <v>1976</v>
      </c>
      <c r="C1636">
        <v>3.1560000000000001</v>
      </c>
      <c r="E1636" s="1">
        <v>45694</v>
      </c>
      <c r="F1636" s="1" t="s">
        <v>160</v>
      </c>
      <c r="G1636" s="9">
        <v>4.37</v>
      </c>
      <c r="I1636" s="1">
        <v>46052</v>
      </c>
      <c r="J1636" s="1" t="s">
        <v>290</v>
      </c>
      <c r="K1636" s="3">
        <v>18</v>
      </c>
    </row>
    <row r="1637" spans="1:11">
      <c r="A1637" s="1">
        <v>46049</v>
      </c>
      <c r="B1637" t="s">
        <v>1977</v>
      </c>
      <c r="C1637">
        <v>3.3860000000000001</v>
      </c>
      <c r="E1637" s="1">
        <v>45694</v>
      </c>
      <c r="F1637" s="1" t="s">
        <v>161</v>
      </c>
      <c r="G1637" s="9">
        <v>4.57</v>
      </c>
      <c r="I1637" s="1">
        <v>46051</v>
      </c>
      <c r="J1637" s="1" t="s">
        <v>282</v>
      </c>
      <c r="K1637" s="3">
        <v>1000</v>
      </c>
    </row>
    <row r="1638" spans="1:11">
      <c r="A1638" s="1">
        <v>46049</v>
      </c>
      <c r="B1638" t="s">
        <v>1978</v>
      </c>
      <c r="C1638">
        <v>3.6160000000000001</v>
      </c>
      <c r="E1638" s="1">
        <v>45694</v>
      </c>
      <c r="F1638" s="1" t="s">
        <v>162</v>
      </c>
      <c r="G1638" s="9">
        <v>4.7300000000000004</v>
      </c>
      <c r="I1638" s="1">
        <v>46051</v>
      </c>
      <c r="J1638" s="1" t="s">
        <v>283</v>
      </c>
      <c r="K1638" s="3">
        <v>7</v>
      </c>
    </row>
    <row r="1639" spans="1:11">
      <c r="A1639" s="1">
        <v>46049</v>
      </c>
      <c r="B1639" t="s">
        <v>1979</v>
      </c>
      <c r="C1639">
        <v>3.7029999999999998</v>
      </c>
      <c r="E1639" s="1">
        <v>45694</v>
      </c>
      <c r="F1639" s="1" t="s">
        <v>163</v>
      </c>
      <c r="G1639" s="9">
        <v>4.8499999999999996</v>
      </c>
      <c r="I1639" s="1">
        <v>46051</v>
      </c>
      <c r="J1639" s="1" t="s">
        <v>284</v>
      </c>
      <c r="K1639" s="3">
        <v>2000</v>
      </c>
    </row>
    <row r="1640" spans="1:11">
      <c r="A1640" s="1">
        <v>46049</v>
      </c>
      <c r="B1640" t="s">
        <v>1980</v>
      </c>
      <c r="C1640">
        <v>4.0629999999999997</v>
      </c>
      <c r="E1640" s="1">
        <v>45693</v>
      </c>
      <c r="F1640" s="1" t="s">
        <v>160</v>
      </c>
      <c r="G1640" s="9">
        <v>4.51</v>
      </c>
      <c r="I1640" s="1">
        <v>46051</v>
      </c>
      <c r="J1640" s="1" t="s">
        <v>285</v>
      </c>
      <c r="K1640" s="3">
        <v>4.5</v>
      </c>
    </row>
    <row r="1641" spans="1:11">
      <c r="A1641" s="1">
        <v>46049</v>
      </c>
      <c r="B1641" t="s">
        <v>1981</v>
      </c>
      <c r="C1641">
        <v>4.1870000000000003</v>
      </c>
      <c r="E1641" s="1">
        <v>45693</v>
      </c>
      <c r="F1641" s="1" t="s">
        <v>161</v>
      </c>
      <c r="G1641" s="9">
        <v>4.71</v>
      </c>
      <c r="I1641" s="1">
        <v>46051</v>
      </c>
      <c r="J1641" s="1" t="s">
        <v>286</v>
      </c>
      <c r="K1641" s="3">
        <v>1000</v>
      </c>
    </row>
    <row r="1642" spans="1:11">
      <c r="A1642" s="1">
        <v>46049</v>
      </c>
      <c r="B1642" t="s">
        <v>1982</v>
      </c>
      <c r="C1642">
        <v>4.2919999999999998</v>
      </c>
      <c r="E1642" s="1">
        <v>45693</v>
      </c>
      <c r="F1642" s="1" t="s">
        <v>162</v>
      </c>
      <c r="G1642" s="9">
        <v>4.84</v>
      </c>
      <c r="I1642" s="1">
        <v>46051</v>
      </c>
      <c r="J1642" s="1" t="s">
        <v>287</v>
      </c>
      <c r="K1642" s="3">
        <v>309511.08</v>
      </c>
    </row>
    <row r="1643" spans="1:11">
      <c r="A1643" s="1">
        <v>46049</v>
      </c>
      <c r="B1643" t="s">
        <v>1983</v>
      </c>
      <c r="C1643">
        <v>4.3380000000000001</v>
      </c>
      <c r="E1643" s="1">
        <v>45693</v>
      </c>
      <c r="F1643" s="1" t="s">
        <v>163</v>
      </c>
      <c r="G1643" s="9">
        <v>5.01</v>
      </c>
      <c r="I1643" s="1">
        <v>46051</v>
      </c>
      <c r="J1643" s="1" t="s">
        <v>288</v>
      </c>
      <c r="K1643" s="3">
        <v>-68087.31</v>
      </c>
    </row>
    <row r="1644" spans="1:11">
      <c r="A1644" s="1">
        <v>46048</v>
      </c>
      <c r="B1644" t="s">
        <v>1974</v>
      </c>
      <c r="C1644">
        <v>2.9830000000000001</v>
      </c>
      <c r="E1644" s="1">
        <v>45692</v>
      </c>
      <c r="F1644" s="1" t="s">
        <v>160</v>
      </c>
      <c r="G1644" s="9">
        <v>5.5</v>
      </c>
      <c r="I1644" s="1">
        <v>46051</v>
      </c>
      <c r="J1644" s="1" t="s">
        <v>289</v>
      </c>
      <c r="K1644" s="3">
        <v>9</v>
      </c>
    </row>
    <row r="1645" spans="1:11">
      <c r="A1645" s="1">
        <v>46048</v>
      </c>
      <c r="B1645" t="s">
        <v>1975</v>
      </c>
      <c r="C1645">
        <v>3.11</v>
      </c>
      <c r="E1645" s="1">
        <v>45692</v>
      </c>
      <c r="F1645" s="1" t="s">
        <v>161</v>
      </c>
      <c r="G1645" s="9">
        <v>5.44</v>
      </c>
      <c r="I1645" s="1">
        <v>46051</v>
      </c>
      <c r="J1645" s="1" t="s">
        <v>290</v>
      </c>
      <c r="K1645" s="3">
        <v>9</v>
      </c>
    </row>
    <row r="1646" spans="1:11">
      <c r="A1646" s="1">
        <v>46048</v>
      </c>
      <c r="B1646" t="s">
        <v>1976</v>
      </c>
      <c r="C1646">
        <v>3.1560000000000001</v>
      </c>
      <c r="E1646" s="1">
        <v>45692</v>
      </c>
      <c r="F1646" s="1" t="s">
        <v>162</v>
      </c>
      <c r="G1646" s="9">
        <v>5.38</v>
      </c>
      <c r="I1646" s="1">
        <v>46051</v>
      </c>
      <c r="J1646" s="1" t="s">
        <v>107</v>
      </c>
      <c r="K1646" s="3">
        <v>14618648511011</v>
      </c>
    </row>
    <row r="1647" spans="1:11">
      <c r="A1647" s="1">
        <v>46048</v>
      </c>
      <c r="B1647" t="s">
        <v>1977</v>
      </c>
      <c r="C1647">
        <v>3.3879999999999999</v>
      </c>
      <c r="E1647" s="1">
        <v>45692</v>
      </c>
      <c r="F1647" s="1" t="s">
        <v>163</v>
      </c>
      <c r="G1647" s="9">
        <v>5.28</v>
      </c>
      <c r="I1647" s="1">
        <v>46050</v>
      </c>
      <c r="J1647" s="1" t="s">
        <v>107</v>
      </c>
      <c r="K1647" s="3">
        <v>14807447083272</v>
      </c>
    </row>
    <row r="1648" spans="1:11">
      <c r="A1648" s="1">
        <v>46048</v>
      </c>
      <c r="B1648" t="s">
        <v>1978</v>
      </c>
      <c r="C1648">
        <v>3.6190000000000002</v>
      </c>
      <c r="E1648" s="1">
        <v>45691</v>
      </c>
      <c r="F1648" s="1" t="s">
        <v>160</v>
      </c>
      <c r="G1648" s="9">
        <v>4.8600000000000003</v>
      </c>
      <c r="I1648" s="1">
        <v>46050</v>
      </c>
      <c r="J1648" s="1" t="s">
        <v>282</v>
      </c>
      <c r="K1648" s="3">
        <v>6000</v>
      </c>
    </row>
    <row r="1649" spans="1:11">
      <c r="A1649" s="1">
        <v>46048</v>
      </c>
      <c r="B1649" t="s">
        <v>1979</v>
      </c>
      <c r="C1649">
        <v>3.7029999999999998</v>
      </c>
      <c r="E1649" s="1">
        <v>45691</v>
      </c>
      <c r="F1649" s="1" t="s">
        <v>161</v>
      </c>
      <c r="G1649" s="9">
        <v>4.9800000000000004</v>
      </c>
      <c r="I1649" s="1">
        <v>46050</v>
      </c>
      <c r="J1649" s="1" t="s">
        <v>283</v>
      </c>
      <c r="K1649" s="3">
        <v>7</v>
      </c>
    </row>
    <row r="1650" spans="1:11">
      <c r="A1650" s="1">
        <v>46048</v>
      </c>
      <c r="B1650" t="s">
        <v>1980</v>
      </c>
      <c r="C1650">
        <v>4.0629999999999997</v>
      </c>
      <c r="E1650" s="1">
        <v>45691</v>
      </c>
      <c r="F1650" s="1" t="s">
        <v>162</v>
      </c>
      <c r="G1650" s="9">
        <v>5.0599999999999996</v>
      </c>
      <c r="I1650" s="1">
        <v>46050</v>
      </c>
      <c r="J1650" s="1" t="s">
        <v>284</v>
      </c>
      <c r="K1650" s="3">
        <v>10000</v>
      </c>
    </row>
    <row r="1651" spans="1:11">
      <c r="A1651" s="1">
        <v>46048</v>
      </c>
      <c r="B1651" t="s">
        <v>1981</v>
      </c>
      <c r="C1651">
        <v>4.1870000000000003</v>
      </c>
      <c r="E1651" s="1">
        <v>45691</v>
      </c>
      <c r="F1651" s="1" t="s">
        <v>163</v>
      </c>
      <c r="G1651" s="9">
        <v>5.0599999999999996</v>
      </c>
      <c r="I1651" s="1">
        <v>46050</v>
      </c>
      <c r="J1651" s="1" t="s">
        <v>285</v>
      </c>
      <c r="K1651" s="3">
        <v>4.5</v>
      </c>
    </row>
    <row r="1652" spans="1:11">
      <c r="A1652" s="1">
        <v>46048</v>
      </c>
      <c r="B1652" t="s">
        <v>1982</v>
      </c>
      <c r="C1652">
        <v>4.2919999999999998</v>
      </c>
      <c r="E1652" s="1">
        <v>45681</v>
      </c>
      <c r="F1652" s="1" t="s">
        <v>160</v>
      </c>
      <c r="G1652" s="9">
        <v>4.82</v>
      </c>
      <c r="I1652" s="1">
        <v>46050</v>
      </c>
      <c r="J1652" s="1" t="s">
        <v>286</v>
      </c>
      <c r="K1652" s="3">
        <v>4459.8</v>
      </c>
    </row>
    <row r="1653" spans="1:11">
      <c r="A1653" s="1">
        <v>46048</v>
      </c>
      <c r="B1653" t="s">
        <v>1983</v>
      </c>
      <c r="C1653">
        <v>4.3380000000000001</v>
      </c>
      <c r="E1653" s="1">
        <v>45681</v>
      </c>
      <c r="F1653" s="1" t="s">
        <v>161</v>
      </c>
      <c r="G1653" s="9">
        <v>4.87</v>
      </c>
      <c r="I1653" s="1">
        <v>46050</v>
      </c>
      <c r="J1653" s="1" t="s">
        <v>287</v>
      </c>
      <c r="K1653" s="3">
        <v>308511.08</v>
      </c>
    </row>
    <row r="1654" spans="1:11">
      <c r="A1654" s="1">
        <v>46045</v>
      </c>
      <c r="B1654" t="s">
        <v>1974</v>
      </c>
      <c r="C1654">
        <v>2.9830000000000001</v>
      </c>
      <c r="E1654" s="1">
        <v>45681</v>
      </c>
      <c r="F1654" s="1" t="s">
        <v>162</v>
      </c>
      <c r="G1654" s="9">
        <v>4.93</v>
      </c>
      <c r="I1654" s="1">
        <v>46050</v>
      </c>
      <c r="J1654" s="1" t="s">
        <v>288</v>
      </c>
      <c r="K1654" s="3">
        <v>-63323.31</v>
      </c>
    </row>
    <row r="1655" spans="1:11">
      <c r="A1655" s="1">
        <v>46045</v>
      </c>
      <c r="B1655" t="s">
        <v>1975</v>
      </c>
      <c r="C1655">
        <v>3.11</v>
      </c>
      <c r="E1655" s="1">
        <v>45681</v>
      </c>
      <c r="F1655" s="1" t="s">
        <v>163</v>
      </c>
      <c r="G1655" s="9">
        <v>5.0999999999999996</v>
      </c>
      <c r="I1655" s="1">
        <v>46050</v>
      </c>
      <c r="J1655" s="1" t="s">
        <v>289</v>
      </c>
      <c r="K1655" s="3">
        <v>13</v>
      </c>
    </row>
    <row r="1656" spans="1:11">
      <c r="A1656" s="1">
        <v>46045</v>
      </c>
      <c r="B1656" t="s">
        <v>1976</v>
      </c>
      <c r="C1656">
        <v>3.1560000000000001</v>
      </c>
      <c r="E1656" s="1">
        <v>45680</v>
      </c>
      <c r="F1656" s="1" t="s">
        <v>160</v>
      </c>
      <c r="G1656" s="9">
        <v>4</v>
      </c>
      <c r="I1656" s="1">
        <v>46050</v>
      </c>
      <c r="J1656" s="1" t="s">
        <v>290</v>
      </c>
      <c r="K1656" s="3">
        <v>13</v>
      </c>
    </row>
    <row r="1657" spans="1:11">
      <c r="A1657" s="1">
        <v>46045</v>
      </c>
      <c r="B1657" t="s">
        <v>1977</v>
      </c>
      <c r="C1657">
        <v>3.3849999999999998</v>
      </c>
      <c r="E1657" s="1">
        <v>45680</v>
      </c>
      <c r="F1657" s="1" t="s">
        <v>161</v>
      </c>
      <c r="G1657" s="9">
        <v>4.82</v>
      </c>
      <c r="I1657" s="1">
        <v>46049</v>
      </c>
      <c r="J1657" s="1" t="s">
        <v>107</v>
      </c>
      <c r="K1657" s="3">
        <v>14805766373374</v>
      </c>
    </row>
    <row r="1658" spans="1:11">
      <c r="A1658" s="1">
        <v>46045</v>
      </c>
      <c r="B1658" t="s">
        <v>1978</v>
      </c>
      <c r="C1658">
        <v>3.6139999999999999</v>
      </c>
      <c r="E1658" s="1">
        <v>45680</v>
      </c>
      <c r="F1658" s="1" t="s">
        <v>162</v>
      </c>
      <c r="G1658" s="9">
        <v>4.92</v>
      </c>
      <c r="I1658" s="1">
        <v>46049</v>
      </c>
      <c r="J1658" s="1" t="s">
        <v>282</v>
      </c>
      <c r="K1658" s="3">
        <v>8000</v>
      </c>
    </row>
    <row r="1659" spans="1:11">
      <c r="A1659" s="1">
        <v>46045</v>
      </c>
      <c r="B1659" t="s">
        <v>1979</v>
      </c>
      <c r="C1659">
        <v>3.7080000000000002</v>
      </c>
      <c r="E1659" s="1">
        <v>45680</v>
      </c>
      <c r="F1659" s="1" t="s">
        <v>163</v>
      </c>
      <c r="G1659" s="9">
        <v>5.0199999999999996</v>
      </c>
      <c r="I1659" s="1">
        <v>46049</v>
      </c>
      <c r="J1659" s="1" t="s">
        <v>283</v>
      </c>
      <c r="K1659" s="3">
        <v>7</v>
      </c>
    </row>
    <row r="1660" spans="1:11">
      <c r="A1660" s="1">
        <v>46045</v>
      </c>
      <c r="B1660" t="s">
        <v>1980</v>
      </c>
      <c r="C1660">
        <v>4.0579999999999998</v>
      </c>
      <c r="E1660" s="1">
        <v>45679</v>
      </c>
      <c r="F1660" s="1" t="s">
        <v>160</v>
      </c>
      <c r="G1660" s="9">
        <v>3.95</v>
      </c>
      <c r="I1660" s="1">
        <v>46049</v>
      </c>
      <c r="J1660" s="1" t="s">
        <v>284</v>
      </c>
      <c r="K1660" s="3">
        <v>20000</v>
      </c>
    </row>
    <row r="1661" spans="1:11">
      <c r="A1661" s="1">
        <v>46045</v>
      </c>
      <c r="B1661" t="s">
        <v>1981</v>
      </c>
      <c r="C1661">
        <v>4.1840000000000002</v>
      </c>
      <c r="E1661" s="1">
        <v>45679</v>
      </c>
      <c r="F1661" s="1" t="s">
        <v>161</v>
      </c>
      <c r="G1661" s="9">
        <v>4.8499999999999996</v>
      </c>
      <c r="I1661" s="1">
        <v>46049</v>
      </c>
      <c r="J1661" s="1" t="s">
        <v>285</v>
      </c>
      <c r="K1661" s="3">
        <v>4.5</v>
      </c>
    </row>
    <row r="1662" spans="1:11">
      <c r="A1662" s="1">
        <v>46045</v>
      </c>
      <c r="B1662" t="s">
        <v>1982</v>
      </c>
      <c r="C1662">
        <v>4.2919999999999998</v>
      </c>
      <c r="E1662" s="1">
        <v>45679</v>
      </c>
      <c r="F1662" s="1" t="s">
        <v>162</v>
      </c>
      <c r="G1662" s="9">
        <v>4.88</v>
      </c>
      <c r="I1662" s="1">
        <v>46049</v>
      </c>
      <c r="J1662" s="1" t="s">
        <v>286</v>
      </c>
      <c r="K1662" s="3">
        <v>8222.5499999999993</v>
      </c>
    </row>
    <row r="1663" spans="1:11">
      <c r="A1663" s="1">
        <v>46045</v>
      </c>
      <c r="B1663" t="s">
        <v>1983</v>
      </c>
      <c r="C1663">
        <v>4.3380000000000001</v>
      </c>
      <c r="E1663" s="1">
        <v>45679</v>
      </c>
      <c r="F1663" s="1" t="s">
        <v>163</v>
      </c>
      <c r="G1663" s="9">
        <v>5</v>
      </c>
      <c r="I1663" s="1">
        <v>46049</v>
      </c>
      <c r="J1663" s="1" t="s">
        <v>287</v>
      </c>
      <c r="K1663" s="3">
        <v>302970.88</v>
      </c>
    </row>
    <row r="1664" spans="1:11">
      <c r="A1664" s="1">
        <v>46044</v>
      </c>
      <c r="B1664" t="s">
        <v>1974</v>
      </c>
      <c r="C1664">
        <v>2.9830000000000001</v>
      </c>
      <c r="E1664" s="1">
        <v>45678</v>
      </c>
      <c r="F1664" s="1" t="s">
        <v>160</v>
      </c>
      <c r="G1664" s="9">
        <v>4</v>
      </c>
      <c r="I1664" s="1">
        <v>46049</v>
      </c>
      <c r="J1664" s="1" t="s">
        <v>288</v>
      </c>
      <c r="K1664" s="3">
        <v>-50783.11</v>
      </c>
    </row>
    <row r="1665" spans="1:11">
      <c r="A1665" s="1">
        <v>46044</v>
      </c>
      <c r="B1665" t="s">
        <v>1975</v>
      </c>
      <c r="C1665">
        <v>3.11</v>
      </c>
      <c r="E1665" s="1">
        <v>45678</v>
      </c>
      <c r="F1665" s="1" t="s">
        <v>161</v>
      </c>
      <c r="G1665" s="9">
        <v>4.82</v>
      </c>
      <c r="I1665" s="1">
        <v>46049</v>
      </c>
      <c r="J1665" s="1" t="s">
        <v>289</v>
      </c>
      <c r="K1665" s="3">
        <v>21</v>
      </c>
    </row>
    <row r="1666" spans="1:11">
      <c r="A1666" s="1">
        <v>46044</v>
      </c>
      <c r="B1666" t="s">
        <v>1976</v>
      </c>
      <c r="C1666">
        <v>3.1560000000000001</v>
      </c>
      <c r="E1666" s="1">
        <v>45678</v>
      </c>
      <c r="F1666" s="1" t="s">
        <v>162</v>
      </c>
      <c r="G1666" s="9">
        <v>4.8600000000000003</v>
      </c>
      <c r="I1666" s="1">
        <v>46049</v>
      </c>
      <c r="J1666" s="1" t="s">
        <v>290</v>
      </c>
      <c r="K1666" s="3">
        <v>21</v>
      </c>
    </row>
    <row r="1667" spans="1:11">
      <c r="A1667" s="1">
        <v>46044</v>
      </c>
      <c r="B1667" t="s">
        <v>1977</v>
      </c>
      <c r="C1667">
        <v>3.383</v>
      </c>
      <c r="E1667" s="1">
        <v>45678</v>
      </c>
      <c r="F1667" s="1" t="s">
        <v>163</v>
      </c>
      <c r="G1667" s="9">
        <v>4.96</v>
      </c>
      <c r="I1667" s="1">
        <v>46048</v>
      </c>
      <c r="J1667" s="1" t="s">
        <v>107</v>
      </c>
      <c r="K1667" s="3">
        <v>14999349599054</v>
      </c>
    </row>
    <row r="1668" spans="1:11">
      <c r="A1668" s="1">
        <v>46044</v>
      </c>
      <c r="B1668" t="s">
        <v>1978</v>
      </c>
      <c r="C1668">
        <v>3.6110000000000002</v>
      </c>
      <c r="E1668" s="1">
        <v>45677</v>
      </c>
      <c r="F1668" s="1" t="s">
        <v>160</v>
      </c>
      <c r="G1668" s="9">
        <v>4.67</v>
      </c>
      <c r="I1668" s="1">
        <v>46048</v>
      </c>
      <c r="J1668" s="1" t="s">
        <v>282</v>
      </c>
      <c r="K1668" s="3">
        <v>13000</v>
      </c>
    </row>
    <row r="1669" spans="1:11">
      <c r="A1669" s="1">
        <v>46044</v>
      </c>
      <c r="B1669" t="s">
        <v>1979</v>
      </c>
      <c r="C1669">
        <v>3.6970000000000001</v>
      </c>
      <c r="E1669" s="1">
        <v>45677</v>
      </c>
      <c r="F1669" s="1" t="s">
        <v>161</v>
      </c>
      <c r="G1669" s="9">
        <v>4.95</v>
      </c>
      <c r="I1669" s="1">
        <v>46048</v>
      </c>
      <c r="J1669" s="1" t="s">
        <v>283</v>
      </c>
      <c r="K1669" s="3">
        <v>7</v>
      </c>
    </row>
    <row r="1670" spans="1:11">
      <c r="A1670" s="1">
        <v>46044</v>
      </c>
      <c r="B1670" t="s">
        <v>1980</v>
      </c>
      <c r="C1670">
        <v>4.0609999999999999</v>
      </c>
      <c r="E1670" s="1">
        <v>45677</v>
      </c>
      <c r="F1670" s="1" t="s">
        <v>162</v>
      </c>
      <c r="G1670" s="9">
        <v>4.9800000000000004</v>
      </c>
      <c r="I1670" s="1">
        <v>46048</v>
      </c>
      <c r="J1670" s="1" t="s">
        <v>284</v>
      </c>
      <c r="K1670" s="3">
        <v>24000</v>
      </c>
    </row>
    <row r="1671" spans="1:11">
      <c r="A1671" s="1">
        <v>46044</v>
      </c>
      <c r="B1671" t="s">
        <v>1981</v>
      </c>
      <c r="C1671">
        <v>4.1790000000000003</v>
      </c>
      <c r="E1671" s="1">
        <v>45677</v>
      </c>
      <c r="F1671" s="1" t="s">
        <v>163</v>
      </c>
      <c r="G1671" s="9">
        <v>5.07</v>
      </c>
      <c r="I1671" s="1">
        <v>46048</v>
      </c>
      <c r="J1671" s="1" t="s">
        <v>285</v>
      </c>
      <c r="K1671" s="3">
        <v>4.5</v>
      </c>
    </row>
    <row r="1672" spans="1:11">
      <c r="A1672" s="1">
        <v>46044</v>
      </c>
      <c r="B1672" t="s">
        <v>1982</v>
      </c>
      <c r="C1672">
        <v>4.2919999999999998</v>
      </c>
      <c r="E1672" s="1">
        <v>45674</v>
      </c>
      <c r="F1672" s="1" t="s">
        <v>160</v>
      </c>
      <c r="G1672" s="9">
        <v>4</v>
      </c>
      <c r="I1672" s="1">
        <v>46048</v>
      </c>
      <c r="J1672" s="1" t="s">
        <v>286</v>
      </c>
      <c r="K1672" s="3">
        <v>7529</v>
      </c>
    </row>
    <row r="1673" spans="1:11">
      <c r="A1673" s="1">
        <v>46044</v>
      </c>
      <c r="B1673" t="s">
        <v>1983</v>
      </c>
      <c r="C1673">
        <v>4.3460000000000001</v>
      </c>
      <c r="E1673" s="1">
        <v>45674</v>
      </c>
      <c r="F1673" s="1" t="s">
        <v>161</v>
      </c>
      <c r="G1673" s="9">
        <v>4.32</v>
      </c>
      <c r="I1673" s="1">
        <v>46048</v>
      </c>
      <c r="J1673" s="1" t="s">
        <v>287</v>
      </c>
      <c r="K1673" s="3">
        <v>291193.43</v>
      </c>
    </row>
    <row r="1674" spans="1:11">
      <c r="A1674" s="1">
        <v>46043</v>
      </c>
      <c r="B1674" t="s">
        <v>1974</v>
      </c>
      <c r="C1674">
        <v>2.9830000000000001</v>
      </c>
      <c r="E1674" s="1">
        <v>45674</v>
      </c>
      <c r="F1674" s="1" t="s">
        <v>162</v>
      </c>
      <c r="G1674" s="9">
        <v>4.9000000000000004</v>
      </c>
      <c r="I1674" s="1">
        <v>46048</v>
      </c>
      <c r="J1674" s="1" t="s">
        <v>288</v>
      </c>
      <c r="K1674" s="3">
        <v>-43130.66</v>
      </c>
    </row>
    <row r="1675" spans="1:11">
      <c r="A1675" s="1">
        <v>46043</v>
      </c>
      <c r="B1675" t="s">
        <v>1975</v>
      </c>
      <c r="C1675">
        <v>3.11</v>
      </c>
      <c r="E1675" s="1">
        <v>45674</v>
      </c>
      <c r="F1675" s="1" t="s">
        <v>163</v>
      </c>
      <c r="G1675" s="9">
        <v>5.0599999999999996</v>
      </c>
      <c r="I1675" s="1">
        <v>46048</v>
      </c>
      <c r="J1675" s="1" t="s">
        <v>289</v>
      </c>
      <c r="K1675" s="3">
        <v>22</v>
      </c>
    </row>
    <row r="1676" spans="1:11">
      <c r="A1676" s="1">
        <v>46043</v>
      </c>
      <c r="B1676" t="s">
        <v>1976</v>
      </c>
      <c r="C1676">
        <v>3.1560000000000001</v>
      </c>
      <c r="E1676" s="1">
        <v>45673</v>
      </c>
      <c r="F1676" s="1" t="s">
        <v>160</v>
      </c>
      <c r="G1676" s="9">
        <v>3.92</v>
      </c>
      <c r="I1676" s="1">
        <v>46048</v>
      </c>
      <c r="J1676" s="1" t="s">
        <v>290</v>
      </c>
      <c r="K1676" s="3">
        <v>22</v>
      </c>
    </row>
    <row r="1677" spans="1:11">
      <c r="A1677" s="1">
        <v>46043</v>
      </c>
      <c r="B1677" t="s">
        <v>1977</v>
      </c>
      <c r="C1677">
        <v>3.3809999999999998</v>
      </c>
      <c r="E1677" s="1">
        <v>45673</v>
      </c>
      <c r="F1677" s="1" t="s">
        <v>161</v>
      </c>
      <c r="G1677" s="9">
        <v>4.28</v>
      </c>
      <c r="I1677" s="1">
        <v>46047</v>
      </c>
      <c r="J1677" s="1" t="s">
        <v>107</v>
      </c>
      <c r="K1677" s="3">
        <v>13929602880434</v>
      </c>
    </row>
    <row r="1678" spans="1:11">
      <c r="A1678" s="1">
        <v>46043</v>
      </c>
      <c r="B1678" t="s">
        <v>1978</v>
      </c>
      <c r="C1678">
        <v>3.6059999999999999</v>
      </c>
      <c r="E1678" s="1">
        <v>45673</v>
      </c>
      <c r="F1678" s="1" t="s">
        <v>162</v>
      </c>
      <c r="G1678" s="9">
        <v>5.04</v>
      </c>
      <c r="I1678" s="1">
        <v>46045</v>
      </c>
      <c r="J1678" s="1" t="s">
        <v>282</v>
      </c>
      <c r="K1678" s="3">
        <v>4000</v>
      </c>
    </row>
    <row r="1679" spans="1:11">
      <c r="A1679" s="1">
        <v>46043</v>
      </c>
      <c r="B1679" t="s">
        <v>1979</v>
      </c>
      <c r="C1679">
        <v>3.6920000000000002</v>
      </c>
      <c r="E1679" s="1">
        <v>45673</v>
      </c>
      <c r="F1679" s="1" t="s">
        <v>163</v>
      </c>
      <c r="G1679" s="9">
        <v>5.08</v>
      </c>
      <c r="I1679" s="1">
        <v>46045</v>
      </c>
      <c r="J1679" s="1" t="s">
        <v>283</v>
      </c>
      <c r="K1679" s="3">
        <v>7</v>
      </c>
    </row>
    <row r="1680" spans="1:11">
      <c r="A1680" s="1">
        <v>46043</v>
      </c>
      <c r="B1680" t="s">
        <v>1980</v>
      </c>
      <c r="C1680">
        <v>4.04</v>
      </c>
      <c r="E1680" s="1">
        <v>45672</v>
      </c>
      <c r="F1680" s="1" t="s">
        <v>160</v>
      </c>
      <c r="G1680" s="9">
        <v>3.95</v>
      </c>
      <c r="I1680" s="1">
        <v>46045</v>
      </c>
      <c r="J1680" s="1" t="s">
        <v>284</v>
      </c>
      <c r="K1680" s="3">
        <v>11000</v>
      </c>
    </row>
    <row r="1681" spans="1:11">
      <c r="A1681" s="1">
        <v>46043</v>
      </c>
      <c r="B1681" t="s">
        <v>1981</v>
      </c>
      <c r="C1681">
        <v>4.1719999999999997</v>
      </c>
      <c r="E1681" s="1">
        <v>45672</v>
      </c>
      <c r="F1681" s="1" t="s">
        <v>161</v>
      </c>
      <c r="G1681" s="9">
        <v>4.3499999999999996</v>
      </c>
      <c r="I1681" s="1">
        <v>46045</v>
      </c>
      <c r="J1681" s="1" t="s">
        <v>285</v>
      </c>
      <c r="K1681" s="3">
        <v>4.5</v>
      </c>
    </row>
    <row r="1682" spans="1:11">
      <c r="A1682" s="1">
        <v>46043</v>
      </c>
      <c r="B1682" t="s">
        <v>1982</v>
      </c>
      <c r="C1682">
        <v>4.2919999999999998</v>
      </c>
      <c r="E1682" s="1">
        <v>45672</v>
      </c>
      <c r="F1682" s="1" t="s">
        <v>162</v>
      </c>
      <c r="G1682" s="9">
        <v>4.93</v>
      </c>
      <c r="I1682" s="1">
        <v>46045</v>
      </c>
      <c r="J1682" s="1" t="s">
        <v>286</v>
      </c>
      <c r="K1682" s="3">
        <v>6000</v>
      </c>
    </row>
    <row r="1683" spans="1:11">
      <c r="A1683" s="1">
        <v>46043</v>
      </c>
      <c r="B1683" t="s">
        <v>1983</v>
      </c>
      <c r="C1683">
        <v>4.3380000000000001</v>
      </c>
      <c r="E1683" s="1">
        <v>45672</v>
      </c>
      <c r="F1683" s="1" t="s">
        <v>163</v>
      </c>
      <c r="G1683" s="9">
        <v>5.12</v>
      </c>
      <c r="I1683" s="1">
        <v>46045</v>
      </c>
      <c r="J1683" s="1" t="s">
        <v>287</v>
      </c>
      <c r="K1683" s="3">
        <v>274722.43</v>
      </c>
    </row>
    <row r="1684" spans="1:11">
      <c r="A1684" s="1">
        <v>46042</v>
      </c>
      <c r="B1684" t="s">
        <v>1974</v>
      </c>
      <c r="C1684">
        <v>2.9830000000000001</v>
      </c>
      <c r="E1684" s="1">
        <v>45671</v>
      </c>
      <c r="F1684" s="1" t="s">
        <v>160</v>
      </c>
      <c r="G1684" s="9">
        <v>4.5</v>
      </c>
      <c r="I1684" s="1">
        <v>46045</v>
      </c>
      <c r="J1684" s="1" t="s">
        <v>288</v>
      </c>
      <c r="K1684" s="3">
        <v>-25659.66</v>
      </c>
    </row>
    <row r="1685" spans="1:11">
      <c r="A1685" s="1">
        <v>46042</v>
      </c>
      <c r="B1685" t="s">
        <v>1975</v>
      </c>
      <c r="C1685">
        <v>3.11</v>
      </c>
      <c r="E1685" s="1">
        <v>45671</v>
      </c>
      <c r="F1685" s="1" t="s">
        <v>161</v>
      </c>
      <c r="G1685" s="9">
        <v>4.82</v>
      </c>
      <c r="I1685" s="1">
        <v>46045</v>
      </c>
      <c r="J1685" s="1" t="s">
        <v>289</v>
      </c>
      <c r="K1685" s="3">
        <v>15</v>
      </c>
    </row>
    <row r="1686" spans="1:11">
      <c r="A1686" s="1">
        <v>46042</v>
      </c>
      <c r="B1686" t="s">
        <v>1976</v>
      </c>
      <c r="C1686">
        <v>3.1560000000000001</v>
      </c>
      <c r="E1686" s="1">
        <v>45671</v>
      </c>
      <c r="F1686" s="1" t="s">
        <v>162</v>
      </c>
      <c r="G1686" s="9">
        <v>5.07</v>
      </c>
      <c r="I1686" s="1">
        <v>46045</v>
      </c>
      <c r="J1686" s="1" t="s">
        <v>290</v>
      </c>
      <c r="K1686" s="3">
        <v>15</v>
      </c>
    </row>
    <row r="1687" spans="1:11">
      <c r="A1687" s="1">
        <v>46042</v>
      </c>
      <c r="B1687" t="s">
        <v>1977</v>
      </c>
      <c r="C1687">
        <v>3.387</v>
      </c>
      <c r="E1687" s="1">
        <v>45671</v>
      </c>
      <c r="F1687" s="1" t="s">
        <v>163</v>
      </c>
      <c r="G1687" s="9">
        <v>5.2</v>
      </c>
      <c r="I1687" s="1">
        <v>46044</v>
      </c>
      <c r="J1687" s="1" t="s">
        <v>282</v>
      </c>
      <c r="K1687" s="3">
        <v>0</v>
      </c>
    </row>
    <row r="1688" spans="1:11">
      <c r="A1688" s="1">
        <v>46042</v>
      </c>
      <c r="B1688" t="s">
        <v>1978</v>
      </c>
      <c r="C1688">
        <v>3.6179999999999999</v>
      </c>
      <c r="E1688" s="1">
        <v>45670</v>
      </c>
      <c r="F1688" s="1" t="s">
        <v>160</v>
      </c>
      <c r="G1688" s="9">
        <v>4.9800000000000004</v>
      </c>
      <c r="I1688" s="1">
        <v>46044</v>
      </c>
      <c r="J1688" s="1" t="s">
        <v>283</v>
      </c>
      <c r="K1688" s="3">
        <v>7</v>
      </c>
    </row>
    <row r="1689" spans="1:11">
      <c r="A1689" s="1">
        <v>46042</v>
      </c>
      <c r="B1689" t="s">
        <v>1979</v>
      </c>
      <c r="C1689">
        <v>3.669</v>
      </c>
      <c r="E1689" s="1">
        <v>45670</v>
      </c>
      <c r="F1689" s="1" t="s">
        <v>161</v>
      </c>
      <c r="G1689" s="9">
        <v>5.0999999999999996</v>
      </c>
      <c r="I1689" s="1">
        <v>46044</v>
      </c>
      <c r="J1689" s="1" t="s">
        <v>284</v>
      </c>
      <c r="K1689" s="3">
        <v>1000</v>
      </c>
    </row>
    <row r="1690" spans="1:11">
      <c r="A1690" s="1">
        <v>46042</v>
      </c>
      <c r="B1690" t="s">
        <v>1980</v>
      </c>
      <c r="C1690">
        <v>4.056</v>
      </c>
      <c r="E1690" s="1">
        <v>45670</v>
      </c>
      <c r="F1690" s="1" t="s">
        <v>162</v>
      </c>
      <c r="G1690" s="9">
        <v>5.14</v>
      </c>
      <c r="I1690" s="1">
        <v>46044</v>
      </c>
      <c r="J1690" s="1" t="s">
        <v>285</v>
      </c>
      <c r="K1690" s="3">
        <v>4.5</v>
      </c>
    </row>
    <row r="1691" spans="1:11">
      <c r="A1691" s="1">
        <v>46042</v>
      </c>
      <c r="B1691" t="s">
        <v>1981</v>
      </c>
      <c r="C1691">
        <v>4.202</v>
      </c>
      <c r="E1691" s="1">
        <v>45670</v>
      </c>
      <c r="F1691" s="1" t="s">
        <v>163</v>
      </c>
      <c r="G1691" s="9">
        <v>5.26</v>
      </c>
      <c r="I1691" s="1">
        <v>46044</v>
      </c>
      <c r="J1691" s="1" t="s">
        <v>286</v>
      </c>
      <c r="K1691" s="3">
        <v>2891</v>
      </c>
    </row>
    <row r="1692" spans="1:11">
      <c r="A1692" s="1">
        <v>46042</v>
      </c>
      <c r="B1692" t="s">
        <v>1982</v>
      </c>
      <c r="C1692">
        <v>4.3040000000000003</v>
      </c>
      <c r="E1692" s="1">
        <v>45667</v>
      </c>
      <c r="F1692" s="1" t="s">
        <v>160</v>
      </c>
      <c r="G1692" s="9">
        <v>4.76</v>
      </c>
      <c r="I1692" s="1">
        <v>46044</v>
      </c>
      <c r="J1692" s="1" t="s">
        <v>287</v>
      </c>
      <c r="K1692" s="3">
        <v>269722.43</v>
      </c>
    </row>
    <row r="1693" spans="1:11">
      <c r="A1693" s="1">
        <v>46042</v>
      </c>
      <c r="B1693" t="s">
        <v>1983</v>
      </c>
      <c r="C1693">
        <v>4.3499999999999996</v>
      </c>
      <c r="E1693" s="1">
        <v>45667</v>
      </c>
      <c r="F1693" s="1" t="s">
        <v>161</v>
      </c>
      <c r="G1693" s="9">
        <v>4.91</v>
      </c>
      <c r="I1693" s="1">
        <v>46044</v>
      </c>
      <c r="J1693" s="1" t="s">
        <v>288</v>
      </c>
      <c r="K1693" s="3">
        <v>-27211.35</v>
      </c>
    </row>
    <row r="1694" spans="1:11">
      <c r="A1694" s="1">
        <v>46041</v>
      </c>
      <c r="B1694" t="s">
        <v>1974</v>
      </c>
      <c r="C1694">
        <v>3</v>
      </c>
      <c r="E1694" s="1">
        <v>45667</v>
      </c>
      <c r="F1694" s="1" t="s">
        <v>162</v>
      </c>
      <c r="G1694" s="9">
        <v>4.97</v>
      </c>
      <c r="I1694" s="1">
        <v>46044</v>
      </c>
      <c r="J1694" s="1" t="s">
        <v>289</v>
      </c>
      <c r="K1694" s="3">
        <v>5</v>
      </c>
    </row>
    <row r="1695" spans="1:11">
      <c r="A1695" s="1">
        <v>46041</v>
      </c>
      <c r="B1695" t="s">
        <v>1975</v>
      </c>
      <c r="C1695">
        <v>3.1040000000000001</v>
      </c>
      <c r="E1695" s="1">
        <v>45667</v>
      </c>
      <c r="F1695" s="1" t="s">
        <v>163</v>
      </c>
      <c r="G1695" s="9">
        <v>5.14</v>
      </c>
      <c r="I1695" s="1">
        <v>46044</v>
      </c>
      <c r="J1695" s="1" t="s">
        <v>290</v>
      </c>
      <c r="K1695" s="3">
        <v>5</v>
      </c>
    </row>
    <row r="1696" spans="1:11">
      <c r="A1696" s="1">
        <v>46041</v>
      </c>
      <c r="B1696" t="s">
        <v>1976</v>
      </c>
      <c r="C1696">
        <v>3.15</v>
      </c>
      <c r="E1696" s="1">
        <v>45666</v>
      </c>
      <c r="F1696" s="1" t="s">
        <v>160</v>
      </c>
      <c r="G1696" s="9">
        <v>4.3499999999999996</v>
      </c>
      <c r="I1696" s="1">
        <v>46044</v>
      </c>
      <c r="J1696" s="1" t="s">
        <v>107</v>
      </c>
      <c r="K1696" s="3">
        <v>14990270945962</v>
      </c>
    </row>
    <row r="1697" spans="1:11">
      <c r="A1697" s="1">
        <v>46041</v>
      </c>
      <c r="B1697" t="s">
        <v>1977</v>
      </c>
      <c r="C1697">
        <v>3.3959999999999999</v>
      </c>
      <c r="E1697" s="1">
        <v>45666</v>
      </c>
      <c r="F1697" s="1" t="s">
        <v>161</v>
      </c>
      <c r="G1697" s="9">
        <v>4.53</v>
      </c>
      <c r="I1697" s="1">
        <v>46043</v>
      </c>
      <c r="J1697" s="1" t="s">
        <v>107</v>
      </c>
      <c r="K1697" s="3">
        <v>16330737819927</v>
      </c>
    </row>
    <row r="1698" spans="1:11">
      <c r="A1698" s="1">
        <v>46041</v>
      </c>
      <c r="B1698" t="s">
        <v>1978</v>
      </c>
      <c r="C1698">
        <v>3.6429999999999998</v>
      </c>
      <c r="E1698" s="1">
        <v>45666</v>
      </c>
      <c r="F1698" s="1" t="s">
        <v>162</v>
      </c>
      <c r="G1698" s="9">
        <v>4.63</v>
      </c>
      <c r="I1698" s="1">
        <v>46043</v>
      </c>
      <c r="J1698" s="1" t="s">
        <v>282</v>
      </c>
      <c r="K1698" s="3">
        <v>1000</v>
      </c>
    </row>
    <row r="1699" spans="1:11">
      <c r="A1699" s="1">
        <v>46041</v>
      </c>
      <c r="B1699" t="s">
        <v>1979</v>
      </c>
      <c r="C1699">
        <v>3.75</v>
      </c>
      <c r="E1699" s="1">
        <v>45666</v>
      </c>
      <c r="F1699" s="1" t="s">
        <v>163</v>
      </c>
      <c r="G1699" s="9">
        <v>5.0999999999999996</v>
      </c>
      <c r="I1699" s="1">
        <v>46043</v>
      </c>
      <c r="J1699" s="1" t="s">
        <v>283</v>
      </c>
      <c r="K1699" s="3">
        <v>7</v>
      </c>
    </row>
    <row r="1700" spans="1:11">
      <c r="A1700" s="1">
        <v>46041</v>
      </c>
      <c r="B1700" t="s">
        <v>1980</v>
      </c>
      <c r="C1700">
        <v>4.1399999999999997</v>
      </c>
      <c r="E1700" s="1">
        <v>45665</v>
      </c>
      <c r="F1700" s="1" t="s">
        <v>160</v>
      </c>
      <c r="G1700" s="9">
        <v>3.99</v>
      </c>
      <c r="I1700" s="1">
        <v>46043</v>
      </c>
      <c r="J1700" s="1" t="s">
        <v>284</v>
      </c>
      <c r="K1700" s="3">
        <v>1819.8</v>
      </c>
    </row>
    <row r="1701" spans="1:11">
      <c r="A1701" s="1">
        <v>46041</v>
      </c>
      <c r="B1701" t="s">
        <v>1981</v>
      </c>
      <c r="C1701">
        <v>4.2450000000000001</v>
      </c>
      <c r="E1701" s="1">
        <v>45665</v>
      </c>
      <c r="F1701" s="1" t="s">
        <v>161</v>
      </c>
      <c r="G1701" s="9">
        <v>4.3</v>
      </c>
      <c r="I1701" s="1">
        <v>46043</v>
      </c>
      <c r="J1701" s="1" t="s">
        <v>285</v>
      </c>
      <c r="K1701" s="3">
        <v>4.5</v>
      </c>
    </row>
    <row r="1702" spans="1:11">
      <c r="A1702" s="1">
        <v>46041</v>
      </c>
      <c r="B1702" t="s">
        <v>1982</v>
      </c>
      <c r="C1702">
        <v>4.3040000000000003</v>
      </c>
      <c r="E1702" s="1">
        <v>45665</v>
      </c>
      <c r="F1702" s="1" t="s">
        <v>162</v>
      </c>
      <c r="G1702" s="9">
        <v>4.5</v>
      </c>
      <c r="I1702" s="1">
        <v>46043</v>
      </c>
      <c r="J1702" s="1" t="s">
        <v>286</v>
      </c>
      <c r="K1702" s="3">
        <v>19193</v>
      </c>
    </row>
    <row r="1703" spans="1:11">
      <c r="A1703" s="1">
        <v>46041</v>
      </c>
      <c r="B1703" t="s">
        <v>1983</v>
      </c>
      <c r="C1703">
        <v>4.3499999999999996</v>
      </c>
      <c r="E1703" s="1">
        <v>45665</v>
      </c>
      <c r="F1703" s="1" t="s">
        <v>163</v>
      </c>
      <c r="G1703" s="9">
        <v>5.07</v>
      </c>
      <c r="I1703" s="1">
        <v>46043</v>
      </c>
      <c r="J1703" s="1" t="s">
        <v>287</v>
      </c>
      <c r="K1703" s="3">
        <v>271613.43</v>
      </c>
    </row>
    <row r="1704" spans="1:11">
      <c r="A1704" s="1">
        <v>46038</v>
      </c>
      <c r="B1704" t="s">
        <v>1974</v>
      </c>
      <c r="C1704">
        <v>3</v>
      </c>
      <c r="E1704" s="1">
        <v>45664</v>
      </c>
      <c r="F1704" s="1" t="s">
        <v>160</v>
      </c>
      <c r="G1704" s="9">
        <v>3.86</v>
      </c>
      <c r="I1704" s="1">
        <v>46043</v>
      </c>
      <c r="J1704" s="1" t="s">
        <v>288</v>
      </c>
      <c r="K1704" s="3">
        <v>-29102.35</v>
      </c>
    </row>
    <row r="1705" spans="1:11">
      <c r="A1705" s="1">
        <v>46038</v>
      </c>
      <c r="B1705" t="s">
        <v>1975</v>
      </c>
      <c r="C1705">
        <v>3.1040000000000001</v>
      </c>
      <c r="E1705" s="1">
        <v>45664</v>
      </c>
      <c r="F1705" s="1" t="s">
        <v>161</v>
      </c>
      <c r="G1705" s="9">
        <v>4.26</v>
      </c>
      <c r="I1705" s="1">
        <v>46043</v>
      </c>
      <c r="J1705" s="1" t="s">
        <v>289</v>
      </c>
      <c r="K1705" s="3">
        <v>8</v>
      </c>
    </row>
    <row r="1706" spans="1:11">
      <c r="A1706" s="1">
        <v>46038</v>
      </c>
      <c r="B1706" t="s">
        <v>1976</v>
      </c>
      <c r="C1706">
        <v>3.15</v>
      </c>
      <c r="E1706" s="1">
        <v>45664</v>
      </c>
      <c r="F1706" s="1" t="s">
        <v>162</v>
      </c>
      <c r="G1706" s="9">
        <v>4.4400000000000004</v>
      </c>
      <c r="I1706" s="1">
        <v>46043</v>
      </c>
      <c r="J1706" s="1" t="s">
        <v>290</v>
      </c>
      <c r="K1706" s="3">
        <v>8</v>
      </c>
    </row>
    <row r="1707" spans="1:11">
      <c r="A1707" s="1">
        <v>46038</v>
      </c>
      <c r="B1707" t="s">
        <v>1977</v>
      </c>
      <c r="C1707">
        <v>3.375</v>
      </c>
      <c r="E1707" s="1">
        <v>45664</v>
      </c>
      <c r="F1707" s="1" t="s">
        <v>163</v>
      </c>
      <c r="G1707" s="9">
        <v>5.0599999999999996</v>
      </c>
      <c r="I1707" s="1">
        <v>46042</v>
      </c>
      <c r="J1707" s="1" t="s">
        <v>288</v>
      </c>
      <c r="K1707" s="3">
        <v>-43835.55</v>
      </c>
    </row>
    <row r="1708" spans="1:11">
      <c r="A1708" s="1">
        <v>46038</v>
      </c>
      <c r="B1708" t="s">
        <v>1978</v>
      </c>
      <c r="C1708">
        <v>3.6</v>
      </c>
      <c r="E1708" s="1">
        <v>45663</v>
      </c>
      <c r="F1708" s="1" t="s">
        <v>160</v>
      </c>
      <c r="G1708" s="9">
        <v>3.91</v>
      </c>
      <c r="I1708" s="1">
        <v>46042</v>
      </c>
      <c r="J1708" s="1" t="s">
        <v>289</v>
      </c>
      <c r="K1708" s="3">
        <v>8</v>
      </c>
    </row>
    <row r="1709" spans="1:11">
      <c r="A1709" s="1">
        <v>46038</v>
      </c>
      <c r="B1709" t="s">
        <v>1979</v>
      </c>
      <c r="C1709">
        <v>3.6749999999999998</v>
      </c>
      <c r="E1709" s="1">
        <v>45663</v>
      </c>
      <c r="F1709" s="1" t="s">
        <v>161</v>
      </c>
      <c r="G1709" s="9">
        <v>4.33</v>
      </c>
      <c r="I1709" s="1">
        <v>46042</v>
      </c>
      <c r="J1709" s="1" t="s">
        <v>290</v>
      </c>
      <c r="K1709" s="3">
        <v>8</v>
      </c>
    </row>
    <row r="1710" spans="1:11">
      <c r="A1710" s="1">
        <v>46038</v>
      </c>
      <c r="B1710" t="s">
        <v>1980</v>
      </c>
      <c r="C1710">
        <v>4.1399999999999997</v>
      </c>
      <c r="E1710" s="1">
        <v>45663</v>
      </c>
      <c r="F1710" s="1" t="s">
        <v>162</v>
      </c>
      <c r="G1710" s="9">
        <v>4.49</v>
      </c>
      <c r="I1710" s="1">
        <v>46042</v>
      </c>
      <c r="J1710" s="1" t="s">
        <v>107</v>
      </c>
      <c r="K1710" s="3">
        <v>17862316936319</v>
      </c>
    </row>
    <row r="1711" spans="1:11">
      <c r="A1711" s="1">
        <v>46038</v>
      </c>
      <c r="B1711" t="s">
        <v>1981</v>
      </c>
      <c r="C1711">
        <v>4.2450000000000001</v>
      </c>
      <c r="E1711" s="1">
        <v>45663</v>
      </c>
      <c r="F1711" s="1" t="s">
        <v>163</v>
      </c>
      <c r="G1711" s="9">
        <v>5.09</v>
      </c>
      <c r="I1711" s="1">
        <v>46042</v>
      </c>
      <c r="J1711" s="1" t="s">
        <v>282</v>
      </c>
      <c r="K1711" s="3">
        <v>1000</v>
      </c>
    </row>
    <row r="1712" spans="1:11">
      <c r="A1712" s="1">
        <v>46038</v>
      </c>
      <c r="B1712" t="s">
        <v>1982</v>
      </c>
      <c r="C1712">
        <v>4.3040000000000003</v>
      </c>
      <c r="E1712" s="1">
        <v>45660</v>
      </c>
      <c r="F1712" s="1" t="s">
        <v>160</v>
      </c>
      <c r="G1712" s="9">
        <v>4</v>
      </c>
      <c r="I1712" s="1">
        <v>46042</v>
      </c>
      <c r="J1712" s="1" t="s">
        <v>283</v>
      </c>
      <c r="K1712" s="3">
        <v>7</v>
      </c>
    </row>
    <row r="1713" spans="1:11">
      <c r="A1713" s="1">
        <v>46038</v>
      </c>
      <c r="B1713" t="s">
        <v>1983</v>
      </c>
      <c r="C1713">
        <v>4.3499999999999996</v>
      </c>
      <c r="E1713" s="1">
        <v>45660</v>
      </c>
      <c r="F1713" s="1" t="s">
        <v>161</v>
      </c>
      <c r="G1713" s="9">
        <v>4.3499999999999996</v>
      </c>
      <c r="I1713" s="1">
        <v>46042</v>
      </c>
      <c r="J1713" s="1" t="s">
        <v>284</v>
      </c>
      <c r="K1713" s="3">
        <v>1770.99</v>
      </c>
    </row>
    <row r="1714" spans="1:11">
      <c r="A1714" s="1">
        <v>46037</v>
      </c>
      <c r="B1714" t="s">
        <v>1974</v>
      </c>
      <c r="C1714">
        <v>2.996</v>
      </c>
      <c r="E1714" s="1">
        <v>45660</v>
      </c>
      <c r="F1714" s="1" t="s">
        <v>162</v>
      </c>
      <c r="G1714" s="9">
        <v>4.4800000000000004</v>
      </c>
      <c r="I1714" s="1">
        <v>46042</v>
      </c>
      <c r="J1714" s="1" t="s">
        <v>285</v>
      </c>
      <c r="K1714" s="3">
        <v>4.5</v>
      </c>
    </row>
    <row r="1715" spans="1:11">
      <c r="A1715" s="1">
        <v>46037</v>
      </c>
      <c r="B1715" t="s">
        <v>1975</v>
      </c>
      <c r="C1715">
        <v>3.129</v>
      </c>
      <c r="E1715" s="1">
        <v>45660</v>
      </c>
      <c r="F1715" s="1" t="s">
        <v>163</v>
      </c>
      <c r="G1715" s="9">
        <v>5.15</v>
      </c>
      <c r="I1715" s="1">
        <v>46042</v>
      </c>
      <c r="J1715" s="1" t="s">
        <v>286</v>
      </c>
      <c r="K1715" s="3">
        <v>10313.64</v>
      </c>
    </row>
    <row r="1716" spans="1:11">
      <c r="A1716" s="1">
        <v>46037</v>
      </c>
      <c r="B1716" t="s">
        <v>1976</v>
      </c>
      <c r="C1716">
        <v>3.1709999999999998</v>
      </c>
      <c r="E1716" s="1">
        <v>45659</v>
      </c>
      <c r="F1716" s="1" t="s">
        <v>160</v>
      </c>
      <c r="G1716" s="9">
        <v>4.08</v>
      </c>
      <c r="I1716" s="1">
        <v>46042</v>
      </c>
      <c r="J1716" s="1" t="s">
        <v>287</v>
      </c>
      <c r="K1716" s="3">
        <v>288986.63</v>
      </c>
    </row>
    <row r="1717" spans="1:11">
      <c r="A1717" s="1">
        <v>46037</v>
      </c>
      <c r="B1717" t="s">
        <v>1977</v>
      </c>
      <c r="C1717">
        <v>3.387</v>
      </c>
      <c r="E1717" s="1">
        <v>45659</v>
      </c>
      <c r="F1717" s="1" t="s">
        <v>161</v>
      </c>
      <c r="G1717" s="9">
        <v>4.42</v>
      </c>
      <c r="I1717" s="1">
        <v>46041</v>
      </c>
      <c r="J1717" s="1" t="s">
        <v>107</v>
      </c>
      <c r="K1717" s="3">
        <v>18673317376544</v>
      </c>
    </row>
    <row r="1718" spans="1:11">
      <c r="A1718" s="1">
        <v>46037</v>
      </c>
      <c r="B1718" t="s">
        <v>1978</v>
      </c>
      <c r="C1718">
        <v>3.6040000000000001</v>
      </c>
      <c r="E1718" s="1">
        <v>45659</v>
      </c>
      <c r="F1718" s="1" t="s">
        <v>162</v>
      </c>
      <c r="G1718" s="9">
        <v>4.5599999999999996</v>
      </c>
      <c r="I1718" s="1">
        <v>46041</v>
      </c>
      <c r="J1718" s="1" t="s">
        <v>282</v>
      </c>
      <c r="K1718" s="3">
        <v>1000</v>
      </c>
    </row>
    <row r="1719" spans="1:11">
      <c r="A1719" s="1">
        <v>46037</v>
      </c>
      <c r="B1719" t="s">
        <v>1979</v>
      </c>
      <c r="C1719">
        <v>3.6669999999999998</v>
      </c>
      <c r="E1719" s="1">
        <v>45659</v>
      </c>
      <c r="F1719" s="1" t="s">
        <v>163</v>
      </c>
      <c r="G1719" s="9">
        <v>5.22</v>
      </c>
      <c r="I1719" s="1">
        <v>46041</v>
      </c>
      <c r="J1719" s="1" t="s">
        <v>283</v>
      </c>
      <c r="K1719" s="3">
        <v>7</v>
      </c>
    </row>
    <row r="1720" spans="1:11">
      <c r="A1720" s="1">
        <v>46037</v>
      </c>
      <c r="B1720" t="s">
        <v>1980</v>
      </c>
      <c r="C1720">
        <v>4.141</v>
      </c>
      <c r="E1720" s="1">
        <v>45657</v>
      </c>
      <c r="F1720" s="1" t="s">
        <v>160</v>
      </c>
      <c r="G1720" s="9">
        <v>3.97</v>
      </c>
      <c r="I1720" s="1">
        <v>46041</v>
      </c>
      <c r="J1720" s="1" t="s">
        <v>284</v>
      </c>
      <c r="K1720" s="3">
        <v>2000</v>
      </c>
    </row>
    <row r="1721" spans="1:11">
      <c r="A1721" s="1">
        <v>46037</v>
      </c>
      <c r="B1721" t="s">
        <v>1981</v>
      </c>
      <c r="C1721">
        <v>4.2450000000000001</v>
      </c>
      <c r="E1721" s="1">
        <v>45657</v>
      </c>
      <c r="F1721" s="1" t="s">
        <v>161</v>
      </c>
      <c r="G1721" s="9">
        <v>4.97</v>
      </c>
      <c r="I1721" s="1">
        <v>46041</v>
      </c>
      <c r="J1721" s="1" t="s">
        <v>285</v>
      </c>
      <c r="K1721" s="3">
        <v>4.5</v>
      </c>
    </row>
    <row r="1722" spans="1:11">
      <c r="A1722" s="1">
        <v>46037</v>
      </c>
      <c r="B1722" t="s">
        <v>1982</v>
      </c>
      <c r="C1722">
        <v>4.3040000000000003</v>
      </c>
      <c r="E1722" s="1">
        <v>45657</v>
      </c>
      <c r="F1722" s="1" t="s">
        <v>162</v>
      </c>
      <c r="G1722" s="9">
        <v>5.18</v>
      </c>
      <c r="I1722" s="1">
        <v>46041</v>
      </c>
      <c r="J1722" s="1" t="s">
        <v>286</v>
      </c>
      <c r="K1722" s="3">
        <v>19719.23</v>
      </c>
    </row>
    <row r="1723" spans="1:11">
      <c r="A1723" s="1">
        <v>46037</v>
      </c>
      <c r="B1723" t="s">
        <v>1983</v>
      </c>
      <c r="C1723">
        <v>4.3499999999999996</v>
      </c>
      <c r="E1723" s="1">
        <v>45657</v>
      </c>
      <c r="F1723" s="1" t="s">
        <v>163</v>
      </c>
      <c r="G1723" s="9">
        <v>5.3</v>
      </c>
      <c r="I1723" s="1">
        <v>46041</v>
      </c>
      <c r="J1723" s="1" t="s">
        <v>287</v>
      </c>
      <c r="K1723" s="3">
        <v>297529.28000000003</v>
      </c>
    </row>
    <row r="1724" spans="1:11">
      <c r="A1724" s="1">
        <v>46036</v>
      </c>
      <c r="B1724" t="s">
        <v>1974</v>
      </c>
      <c r="C1724">
        <v>3.0230000000000001</v>
      </c>
      <c r="I1724" s="1">
        <v>46041</v>
      </c>
      <c r="J1724" s="1" t="s">
        <v>288</v>
      </c>
      <c r="K1724" s="3">
        <v>-45926.64</v>
      </c>
    </row>
    <row r="1725" spans="1:11">
      <c r="A1725" s="1">
        <v>46036</v>
      </c>
      <c r="B1725" t="s">
        <v>1975</v>
      </c>
      <c r="C1725">
        <v>3.0960000000000001</v>
      </c>
      <c r="I1725" s="1">
        <v>46041</v>
      </c>
      <c r="J1725" s="1" t="s">
        <v>289</v>
      </c>
      <c r="K1725" s="3">
        <v>9</v>
      </c>
    </row>
    <row r="1726" spans="1:11">
      <c r="A1726" s="1">
        <v>46036</v>
      </c>
      <c r="B1726" t="s">
        <v>1976</v>
      </c>
      <c r="C1726">
        <v>3.1419999999999999</v>
      </c>
      <c r="I1726" s="1">
        <v>46041</v>
      </c>
      <c r="J1726" s="1" t="s">
        <v>290</v>
      </c>
      <c r="K1726" s="3">
        <v>9</v>
      </c>
    </row>
    <row r="1727" spans="1:11">
      <c r="A1727" s="1">
        <v>46036</v>
      </c>
      <c r="B1727" t="s">
        <v>1977</v>
      </c>
      <c r="C1727">
        <v>3.3740000000000001</v>
      </c>
      <c r="I1727" s="1">
        <v>46040</v>
      </c>
      <c r="J1727" s="1" t="s">
        <v>107</v>
      </c>
      <c r="K1727" s="3">
        <v>20490001316202</v>
      </c>
    </row>
    <row r="1728" spans="1:11">
      <c r="A1728" s="1">
        <v>46036</v>
      </c>
      <c r="B1728" t="s">
        <v>1978</v>
      </c>
      <c r="C1728">
        <v>3.6070000000000002</v>
      </c>
      <c r="I1728" s="1">
        <v>46038</v>
      </c>
      <c r="J1728" s="1" t="s">
        <v>282</v>
      </c>
      <c r="K1728" s="3">
        <v>1000</v>
      </c>
    </row>
    <row r="1729" spans="1:11">
      <c r="A1729" s="1">
        <v>46036</v>
      </c>
      <c r="B1729" t="s">
        <v>1979</v>
      </c>
      <c r="C1729">
        <v>3.65</v>
      </c>
      <c r="I1729" s="1">
        <v>46038</v>
      </c>
      <c r="J1729" s="1" t="s">
        <v>283</v>
      </c>
      <c r="K1729" s="3">
        <v>7</v>
      </c>
    </row>
    <row r="1730" spans="1:11">
      <c r="A1730" s="1">
        <v>46036</v>
      </c>
      <c r="B1730" t="s">
        <v>1980</v>
      </c>
      <c r="C1730">
        <v>4.1399999999999997</v>
      </c>
      <c r="I1730" s="1">
        <v>46038</v>
      </c>
      <c r="J1730" s="1" t="s">
        <v>284</v>
      </c>
      <c r="K1730" s="3">
        <v>2000</v>
      </c>
    </row>
    <row r="1731" spans="1:11">
      <c r="A1731" s="1">
        <v>46036</v>
      </c>
      <c r="B1731" t="s">
        <v>1981</v>
      </c>
      <c r="C1731">
        <v>4.2450000000000001</v>
      </c>
      <c r="I1731" s="1">
        <v>46038</v>
      </c>
      <c r="J1731" s="1" t="s">
        <v>285</v>
      </c>
      <c r="K1731" s="3">
        <v>4.5</v>
      </c>
    </row>
    <row r="1732" spans="1:11">
      <c r="A1732" s="1">
        <v>46036</v>
      </c>
      <c r="B1732" t="s">
        <v>1982</v>
      </c>
      <c r="C1732">
        <v>4.2919999999999998</v>
      </c>
      <c r="I1732" s="1">
        <v>46038</v>
      </c>
      <c r="J1732" s="1" t="s">
        <v>286</v>
      </c>
      <c r="K1732" s="3">
        <v>8750</v>
      </c>
    </row>
    <row r="1733" spans="1:11">
      <c r="A1733" s="1">
        <v>46036</v>
      </c>
      <c r="B1733" t="s">
        <v>1983</v>
      </c>
      <c r="C1733">
        <v>4.3380000000000001</v>
      </c>
      <c r="I1733" s="1">
        <v>46038</v>
      </c>
      <c r="J1733" s="1" t="s">
        <v>287</v>
      </c>
      <c r="K1733" s="3">
        <v>315248.51</v>
      </c>
    </row>
    <row r="1734" spans="1:11">
      <c r="A1734" s="1">
        <v>46035</v>
      </c>
      <c r="B1734" t="s">
        <v>1974</v>
      </c>
      <c r="C1734">
        <v>2.9980000000000002</v>
      </c>
      <c r="I1734" s="1">
        <v>46038</v>
      </c>
      <c r="J1734" s="1" t="s">
        <v>288</v>
      </c>
      <c r="K1734" s="3">
        <v>-58116.87</v>
      </c>
    </row>
    <row r="1735" spans="1:11">
      <c r="A1735" s="1">
        <v>46035</v>
      </c>
      <c r="B1735" t="s">
        <v>1975</v>
      </c>
      <c r="C1735">
        <v>3.077</v>
      </c>
      <c r="I1735" s="1">
        <v>46038</v>
      </c>
      <c r="J1735" s="1" t="s">
        <v>289</v>
      </c>
      <c r="K1735" s="3">
        <v>7</v>
      </c>
    </row>
    <row r="1736" spans="1:11">
      <c r="A1736" s="1">
        <v>46035</v>
      </c>
      <c r="B1736" t="s">
        <v>1976</v>
      </c>
      <c r="C1736">
        <v>3.1230000000000002</v>
      </c>
      <c r="I1736" s="1">
        <v>46038</v>
      </c>
      <c r="J1736" s="1" t="s">
        <v>290</v>
      </c>
      <c r="K1736" s="3">
        <v>7</v>
      </c>
    </row>
    <row r="1737" spans="1:11">
      <c r="A1737" s="1">
        <v>46035</v>
      </c>
      <c r="B1737" t="s">
        <v>1977</v>
      </c>
      <c r="C1737">
        <v>3.335</v>
      </c>
      <c r="I1737" s="1">
        <v>46037</v>
      </c>
      <c r="J1737" s="1" t="s">
        <v>288</v>
      </c>
      <c r="K1737" s="3">
        <v>-60866.87</v>
      </c>
    </row>
    <row r="1738" spans="1:11">
      <c r="A1738" s="1">
        <v>46035</v>
      </c>
      <c r="B1738" t="s">
        <v>1978</v>
      </c>
      <c r="C1738">
        <v>3.5470000000000002</v>
      </c>
      <c r="I1738" s="1">
        <v>46037</v>
      </c>
      <c r="J1738" s="1" t="s">
        <v>289</v>
      </c>
      <c r="K1738" s="3">
        <v>11</v>
      </c>
    </row>
    <row r="1739" spans="1:11">
      <c r="A1739" s="1">
        <v>46035</v>
      </c>
      <c r="B1739" t="s">
        <v>1979</v>
      </c>
      <c r="C1739">
        <v>3.6280000000000001</v>
      </c>
      <c r="I1739" s="1">
        <v>46037</v>
      </c>
      <c r="J1739" s="1" t="s">
        <v>290</v>
      </c>
      <c r="K1739" s="3">
        <v>11</v>
      </c>
    </row>
    <row r="1740" spans="1:11">
      <c r="A1740" s="1">
        <v>46035</v>
      </c>
      <c r="B1740" t="s">
        <v>1980</v>
      </c>
      <c r="C1740">
        <v>4.1399999999999997</v>
      </c>
      <c r="I1740" s="1">
        <v>46037</v>
      </c>
      <c r="J1740" s="1" t="s">
        <v>107</v>
      </c>
      <c r="K1740" s="3">
        <v>20592652862706</v>
      </c>
    </row>
    <row r="1741" spans="1:11">
      <c r="A1741" s="1">
        <v>46035</v>
      </c>
      <c r="B1741" t="s">
        <v>1981</v>
      </c>
      <c r="C1741">
        <v>4.2320000000000002</v>
      </c>
      <c r="I1741" s="1">
        <v>46037</v>
      </c>
      <c r="J1741" s="1" t="s">
        <v>282</v>
      </c>
      <c r="K1741" s="3">
        <v>1000</v>
      </c>
    </row>
    <row r="1742" spans="1:11">
      <c r="A1742" s="1">
        <v>46035</v>
      </c>
      <c r="B1742" t="s">
        <v>1982</v>
      </c>
      <c r="C1742">
        <v>4.2880000000000003</v>
      </c>
      <c r="I1742" s="1">
        <v>46037</v>
      </c>
      <c r="J1742" s="1" t="s">
        <v>283</v>
      </c>
      <c r="K1742" s="3">
        <v>7</v>
      </c>
    </row>
    <row r="1743" spans="1:11">
      <c r="A1743" s="1">
        <v>46035</v>
      </c>
      <c r="B1743" t="s">
        <v>1983</v>
      </c>
      <c r="C1743">
        <v>4.3330000000000002</v>
      </c>
      <c r="I1743" s="1">
        <v>46037</v>
      </c>
      <c r="J1743" s="1" t="s">
        <v>284</v>
      </c>
      <c r="K1743" s="3">
        <v>4000</v>
      </c>
    </row>
    <row r="1744" spans="1:11">
      <c r="A1744" s="1">
        <v>46034</v>
      </c>
      <c r="B1744" t="s">
        <v>1974</v>
      </c>
      <c r="C1744">
        <v>3.0310000000000001</v>
      </c>
      <c r="I1744" s="1">
        <v>46037</v>
      </c>
      <c r="J1744" s="1" t="s">
        <v>285</v>
      </c>
      <c r="K1744" s="3">
        <v>4.5</v>
      </c>
    </row>
    <row r="1745" spans="1:11">
      <c r="A1745" s="1">
        <v>46034</v>
      </c>
      <c r="B1745" t="s">
        <v>1975</v>
      </c>
      <c r="C1745">
        <v>3.085</v>
      </c>
      <c r="I1745" s="1">
        <v>46037</v>
      </c>
      <c r="J1745" s="1" t="s">
        <v>286</v>
      </c>
      <c r="K1745" s="3">
        <v>8000</v>
      </c>
    </row>
    <row r="1746" spans="1:11">
      <c r="A1746" s="1">
        <v>46034</v>
      </c>
      <c r="B1746" t="s">
        <v>1976</v>
      </c>
      <c r="C1746">
        <v>3.1230000000000002</v>
      </c>
      <c r="I1746" s="1">
        <v>46037</v>
      </c>
      <c r="J1746" s="1" t="s">
        <v>287</v>
      </c>
      <c r="K1746" s="3">
        <v>321998.51</v>
      </c>
    </row>
    <row r="1747" spans="1:11">
      <c r="A1747" s="1">
        <v>46034</v>
      </c>
      <c r="B1747" t="s">
        <v>1977</v>
      </c>
      <c r="C1747">
        <v>3.331</v>
      </c>
      <c r="I1747" s="1">
        <v>46036</v>
      </c>
      <c r="J1747" s="1" t="s">
        <v>107</v>
      </c>
      <c r="K1747" s="3">
        <v>19893948368715</v>
      </c>
    </row>
    <row r="1748" spans="1:11">
      <c r="A1748" s="1">
        <v>46034</v>
      </c>
      <c r="B1748" t="s">
        <v>1978</v>
      </c>
      <c r="C1748">
        <v>3.5390000000000001</v>
      </c>
      <c r="I1748" s="1">
        <v>46036</v>
      </c>
      <c r="J1748" s="1" t="s">
        <v>282</v>
      </c>
      <c r="K1748" s="3">
        <v>1000</v>
      </c>
    </row>
    <row r="1749" spans="1:11">
      <c r="A1749" s="1">
        <v>46034</v>
      </c>
      <c r="B1749" t="s">
        <v>1979</v>
      </c>
      <c r="C1749">
        <v>3.6280000000000001</v>
      </c>
      <c r="I1749" s="1">
        <v>46036</v>
      </c>
      <c r="J1749" s="1" t="s">
        <v>283</v>
      </c>
      <c r="K1749" s="3">
        <v>7</v>
      </c>
    </row>
    <row r="1750" spans="1:11">
      <c r="A1750" s="1">
        <v>46034</v>
      </c>
      <c r="B1750" t="s">
        <v>1980</v>
      </c>
      <c r="C1750">
        <v>4.1509999999999998</v>
      </c>
      <c r="I1750" s="1">
        <v>46036</v>
      </c>
      <c r="J1750" s="1" t="s">
        <v>284</v>
      </c>
      <c r="K1750" s="3">
        <v>4000</v>
      </c>
    </row>
    <row r="1751" spans="1:11">
      <c r="A1751" s="1">
        <v>46034</v>
      </c>
      <c r="B1751" t="s">
        <v>1981</v>
      </c>
      <c r="C1751">
        <v>4.2430000000000003</v>
      </c>
      <c r="I1751" s="1">
        <v>46036</v>
      </c>
      <c r="J1751" s="1" t="s">
        <v>285</v>
      </c>
      <c r="K1751" s="3">
        <v>4.5</v>
      </c>
    </row>
    <row r="1752" spans="1:11">
      <c r="A1752" s="1">
        <v>46034</v>
      </c>
      <c r="B1752" t="s">
        <v>1982</v>
      </c>
      <c r="C1752">
        <v>4.2670000000000003</v>
      </c>
      <c r="I1752" s="1">
        <v>46036</v>
      </c>
      <c r="J1752" s="1" t="s">
        <v>286</v>
      </c>
      <c r="K1752" s="3">
        <v>2610</v>
      </c>
    </row>
    <row r="1753" spans="1:11">
      <c r="A1753" s="1">
        <v>46034</v>
      </c>
      <c r="B1753" t="s">
        <v>1983</v>
      </c>
      <c r="C1753">
        <v>4.3129999999999997</v>
      </c>
      <c r="I1753" s="1">
        <v>46036</v>
      </c>
      <c r="J1753" s="1" t="s">
        <v>287</v>
      </c>
      <c r="K1753" s="3">
        <v>325589.87</v>
      </c>
    </row>
    <row r="1754" spans="1:11">
      <c r="A1754" s="1">
        <v>46031</v>
      </c>
      <c r="B1754" t="s">
        <v>1974</v>
      </c>
      <c r="C1754">
        <v>3.048</v>
      </c>
      <c r="I1754" s="1">
        <v>46036</v>
      </c>
      <c r="J1754" s="1" t="s">
        <v>288</v>
      </c>
      <c r="K1754" s="3">
        <v>-65567.23</v>
      </c>
    </row>
    <row r="1755" spans="1:11">
      <c r="A1755" s="1">
        <v>46031</v>
      </c>
      <c r="B1755" t="s">
        <v>1975</v>
      </c>
      <c r="C1755">
        <v>3.11</v>
      </c>
      <c r="I1755" s="1">
        <v>46036</v>
      </c>
      <c r="J1755" s="1" t="s">
        <v>289</v>
      </c>
      <c r="K1755" s="3">
        <v>9</v>
      </c>
    </row>
    <row r="1756" spans="1:11">
      <c r="A1756" s="1">
        <v>46031</v>
      </c>
      <c r="B1756" t="s">
        <v>1976</v>
      </c>
      <c r="C1756">
        <v>3.1480000000000001</v>
      </c>
      <c r="I1756" s="1">
        <v>46036</v>
      </c>
      <c r="J1756" s="1" t="s">
        <v>290</v>
      </c>
      <c r="K1756" s="3">
        <v>9</v>
      </c>
    </row>
    <row r="1757" spans="1:11">
      <c r="A1757" s="1">
        <v>46031</v>
      </c>
      <c r="B1757" t="s">
        <v>1977</v>
      </c>
      <c r="C1757">
        <v>3.3420000000000001</v>
      </c>
      <c r="I1757" s="1">
        <v>46035</v>
      </c>
      <c r="J1757" s="1" t="s">
        <v>282</v>
      </c>
      <c r="K1757" s="3">
        <v>1000</v>
      </c>
    </row>
    <row r="1758" spans="1:11">
      <c r="A1758" s="1">
        <v>46031</v>
      </c>
      <c r="B1758" t="s">
        <v>1978</v>
      </c>
      <c r="C1758">
        <v>3.536</v>
      </c>
      <c r="I1758" s="1">
        <v>46035</v>
      </c>
      <c r="J1758" s="1" t="s">
        <v>283</v>
      </c>
      <c r="K1758" s="3">
        <v>7</v>
      </c>
    </row>
    <row r="1759" spans="1:11">
      <c r="A1759" s="1">
        <v>46031</v>
      </c>
      <c r="B1759" t="s">
        <v>1979</v>
      </c>
      <c r="C1759">
        <v>3.6219999999999999</v>
      </c>
      <c r="I1759" s="1">
        <v>46035</v>
      </c>
      <c r="J1759" s="1" t="s">
        <v>284</v>
      </c>
      <c r="K1759" s="3">
        <v>2698</v>
      </c>
    </row>
    <row r="1760" spans="1:11">
      <c r="A1760" s="1">
        <v>46031</v>
      </c>
      <c r="B1760" t="s">
        <v>1980</v>
      </c>
      <c r="C1760">
        <v>4.1520000000000001</v>
      </c>
      <c r="I1760" s="1">
        <v>46035</v>
      </c>
      <c r="J1760" s="1" t="s">
        <v>285</v>
      </c>
      <c r="K1760" s="3">
        <v>4.5</v>
      </c>
    </row>
    <row r="1761" spans="1:11">
      <c r="A1761" s="1">
        <v>46031</v>
      </c>
      <c r="B1761" t="s">
        <v>1981</v>
      </c>
      <c r="C1761">
        <v>4.2350000000000003</v>
      </c>
      <c r="I1761" s="1">
        <v>46035</v>
      </c>
      <c r="J1761" s="1" t="s">
        <v>286</v>
      </c>
      <c r="K1761" s="3">
        <v>7201.8</v>
      </c>
    </row>
    <row r="1762" spans="1:11">
      <c r="A1762" s="1">
        <v>46031</v>
      </c>
      <c r="B1762" t="s">
        <v>1982</v>
      </c>
      <c r="C1762">
        <v>4.2629999999999999</v>
      </c>
      <c r="I1762" s="1">
        <v>46035</v>
      </c>
      <c r="J1762" s="1" t="s">
        <v>287</v>
      </c>
      <c r="K1762" s="3">
        <v>324199.87</v>
      </c>
    </row>
    <row r="1763" spans="1:11">
      <c r="A1763" s="1">
        <v>46031</v>
      </c>
      <c r="B1763" t="s">
        <v>1983</v>
      </c>
      <c r="C1763">
        <v>4.3079999999999998</v>
      </c>
      <c r="I1763" s="1">
        <v>46035</v>
      </c>
      <c r="J1763" s="1" t="s">
        <v>288</v>
      </c>
      <c r="K1763" s="3">
        <v>-48984.23</v>
      </c>
    </row>
    <row r="1764" spans="1:11">
      <c r="A1764" s="1">
        <v>46030</v>
      </c>
      <c r="B1764" t="s">
        <v>1974</v>
      </c>
      <c r="C1764">
        <v>2.992</v>
      </c>
      <c r="I1764" s="1">
        <v>46035</v>
      </c>
      <c r="J1764" s="1" t="s">
        <v>289</v>
      </c>
      <c r="K1764" s="3">
        <v>5</v>
      </c>
    </row>
    <row r="1765" spans="1:11">
      <c r="A1765" s="1">
        <v>46030</v>
      </c>
      <c r="B1765" t="s">
        <v>1975</v>
      </c>
      <c r="C1765">
        <v>3.0539999999999998</v>
      </c>
      <c r="I1765" s="1">
        <v>46035</v>
      </c>
      <c r="J1765" s="1" t="s">
        <v>290</v>
      </c>
      <c r="K1765" s="3">
        <v>5</v>
      </c>
    </row>
    <row r="1766" spans="1:11">
      <c r="A1766" s="1">
        <v>46030</v>
      </c>
      <c r="B1766" t="s">
        <v>1976</v>
      </c>
      <c r="C1766">
        <v>3.113</v>
      </c>
      <c r="I1766" s="1">
        <v>46035</v>
      </c>
      <c r="J1766" s="1" t="s">
        <v>107</v>
      </c>
      <c r="K1766" s="3">
        <v>19893948368715</v>
      </c>
    </row>
    <row r="1767" spans="1:11">
      <c r="A1767" s="1">
        <v>46030</v>
      </c>
      <c r="B1767" t="s">
        <v>1977</v>
      </c>
      <c r="C1767">
        <v>3.29</v>
      </c>
      <c r="I1767" s="1">
        <v>46034</v>
      </c>
      <c r="J1767" s="1" t="s">
        <v>282</v>
      </c>
      <c r="K1767" s="3">
        <v>1000</v>
      </c>
    </row>
    <row r="1768" spans="1:11">
      <c r="A1768" s="1">
        <v>46030</v>
      </c>
      <c r="B1768" t="s">
        <v>1978</v>
      </c>
      <c r="C1768">
        <v>3.468</v>
      </c>
      <c r="I1768" s="1">
        <v>46034</v>
      </c>
      <c r="J1768" s="1" t="s">
        <v>283</v>
      </c>
      <c r="K1768" s="3">
        <v>7</v>
      </c>
    </row>
    <row r="1769" spans="1:11">
      <c r="A1769" s="1">
        <v>46030</v>
      </c>
      <c r="B1769" t="s">
        <v>1979</v>
      </c>
      <c r="C1769">
        <v>3.6030000000000002</v>
      </c>
      <c r="I1769" s="1">
        <v>46034</v>
      </c>
      <c r="J1769" s="1" t="s">
        <v>284</v>
      </c>
      <c r="K1769" s="3">
        <v>3310</v>
      </c>
    </row>
    <row r="1770" spans="1:11">
      <c r="A1770" s="1">
        <v>46030</v>
      </c>
      <c r="B1770" t="s">
        <v>1980</v>
      </c>
      <c r="C1770">
        <v>4.1689999999999996</v>
      </c>
      <c r="I1770" s="1">
        <v>46034</v>
      </c>
      <c r="J1770" s="1" t="s">
        <v>285</v>
      </c>
      <c r="K1770" s="3">
        <v>4.5</v>
      </c>
    </row>
    <row r="1771" spans="1:11">
      <c r="A1771" s="1">
        <v>46030</v>
      </c>
      <c r="B1771" t="s">
        <v>1981</v>
      </c>
      <c r="C1771">
        <v>4.2249999999999996</v>
      </c>
      <c r="I1771" s="1">
        <v>46034</v>
      </c>
      <c r="J1771" s="1" t="s">
        <v>286</v>
      </c>
      <c r="K1771" s="3">
        <v>19753</v>
      </c>
    </row>
    <row r="1772" spans="1:11">
      <c r="A1772" s="1">
        <v>46030</v>
      </c>
      <c r="B1772" t="s">
        <v>1982</v>
      </c>
      <c r="C1772">
        <v>4.2210000000000001</v>
      </c>
      <c r="I1772" s="1">
        <v>46034</v>
      </c>
      <c r="J1772" s="1" t="s">
        <v>287</v>
      </c>
      <c r="K1772" s="3">
        <v>328703.67</v>
      </c>
    </row>
    <row r="1773" spans="1:11">
      <c r="A1773" s="1">
        <v>46030</v>
      </c>
      <c r="B1773" t="s">
        <v>1983</v>
      </c>
      <c r="C1773">
        <v>4.2750000000000004</v>
      </c>
      <c r="I1773" s="1">
        <v>46034</v>
      </c>
      <c r="J1773" s="1" t="s">
        <v>288</v>
      </c>
      <c r="K1773" s="3">
        <v>-46281.03</v>
      </c>
    </row>
    <row r="1774" spans="1:11">
      <c r="A1774" s="1">
        <v>46029</v>
      </c>
      <c r="B1774" t="s">
        <v>1974</v>
      </c>
      <c r="C1774">
        <v>2.9380000000000002</v>
      </c>
      <c r="I1774" s="1">
        <v>46034</v>
      </c>
      <c r="J1774" s="1" t="s">
        <v>289</v>
      </c>
      <c r="K1774" s="3">
        <v>6</v>
      </c>
    </row>
    <row r="1775" spans="1:11">
      <c r="A1775" s="1">
        <v>46029</v>
      </c>
      <c r="B1775" t="s">
        <v>1975</v>
      </c>
      <c r="C1775">
        <v>2.996</v>
      </c>
      <c r="I1775" s="1">
        <v>46034</v>
      </c>
      <c r="J1775" s="1" t="s">
        <v>290</v>
      </c>
      <c r="K1775" s="3">
        <v>6</v>
      </c>
    </row>
    <row r="1776" spans="1:11">
      <c r="A1776" s="1">
        <v>46029</v>
      </c>
      <c r="B1776" t="s">
        <v>1976</v>
      </c>
      <c r="C1776">
        <v>3.0649999999999999</v>
      </c>
      <c r="I1776" s="1">
        <v>46034</v>
      </c>
      <c r="J1776" s="1" t="s">
        <v>107</v>
      </c>
      <c r="K1776" s="3">
        <v>19521762322764</v>
      </c>
    </row>
    <row r="1777" spans="1:11">
      <c r="A1777" s="1">
        <v>46029</v>
      </c>
      <c r="B1777" t="s">
        <v>1977</v>
      </c>
      <c r="C1777">
        <v>3.1949999999999998</v>
      </c>
      <c r="I1777" s="1">
        <v>46033</v>
      </c>
      <c r="J1777" s="1" t="s">
        <v>107</v>
      </c>
      <c r="K1777" s="3">
        <v>19799431202599</v>
      </c>
    </row>
    <row r="1778" spans="1:11">
      <c r="A1778" s="1">
        <v>46029</v>
      </c>
      <c r="B1778" t="s">
        <v>1978</v>
      </c>
      <c r="C1778">
        <v>3.3260000000000001</v>
      </c>
      <c r="I1778" s="1">
        <v>46031</v>
      </c>
      <c r="J1778" s="1" t="s">
        <v>282</v>
      </c>
      <c r="K1778" s="3">
        <v>1000</v>
      </c>
    </row>
    <row r="1779" spans="1:11">
      <c r="A1779" s="1">
        <v>46029</v>
      </c>
      <c r="B1779" t="s">
        <v>1979</v>
      </c>
      <c r="C1779">
        <v>3.5310000000000001</v>
      </c>
      <c r="I1779" s="1">
        <v>46031</v>
      </c>
      <c r="J1779" s="1" t="s">
        <v>283</v>
      </c>
      <c r="K1779" s="3">
        <v>7</v>
      </c>
    </row>
    <row r="1780" spans="1:11">
      <c r="A1780" s="1">
        <v>46029</v>
      </c>
      <c r="B1780" t="s">
        <v>1980</v>
      </c>
      <c r="C1780">
        <v>4.09</v>
      </c>
      <c r="I1780" s="1">
        <v>46031</v>
      </c>
      <c r="J1780" s="1" t="s">
        <v>284</v>
      </c>
      <c r="K1780" s="3">
        <v>0</v>
      </c>
    </row>
    <row r="1781" spans="1:11">
      <c r="A1781" s="1">
        <v>46029</v>
      </c>
      <c r="B1781" t="s">
        <v>1981</v>
      </c>
      <c r="C1781">
        <v>4.1719999999999997</v>
      </c>
      <c r="I1781" s="1">
        <v>46031</v>
      </c>
      <c r="J1781" s="1" t="s">
        <v>285</v>
      </c>
      <c r="K1781" s="3">
        <v>4.5</v>
      </c>
    </row>
    <row r="1782" spans="1:11">
      <c r="A1782" s="1">
        <v>46029</v>
      </c>
      <c r="B1782" t="s">
        <v>1982</v>
      </c>
      <c r="C1782">
        <v>4.1189999999999998</v>
      </c>
      <c r="I1782" s="1">
        <v>46031</v>
      </c>
      <c r="J1782" s="1" t="s">
        <v>286</v>
      </c>
      <c r="K1782" s="3">
        <v>5005</v>
      </c>
    </row>
    <row r="1783" spans="1:11">
      <c r="A1783" s="1">
        <v>46029</v>
      </c>
      <c r="B1783" t="s">
        <v>1983</v>
      </c>
      <c r="C1783">
        <v>4.1749999999999998</v>
      </c>
      <c r="I1783" s="1">
        <v>46031</v>
      </c>
      <c r="J1783" s="1" t="s">
        <v>287</v>
      </c>
      <c r="K1783" s="3">
        <v>345146.67</v>
      </c>
    </row>
    <row r="1784" spans="1:11">
      <c r="A1784" s="1">
        <v>46028</v>
      </c>
      <c r="B1784" t="s">
        <v>1974</v>
      </c>
      <c r="C1784">
        <v>2.9380000000000002</v>
      </c>
      <c r="I1784" s="1">
        <v>46031</v>
      </c>
      <c r="J1784" s="1" t="s">
        <v>288</v>
      </c>
      <c r="K1784" s="3">
        <v>-46314.8</v>
      </c>
    </row>
    <row r="1785" spans="1:11">
      <c r="A1785" s="1">
        <v>46028</v>
      </c>
      <c r="B1785" t="s">
        <v>1975</v>
      </c>
      <c r="C1785">
        <v>2.996</v>
      </c>
      <c r="I1785" s="1">
        <v>46031</v>
      </c>
      <c r="J1785" s="1" t="s">
        <v>289</v>
      </c>
      <c r="K1785" s="3">
        <v>0</v>
      </c>
    </row>
    <row r="1786" spans="1:11">
      <c r="A1786" s="1">
        <v>46028</v>
      </c>
      <c r="B1786" t="s">
        <v>1976</v>
      </c>
      <c r="C1786">
        <v>3.056</v>
      </c>
      <c r="I1786" s="1">
        <v>46031</v>
      </c>
      <c r="J1786" s="1" t="s">
        <v>290</v>
      </c>
      <c r="K1786" s="3">
        <v>0</v>
      </c>
    </row>
    <row r="1787" spans="1:11">
      <c r="A1787" s="1">
        <v>46028</v>
      </c>
      <c r="B1787" t="s">
        <v>1977</v>
      </c>
      <c r="C1787">
        <v>3.153</v>
      </c>
      <c r="I1787" s="1">
        <v>46030</v>
      </c>
      <c r="J1787" s="1" t="s">
        <v>282</v>
      </c>
      <c r="K1787" s="3">
        <v>1000</v>
      </c>
    </row>
    <row r="1788" spans="1:11">
      <c r="A1788" s="1">
        <v>46028</v>
      </c>
      <c r="B1788" t="s">
        <v>1978</v>
      </c>
      <c r="C1788">
        <v>3.2509999999999999</v>
      </c>
      <c r="I1788" s="1">
        <v>46030</v>
      </c>
      <c r="J1788" s="1" t="s">
        <v>283</v>
      </c>
      <c r="K1788" s="3">
        <v>7</v>
      </c>
    </row>
    <row r="1789" spans="1:11">
      <c r="A1789" s="1">
        <v>46028</v>
      </c>
      <c r="B1789" t="s">
        <v>1979</v>
      </c>
      <c r="C1789">
        <v>3.492</v>
      </c>
      <c r="I1789" s="1">
        <v>46030</v>
      </c>
      <c r="J1789" s="1" t="s">
        <v>284</v>
      </c>
      <c r="K1789" s="3">
        <v>2048</v>
      </c>
    </row>
    <row r="1790" spans="1:11">
      <c r="A1790" s="1">
        <v>46028</v>
      </c>
      <c r="B1790" t="s">
        <v>1980</v>
      </c>
      <c r="C1790">
        <v>4.05</v>
      </c>
      <c r="I1790" s="1">
        <v>46030</v>
      </c>
      <c r="J1790" s="1" t="s">
        <v>285</v>
      </c>
      <c r="K1790" s="3">
        <v>4.5</v>
      </c>
    </row>
    <row r="1791" spans="1:11">
      <c r="A1791" s="1">
        <v>46028</v>
      </c>
      <c r="B1791" t="s">
        <v>1981</v>
      </c>
      <c r="C1791">
        <v>4.1120000000000001</v>
      </c>
      <c r="I1791" s="1">
        <v>46030</v>
      </c>
      <c r="J1791" s="1" t="s">
        <v>286</v>
      </c>
      <c r="K1791" s="3">
        <v>8922.3799999999992</v>
      </c>
    </row>
    <row r="1792" spans="1:11">
      <c r="A1792" s="1">
        <v>46028</v>
      </c>
      <c r="B1792" t="s">
        <v>1982</v>
      </c>
      <c r="C1792">
        <v>4.1189999999999998</v>
      </c>
      <c r="I1792" s="1">
        <v>46030</v>
      </c>
      <c r="J1792" s="1" t="s">
        <v>287</v>
      </c>
      <c r="K1792" s="3">
        <v>350151.67</v>
      </c>
    </row>
    <row r="1793" spans="1:11">
      <c r="A1793" s="1">
        <v>46028</v>
      </c>
      <c r="B1793" t="s">
        <v>1983</v>
      </c>
      <c r="C1793">
        <v>4.1749999999999998</v>
      </c>
      <c r="I1793" s="1">
        <v>46030</v>
      </c>
      <c r="J1793" s="1" t="s">
        <v>288</v>
      </c>
      <c r="K1793" s="3">
        <v>-42569.8</v>
      </c>
    </row>
    <row r="1794" spans="1:11">
      <c r="A1794" s="1">
        <v>46027</v>
      </c>
      <c r="B1794" t="s">
        <v>1974</v>
      </c>
      <c r="C1794">
        <v>2.9380000000000002</v>
      </c>
      <c r="I1794" s="1">
        <v>46030</v>
      </c>
      <c r="J1794" s="1" t="s">
        <v>289</v>
      </c>
      <c r="K1794" s="3">
        <v>3</v>
      </c>
    </row>
    <row r="1795" spans="1:11">
      <c r="A1795" s="1">
        <v>46027</v>
      </c>
      <c r="B1795" t="s">
        <v>1975</v>
      </c>
      <c r="C1795">
        <v>2.996</v>
      </c>
      <c r="I1795" s="1">
        <v>46030</v>
      </c>
      <c r="J1795" s="1" t="s">
        <v>290</v>
      </c>
      <c r="K1795" s="3">
        <v>3</v>
      </c>
    </row>
    <row r="1796" spans="1:11">
      <c r="A1796" s="1">
        <v>46027</v>
      </c>
      <c r="B1796" t="s">
        <v>1976</v>
      </c>
      <c r="C1796">
        <v>3.056</v>
      </c>
      <c r="I1796" s="1">
        <v>46030</v>
      </c>
      <c r="J1796" s="1" t="s">
        <v>107</v>
      </c>
      <c r="K1796" s="3">
        <v>20486010543270</v>
      </c>
    </row>
    <row r="1797" spans="1:11">
      <c r="A1797" s="1">
        <v>46027</v>
      </c>
      <c r="B1797" t="s">
        <v>1977</v>
      </c>
      <c r="C1797">
        <v>3.153</v>
      </c>
      <c r="I1797" s="1">
        <v>46029</v>
      </c>
      <c r="J1797" s="1" t="s">
        <v>107</v>
      </c>
      <c r="K1797" s="3">
        <v>20353721022321</v>
      </c>
    </row>
    <row r="1798" spans="1:11">
      <c r="A1798" s="1">
        <v>46027</v>
      </c>
      <c r="B1798" t="s">
        <v>1978</v>
      </c>
      <c r="C1798">
        <v>3.2509999999999999</v>
      </c>
      <c r="I1798" s="1">
        <v>46029</v>
      </c>
      <c r="J1798" s="1" t="s">
        <v>282</v>
      </c>
      <c r="K1798" s="3">
        <v>1000</v>
      </c>
    </row>
    <row r="1799" spans="1:11">
      <c r="A1799" s="1">
        <v>46027</v>
      </c>
      <c r="B1799" t="s">
        <v>1979</v>
      </c>
      <c r="C1799">
        <v>3.492</v>
      </c>
      <c r="I1799" s="1">
        <v>46029</v>
      </c>
      <c r="J1799" s="1" t="s">
        <v>283</v>
      </c>
      <c r="K1799" s="3">
        <v>7</v>
      </c>
    </row>
    <row r="1800" spans="1:11">
      <c r="A1800" s="1">
        <v>46027</v>
      </c>
      <c r="B1800" t="s">
        <v>1980</v>
      </c>
      <c r="C1800">
        <v>4.0439999999999996</v>
      </c>
      <c r="I1800" s="1">
        <v>46029</v>
      </c>
      <c r="J1800" s="1" t="s">
        <v>284</v>
      </c>
      <c r="K1800" s="3">
        <v>3000</v>
      </c>
    </row>
    <row r="1801" spans="1:11">
      <c r="A1801" s="1">
        <v>46027</v>
      </c>
      <c r="B1801" t="s">
        <v>1981</v>
      </c>
      <c r="C1801">
        <v>4.1120000000000001</v>
      </c>
      <c r="I1801" s="1">
        <v>46029</v>
      </c>
      <c r="J1801" s="1" t="s">
        <v>285</v>
      </c>
      <c r="K1801" s="3">
        <v>4.5</v>
      </c>
    </row>
    <row r="1802" spans="1:11">
      <c r="A1802" s="1">
        <v>46027</v>
      </c>
      <c r="B1802" t="s">
        <v>1982</v>
      </c>
      <c r="C1802">
        <v>4.1130000000000004</v>
      </c>
      <c r="I1802" s="1">
        <v>46029</v>
      </c>
      <c r="J1802" s="1" t="s">
        <v>286</v>
      </c>
      <c r="K1802" s="3">
        <v>38150</v>
      </c>
    </row>
    <row r="1803" spans="1:11">
      <c r="A1803" s="1">
        <v>46027</v>
      </c>
      <c r="B1803" t="s">
        <v>1983</v>
      </c>
      <c r="C1803">
        <v>4.1710000000000003</v>
      </c>
      <c r="I1803" s="1">
        <v>46029</v>
      </c>
      <c r="J1803" s="1" t="s">
        <v>287</v>
      </c>
      <c r="K1803" s="3">
        <v>357026.05</v>
      </c>
    </row>
    <row r="1804" spans="1:11">
      <c r="A1804" s="1">
        <v>46022</v>
      </c>
      <c r="B1804" t="s">
        <v>1974</v>
      </c>
      <c r="C1804">
        <v>2.9169999999999998</v>
      </c>
      <c r="I1804" s="1">
        <v>46029</v>
      </c>
      <c r="J1804" s="1" t="s">
        <v>288</v>
      </c>
      <c r="K1804" s="3">
        <v>-43492.18</v>
      </c>
    </row>
    <row r="1805" spans="1:11">
      <c r="A1805" s="1">
        <v>46022</v>
      </c>
      <c r="B1805" t="s">
        <v>1975</v>
      </c>
      <c r="C1805">
        <v>2.9710000000000001</v>
      </c>
      <c r="I1805" s="1">
        <v>46029</v>
      </c>
      <c r="J1805" s="1" t="s">
        <v>289</v>
      </c>
      <c r="K1805" s="3">
        <v>7</v>
      </c>
    </row>
    <row r="1806" spans="1:11">
      <c r="A1806" s="1">
        <v>46022</v>
      </c>
      <c r="B1806" t="s">
        <v>1976</v>
      </c>
      <c r="C1806">
        <v>3.0270000000000001</v>
      </c>
      <c r="I1806" s="1">
        <v>46029</v>
      </c>
      <c r="J1806" s="1" t="s">
        <v>290</v>
      </c>
      <c r="K1806" s="3">
        <v>7</v>
      </c>
    </row>
    <row r="1807" spans="1:11">
      <c r="A1807" s="1">
        <v>46022</v>
      </c>
      <c r="B1807" t="s">
        <v>1977</v>
      </c>
      <c r="C1807">
        <v>3.141</v>
      </c>
      <c r="I1807" s="1">
        <v>46028</v>
      </c>
      <c r="J1807" s="1" t="s">
        <v>282</v>
      </c>
      <c r="K1807" s="3">
        <v>1000</v>
      </c>
    </row>
    <row r="1808" spans="1:11">
      <c r="A1808" s="1">
        <v>46022</v>
      </c>
      <c r="B1808" t="s">
        <v>1978</v>
      </c>
      <c r="C1808">
        <v>3.254</v>
      </c>
      <c r="I1808" s="1">
        <v>46028</v>
      </c>
      <c r="J1808" s="1" t="s">
        <v>283</v>
      </c>
      <c r="K1808" s="3">
        <v>7</v>
      </c>
    </row>
    <row r="1809" spans="1:11">
      <c r="A1809" s="1">
        <v>46022</v>
      </c>
      <c r="B1809" t="s">
        <v>1979</v>
      </c>
      <c r="C1809">
        <v>3.4950000000000001</v>
      </c>
      <c r="I1809" s="1">
        <v>46028</v>
      </c>
      <c r="J1809" s="1" t="s">
        <v>284</v>
      </c>
      <c r="K1809" s="3">
        <v>10482</v>
      </c>
    </row>
    <row r="1810" spans="1:11">
      <c r="A1810" s="1">
        <v>46022</v>
      </c>
      <c r="B1810" t="s">
        <v>1980</v>
      </c>
      <c r="C1810">
        <v>4.04</v>
      </c>
      <c r="I1810" s="1">
        <v>46028</v>
      </c>
      <c r="J1810" s="1" t="s">
        <v>285</v>
      </c>
      <c r="K1810" s="3">
        <v>4.5</v>
      </c>
    </row>
    <row r="1811" spans="1:11">
      <c r="A1811" s="1">
        <v>46022</v>
      </c>
      <c r="B1811" t="s">
        <v>1981</v>
      </c>
      <c r="C1811">
        <v>4.1079999999999997</v>
      </c>
      <c r="I1811" s="1">
        <v>46028</v>
      </c>
      <c r="J1811" s="1" t="s">
        <v>286</v>
      </c>
      <c r="K1811" s="3">
        <v>20287.64</v>
      </c>
    </row>
    <row r="1812" spans="1:11">
      <c r="A1812" s="1">
        <v>46022</v>
      </c>
      <c r="B1812" t="s">
        <v>1982</v>
      </c>
      <c r="C1812">
        <v>4.1130000000000004</v>
      </c>
      <c r="I1812" s="1">
        <v>46028</v>
      </c>
      <c r="J1812" s="1" t="s">
        <v>287</v>
      </c>
      <c r="K1812" s="3">
        <v>392176.05</v>
      </c>
    </row>
    <row r="1813" spans="1:11">
      <c r="A1813" s="1">
        <v>46022</v>
      </c>
      <c r="B1813" t="s">
        <v>1983</v>
      </c>
      <c r="C1813">
        <v>4.1710000000000003</v>
      </c>
      <c r="I1813" s="1">
        <v>46028</v>
      </c>
      <c r="J1813" s="1" t="s">
        <v>288</v>
      </c>
      <c r="K1813" s="3">
        <v>-79032.179999999993</v>
      </c>
    </row>
    <row r="1814" spans="1:11">
      <c r="A1814" s="1">
        <v>46021</v>
      </c>
      <c r="B1814" t="s">
        <v>1974</v>
      </c>
      <c r="C1814">
        <v>2.9169999999999998</v>
      </c>
      <c r="I1814" s="1">
        <v>46028</v>
      </c>
      <c r="J1814" s="1" t="s">
        <v>289</v>
      </c>
      <c r="K1814" s="3">
        <v>11</v>
      </c>
    </row>
    <row r="1815" spans="1:11">
      <c r="A1815" s="1">
        <v>46021</v>
      </c>
      <c r="B1815" t="s">
        <v>1975</v>
      </c>
      <c r="C1815">
        <v>2.9710000000000001</v>
      </c>
      <c r="I1815" s="1">
        <v>46028</v>
      </c>
      <c r="J1815" s="1" t="s">
        <v>290</v>
      </c>
      <c r="K1815" s="3">
        <v>11</v>
      </c>
    </row>
    <row r="1816" spans="1:11">
      <c r="A1816" s="1">
        <v>46021</v>
      </c>
      <c r="B1816" t="s">
        <v>1976</v>
      </c>
      <c r="C1816">
        <v>3.0270000000000001</v>
      </c>
      <c r="I1816" s="1">
        <v>46028</v>
      </c>
      <c r="J1816" s="1" t="s">
        <v>107</v>
      </c>
      <c r="K1816" s="3">
        <v>20792791964776</v>
      </c>
    </row>
    <row r="1817" spans="1:11">
      <c r="A1817" s="1">
        <v>46021</v>
      </c>
      <c r="B1817" t="s">
        <v>1977</v>
      </c>
      <c r="C1817">
        <v>3.1360000000000001</v>
      </c>
      <c r="I1817" s="1">
        <v>46027</v>
      </c>
      <c r="J1817" s="1" t="s">
        <v>107</v>
      </c>
      <c r="K1817" s="3">
        <v>22006645396361</v>
      </c>
    </row>
    <row r="1818" spans="1:11">
      <c r="A1818" s="1">
        <v>46021</v>
      </c>
      <c r="B1818" t="s">
        <v>1978</v>
      </c>
      <c r="C1818">
        <v>3.246</v>
      </c>
      <c r="I1818" s="1">
        <v>46027</v>
      </c>
      <c r="J1818" s="1" t="s">
        <v>286</v>
      </c>
      <c r="K1818" s="3">
        <v>16483</v>
      </c>
    </row>
    <row r="1819" spans="1:11">
      <c r="A1819" s="1">
        <v>46021</v>
      </c>
      <c r="B1819" t="s">
        <v>1979</v>
      </c>
      <c r="C1819">
        <v>3.4950000000000001</v>
      </c>
      <c r="I1819" s="1">
        <v>46027</v>
      </c>
      <c r="J1819" s="1" t="s">
        <v>287</v>
      </c>
      <c r="K1819" s="3">
        <v>401981.69</v>
      </c>
    </row>
    <row r="1820" spans="1:11">
      <c r="A1820" s="1">
        <v>46021</v>
      </c>
      <c r="B1820" t="s">
        <v>1980</v>
      </c>
      <c r="C1820">
        <v>4.0359999999999996</v>
      </c>
      <c r="I1820" s="1">
        <v>46027</v>
      </c>
      <c r="J1820" s="1" t="s">
        <v>288</v>
      </c>
      <c r="K1820" s="3">
        <v>-92118.02</v>
      </c>
    </row>
    <row r="1821" spans="1:11">
      <c r="A1821" s="1">
        <v>46021</v>
      </c>
      <c r="B1821" t="s">
        <v>1981</v>
      </c>
      <c r="C1821">
        <v>4.1029999999999998</v>
      </c>
      <c r="I1821" s="1">
        <v>46027</v>
      </c>
      <c r="J1821" s="1" t="s">
        <v>289</v>
      </c>
      <c r="K1821" s="3">
        <v>18</v>
      </c>
    </row>
    <row r="1822" spans="1:11">
      <c r="A1822" s="1">
        <v>46021</v>
      </c>
      <c r="B1822" t="s">
        <v>1982</v>
      </c>
      <c r="C1822">
        <v>4.1130000000000004</v>
      </c>
      <c r="I1822" s="1">
        <v>46027</v>
      </c>
      <c r="J1822" s="1" t="s">
        <v>290</v>
      </c>
      <c r="K1822" s="3">
        <v>18</v>
      </c>
    </row>
    <row r="1823" spans="1:11">
      <c r="A1823" s="1">
        <v>46021</v>
      </c>
      <c r="B1823" t="s">
        <v>1983</v>
      </c>
      <c r="C1823">
        <v>4.1710000000000003</v>
      </c>
      <c r="I1823" s="1">
        <v>46027</v>
      </c>
      <c r="J1823" s="1" t="s">
        <v>282</v>
      </c>
      <c r="K1823" s="3">
        <v>11000</v>
      </c>
    </row>
    <row r="1824" spans="1:11">
      <c r="A1824" s="1">
        <v>46020</v>
      </c>
      <c r="B1824" t="s">
        <v>1974</v>
      </c>
      <c r="C1824">
        <v>2.9169999999999998</v>
      </c>
      <c r="I1824" s="1">
        <v>46027</v>
      </c>
      <c r="J1824" s="1" t="s">
        <v>283</v>
      </c>
      <c r="K1824" s="3">
        <v>7</v>
      </c>
    </row>
    <row r="1825" spans="1:11">
      <c r="A1825" s="1">
        <v>46020</v>
      </c>
      <c r="B1825" t="s">
        <v>1975</v>
      </c>
      <c r="C1825">
        <v>2.9710000000000001</v>
      </c>
      <c r="I1825" s="1">
        <v>46027</v>
      </c>
      <c r="J1825" s="1" t="s">
        <v>284</v>
      </c>
      <c r="K1825" s="3">
        <v>33151</v>
      </c>
    </row>
    <row r="1826" spans="1:11">
      <c r="A1826" s="1">
        <v>46020</v>
      </c>
      <c r="B1826" t="s">
        <v>1976</v>
      </c>
      <c r="C1826">
        <v>3.0270000000000001</v>
      </c>
      <c r="I1826" s="1">
        <v>46027</v>
      </c>
      <c r="J1826" s="1" t="s">
        <v>285</v>
      </c>
      <c r="K1826" s="3">
        <v>4.5</v>
      </c>
    </row>
    <row r="1827" spans="1:11">
      <c r="A1827" s="1">
        <v>46020</v>
      </c>
      <c r="B1827" t="s">
        <v>1977</v>
      </c>
      <c r="C1827">
        <v>3.1360000000000001</v>
      </c>
      <c r="I1827" s="1">
        <v>46026</v>
      </c>
      <c r="J1827" s="1" t="s">
        <v>107</v>
      </c>
      <c r="K1827" s="3">
        <v>21640108784535</v>
      </c>
    </row>
    <row r="1828" spans="1:11">
      <c r="A1828" s="1">
        <v>46020</v>
      </c>
      <c r="B1828" t="s">
        <v>1978</v>
      </c>
      <c r="C1828">
        <v>3.246</v>
      </c>
      <c r="I1828" s="1">
        <v>46022</v>
      </c>
      <c r="J1828" s="1" t="s">
        <v>107</v>
      </c>
      <c r="K1828" s="3">
        <v>22063580109980</v>
      </c>
    </row>
    <row r="1829" spans="1:11">
      <c r="A1829" s="1">
        <v>46020</v>
      </c>
      <c r="B1829" t="s">
        <v>1979</v>
      </c>
      <c r="C1829">
        <v>3.4950000000000001</v>
      </c>
      <c r="I1829" s="1">
        <v>46022</v>
      </c>
      <c r="J1829" s="1" t="s">
        <v>282</v>
      </c>
      <c r="K1829" s="3">
        <v>22000</v>
      </c>
    </row>
    <row r="1830" spans="1:11">
      <c r="A1830" s="1">
        <v>46020</v>
      </c>
      <c r="B1830" t="s">
        <v>1980</v>
      </c>
      <c r="C1830">
        <v>4.0359999999999996</v>
      </c>
      <c r="I1830" s="1">
        <v>46022</v>
      </c>
      <c r="J1830" s="1" t="s">
        <v>283</v>
      </c>
      <c r="K1830" s="3">
        <v>7</v>
      </c>
    </row>
    <row r="1831" spans="1:11">
      <c r="A1831" s="1">
        <v>46020</v>
      </c>
      <c r="B1831" t="s">
        <v>1981</v>
      </c>
      <c r="C1831">
        <v>4.1029999999999998</v>
      </c>
      <c r="I1831" s="1">
        <v>46022</v>
      </c>
      <c r="J1831" s="1" t="s">
        <v>284</v>
      </c>
      <c r="K1831" s="3">
        <v>26351</v>
      </c>
    </row>
    <row r="1832" spans="1:11">
      <c r="A1832" s="1">
        <v>46020</v>
      </c>
      <c r="B1832" t="s">
        <v>1982</v>
      </c>
      <c r="C1832">
        <v>4.1079999999999997</v>
      </c>
      <c r="I1832" s="1">
        <v>46022</v>
      </c>
      <c r="J1832" s="1" t="s">
        <v>285</v>
      </c>
      <c r="K1832" s="3">
        <v>4.5</v>
      </c>
    </row>
    <row r="1833" spans="1:11">
      <c r="A1833" s="1">
        <v>46020</v>
      </c>
      <c r="B1833" t="s">
        <v>1983</v>
      </c>
      <c r="C1833">
        <v>4.1630000000000003</v>
      </c>
      <c r="I1833" s="1">
        <v>46022</v>
      </c>
      <c r="J1833" s="1" t="s">
        <v>286</v>
      </c>
      <c r="K1833" s="3">
        <v>5000</v>
      </c>
    </row>
    <row r="1834" spans="1:11">
      <c r="A1834" s="1">
        <v>46017</v>
      </c>
      <c r="B1834" t="s">
        <v>1974</v>
      </c>
      <c r="C1834">
        <v>2.9129999999999998</v>
      </c>
      <c r="I1834" s="1">
        <v>46022</v>
      </c>
      <c r="J1834" s="1" t="s">
        <v>287</v>
      </c>
      <c r="K1834" s="3">
        <v>409294</v>
      </c>
    </row>
    <row r="1835" spans="1:11">
      <c r="A1835" s="1">
        <v>46017</v>
      </c>
      <c r="B1835" t="s">
        <v>1975</v>
      </c>
      <c r="C1835">
        <v>2.9670000000000001</v>
      </c>
      <c r="I1835" s="1">
        <v>46022</v>
      </c>
      <c r="J1835" s="1" t="s">
        <v>288</v>
      </c>
      <c r="K1835" s="3">
        <v>-98900.95</v>
      </c>
    </row>
    <row r="1836" spans="1:11">
      <c r="A1836" s="1">
        <v>46017</v>
      </c>
      <c r="B1836" t="s">
        <v>1976</v>
      </c>
      <c r="C1836">
        <v>3.0230000000000001</v>
      </c>
      <c r="I1836" s="1">
        <v>46022</v>
      </c>
      <c r="J1836" s="1" t="s">
        <v>289</v>
      </c>
      <c r="K1836" s="3">
        <v>9</v>
      </c>
    </row>
    <row r="1837" spans="1:11">
      <c r="A1837" s="1">
        <v>46017</v>
      </c>
      <c r="B1837" t="s">
        <v>1977</v>
      </c>
      <c r="C1837">
        <v>3.1309999999999998</v>
      </c>
      <c r="I1837" s="1">
        <v>46022</v>
      </c>
      <c r="J1837" s="1" t="s">
        <v>290</v>
      </c>
      <c r="K1837" s="3">
        <v>9</v>
      </c>
    </row>
    <row r="1838" spans="1:11">
      <c r="A1838" s="1">
        <v>46017</v>
      </c>
      <c r="B1838" t="s">
        <v>1978</v>
      </c>
      <c r="C1838">
        <v>3.2389999999999999</v>
      </c>
      <c r="I1838" s="1">
        <v>46021</v>
      </c>
      <c r="J1838" s="1" t="s">
        <v>107</v>
      </c>
      <c r="K1838" s="3">
        <v>20286343114582</v>
      </c>
    </row>
    <row r="1839" spans="1:11">
      <c r="A1839" s="1">
        <v>46017</v>
      </c>
      <c r="B1839" t="s">
        <v>1979</v>
      </c>
      <c r="C1839">
        <v>3.4950000000000001</v>
      </c>
      <c r="I1839" s="1">
        <v>46021</v>
      </c>
      <c r="J1839" s="1" t="s">
        <v>282</v>
      </c>
      <c r="K1839" s="3">
        <v>8000</v>
      </c>
    </row>
    <row r="1840" spans="1:11">
      <c r="A1840" s="1">
        <v>46017</v>
      </c>
      <c r="B1840" t="s">
        <v>1980</v>
      </c>
      <c r="C1840">
        <v>4.032</v>
      </c>
      <c r="I1840" s="1">
        <v>46021</v>
      </c>
      <c r="J1840" s="1" t="s">
        <v>283</v>
      </c>
      <c r="K1840" s="3">
        <v>7</v>
      </c>
    </row>
    <row r="1841" spans="1:11">
      <c r="A1841" s="1">
        <v>46017</v>
      </c>
      <c r="B1841" t="s">
        <v>1981</v>
      </c>
      <c r="C1841">
        <v>4.0979999999999999</v>
      </c>
      <c r="I1841" s="1">
        <v>46021</v>
      </c>
      <c r="J1841" s="1" t="s">
        <v>284</v>
      </c>
      <c r="K1841" s="3">
        <v>11799</v>
      </c>
    </row>
    <row r="1842" spans="1:11">
      <c r="A1842" s="1">
        <v>46017</v>
      </c>
      <c r="B1842" t="s">
        <v>1982</v>
      </c>
      <c r="C1842">
        <v>4.0999999999999996</v>
      </c>
      <c r="I1842" s="1">
        <v>46021</v>
      </c>
      <c r="J1842" s="1" t="s">
        <v>285</v>
      </c>
      <c r="K1842" s="3">
        <v>4.5</v>
      </c>
    </row>
    <row r="1843" spans="1:11">
      <c r="A1843" s="1">
        <v>46017</v>
      </c>
      <c r="B1843" t="s">
        <v>1983</v>
      </c>
      <c r="C1843">
        <v>4.1539999999999999</v>
      </c>
      <c r="I1843" s="1">
        <v>46021</v>
      </c>
      <c r="J1843" s="1" t="s">
        <v>286</v>
      </c>
      <c r="K1843" s="3">
        <v>5963.22</v>
      </c>
    </row>
    <row r="1844" spans="1:11">
      <c r="A1844" s="1">
        <v>46016</v>
      </c>
      <c r="B1844" t="s">
        <v>1974</v>
      </c>
      <c r="C1844">
        <v>2.9169999999999998</v>
      </c>
      <c r="I1844" s="1">
        <v>46021</v>
      </c>
      <c r="J1844" s="1" t="s">
        <v>287</v>
      </c>
      <c r="K1844" s="3">
        <v>387943</v>
      </c>
    </row>
    <row r="1845" spans="1:11">
      <c r="A1845" s="1">
        <v>46016</v>
      </c>
      <c r="B1845" t="s">
        <v>1975</v>
      </c>
      <c r="C1845">
        <v>2.9710000000000001</v>
      </c>
      <c r="I1845" s="1">
        <v>46021</v>
      </c>
      <c r="J1845" s="1" t="s">
        <v>288</v>
      </c>
      <c r="K1845" s="3">
        <v>-65750.95</v>
      </c>
    </row>
    <row r="1846" spans="1:11">
      <c r="A1846" s="1">
        <v>46016</v>
      </c>
      <c r="B1846" t="s">
        <v>1976</v>
      </c>
      <c r="C1846">
        <v>3.0270000000000001</v>
      </c>
      <c r="I1846" s="1">
        <v>46021</v>
      </c>
      <c r="J1846" s="1" t="s">
        <v>289</v>
      </c>
      <c r="K1846" s="3">
        <v>7</v>
      </c>
    </row>
    <row r="1847" spans="1:11">
      <c r="A1847" s="1">
        <v>46016</v>
      </c>
      <c r="B1847" t="s">
        <v>1977</v>
      </c>
      <c r="C1847">
        <v>3.1309999999999998</v>
      </c>
      <c r="I1847" s="1">
        <v>46021</v>
      </c>
      <c r="J1847" s="1" t="s">
        <v>290</v>
      </c>
      <c r="K1847" s="3">
        <v>7</v>
      </c>
    </row>
    <row r="1848" spans="1:11">
      <c r="A1848" s="1">
        <v>46016</v>
      </c>
      <c r="B1848" t="s">
        <v>1978</v>
      </c>
      <c r="C1848">
        <v>3.2349999999999999</v>
      </c>
      <c r="I1848" s="1">
        <v>46020</v>
      </c>
      <c r="J1848" s="1" t="s">
        <v>107</v>
      </c>
      <c r="K1848" s="3">
        <v>20286343114582</v>
      </c>
    </row>
    <row r="1849" spans="1:11">
      <c r="A1849" s="1">
        <v>46016</v>
      </c>
      <c r="B1849" t="s">
        <v>1979</v>
      </c>
      <c r="C1849">
        <v>3.4950000000000001</v>
      </c>
      <c r="I1849" s="1">
        <v>46020</v>
      </c>
      <c r="J1849" s="1" t="s">
        <v>282</v>
      </c>
      <c r="K1849" s="3">
        <v>0</v>
      </c>
    </row>
    <row r="1850" spans="1:11">
      <c r="A1850" s="1">
        <v>46016</v>
      </c>
      <c r="B1850" t="s">
        <v>1980</v>
      </c>
      <c r="C1850">
        <v>4.032</v>
      </c>
      <c r="I1850" s="1">
        <v>46020</v>
      </c>
      <c r="J1850" s="1" t="s">
        <v>283</v>
      </c>
      <c r="K1850" s="3">
        <v>7</v>
      </c>
    </row>
    <row r="1851" spans="1:11">
      <c r="A1851" s="1">
        <v>46016</v>
      </c>
      <c r="B1851" t="s">
        <v>1981</v>
      </c>
      <c r="C1851">
        <v>4.0979999999999999</v>
      </c>
      <c r="I1851" s="1">
        <v>46020</v>
      </c>
      <c r="J1851" s="1" t="s">
        <v>284</v>
      </c>
      <c r="K1851" s="3">
        <v>9967</v>
      </c>
    </row>
    <row r="1852" spans="1:11">
      <c r="A1852" s="1">
        <v>46016</v>
      </c>
      <c r="B1852" t="s">
        <v>1982</v>
      </c>
      <c r="C1852">
        <v>4.0919999999999996</v>
      </c>
      <c r="I1852" s="1">
        <v>46020</v>
      </c>
      <c r="J1852" s="1" t="s">
        <v>285</v>
      </c>
      <c r="K1852" s="3">
        <v>4.5</v>
      </c>
    </row>
    <row r="1853" spans="1:11">
      <c r="A1853" s="1">
        <v>46016</v>
      </c>
      <c r="B1853" t="s">
        <v>1983</v>
      </c>
      <c r="C1853">
        <v>4.1500000000000004</v>
      </c>
      <c r="I1853" s="1">
        <v>46020</v>
      </c>
      <c r="J1853" s="1" t="s">
        <v>286</v>
      </c>
      <c r="K1853" s="3">
        <v>9510.5400000000009</v>
      </c>
    </row>
    <row r="1854" spans="1:11">
      <c r="A1854" s="1">
        <v>46015</v>
      </c>
      <c r="B1854" t="s">
        <v>1974</v>
      </c>
      <c r="C1854">
        <v>2.9169999999999998</v>
      </c>
      <c r="I1854" s="1">
        <v>46020</v>
      </c>
      <c r="J1854" s="1" t="s">
        <v>287</v>
      </c>
      <c r="K1854" s="3">
        <v>382107.22</v>
      </c>
    </row>
    <row r="1855" spans="1:11">
      <c r="A1855" s="1">
        <v>46015</v>
      </c>
      <c r="B1855" t="s">
        <v>1975</v>
      </c>
      <c r="C1855">
        <v>2.9710000000000001</v>
      </c>
      <c r="I1855" s="1">
        <v>46020</v>
      </c>
      <c r="J1855" s="1" t="s">
        <v>288</v>
      </c>
      <c r="K1855" s="3">
        <v>-51426.53</v>
      </c>
    </row>
    <row r="1856" spans="1:11">
      <c r="A1856" s="1">
        <v>46015</v>
      </c>
      <c r="B1856" t="s">
        <v>1976</v>
      </c>
      <c r="C1856">
        <v>3.0270000000000001</v>
      </c>
      <c r="I1856" s="1">
        <v>46020</v>
      </c>
      <c r="J1856" s="1" t="s">
        <v>289</v>
      </c>
      <c r="K1856" s="3">
        <v>6</v>
      </c>
    </row>
    <row r="1857" spans="1:11">
      <c r="A1857" s="1">
        <v>46015</v>
      </c>
      <c r="B1857" t="s">
        <v>1977</v>
      </c>
      <c r="C1857">
        <v>3.1309999999999998</v>
      </c>
      <c r="I1857" s="1">
        <v>46020</v>
      </c>
      <c r="J1857" s="1" t="s">
        <v>290</v>
      </c>
      <c r="K1857" s="3">
        <v>6</v>
      </c>
    </row>
    <row r="1858" spans="1:11">
      <c r="A1858" s="1">
        <v>46015</v>
      </c>
      <c r="B1858" t="s">
        <v>1978</v>
      </c>
      <c r="C1858">
        <v>3.2349999999999999</v>
      </c>
      <c r="I1858" s="1">
        <v>46019</v>
      </c>
      <c r="J1858" s="1" t="s">
        <v>107</v>
      </c>
      <c r="K1858" s="3">
        <v>21674832797464</v>
      </c>
    </row>
    <row r="1859" spans="1:11">
      <c r="A1859" s="1">
        <v>46015</v>
      </c>
      <c r="B1859" t="s">
        <v>1979</v>
      </c>
      <c r="C1859">
        <v>3.492</v>
      </c>
      <c r="I1859" s="1">
        <v>46017</v>
      </c>
      <c r="J1859" s="1" t="s">
        <v>282</v>
      </c>
      <c r="K1859" s="3">
        <v>0</v>
      </c>
    </row>
    <row r="1860" spans="1:11">
      <c r="A1860" s="1">
        <v>46015</v>
      </c>
      <c r="B1860" t="s">
        <v>1980</v>
      </c>
      <c r="C1860">
        <v>4.0129999999999999</v>
      </c>
      <c r="I1860" s="1">
        <v>46017</v>
      </c>
      <c r="J1860" s="1" t="s">
        <v>283</v>
      </c>
      <c r="K1860" s="3">
        <v>7</v>
      </c>
    </row>
    <row r="1861" spans="1:11">
      <c r="A1861" s="1">
        <v>46015</v>
      </c>
      <c r="B1861" t="s">
        <v>1981</v>
      </c>
      <c r="C1861">
        <v>4.0759999999999996</v>
      </c>
      <c r="I1861" s="1">
        <v>46017</v>
      </c>
      <c r="J1861" s="1" t="s">
        <v>284</v>
      </c>
      <c r="K1861" s="3">
        <v>1948</v>
      </c>
    </row>
    <row r="1862" spans="1:11">
      <c r="A1862" s="1">
        <v>46015</v>
      </c>
      <c r="B1862" t="s">
        <v>1982</v>
      </c>
      <c r="C1862">
        <v>4.0830000000000002</v>
      </c>
      <c r="I1862" s="1">
        <v>46017</v>
      </c>
      <c r="J1862" s="1" t="s">
        <v>285</v>
      </c>
      <c r="K1862" s="3">
        <v>4.5</v>
      </c>
    </row>
    <row r="1863" spans="1:11">
      <c r="A1863" s="1">
        <v>46015</v>
      </c>
      <c r="B1863" t="s">
        <v>1983</v>
      </c>
      <c r="C1863">
        <v>4.1379999999999999</v>
      </c>
      <c r="I1863" s="1">
        <v>46017</v>
      </c>
      <c r="J1863" s="1" t="s">
        <v>286</v>
      </c>
      <c r="K1863" s="3">
        <v>10606</v>
      </c>
    </row>
    <row r="1864" spans="1:11">
      <c r="A1864" s="1">
        <v>46014</v>
      </c>
      <c r="B1864" t="s">
        <v>1974</v>
      </c>
      <c r="C1864">
        <v>2.9169999999999998</v>
      </c>
      <c r="I1864" s="1">
        <v>46017</v>
      </c>
      <c r="J1864" s="1" t="s">
        <v>287</v>
      </c>
      <c r="K1864" s="3">
        <v>380769.16</v>
      </c>
    </row>
    <row r="1865" spans="1:11">
      <c r="A1865" s="1">
        <v>46014</v>
      </c>
      <c r="B1865" t="s">
        <v>1975</v>
      </c>
      <c r="C1865">
        <v>2.9710000000000001</v>
      </c>
      <c r="I1865" s="1">
        <v>46017</v>
      </c>
      <c r="J1865" s="1" t="s">
        <v>288</v>
      </c>
      <c r="K1865" s="3">
        <v>-44454.07</v>
      </c>
    </row>
    <row r="1866" spans="1:11">
      <c r="A1866" s="1">
        <v>46014</v>
      </c>
      <c r="B1866" t="s">
        <v>1976</v>
      </c>
      <c r="C1866">
        <v>3.0270000000000001</v>
      </c>
      <c r="I1866" s="1">
        <v>46017</v>
      </c>
      <c r="J1866" s="1" t="s">
        <v>289</v>
      </c>
      <c r="K1866" s="3">
        <v>4</v>
      </c>
    </row>
    <row r="1867" spans="1:11">
      <c r="A1867" s="1">
        <v>46014</v>
      </c>
      <c r="B1867" t="s">
        <v>1977</v>
      </c>
      <c r="C1867">
        <v>3.1309999999999998</v>
      </c>
      <c r="I1867" s="1">
        <v>46017</v>
      </c>
      <c r="J1867" s="1" t="s">
        <v>290</v>
      </c>
      <c r="K1867" s="3">
        <v>4</v>
      </c>
    </row>
    <row r="1868" spans="1:11">
      <c r="A1868" s="1">
        <v>46014</v>
      </c>
      <c r="B1868" t="s">
        <v>1978</v>
      </c>
      <c r="C1868">
        <v>3.2349999999999999</v>
      </c>
      <c r="I1868" s="1">
        <v>46016</v>
      </c>
      <c r="J1868" s="1" t="s">
        <v>282</v>
      </c>
      <c r="K1868" s="3">
        <v>0</v>
      </c>
    </row>
    <row r="1869" spans="1:11">
      <c r="A1869" s="1">
        <v>46014</v>
      </c>
      <c r="B1869" t="s">
        <v>1979</v>
      </c>
      <c r="C1869">
        <v>3.492</v>
      </c>
      <c r="I1869" s="1">
        <v>46016</v>
      </c>
      <c r="J1869" s="1" t="s">
        <v>283</v>
      </c>
      <c r="K1869" s="3">
        <v>7</v>
      </c>
    </row>
    <row r="1870" spans="1:11">
      <c r="A1870" s="1">
        <v>46014</v>
      </c>
      <c r="B1870" t="s">
        <v>1980</v>
      </c>
      <c r="C1870">
        <v>4.0129999999999999</v>
      </c>
      <c r="I1870" s="1">
        <v>46016</v>
      </c>
      <c r="J1870" s="1" t="s">
        <v>284</v>
      </c>
      <c r="K1870" s="3">
        <v>1083</v>
      </c>
    </row>
    <row r="1871" spans="1:11">
      <c r="A1871" s="1">
        <v>46014</v>
      </c>
      <c r="B1871" t="s">
        <v>1981</v>
      </c>
      <c r="C1871">
        <v>4.0759999999999996</v>
      </c>
      <c r="I1871" s="1">
        <v>46016</v>
      </c>
      <c r="J1871" s="1" t="s">
        <v>285</v>
      </c>
      <c r="K1871" s="3">
        <v>4.5</v>
      </c>
    </row>
    <row r="1872" spans="1:11">
      <c r="A1872" s="1">
        <v>46014</v>
      </c>
      <c r="B1872" t="s">
        <v>1982</v>
      </c>
      <c r="C1872">
        <v>4.0830000000000002</v>
      </c>
      <c r="I1872" s="1">
        <v>46016</v>
      </c>
      <c r="J1872" s="1" t="s">
        <v>286</v>
      </c>
      <c r="K1872" s="3">
        <v>2323.33</v>
      </c>
    </row>
    <row r="1873" spans="1:11">
      <c r="A1873" s="1">
        <v>46014</v>
      </c>
      <c r="B1873" t="s">
        <v>1983</v>
      </c>
      <c r="C1873">
        <v>4.1379999999999999</v>
      </c>
      <c r="I1873" s="1">
        <v>46016</v>
      </c>
      <c r="J1873" s="1" t="s">
        <v>287</v>
      </c>
      <c r="K1873" s="3">
        <v>389427.16</v>
      </c>
    </row>
    <row r="1874" spans="1:11">
      <c r="A1874" s="1">
        <v>46013</v>
      </c>
      <c r="B1874" t="s">
        <v>1974</v>
      </c>
      <c r="C1874">
        <v>2.9169999999999998</v>
      </c>
      <c r="I1874" s="1">
        <v>46016</v>
      </c>
      <c r="J1874" s="1" t="s">
        <v>288</v>
      </c>
      <c r="K1874" s="3">
        <v>-36613.300000000003</v>
      </c>
    </row>
    <row r="1875" spans="1:11">
      <c r="A1875" s="1">
        <v>46013</v>
      </c>
      <c r="B1875" t="s">
        <v>1975</v>
      </c>
      <c r="C1875">
        <v>2.9710000000000001</v>
      </c>
      <c r="I1875" s="1">
        <v>46016</v>
      </c>
      <c r="J1875" s="1" t="s">
        <v>289</v>
      </c>
      <c r="K1875" s="3">
        <v>1</v>
      </c>
    </row>
    <row r="1876" spans="1:11">
      <c r="A1876" s="1">
        <v>46013</v>
      </c>
      <c r="B1876" t="s">
        <v>1976</v>
      </c>
      <c r="C1876">
        <v>3.0270000000000001</v>
      </c>
      <c r="I1876" s="1">
        <v>46016</v>
      </c>
      <c r="J1876" s="1" t="s">
        <v>290</v>
      </c>
      <c r="K1876" s="3">
        <v>1</v>
      </c>
    </row>
    <row r="1877" spans="1:11">
      <c r="A1877" s="1">
        <v>46013</v>
      </c>
      <c r="B1877" t="s">
        <v>1977</v>
      </c>
      <c r="C1877">
        <v>3.1269999999999998</v>
      </c>
      <c r="I1877" s="1">
        <v>46016</v>
      </c>
      <c r="J1877" s="1" t="s">
        <v>107</v>
      </c>
      <c r="K1877" s="3">
        <v>21921681467133</v>
      </c>
    </row>
    <row r="1878" spans="1:11">
      <c r="A1878" s="1">
        <v>46013</v>
      </c>
      <c r="B1878" t="s">
        <v>1978</v>
      </c>
      <c r="C1878">
        <v>3.2280000000000002</v>
      </c>
      <c r="I1878" s="1">
        <v>46015</v>
      </c>
      <c r="J1878" s="1" t="s">
        <v>282</v>
      </c>
      <c r="K1878" s="3">
        <v>5000</v>
      </c>
    </row>
    <row r="1879" spans="1:11">
      <c r="A1879" s="1">
        <v>46013</v>
      </c>
      <c r="B1879" t="s">
        <v>1979</v>
      </c>
      <c r="C1879">
        <v>3.492</v>
      </c>
      <c r="I1879" s="1">
        <v>46015</v>
      </c>
      <c r="J1879" s="1" t="s">
        <v>283</v>
      </c>
      <c r="K1879" s="3">
        <v>7</v>
      </c>
    </row>
    <row r="1880" spans="1:11">
      <c r="A1880" s="1">
        <v>46013</v>
      </c>
      <c r="B1880" t="s">
        <v>1980</v>
      </c>
      <c r="C1880">
        <v>4.0119999999999996</v>
      </c>
      <c r="I1880" s="1">
        <v>46015</v>
      </c>
      <c r="J1880" s="1" t="s">
        <v>284</v>
      </c>
      <c r="K1880" s="3">
        <v>23617</v>
      </c>
    </row>
    <row r="1881" spans="1:11">
      <c r="A1881" s="1">
        <v>46013</v>
      </c>
      <c r="B1881" t="s">
        <v>1981</v>
      </c>
      <c r="C1881">
        <v>4.0759999999999996</v>
      </c>
      <c r="I1881" s="1">
        <v>46015</v>
      </c>
      <c r="J1881" s="1" t="s">
        <v>285</v>
      </c>
      <c r="K1881" s="3">
        <v>4.5</v>
      </c>
    </row>
    <row r="1882" spans="1:11">
      <c r="A1882" s="1">
        <v>46013</v>
      </c>
      <c r="B1882" t="s">
        <v>1982</v>
      </c>
      <c r="C1882">
        <v>4.0830000000000002</v>
      </c>
      <c r="I1882" s="1">
        <v>46015</v>
      </c>
      <c r="J1882" s="1" t="s">
        <v>286</v>
      </c>
      <c r="K1882" s="3">
        <v>1240</v>
      </c>
    </row>
    <row r="1883" spans="1:11">
      <c r="A1883" s="1">
        <v>46013</v>
      </c>
      <c r="B1883" t="s">
        <v>1983</v>
      </c>
      <c r="C1883">
        <v>4.1379999999999999</v>
      </c>
      <c r="I1883" s="1">
        <v>46015</v>
      </c>
      <c r="J1883" s="1" t="s">
        <v>287</v>
      </c>
      <c r="K1883" s="3">
        <v>390667.49</v>
      </c>
    </row>
    <row r="1884" spans="1:11">
      <c r="A1884" s="1">
        <v>46010</v>
      </c>
      <c r="B1884" t="s">
        <v>1974</v>
      </c>
      <c r="C1884">
        <v>2.9169999999999998</v>
      </c>
      <c r="I1884" s="1">
        <v>46015</v>
      </c>
      <c r="J1884" s="1" t="s">
        <v>288</v>
      </c>
      <c r="K1884" s="3">
        <v>-33403.089999999997</v>
      </c>
    </row>
    <row r="1885" spans="1:11">
      <c r="A1885" s="1">
        <v>46010</v>
      </c>
      <c r="B1885" t="s">
        <v>1975</v>
      </c>
      <c r="C1885">
        <v>2.9710000000000001</v>
      </c>
      <c r="I1885" s="1">
        <v>46015</v>
      </c>
      <c r="J1885" s="1" t="s">
        <v>289</v>
      </c>
      <c r="K1885" s="3">
        <v>9</v>
      </c>
    </row>
    <row r="1886" spans="1:11">
      <c r="A1886" s="1">
        <v>46010</v>
      </c>
      <c r="B1886" t="s">
        <v>1976</v>
      </c>
      <c r="C1886">
        <v>3.0270000000000001</v>
      </c>
      <c r="I1886" s="1">
        <v>46015</v>
      </c>
      <c r="J1886" s="1" t="s">
        <v>290</v>
      </c>
      <c r="K1886" s="3">
        <v>9</v>
      </c>
    </row>
    <row r="1887" spans="1:11">
      <c r="A1887" s="1">
        <v>46010</v>
      </c>
      <c r="B1887" t="s">
        <v>1977</v>
      </c>
      <c r="C1887">
        <v>3.1269999999999998</v>
      </c>
      <c r="I1887" s="1">
        <v>46015</v>
      </c>
      <c r="J1887" s="1" t="s">
        <v>107</v>
      </c>
      <c r="K1887" s="3">
        <v>21921681467133</v>
      </c>
    </row>
    <row r="1888" spans="1:11">
      <c r="A1888" s="1">
        <v>46010</v>
      </c>
      <c r="B1888" t="s">
        <v>1978</v>
      </c>
      <c r="C1888">
        <v>3.2280000000000002</v>
      </c>
      <c r="I1888" s="1">
        <v>46014</v>
      </c>
      <c r="J1888" s="1" t="s">
        <v>107</v>
      </c>
      <c r="K1888" s="3">
        <v>21921681467133</v>
      </c>
    </row>
    <row r="1889" spans="1:11">
      <c r="A1889" s="1">
        <v>46010</v>
      </c>
      <c r="B1889" t="s">
        <v>1979</v>
      </c>
      <c r="C1889">
        <v>3.492</v>
      </c>
      <c r="I1889" s="1">
        <v>46014</v>
      </c>
      <c r="J1889" s="1" t="s">
        <v>282</v>
      </c>
      <c r="K1889" s="3">
        <v>7000</v>
      </c>
    </row>
    <row r="1890" spans="1:11">
      <c r="A1890" s="1">
        <v>46010</v>
      </c>
      <c r="B1890" t="s">
        <v>1980</v>
      </c>
      <c r="C1890">
        <v>4.008</v>
      </c>
      <c r="I1890" s="1">
        <v>46014</v>
      </c>
      <c r="J1890" s="1" t="s">
        <v>283</v>
      </c>
      <c r="K1890" s="3">
        <v>7</v>
      </c>
    </row>
    <row r="1891" spans="1:11">
      <c r="A1891" s="1">
        <v>46010</v>
      </c>
      <c r="B1891" t="s">
        <v>1981</v>
      </c>
      <c r="C1891">
        <v>4.0730000000000004</v>
      </c>
      <c r="I1891" s="1">
        <v>46014</v>
      </c>
      <c r="J1891" s="1" t="s">
        <v>284</v>
      </c>
      <c r="K1891" s="3">
        <v>19159</v>
      </c>
    </row>
    <row r="1892" spans="1:11">
      <c r="A1892" s="1">
        <v>46010</v>
      </c>
      <c r="B1892" t="s">
        <v>1982</v>
      </c>
      <c r="C1892">
        <v>4.0830000000000002</v>
      </c>
      <c r="I1892" s="1">
        <v>46014</v>
      </c>
      <c r="J1892" s="1" t="s">
        <v>285</v>
      </c>
      <c r="K1892" s="3">
        <v>4.5</v>
      </c>
    </row>
    <row r="1893" spans="1:11">
      <c r="A1893" s="1">
        <v>46010</v>
      </c>
      <c r="B1893" t="s">
        <v>1983</v>
      </c>
      <c r="C1893">
        <v>4.1379999999999999</v>
      </c>
      <c r="I1893" s="1">
        <v>46014</v>
      </c>
      <c r="J1893" s="1" t="s">
        <v>286</v>
      </c>
      <c r="K1893" s="3">
        <v>21776</v>
      </c>
    </row>
    <row r="1894" spans="1:11">
      <c r="A1894" s="1">
        <v>46009</v>
      </c>
      <c r="B1894" t="s">
        <v>1974</v>
      </c>
      <c r="C1894">
        <v>2.9129999999999998</v>
      </c>
      <c r="I1894" s="1">
        <v>46014</v>
      </c>
      <c r="J1894" s="1" t="s">
        <v>287</v>
      </c>
      <c r="K1894" s="3">
        <v>368290.49</v>
      </c>
    </row>
    <row r="1895" spans="1:11">
      <c r="A1895" s="1">
        <v>46009</v>
      </c>
      <c r="B1895" t="s">
        <v>1975</v>
      </c>
      <c r="C1895">
        <v>2.9670000000000001</v>
      </c>
      <c r="I1895" s="1">
        <v>46014</v>
      </c>
      <c r="J1895" s="1" t="s">
        <v>288</v>
      </c>
      <c r="K1895" s="3">
        <v>-29643.09</v>
      </c>
    </row>
    <row r="1896" spans="1:11">
      <c r="A1896" s="1">
        <v>46009</v>
      </c>
      <c r="B1896" t="s">
        <v>1976</v>
      </c>
      <c r="C1896">
        <v>3.0230000000000001</v>
      </c>
      <c r="I1896" s="1">
        <v>46014</v>
      </c>
      <c r="J1896" s="1" t="s">
        <v>289</v>
      </c>
      <c r="K1896" s="3">
        <v>11</v>
      </c>
    </row>
    <row r="1897" spans="1:11">
      <c r="A1897" s="1">
        <v>46009</v>
      </c>
      <c r="B1897" t="s">
        <v>1977</v>
      </c>
      <c r="C1897">
        <v>3.1219999999999999</v>
      </c>
      <c r="I1897" s="1">
        <v>46014</v>
      </c>
      <c r="J1897" s="1" t="s">
        <v>290</v>
      </c>
      <c r="K1897" s="3">
        <v>11</v>
      </c>
    </row>
    <row r="1898" spans="1:11">
      <c r="A1898" s="1">
        <v>46009</v>
      </c>
      <c r="B1898" t="s">
        <v>1978</v>
      </c>
      <c r="C1898">
        <v>3.2210000000000001</v>
      </c>
      <c r="I1898" s="1">
        <v>46013</v>
      </c>
      <c r="J1898" s="1" t="s">
        <v>107</v>
      </c>
      <c r="K1898" s="3">
        <v>22033034727366</v>
      </c>
    </row>
    <row r="1899" spans="1:11">
      <c r="A1899" s="1">
        <v>46009</v>
      </c>
      <c r="B1899" t="s">
        <v>1979</v>
      </c>
      <c r="C1899">
        <v>3.4860000000000002</v>
      </c>
      <c r="I1899" s="1">
        <v>46013</v>
      </c>
      <c r="J1899" s="1" t="s">
        <v>282</v>
      </c>
      <c r="K1899" s="3">
        <v>3000</v>
      </c>
    </row>
    <row r="1900" spans="1:11">
      <c r="A1900" s="1">
        <v>46009</v>
      </c>
      <c r="B1900" t="s">
        <v>1980</v>
      </c>
      <c r="C1900">
        <v>4.0019999999999998</v>
      </c>
      <c r="I1900" s="1">
        <v>46013</v>
      </c>
      <c r="J1900" s="1" t="s">
        <v>283</v>
      </c>
      <c r="K1900" s="3">
        <v>7</v>
      </c>
    </row>
    <row r="1901" spans="1:11">
      <c r="A1901" s="1">
        <v>46009</v>
      </c>
      <c r="B1901" t="s">
        <v>1981</v>
      </c>
      <c r="C1901">
        <v>4.0759999999999996</v>
      </c>
      <c r="I1901" s="1">
        <v>46013</v>
      </c>
      <c r="J1901" s="1" t="s">
        <v>284</v>
      </c>
      <c r="K1901" s="3">
        <v>19298</v>
      </c>
    </row>
    <row r="1902" spans="1:11">
      <c r="A1902" s="1">
        <v>46009</v>
      </c>
      <c r="B1902" t="s">
        <v>1982</v>
      </c>
      <c r="C1902">
        <v>4.077</v>
      </c>
      <c r="I1902" s="1">
        <v>46013</v>
      </c>
      <c r="J1902" s="1" t="s">
        <v>285</v>
      </c>
      <c r="K1902" s="3">
        <v>4.5</v>
      </c>
    </row>
    <row r="1903" spans="1:11">
      <c r="A1903" s="1">
        <v>46009</v>
      </c>
      <c r="B1903" t="s">
        <v>1983</v>
      </c>
      <c r="C1903">
        <v>4.1340000000000003</v>
      </c>
      <c r="I1903" s="1">
        <v>46013</v>
      </c>
      <c r="J1903" s="1" t="s">
        <v>286</v>
      </c>
      <c r="K1903" s="3">
        <v>23029.279999999999</v>
      </c>
    </row>
    <row r="1904" spans="1:11">
      <c r="A1904" s="1">
        <v>46008</v>
      </c>
      <c r="B1904" t="s">
        <v>1974</v>
      </c>
      <c r="C1904">
        <v>2.9129999999999998</v>
      </c>
      <c r="I1904" s="1">
        <v>46013</v>
      </c>
      <c r="J1904" s="1" t="s">
        <v>287</v>
      </c>
      <c r="K1904" s="3">
        <v>370907.49</v>
      </c>
    </row>
    <row r="1905" spans="1:11">
      <c r="A1905" s="1">
        <v>46008</v>
      </c>
      <c r="B1905" t="s">
        <v>1975</v>
      </c>
      <c r="C1905">
        <v>2.9580000000000002</v>
      </c>
      <c r="I1905" s="1">
        <v>46013</v>
      </c>
      <c r="J1905" s="1" t="s">
        <v>288</v>
      </c>
      <c r="K1905" s="3">
        <v>-45455.87</v>
      </c>
    </row>
    <row r="1906" spans="1:11">
      <c r="A1906" s="1">
        <v>46008</v>
      </c>
      <c r="B1906" t="s">
        <v>1976</v>
      </c>
      <c r="C1906">
        <v>3.0150000000000001</v>
      </c>
      <c r="I1906" s="1">
        <v>46013</v>
      </c>
      <c r="J1906" s="1" t="s">
        <v>289</v>
      </c>
      <c r="K1906" s="3">
        <v>8</v>
      </c>
    </row>
    <row r="1907" spans="1:11">
      <c r="A1907" s="1">
        <v>46008</v>
      </c>
      <c r="B1907" t="s">
        <v>1977</v>
      </c>
      <c r="C1907">
        <v>3.1179999999999999</v>
      </c>
      <c r="I1907" s="1">
        <v>46013</v>
      </c>
      <c r="J1907" s="1" t="s">
        <v>290</v>
      </c>
      <c r="K1907" s="3">
        <v>8</v>
      </c>
    </row>
    <row r="1908" spans="1:11">
      <c r="A1908" s="1">
        <v>46008</v>
      </c>
      <c r="B1908" t="s">
        <v>1978</v>
      </c>
      <c r="C1908">
        <v>3.2210000000000001</v>
      </c>
      <c r="I1908" s="1">
        <v>46012</v>
      </c>
      <c r="J1908" s="1" t="s">
        <v>107</v>
      </c>
      <c r="K1908" s="3">
        <v>22033034727366</v>
      </c>
    </row>
    <row r="1909" spans="1:11">
      <c r="A1909" s="1">
        <v>46008</v>
      </c>
      <c r="B1909" t="s">
        <v>1979</v>
      </c>
      <c r="C1909">
        <v>3.4809999999999999</v>
      </c>
      <c r="I1909" s="1">
        <v>46010</v>
      </c>
      <c r="J1909" s="1" t="s">
        <v>282</v>
      </c>
      <c r="K1909" s="3">
        <v>7000</v>
      </c>
    </row>
    <row r="1910" spans="1:11">
      <c r="A1910" s="1">
        <v>46008</v>
      </c>
      <c r="B1910" t="s">
        <v>1980</v>
      </c>
      <c r="C1910">
        <v>3.9849999999999999</v>
      </c>
      <c r="I1910" s="1">
        <v>46010</v>
      </c>
      <c r="J1910" s="1" t="s">
        <v>283</v>
      </c>
      <c r="K1910" s="3">
        <v>7</v>
      </c>
    </row>
    <row r="1911" spans="1:11">
      <c r="A1911" s="1">
        <v>46008</v>
      </c>
      <c r="B1911" t="s">
        <v>1981</v>
      </c>
      <c r="C1911">
        <v>4.0570000000000004</v>
      </c>
      <c r="I1911" s="1">
        <v>46010</v>
      </c>
      <c r="J1911" s="1" t="s">
        <v>284</v>
      </c>
      <c r="K1911" s="3">
        <v>36006</v>
      </c>
    </row>
    <row r="1912" spans="1:11">
      <c r="A1912" s="1">
        <v>46008</v>
      </c>
      <c r="B1912" t="s">
        <v>1982</v>
      </c>
      <c r="C1912">
        <v>4.077</v>
      </c>
      <c r="I1912" s="1">
        <v>46010</v>
      </c>
      <c r="J1912" s="1" t="s">
        <v>285</v>
      </c>
      <c r="K1912" s="3">
        <v>4.5</v>
      </c>
    </row>
    <row r="1913" spans="1:11">
      <c r="A1913" s="1">
        <v>46008</v>
      </c>
      <c r="B1913" t="s">
        <v>1983</v>
      </c>
      <c r="C1913">
        <v>4.1340000000000003</v>
      </c>
      <c r="I1913" s="1">
        <v>46010</v>
      </c>
      <c r="J1913" s="1" t="s">
        <v>286</v>
      </c>
      <c r="K1913" s="3">
        <v>15632</v>
      </c>
    </row>
    <row r="1914" spans="1:11">
      <c r="A1914" s="1">
        <v>46007</v>
      </c>
      <c r="B1914" t="s">
        <v>1974</v>
      </c>
      <c r="C1914">
        <v>2.9129999999999998</v>
      </c>
      <c r="I1914" s="1">
        <v>46010</v>
      </c>
      <c r="J1914" s="1" t="s">
        <v>287</v>
      </c>
      <c r="K1914" s="3">
        <v>374638.77</v>
      </c>
    </row>
    <row r="1915" spans="1:11">
      <c r="A1915" s="1">
        <v>46007</v>
      </c>
      <c r="B1915" t="s">
        <v>1975</v>
      </c>
      <c r="C1915">
        <v>2.9580000000000002</v>
      </c>
      <c r="I1915" s="1">
        <v>46010</v>
      </c>
      <c r="J1915" s="1" t="s">
        <v>288</v>
      </c>
      <c r="K1915" s="3">
        <v>-58974.61</v>
      </c>
    </row>
    <row r="1916" spans="1:11">
      <c r="A1916" s="1">
        <v>46007</v>
      </c>
      <c r="B1916" t="s">
        <v>1976</v>
      </c>
      <c r="C1916">
        <v>3.0150000000000001</v>
      </c>
      <c r="I1916" s="1">
        <v>46010</v>
      </c>
      <c r="J1916" s="1" t="s">
        <v>289</v>
      </c>
      <c r="K1916" s="3">
        <v>20</v>
      </c>
    </row>
    <row r="1917" spans="1:11">
      <c r="A1917" s="1">
        <v>46007</v>
      </c>
      <c r="B1917" t="s">
        <v>1977</v>
      </c>
      <c r="C1917">
        <v>3.121</v>
      </c>
      <c r="I1917" s="1">
        <v>46010</v>
      </c>
      <c r="J1917" s="1" t="s">
        <v>290</v>
      </c>
      <c r="K1917" s="3">
        <v>20</v>
      </c>
    </row>
    <row r="1918" spans="1:11">
      <c r="A1918" s="1">
        <v>46007</v>
      </c>
      <c r="B1918" t="s">
        <v>1978</v>
      </c>
      <c r="C1918">
        <v>3.2280000000000002</v>
      </c>
      <c r="I1918" s="1">
        <v>46009</v>
      </c>
      <c r="J1918" s="1" t="s">
        <v>282</v>
      </c>
      <c r="K1918" s="3">
        <v>1000</v>
      </c>
    </row>
    <row r="1919" spans="1:11">
      <c r="A1919" s="1">
        <v>46007</v>
      </c>
      <c r="B1919" t="s">
        <v>1979</v>
      </c>
      <c r="C1919">
        <v>3.4849999999999999</v>
      </c>
      <c r="I1919" s="1">
        <v>46009</v>
      </c>
      <c r="J1919" s="1" t="s">
        <v>283</v>
      </c>
      <c r="K1919" s="3">
        <v>7</v>
      </c>
    </row>
    <row r="1920" spans="1:11">
      <c r="A1920" s="1">
        <v>46007</v>
      </c>
      <c r="B1920" t="s">
        <v>1980</v>
      </c>
      <c r="C1920">
        <v>3.9870000000000001</v>
      </c>
      <c r="I1920" s="1">
        <v>46009</v>
      </c>
      <c r="J1920" s="1" t="s">
        <v>284</v>
      </c>
      <c r="K1920" s="3">
        <v>10000</v>
      </c>
    </row>
    <row r="1921" spans="1:11">
      <c r="A1921" s="1">
        <v>46007</v>
      </c>
      <c r="B1921" t="s">
        <v>1981</v>
      </c>
      <c r="C1921">
        <v>4.0570000000000004</v>
      </c>
      <c r="I1921" s="1">
        <v>46009</v>
      </c>
      <c r="J1921" s="1" t="s">
        <v>285</v>
      </c>
      <c r="K1921" s="3">
        <v>4.5</v>
      </c>
    </row>
    <row r="1922" spans="1:11">
      <c r="A1922" s="1">
        <v>46007</v>
      </c>
      <c r="B1922" t="s">
        <v>1982</v>
      </c>
      <c r="C1922">
        <v>4.077</v>
      </c>
      <c r="I1922" s="1">
        <v>46009</v>
      </c>
      <c r="J1922" s="1" t="s">
        <v>286</v>
      </c>
      <c r="K1922" s="3">
        <v>15739.46</v>
      </c>
    </row>
    <row r="1923" spans="1:11">
      <c r="A1923" s="1">
        <v>46007</v>
      </c>
      <c r="B1923" t="s">
        <v>1983</v>
      </c>
      <c r="C1923">
        <v>4.1340000000000003</v>
      </c>
      <c r="I1923" s="1">
        <v>46009</v>
      </c>
      <c r="J1923" s="1" t="s">
        <v>287</v>
      </c>
      <c r="K1923" s="3">
        <v>354264.77</v>
      </c>
    </row>
    <row r="1924" spans="1:11">
      <c r="A1924" s="1">
        <v>46006</v>
      </c>
      <c r="B1924" t="s">
        <v>1974</v>
      </c>
      <c r="C1924">
        <v>2.9039999999999999</v>
      </c>
      <c r="I1924" s="1">
        <v>46009</v>
      </c>
      <c r="J1924" s="1" t="s">
        <v>288</v>
      </c>
      <c r="K1924" s="3">
        <v>-64000.61</v>
      </c>
    </row>
    <row r="1925" spans="1:11">
      <c r="A1925" s="1">
        <v>46006</v>
      </c>
      <c r="B1925" t="s">
        <v>1975</v>
      </c>
      <c r="C1925">
        <v>2.95</v>
      </c>
      <c r="I1925" s="1">
        <v>46009</v>
      </c>
      <c r="J1925" s="1" t="s">
        <v>289</v>
      </c>
      <c r="K1925" s="3">
        <v>6</v>
      </c>
    </row>
    <row r="1926" spans="1:11">
      <c r="A1926" s="1">
        <v>46006</v>
      </c>
      <c r="B1926" t="s">
        <v>1976</v>
      </c>
      <c r="C1926">
        <v>3.0150000000000001</v>
      </c>
      <c r="I1926" s="1">
        <v>46009</v>
      </c>
      <c r="J1926" s="1" t="s">
        <v>290</v>
      </c>
      <c r="K1926" s="3">
        <v>6</v>
      </c>
    </row>
    <row r="1927" spans="1:11">
      <c r="A1927" s="1">
        <v>46006</v>
      </c>
      <c r="B1927" t="s">
        <v>1977</v>
      </c>
      <c r="C1927">
        <v>3.1139999999999999</v>
      </c>
      <c r="I1927" s="1">
        <v>46009</v>
      </c>
      <c r="J1927" s="1" t="s">
        <v>107</v>
      </c>
      <c r="K1927" s="3">
        <v>21167756640955</v>
      </c>
    </row>
    <row r="1928" spans="1:11">
      <c r="A1928" s="1">
        <v>46006</v>
      </c>
      <c r="B1928" t="s">
        <v>1978</v>
      </c>
      <c r="C1928">
        <v>3.214</v>
      </c>
      <c r="I1928" s="1">
        <v>46008</v>
      </c>
      <c r="J1928" s="1" t="s">
        <v>107</v>
      </c>
      <c r="K1928" s="3">
        <v>21423360807920</v>
      </c>
    </row>
    <row r="1929" spans="1:11">
      <c r="A1929" s="1">
        <v>46006</v>
      </c>
      <c r="B1929" t="s">
        <v>1979</v>
      </c>
      <c r="C1929">
        <v>3.4790000000000001</v>
      </c>
      <c r="I1929" s="1">
        <v>46008</v>
      </c>
      <c r="J1929" s="1" t="s">
        <v>282</v>
      </c>
      <c r="K1929" s="3">
        <v>1000</v>
      </c>
    </row>
    <row r="1930" spans="1:11">
      <c r="A1930" s="1">
        <v>46006</v>
      </c>
      <c r="B1930" t="s">
        <v>1980</v>
      </c>
      <c r="C1930">
        <v>3.9830000000000001</v>
      </c>
      <c r="I1930" s="1">
        <v>46008</v>
      </c>
      <c r="J1930" s="1" t="s">
        <v>283</v>
      </c>
      <c r="K1930" s="3">
        <v>7</v>
      </c>
    </row>
    <row r="1931" spans="1:11">
      <c r="A1931" s="1">
        <v>46006</v>
      </c>
      <c r="B1931" t="s">
        <v>1981</v>
      </c>
      <c r="C1931">
        <v>4.0570000000000004</v>
      </c>
      <c r="I1931" s="1">
        <v>46008</v>
      </c>
      <c r="J1931" s="1" t="s">
        <v>284</v>
      </c>
      <c r="K1931" s="3">
        <v>0</v>
      </c>
    </row>
    <row r="1932" spans="1:11">
      <c r="A1932" s="1">
        <v>46006</v>
      </c>
      <c r="B1932" t="s">
        <v>1982</v>
      </c>
      <c r="C1932">
        <v>4.077</v>
      </c>
      <c r="I1932" s="1">
        <v>46008</v>
      </c>
      <c r="J1932" s="1" t="s">
        <v>285</v>
      </c>
      <c r="K1932" s="3">
        <v>4.5</v>
      </c>
    </row>
    <row r="1933" spans="1:11">
      <c r="A1933" s="1">
        <v>46006</v>
      </c>
      <c r="B1933" t="s">
        <v>1983</v>
      </c>
      <c r="C1933">
        <v>4.1340000000000003</v>
      </c>
      <c r="I1933" s="1">
        <v>46008</v>
      </c>
      <c r="J1933" s="1" t="s">
        <v>286</v>
      </c>
      <c r="K1933" s="3">
        <v>6897.29</v>
      </c>
    </row>
    <row r="1934" spans="1:11">
      <c r="A1934" s="1">
        <v>46003</v>
      </c>
      <c r="B1934" t="s">
        <v>1974</v>
      </c>
      <c r="C1934">
        <v>2.9079999999999999</v>
      </c>
      <c r="I1934" s="1">
        <v>46008</v>
      </c>
      <c r="J1934" s="1" t="s">
        <v>287</v>
      </c>
      <c r="K1934" s="3">
        <v>360004.23</v>
      </c>
    </row>
    <row r="1935" spans="1:11">
      <c r="A1935" s="1">
        <v>46003</v>
      </c>
      <c r="B1935" t="s">
        <v>1975</v>
      </c>
      <c r="C1935">
        <v>2.9580000000000002</v>
      </c>
      <c r="I1935" s="1">
        <v>46008</v>
      </c>
      <c r="J1935" s="1" t="s">
        <v>288</v>
      </c>
      <c r="K1935" s="3">
        <v>-77416.740000000005</v>
      </c>
    </row>
    <row r="1936" spans="1:11">
      <c r="A1936" s="1">
        <v>46003</v>
      </c>
      <c r="B1936" t="s">
        <v>1976</v>
      </c>
      <c r="C1936">
        <v>3.0230000000000001</v>
      </c>
      <c r="I1936" s="1">
        <v>46008</v>
      </c>
      <c r="J1936" s="1" t="s">
        <v>289</v>
      </c>
      <c r="K1936" s="3">
        <v>0</v>
      </c>
    </row>
    <row r="1937" spans="1:11">
      <c r="A1937" s="1">
        <v>46003</v>
      </c>
      <c r="B1937" t="s">
        <v>1977</v>
      </c>
      <c r="C1937">
        <v>3.1179999999999999</v>
      </c>
      <c r="I1937" s="1">
        <v>46008</v>
      </c>
      <c r="J1937" s="1" t="s">
        <v>290</v>
      </c>
      <c r="K1937" s="3">
        <v>0</v>
      </c>
    </row>
    <row r="1938" spans="1:11">
      <c r="A1938" s="1">
        <v>46003</v>
      </c>
      <c r="B1938" t="s">
        <v>1978</v>
      </c>
      <c r="C1938">
        <v>3.214</v>
      </c>
      <c r="I1938" s="1">
        <v>46007</v>
      </c>
      <c r="J1938" s="1" t="s">
        <v>282</v>
      </c>
      <c r="K1938" s="3">
        <v>1000</v>
      </c>
    </row>
    <row r="1939" spans="1:11">
      <c r="A1939" s="1">
        <v>46003</v>
      </c>
      <c r="B1939" t="s">
        <v>1979</v>
      </c>
      <c r="C1939">
        <v>3.4740000000000002</v>
      </c>
      <c r="I1939" s="1">
        <v>46007</v>
      </c>
      <c r="J1939" s="1" t="s">
        <v>283</v>
      </c>
      <c r="K1939" s="3">
        <v>7</v>
      </c>
    </row>
    <row r="1940" spans="1:11">
      <c r="A1940" s="1">
        <v>46003</v>
      </c>
      <c r="B1940" t="s">
        <v>1980</v>
      </c>
      <c r="C1940">
        <v>3.98</v>
      </c>
      <c r="I1940" s="1">
        <v>46007</v>
      </c>
      <c r="J1940" s="1" t="s">
        <v>284</v>
      </c>
      <c r="K1940" s="3">
        <v>4311</v>
      </c>
    </row>
    <row r="1941" spans="1:11">
      <c r="A1941" s="1">
        <v>46003</v>
      </c>
      <c r="B1941" t="s">
        <v>1981</v>
      </c>
      <c r="C1941">
        <v>4.0570000000000004</v>
      </c>
      <c r="I1941" s="1">
        <v>46007</v>
      </c>
      <c r="J1941" s="1" t="s">
        <v>285</v>
      </c>
      <c r="K1941" s="3">
        <v>4.5</v>
      </c>
    </row>
    <row r="1942" spans="1:11">
      <c r="A1942" s="1">
        <v>46003</v>
      </c>
      <c r="B1942" t="s">
        <v>1982</v>
      </c>
      <c r="C1942">
        <v>4.077</v>
      </c>
      <c r="I1942" s="1">
        <v>46007</v>
      </c>
      <c r="J1942" s="1" t="s">
        <v>286</v>
      </c>
      <c r="K1942" s="3">
        <v>11749</v>
      </c>
    </row>
    <row r="1943" spans="1:11">
      <c r="A1943" s="1">
        <v>46003</v>
      </c>
      <c r="B1943" t="s">
        <v>1983</v>
      </c>
      <c r="C1943">
        <v>4.13</v>
      </c>
      <c r="I1943" s="1">
        <v>46007</v>
      </c>
      <c r="J1943" s="1" t="s">
        <v>287</v>
      </c>
      <c r="K1943" s="3">
        <v>366901.52</v>
      </c>
    </row>
    <row r="1944" spans="1:11">
      <c r="A1944" s="1">
        <v>46002</v>
      </c>
      <c r="B1944" t="s">
        <v>1974</v>
      </c>
      <c r="C1944">
        <v>2.9079999999999999</v>
      </c>
      <c r="I1944" s="1">
        <v>46007</v>
      </c>
      <c r="J1944" s="1" t="s">
        <v>288</v>
      </c>
      <c r="K1944" s="3">
        <v>-83074.03</v>
      </c>
    </row>
    <row r="1945" spans="1:11">
      <c r="A1945" s="1">
        <v>46002</v>
      </c>
      <c r="B1945" t="s">
        <v>1975</v>
      </c>
      <c r="C1945">
        <v>2.9580000000000002</v>
      </c>
      <c r="I1945" s="1">
        <v>46007</v>
      </c>
      <c r="J1945" s="1" t="s">
        <v>289</v>
      </c>
      <c r="K1945" s="3">
        <v>5</v>
      </c>
    </row>
    <row r="1946" spans="1:11">
      <c r="A1946" s="1">
        <v>46002</v>
      </c>
      <c r="B1946" t="s">
        <v>1976</v>
      </c>
      <c r="C1946">
        <v>3.0230000000000001</v>
      </c>
      <c r="I1946" s="1">
        <v>46007</v>
      </c>
      <c r="J1946" s="1" t="s">
        <v>290</v>
      </c>
      <c r="K1946" s="3">
        <v>5</v>
      </c>
    </row>
    <row r="1947" spans="1:11">
      <c r="A1947" s="1">
        <v>46002</v>
      </c>
      <c r="B1947" t="s">
        <v>1977</v>
      </c>
      <c r="C1947">
        <v>3.1179999999999999</v>
      </c>
      <c r="I1947" s="1">
        <v>46007</v>
      </c>
      <c r="J1947" s="1" t="s">
        <v>107</v>
      </c>
      <c r="K1947" s="3">
        <v>21816480775448</v>
      </c>
    </row>
    <row r="1948" spans="1:11">
      <c r="A1948" s="1">
        <v>46002</v>
      </c>
      <c r="B1948" t="s">
        <v>1978</v>
      </c>
      <c r="C1948">
        <v>3.214</v>
      </c>
      <c r="I1948" s="1">
        <v>46006</v>
      </c>
      <c r="J1948" s="1" t="s">
        <v>107</v>
      </c>
      <c r="K1948" s="3">
        <v>21816480775448</v>
      </c>
    </row>
    <row r="1949" spans="1:11">
      <c r="A1949" s="1">
        <v>46002</v>
      </c>
      <c r="B1949" t="s">
        <v>1979</v>
      </c>
      <c r="C1949">
        <v>3.472</v>
      </c>
      <c r="I1949" s="1">
        <v>46006</v>
      </c>
      <c r="J1949" s="1" t="s">
        <v>282</v>
      </c>
      <c r="K1949" s="3">
        <v>6000</v>
      </c>
    </row>
    <row r="1950" spans="1:11">
      <c r="A1950" s="1">
        <v>46002</v>
      </c>
      <c r="B1950" t="s">
        <v>1980</v>
      </c>
      <c r="C1950">
        <v>3.9830000000000001</v>
      </c>
      <c r="I1950" s="1">
        <v>46006</v>
      </c>
      <c r="J1950" s="1" t="s">
        <v>283</v>
      </c>
      <c r="K1950" s="3">
        <v>7</v>
      </c>
    </row>
    <row r="1951" spans="1:11">
      <c r="A1951" s="1">
        <v>46002</v>
      </c>
      <c r="B1951" t="s">
        <v>1981</v>
      </c>
      <c r="C1951">
        <v>4.0519999999999996</v>
      </c>
      <c r="I1951" s="1">
        <v>46006</v>
      </c>
      <c r="J1951" s="1" t="s">
        <v>284</v>
      </c>
      <c r="K1951" s="3">
        <v>15023</v>
      </c>
    </row>
    <row r="1952" spans="1:11">
      <c r="A1952" s="1">
        <v>46002</v>
      </c>
      <c r="B1952" t="s">
        <v>1982</v>
      </c>
      <c r="C1952">
        <v>4.0640000000000001</v>
      </c>
      <c r="I1952" s="1">
        <v>46006</v>
      </c>
      <c r="J1952" s="1" t="s">
        <v>285</v>
      </c>
      <c r="K1952" s="3">
        <v>4.5</v>
      </c>
    </row>
    <row r="1953" spans="1:11">
      <c r="A1953" s="1">
        <v>46002</v>
      </c>
      <c r="B1953" t="s">
        <v>1983</v>
      </c>
      <c r="C1953">
        <v>4.1180000000000003</v>
      </c>
      <c r="I1953" s="1">
        <v>46006</v>
      </c>
      <c r="J1953" s="1" t="s">
        <v>286</v>
      </c>
      <c r="K1953" s="3">
        <v>29020</v>
      </c>
    </row>
    <row r="1954" spans="1:11">
      <c r="A1954" s="1">
        <v>46001</v>
      </c>
      <c r="B1954" t="s">
        <v>1974</v>
      </c>
      <c r="C1954">
        <v>2.9079999999999999</v>
      </c>
      <c r="I1954" s="1">
        <v>46006</v>
      </c>
      <c r="J1954" s="1" t="s">
        <v>287</v>
      </c>
      <c r="K1954" s="3">
        <v>378650.52</v>
      </c>
    </row>
    <row r="1955" spans="1:11">
      <c r="A1955" s="1">
        <v>46001</v>
      </c>
      <c r="B1955" t="s">
        <v>1975</v>
      </c>
      <c r="C1955">
        <v>2.9580000000000002</v>
      </c>
      <c r="I1955" s="1">
        <v>46006</v>
      </c>
      <c r="J1955" s="1" t="s">
        <v>288</v>
      </c>
      <c r="K1955" s="3">
        <v>-73047.03</v>
      </c>
    </row>
    <row r="1956" spans="1:11">
      <c r="A1956" s="1">
        <v>46001</v>
      </c>
      <c r="B1956" t="s">
        <v>1976</v>
      </c>
      <c r="C1956">
        <v>3.0230000000000001</v>
      </c>
      <c r="I1956" s="1">
        <v>46006</v>
      </c>
      <c r="J1956" s="1" t="s">
        <v>289</v>
      </c>
      <c r="K1956" s="3">
        <v>14</v>
      </c>
    </row>
    <row r="1957" spans="1:11">
      <c r="A1957" s="1">
        <v>46001</v>
      </c>
      <c r="B1957" t="s">
        <v>1977</v>
      </c>
      <c r="C1957">
        <v>3.113</v>
      </c>
      <c r="I1957" s="1">
        <v>46006</v>
      </c>
      <c r="J1957" s="1" t="s">
        <v>290</v>
      </c>
      <c r="K1957" s="3">
        <v>14</v>
      </c>
    </row>
    <row r="1958" spans="1:11">
      <c r="A1958" s="1">
        <v>46001</v>
      </c>
      <c r="B1958" t="s">
        <v>1978</v>
      </c>
      <c r="C1958">
        <v>3.2040000000000002</v>
      </c>
      <c r="I1958" s="1">
        <v>46005</v>
      </c>
      <c r="J1958" s="1" t="s">
        <v>107</v>
      </c>
      <c r="K1958" s="3">
        <v>20891921776847</v>
      </c>
    </row>
    <row r="1959" spans="1:11">
      <c r="A1959" s="1">
        <v>46001</v>
      </c>
      <c r="B1959" t="s">
        <v>1979</v>
      </c>
      <c r="C1959">
        <v>3.4660000000000002</v>
      </c>
      <c r="I1959" s="1">
        <v>46003</v>
      </c>
      <c r="J1959" s="1" t="s">
        <v>282</v>
      </c>
      <c r="K1959" s="3">
        <v>3000</v>
      </c>
    </row>
    <row r="1960" spans="1:11">
      <c r="A1960" s="1">
        <v>46001</v>
      </c>
      <c r="B1960" t="s">
        <v>1980</v>
      </c>
      <c r="C1960">
        <v>3.956</v>
      </c>
      <c r="I1960" s="1">
        <v>46003</v>
      </c>
      <c r="J1960" s="1" t="s">
        <v>283</v>
      </c>
      <c r="K1960" s="3">
        <v>7</v>
      </c>
    </row>
    <row r="1961" spans="1:11">
      <c r="A1961" s="1">
        <v>46001</v>
      </c>
      <c r="B1961" t="s">
        <v>1981</v>
      </c>
      <c r="C1961">
        <v>4.03</v>
      </c>
      <c r="I1961" s="1">
        <v>46003</v>
      </c>
      <c r="J1961" s="1" t="s">
        <v>284</v>
      </c>
      <c r="K1961" s="3">
        <v>11900</v>
      </c>
    </row>
    <row r="1962" spans="1:11">
      <c r="A1962" s="1">
        <v>46001</v>
      </c>
      <c r="B1962" t="s">
        <v>1982</v>
      </c>
      <c r="C1962">
        <v>4.0519999999999996</v>
      </c>
      <c r="I1962" s="1">
        <v>46003</v>
      </c>
      <c r="J1962" s="1" t="s">
        <v>285</v>
      </c>
      <c r="K1962" s="3">
        <v>4.5</v>
      </c>
    </row>
    <row r="1963" spans="1:11">
      <c r="A1963" s="1">
        <v>46001</v>
      </c>
      <c r="B1963" t="s">
        <v>1983</v>
      </c>
      <c r="C1963">
        <v>4.1050000000000004</v>
      </c>
      <c r="I1963" s="1">
        <v>46003</v>
      </c>
      <c r="J1963" s="1" t="s">
        <v>286</v>
      </c>
      <c r="K1963" s="3">
        <v>11822.88</v>
      </c>
    </row>
    <row r="1964" spans="1:11">
      <c r="A1964" s="1">
        <v>46000</v>
      </c>
      <c r="B1964" t="s">
        <v>1974</v>
      </c>
      <c r="C1964">
        <v>2.9079999999999999</v>
      </c>
      <c r="I1964" s="1">
        <v>46003</v>
      </c>
      <c r="J1964" s="1" t="s">
        <v>287</v>
      </c>
      <c r="K1964" s="3">
        <v>378137.52</v>
      </c>
    </row>
    <row r="1965" spans="1:11">
      <c r="A1965" s="1">
        <v>46000</v>
      </c>
      <c r="B1965" t="s">
        <v>1975</v>
      </c>
      <c r="C1965">
        <v>2.9580000000000002</v>
      </c>
      <c r="I1965" s="1">
        <v>46003</v>
      </c>
      <c r="J1965" s="1" t="s">
        <v>288</v>
      </c>
      <c r="K1965" s="3">
        <v>-64527.75</v>
      </c>
    </row>
    <row r="1966" spans="1:11">
      <c r="A1966" s="1">
        <v>46000</v>
      </c>
      <c r="B1966" t="s">
        <v>1976</v>
      </c>
      <c r="C1966">
        <v>3.0230000000000001</v>
      </c>
      <c r="I1966" s="1">
        <v>46003</v>
      </c>
      <c r="J1966" s="1" t="s">
        <v>289</v>
      </c>
      <c r="K1966" s="3">
        <v>10</v>
      </c>
    </row>
    <row r="1967" spans="1:11">
      <c r="A1967" s="1">
        <v>46000</v>
      </c>
      <c r="B1967" t="s">
        <v>1977</v>
      </c>
      <c r="C1967">
        <v>3.113</v>
      </c>
      <c r="I1967" s="1">
        <v>46003</v>
      </c>
      <c r="J1967" s="1" t="s">
        <v>290</v>
      </c>
      <c r="K1967" s="3">
        <v>10</v>
      </c>
    </row>
    <row r="1968" spans="1:11">
      <c r="A1968" s="1">
        <v>46000</v>
      </c>
      <c r="B1968" t="s">
        <v>1978</v>
      </c>
      <c r="C1968">
        <v>3.2040000000000002</v>
      </c>
      <c r="I1968" s="1">
        <v>46002</v>
      </c>
      <c r="J1968" s="1" t="s">
        <v>282</v>
      </c>
      <c r="K1968" s="3">
        <v>8000</v>
      </c>
    </row>
    <row r="1969" spans="1:11">
      <c r="A1969" s="1">
        <v>46000</v>
      </c>
      <c r="B1969" t="s">
        <v>1979</v>
      </c>
      <c r="C1969">
        <v>3.4660000000000002</v>
      </c>
      <c r="I1969" s="1">
        <v>46002</v>
      </c>
      <c r="J1969" s="1" t="s">
        <v>283</v>
      </c>
      <c r="K1969" s="3">
        <v>7</v>
      </c>
    </row>
    <row r="1970" spans="1:11">
      <c r="A1970" s="1">
        <v>46000</v>
      </c>
      <c r="B1970" t="s">
        <v>1980</v>
      </c>
      <c r="C1970">
        <v>3.956</v>
      </c>
      <c r="I1970" s="1">
        <v>46002</v>
      </c>
      <c r="J1970" s="1" t="s">
        <v>284</v>
      </c>
      <c r="K1970" s="3">
        <v>23222</v>
      </c>
    </row>
    <row r="1971" spans="1:11">
      <c r="A1971" s="1">
        <v>46000</v>
      </c>
      <c r="B1971" t="s">
        <v>1981</v>
      </c>
      <c r="C1971">
        <v>4.03</v>
      </c>
      <c r="I1971" s="1">
        <v>46002</v>
      </c>
      <c r="J1971" s="1" t="s">
        <v>285</v>
      </c>
      <c r="K1971" s="3">
        <v>4.5</v>
      </c>
    </row>
    <row r="1972" spans="1:11">
      <c r="A1972" s="1">
        <v>46000</v>
      </c>
      <c r="B1972" t="s">
        <v>1982</v>
      </c>
      <c r="C1972">
        <v>4.048</v>
      </c>
      <c r="I1972" s="1">
        <v>46002</v>
      </c>
      <c r="J1972" s="1" t="s">
        <v>286</v>
      </c>
      <c r="K1972" s="3">
        <v>7379.62</v>
      </c>
    </row>
    <row r="1973" spans="1:11">
      <c r="A1973" s="1">
        <v>46000</v>
      </c>
      <c r="B1973" t="s">
        <v>1983</v>
      </c>
      <c r="C1973">
        <v>4.101</v>
      </c>
      <c r="I1973" s="1">
        <v>46002</v>
      </c>
      <c r="J1973" s="1" t="s">
        <v>287</v>
      </c>
      <c r="K1973" s="3">
        <v>378060.4</v>
      </c>
    </row>
    <row r="1974" spans="1:11">
      <c r="A1974" s="1">
        <v>45999</v>
      </c>
      <c r="B1974" t="s">
        <v>1974</v>
      </c>
      <c r="C1974">
        <v>2.9079999999999999</v>
      </c>
      <c r="I1974" s="1">
        <v>46002</v>
      </c>
      <c r="J1974" s="1" t="s">
        <v>288</v>
      </c>
      <c r="K1974" s="3">
        <v>-60718.63</v>
      </c>
    </row>
    <row r="1975" spans="1:11">
      <c r="A1975" s="1">
        <v>45999</v>
      </c>
      <c r="B1975" t="s">
        <v>1975</v>
      </c>
      <c r="C1975">
        <v>2.9580000000000002</v>
      </c>
      <c r="I1975" s="1">
        <v>46002</v>
      </c>
      <c r="J1975" s="1" t="s">
        <v>289</v>
      </c>
      <c r="K1975" s="3">
        <v>14</v>
      </c>
    </row>
    <row r="1976" spans="1:11">
      <c r="A1976" s="1">
        <v>45999</v>
      </c>
      <c r="B1976" t="s">
        <v>1976</v>
      </c>
      <c r="C1976">
        <v>3.0230000000000001</v>
      </c>
      <c r="I1976" s="1">
        <v>46002</v>
      </c>
      <c r="J1976" s="1" t="s">
        <v>290</v>
      </c>
      <c r="K1976" s="3">
        <v>14</v>
      </c>
    </row>
    <row r="1977" spans="1:11">
      <c r="A1977" s="1">
        <v>45999</v>
      </c>
      <c r="B1977" t="s">
        <v>1977</v>
      </c>
      <c r="C1977">
        <v>3.113</v>
      </c>
      <c r="I1977" s="1">
        <v>46002</v>
      </c>
      <c r="J1977" s="1" t="s">
        <v>107</v>
      </c>
      <c r="K1977" s="3">
        <v>22501388901178</v>
      </c>
    </row>
    <row r="1978" spans="1:11">
      <c r="A1978" s="1">
        <v>45999</v>
      </c>
      <c r="B1978" t="s">
        <v>1978</v>
      </c>
      <c r="C1978">
        <v>3.2040000000000002</v>
      </c>
      <c r="I1978" s="1">
        <v>46001</v>
      </c>
      <c r="J1978" s="1" t="s">
        <v>282</v>
      </c>
      <c r="K1978" s="3">
        <v>1000</v>
      </c>
    </row>
    <row r="1979" spans="1:11">
      <c r="A1979" s="1">
        <v>45999</v>
      </c>
      <c r="B1979" t="s">
        <v>1979</v>
      </c>
      <c r="C1979">
        <v>3.4660000000000002</v>
      </c>
      <c r="I1979" s="1">
        <v>46001</v>
      </c>
      <c r="J1979" s="1" t="s">
        <v>283</v>
      </c>
      <c r="K1979" s="3">
        <v>7</v>
      </c>
    </row>
    <row r="1980" spans="1:11">
      <c r="A1980" s="1">
        <v>45999</v>
      </c>
      <c r="B1980" t="s">
        <v>1980</v>
      </c>
      <c r="C1980">
        <v>3.956</v>
      </c>
      <c r="I1980" s="1">
        <v>46001</v>
      </c>
      <c r="J1980" s="1" t="s">
        <v>284</v>
      </c>
      <c r="K1980" s="3">
        <v>3605.4</v>
      </c>
    </row>
    <row r="1981" spans="1:11">
      <c r="A1981" s="1">
        <v>45999</v>
      </c>
      <c r="B1981" t="s">
        <v>1981</v>
      </c>
      <c r="C1981">
        <v>4.0250000000000004</v>
      </c>
      <c r="I1981" s="1">
        <v>46001</v>
      </c>
      <c r="J1981" s="1" t="s">
        <v>285</v>
      </c>
      <c r="K1981" s="3">
        <v>4.5</v>
      </c>
    </row>
    <row r="1982" spans="1:11">
      <c r="A1982" s="1">
        <v>45999</v>
      </c>
      <c r="B1982" t="s">
        <v>1982</v>
      </c>
      <c r="C1982">
        <v>4.0410000000000004</v>
      </c>
      <c r="I1982" s="1">
        <v>46001</v>
      </c>
      <c r="J1982" s="1" t="s">
        <v>286</v>
      </c>
      <c r="K1982" s="3">
        <v>5735.78</v>
      </c>
    </row>
    <row r="1983" spans="1:11">
      <c r="A1983" s="1">
        <v>45999</v>
      </c>
      <c r="B1983" t="s">
        <v>1983</v>
      </c>
      <c r="C1983">
        <v>4.0949999999999998</v>
      </c>
      <c r="I1983" s="1">
        <v>46001</v>
      </c>
      <c r="J1983" s="1" t="s">
        <v>287</v>
      </c>
      <c r="K1983" s="3">
        <v>362218.02</v>
      </c>
    </row>
    <row r="1984" spans="1:11">
      <c r="A1984" s="1">
        <v>45996</v>
      </c>
      <c r="B1984" t="s">
        <v>1974</v>
      </c>
      <c r="C1984">
        <v>2.8980000000000001</v>
      </c>
      <c r="I1984" s="1">
        <v>46001</v>
      </c>
      <c r="J1984" s="1" t="s">
        <v>288</v>
      </c>
      <c r="K1984" s="3">
        <v>-52358.79</v>
      </c>
    </row>
    <row r="1985" spans="1:11">
      <c r="A1985" s="1">
        <v>45996</v>
      </c>
      <c r="B1985" t="s">
        <v>1975</v>
      </c>
      <c r="C1985">
        <v>2.948</v>
      </c>
      <c r="I1985" s="1">
        <v>46001</v>
      </c>
      <c r="J1985" s="1" t="s">
        <v>289</v>
      </c>
      <c r="K1985" s="3">
        <v>6</v>
      </c>
    </row>
    <row r="1986" spans="1:11">
      <c r="A1986" s="1">
        <v>45996</v>
      </c>
      <c r="B1986" t="s">
        <v>1976</v>
      </c>
      <c r="C1986">
        <v>3.0129999999999999</v>
      </c>
      <c r="I1986" s="1">
        <v>46001</v>
      </c>
      <c r="J1986" s="1" t="s">
        <v>290</v>
      </c>
      <c r="K1986" s="3">
        <v>6</v>
      </c>
    </row>
    <row r="1987" spans="1:11">
      <c r="A1987" s="1">
        <v>45996</v>
      </c>
      <c r="B1987" t="s">
        <v>1977</v>
      </c>
      <c r="C1987">
        <v>3.1059999999999999</v>
      </c>
      <c r="I1987" s="1">
        <v>46001</v>
      </c>
      <c r="J1987" s="1" t="s">
        <v>107</v>
      </c>
      <c r="K1987" s="3">
        <v>21730066292018</v>
      </c>
    </row>
    <row r="1988" spans="1:11">
      <c r="A1988" s="1">
        <v>45996</v>
      </c>
      <c r="B1988" t="s">
        <v>1978</v>
      </c>
      <c r="C1988">
        <v>3.2</v>
      </c>
      <c r="I1988" s="1">
        <v>46000</v>
      </c>
      <c r="J1988" s="1" t="s">
        <v>107</v>
      </c>
      <c r="K1988" s="3">
        <v>22632552875648</v>
      </c>
    </row>
    <row r="1989" spans="1:11">
      <c r="A1989" s="1">
        <v>45996</v>
      </c>
      <c r="B1989" t="s">
        <v>1979</v>
      </c>
      <c r="C1989">
        <v>3.464</v>
      </c>
      <c r="I1989" s="1">
        <v>46000</v>
      </c>
      <c r="J1989" s="1" t="s">
        <v>282</v>
      </c>
      <c r="K1989" s="3">
        <v>2000</v>
      </c>
    </row>
    <row r="1990" spans="1:11">
      <c r="A1990" s="1">
        <v>45996</v>
      </c>
      <c r="B1990" t="s">
        <v>1980</v>
      </c>
      <c r="C1990">
        <v>3.9540000000000002</v>
      </c>
      <c r="I1990" s="1">
        <v>46000</v>
      </c>
      <c r="J1990" s="1" t="s">
        <v>283</v>
      </c>
      <c r="K1990" s="3">
        <v>7</v>
      </c>
    </row>
    <row r="1991" spans="1:11">
      <c r="A1991" s="1">
        <v>45996</v>
      </c>
      <c r="B1991" t="s">
        <v>1981</v>
      </c>
      <c r="C1991">
        <v>4.0199999999999996</v>
      </c>
      <c r="I1991" s="1">
        <v>46000</v>
      </c>
      <c r="J1991" s="1" t="s">
        <v>284</v>
      </c>
      <c r="K1991" s="3">
        <v>21865</v>
      </c>
    </row>
    <row r="1992" spans="1:11">
      <c r="A1992" s="1">
        <v>45996</v>
      </c>
      <c r="B1992" t="s">
        <v>1982</v>
      </c>
      <c r="C1992">
        <v>4.0330000000000004</v>
      </c>
      <c r="I1992" s="1">
        <v>46000</v>
      </c>
      <c r="J1992" s="1" t="s">
        <v>285</v>
      </c>
      <c r="K1992" s="3">
        <v>4.5</v>
      </c>
    </row>
    <row r="1993" spans="1:11">
      <c r="A1993" s="1">
        <v>45996</v>
      </c>
      <c r="B1993" t="s">
        <v>1983</v>
      </c>
      <c r="C1993">
        <v>4.09</v>
      </c>
      <c r="I1993" s="1">
        <v>46000</v>
      </c>
      <c r="J1993" s="1" t="s">
        <v>286</v>
      </c>
      <c r="K1993" s="3">
        <v>21921.27</v>
      </c>
    </row>
    <row r="1994" spans="1:11">
      <c r="A1994" s="1">
        <v>45995</v>
      </c>
      <c r="B1994" t="s">
        <v>1974</v>
      </c>
      <c r="C1994">
        <v>2.8809999999999998</v>
      </c>
      <c r="I1994" s="1">
        <v>46000</v>
      </c>
      <c r="J1994" s="1" t="s">
        <v>287</v>
      </c>
      <c r="K1994" s="3">
        <v>364348.4</v>
      </c>
    </row>
    <row r="1995" spans="1:11">
      <c r="A1995" s="1">
        <v>45995</v>
      </c>
      <c r="B1995" t="s">
        <v>1975</v>
      </c>
      <c r="C1995">
        <v>2.923</v>
      </c>
      <c r="I1995" s="1">
        <v>46000</v>
      </c>
      <c r="J1995" s="1" t="s">
        <v>288</v>
      </c>
      <c r="K1995" s="3">
        <v>-51197.279999999999</v>
      </c>
    </row>
    <row r="1996" spans="1:11">
      <c r="A1996" s="1">
        <v>45995</v>
      </c>
      <c r="B1996" t="s">
        <v>1976</v>
      </c>
      <c r="C1996">
        <v>2.996</v>
      </c>
      <c r="I1996" s="1">
        <v>46000</v>
      </c>
      <c r="J1996" s="1" t="s">
        <v>289</v>
      </c>
      <c r="K1996" s="3">
        <v>14</v>
      </c>
    </row>
    <row r="1997" spans="1:11">
      <c r="A1997" s="1">
        <v>45995</v>
      </c>
      <c r="B1997" t="s">
        <v>1977</v>
      </c>
      <c r="C1997">
        <v>3.0979999999999999</v>
      </c>
      <c r="I1997" s="1">
        <v>46000</v>
      </c>
      <c r="J1997" s="1" t="s">
        <v>290</v>
      </c>
      <c r="K1997" s="3">
        <v>14</v>
      </c>
    </row>
    <row r="1998" spans="1:11">
      <c r="A1998" s="1">
        <v>45995</v>
      </c>
      <c r="B1998" t="s">
        <v>1978</v>
      </c>
      <c r="C1998">
        <v>3.2</v>
      </c>
      <c r="I1998" s="1">
        <v>45999</v>
      </c>
      <c r="J1998" s="1" t="s">
        <v>107</v>
      </c>
      <c r="K1998" s="3">
        <v>22794635618210</v>
      </c>
    </row>
    <row r="1999" spans="1:11">
      <c r="A1999" s="1">
        <v>45995</v>
      </c>
      <c r="B1999" t="s">
        <v>1979</v>
      </c>
      <c r="C1999">
        <v>3.4449999999999998</v>
      </c>
      <c r="I1999" s="1">
        <v>45999</v>
      </c>
      <c r="J1999" s="1" t="s">
        <v>282</v>
      </c>
      <c r="K1999" s="3">
        <v>1000</v>
      </c>
    </row>
    <row r="2000" spans="1:11">
      <c r="A2000" s="1">
        <v>45995</v>
      </c>
      <c r="B2000" t="s">
        <v>1980</v>
      </c>
      <c r="C2000">
        <v>3.9369999999999998</v>
      </c>
      <c r="I2000" s="1">
        <v>45999</v>
      </c>
      <c r="J2000" s="1" t="s">
        <v>283</v>
      </c>
      <c r="K2000" s="3">
        <v>7</v>
      </c>
    </row>
    <row r="2001" spans="1:11">
      <c r="A2001" s="1">
        <v>45995</v>
      </c>
      <c r="B2001" t="s">
        <v>1981</v>
      </c>
      <c r="C2001">
        <v>4.0030000000000001</v>
      </c>
      <c r="I2001" s="1">
        <v>45999</v>
      </c>
      <c r="J2001" s="1" t="s">
        <v>284</v>
      </c>
      <c r="K2001" s="3">
        <v>18316</v>
      </c>
    </row>
    <row r="2002" spans="1:11">
      <c r="A2002" s="1">
        <v>45995</v>
      </c>
      <c r="B2002" t="s">
        <v>1982</v>
      </c>
      <c r="C2002">
        <v>4.0289999999999999</v>
      </c>
      <c r="I2002" s="1">
        <v>45999</v>
      </c>
      <c r="J2002" s="1" t="s">
        <v>285</v>
      </c>
      <c r="K2002" s="3">
        <v>4.5</v>
      </c>
    </row>
    <row r="2003" spans="1:11">
      <c r="A2003" s="1">
        <v>45995</v>
      </c>
      <c r="B2003" t="s">
        <v>1983</v>
      </c>
      <c r="C2003">
        <v>4.0860000000000003</v>
      </c>
      <c r="I2003" s="1">
        <v>45999</v>
      </c>
      <c r="J2003" s="1" t="s">
        <v>286</v>
      </c>
      <c r="K2003" s="3">
        <v>19992.849999999999</v>
      </c>
    </row>
    <row r="2004" spans="1:11">
      <c r="A2004" s="1">
        <v>45994</v>
      </c>
      <c r="B2004" t="s">
        <v>1974</v>
      </c>
      <c r="C2004">
        <v>2.8769999999999998</v>
      </c>
      <c r="I2004" s="1">
        <v>45999</v>
      </c>
      <c r="J2004" s="1" t="s">
        <v>287</v>
      </c>
      <c r="K2004" s="3">
        <v>364404.67</v>
      </c>
    </row>
    <row r="2005" spans="1:11">
      <c r="A2005" s="1">
        <v>45994</v>
      </c>
      <c r="B2005" t="s">
        <v>1975</v>
      </c>
      <c r="C2005">
        <v>2.915</v>
      </c>
      <c r="I2005" s="1">
        <v>45999</v>
      </c>
      <c r="J2005" s="1" t="s">
        <v>288</v>
      </c>
      <c r="K2005" s="3">
        <v>-61369.55</v>
      </c>
    </row>
    <row r="2006" spans="1:11">
      <c r="A2006" s="1">
        <v>45994</v>
      </c>
      <c r="B2006" t="s">
        <v>1976</v>
      </c>
      <c r="C2006">
        <v>2.988</v>
      </c>
      <c r="I2006" s="1">
        <v>45999</v>
      </c>
      <c r="J2006" s="1" t="s">
        <v>289</v>
      </c>
      <c r="K2006" s="3">
        <v>16</v>
      </c>
    </row>
    <row r="2007" spans="1:11">
      <c r="A2007" s="1">
        <v>45994</v>
      </c>
      <c r="B2007" t="s">
        <v>1977</v>
      </c>
      <c r="C2007">
        <v>3.09</v>
      </c>
      <c r="I2007" s="1">
        <v>45999</v>
      </c>
      <c r="J2007" s="1" t="s">
        <v>290</v>
      </c>
      <c r="K2007" s="3">
        <v>16</v>
      </c>
    </row>
    <row r="2008" spans="1:11">
      <c r="A2008" s="1">
        <v>45994</v>
      </c>
      <c r="B2008" t="s">
        <v>1978</v>
      </c>
      <c r="C2008">
        <v>3.1930000000000001</v>
      </c>
      <c r="I2008" s="1">
        <v>45998</v>
      </c>
      <c r="J2008" s="1" t="s">
        <v>107</v>
      </c>
      <c r="K2008" s="3">
        <v>22856564300285</v>
      </c>
    </row>
    <row r="2009" spans="1:11">
      <c r="A2009" s="1">
        <v>45994</v>
      </c>
      <c r="B2009" t="s">
        <v>1979</v>
      </c>
      <c r="C2009">
        <v>3.4449999999999998</v>
      </c>
      <c r="I2009" s="1">
        <v>45996</v>
      </c>
      <c r="J2009" s="1" t="s">
        <v>282</v>
      </c>
      <c r="K2009" s="3">
        <v>7000</v>
      </c>
    </row>
    <row r="2010" spans="1:11">
      <c r="A2010" s="1">
        <v>45994</v>
      </c>
      <c r="B2010" t="s">
        <v>1980</v>
      </c>
      <c r="C2010">
        <v>3.9449999999999998</v>
      </c>
      <c r="I2010" s="1">
        <v>45996</v>
      </c>
      <c r="J2010" s="1" t="s">
        <v>283</v>
      </c>
      <c r="K2010" s="3">
        <v>7</v>
      </c>
    </row>
    <row r="2011" spans="1:11">
      <c r="A2011" s="1">
        <v>45994</v>
      </c>
      <c r="B2011" t="s">
        <v>1981</v>
      </c>
      <c r="C2011">
        <v>3.9980000000000002</v>
      </c>
      <c r="I2011" s="1">
        <v>45996</v>
      </c>
      <c r="J2011" s="1" t="s">
        <v>284</v>
      </c>
      <c r="K2011" s="3">
        <v>14602</v>
      </c>
    </row>
    <row r="2012" spans="1:11">
      <c r="A2012" s="1">
        <v>45994</v>
      </c>
      <c r="B2012" t="s">
        <v>1982</v>
      </c>
      <c r="C2012">
        <v>4.01</v>
      </c>
      <c r="I2012" s="1">
        <v>45996</v>
      </c>
      <c r="J2012" s="1" t="s">
        <v>285</v>
      </c>
      <c r="K2012" s="3">
        <v>4.5</v>
      </c>
    </row>
    <row r="2013" spans="1:11">
      <c r="A2013" s="1">
        <v>45994</v>
      </c>
      <c r="B2013" t="s">
        <v>1983</v>
      </c>
      <c r="C2013">
        <v>4.0720000000000001</v>
      </c>
      <c r="I2013" s="1">
        <v>45996</v>
      </c>
      <c r="J2013" s="1" t="s">
        <v>286</v>
      </c>
      <c r="K2013" s="3">
        <v>10126.32</v>
      </c>
    </row>
    <row r="2014" spans="1:11">
      <c r="A2014" s="1">
        <v>45993</v>
      </c>
      <c r="B2014" t="s">
        <v>1974</v>
      </c>
      <c r="C2014">
        <v>2.8730000000000002</v>
      </c>
      <c r="I2014" s="1">
        <v>45996</v>
      </c>
      <c r="J2014" s="1" t="s">
        <v>287</v>
      </c>
      <c r="K2014" s="3">
        <v>366081.52</v>
      </c>
    </row>
    <row r="2015" spans="1:11">
      <c r="A2015" s="1">
        <v>45993</v>
      </c>
      <c r="B2015" t="s">
        <v>1975</v>
      </c>
      <c r="C2015">
        <v>2.91</v>
      </c>
      <c r="I2015" s="1">
        <v>45996</v>
      </c>
      <c r="J2015" s="1" t="s">
        <v>288</v>
      </c>
      <c r="K2015" s="3">
        <v>-66852.399999999994</v>
      </c>
    </row>
    <row r="2016" spans="1:11">
      <c r="A2016" s="1">
        <v>45993</v>
      </c>
      <c r="B2016" t="s">
        <v>1976</v>
      </c>
      <c r="C2016">
        <v>2.9830000000000001</v>
      </c>
      <c r="I2016" s="1">
        <v>45996</v>
      </c>
      <c r="J2016" s="1" t="s">
        <v>289</v>
      </c>
      <c r="K2016" s="3">
        <v>11</v>
      </c>
    </row>
    <row r="2017" spans="1:11">
      <c r="A2017" s="1">
        <v>45993</v>
      </c>
      <c r="B2017" t="s">
        <v>1977</v>
      </c>
      <c r="C2017">
        <v>3.0880000000000001</v>
      </c>
      <c r="I2017" s="1">
        <v>45996</v>
      </c>
      <c r="J2017" s="1" t="s">
        <v>290</v>
      </c>
      <c r="K2017" s="3">
        <v>11</v>
      </c>
    </row>
    <row r="2018" spans="1:11">
      <c r="A2018" s="1">
        <v>45993</v>
      </c>
      <c r="B2018" t="s">
        <v>1978</v>
      </c>
      <c r="C2018">
        <v>3.1930000000000001</v>
      </c>
      <c r="I2018" s="1">
        <v>45995</v>
      </c>
      <c r="J2018" s="1" t="s">
        <v>282</v>
      </c>
      <c r="K2018" s="3">
        <v>1000</v>
      </c>
    </row>
    <row r="2019" spans="1:11">
      <c r="A2019" s="1">
        <v>45993</v>
      </c>
      <c r="B2019" t="s">
        <v>1979</v>
      </c>
      <c r="C2019">
        <v>3.4420000000000002</v>
      </c>
      <c r="I2019" s="1">
        <v>45995</v>
      </c>
      <c r="J2019" s="1" t="s">
        <v>283</v>
      </c>
      <c r="K2019" s="3">
        <v>7</v>
      </c>
    </row>
    <row r="2020" spans="1:11">
      <c r="A2020" s="1">
        <v>45993</v>
      </c>
      <c r="B2020" t="s">
        <v>1980</v>
      </c>
      <c r="C2020">
        <v>3.9260000000000002</v>
      </c>
      <c r="I2020" s="1">
        <v>45995</v>
      </c>
      <c r="J2020" s="1" t="s">
        <v>284</v>
      </c>
      <c r="K2020" s="3">
        <v>17487</v>
      </c>
    </row>
    <row r="2021" spans="1:11">
      <c r="A2021" s="1">
        <v>45993</v>
      </c>
      <c r="B2021" t="s">
        <v>1981</v>
      </c>
      <c r="C2021">
        <v>3.9830000000000001</v>
      </c>
      <c r="I2021" s="1">
        <v>45995</v>
      </c>
      <c r="J2021" s="1" t="s">
        <v>285</v>
      </c>
      <c r="K2021" s="3">
        <v>4.5</v>
      </c>
    </row>
    <row r="2022" spans="1:11">
      <c r="A2022" s="1">
        <v>45993</v>
      </c>
      <c r="B2022" t="s">
        <v>1982</v>
      </c>
      <c r="C2022">
        <v>3.9980000000000002</v>
      </c>
      <c r="I2022" s="1">
        <v>45995</v>
      </c>
      <c r="J2022" s="1" t="s">
        <v>286</v>
      </c>
      <c r="K2022" s="3">
        <v>14276.53</v>
      </c>
    </row>
    <row r="2023" spans="1:11">
      <c r="A2023" s="1">
        <v>45993</v>
      </c>
      <c r="B2023" t="s">
        <v>1983</v>
      </c>
      <c r="C2023">
        <v>4.0590000000000002</v>
      </c>
      <c r="I2023" s="1">
        <v>45995</v>
      </c>
      <c r="J2023" s="1" t="s">
        <v>287</v>
      </c>
      <c r="K2023" s="3">
        <v>361605.84</v>
      </c>
    </row>
    <row r="2024" spans="1:11">
      <c r="A2024" s="1">
        <v>45992</v>
      </c>
      <c r="B2024" t="s">
        <v>1974</v>
      </c>
      <c r="C2024">
        <v>2.8650000000000002</v>
      </c>
      <c r="I2024" s="1">
        <v>45995</v>
      </c>
      <c r="J2024" s="1" t="s">
        <v>288</v>
      </c>
      <c r="K2024" s="3">
        <v>-65155.839999999997</v>
      </c>
    </row>
    <row r="2025" spans="1:11">
      <c r="A2025" s="1">
        <v>45992</v>
      </c>
      <c r="B2025" t="s">
        <v>1975</v>
      </c>
      <c r="C2025">
        <v>2.9020000000000001</v>
      </c>
      <c r="I2025" s="1">
        <v>45995</v>
      </c>
      <c r="J2025" s="1" t="s">
        <v>289</v>
      </c>
      <c r="K2025" s="3">
        <v>15</v>
      </c>
    </row>
    <row r="2026" spans="1:11">
      <c r="A2026" s="1">
        <v>45992</v>
      </c>
      <c r="B2026" t="s">
        <v>1976</v>
      </c>
      <c r="C2026">
        <v>2.9750000000000001</v>
      </c>
      <c r="I2026" s="1">
        <v>45995</v>
      </c>
      <c r="J2026" s="1" t="s">
        <v>290</v>
      </c>
      <c r="K2026" s="3">
        <v>15</v>
      </c>
    </row>
    <row r="2027" spans="1:11">
      <c r="A2027" s="1">
        <v>45992</v>
      </c>
      <c r="B2027" t="s">
        <v>1977</v>
      </c>
      <c r="C2027">
        <v>3.08</v>
      </c>
      <c r="I2027" s="1">
        <v>45995</v>
      </c>
      <c r="J2027" s="1" t="s">
        <v>107</v>
      </c>
      <c r="K2027" s="3">
        <v>23810198739319</v>
      </c>
    </row>
    <row r="2028" spans="1:11">
      <c r="A2028" s="1">
        <v>45992</v>
      </c>
      <c r="B2028" t="s">
        <v>1978</v>
      </c>
      <c r="C2028">
        <v>3.1859999999999999</v>
      </c>
      <c r="I2028" s="1">
        <v>45994</v>
      </c>
      <c r="J2028" s="1" t="s">
        <v>282</v>
      </c>
      <c r="K2028" s="3">
        <v>1000</v>
      </c>
    </row>
    <row r="2029" spans="1:11">
      <c r="A2029" s="1">
        <v>45992</v>
      </c>
      <c r="B2029" t="s">
        <v>1979</v>
      </c>
      <c r="C2029">
        <v>3.4420000000000002</v>
      </c>
      <c r="I2029" s="1">
        <v>45994</v>
      </c>
      <c r="J2029" s="1" t="s">
        <v>283</v>
      </c>
      <c r="K2029" s="3">
        <v>7</v>
      </c>
    </row>
    <row r="2030" spans="1:11">
      <c r="A2030" s="1">
        <v>45992</v>
      </c>
      <c r="B2030" t="s">
        <v>1980</v>
      </c>
      <c r="C2030">
        <v>3.911</v>
      </c>
      <c r="I2030" s="1">
        <v>45994</v>
      </c>
      <c r="J2030" s="1" t="s">
        <v>284</v>
      </c>
      <c r="K2030" s="3">
        <v>17814</v>
      </c>
    </row>
    <row r="2031" spans="1:11">
      <c r="A2031" s="1">
        <v>45992</v>
      </c>
      <c r="B2031" t="s">
        <v>1981</v>
      </c>
      <c r="C2031">
        <v>3.9780000000000002</v>
      </c>
      <c r="I2031" s="1">
        <v>45994</v>
      </c>
      <c r="J2031" s="1" t="s">
        <v>285</v>
      </c>
      <c r="K2031" s="3">
        <v>4</v>
      </c>
    </row>
    <row r="2032" spans="1:11">
      <c r="A2032" s="1">
        <v>45992</v>
      </c>
      <c r="B2032" t="s">
        <v>1982</v>
      </c>
      <c r="C2032">
        <v>3.9929999999999999</v>
      </c>
      <c r="I2032" s="1">
        <v>45994</v>
      </c>
      <c r="J2032" s="1" t="s">
        <v>286</v>
      </c>
      <c r="K2032" s="3">
        <v>18912</v>
      </c>
    </row>
    <row r="2033" spans="1:11">
      <c r="A2033" s="1">
        <v>45992</v>
      </c>
      <c r="B2033" t="s">
        <v>1983</v>
      </c>
      <c r="C2033">
        <v>4.0510000000000002</v>
      </c>
      <c r="I2033" s="1">
        <v>45994</v>
      </c>
      <c r="J2033" s="1" t="s">
        <v>287</v>
      </c>
      <c r="K2033" s="3">
        <v>358395.37</v>
      </c>
    </row>
    <row r="2034" spans="1:11">
      <c r="A2034" s="1">
        <v>45989</v>
      </c>
      <c r="B2034" t="s">
        <v>1974</v>
      </c>
      <c r="C2034">
        <v>2.86</v>
      </c>
      <c r="I2034" s="1">
        <v>45994</v>
      </c>
      <c r="J2034" s="1" t="s">
        <v>288</v>
      </c>
      <c r="K2034" s="3">
        <v>-72052.75</v>
      </c>
    </row>
    <row r="2035" spans="1:11">
      <c r="A2035" s="1">
        <v>45989</v>
      </c>
      <c r="B2035" t="s">
        <v>1975</v>
      </c>
      <c r="C2035">
        <v>2.8980000000000001</v>
      </c>
      <c r="I2035" s="1">
        <v>45994</v>
      </c>
      <c r="J2035" s="1" t="s">
        <v>289</v>
      </c>
      <c r="K2035" s="3">
        <v>15</v>
      </c>
    </row>
    <row r="2036" spans="1:11">
      <c r="A2036" s="1">
        <v>45989</v>
      </c>
      <c r="B2036" t="s">
        <v>1976</v>
      </c>
      <c r="C2036">
        <v>2.9710000000000001</v>
      </c>
      <c r="I2036" s="1">
        <v>45994</v>
      </c>
      <c r="J2036" s="1" t="s">
        <v>290</v>
      </c>
      <c r="K2036" s="3">
        <v>15</v>
      </c>
    </row>
    <row r="2037" spans="1:11">
      <c r="A2037" s="1">
        <v>45989</v>
      </c>
      <c r="B2037" t="s">
        <v>1977</v>
      </c>
      <c r="C2037">
        <v>3.0779999999999998</v>
      </c>
      <c r="I2037" s="1">
        <v>45994</v>
      </c>
      <c r="J2037" s="1" t="s">
        <v>107</v>
      </c>
      <c r="K2037" s="3">
        <v>23984880859173</v>
      </c>
    </row>
    <row r="2038" spans="1:11">
      <c r="A2038" s="1">
        <v>45989</v>
      </c>
      <c r="B2038" t="s">
        <v>1978</v>
      </c>
      <c r="C2038">
        <v>3.1859999999999999</v>
      </c>
      <c r="I2038" s="1">
        <v>45993</v>
      </c>
      <c r="J2038" s="1" t="s">
        <v>282</v>
      </c>
      <c r="K2038" s="3">
        <v>7000</v>
      </c>
    </row>
    <row r="2039" spans="1:11">
      <c r="A2039" s="1">
        <v>45989</v>
      </c>
      <c r="B2039" t="s">
        <v>1979</v>
      </c>
      <c r="C2039">
        <v>3.4359999999999999</v>
      </c>
      <c r="I2039" s="1">
        <v>45993</v>
      </c>
      <c r="J2039" s="1" t="s">
        <v>283</v>
      </c>
      <c r="K2039" s="3">
        <v>7</v>
      </c>
    </row>
    <row r="2040" spans="1:11">
      <c r="A2040" s="1">
        <v>45989</v>
      </c>
      <c r="B2040" t="s">
        <v>1980</v>
      </c>
      <c r="C2040">
        <v>3.8919999999999999</v>
      </c>
      <c r="I2040" s="1">
        <v>45993</v>
      </c>
      <c r="J2040" s="1" t="s">
        <v>284</v>
      </c>
      <c r="K2040" s="3">
        <v>28147</v>
      </c>
    </row>
    <row r="2041" spans="1:11">
      <c r="A2041" s="1">
        <v>45989</v>
      </c>
      <c r="B2041" t="s">
        <v>1981</v>
      </c>
      <c r="C2041">
        <v>3.9670000000000001</v>
      </c>
      <c r="I2041" s="1">
        <v>45993</v>
      </c>
      <c r="J2041" s="1" t="s">
        <v>285</v>
      </c>
      <c r="K2041" s="3">
        <v>4</v>
      </c>
    </row>
    <row r="2042" spans="1:11">
      <c r="A2042" s="1">
        <v>45989</v>
      </c>
      <c r="B2042" t="s">
        <v>1982</v>
      </c>
      <c r="C2042">
        <v>3.9830000000000001</v>
      </c>
      <c r="I2042" s="1">
        <v>45993</v>
      </c>
      <c r="J2042" s="1" t="s">
        <v>286</v>
      </c>
      <c r="K2042" s="3">
        <v>11495</v>
      </c>
    </row>
    <row r="2043" spans="1:11">
      <c r="A2043" s="1">
        <v>45989</v>
      </c>
      <c r="B2043" t="s">
        <v>1983</v>
      </c>
      <c r="C2043">
        <v>4.0410000000000004</v>
      </c>
      <c r="I2043" s="1">
        <v>45993</v>
      </c>
      <c r="J2043" s="1" t="s">
        <v>287</v>
      </c>
      <c r="K2043" s="3">
        <v>359493.37</v>
      </c>
    </row>
    <row r="2044" spans="1:11">
      <c r="A2044" s="1">
        <v>45988</v>
      </c>
      <c r="B2044" t="s">
        <v>1974</v>
      </c>
      <c r="C2044">
        <v>2.86</v>
      </c>
      <c r="I2044" s="1">
        <v>45993</v>
      </c>
      <c r="J2044" s="1" t="s">
        <v>288</v>
      </c>
      <c r="K2044" s="3">
        <v>-85228.97</v>
      </c>
    </row>
    <row r="2045" spans="1:11">
      <c r="A2045" s="1">
        <v>45988</v>
      </c>
      <c r="B2045" t="s">
        <v>1975</v>
      </c>
      <c r="C2045">
        <v>2.8980000000000001</v>
      </c>
      <c r="I2045" s="1">
        <v>45993</v>
      </c>
      <c r="J2045" s="1" t="s">
        <v>289</v>
      </c>
      <c r="K2045" s="3">
        <v>20</v>
      </c>
    </row>
    <row r="2046" spans="1:11">
      <c r="A2046" s="1">
        <v>45988</v>
      </c>
      <c r="B2046" t="s">
        <v>1976</v>
      </c>
      <c r="C2046">
        <v>2.9710000000000001</v>
      </c>
      <c r="I2046" s="1">
        <v>45993</v>
      </c>
      <c r="J2046" s="1" t="s">
        <v>290</v>
      </c>
      <c r="K2046" s="3">
        <v>20</v>
      </c>
    </row>
    <row r="2047" spans="1:11">
      <c r="A2047" s="1">
        <v>45988</v>
      </c>
      <c r="B2047" t="s">
        <v>1977</v>
      </c>
      <c r="C2047">
        <v>3.0779999999999998</v>
      </c>
      <c r="I2047" s="1">
        <v>45993</v>
      </c>
      <c r="J2047" s="1" t="s">
        <v>107</v>
      </c>
      <c r="K2047" s="3">
        <v>22827710867084</v>
      </c>
    </row>
    <row r="2048" spans="1:11">
      <c r="A2048" s="1">
        <v>45988</v>
      </c>
      <c r="B2048" t="s">
        <v>1978</v>
      </c>
      <c r="C2048">
        <v>3.1859999999999999</v>
      </c>
      <c r="I2048" s="1">
        <v>45992</v>
      </c>
      <c r="J2048" s="1" t="s">
        <v>107</v>
      </c>
      <c r="K2048" s="3">
        <v>21297296154332</v>
      </c>
    </row>
    <row r="2049" spans="1:11">
      <c r="A2049" s="1">
        <v>45988</v>
      </c>
      <c r="B2049" t="s">
        <v>1979</v>
      </c>
      <c r="C2049">
        <v>3.4359999999999999</v>
      </c>
      <c r="I2049" s="1">
        <v>45992</v>
      </c>
      <c r="J2049" s="1" t="s">
        <v>282</v>
      </c>
      <c r="K2049" s="3">
        <v>7000</v>
      </c>
    </row>
    <row r="2050" spans="1:11">
      <c r="A2050" s="1">
        <v>45988</v>
      </c>
      <c r="B2050" t="s">
        <v>1980</v>
      </c>
      <c r="C2050">
        <v>3.8959999999999999</v>
      </c>
      <c r="I2050" s="1">
        <v>45992</v>
      </c>
      <c r="J2050" s="1" t="s">
        <v>283</v>
      </c>
      <c r="K2050" s="3">
        <v>7</v>
      </c>
    </row>
    <row r="2051" spans="1:11">
      <c r="A2051" s="1">
        <v>45988</v>
      </c>
      <c r="B2051" t="s">
        <v>1981</v>
      </c>
      <c r="C2051">
        <v>3.9540000000000002</v>
      </c>
      <c r="I2051" s="1">
        <v>45992</v>
      </c>
      <c r="J2051" s="1" t="s">
        <v>284</v>
      </c>
      <c r="K2051" s="3">
        <v>37709</v>
      </c>
    </row>
    <row r="2052" spans="1:11">
      <c r="A2052" s="1">
        <v>45988</v>
      </c>
      <c r="B2052" t="s">
        <v>1982</v>
      </c>
      <c r="C2052">
        <v>3.9830000000000001</v>
      </c>
      <c r="I2052" s="1">
        <v>45992</v>
      </c>
      <c r="J2052" s="1" t="s">
        <v>285</v>
      </c>
      <c r="K2052" s="3">
        <v>4</v>
      </c>
    </row>
    <row r="2053" spans="1:11">
      <c r="A2053" s="1">
        <v>45988</v>
      </c>
      <c r="B2053" t="s">
        <v>1983</v>
      </c>
      <c r="C2053">
        <v>4.0410000000000004</v>
      </c>
      <c r="I2053" s="1">
        <v>45992</v>
      </c>
      <c r="J2053" s="1" t="s">
        <v>286</v>
      </c>
      <c r="K2053" s="3">
        <v>25630</v>
      </c>
    </row>
    <row r="2054" spans="1:11">
      <c r="A2054" s="1">
        <v>45987</v>
      </c>
      <c r="B2054" t="s">
        <v>1974</v>
      </c>
      <c r="C2054">
        <v>2.86</v>
      </c>
      <c r="I2054" s="1">
        <v>45992</v>
      </c>
      <c r="J2054" s="1" t="s">
        <v>287</v>
      </c>
      <c r="K2054" s="3">
        <v>342841.37</v>
      </c>
    </row>
    <row r="2055" spans="1:11">
      <c r="A2055" s="1">
        <v>45987</v>
      </c>
      <c r="B2055" t="s">
        <v>1975</v>
      </c>
      <c r="C2055">
        <v>2.8980000000000001</v>
      </c>
      <c r="I2055" s="1">
        <v>45992</v>
      </c>
      <c r="J2055" s="1" t="s">
        <v>288</v>
      </c>
      <c r="K2055" s="3">
        <v>-74802.7</v>
      </c>
    </row>
    <row r="2056" spans="1:11">
      <c r="A2056" s="1">
        <v>45987</v>
      </c>
      <c r="B2056" t="s">
        <v>1976</v>
      </c>
      <c r="C2056">
        <v>2.9710000000000001</v>
      </c>
      <c r="I2056" s="1">
        <v>45992</v>
      </c>
      <c r="J2056" s="1" t="s">
        <v>289</v>
      </c>
      <c r="K2056" s="3">
        <v>26</v>
      </c>
    </row>
    <row r="2057" spans="1:11">
      <c r="A2057" s="1">
        <v>45987</v>
      </c>
      <c r="B2057" t="s">
        <v>1977</v>
      </c>
      <c r="C2057">
        <v>3.0779999999999998</v>
      </c>
      <c r="I2057" s="1">
        <v>45992</v>
      </c>
      <c r="J2057" s="1" t="s">
        <v>290</v>
      </c>
      <c r="K2057" s="3">
        <v>26</v>
      </c>
    </row>
    <row r="2058" spans="1:11">
      <c r="A2058" s="1">
        <v>45987</v>
      </c>
      <c r="B2058" t="s">
        <v>1978</v>
      </c>
      <c r="C2058">
        <v>3.1859999999999999</v>
      </c>
      <c r="I2058" s="1">
        <v>45991</v>
      </c>
      <c r="J2058" s="1" t="s">
        <v>107</v>
      </c>
      <c r="K2058" s="3">
        <v>20918909115969</v>
      </c>
    </row>
    <row r="2059" spans="1:11">
      <c r="A2059" s="1">
        <v>45987</v>
      </c>
      <c r="B2059" t="s">
        <v>1979</v>
      </c>
      <c r="C2059">
        <v>3.4359999999999999</v>
      </c>
      <c r="I2059" s="1">
        <v>45989</v>
      </c>
      <c r="J2059" s="1" t="s">
        <v>282</v>
      </c>
      <c r="K2059" s="3">
        <v>1000</v>
      </c>
    </row>
    <row r="2060" spans="1:11">
      <c r="A2060" s="1">
        <v>45987</v>
      </c>
      <c r="B2060" t="s">
        <v>1980</v>
      </c>
      <c r="C2060">
        <v>3.8650000000000002</v>
      </c>
      <c r="I2060" s="1">
        <v>45989</v>
      </c>
      <c r="J2060" s="1" t="s">
        <v>283</v>
      </c>
      <c r="K2060" s="3">
        <v>7</v>
      </c>
    </row>
    <row r="2061" spans="1:11">
      <c r="A2061" s="1">
        <v>45987</v>
      </c>
      <c r="B2061" t="s">
        <v>1981</v>
      </c>
      <c r="C2061">
        <v>3.9489999999999998</v>
      </c>
      <c r="I2061" s="1">
        <v>45989</v>
      </c>
      <c r="J2061" s="1" t="s">
        <v>284</v>
      </c>
      <c r="K2061" s="3">
        <v>11874.1</v>
      </c>
    </row>
    <row r="2062" spans="1:11">
      <c r="A2062" s="1">
        <v>45987</v>
      </c>
      <c r="B2062" t="s">
        <v>1982</v>
      </c>
      <c r="C2062">
        <v>3.9830000000000001</v>
      </c>
      <c r="I2062" s="1">
        <v>45989</v>
      </c>
      <c r="J2062" s="1" t="s">
        <v>285</v>
      </c>
      <c r="K2062" s="3">
        <v>4</v>
      </c>
    </row>
    <row r="2063" spans="1:11">
      <c r="A2063" s="1">
        <v>45987</v>
      </c>
      <c r="B2063" t="s">
        <v>1983</v>
      </c>
      <c r="C2063">
        <v>4.0410000000000004</v>
      </c>
      <c r="I2063" s="1">
        <v>45989</v>
      </c>
      <c r="J2063" s="1" t="s">
        <v>286</v>
      </c>
      <c r="K2063" s="3">
        <v>11729.48</v>
      </c>
    </row>
    <row r="2064" spans="1:11">
      <c r="A2064" s="1">
        <v>45986</v>
      </c>
      <c r="B2064" t="s">
        <v>1974</v>
      </c>
      <c r="C2064">
        <v>2.86</v>
      </c>
      <c r="I2064" s="1">
        <v>45989</v>
      </c>
      <c r="J2064" s="1" t="s">
        <v>287</v>
      </c>
      <c r="K2064" s="3">
        <v>330762.37</v>
      </c>
    </row>
    <row r="2065" spans="1:11">
      <c r="A2065" s="1">
        <v>45986</v>
      </c>
      <c r="B2065" t="s">
        <v>1975</v>
      </c>
      <c r="C2065">
        <v>2.8980000000000001</v>
      </c>
      <c r="I2065" s="1">
        <v>45989</v>
      </c>
      <c r="J2065" s="1" t="s">
        <v>288</v>
      </c>
      <c r="K2065" s="3">
        <v>-80439.850000000006</v>
      </c>
    </row>
    <row r="2066" spans="1:11">
      <c r="A2066" s="1">
        <v>45986</v>
      </c>
      <c r="B2066" t="s">
        <v>1976</v>
      </c>
      <c r="C2066">
        <v>2.9710000000000001</v>
      </c>
      <c r="I2066" s="1">
        <v>45989</v>
      </c>
      <c r="J2066" s="1" t="s">
        <v>289</v>
      </c>
      <c r="K2066" s="3">
        <v>7</v>
      </c>
    </row>
    <row r="2067" spans="1:11">
      <c r="A2067" s="1">
        <v>45986</v>
      </c>
      <c r="B2067" t="s">
        <v>1977</v>
      </c>
      <c r="C2067">
        <v>3.0779999999999998</v>
      </c>
      <c r="I2067" s="1">
        <v>45989</v>
      </c>
      <c r="J2067" s="1" t="s">
        <v>290</v>
      </c>
      <c r="K2067" s="3">
        <v>7</v>
      </c>
    </row>
    <row r="2068" spans="1:11">
      <c r="A2068" s="1">
        <v>45986</v>
      </c>
      <c r="B2068" t="s">
        <v>1978</v>
      </c>
      <c r="C2068">
        <v>3.1859999999999999</v>
      </c>
      <c r="I2068" s="1">
        <v>45988</v>
      </c>
      <c r="J2068" s="1" t="s">
        <v>107</v>
      </c>
      <c r="K2068" s="3">
        <v>19977685668453</v>
      </c>
    </row>
    <row r="2069" spans="1:11">
      <c r="A2069" s="1">
        <v>45986</v>
      </c>
      <c r="B2069" t="s">
        <v>1979</v>
      </c>
      <c r="C2069">
        <v>3.4359999999999999</v>
      </c>
      <c r="I2069" s="1">
        <v>45988</v>
      </c>
      <c r="J2069" s="1" t="s">
        <v>282</v>
      </c>
      <c r="K2069" s="3">
        <v>2000</v>
      </c>
    </row>
    <row r="2070" spans="1:11">
      <c r="A2070" s="1">
        <v>45986</v>
      </c>
      <c r="B2070" t="s">
        <v>1980</v>
      </c>
      <c r="C2070">
        <v>3.8759999999999999</v>
      </c>
      <c r="I2070" s="1">
        <v>45988</v>
      </c>
      <c r="J2070" s="1" t="s">
        <v>283</v>
      </c>
      <c r="K2070" s="3">
        <v>7</v>
      </c>
    </row>
    <row r="2071" spans="1:11">
      <c r="A2071" s="1">
        <v>45986</v>
      </c>
      <c r="B2071" t="s">
        <v>1981</v>
      </c>
      <c r="C2071">
        <v>3.9489999999999998</v>
      </c>
      <c r="I2071" s="1">
        <v>45988</v>
      </c>
      <c r="J2071" s="1" t="s">
        <v>284</v>
      </c>
      <c r="K2071" s="3">
        <v>10314</v>
      </c>
    </row>
    <row r="2072" spans="1:11">
      <c r="A2072" s="1">
        <v>45986</v>
      </c>
      <c r="B2072" t="s">
        <v>1982</v>
      </c>
      <c r="C2072">
        <v>3.9830000000000001</v>
      </c>
      <c r="I2072" s="1">
        <v>45988</v>
      </c>
      <c r="J2072" s="1" t="s">
        <v>285</v>
      </c>
      <c r="K2072" s="3">
        <v>4</v>
      </c>
    </row>
    <row r="2073" spans="1:11">
      <c r="A2073" s="1">
        <v>45986</v>
      </c>
      <c r="B2073" t="s">
        <v>1983</v>
      </c>
      <c r="C2073">
        <v>4.0410000000000004</v>
      </c>
      <c r="I2073" s="1">
        <v>45988</v>
      </c>
      <c r="J2073" s="1" t="s">
        <v>286</v>
      </c>
      <c r="K2073" s="3">
        <v>3119.6</v>
      </c>
    </row>
    <row r="2074" spans="1:11">
      <c r="A2074" s="1">
        <v>45985</v>
      </c>
      <c r="B2074" t="s">
        <v>1974</v>
      </c>
      <c r="C2074">
        <v>2.86</v>
      </c>
      <c r="I2074" s="1">
        <v>45988</v>
      </c>
      <c r="J2074" s="1" t="s">
        <v>287</v>
      </c>
      <c r="K2074" s="3">
        <v>330617.75</v>
      </c>
    </row>
    <row r="2075" spans="1:11">
      <c r="A2075" s="1">
        <v>45985</v>
      </c>
      <c r="B2075" t="s">
        <v>1975</v>
      </c>
      <c r="C2075">
        <v>2.8980000000000001</v>
      </c>
      <c r="I2075" s="1">
        <v>45988</v>
      </c>
      <c r="J2075" s="1" t="s">
        <v>288</v>
      </c>
      <c r="K2075" s="3">
        <v>-82043.009999999995</v>
      </c>
    </row>
    <row r="2076" spans="1:11">
      <c r="A2076" s="1">
        <v>45985</v>
      </c>
      <c r="B2076" t="s">
        <v>1976</v>
      </c>
      <c r="C2076">
        <v>2.9710000000000001</v>
      </c>
      <c r="I2076" s="1">
        <v>45988</v>
      </c>
      <c r="J2076" s="1" t="s">
        <v>289</v>
      </c>
      <c r="K2076" s="3">
        <v>6</v>
      </c>
    </row>
    <row r="2077" spans="1:11">
      <c r="A2077" s="1">
        <v>45985</v>
      </c>
      <c r="B2077" t="s">
        <v>1977</v>
      </c>
      <c r="C2077">
        <v>3.0779999999999998</v>
      </c>
      <c r="I2077" s="1">
        <v>45988</v>
      </c>
      <c r="J2077" s="1" t="s">
        <v>290</v>
      </c>
      <c r="K2077" s="3">
        <v>6</v>
      </c>
    </row>
    <row r="2078" spans="1:11">
      <c r="A2078" s="1">
        <v>45985</v>
      </c>
      <c r="B2078" t="s">
        <v>1978</v>
      </c>
      <c r="C2078">
        <v>3.1859999999999999</v>
      </c>
      <c r="I2078" s="1">
        <v>45987</v>
      </c>
      <c r="J2078" s="1" t="s">
        <v>282</v>
      </c>
      <c r="K2078" s="3">
        <v>1000</v>
      </c>
    </row>
    <row r="2079" spans="1:11">
      <c r="A2079" s="1">
        <v>45985</v>
      </c>
      <c r="B2079" t="s">
        <v>1979</v>
      </c>
      <c r="C2079">
        <v>3.4359999999999999</v>
      </c>
      <c r="I2079" s="1">
        <v>45987</v>
      </c>
      <c r="J2079" s="1" t="s">
        <v>283</v>
      </c>
      <c r="K2079" s="3">
        <v>7</v>
      </c>
    </row>
    <row r="2080" spans="1:11">
      <c r="A2080" s="1">
        <v>45985</v>
      </c>
      <c r="B2080" t="s">
        <v>1980</v>
      </c>
      <c r="C2080">
        <v>3.8780000000000001</v>
      </c>
      <c r="I2080" s="1">
        <v>45987</v>
      </c>
      <c r="J2080" s="1" t="s">
        <v>284</v>
      </c>
      <c r="K2080" s="3">
        <v>5240.08</v>
      </c>
    </row>
    <row r="2081" spans="1:11">
      <c r="A2081" s="1">
        <v>45985</v>
      </c>
      <c r="B2081" t="s">
        <v>1981</v>
      </c>
      <c r="C2081">
        <v>3.9489999999999998</v>
      </c>
      <c r="I2081" s="1">
        <v>45987</v>
      </c>
      <c r="J2081" s="1" t="s">
        <v>285</v>
      </c>
      <c r="K2081" s="3">
        <v>4</v>
      </c>
    </row>
    <row r="2082" spans="1:11">
      <c r="A2082" s="1">
        <v>45985</v>
      </c>
      <c r="B2082" t="s">
        <v>1982</v>
      </c>
      <c r="C2082">
        <v>3.9830000000000001</v>
      </c>
      <c r="I2082" s="1">
        <v>45987</v>
      </c>
      <c r="J2082" s="1" t="s">
        <v>286</v>
      </c>
      <c r="K2082" s="3">
        <v>3474</v>
      </c>
    </row>
    <row r="2083" spans="1:11">
      <c r="A2083" s="1">
        <v>45985</v>
      </c>
      <c r="B2083" t="s">
        <v>1983</v>
      </c>
      <c r="C2083">
        <v>4.0410000000000004</v>
      </c>
      <c r="I2083" s="1">
        <v>45987</v>
      </c>
      <c r="J2083" s="1" t="s">
        <v>287</v>
      </c>
      <c r="K2083" s="3">
        <v>323423.34999999998</v>
      </c>
    </row>
    <row r="2084" spans="1:11">
      <c r="A2084" s="1">
        <v>45982</v>
      </c>
      <c r="B2084" t="s">
        <v>1974</v>
      </c>
      <c r="C2084">
        <v>2.86</v>
      </c>
      <c r="I2084" s="1">
        <v>45987</v>
      </c>
      <c r="J2084" s="1" t="s">
        <v>288</v>
      </c>
      <c r="K2084" s="3">
        <v>-70886.080000000002</v>
      </c>
    </row>
    <row r="2085" spans="1:11">
      <c r="A2085" s="1">
        <v>45982</v>
      </c>
      <c r="B2085" t="s">
        <v>1975</v>
      </c>
      <c r="C2085">
        <v>2.8980000000000001</v>
      </c>
      <c r="I2085" s="1">
        <v>45987</v>
      </c>
      <c r="J2085" s="1" t="s">
        <v>289</v>
      </c>
      <c r="K2085" s="3">
        <v>5</v>
      </c>
    </row>
    <row r="2086" spans="1:11">
      <c r="A2086" s="1">
        <v>45982</v>
      </c>
      <c r="B2086" t="s">
        <v>1976</v>
      </c>
      <c r="C2086">
        <v>2.9710000000000001</v>
      </c>
      <c r="I2086" s="1">
        <v>45987</v>
      </c>
      <c r="J2086" s="1" t="s">
        <v>290</v>
      </c>
      <c r="K2086" s="3">
        <v>5</v>
      </c>
    </row>
    <row r="2087" spans="1:11">
      <c r="A2087" s="1">
        <v>45982</v>
      </c>
      <c r="B2087" t="s">
        <v>1977</v>
      </c>
      <c r="C2087">
        <v>3.0779999999999998</v>
      </c>
      <c r="I2087" s="1">
        <v>45987</v>
      </c>
      <c r="J2087" s="1" t="s">
        <v>107</v>
      </c>
      <c r="K2087" s="3">
        <v>20049757740467</v>
      </c>
    </row>
    <row r="2088" spans="1:11">
      <c r="A2088" s="1">
        <v>45982</v>
      </c>
      <c r="B2088" t="s">
        <v>1978</v>
      </c>
      <c r="C2088">
        <v>3.1859999999999999</v>
      </c>
      <c r="I2088" s="1">
        <v>45986</v>
      </c>
      <c r="J2088" s="1" t="s">
        <v>282</v>
      </c>
      <c r="K2088" s="3">
        <v>5000</v>
      </c>
    </row>
    <row r="2089" spans="1:11">
      <c r="A2089" s="1">
        <v>45982</v>
      </c>
      <c r="B2089" t="s">
        <v>1979</v>
      </c>
      <c r="C2089">
        <v>3.4359999999999999</v>
      </c>
      <c r="I2089" s="1">
        <v>45986</v>
      </c>
      <c r="J2089" s="1" t="s">
        <v>283</v>
      </c>
      <c r="K2089" s="3">
        <v>7</v>
      </c>
    </row>
    <row r="2090" spans="1:11">
      <c r="A2090" s="1">
        <v>45982</v>
      </c>
      <c r="B2090" t="s">
        <v>1980</v>
      </c>
      <c r="C2090">
        <v>3.86</v>
      </c>
      <c r="I2090" s="1">
        <v>45986</v>
      </c>
      <c r="J2090" s="1" t="s">
        <v>284</v>
      </c>
      <c r="K2090" s="3">
        <v>42818</v>
      </c>
    </row>
    <row r="2091" spans="1:11">
      <c r="A2091" s="1">
        <v>45982</v>
      </c>
      <c r="B2091" t="s">
        <v>1981</v>
      </c>
      <c r="C2091">
        <v>3.9489999999999998</v>
      </c>
      <c r="I2091" s="1">
        <v>45986</v>
      </c>
      <c r="J2091" s="1" t="s">
        <v>285</v>
      </c>
      <c r="K2091" s="3">
        <v>4</v>
      </c>
    </row>
    <row r="2092" spans="1:11">
      <c r="A2092" s="1">
        <v>45982</v>
      </c>
      <c r="B2092" t="s">
        <v>1982</v>
      </c>
      <c r="C2092">
        <v>3.9830000000000001</v>
      </c>
      <c r="I2092" s="1">
        <v>45986</v>
      </c>
      <c r="J2092" s="1" t="s">
        <v>286</v>
      </c>
      <c r="K2092" s="3">
        <v>8745.98</v>
      </c>
    </row>
    <row r="2093" spans="1:11">
      <c r="A2093" s="1">
        <v>45982</v>
      </c>
      <c r="B2093" t="s">
        <v>1983</v>
      </c>
      <c r="C2093">
        <v>4.0410000000000004</v>
      </c>
      <c r="I2093" s="1">
        <v>45986</v>
      </c>
      <c r="J2093" s="1" t="s">
        <v>287</v>
      </c>
      <c r="K2093" s="3">
        <v>321657.27</v>
      </c>
    </row>
    <row r="2094" spans="1:11">
      <c r="A2094" s="1">
        <v>45981</v>
      </c>
      <c r="B2094" t="s">
        <v>1974</v>
      </c>
      <c r="C2094">
        <v>2.8559999999999999</v>
      </c>
      <c r="I2094" s="1">
        <v>45986</v>
      </c>
      <c r="J2094" s="1" t="s">
        <v>288</v>
      </c>
      <c r="K2094" s="3">
        <v>-55448.08</v>
      </c>
    </row>
    <row r="2095" spans="1:11">
      <c r="A2095" s="1">
        <v>45981</v>
      </c>
      <c r="B2095" t="s">
        <v>1975</v>
      </c>
      <c r="C2095">
        <v>2.8940000000000001</v>
      </c>
      <c r="I2095" s="1">
        <v>45986</v>
      </c>
      <c r="J2095" s="1" t="s">
        <v>289</v>
      </c>
      <c r="K2095" s="3">
        <v>22</v>
      </c>
    </row>
    <row r="2096" spans="1:11">
      <c r="A2096" s="1">
        <v>45981</v>
      </c>
      <c r="B2096" t="s">
        <v>1976</v>
      </c>
      <c r="C2096">
        <v>2.9670000000000001</v>
      </c>
      <c r="I2096" s="1">
        <v>45986</v>
      </c>
      <c r="J2096" s="1" t="s">
        <v>290</v>
      </c>
      <c r="K2096" s="3">
        <v>22</v>
      </c>
    </row>
    <row r="2097" spans="1:11">
      <c r="A2097" s="1">
        <v>45981</v>
      </c>
      <c r="B2097" t="s">
        <v>1977</v>
      </c>
      <c r="C2097">
        <v>3.0760000000000001</v>
      </c>
      <c r="I2097" s="1">
        <v>45986</v>
      </c>
      <c r="J2097" s="1" t="s">
        <v>107</v>
      </c>
      <c r="K2097" s="3">
        <v>18546621489122</v>
      </c>
    </row>
    <row r="2098" spans="1:11">
      <c r="A2098" s="1">
        <v>45981</v>
      </c>
      <c r="B2098" t="s">
        <v>1978</v>
      </c>
      <c r="C2098">
        <v>3.1859999999999999</v>
      </c>
      <c r="I2098" s="1">
        <v>45985</v>
      </c>
      <c r="J2098" s="1" t="s">
        <v>282</v>
      </c>
      <c r="K2098" s="3">
        <v>12000</v>
      </c>
    </row>
    <row r="2099" spans="1:11">
      <c r="A2099" s="1">
        <v>45981</v>
      </c>
      <c r="B2099" t="s">
        <v>1979</v>
      </c>
      <c r="C2099">
        <v>3.4359999999999999</v>
      </c>
      <c r="I2099" s="1">
        <v>45985</v>
      </c>
      <c r="J2099" s="1" t="s">
        <v>283</v>
      </c>
      <c r="K2099" s="3">
        <v>7</v>
      </c>
    </row>
    <row r="2100" spans="1:11">
      <c r="A2100" s="1">
        <v>45981</v>
      </c>
      <c r="B2100" t="s">
        <v>1980</v>
      </c>
      <c r="C2100">
        <v>3.8780000000000001</v>
      </c>
      <c r="I2100" s="1">
        <v>45985</v>
      </c>
      <c r="J2100" s="1" t="s">
        <v>284</v>
      </c>
      <c r="K2100" s="3">
        <v>50358</v>
      </c>
    </row>
    <row r="2101" spans="1:11">
      <c r="A2101" s="1">
        <v>45981</v>
      </c>
      <c r="B2101" t="s">
        <v>1981</v>
      </c>
      <c r="C2101">
        <v>3.9470000000000001</v>
      </c>
      <c r="I2101" s="1">
        <v>45985</v>
      </c>
      <c r="J2101" s="1" t="s">
        <v>285</v>
      </c>
      <c r="K2101" s="3">
        <v>4</v>
      </c>
    </row>
    <row r="2102" spans="1:11">
      <c r="A2102" s="1">
        <v>45981</v>
      </c>
      <c r="B2102" t="s">
        <v>1982</v>
      </c>
      <c r="C2102">
        <v>3.9780000000000002</v>
      </c>
      <c r="I2102" s="1">
        <v>45985</v>
      </c>
      <c r="J2102" s="1" t="s">
        <v>286</v>
      </c>
      <c r="K2102" s="3">
        <v>19613</v>
      </c>
    </row>
    <row r="2103" spans="1:11">
      <c r="A2103" s="1">
        <v>45981</v>
      </c>
      <c r="B2103" t="s">
        <v>1983</v>
      </c>
      <c r="C2103">
        <v>4.0369999999999999</v>
      </c>
      <c r="I2103" s="1">
        <v>45985</v>
      </c>
      <c r="J2103" s="1" t="s">
        <v>287</v>
      </c>
      <c r="K2103" s="3">
        <v>287585.25</v>
      </c>
    </row>
    <row r="2104" spans="1:11">
      <c r="A2104" s="1">
        <v>45980</v>
      </c>
      <c r="B2104" t="s">
        <v>1974</v>
      </c>
      <c r="C2104">
        <v>2.84</v>
      </c>
      <c r="I2104" s="1">
        <v>45985</v>
      </c>
      <c r="J2104" s="1" t="s">
        <v>288</v>
      </c>
      <c r="K2104" s="3">
        <v>-52699.06</v>
      </c>
    </row>
    <row r="2105" spans="1:11">
      <c r="A2105" s="1">
        <v>45980</v>
      </c>
      <c r="B2105" t="s">
        <v>1975</v>
      </c>
      <c r="C2105">
        <v>2.8769999999999998</v>
      </c>
      <c r="I2105" s="1">
        <v>45985</v>
      </c>
      <c r="J2105" s="1" t="s">
        <v>289</v>
      </c>
      <c r="K2105" s="3">
        <v>32</v>
      </c>
    </row>
    <row r="2106" spans="1:11">
      <c r="A2106" s="1">
        <v>45980</v>
      </c>
      <c r="B2106" t="s">
        <v>1976</v>
      </c>
      <c r="C2106">
        <v>2.9329999999999998</v>
      </c>
      <c r="I2106" s="1">
        <v>45985</v>
      </c>
      <c r="J2106" s="1" t="s">
        <v>290</v>
      </c>
      <c r="K2106" s="3">
        <v>32</v>
      </c>
    </row>
    <row r="2107" spans="1:11">
      <c r="A2107" s="1">
        <v>45980</v>
      </c>
      <c r="B2107" t="s">
        <v>1977</v>
      </c>
      <c r="C2107">
        <v>3.0579999999999998</v>
      </c>
      <c r="I2107" s="1">
        <v>45985</v>
      </c>
      <c r="J2107" s="1" t="s">
        <v>107</v>
      </c>
      <c r="K2107" s="3">
        <v>16813684409152</v>
      </c>
    </row>
    <row r="2108" spans="1:11">
      <c r="A2108" s="1">
        <v>45980</v>
      </c>
      <c r="B2108" t="s">
        <v>1978</v>
      </c>
      <c r="C2108">
        <v>3.1829999999999998</v>
      </c>
      <c r="I2108" s="1">
        <v>45984</v>
      </c>
      <c r="J2108" s="1" t="s">
        <v>107</v>
      </c>
      <c r="K2108" s="3">
        <v>14242906063257</v>
      </c>
    </row>
    <row r="2109" spans="1:11">
      <c r="A2109" s="1">
        <v>45980</v>
      </c>
      <c r="B2109" t="s">
        <v>1979</v>
      </c>
      <c r="C2109">
        <v>3.4390000000000001</v>
      </c>
      <c r="I2109" s="1">
        <v>45982</v>
      </c>
      <c r="J2109" s="1" t="s">
        <v>282</v>
      </c>
      <c r="K2109" s="3">
        <v>10000</v>
      </c>
    </row>
    <row r="2110" spans="1:11">
      <c r="A2110" s="1">
        <v>45980</v>
      </c>
      <c r="B2110" t="s">
        <v>1980</v>
      </c>
      <c r="C2110">
        <v>3.86</v>
      </c>
      <c r="I2110" s="1">
        <v>45982</v>
      </c>
      <c r="J2110" s="1" t="s">
        <v>283</v>
      </c>
      <c r="K2110" s="3">
        <v>7</v>
      </c>
    </row>
    <row r="2111" spans="1:11">
      <c r="A2111" s="1">
        <v>45980</v>
      </c>
      <c r="B2111" t="s">
        <v>1981</v>
      </c>
      <c r="C2111">
        <v>3.948</v>
      </c>
      <c r="I2111" s="1">
        <v>45982</v>
      </c>
      <c r="J2111" s="1" t="s">
        <v>284</v>
      </c>
      <c r="K2111" s="3">
        <v>33000</v>
      </c>
    </row>
    <row r="2112" spans="1:11">
      <c r="A2112" s="1">
        <v>45980</v>
      </c>
      <c r="B2112" t="s">
        <v>1982</v>
      </c>
      <c r="C2112">
        <v>3.9769999999999999</v>
      </c>
      <c r="I2112" s="1">
        <v>45982</v>
      </c>
      <c r="J2112" s="1" t="s">
        <v>285</v>
      </c>
      <c r="K2112" s="3">
        <v>4</v>
      </c>
    </row>
    <row r="2113" spans="1:11">
      <c r="A2113" s="1">
        <v>45980</v>
      </c>
      <c r="B2113" t="s">
        <v>1983</v>
      </c>
      <c r="C2113">
        <v>4.0350000000000001</v>
      </c>
      <c r="I2113" s="1">
        <v>45982</v>
      </c>
      <c r="J2113" s="1" t="s">
        <v>286</v>
      </c>
      <c r="K2113" s="3">
        <v>12757.45</v>
      </c>
    </row>
    <row r="2114" spans="1:11">
      <c r="A2114" s="1">
        <v>45979</v>
      </c>
      <c r="B2114" t="s">
        <v>1974</v>
      </c>
      <c r="C2114">
        <v>2.84</v>
      </c>
      <c r="I2114" s="1">
        <v>45982</v>
      </c>
      <c r="J2114" s="1" t="s">
        <v>287</v>
      </c>
      <c r="K2114" s="3">
        <v>256840.25</v>
      </c>
    </row>
    <row r="2115" spans="1:11">
      <c r="A2115" s="1">
        <v>45979</v>
      </c>
      <c r="B2115" t="s">
        <v>1975</v>
      </c>
      <c r="C2115">
        <v>2.8769999999999998</v>
      </c>
      <c r="I2115" s="1">
        <v>45982</v>
      </c>
      <c r="J2115" s="1" t="s">
        <v>288</v>
      </c>
      <c r="K2115" s="3">
        <v>-46682.06</v>
      </c>
    </row>
    <row r="2116" spans="1:11">
      <c r="A2116" s="1">
        <v>45979</v>
      </c>
      <c r="B2116" t="s">
        <v>1976</v>
      </c>
      <c r="C2116">
        <v>2.9329999999999998</v>
      </c>
      <c r="I2116" s="1">
        <v>45982</v>
      </c>
      <c r="J2116" s="1" t="s">
        <v>289</v>
      </c>
      <c r="K2116" s="3">
        <v>27</v>
      </c>
    </row>
    <row r="2117" spans="1:11">
      <c r="A2117" s="1">
        <v>45979</v>
      </c>
      <c r="B2117" t="s">
        <v>1977</v>
      </c>
      <c r="C2117">
        <v>3.0579999999999998</v>
      </c>
      <c r="I2117" s="1">
        <v>45982</v>
      </c>
      <c r="J2117" s="1" t="s">
        <v>290</v>
      </c>
      <c r="K2117" s="3">
        <v>27</v>
      </c>
    </row>
    <row r="2118" spans="1:11">
      <c r="A2118" s="1">
        <v>45979</v>
      </c>
      <c r="B2118" t="s">
        <v>1978</v>
      </c>
      <c r="C2118">
        <v>3.1829999999999998</v>
      </c>
      <c r="I2118" s="1">
        <v>45981</v>
      </c>
      <c r="J2118" s="1" t="s">
        <v>107</v>
      </c>
      <c r="K2118" s="3">
        <v>13604116008731</v>
      </c>
    </row>
    <row r="2119" spans="1:11">
      <c r="A2119" s="1">
        <v>45979</v>
      </c>
      <c r="B2119" t="s">
        <v>1979</v>
      </c>
      <c r="C2119">
        <v>3.4390000000000001</v>
      </c>
      <c r="I2119" s="1">
        <v>45981</v>
      </c>
      <c r="J2119" s="1" t="s">
        <v>282</v>
      </c>
      <c r="K2119" s="3">
        <v>1000</v>
      </c>
    </row>
    <row r="2120" spans="1:11">
      <c r="A2120" s="1">
        <v>45979</v>
      </c>
      <c r="B2120" t="s">
        <v>1980</v>
      </c>
      <c r="C2120">
        <v>3.86</v>
      </c>
      <c r="I2120" s="1">
        <v>45981</v>
      </c>
      <c r="J2120" s="1" t="s">
        <v>283</v>
      </c>
      <c r="K2120" s="3">
        <v>7</v>
      </c>
    </row>
    <row r="2121" spans="1:11">
      <c r="A2121" s="1">
        <v>45979</v>
      </c>
      <c r="B2121" t="s">
        <v>1981</v>
      </c>
      <c r="C2121">
        <v>3.948</v>
      </c>
      <c r="I2121" s="1">
        <v>45981</v>
      </c>
      <c r="J2121" s="1" t="s">
        <v>284</v>
      </c>
      <c r="K2121" s="3">
        <v>8000</v>
      </c>
    </row>
    <row r="2122" spans="1:11">
      <c r="A2122" s="1">
        <v>45979</v>
      </c>
      <c r="B2122" t="s">
        <v>1982</v>
      </c>
      <c r="C2122">
        <v>3.9769999999999999</v>
      </c>
      <c r="I2122" s="1">
        <v>45981</v>
      </c>
      <c r="J2122" s="1" t="s">
        <v>285</v>
      </c>
      <c r="K2122" s="3">
        <v>4</v>
      </c>
    </row>
    <row r="2123" spans="1:11">
      <c r="A2123" s="1">
        <v>45979</v>
      </c>
      <c r="B2123" t="s">
        <v>1983</v>
      </c>
      <c r="C2123">
        <v>4.0350000000000001</v>
      </c>
      <c r="I2123" s="1">
        <v>45981</v>
      </c>
      <c r="J2123" s="1" t="s">
        <v>286</v>
      </c>
      <c r="K2123" s="3">
        <v>13276.93</v>
      </c>
    </row>
    <row r="2124" spans="1:11">
      <c r="A2124" s="1">
        <v>45978</v>
      </c>
      <c r="B2124" t="s">
        <v>1974</v>
      </c>
      <c r="C2124">
        <v>2.84</v>
      </c>
      <c r="I2124" s="1">
        <v>45981</v>
      </c>
      <c r="J2124" s="1" t="s">
        <v>287</v>
      </c>
      <c r="K2124" s="3">
        <v>236597.7</v>
      </c>
    </row>
    <row r="2125" spans="1:11">
      <c r="A2125" s="1">
        <v>45978</v>
      </c>
      <c r="B2125" t="s">
        <v>1975</v>
      </c>
      <c r="C2125">
        <v>2.8769999999999998</v>
      </c>
      <c r="I2125" s="1">
        <v>45981</v>
      </c>
      <c r="J2125" s="1" t="s">
        <v>288</v>
      </c>
      <c r="K2125" s="3">
        <v>-47710.03</v>
      </c>
    </row>
    <row r="2126" spans="1:11">
      <c r="A2126" s="1">
        <v>45978</v>
      </c>
      <c r="B2126" t="s">
        <v>1976</v>
      </c>
      <c r="C2126">
        <v>2.9329999999999998</v>
      </c>
      <c r="I2126" s="1">
        <v>45981</v>
      </c>
      <c r="J2126" s="1" t="s">
        <v>289</v>
      </c>
      <c r="K2126" s="3">
        <v>16</v>
      </c>
    </row>
    <row r="2127" spans="1:11">
      <c r="A2127" s="1">
        <v>45978</v>
      </c>
      <c r="B2127" t="s">
        <v>1977</v>
      </c>
      <c r="C2127">
        <v>3.0579999999999998</v>
      </c>
      <c r="I2127" s="1">
        <v>45981</v>
      </c>
      <c r="J2127" s="1" t="s">
        <v>290</v>
      </c>
      <c r="K2127" s="3">
        <v>16</v>
      </c>
    </row>
    <row r="2128" spans="1:11">
      <c r="A2128" s="1">
        <v>45978</v>
      </c>
      <c r="B2128" t="s">
        <v>1978</v>
      </c>
      <c r="C2128">
        <v>3.1829999999999998</v>
      </c>
      <c r="I2128" s="1">
        <v>45980</v>
      </c>
      <c r="J2128" s="1" t="s">
        <v>282</v>
      </c>
      <c r="K2128" s="3">
        <v>1000</v>
      </c>
    </row>
    <row r="2129" spans="1:11">
      <c r="A2129" s="1">
        <v>45978</v>
      </c>
      <c r="B2129" t="s">
        <v>1979</v>
      </c>
      <c r="C2129">
        <v>3.4390000000000001</v>
      </c>
      <c r="I2129" s="1">
        <v>45980</v>
      </c>
      <c r="J2129" s="1" t="s">
        <v>283</v>
      </c>
      <c r="K2129" s="3">
        <v>7</v>
      </c>
    </row>
    <row r="2130" spans="1:11">
      <c r="A2130" s="1">
        <v>45978</v>
      </c>
      <c r="B2130" t="s">
        <v>1980</v>
      </c>
      <c r="C2130">
        <v>3.86</v>
      </c>
      <c r="I2130" s="1">
        <v>45980</v>
      </c>
      <c r="J2130" s="1" t="s">
        <v>284</v>
      </c>
      <c r="K2130" s="3">
        <v>4000</v>
      </c>
    </row>
    <row r="2131" spans="1:11">
      <c r="A2131" s="1">
        <v>45978</v>
      </c>
      <c r="B2131" t="s">
        <v>1981</v>
      </c>
      <c r="C2131">
        <v>3.9430000000000001</v>
      </c>
      <c r="I2131" s="1">
        <v>45980</v>
      </c>
      <c r="J2131" s="1" t="s">
        <v>285</v>
      </c>
      <c r="K2131" s="3">
        <v>4</v>
      </c>
    </row>
    <row r="2132" spans="1:11">
      <c r="A2132" s="1">
        <v>45978</v>
      </c>
      <c r="B2132" t="s">
        <v>1982</v>
      </c>
      <c r="C2132">
        <v>3.9729999999999999</v>
      </c>
      <c r="I2132" s="1">
        <v>45980</v>
      </c>
      <c r="J2132" s="1" t="s">
        <v>286</v>
      </c>
      <c r="K2132" s="3">
        <v>24077.26</v>
      </c>
    </row>
    <row r="2133" spans="1:11">
      <c r="A2133" s="1">
        <v>45978</v>
      </c>
      <c r="B2133" t="s">
        <v>1983</v>
      </c>
      <c r="C2133">
        <v>4.0330000000000004</v>
      </c>
      <c r="I2133" s="1">
        <v>45980</v>
      </c>
      <c r="J2133" s="1" t="s">
        <v>287</v>
      </c>
      <c r="K2133" s="3">
        <v>241874.63</v>
      </c>
    </row>
    <row r="2134" spans="1:11">
      <c r="A2134" s="1">
        <v>45975</v>
      </c>
      <c r="B2134" t="s">
        <v>1974</v>
      </c>
      <c r="C2134">
        <v>2.84</v>
      </c>
      <c r="I2134" s="1">
        <v>45980</v>
      </c>
      <c r="J2134" s="1" t="s">
        <v>288</v>
      </c>
      <c r="K2134" s="3">
        <v>-57867.360000000001</v>
      </c>
    </row>
    <row r="2135" spans="1:11">
      <c r="A2135" s="1">
        <v>45975</v>
      </c>
      <c r="B2135" t="s">
        <v>1975</v>
      </c>
      <c r="C2135">
        <v>2.8769999999999998</v>
      </c>
      <c r="I2135" s="1">
        <v>45980</v>
      </c>
      <c r="J2135" s="1" t="s">
        <v>289</v>
      </c>
      <c r="K2135" s="3">
        <v>13</v>
      </c>
    </row>
    <row r="2136" spans="1:11">
      <c r="A2136" s="1">
        <v>45975</v>
      </c>
      <c r="B2136" t="s">
        <v>1976</v>
      </c>
      <c r="C2136">
        <v>2.9329999999999998</v>
      </c>
      <c r="I2136" s="1">
        <v>45980</v>
      </c>
      <c r="J2136" s="1" t="s">
        <v>290</v>
      </c>
      <c r="K2136" s="3">
        <v>13</v>
      </c>
    </row>
    <row r="2137" spans="1:11">
      <c r="A2137" s="1">
        <v>45975</v>
      </c>
      <c r="B2137" t="s">
        <v>1977</v>
      </c>
      <c r="C2137">
        <v>3.0569999999999999</v>
      </c>
      <c r="I2137" s="1">
        <v>45980</v>
      </c>
      <c r="J2137" s="1" t="s">
        <v>107</v>
      </c>
      <c r="K2137" s="3">
        <v>14256035434455</v>
      </c>
    </row>
    <row r="2138" spans="1:11">
      <c r="A2138" s="1">
        <v>45975</v>
      </c>
      <c r="B2138" t="s">
        <v>1978</v>
      </c>
      <c r="C2138">
        <v>3.18</v>
      </c>
      <c r="I2138" s="1">
        <v>45979</v>
      </c>
      <c r="J2138" s="1" t="s">
        <v>107</v>
      </c>
      <c r="K2138" s="3">
        <v>14049711097002</v>
      </c>
    </row>
    <row r="2139" spans="1:11">
      <c r="A2139" s="1">
        <v>45975</v>
      </c>
      <c r="B2139" t="s">
        <v>1979</v>
      </c>
      <c r="C2139">
        <v>3.4390000000000001</v>
      </c>
      <c r="I2139" s="1">
        <v>45979</v>
      </c>
      <c r="J2139" s="1" t="s">
        <v>288</v>
      </c>
      <c r="K2139" s="3">
        <v>-78470.62</v>
      </c>
    </row>
    <row r="2140" spans="1:11">
      <c r="A2140" s="1">
        <v>45975</v>
      </c>
      <c r="B2140" t="s">
        <v>1980</v>
      </c>
      <c r="C2140">
        <v>3.8580000000000001</v>
      </c>
      <c r="I2140" s="1">
        <v>45979</v>
      </c>
      <c r="J2140" s="1" t="s">
        <v>289</v>
      </c>
      <c r="K2140" s="3">
        <v>9</v>
      </c>
    </row>
    <row r="2141" spans="1:11">
      <c r="A2141" s="1">
        <v>45975</v>
      </c>
      <c r="B2141" t="s">
        <v>1981</v>
      </c>
      <c r="C2141">
        <v>3.9380000000000002</v>
      </c>
      <c r="I2141" s="1">
        <v>45979</v>
      </c>
      <c r="J2141" s="1" t="s">
        <v>290</v>
      </c>
      <c r="K2141" s="3">
        <v>9</v>
      </c>
    </row>
    <row r="2142" spans="1:11">
      <c r="A2142" s="1">
        <v>45975</v>
      </c>
      <c r="B2142" t="s">
        <v>1982</v>
      </c>
      <c r="C2142">
        <v>3.9729999999999999</v>
      </c>
      <c r="I2142" s="1">
        <v>45979</v>
      </c>
      <c r="J2142" s="1" t="s">
        <v>282</v>
      </c>
      <c r="K2142" s="3">
        <v>1000</v>
      </c>
    </row>
    <row r="2143" spans="1:11">
      <c r="A2143" s="1">
        <v>45975</v>
      </c>
      <c r="B2143" t="s">
        <v>1983</v>
      </c>
      <c r="C2143">
        <v>4.0330000000000004</v>
      </c>
      <c r="I2143" s="1">
        <v>45979</v>
      </c>
      <c r="J2143" s="1" t="s">
        <v>283</v>
      </c>
      <c r="K2143" s="3">
        <v>7</v>
      </c>
    </row>
    <row r="2144" spans="1:11">
      <c r="A2144" s="1">
        <v>45974</v>
      </c>
      <c r="B2144" t="s">
        <v>1974</v>
      </c>
      <c r="C2144">
        <v>2.84</v>
      </c>
      <c r="I2144" s="1">
        <v>45979</v>
      </c>
      <c r="J2144" s="1" t="s">
        <v>284</v>
      </c>
      <c r="K2144" s="3">
        <v>5494</v>
      </c>
    </row>
    <row r="2145" spans="1:11">
      <c r="A2145" s="1">
        <v>45974</v>
      </c>
      <c r="B2145" t="s">
        <v>1975</v>
      </c>
      <c r="C2145">
        <v>2.8769999999999998</v>
      </c>
      <c r="I2145" s="1">
        <v>45979</v>
      </c>
      <c r="J2145" s="1" t="s">
        <v>285</v>
      </c>
      <c r="K2145" s="3">
        <v>4</v>
      </c>
    </row>
    <row r="2146" spans="1:11">
      <c r="A2146" s="1">
        <v>45974</v>
      </c>
      <c r="B2146" t="s">
        <v>1976</v>
      </c>
      <c r="C2146">
        <v>2.9329999999999998</v>
      </c>
      <c r="I2146" s="1">
        <v>45979</v>
      </c>
      <c r="J2146" s="1" t="s">
        <v>286</v>
      </c>
      <c r="K2146" s="3">
        <v>23843.58</v>
      </c>
    </row>
    <row r="2147" spans="1:11">
      <c r="A2147" s="1">
        <v>45974</v>
      </c>
      <c r="B2147" t="s">
        <v>1977</v>
      </c>
      <c r="C2147">
        <v>3.0569999999999999</v>
      </c>
      <c r="I2147" s="1">
        <v>45979</v>
      </c>
      <c r="J2147" s="1" t="s">
        <v>287</v>
      </c>
      <c r="K2147" s="3">
        <v>261951.89</v>
      </c>
    </row>
    <row r="2148" spans="1:11">
      <c r="A2148" s="1">
        <v>45974</v>
      </c>
      <c r="B2148" t="s">
        <v>1978</v>
      </c>
      <c r="C2148">
        <v>3.18</v>
      </c>
      <c r="I2148" s="1">
        <v>45978</v>
      </c>
      <c r="J2148" s="1" t="s">
        <v>282</v>
      </c>
      <c r="K2148" s="3">
        <v>6000</v>
      </c>
    </row>
    <row r="2149" spans="1:11">
      <c r="A2149" s="1">
        <v>45974</v>
      </c>
      <c r="B2149" t="s">
        <v>1979</v>
      </c>
      <c r="C2149">
        <v>3.4390000000000001</v>
      </c>
      <c r="I2149" s="1">
        <v>45978</v>
      </c>
      <c r="J2149" s="1" t="s">
        <v>283</v>
      </c>
      <c r="K2149" s="3">
        <v>7</v>
      </c>
    </row>
    <row r="2150" spans="1:11">
      <c r="A2150" s="1">
        <v>45974</v>
      </c>
      <c r="B2150" t="s">
        <v>1980</v>
      </c>
      <c r="C2150">
        <v>3.8580000000000001</v>
      </c>
      <c r="I2150" s="1">
        <v>45978</v>
      </c>
      <c r="J2150" s="1" t="s">
        <v>284</v>
      </c>
      <c r="K2150" s="3">
        <v>10949</v>
      </c>
    </row>
    <row r="2151" spans="1:11">
      <c r="A2151" s="1">
        <v>45974</v>
      </c>
      <c r="B2151" t="s">
        <v>1981</v>
      </c>
      <c r="C2151">
        <v>3.9380000000000002</v>
      </c>
      <c r="I2151" s="1">
        <v>45978</v>
      </c>
      <c r="J2151" s="1" t="s">
        <v>285</v>
      </c>
      <c r="K2151" s="3">
        <v>4</v>
      </c>
    </row>
    <row r="2152" spans="1:11">
      <c r="A2152" s="1">
        <v>45974</v>
      </c>
      <c r="B2152" t="s">
        <v>1982</v>
      </c>
      <c r="C2152">
        <v>3.968</v>
      </c>
      <c r="I2152" s="1">
        <v>45978</v>
      </c>
      <c r="J2152" s="1" t="s">
        <v>286</v>
      </c>
      <c r="K2152" s="3">
        <v>16000</v>
      </c>
    </row>
    <row r="2153" spans="1:11">
      <c r="A2153" s="1">
        <v>45974</v>
      </c>
      <c r="B2153" t="s">
        <v>1983</v>
      </c>
      <c r="C2153">
        <v>4.0289999999999999</v>
      </c>
      <c r="I2153" s="1">
        <v>45978</v>
      </c>
      <c r="J2153" s="1" t="s">
        <v>287</v>
      </c>
      <c r="K2153" s="3">
        <v>280301.46999999997</v>
      </c>
    </row>
    <row r="2154" spans="1:11">
      <c r="A2154" s="1">
        <v>45973</v>
      </c>
      <c r="B2154" t="s">
        <v>1974</v>
      </c>
      <c r="C2154">
        <v>2.835</v>
      </c>
      <c r="I2154" s="1">
        <v>45978</v>
      </c>
      <c r="J2154" s="1" t="s">
        <v>288</v>
      </c>
      <c r="K2154" s="3">
        <v>-93568.22</v>
      </c>
    </row>
    <row r="2155" spans="1:11">
      <c r="A2155" s="1">
        <v>45973</v>
      </c>
      <c r="B2155" t="s">
        <v>1975</v>
      </c>
      <c r="C2155">
        <v>2.8730000000000002</v>
      </c>
      <c r="I2155" s="1">
        <v>45978</v>
      </c>
      <c r="J2155" s="1" t="s">
        <v>289</v>
      </c>
      <c r="K2155" s="3">
        <v>7</v>
      </c>
    </row>
    <row r="2156" spans="1:11">
      <c r="A2156" s="1">
        <v>45973</v>
      </c>
      <c r="B2156" t="s">
        <v>1976</v>
      </c>
      <c r="C2156">
        <v>2.931</v>
      </c>
      <c r="I2156" s="1">
        <v>45978</v>
      </c>
      <c r="J2156" s="1" t="s">
        <v>290</v>
      </c>
      <c r="K2156" s="3">
        <v>7</v>
      </c>
    </row>
    <row r="2157" spans="1:11">
      <c r="A2157" s="1">
        <v>45973</v>
      </c>
      <c r="B2157" t="s">
        <v>1977</v>
      </c>
      <c r="C2157">
        <v>3.0539999999999998</v>
      </c>
      <c r="I2157" s="1">
        <v>45978</v>
      </c>
      <c r="J2157" s="1" t="s">
        <v>107</v>
      </c>
      <c r="K2157" s="3">
        <v>14049711097002</v>
      </c>
    </row>
    <row r="2158" spans="1:11">
      <c r="A2158" s="1">
        <v>45973</v>
      </c>
      <c r="B2158" t="s">
        <v>1978</v>
      </c>
      <c r="C2158">
        <v>3.1760000000000002</v>
      </c>
      <c r="I2158" s="1">
        <v>45977</v>
      </c>
      <c r="J2158" s="1" t="s">
        <v>107</v>
      </c>
      <c r="K2158" s="3">
        <v>14049711097002</v>
      </c>
    </row>
    <row r="2159" spans="1:11">
      <c r="A2159" s="1">
        <v>45973</v>
      </c>
      <c r="B2159" t="s">
        <v>1979</v>
      </c>
      <c r="C2159">
        <v>3.4390000000000001</v>
      </c>
      <c r="I2159" s="1">
        <v>45975</v>
      </c>
      <c r="J2159" s="1" t="s">
        <v>282</v>
      </c>
      <c r="K2159" s="3">
        <v>1000</v>
      </c>
    </row>
    <row r="2160" spans="1:11">
      <c r="A2160" s="1">
        <v>45973</v>
      </c>
      <c r="B2160" t="s">
        <v>1980</v>
      </c>
      <c r="C2160">
        <v>3.8530000000000002</v>
      </c>
      <c r="I2160" s="1">
        <v>45975</v>
      </c>
      <c r="J2160" s="1" t="s">
        <v>283</v>
      </c>
      <c r="K2160" s="3">
        <v>7</v>
      </c>
    </row>
    <row r="2161" spans="1:11">
      <c r="A2161" s="1">
        <v>45973</v>
      </c>
      <c r="B2161" t="s">
        <v>1981</v>
      </c>
      <c r="C2161">
        <v>3.9279999999999999</v>
      </c>
      <c r="I2161" s="1">
        <v>45975</v>
      </c>
      <c r="J2161" s="1" t="s">
        <v>284</v>
      </c>
      <c r="K2161" s="3">
        <v>3680</v>
      </c>
    </row>
    <row r="2162" spans="1:11">
      <c r="A2162" s="1">
        <v>45973</v>
      </c>
      <c r="B2162" t="s">
        <v>1982</v>
      </c>
      <c r="C2162">
        <v>3.956</v>
      </c>
      <c r="I2162" s="1">
        <v>45975</v>
      </c>
      <c r="J2162" s="1" t="s">
        <v>285</v>
      </c>
      <c r="K2162" s="3">
        <v>4</v>
      </c>
    </row>
    <row r="2163" spans="1:11">
      <c r="A2163" s="1">
        <v>45973</v>
      </c>
      <c r="B2163" t="s">
        <v>1983</v>
      </c>
      <c r="C2163">
        <v>4.0199999999999996</v>
      </c>
      <c r="I2163" s="1">
        <v>45975</v>
      </c>
      <c r="J2163" s="1" t="s">
        <v>286</v>
      </c>
      <c r="K2163" s="3">
        <v>8875.01</v>
      </c>
    </row>
    <row r="2164" spans="1:11">
      <c r="A2164" s="1">
        <v>45972</v>
      </c>
      <c r="B2164" t="s">
        <v>1974</v>
      </c>
      <c r="C2164">
        <v>2.835</v>
      </c>
      <c r="I2164" s="1">
        <v>45975</v>
      </c>
      <c r="J2164" s="1" t="s">
        <v>287</v>
      </c>
      <c r="K2164" s="3">
        <v>285352.46999999997</v>
      </c>
    </row>
    <row r="2165" spans="1:11">
      <c r="A2165" s="1">
        <v>45972</v>
      </c>
      <c r="B2165" t="s">
        <v>1975</v>
      </c>
      <c r="C2165">
        <v>2.8730000000000002</v>
      </c>
      <c r="I2165" s="1">
        <v>45975</v>
      </c>
      <c r="J2165" s="1" t="s">
        <v>288</v>
      </c>
      <c r="K2165" s="3">
        <v>-89955.22</v>
      </c>
    </row>
    <row r="2166" spans="1:11">
      <c r="A2166" s="1">
        <v>45972</v>
      </c>
      <c r="B2166" t="s">
        <v>1976</v>
      </c>
      <c r="C2166">
        <v>2.931</v>
      </c>
      <c r="I2166" s="1">
        <v>45975</v>
      </c>
      <c r="J2166" s="1" t="s">
        <v>289</v>
      </c>
      <c r="K2166" s="3">
        <v>8</v>
      </c>
    </row>
    <row r="2167" spans="1:11">
      <c r="A2167" s="1">
        <v>45972</v>
      </c>
      <c r="B2167" t="s">
        <v>1977</v>
      </c>
      <c r="C2167">
        <v>3.0539999999999998</v>
      </c>
      <c r="I2167" s="1">
        <v>45975</v>
      </c>
      <c r="J2167" s="1" t="s">
        <v>290</v>
      </c>
      <c r="K2167" s="3">
        <v>8</v>
      </c>
    </row>
    <row r="2168" spans="1:11">
      <c r="A2168" s="1">
        <v>45972</v>
      </c>
      <c r="B2168" t="s">
        <v>1978</v>
      </c>
      <c r="C2168">
        <v>3.1760000000000002</v>
      </c>
      <c r="I2168" s="1">
        <v>45974</v>
      </c>
      <c r="J2168" s="1" t="s">
        <v>282</v>
      </c>
      <c r="K2168" s="3">
        <v>1000</v>
      </c>
    </row>
    <row r="2169" spans="1:11">
      <c r="A2169" s="1">
        <v>45972</v>
      </c>
      <c r="B2169" t="s">
        <v>1979</v>
      </c>
      <c r="C2169">
        <v>3.4390000000000001</v>
      </c>
      <c r="I2169" s="1">
        <v>45974</v>
      </c>
      <c r="J2169" s="1" t="s">
        <v>283</v>
      </c>
      <c r="K2169" s="3">
        <v>7</v>
      </c>
    </row>
    <row r="2170" spans="1:11">
      <c r="A2170" s="1">
        <v>45972</v>
      </c>
      <c r="B2170" t="s">
        <v>1980</v>
      </c>
      <c r="C2170">
        <v>3.8420000000000001</v>
      </c>
      <c r="I2170" s="1">
        <v>45974</v>
      </c>
      <c r="J2170" s="1" t="s">
        <v>284</v>
      </c>
      <c r="K2170" s="3">
        <v>9560</v>
      </c>
    </row>
    <row r="2171" spans="1:11">
      <c r="A2171" s="1">
        <v>45972</v>
      </c>
      <c r="B2171" t="s">
        <v>1981</v>
      </c>
      <c r="C2171">
        <v>3.923</v>
      </c>
      <c r="I2171" s="1">
        <v>45974</v>
      </c>
      <c r="J2171" s="1" t="s">
        <v>285</v>
      </c>
      <c r="K2171" s="3">
        <v>4</v>
      </c>
    </row>
    <row r="2172" spans="1:11">
      <c r="A2172" s="1">
        <v>45972</v>
      </c>
      <c r="B2172" t="s">
        <v>1982</v>
      </c>
      <c r="C2172">
        <v>3.948</v>
      </c>
      <c r="I2172" s="1">
        <v>45974</v>
      </c>
      <c r="J2172" s="1" t="s">
        <v>286</v>
      </c>
      <c r="K2172" s="3">
        <v>14536.89</v>
      </c>
    </row>
    <row r="2173" spans="1:11">
      <c r="A2173" s="1">
        <v>45972</v>
      </c>
      <c r="B2173" t="s">
        <v>1983</v>
      </c>
      <c r="C2173">
        <v>4.0119999999999996</v>
      </c>
      <c r="I2173" s="1">
        <v>45974</v>
      </c>
      <c r="J2173" s="1" t="s">
        <v>287</v>
      </c>
      <c r="K2173" s="3">
        <v>290547.48</v>
      </c>
    </row>
    <row r="2174" spans="1:11">
      <c r="A2174" s="1">
        <v>45971</v>
      </c>
      <c r="B2174" t="s">
        <v>1974</v>
      </c>
      <c r="C2174">
        <v>2.835</v>
      </c>
      <c r="I2174" s="1">
        <v>45974</v>
      </c>
      <c r="J2174" s="1" t="s">
        <v>288</v>
      </c>
      <c r="K2174" s="3">
        <v>-86072.78</v>
      </c>
    </row>
    <row r="2175" spans="1:11">
      <c r="A2175" s="1">
        <v>45971</v>
      </c>
      <c r="B2175" t="s">
        <v>1975</v>
      </c>
      <c r="C2175">
        <v>2.8730000000000002</v>
      </c>
      <c r="I2175" s="1">
        <v>45974</v>
      </c>
      <c r="J2175" s="1" t="s">
        <v>289</v>
      </c>
      <c r="K2175" s="3">
        <v>15</v>
      </c>
    </row>
    <row r="2176" spans="1:11">
      <c r="A2176" s="1">
        <v>45971</v>
      </c>
      <c r="B2176" t="s">
        <v>1976</v>
      </c>
      <c r="C2176">
        <v>2.931</v>
      </c>
      <c r="I2176" s="1">
        <v>45974</v>
      </c>
      <c r="J2176" s="1" t="s">
        <v>290</v>
      </c>
      <c r="K2176" s="3">
        <v>15</v>
      </c>
    </row>
    <row r="2177" spans="1:11">
      <c r="A2177" s="1">
        <v>45971</v>
      </c>
      <c r="B2177" t="s">
        <v>1977</v>
      </c>
      <c r="C2177">
        <v>3.052</v>
      </c>
      <c r="I2177" s="1">
        <v>45974</v>
      </c>
      <c r="J2177" s="1" t="s">
        <v>107</v>
      </c>
      <c r="K2177" s="3">
        <v>13013463041127</v>
      </c>
    </row>
    <row r="2178" spans="1:11">
      <c r="A2178" s="1">
        <v>45971</v>
      </c>
      <c r="B2178" t="s">
        <v>1978</v>
      </c>
      <c r="C2178">
        <v>3.1720000000000002</v>
      </c>
      <c r="I2178" s="1">
        <v>45973</v>
      </c>
      <c r="J2178" s="1" t="s">
        <v>282</v>
      </c>
      <c r="K2178" s="3">
        <v>1000</v>
      </c>
    </row>
    <row r="2179" spans="1:11">
      <c r="A2179" s="1">
        <v>45971</v>
      </c>
      <c r="B2179" t="s">
        <v>1979</v>
      </c>
      <c r="C2179">
        <v>3.4390000000000001</v>
      </c>
      <c r="I2179" s="1">
        <v>45973</v>
      </c>
      <c r="J2179" s="1" t="s">
        <v>283</v>
      </c>
      <c r="K2179" s="3">
        <v>7</v>
      </c>
    </row>
    <row r="2180" spans="1:11">
      <c r="A2180" s="1">
        <v>45971</v>
      </c>
      <c r="B2180" t="s">
        <v>1980</v>
      </c>
      <c r="C2180">
        <v>3.8479999999999999</v>
      </c>
      <c r="I2180" s="1">
        <v>45973</v>
      </c>
      <c r="J2180" s="1" t="s">
        <v>284</v>
      </c>
      <c r="K2180" s="3">
        <v>6779</v>
      </c>
    </row>
    <row r="2181" spans="1:11">
      <c r="A2181" s="1">
        <v>45971</v>
      </c>
      <c r="B2181" t="s">
        <v>1981</v>
      </c>
      <c r="C2181">
        <v>3.923</v>
      </c>
      <c r="I2181" s="1">
        <v>45973</v>
      </c>
      <c r="J2181" s="1" t="s">
        <v>285</v>
      </c>
      <c r="K2181" s="3">
        <v>4</v>
      </c>
    </row>
    <row r="2182" spans="1:11">
      <c r="A2182" s="1">
        <v>45971</v>
      </c>
      <c r="B2182" t="s">
        <v>1982</v>
      </c>
      <c r="C2182">
        <v>3.948</v>
      </c>
      <c r="I2182" s="1">
        <v>45973</v>
      </c>
      <c r="J2182" s="1" t="s">
        <v>286</v>
      </c>
      <c r="K2182" s="3">
        <v>7633.66</v>
      </c>
    </row>
    <row r="2183" spans="1:11">
      <c r="A2183" s="1">
        <v>45971</v>
      </c>
      <c r="B2183" t="s">
        <v>1983</v>
      </c>
      <c r="C2183">
        <v>4.0119999999999996</v>
      </c>
      <c r="I2183" s="1">
        <v>45973</v>
      </c>
      <c r="J2183" s="1" t="s">
        <v>287</v>
      </c>
      <c r="K2183" s="3">
        <v>295524.37</v>
      </c>
    </row>
    <row r="2184" spans="1:11">
      <c r="A2184" s="1">
        <v>45968</v>
      </c>
      <c r="B2184" t="s">
        <v>1974</v>
      </c>
      <c r="C2184">
        <v>2.794</v>
      </c>
      <c r="I2184" s="1">
        <v>45973</v>
      </c>
      <c r="J2184" s="1" t="s">
        <v>288</v>
      </c>
      <c r="K2184" s="3">
        <v>-87332.74</v>
      </c>
    </row>
    <row r="2185" spans="1:11">
      <c r="A2185" s="1">
        <v>45968</v>
      </c>
      <c r="B2185" t="s">
        <v>1975</v>
      </c>
      <c r="C2185">
        <v>2.84</v>
      </c>
      <c r="I2185" s="1">
        <v>45973</v>
      </c>
      <c r="J2185" s="1" t="s">
        <v>289</v>
      </c>
      <c r="K2185" s="3">
        <v>8</v>
      </c>
    </row>
    <row r="2186" spans="1:11">
      <c r="A2186" s="1">
        <v>45968</v>
      </c>
      <c r="B2186" t="s">
        <v>1976</v>
      </c>
      <c r="C2186">
        <v>2.91</v>
      </c>
      <c r="I2186" s="1">
        <v>45973</v>
      </c>
      <c r="J2186" s="1" t="s">
        <v>290</v>
      </c>
      <c r="K2186" s="3">
        <v>8</v>
      </c>
    </row>
    <row r="2187" spans="1:11">
      <c r="A2187" s="1">
        <v>45968</v>
      </c>
      <c r="B2187" t="s">
        <v>1977</v>
      </c>
      <c r="C2187">
        <v>3.0390000000000001</v>
      </c>
      <c r="I2187" s="1">
        <v>45973</v>
      </c>
      <c r="J2187" s="1" t="s">
        <v>107</v>
      </c>
      <c r="K2187" s="3">
        <v>13107921291872</v>
      </c>
    </row>
    <row r="2188" spans="1:11">
      <c r="A2188" s="1">
        <v>45968</v>
      </c>
      <c r="B2188" t="s">
        <v>1978</v>
      </c>
      <c r="C2188">
        <v>3.1680000000000001</v>
      </c>
      <c r="I2188" s="1">
        <v>45972</v>
      </c>
      <c r="J2188" s="1" t="s">
        <v>282</v>
      </c>
      <c r="K2188" s="3">
        <v>5000</v>
      </c>
    </row>
    <row r="2189" spans="1:11">
      <c r="A2189" s="1">
        <v>45968</v>
      </c>
      <c r="B2189" t="s">
        <v>1979</v>
      </c>
      <c r="C2189">
        <v>3.4340000000000002</v>
      </c>
      <c r="I2189" s="1">
        <v>45972</v>
      </c>
      <c r="J2189" s="1" t="s">
        <v>283</v>
      </c>
      <c r="K2189" s="3">
        <v>7</v>
      </c>
    </row>
    <row r="2190" spans="1:11">
      <c r="A2190" s="1">
        <v>45968</v>
      </c>
      <c r="B2190" t="s">
        <v>1980</v>
      </c>
      <c r="C2190">
        <v>3.839</v>
      </c>
      <c r="I2190" s="1">
        <v>45972</v>
      </c>
      <c r="J2190" s="1" t="s">
        <v>284</v>
      </c>
      <c r="K2190" s="3">
        <v>21633.87</v>
      </c>
    </row>
    <row r="2191" spans="1:11">
      <c r="A2191" s="1">
        <v>45968</v>
      </c>
      <c r="B2191" t="s">
        <v>1981</v>
      </c>
      <c r="C2191">
        <v>3.91</v>
      </c>
      <c r="I2191" s="1">
        <v>45972</v>
      </c>
      <c r="J2191" s="1" t="s">
        <v>285</v>
      </c>
      <c r="K2191" s="3">
        <v>4</v>
      </c>
    </row>
    <row r="2192" spans="1:11">
      <c r="A2192" s="1">
        <v>45968</v>
      </c>
      <c r="B2192" t="s">
        <v>1982</v>
      </c>
      <c r="C2192">
        <v>3.9060000000000001</v>
      </c>
      <c r="I2192" s="1">
        <v>45972</v>
      </c>
      <c r="J2192" s="1" t="s">
        <v>286</v>
      </c>
      <c r="K2192" s="3">
        <v>10000</v>
      </c>
    </row>
    <row r="2193" spans="1:11">
      <c r="A2193" s="1">
        <v>45968</v>
      </c>
      <c r="B2193" t="s">
        <v>1983</v>
      </c>
      <c r="C2193">
        <v>3.9750000000000001</v>
      </c>
      <c r="I2193" s="1">
        <v>45972</v>
      </c>
      <c r="J2193" s="1" t="s">
        <v>287</v>
      </c>
      <c r="K2193" s="3">
        <v>296379.03000000003</v>
      </c>
    </row>
    <row r="2194" spans="1:11">
      <c r="A2194" s="1">
        <v>45967</v>
      </c>
      <c r="B2194" t="s">
        <v>1974</v>
      </c>
      <c r="C2194">
        <v>2.7919999999999998</v>
      </c>
      <c r="I2194" s="1">
        <v>45972</v>
      </c>
      <c r="J2194" s="1" t="s">
        <v>288</v>
      </c>
      <c r="K2194" s="3">
        <v>-70889.14</v>
      </c>
    </row>
    <row r="2195" spans="1:11">
      <c r="A2195" s="1">
        <v>45967</v>
      </c>
      <c r="B2195" t="s">
        <v>1975</v>
      </c>
      <c r="C2195">
        <v>2.8380000000000001</v>
      </c>
      <c r="I2195" s="1">
        <v>45972</v>
      </c>
      <c r="J2195" s="1" t="s">
        <v>289</v>
      </c>
      <c r="K2195" s="3">
        <v>17</v>
      </c>
    </row>
    <row r="2196" spans="1:11">
      <c r="A2196" s="1">
        <v>45967</v>
      </c>
      <c r="B2196" t="s">
        <v>1976</v>
      </c>
      <c r="C2196">
        <v>2.9079999999999999</v>
      </c>
      <c r="I2196" s="1">
        <v>45972</v>
      </c>
      <c r="J2196" s="1" t="s">
        <v>290</v>
      </c>
      <c r="K2196" s="3">
        <v>17</v>
      </c>
    </row>
    <row r="2197" spans="1:11">
      <c r="A2197" s="1">
        <v>45967</v>
      </c>
      <c r="B2197" t="s">
        <v>1977</v>
      </c>
      <c r="C2197">
        <v>3.0379999999999998</v>
      </c>
      <c r="I2197" s="1">
        <v>45972</v>
      </c>
      <c r="J2197" s="1" t="s">
        <v>107</v>
      </c>
      <c r="K2197" s="3">
        <v>11803394482111</v>
      </c>
    </row>
    <row r="2198" spans="1:11">
      <c r="A2198" s="1">
        <v>45967</v>
      </c>
      <c r="B2198" t="s">
        <v>1978</v>
      </c>
      <c r="C2198">
        <v>3.1680000000000001</v>
      </c>
      <c r="I2198" s="1">
        <v>45971</v>
      </c>
      <c r="J2198" s="1" t="s">
        <v>282</v>
      </c>
      <c r="K2198" s="3">
        <v>5000</v>
      </c>
    </row>
    <row r="2199" spans="1:11">
      <c r="A2199" s="1">
        <v>45967</v>
      </c>
      <c r="B2199" t="s">
        <v>1979</v>
      </c>
      <c r="C2199">
        <v>3.4279999999999999</v>
      </c>
      <c r="I2199" s="1">
        <v>45971</v>
      </c>
      <c r="J2199" s="1" t="s">
        <v>283</v>
      </c>
      <c r="K2199" s="3">
        <v>7</v>
      </c>
    </row>
    <row r="2200" spans="1:11">
      <c r="A2200" s="1">
        <v>45967</v>
      </c>
      <c r="B2200" t="s">
        <v>1980</v>
      </c>
      <c r="C2200">
        <v>3.8380000000000001</v>
      </c>
      <c r="I2200" s="1">
        <v>45971</v>
      </c>
      <c r="J2200" s="1" t="s">
        <v>284</v>
      </c>
      <c r="K2200" s="3">
        <v>12935</v>
      </c>
    </row>
    <row r="2201" spans="1:11">
      <c r="A2201" s="1">
        <v>45967</v>
      </c>
      <c r="B2201" t="s">
        <v>1981</v>
      </c>
      <c r="C2201">
        <v>3.9079999999999999</v>
      </c>
      <c r="I2201" s="1">
        <v>45971</v>
      </c>
      <c r="J2201" s="1" t="s">
        <v>285</v>
      </c>
      <c r="K2201" s="3">
        <v>4</v>
      </c>
    </row>
    <row r="2202" spans="1:11">
      <c r="A2202" s="1">
        <v>45967</v>
      </c>
      <c r="B2202" t="s">
        <v>1982</v>
      </c>
      <c r="C2202">
        <v>3.9060000000000001</v>
      </c>
      <c r="I2202" s="1">
        <v>45971</v>
      </c>
      <c r="J2202" s="1" t="s">
        <v>286</v>
      </c>
      <c r="K2202" s="3">
        <v>9000</v>
      </c>
    </row>
    <row r="2203" spans="1:11">
      <c r="A2203" s="1">
        <v>45967</v>
      </c>
      <c r="B2203" t="s">
        <v>1983</v>
      </c>
      <c r="C2203">
        <v>3.9750000000000001</v>
      </c>
      <c r="I2203" s="1">
        <v>45971</v>
      </c>
      <c r="J2203" s="1" t="s">
        <v>287</v>
      </c>
      <c r="K2203" s="3">
        <v>284745.28000000003</v>
      </c>
    </row>
    <row r="2204" spans="1:11">
      <c r="A2204" s="1">
        <v>45966</v>
      </c>
      <c r="B2204" t="s">
        <v>1974</v>
      </c>
      <c r="C2204">
        <v>2.7919999999999998</v>
      </c>
      <c r="I2204" s="1">
        <v>45971</v>
      </c>
      <c r="J2204" s="1" t="s">
        <v>288</v>
      </c>
      <c r="K2204" s="3">
        <v>-57045.15</v>
      </c>
    </row>
    <row r="2205" spans="1:11">
      <c r="A2205" s="1">
        <v>45966</v>
      </c>
      <c r="B2205" t="s">
        <v>1975</v>
      </c>
      <c r="C2205">
        <v>2.8380000000000001</v>
      </c>
      <c r="I2205" s="1">
        <v>45971</v>
      </c>
      <c r="J2205" s="1" t="s">
        <v>289</v>
      </c>
      <c r="K2205" s="3">
        <v>11</v>
      </c>
    </row>
    <row r="2206" spans="1:11">
      <c r="A2206" s="1">
        <v>45966</v>
      </c>
      <c r="B2206" t="s">
        <v>1976</v>
      </c>
      <c r="C2206">
        <v>2.9079999999999999</v>
      </c>
      <c r="I2206" s="1">
        <v>45971</v>
      </c>
      <c r="J2206" s="1" t="s">
        <v>290</v>
      </c>
      <c r="K2206" s="3">
        <v>11</v>
      </c>
    </row>
    <row r="2207" spans="1:11">
      <c r="A2207" s="1">
        <v>45966</v>
      </c>
      <c r="B2207" t="s">
        <v>1977</v>
      </c>
      <c r="C2207">
        <v>3.036</v>
      </c>
      <c r="I2207" s="1">
        <v>45971</v>
      </c>
      <c r="J2207" s="1" t="s">
        <v>107</v>
      </c>
      <c r="K2207" s="3">
        <v>11196670169502</v>
      </c>
    </row>
    <row r="2208" spans="1:11">
      <c r="A2208" s="1">
        <v>45966</v>
      </c>
      <c r="B2208" t="s">
        <v>1978</v>
      </c>
      <c r="C2208">
        <v>3.1640000000000001</v>
      </c>
      <c r="I2208" s="1">
        <v>45970</v>
      </c>
      <c r="J2208" s="1" t="s">
        <v>107</v>
      </c>
      <c r="K2208" s="3">
        <v>11205059917151</v>
      </c>
    </row>
    <row r="2209" spans="1:11">
      <c r="A2209" s="1">
        <v>45966</v>
      </c>
      <c r="B2209" t="s">
        <v>1979</v>
      </c>
      <c r="C2209">
        <v>3.423</v>
      </c>
      <c r="I2209" s="1">
        <v>45968</v>
      </c>
      <c r="J2209" s="1" t="s">
        <v>288</v>
      </c>
      <c r="K2209" s="3">
        <v>-50045.15</v>
      </c>
    </row>
    <row r="2210" spans="1:11">
      <c r="A2210" s="1">
        <v>45966</v>
      </c>
      <c r="B2210" t="s">
        <v>1980</v>
      </c>
      <c r="C2210">
        <v>3.831</v>
      </c>
      <c r="I2210" s="1">
        <v>45968</v>
      </c>
      <c r="J2210" s="1" t="s">
        <v>289</v>
      </c>
      <c r="K2210" s="3">
        <v>16</v>
      </c>
    </row>
    <row r="2211" spans="1:11">
      <c r="A2211" s="1">
        <v>45966</v>
      </c>
      <c r="B2211" t="s">
        <v>1981</v>
      </c>
      <c r="C2211">
        <v>3.9</v>
      </c>
      <c r="I2211" s="1">
        <v>45968</v>
      </c>
      <c r="J2211" s="1" t="s">
        <v>290</v>
      </c>
      <c r="K2211" s="3">
        <v>16</v>
      </c>
    </row>
    <row r="2212" spans="1:11">
      <c r="A2212" s="1">
        <v>45966</v>
      </c>
      <c r="B2212" t="s">
        <v>1982</v>
      </c>
      <c r="C2212">
        <v>3.9020000000000001</v>
      </c>
      <c r="I2212" s="1">
        <v>45968</v>
      </c>
      <c r="J2212" s="1" t="s">
        <v>282</v>
      </c>
      <c r="K2212" s="3">
        <v>5000</v>
      </c>
    </row>
    <row r="2213" spans="1:11">
      <c r="A2213" s="1">
        <v>45966</v>
      </c>
      <c r="B2213" t="s">
        <v>1983</v>
      </c>
      <c r="C2213">
        <v>3.97</v>
      </c>
      <c r="I2213" s="1">
        <v>45968</v>
      </c>
      <c r="J2213" s="1" t="s">
        <v>283</v>
      </c>
      <c r="K2213" s="3">
        <v>7</v>
      </c>
    </row>
    <row r="2214" spans="1:11">
      <c r="A2214" s="1">
        <v>45965</v>
      </c>
      <c r="B2214" t="s">
        <v>1974</v>
      </c>
      <c r="C2214">
        <v>2.7919999999999998</v>
      </c>
      <c r="I2214" s="1">
        <v>45968</v>
      </c>
      <c r="J2214" s="1" t="s">
        <v>284</v>
      </c>
      <c r="K2214" s="3">
        <v>17776</v>
      </c>
    </row>
    <row r="2215" spans="1:11">
      <c r="A2215" s="1">
        <v>45965</v>
      </c>
      <c r="B2215" t="s">
        <v>1975</v>
      </c>
      <c r="C2215">
        <v>2.8380000000000001</v>
      </c>
      <c r="I2215" s="1">
        <v>45968</v>
      </c>
      <c r="J2215" s="1" t="s">
        <v>285</v>
      </c>
      <c r="K2215" s="3">
        <v>4</v>
      </c>
    </row>
    <row r="2216" spans="1:11">
      <c r="A2216" s="1">
        <v>45965</v>
      </c>
      <c r="B2216" t="s">
        <v>1976</v>
      </c>
      <c r="C2216">
        <v>2.9079999999999999</v>
      </c>
      <c r="I2216" s="1">
        <v>45968</v>
      </c>
      <c r="J2216" s="1" t="s">
        <v>286</v>
      </c>
      <c r="K2216" s="3">
        <v>9257</v>
      </c>
    </row>
    <row r="2217" spans="1:11">
      <c r="A2217" s="1">
        <v>45965</v>
      </c>
      <c r="B2217" t="s">
        <v>1977</v>
      </c>
      <c r="C2217">
        <v>3.036</v>
      </c>
      <c r="I2217" s="1">
        <v>45968</v>
      </c>
      <c r="J2217" s="1" t="s">
        <v>287</v>
      </c>
      <c r="K2217" s="3">
        <v>280810.28000000003</v>
      </c>
    </row>
    <row r="2218" spans="1:11">
      <c r="A2218" s="1">
        <v>45965</v>
      </c>
      <c r="B2218" t="s">
        <v>1978</v>
      </c>
      <c r="C2218">
        <v>3.1640000000000001</v>
      </c>
      <c r="I2218" s="1">
        <v>45967</v>
      </c>
      <c r="J2218" s="1" t="s">
        <v>282</v>
      </c>
      <c r="K2218" s="3">
        <v>6000</v>
      </c>
    </row>
    <row r="2219" spans="1:11">
      <c r="A2219" s="1">
        <v>45965</v>
      </c>
      <c r="B2219" t="s">
        <v>1979</v>
      </c>
      <c r="C2219">
        <v>3.423</v>
      </c>
      <c r="I2219" s="1">
        <v>45967</v>
      </c>
      <c r="J2219" s="1" t="s">
        <v>283</v>
      </c>
      <c r="K2219" s="3">
        <v>7</v>
      </c>
    </row>
    <row r="2220" spans="1:11">
      <c r="A2220" s="1">
        <v>45965</v>
      </c>
      <c r="B2220" t="s">
        <v>1980</v>
      </c>
      <c r="C2220">
        <v>3.827</v>
      </c>
      <c r="I2220" s="1">
        <v>45967</v>
      </c>
      <c r="J2220" s="1" t="s">
        <v>284</v>
      </c>
      <c r="K2220" s="3">
        <v>23979</v>
      </c>
    </row>
    <row r="2221" spans="1:11">
      <c r="A2221" s="1">
        <v>45965</v>
      </c>
      <c r="B2221" t="s">
        <v>1981</v>
      </c>
      <c r="C2221">
        <v>3.895</v>
      </c>
      <c r="I2221" s="1">
        <v>45967</v>
      </c>
      <c r="J2221" s="1" t="s">
        <v>285</v>
      </c>
      <c r="K2221" s="3">
        <v>4</v>
      </c>
    </row>
    <row r="2222" spans="1:11">
      <c r="A2222" s="1">
        <v>45965</v>
      </c>
      <c r="B2222" t="s">
        <v>1982</v>
      </c>
      <c r="C2222">
        <v>3.8980000000000001</v>
      </c>
      <c r="I2222" s="1">
        <v>45967</v>
      </c>
      <c r="J2222" s="1" t="s">
        <v>286</v>
      </c>
      <c r="K2222" s="3">
        <v>10879</v>
      </c>
    </row>
    <row r="2223" spans="1:11">
      <c r="A2223" s="1">
        <v>45965</v>
      </c>
      <c r="B2223" t="s">
        <v>1983</v>
      </c>
      <c r="C2223">
        <v>3.9660000000000002</v>
      </c>
      <c r="I2223" s="1">
        <v>45967</v>
      </c>
      <c r="J2223" s="1" t="s">
        <v>287</v>
      </c>
      <c r="K2223" s="3">
        <v>272291.28000000003</v>
      </c>
    </row>
    <row r="2224" spans="1:11">
      <c r="A2224" s="1">
        <v>45964</v>
      </c>
      <c r="B2224" t="s">
        <v>1974</v>
      </c>
      <c r="C2224">
        <v>2.7919999999999998</v>
      </c>
      <c r="I2224" s="1">
        <v>45967</v>
      </c>
      <c r="J2224" s="1" t="s">
        <v>288</v>
      </c>
      <c r="K2224" s="3">
        <v>-50427.15</v>
      </c>
    </row>
    <row r="2225" spans="1:11">
      <c r="A2225" s="1">
        <v>45964</v>
      </c>
      <c r="B2225" t="s">
        <v>1975</v>
      </c>
      <c r="C2225">
        <v>2.8380000000000001</v>
      </c>
      <c r="I2225" s="1">
        <v>45967</v>
      </c>
      <c r="J2225" s="1" t="s">
        <v>289</v>
      </c>
      <c r="K2225" s="3">
        <v>17</v>
      </c>
    </row>
    <row r="2226" spans="1:11">
      <c r="A2226" s="1">
        <v>45964</v>
      </c>
      <c r="B2226" t="s">
        <v>1976</v>
      </c>
      <c r="C2226">
        <v>2.9079999999999999</v>
      </c>
      <c r="I2226" s="1">
        <v>45967</v>
      </c>
      <c r="J2226" s="1" t="s">
        <v>290</v>
      </c>
      <c r="K2226" s="3">
        <v>17</v>
      </c>
    </row>
    <row r="2227" spans="1:11">
      <c r="A2227" s="1">
        <v>45964</v>
      </c>
      <c r="B2227" t="s">
        <v>1977</v>
      </c>
      <c r="C2227">
        <v>3.036</v>
      </c>
      <c r="I2227" s="1">
        <v>45967</v>
      </c>
      <c r="J2227" s="1" t="s">
        <v>107</v>
      </c>
      <c r="K2227" s="3">
        <v>10170697285602</v>
      </c>
    </row>
    <row r="2228" spans="1:11">
      <c r="A2228" s="1">
        <v>45964</v>
      </c>
      <c r="B2228" t="s">
        <v>1978</v>
      </c>
      <c r="C2228">
        <v>3.1640000000000001</v>
      </c>
      <c r="I2228" s="1">
        <v>45966</v>
      </c>
      <c r="J2228" s="1" t="s">
        <v>107</v>
      </c>
      <c r="K2228" s="3">
        <v>9698304141360</v>
      </c>
    </row>
    <row r="2229" spans="1:11">
      <c r="A2229" s="1">
        <v>45964</v>
      </c>
      <c r="B2229" t="s">
        <v>1979</v>
      </c>
      <c r="C2229">
        <v>3.423</v>
      </c>
      <c r="I2229" s="1">
        <v>45966</v>
      </c>
      <c r="J2229" s="1" t="s">
        <v>282</v>
      </c>
      <c r="K2229" s="3">
        <v>4000</v>
      </c>
    </row>
    <row r="2230" spans="1:11">
      <c r="A2230" s="1">
        <v>45964</v>
      </c>
      <c r="B2230" t="s">
        <v>1980</v>
      </c>
      <c r="C2230">
        <v>3.8220000000000001</v>
      </c>
      <c r="I2230" s="1">
        <v>45966</v>
      </c>
      <c r="J2230" s="1" t="s">
        <v>283</v>
      </c>
      <c r="K2230" s="3">
        <v>7</v>
      </c>
    </row>
    <row r="2231" spans="1:11">
      <c r="A2231" s="1">
        <v>45964</v>
      </c>
      <c r="B2231" t="s">
        <v>1981</v>
      </c>
      <c r="C2231">
        <v>3.8929999999999998</v>
      </c>
      <c r="I2231" s="1">
        <v>45966</v>
      </c>
      <c r="J2231" s="1" t="s">
        <v>284</v>
      </c>
      <c r="K2231" s="3">
        <v>38912.29</v>
      </c>
    </row>
    <row r="2232" spans="1:11">
      <c r="A2232" s="1">
        <v>45964</v>
      </c>
      <c r="B2232" t="s">
        <v>1982</v>
      </c>
      <c r="C2232">
        <v>3.895</v>
      </c>
      <c r="I2232" s="1">
        <v>45966</v>
      </c>
      <c r="J2232" s="1" t="s">
        <v>285</v>
      </c>
      <c r="K2232" s="3">
        <v>4</v>
      </c>
    </row>
    <row r="2233" spans="1:11">
      <c r="A2233" s="1">
        <v>45964</v>
      </c>
      <c r="B2233" t="s">
        <v>1983</v>
      </c>
      <c r="C2233">
        <v>3.9620000000000002</v>
      </c>
      <c r="I2233" s="1">
        <v>45966</v>
      </c>
      <c r="J2233" s="1" t="s">
        <v>286</v>
      </c>
      <c r="K2233" s="3">
        <v>30057.41</v>
      </c>
    </row>
    <row r="2234" spans="1:11">
      <c r="A2234" s="1">
        <v>45961</v>
      </c>
      <c r="B2234" t="s">
        <v>1974</v>
      </c>
      <c r="C2234">
        <v>2.7919999999999998</v>
      </c>
      <c r="I2234" s="1">
        <v>45966</v>
      </c>
      <c r="J2234" s="1" t="s">
        <v>287</v>
      </c>
      <c r="K2234" s="3">
        <v>259191.28</v>
      </c>
    </row>
    <row r="2235" spans="1:11">
      <c r="A2235" s="1">
        <v>45961</v>
      </c>
      <c r="B2235" t="s">
        <v>1975</v>
      </c>
      <c r="C2235">
        <v>2.8380000000000001</v>
      </c>
      <c r="I2235" s="1">
        <v>45966</v>
      </c>
      <c r="J2235" s="1" t="s">
        <v>288</v>
      </c>
      <c r="K2235" s="3">
        <v>-46769.66</v>
      </c>
    </row>
    <row r="2236" spans="1:11">
      <c r="A2236" s="1">
        <v>45961</v>
      </c>
      <c r="B2236" t="s">
        <v>1976</v>
      </c>
      <c r="C2236">
        <v>2.9079999999999999</v>
      </c>
      <c r="I2236" s="1">
        <v>45966</v>
      </c>
      <c r="J2236" s="1" t="s">
        <v>289</v>
      </c>
      <c r="K2236" s="3">
        <v>25</v>
      </c>
    </row>
    <row r="2237" spans="1:11">
      <c r="A2237" s="1">
        <v>45961</v>
      </c>
      <c r="B2237" t="s">
        <v>1977</v>
      </c>
      <c r="C2237">
        <v>3.036</v>
      </c>
      <c r="I2237" s="1">
        <v>45966</v>
      </c>
      <c r="J2237" s="1" t="s">
        <v>290</v>
      </c>
      <c r="K2237" s="3">
        <v>25</v>
      </c>
    </row>
    <row r="2238" spans="1:11">
      <c r="A2238" s="1">
        <v>45961</v>
      </c>
      <c r="B2238" t="s">
        <v>1978</v>
      </c>
      <c r="C2238">
        <v>3.1640000000000001</v>
      </c>
      <c r="I2238" s="1">
        <v>45965</v>
      </c>
      <c r="J2238" s="1" t="s">
        <v>282</v>
      </c>
      <c r="K2238" s="3">
        <v>3000</v>
      </c>
    </row>
    <row r="2239" spans="1:11">
      <c r="A2239" s="1">
        <v>45961</v>
      </c>
      <c r="B2239" t="s">
        <v>1979</v>
      </c>
      <c r="C2239">
        <v>3.423</v>
      </c>
      <c r="I2239" s="1">
        <v>45965</v>
      </c>
      <c r="J2239" s="1" t="s">
        <v>283</v>
      </c>
      <c r="K2239" s="3">
        <v>7</v>
      </c>
    </row>
    <row r="2240" spans="1:11">
      <c r="A2240" s="1">
        <v>45961</v>
      </c>
      <c r="B2240" t="s">
        <v>1980</v>
      </c>
      <c r="C2240">
        <v>3.82</v>
      </c>
      <c r="I2240" s="1">
        <v>45965</v>
      </c>
      <c r="J2240" s="1" t="s">
        <v>284</v>
      </c>
      <c r="K2240" s="3">
        <v>21000</v>
      </c>
    </row>
    <row r="2241" spans="1:11">
      <c r="A2241" s="1">
        <v>45961</v>
      </c>
      <c r="B2241" t="s">
        <v>1981</v>
      </c>
      <c r="C2241">
        <v>3.8929999999999998</v>
      </c>
      <c r="I2241" s="1">
        <v>45965</v>
      </c>
      <c r="J2241" s="1" t="s">
        <v>285</v>
      </c>
      <c r="K2241" s="3">
        <v>4</v>
      </c>
    </row>
    <row r="2242" spans="1:11">
      <c r="A2242" s="1">
        <v>45961</v>
      </c>
      <c r="B2242" t="s">
        <v>1982</v>
      </c>
      <c r="C2242">
        <v>3.895</v>
      </c>
      <c r="I2242" s="1">
        <v>45965</v>
      </c>
      <c r="J2242" s="1" t="s">
        <v>286</v>
      </c>
      <c r="K2242" s="3">
        <v>17000</v>
      </c>
    </row>
    <row r="2243" spans="1:11">
      <c r="A2243" s="1">
        <v>45961</v>
      </c>
      <c r="B2243" t="s">
        <v>1983</v>
      </c>
      <c r="C2243">
        <v>3.9620000000000002</v>
      </c>
      <c r="I2243" s="1">
        <v>45965</v>
      </c>
      <c r="J2243" s="1" t="s">
        <v>287</v>
      </c>
      <c r="K2243" s="3">
        <v>250336.4</v>
      </c>
    </row>
    <row r="2244" spans="1:11">
      <c r="A2244" s="1">
        <v>45960</v>
      </c>
      <c r="B2244" t="s">
        <v>1974</v>
      </c>
      <c r="C2244">
        <v>2.7919999999999998</v>
      </c>
      <c r="I2244" s="1">
        <v>45965</v>
      </c>
      <c r="J2244" s="1" t="s">
        <v>288</v>
      </c>
      <c r="K2244" s="3">
        <v>-69193.41</v>
      </c>
    </row>
    <row r="2245" spans="1:11">
      <c r="A2245" s="1">
        <v>45960</v>
      </c>
      <c r="B2245" t="s">
        <v>1975</v>
      </c>
      <c r="C2245">
        <v>2.8380000000000001</v>
      </c>
      <c r="I2245" s="1">
        <v>45965</v>
      </c>
      <c r="J2245" s="1" t="s">
        <v>289</v>
      </c>
      <c r="K2245" s="3">
        <v>20</v>
      </c>
    </row>
    <row r="2246" spans="1:11">
      <c r="A2246" s="1">
        <v>45960</v>
      </c>
      <c r="B2246" t="s">
        <v>1976</v>
      </c>
      <c r="C2246">
        <v>2.9079999999999999</v>
      </c>
      <c r="I2246" s="1">
        <v>45965</v>
      </c>
      <c r="J2246" s="1" t="s">
        <v>290</v>
      </c>
      <c r="K2246" s="3">
        <v>20</v>
      </c>
    </row>
    <row r="2247" spans="1:11">
      <c r="A2247" s="1">
        <v>45960</v>
      </c>
      <c r="B2247" t="s">
        <v>1977</v>
      </c>
      <c r="C2247">
        <v>3.036</v>
      </c>
      <c r="I2247" s="1">
        <v>45965</v>
      </c>
      <c r="J2247" s="1" t="s">
        <v>107</v>
      </c>
      <c r="K2247" s="3">
        <v>9732942780989</v>
      </c>
    </row>
    <row r="2248" spans="1:11">
      <c r="A2248" s="1">
        <v>45960</v>
      </c>
      <c r="B2248" t="s">
        <v>1978</v>
      </c>
      <c r="C2248">
        <v>3.1640000000000001</v>
      </c>
      <c r="I2248" s="1">
        <v>45964</v>
      </c>
      <c r="J2248" s="1" t="s">
        <v>282</v>
      </c>
      <c r="K2248" s="3">
        <v>1000</v>
      </c>
    </row>
    <row r="2249" spans="1:11">
      <c r="A2249" s="1">
        <v>45960</v>
      </c>
      <c r="B2249" t="s">
        <v>1979</v>
      </c>
      <c r="C2249">
        <v>3.423</v>
      </c>
      <c r="I2249" s="1">
        <v>45964</v>
      </c>
      <c r="J2249" s="1" t="s">
        <v>283</v>
      </c>
      <c r="K2249" s="3">
        <v>7</v>
      </c>
    </row>
    <row r="2250" spans="1:11">
      <c r="A2250" s="1">
        <v>45960</v>
      </c>
      <c r="B2250" t="s">
        <v>1980</v>
      </c>
      <c r="C2250">
        <v>3.81</v>
      </c>
      <c r="I2250" s="1">
        <v>45964</v>
      </c>
      <c r="J2250" s="1" t="s">
        <v>284</v>
      </c>
      <c r="K2250" s="3">
        <v>27000</v>
      </c>
    </row>
    <row r="2251" spans="1:11">
      <c r="A2251" s="1">
        <v>45960</v>
      </c>
      <c r="B2251" t="s">
        <v>1981</v>
      </c>
      <c r="C2251">
        <v>3.8809999999999998</v>
      </c>
      <c r="I2251" s="1">
        <v>45964</v>
      </c>
      <c r="J2251" s="1" t="s">
        <v>285</v>
      </c>
      <c r="K2251" s="3">
        <v>4</v>
      </c>
    </row>
    <row r="2252" spans="1:11">
      <c r="A2252" s="1">
        <v>45960</v>
      </c>
      <c r="B2252" t="s">
        <v>1982</v>
      </c>
      <c r="C2252">
        <v>3.8849999999999998</v>
      </c>
      <c r="I2252" s="1">
        <v>45964</v>
      </c>
      <c r="J2252" s="1" t="s">
        <v>286</v>
      </c>
      <c r="K2252" s="3">
        <v>5000</v>
      </c>
    </row>
    <row r="2253" spans="1:11">
      <c r="A2253" s="1">
        <v>45960</v>
      </c>
      <c r="B2253" t="s">
        <v>1983</v>
      </c>
      <c r="C2253">
        <v>3.95</v>
      </c>
      <c r="I2253" s="1">
        <v>45964</v>
      </c>
      <c r="J2253" s="1" t="s">
        <v>287</v>
      </c>
      <c r="K2253" s="3">
        <v>246336.4</v>
      </c>
    </row>
    <row r="2254" spans="1:11">
      <c r="A2254" s="1">
        <v>45959</v>
      </c>
      <c r="B2254" t="s">
        <v>1974</v>
      </c>
      <c r="C2254">
        <v>2.7919999999999998</v>
      </c>
      <c r="I2254" s="1">
        <v>45964</v>
      </c>
      <c r="J2254" s="1" t="s">
        <v>288</v>
      </c>
      <c r="K2254" s="3">
        <v>-76193.41</v>
      </c>
    </row>
    <row r="2255" spans="1:11">
      <c r="A2255" s="1">
        <v>45959</v>
      </c>
      <c r="B2255" t="s">
        <v>1975</v>
      </c>
      <c r="C2255">
        <v>2.8380000000000001</v>
      </c>
      <c r="I2255" s="1">
        <v>45964</v>
      </c>
      <c r="J2255" s="1" t="s">
        <v>289</v>
      </c>
      <c r="K2255" s="3">
        <v>8</v>
      </c>
    </row>
    <row r="2256" spans="1:11">
      <c r="A2256" s="1">
        <v>45959</v>
      </c>
      <c r="B2256" t="s">
        <v>1976</v>
      </c>
      <c r="C2256">
        <v>2.9079999999999999</v>
      </c>
      <c r="I2256" s="1">
        <v>45964</v>
      </c>
      <c r="J2256" s="1" t="s">
        <v>290</v>
      </c>
      <c r="K2256" s="3">
        <v>8</v>
      </c>
    </row>
    <row r="2257" spans="1:11">
      <c r="A2257" s="1">
        <v>45959</v>
      </c>
      <c r="B2257" t="s">
        <v>1977</v>
      </c>
      <c r="C2257">
        <v>3.036</v>
      </c>
      <c r="I2257" s="1">
        <v>45964</v>
      </c>
      <c r="J2257" s="1" t="s">
        <v>107</v>
      </c>
      <c r="K2257" s="3">
        <v>9649207192235</v>
      </c>
    </row>
    <row r="2258" spans="1:11">
      <c r="A2258" s="1">
        <v>45959</v>
      </c>
      <c r="B2258" t="s">
        <v>1978</v>
      </c>
      <c r="C2258">
        <v>3.1640000000000001</v>
      </c>
      <c r="I2258" s="1">
        <v>45963</v>
      </c>
      <c r="J2258" s="1" t="s">
        <v>107</v>
      </c>
      <c r="K2258" s="3">
        <v>9206014986616</v>
      </c>
    </row>
    <row r="2259" spans="1:11">
      <c r="A2259" s="1">
        <v>45959</v>
      </c>
      <c r="B2259" t="s">
        <v>1979</v>
      </c>
      <c r="C2259">
        <v>3.423</v>
      </c>
      <c r="I2259" s="1">
        <v>45961</v>
      </c>
      <c r="J2259" s="1" t="s">
        <v>107</v>
      </c>
      <c r="K2259" s="3">
        <v>9206014986616</v>
      </c>
    </row>
    <row r="2260" spans="1:11">
      <c r="A2260" s="1">
        <v>45959</v>
      </c>
      <c r="B2260" t="s">
        <v>1980</v>
      </c>
      <c r="C2260">
        <v>3.7879999999999998</v>
      </c>
      <c r="I2260" s="1">
        <v>45961</v>
      </c>
      <c r="J2260" s="1" t="s">
        <v>282</v>
      </c>
      <c r="K2260" s="3">
        <v>1000</v>
      </c>
    </row>
    <row r="2261" spans="1:11">
      <c r="A2261" s="1">
        <v>45959</v>
      </c>
      <c r="B2261" t="s">
        <v>1981</v>
      </c>
      <c r="C2261">
        <v>3.871</v>
      </c>
      <c r="I2261" s="1">
        <v>45961</v>
      </c>
      <c r="J2261" s="1" t="s">
        <v>283</v>
      </c>
      <c r="K2261" s="3">
        <v>7</v>
      </c>
    </row>
    <row r="2262" spans="1:11">
      <c r="A2262" s="1">
        <v>45959</v>
      </c>
      <c r="B2262" t="s">
        <v>1982</v>
      </c>
      <c r="C2262">
        <v>3.8650000000000002</v>
      </c>
      <c r="I2262" s="1">
        <v>45961</v>
      </c>
      <c r="J2262" s="1" t="s">
        <v>284</v>
      </c>
      <c r="K2262" s="3">
        <v>2547</v>
      </c>
    </row>
    <row r="2263" spans="1:11">
      <c r="A2263" s="1">
        <v>45959</v>
      </c>
      <c r="B2263" t="s">
        <v>1983</v>
      </c>
      <c r="C2263">
        <v>3.9289999999999998</v>
      </c>
      <c r="I2263" s="1">
        <v>45961</v>
      </c>
      <c r="J2263" s="1" t="s">
        <v>285</v>
      </c>
      <c r="K2263" s="3">
        <v>4</v>
      </c>
    </row>
    <row r="2264" spans="1:11">
      <c r="A2264" s="1">
        <v>45958</v>
      </c>
      <c r="B2264" t="s">
        <v>1974</v>
      </c>
      <c r="C2264">
        <v>2.7919999999999998</v>
      </c>
      <c r="I2264" s="1">
        <v>45961</v>
      </c>
      <c r="J2264" s="1" t="s">
        <v>286</v>
      </c>
      <c r="K2264" s="3">
        <v>5944.44</v>
      </c>
    </row>
    <row r="2265" spans="1:11">
      <c r="A2265" s="1">
        <v>45958</v>
      </c>
      <c r="B2265" t="s">
        <v>1975</v>
      </c>
      <c r="C2265">
        <v>2.8380000000000001</v>
      </c>
      <c r="I2265" s="1">
        <v>45961</v>
      </c>
      <c r="J2265" s="1" t="s">
        <v>287</v>
      </c>
      <c r="K2265" s="3">
        <v>224336.4</v>
      </c>
    </row>
    <row r="2266" spans="1:11">
      <c r="A2266" s="1">
        <v>45958</v>
      </c>
      <c r="B2266" t="s">
        <v>1976</v>
      </c>
      <c r="C2266">
        <v>2.9079999999999999</v>
      </c>
      <c r="I2266" s="1">
        <v>45961</v>
      </c>
      <c r="J2266" s="1" t="s">
        <v>288</v>
      </c>
      <c r="K2266" s="3">
        <v>-72193.41</v>
      </c>
    </row>
    <row r="2267" spans="1:11">
      <c r="A2267" s="1">
        <v>45958</v>
      </c>
      <c r="B2267" t="s">
        <v>1977</v>
      </c>
      <c r="C2267">
        <v>3.036</v>
      </c>
      <c r="I2267" s="1">
        <v>45961</v>
      </c>
      <c r="J2267" s="1" t="s">
        <v>289</v>
      </c>
      <c r="K2267" s="3">
        <v>8</v>
      </c>
    </row>
    <row r="2268" spans="1:11">
      <c r="A2268" s="1">
        <v>45958</v>
      </c>
      <c r="B2268" t="s">
        <v>1978</v>
      </c>
      <c r="C2268">
        <v>3.1640000000000001</v>
      </c>
      <c r="I2268" s="1">
        <v>45961</v>
      </c>
      <c r="J2268" s="1" t="s">
        <v>290</v>
      </c>
      <c r="K2268" s="3">
        <v>8</v>
      </c>
    </row>
    <row r="2269" spans="1:11">
      <c r="A2269" s="1">
        <v>45958</v>
      </c>
      <c r="B2269" t="s">
        <v>1979</v>
      </c>
      <c r="C2269">
        <v>3.423</v>
      </c>
      <c r="I2269" s="1">
        <v>45960</v>
      </c>
      <c r="J2269" s="1" t="s">
        <v>282</v>
      </c>
      <c r="K2269" s="3">
        <v>1000</v>
      </c>
    </row>
    <row r="2270" spans="1:11">
      <c r="A2270" s="1">
        <v>45958</v>
      </c>
      <c r="B2270" t="s">
        <v>1980</v>
      </c>
      <c r="C2270">
        <v>3.7850000000000001</v>
      </c>
      <c r="I2270" s="1">
        <v>45960</v>
      </c>
      <c r="J2270" s="1" t="s">
        <v>283</v>
      </c>
      <c r="K2270" s="3">
        <v>7</v>
      </c>
    </row>
    <row r="2271" spans="1:11">
      <c r="A2271" s="1">
        <v>45958</v>
      </c>
      <c r="B2271" t="s">
        <v>1981</v>
      </c>
      <c r="C2271">
        <v>3.87</v>
      </c>
      <c r="I2271" s="1">
        <v>45960</v>
      </c>
      <c r="J2271" s="1" t="s">
        <v>284</v>
      </c>
      <c r="K2271" s="3">
        <v>1999</v>
      </c>
    </row>
    <row r="2272" spans="1:11">
      <c r="A2272" s="1">
        <v>45958</v>
      </c>
      <c r="B2272" t="s">
        <v>1982</v>
      </c>
      <c r="C2272">
        <v>3.8650000000000002</v>
      </c>
      <c r="I2272" s="1">
        <v>45960</v>
      </c>
      <c r="J2272" s="1" t="s">
        <v>285</v>
      </c>
      <c r="K2272" s="3">
        <v>4</v>
      </c>
    </row>
    <row r="2273" spans="1:11">
      <c r="A2273" s="1">
        <v>45958</v>
      </c>
      <c r="B2273" t="s">
        <v>1983</v>
      </c>
      <c r="C2273">
        <v>3.9289999999999998</v>
      </c>
      <c r="I2273" s="1">
        <v>45960</v>
      </c>
      <c r="J2273" s="1" t="s">
        <v>286</v>
      </c>
      <c r="K2273" s="3">
        <v>6000</v>
      </c>
    </row>
    <row r="2274" spans="1:11">
      <c r="A2274" s="1">
        <v>45957</v>
      </c>
      <c r="B2274" t="s">
        <v>1974</v>
      </c>
      <c r="C2274">
        <v>2.7919999999999998</v>
      </c>
      <c r="I2274" s="1">
        <v>45960</v>
      </c>
      <c r="J2274" s="1" t="s">
        <v>287</v>
      </c>
      <c r="K2274" s="3">
        <v>227733.84</v>
      </c>
    </row>
    <row r="2275" spans="1:11">
      <c r="A2275" s="1">
        <v>45957</v>
      </c>
      <c r="B2275" t="s">
        <v>1975</v>
      </c>
      <c r="C2275">
        <v>2.8380000000000001</v>
      </c>
      <c r="I2275" s="1">
        <v>45960</v>
      </c>
      <c r="J2275" s="1" t="s">
        <v>288</v>
      </c>
      <c r="K2275" s="3">
        <v>-68880.850000000006</v>
      </c>
    </row>
    <row r="2276" spans="1:11">
      <c r="A2276" s="1">
        <v>45957</v>
      </c>
      <c r="B2276" t="s">
        <v>1976</v>
      </c>
      <c r="C2276">
        <v>2.9079999999999999</v>
      </c>
      <c r="I2276" s="1">
        <v>45960</v>
      </c>
      <c r="J2276" s="1" t="s">
        <v>289</v>
      </c>
      <c r="K2276" s="3">
        <v>4</v>
      </c>
    </row>
    <row r="2277" spans="1:11">
      <c r="A2277" s="1">
        <v>45957</v>
      </c>
      <c r="B2277" t="s">
        <v>1977</v>
      </c>
      <c r="C2277">
        <v>3.036</v>
      </c>
      <c r="I2277" s="1">
        <v>45960</v>
      </c>
      <c r="J2277" s="1" t="s">
        <v>290</v>
      </c>
      <c r="K2277" s="3">
        <v>4</v>
      </c>
    </row>
    <row r="2278" spans="1:11">
      <c r="A2278" s="1">
        <v>45957</v>
      </c>
      <c r="B2278" t="s">
        <v>1978</v>
      </c>
      <c r="C2278">
        <v>3.1640000000000001</v>
      </c>
      <c r="I2278" s="1">
        <v>45960</v>
      </c>
      <c r="J2278" s="1" t="s">
        <v>107</v>
      </c>
      <c r="K2278" s="3">
        <v>7447968839343</v>
      </c>
    </row>
    <row r="2279" spans="1:11">
      <c r="A2279" s="1">
        <v>45957</v>
      </c>
      <c r="B2279" t="s">
        <v>1979</v>
      </c>
      <c r="C2279">
        <v>3.4249999999999998</v>
      </c>
      <c r="I2279" s="1">
        <v>45959</v>
      </c>
      <c r="J2279" s="1" t="s">
        <v>107</v>
      </c>
      <c r="K2279" s="3">
        <v>5857252637412</v>
      </c>
    </row>
    <row r="2280" spans="1:11">
      <c r="A2280" s="1">
        <v>45957</v>
      </c>
      <c r="B2280" t="s">
        <v>1980</v>
      </c>
      <c r="C2280">
        <v>3.7869999999999999</v>
      </c>
      <c r="I2280" s="1">
        <v>45959</v>
      </c>
      <c r="J2280" s="1" t="s">
        <v>288</v>
      </c>
      <c r="K2280" s="3">
        <v>-64001.85</v>
      </c>
    </row>
    <row r="2281" spans="1:11">
      <c r="A2281" s="1">
        <v>45957</v>
      </c>
      <c r="B2281" t="s">
        <v>1981</v>
      </c>
      <c r="C2281">
        <v>3.87</v>
      </c>
      <c r="I2281" s="1">
        <v>45959</v>
      </c>
      <c r="J2281" s="1" t="s">
        <v>289</v>
      </c>
      <c r="K2281" s="3">
        <v>2</v>
      </c>
    </row>
    <row r="2282" spans="1:11">
      <c r="A2282" s="1">
        <v>45957</v>
      </c>
      <c r="B2282" t="s">
        <v>1982</v>
      </c>
      <c r="C2282">
        <v>3.8530000000000002</v>
      </c>
      <c r="I2282" s="1">
        <v>45959</v>
      </c>
      <c r="J2282" s="1" t="s">
        <v>290</v>
      </c>
      <c r="K2282" s="3">
        <v>2</v>
      </c>
    </row>
    <row r="2283" spans="1:11">
      <c r="A2283" s="1">
        <v>45957</v>
      </c>
      <c r="B2283" t="s">
        <v>1983</v>
      </c>
      <c r="C2283">
        <v>3.9159999999999999</v>
      </c>
      <c r="I2283" s="1">
        <v>45959</v>
      </c>
      <c r="J2283" s="1" t="s">
        <v>282</v>
      </c>
      <c r="K2283" s="3">
        <v>1000</v>
      </c>
    </row>
    <row r="2284" spans="1:11">
      <c r="A2284" s="1">
        <v>45954</v>
      </c>
      <c r="B2284" t="s">
        <v>1974</v>
      </c>
      <c r="C2284">
        <v>2.7919999999999998</v>
      </c>
      <c r="I2284" s="1">
        <v>45959</v>
      </c>
      <c r="J2284" s="1" t="s">
        <v>283</v>
      </c>
      <c r="K2284" s="3">
        <v>7</v>
      </c>
    </row>
    <row r="2285" spans="1:11">
      <c r="A2285" s="1">
        <v>45954</v>
      </c>
      <c r="B2285" t="s">
        <v>1975</v>
      </c>
      <c r="C2285">
        <v>2.8380000000000001</v>
      </c>
      <c r="I2285" s="1">
        <v>45959</v>
      </c>
      <c r="J2285" s="1" t="s">
        <v>284</v>
      </c>
      <c r="K2285" s="3">
        <v>433.24</v>
      </c>
    </row>
    <row r="2286" spans="1:11">
      <c r="A2286" s="1">
        <v>45954</v>
      </c>
      <c r="B2286" t="s">
        <v>1976</v>
      </c>
      <c r="C2286">
        <v>2.9079999999999999</v>
      </c>
      <c r="I2286" s="1">
        <v>45959</v>
      </c>
      <c r="J2286" s="1" t="s">
        <v>285</v>
      </c>
      <c r="K2286" s="3">
        <v>4</v>
      </c>
    </row>
    <row r="2287" spans="1:11">
      <c r="A2287" s="1">
        <v>45954</v>
      </c>
      <c r="B2287" t="s">
        <v>1977</v>
      </c>
      <c r="C2287">
        <v>3.036</v>
      </c>
      <c r="I2287" s="1">
        <v>45959</v>
      </c>
      <c r="J2287" s="1" t="s">
        <v>286</v>
      </c>
      <c r="K2287" s="3">
        <v>6411.5</v>
      </c>
    </row>
    <row r="2288" spans="1:11">
      <c r="A2288" s="1">
        <v>45954</v>
      </c>
      <c r="B2288" t="s">
        <v>1978</v>
      </c>
      <c r="C2288">
        <v>3.1640000000000001</v>
      </c>
      <c r="I2288" s="1">
        <v>45959</v>
      </c>
      <c r="J2288" s="1" t="s">
        <v>287</v>
      </c>
      <c r="K2288" s="3">
        <v>231734.84</v>
      </c>
    </row>
    <row r="2289" spans="1:11">
      <c r="A2289" s="1">
        <v>45954</v>
      </c>
      <c r="B2289" t="s">
        <v>1979</v>
      </c>
      <c r="C2289">
        <v>3.4220000000000002</v>
      </c>
      <c r="I2289" s="1">
        <v>45958</v>
      </c>
      <c r="J2289" s="1" t="s">
        <v>282</v>
      </c>
      <c r="K2289" s="3">
        <v>3000</v>
      </c>
    </row>
    <row r="2290" spans="1:11">
      <c r="A2290" s="1">
        <v>45954</v>
      </c>
      <c r="B2290" t="s">
        <v>1980</v>
      </c>
      <c r="C2290">
        <v>3.7930000000000001</v>
      </c>
      <c r="I2290" s="1">
        <v>45958</v>
      </c>
      <c r="J2290" s="1" t="s">
        <v>283</v>
      </c>
      <c r="K2290" s="3">
        <v>7</v>
      </c>
    </row>
    <row r="2291" spans="1:11">
      <c r="A2291" s="1">
        <v>45954</v>
      </c>
      <c r="B2291" t="s">
        <v>1981</v>
      </c>
      <c r="C2291">
        <v>3.8650000000000002</v>
      </c>
      <c r="I2291" s="1">
        <v>45958</v>
      </c>
      <c r="J2291" s="1" t="s">
        <v>284</v>
      </c>
      <c r="K2291" s="3">
        <v>16000</v>
      </c>
    </row>
    <row r="2292" spans="1:11">
      <c r="A2292" s="1">
        <v>45954</v>
      </c>
      <c r="B2292" t="s">
        <v>1982</v>
      </c>
      <c r="C2292">
        <v>3.8530000000000002</v>
      </c>
      <c r="I2292" s="1">
        <v>45958</v>
      </c>
      <c r="J2292" s="1" t="s">
        <v>285</v>
      </c>
      <c r="K2292" s="3">
        <v>4</v>
      </c>
    </row>
    <row r="2293" spans="1:11">
      <c r="A2293" s="1">
        <v>45954</v>
      </c>
      <c r="B2293" t="s">
        <v>1983</v>
      </c>
      <c r="C2293">
        <v>3.9159999999999999</v>
      </c>
      <c r="I2293" s="1">
        <v>45958</v>
      </c>
      <c r="J2293" s="1" t="s">
        <v>286</v>
      </c>
      <c r="K2293" s="3">
        <v>9298.76</v>
      </c>
    </row>
    <row r="2294" spans="1:11">
      <c r="A2294" s="1">
        <v>45953</v>
      </c>
      <c r="B2294" t="s">
        <v>1974</v>
      </c>
      <c r="C2294">
        <v>2.7829999999999999</v>
      </c>
      <c r="I2294" s="1">
        <v>45958</v>
      </c>
      <c r="J2294" s="1" t="s">
        <v>287</v>
      </c>
      <c r="K2294" s="3">
        <v>237713.1</v>
      </c>
    </row>
    <row r="2295" spans="1:11">
      <c r="A2295" s="1">
        <v>45953</v>
      </c>
      <c r="B2295" t="s">
        <v>1975</v>
      </c>
      <c r="C2295">
        <v>2.8290000000000002</v>
      </c>
      <c r="I2295" s="1">
        <v>45958</v>
      </c>
      <c r="J2295" s="1" t="s">
        <v>288</v>
      </c>
      <c r="K2295" s="3">
        <v>-40355.94</v>
      </c>
    </row>
    <row r="2296" spans="1:11">
      <c r="A2296" s="1">
        <v>45953</v>
      </c>
      <c r="B2296" t="s">
        <v>1976</v>
      </c>
      <c r="C2296">
        <v>2.9</v>
      </c>
      <c r="I2296" s="1">
        <v>45958</v>
      </c>
      <c r="J2296" s="1" t="s">
        <v>289</v>
      </c>
      <c r="K2296" s="3">
        <v>15</v>
      </c>
    </row>
    <row r="2297" spans="1:11">
      <c r="A2297" s="1">
        <v>45953</v>
      </c>
      <c r="B2297" t="s">
        <v>1977</v>
      </c>
      <c r="C2297">
        <v>3.03</v>
      </c>
      <c r="I2297" s="1">
        <v>45958</v>
      </c>
      <c r="J2297" s="1" t="s">
        <v>290</v>
      </c>
      <c r="K2297" s="3">
        <v>15</v>
      </c>
    </row>
    <row r="2298" spans="1:11">
      <c r="A2298" s="1">
        <v>45953</v>
      </c>
      <c r="B2298" t="s">
        <v>1978</v>
      </c>
      <c r="C2298">
        <v>3.16</v>
      </c>
      <c r="I2298" s="1">
        <v>45958</v>
      </c>
      <c r="J2298" s="1" t="s">
        <v>107</v>
      </c>
      <c r="K2298" s="3">
        <v>6194992128113</v>
      </c>
    </row>
    <row r="2299" spans="1:11">
      <c r="A2299" s="1">
        <v>45953</v>
      </c>
      <c r="B2299" t="s">
        <v>1979</v>
      </c>
      <c r="C2299">
        <v>3.4239999999999999</v>
      </c>
      <c r="I2299" s="1">
        <v>45957</v>
      </c>
      <c r="J2299" s="1" t="s">
        <v>282</v>
      </c>
      <c r="K2299" s="3">
        <v>1000</v>
      </c>
    </row>
    <row r="2300" spans="1:11">
      <c r="A2300" s="1">
        <v>45953</v>
      </c>
      <c r="B2300" t="s">
        <v>1980</v>
      </c>
      <c r="C2300">
        <v>3.7970000000000002</v>
      </c>
      <c r="I2300" s="1">
        <v>45957</v>
      </c>
      <c r="J2300" s="1" t="s">
        <v>283</v>
      </c>
      <c r="K2300" s="3">
        <v>7</v>
      </c>
    </row>
    <row r="2301" spans="1:11">
      <c r="A2301" s="1">
        <v>45953</v>
      </c>
      <c r="B2301" t="s">
        <v>1981</v>
      </c>
      <c r="C2301">
        <v>3.8650000000000002</v>
      </c>
      <c r="I2301" s="1">
        <v>45957</v>
      </c>
      <c r="J2301" s="1" t="s">
        <v>284</v>
      </c>
      <c r="K2301" s="3">
        <v>17529</v>
      </c>
    </row>
    <row r="2302" spans="1:11">
      <c r="A2302" s="1">
        <v>45953</v>
      </c>
      <c r="B2302" t="s">
        <v>1982</v>
      </c>
      <c r="C2302">
        <v>3.8530000000000002</v>
      </c>
      <c r="I2302" s="1">
        <v>45957</v>
      </c>
      <c r="J2302" s="1" t="s">
        <v>285</v>
      </c>
      <c r="K2302" s="3">
        <v>4</v>
      </c>
    </row>
    <row r="2303" spans="1:11">
      <c r="A2303" s="1">
        <v>45953</v>
      </c>
      <c r="B2303" t="s">
        <v>1983</v>
      </c>
      <c r="C2303">
        <v>3.9119999999999999</v>
      </c>
      <c r="I2303" s="1">
        <v>45957</v>
      </c>
      <c r="J2303" s="1" t="s">
        <v>286</v>
      </c>
      <c r="K2303" s="3">
        <v>10000</v>
      </c>
    </row>
    <row r="2304" spans="1:11">
      <c r="A2304" s="1">
        <v>45952</v>
      </c>
      <c r="B2304" t="s">
        <v>1974</v>
      </c>
      <c r="C2304">
        <v>2.7829999999999999</v>
      </c>
      <c r="I2304" s="1">
        <v>45957</v>
      </c>
      <c r="J2304" s="1" t="s">
        <v>287</v>
      </c>
      <c r="K2304" s="3">
        <v>231011.86</v>
      </c>
    </row>
    <row r="2305" spans="1:11">
      <c r="A2305" s="1">
        <v>45952</v>
      </c>
      <c r="B2305" t="s">
        <v>1975</v>
      </c>
      <c r="C2305">
        <v>2.8290000000000002</v>
      </c>
      <c r="I2305" s="1">
        <v>45957</v>
      </c>
      <c r="J2305" s="1" t="s">
        <v>288</v>
      </c>
      <c r="K2305" s="3">
        <v>-32654.7</v>
      </c>
    </row>
    <row r="2306" spans="1:11">
      <c r="A2306" s="1">
        <v>45952</v>
      </c>
      <c r="B2306" t="s">
        <v>1976</v>
      </c>
      <c r="C2306">
        <v>2.9</v>
      </c>
      <c r="I2306" s="1">
        <v>45957</v>
      </c>
      <c r="J2306" s="1" t="s">
        <v>289</v>
      </c>
      <c r="K2306" s="3">
        <v>19</v>
      </c>
    </row>
    <row r="2307" spans="1:11">
      <c r="A2307" s="1">
        <v>45952</v>
      </c>
      <c r="B2307" t="s">
        <v>1977</v>
      </c>
      <c r="C2307">
        <v>3.03</v>
      </c>
      <c r="I2307" s="1">
        <v>45957</v>
      </c>
      <c r="J2307" s="1" t="s">
        <v>290</v>
      </c>
      <c r="K2307" s="3">
        <v>19</v>
      </c>
    </row>
    <row r="2308" spans="1:11">
      <c r="A2308" s="1">
        <v>45952</v>
      </c>
      <c r="B2308" t="s">
        <v>1978</v>
      </c>
      <c r="C2308">
        <v>3.16</v>
      </c>
      <c r="I2308" s="1">
        <v>45957</v>
      </c>
      <c r="J2308" s="1" t="s">
        <v>107</v>
      </c>
      <c r="K2308" s="3">
        <v>5769299807867</v>
      </c>
    </row>
    <row r="2309" spans="1:11">
      <c r="A2309" s="1">
        <v>45952</v>
      </c>
      <c r="B2309" t="s">
        <v>1979</v>
      </c>
      <c r="C2309">
        <v>3.4260000000000002</v>
      </c>
      <c r="I2309" s="1">
        <v>45956</v>
      </c>
      <c r="J2309" s="1" t="s">
        <v>107</v>
      </c>
      <c r="K2309" s="3">
        <v>6153973255508</v>
      </c>
    </row>
    <row r="2310" spans="1:11">
      <c r="A2310" s="1">
        <v>45952</v>
      </c>
      <c r="B2310" t="s">
        <v>1980</v>
      </c>
      <c r="C2310">
        <v>3.77</v>
      </c>
      <c r="I2310" s="1">
        <v>45954</v>
      </c>
      <c r="J2310" s="1" t="s">
        <v>282</v>
      </c>
      <c r="K2310" s="3">
        <v>4000</v>
      </c>
    </row>
    <row r="2311" spans="1:11">
      <c r="A2311" s="1">
        <v>45952</v>
      </c>
      <c r="B2311" t="s">
        <v>1981</v>
      </c>
      <c r="C2311">
        <v>3.835</v>
      </c>
      <c r="I2311" s="1">
        <v>45954</v>
      </c>
      <c r="J2311" s="1" t="s">
        <v>283</v>
      </c>
      <c r="K2311" s="3">
        <v>7</v>
      </c>
    </row>
    <row r="2312" spans="1:11">
      <c r="A2312" s="1">
        <v>45952</v>
      </c>
      <c r="B2312" t="s">
        <v>1982</v>
      </c>
      <c r="C2312">
        <v>3.8439999999999999</v>
      </c>
      <c r="I2312" s="1">
        <v>45954</v>
      </c>
      <c r="J2312" s="1" t="s">
        <v>284</v>
      </c>
      <c r="K2312" s="3">
        <v>22000</v>
      </c>
    </row>
    <row r="2313" spans="1:11">
      <c r="A2313" s="1">
        <v>45952</v>
      </c>
      <c r="B2313" t="s">
        <v>1983</v>
      </c>
      <c r="C2313">
        <v>3.9079999999999999</v>
      </c>
      <c r="I2313" s="1">
        <v>45954</v>
      </c>
      <c r="J2313" s="1" t="s">
        <v>285</v>
      </c>
      <c r="K2313" s="3">
        <v>4</v>
      </c>
    </row>
    <row r="2314" spans="1:11">
      <c r="A2314" s="1">
        <v>45951</v>
      </c>
      <c r="B2314" t="s">
        <v>1974</v>
      </c>
      <c r="C2314">
        <v>2.7669999999999999</v>
      </c>
      <c r="I2314" s="1">
        <v>45954</v>
      </c>
      <c r="J2314" s="1" t="s">
        <v>286</v>
      </c>
      <c r="K2314" s="3">
        <v>11000</v>
      </c>
    </row>
    <row r="2315" spans="1:11">
      <c r="A2315" s="1">
        <v>45951</v>
      </c>
      <c r="B2315" t="s">
        <v>1975</v>
      </c>
      <c r="C2315">
        <v>2.8130000000000002</v>
      </c>
      <c r="I2315" s="1">
        <v>45954</v>
      </c>
      <c r="J2315" s="1" t="s">
        <v>287</v>
      </c>
      <c r="K2315" s="3">
        <v>223482.86</v>
      </c>
    </row>
    <row r="2316" spans="1:11">
      <c r="A2316" s="1">
        <v>45951</v>
      </c>
      <c r="B2316" t="s">
        <v>1976</v>
      </c>
      <c r="C2316">
        <v>2.883</v>
      </c>
      <c r="I2316" s="1">
        <v>45954</v>
      </c>
      <c r="J2316" s="1" t="s">
        <v>288</v>
      </c>
      <c r="K2316" s="3">
        <v>-37654.699999999997</v>
      </c>
    </row>
    <row r="2317" spans="1:11">
      <c r="A2317" s="1">
        <v>45951</v>
      </c>
      <c r="B2317" t="s">
        <v>1977</v>
      </c>
      <c r="C2317">
        <v>3.0169999999999999</v>
      </c>
      <c r="I2317" s="1">
        <v>45954</v>
      </c>
      <c r="J2317" s="1" t="s">
        <v>289</v>
      </c>
      <c r="K2317" s="3">
        <v>21</v>
      </c>
    </row>
    <row r="2318" spans="1:11">
      <c r="A2318" s="1">
        <v>45951</v>
      </c>
      <c r="B2318" t="s">
        <v>1978</v>
      </c>
      <c r="C2318">
        <v>3.1509999999999998</v>
      </c>
      <c r="I2318" s="1">
        <v>45954</v>
      </c>
      <c r="J2318" s="1" t="s">
        <v>290</v>
      </c>
      <c r="K2318" s="3">
        <v>21</v>
      </c>
    </row>
    <row r="2319" spans="1:11">
      <c r="A2319" s="1">
        <v>45951</v>
      </c>
      <c r="B2319" t="s">
        <v>1979</v>
      </c>
      <c r="C2319">
        <v>3.4249999999999998</v>
      </c>
      <c r="I2319" s="1">
        <v>45953</v>
      </c>
      <c r="J2319" s="1" t="s">
        <v>107</v>
      </c>
      <c r="K2319" s="3">
        <v>4609168215643</v>
      </c>
    </row>
    <row r="2320" spans="1:11">
      <c r="A2320" s="1">
        <v>45951</v>
      </c>
      <c r="B2320" t="s">
        <v>1980</v>
      </c>
      <c r="C2320">
        <v>3.762</v>
      </c>
      <c r="I2320" s="1">
        <v>45953</v>
      </c>
      <c r="J2320" s="1" t="s">
        <v>282</v>
      </c>
      <c r="K2320" s="3">
        <v>1000</v>
      </c>
    </row>
    <row r="2321" spans="1:11">
      <c r="A2321" s="1">
        <v>45951</v>
      </c>
      <c r="B2321" t="s">
        <v>1981</v>
      </c>
      <c r="C2321">
        <v>3.8250000000000002</v>
      </c>
      <c r="I2321" s="1">
        <v>45953</v>
      </c>
      <c r="J2321" s="1" t="s">
        <v>283</v>
      </c>
      <c r="K2321" s="3">
        <v>7</v>
      </c>
    </row>
    <row r="2322" spans="1:11">
      <c r="A2322" s="1">
        <v>45951</v>
      </c>
      <c r="B2322" t="s">
        <v>1982</v>
      </c>
      <c r="C2322">
        <v>3.8439999999999999</v>
      </c>
      <c r="I2322" s="1">
        <v>45953</v>
      </c>
      <c r="J2322" s="1" t="s">
        <v>284</v>
      </c>
      <c r="K2322" s="3">
        <v>15000</v>
      </c>
    </row>
    <row r="2323" spans="1:11">
      <c r="A2323" s="1">
        <v>45951</v>
      </c>
      <c r="B2323" t="s">
        <v>1983</v>
      </c>
      <c r="C2323">
        <v>3.9079999999999999</v>
      </c>
      <c r="I2323" s="1">
        <v>45953</v>
      </c>
      <c r="J2323" s="1" t="s">
        <v>285</v>
      </c>
      <c r="K2323" s="3">
        <v>4</v>
      </c>
    </row>
    <row r="2324" spans="1:11">
      <c r="A2324" s="1">
        <v>45950</v>
      </c>
      <c r="B2324" t="s">
        <v>1974</v>
      </c>
      <c r="C2324">
        <v>2.7669999999999999</v>
      </c>
      <c r="I2324" s="1">
        <v>45953</v>
      </c>
      <c r="J2324" s="1" t="s">
        <v>286</v>
      </c>
      <c r="K2324" s="3">
        <v>11147.41</v>
      </c>
    </row>
    <row r="2325" spans="1:11">
      <c r="A2325" s="1">
        <v>45950</v>
      </c>
      <c r="B2325" t="s">
        <v>1975</v>
      </c>
      <c r="C2325">
        <v>2.8130000000000002</v>
      </c>
      <c r="I2325" s="1">
        <v>45953</v>
      </c>
      <c r="J2325" s="1" t="s">
        <v>287</v>
      </c>
      <c r="K2325" s="3">
        <v>212482.86</v>
      </c>
    </row>
    <row r="2326" spans="1:11">
      <c r="A2326" s="1">
        <v>45950</v>
      </c>
      <c r="B2326" t="s">
        <v>1976</v>
      </c>
      <c r="C2326">
        <v>2.883</v>
      </c>
      <c r="I2326" s="1">
        <v>45953</v>
      </c>
      <c r="J2326" s="1" t="s">
        <v>288</v>
      </c>
      <c r="K2326" s="3">
        <v>-42710.26</v>
      </c>
    </row>
    <row r="2327" spans="1:11">
      <c r="A2327" s="1">
        <v>45950</v>
      </c>
      <c r="B2327" t="s">
        <v>1977</v>
      </c>
      <c r="C2327">
        <v>3.0169999999999999</v>
      </c>
      <c r="I2327" s="1">
        <v>45953</v>
      </c>
      <c r="J2327" s="1" t="s">
        <v>289</v>
      </c>
      <c r="K2327" s="3">
        <v>16</v>
      </c>
    </row>
    <row r="2328" spans="1:11">
      <c r="A2328" s="1">
        <v>45950</v>
      </c>
      <c r="B2328" t="s">
        <v>1978</v>
      </c>
      <c r="C2328">
        <v>3.1509999999999998</v>
      </c>
      <c r="I2328" s="1">
        <v>45953</v>
      </c>
      <c r="J2328" s="1" t="s">
        <v>290</v>
      </c>
      <c r="K2328" s="3">
        <v>16</v>
      </c>
    </row>
    <row r="2329" spans="1:11">
      <c r="A2329" s="1">
        <v>45950</v>
      </c>
      <c r="B2329" t="s">
        <v>1979</v>
      </c>
      <c r="C2329">
        <v>3.4279999999999999</v>
      </c>
      <c r="I2329" s="1">
        <v>45952</v>
      </c>
      <c r="J2329" s="1" t="s">
        <v>282</v>
      </c>
      <c r="K2329" s="3">
        <v>3000</v>
      </c>
    </row>
    <row r="2330" spans="1:11">
      <c r="A2330" s="1">
        <v>45950</v>
      </c>
      <c r="B2330" t="s">
        <v>1980</v>
      </c>
      <c r="C2330">
        <v>3.758</v>
      </c>
      <c r="I2330" s="1">
        <v>45952</v>
      </c>
      <c r="J2330" s="1" t="s">
        <v>283</v>
      </c>
      <c r="K2330" s="3">
        <v>7</v>
      </c>
    </row>
    <row r="2331" spans="1:11">
      <c r="A2331" s="1">
        <v>45950</v>
      </c>
      <c r="B2331" t="s">
        <v>1981</v>
      </c>
      <c r="C2331">
        <v>3.8250000000000002</v>
      </c>
      <c r="I2331" s="1">
        <v>45952</v>
      </c>
      <c r="J2331" s="1" t="s">
        <v>284</v>
      </c>
      <c r="K2331" s="3">
        <v>55000</v>
      </c>
    </row>
    <row r="2332" spans="1:11">
      <c r="A2332" s="1">
        <v>45950</v>
      </c>
      <c r="B2332" t="s">
        <v>1982</v>
      </c>
      <c r="C2332">
        <v>3.8439999999999999</v>
      </c>
      <c r="I2332" s="1">
        <v>45952</v>
      </c>
      <c r="J2332" s="1" t="s">
        <v>285</v>
      </c>
      <c r="K2332" s="3">
        <v>4</v>
      </c>
    </row>
    <row r="2333" spans="1:11">
      <c r="A2333" s="1">
        <v>45950</v>
      </c>
      <c r="B2333" t="s">
        <v>1983</v>
      </c>
      <c r="C2333">
        <v>3.9039999999999999</v>
      </c>
      <c r="I2333" s="1">
        <v>45952</v>
      </c>
      <c r="J2333" s="1" t="s">
        <v>286</v>
      </c>
      <c r="K2333" s="3">
        <v>9000</v>
      </c>
    </row>
    <row r="2334" spans="1:11">
      <c r="A2334" s="1">
        <v>45947</v>
      </c>
      <c r="B2334" t="s">
        <v>1974</v>
      </c>
      <c r="C2334">
        <v>2.75</v>
      </c>
      <c r="I2334" s="1">
        <v>45952</v>
      </c>
      <c r="J2334" s="1" t="s">
        <v>287</v>
      </c>
      <c r="K2334" s="3">
        <v>208630.27</v>
      </c>
    </row>
    <row r="2335" spans="1:11">
      <c r="A2335" s="1">
        <v>45947</v>
      </c>
      <c r="B2335" t="s">
        <v>1975</v>
      </c>
      <c r="C2335">
        <v>2.7959999999999998</v>
      </c>
      <c r="I2335" s="1">
        <v>45952</v>
      </c>
      <c r="J2335" s="1" t="s">
        <v>288</v>
      </c>
      <c r="K2335" s="3">
        <v>-47857.67</v>
      </c>
    </row>
    <row r="2336" spans="1:11">
      <c r="A2336" s="1">
        <v>45947</v>
      </c>
      <c r="B2336" t="s">
        <v>1976</v>
      </c>
      <c r="C2336">
        <v>2.867</v>
      </c>
      <c r="I2336" s="1">
        <v>45952</v>
      </c>
      <c r="J2336" s="1" t="s">
        <v>289</v>
      </c>
      <c r="K2336" s="3">
        <v>36</v>
      </c>
    </row>
    <row r="2337" spans="1:11">
      <c r="A2337" s="1">
        <v>45947</v>
      </c>
      <c r="B2337" t="s">
        <v>1977</v>
      </c>
      <c r="C2337">
        <v>3.0089999999999999</v>
      </c>
      <c r="I2337" s="1">
        <v>45952</v>
      </c>
      <c r="J2337" s="1" t="s">
        <v>290</v>
      </c>
      <c r="K2337" s="3">
        <v>36</v>
      </c>
    </row>
    <row r="2338" spans="1:11">
      <c r="A2338" s="1">
        <v>45947</v>
      </c>
      <c r="B2338" t="s">
        <v>1978</v>
      </c>
      <c r="C2338">
        <v>3.1509999999999998</v>
      </c>
      <c r="I2338" s="1">
        <v>45952</v>
      </c>
      <c r="J2338" s="1" t="s">
        <v>107</v>
      </c>
      <c r="K2338" s="3">
        <v>4609168215643</v>
      </c>
    </row>
    <row r="2339" spans="1:11">
      <c r="A2339" s="1">
        <v>45947</v>
      </c>
      <c r="B2339" t="s">
        <v>1979</v>
      </c>
      <c r="C2339">
        <v>3.4249999999999998</v>
      </c>
      <c r="I2339" s="1">
        <v>45951</v>
      </c>
      <c r="J2339" s="1" t="s">
        <v>282</v>
      </c>
      <c r="K2339" s="3">
        <v>3000</v>
      </c>
    </row>
    <row r="2340" spans="1:11">
      <c r="A2340" s="1">
        <v>45947</v>
      </c>
      <c r="B2340" t="s">
        <v>1980</v>
      </c>
      <c r="C2340">
        <v>3.762</v>
      </c>
      <c r="I2340" s="1">
        <v>45951</v>
      </c>
      <c r="J2340" s="1" t="s">
        <v>283</v>
      </c>
      <c r="K2340" s="3">
        <v>7</v>
      </c>
    </row>
    <row r="2341" spans="1:11">
      <c r="A2341" s="1">
        <v>45947</v>
      </c>
      <c r="B2341" t="s">
        <v>1981</v>
      </c>
      <c r="C2341">
        <v>3.82</v>
      </c>
      <c r="I2341" s="1">
        <v>45951</v>
      </c>
      <c r="J2341" s="1" t="s">
        <v>284</v>
      </c>
      <c r="K2341" s="3">
        <v>20000</v>
      </c>
    </row>
    <row r="2342" spans="1:11">
      <c r="A2342" s="1">
        <v>45947</v>
      </c>
      <c r="B2342" t="s">
        <v>1982</v>
      </c>
      <c r="C2342">
        <v>3.8279999999999998</v>
      </c>
      <c r="I2342" s="1">
        <v>45951</v>
      </c>
      <c r="J2342" s="1" t="s">
        <v>285</v>
      </c>
      <c r="K2342" s="3">
        <v>4</v>
      </c>
    </row>
    <row r="2343" spans="1:11">
      <c r="A2343" s="1">
        <v>45947</v>
      </c>
      <c r="B2343" t="s">
        <v>1983</v>
      </c>
      <c r="C2343">
        <v>3.891</v>
      </c>
      <c r="I2343" s="1">
        <v>45951</v>
      </c>
      <c r="J2343" s="1" t="s">
        <v>286</v>
      </c>
      <c r="K2343" s="3">
        <v>11000</v>
      </c>
    </row>
    <row r="2344" spans="1:11">
      <c r="A2344" s="1">
        <v>45946</v>
      </c>
      <c r="B2344" t="s">
        <v>1974</v>
      </c>
      <c r="C2344">
        <v>2.7440000000000002</v>
      </c>
      <c r="I2344" s="1">
        <v>45951</v>
      </c>
      <c r="J2344" s="1" t="s">
        <v>287</v>
      </c>
      <c r="K2344" s="3">
        <v>162630.26999999999</v>
      </c>
    </row>
    <row r="2345" spans="1:11">
      <c r="A2345" s="1">
        <v>45946</v>
      </c>
      <c r="B2345" t="s">
        <v>1975</v>
      </c>
      <c r="C2345">
        <v>2.79</v>
      </c>
      <c r="I2345" s="1">
        <v>45951</v>
      </c>
      <c r="J2345" s="1" t="s">
        <v>288</v>
      </c>
      <c r="K2345" s="3">
        <v>-50446.17</v>
      </c>
    </row>
    <row r="2346" spans="1:11">
      <c r="A2346" s="1">
        <v>45946</v>
      </c>
      <c r="B2346" t="s">
        <v>1976</v>
      </c>
      <c r="C2346">
        <v>2.86</v>
      </c>
      <c r="I2346" s="1">
        <v>45951</v>
      </c>
      <c r="J2346" s="1" t="s">
        <v>289</v>
      </c>
      <c r="K2346" s="3">
        <v>22</v>
      </c>
    </row>
    <row r="2347" spans="1:11">
      <c r="A2347" s="1">
        <v>45946</v>
      </c>
      <c r="B2347" t="s">
        <v>1977</v>
      </c>
      <c r="C2347">
        <v>3.0059999999999998</v>
      </c>
      <c r="I2347" s="1">
        <v>45951</v>
      </c>
      <c r="J2347" s="1" t="s">
        <v>290</v>
      </c>
      <c r="K2347" s="3">
        <v>22</v>
      </c>
    </row>
    <row r="2348" spans="1:11">
      <c r="A2348" s="1">
        <v>45946</v>
      </c>
      <c r="B2348" t="s">
        <v>1978</v>
      </c>
      <c r="C2348">
        <v>3.1509999999999998</v>
      </c>
      <c r="I2348" s="1">
        <v>45951</v>
      </c>
      <c r="J2348" s="1" t="s">
        <v>107</v>
      </c>
      <c r="K2348" s="3">
        <v>3604085467199</v>
      </c>
    </row>
    <row r="2349" spans="1:11">
      <c r="A2349" s="1">
        <v>45946</v>
      </c>
      <c r="B2349" t="s">
        <v>1979</v>
      </c>
      <c r="C2349">
        <v>3.4279999999999999</v>
      </c>
      <c r="I2349" s="1">
        <v>45950</v>
      </c>
      <c r="J2349" s="1" t="s">
        <v>107</v>
      </c>
      <c r="K2349" s="3">
        <v>3427242745851</v>
      </c>
    </row>
    <row r="2350" spans="1:11">
      <c r="A2350" s="1">
        <v>45946</v>
      </c>
      <c r="B2350" t="s">
        <v>1980</v>
      </c>
      <c r="C2350">
        <v>3.746</v>
      </c>
      <c r="I2350" s="1">
        <v>45950</v>
      </c>
      <c r="J2350" s="1" t="s">
        <v>282</v>
      </c>
      <c r="K2350" s="3">
        <v>2000</v>
      </c>
    </row>
    <row r="2351" spans="1:11">
      <c r="A2351" s="1">
        <v>45946</v>
      </c>
      <c r="B2351" t="s">
        <v>1981</v>
      </c>
      <c r="C2351">
        <v>3.8149999999999999</v>
      </c>
      <c r="I2351" s="1">
        <v>45950</v>
      </c>
      <c r="J2351" s="1" t="s">
        <v>283</v>
      </c>
      <c r="K2351" s="3">
        <v>7</v>
      </c>
    </row>
    <row r="2352" spans="1:11">
      <c r="A2352" s="1">
        <v>45946</v>
      </c>
      <c r="B2352" t="s">
        <v>1982</v>
      </c>
      <c r="C2352">
        <v>3.8279999999999998</v>
      </c>
      <c r="I2352" s="1">
        <v>45950</v>
      </c>
      <c r="J2352" s="1" t="s">
        <v>284</v>
      </c>
      <c r="K2352" s="3">
        <v>6999.23</v>
      </c>
    </row>
    <row r="2353" spans="1:11">
      <c r="A2353" s="1">
        <v>45946</v>
      </c>
      <c r="B2353" t="s">
        <v>1983</v>
      </c>
      <c r="C2353">
        <v>3.891</v>
      </c>
      <c r="I2353" s="1">
        <v>45950</v>
      </c>
      <c r="J2353" s="1" t="s">
        <v>285</v>
      </c>
      <c r="K2353" s="3">
        <v>4</v>
      </c>
    </row>
    <row r="2354" spans="1:11">
      <c r="A2354" s="1">
        <v>45945</v>
      </c>
      <c r="B2354" t="s">
        <v>1974</v>
      </c>
      <c r="C2354">
        <v>2.7269999999999999</v>
      </c>
      <c r="I2354" s="1">
        <v>45950</v>
      </c>
      <c r="J2354" s="1" t="s">
        <v>286</v>
      </c>
      <c r="K2354" s="3">
        <v>3999.47</v>
      </c>
    </row>
    <row r="2355" spans="1:11">
      <c r="A2355" s="1">
        <v>45945</v>
      </c>
      <c r="B2355" t="s">
        <v>1975</v>
      </c>
      <c r="C2355">
        <v>2.7730000000000001</v>
      </c>
      <c r="I2355" s="1">
        <v>45950</v>
      </c>
      <c r="J2355" s="1" t="s">
        <v>287</v>
      </c>
      <c r="K2355" s="3">
        <v>153630.26999999999</v>
      </c>
    </row>
    <row r="2356" spans="1:11">
      <c r="A2356" s="1">
        <v>45945</v>
      </c>
      <c r="B2356" t="s">
        <v>1976</v>
      </c>
      <c r="C2356">
        <v>2.835</v>
      </c>
      <c r="I2356" s="1">
        <v>45950</v>
      </c>
      <c r="J2356" s="1" t="s">
        <v>288</v>
      </c>
      <c r="K2356" s="3">
        <v>-52147.41</v>
      </c>
    </row>
    <row r="2357" spans="1:11">
      <c r="A2357" s="1">
        <v>45945</v>
      </c>
      <c r="B2357" t="s">
        <v>1977</v>
      </c>
      <c r="C2357">
        <v>2.9820000000000002</v>
      </c>
      <c r="I2357" s="1">
        <v>45950</v>
      </c>
      <c r="J2357" s="1" t="s">
        <v>289</v>
      </c>
      <c r="K2357" s="3">
        <v>12</v>
      </c>
    </row>
    <row r="2358" spans="1:11">
      <c r="A2358" s="1">
        <v>45945</v>
      </c>
      <c r="B2358" t="s">
        <v>1978</v>
      </c>
      <c r="C2358">
        <v>3.129</v>
      </c>
      <c r="I2358" s="1">
        <v>45950</v>
      </c>
      <c r="J2358" s="1" t="s">
        <v>290</v>
      </c>
      <c r="K2358" s="3">
        <v>12</v>
      </c>
    </row>
    <row r="2359" spans="1:11">
      <c r="A2359" s="1">
        <v>45945</v>
      </c>
      <c r="B2359" t="s">
        <v>1979</v>
      </c>
      <c r="C2359">
        <v>3.403</v>
      </c>
      <c r="I2359" s="1">
        <v>45949</v>
      </c>
      <c r="J2359" s="1" t="s">
        <v>107</v>
      </c>
      <c r="K2359" s="3">
        <v>3427242745851</v>
      </c>
    </row>
    <row r="2360" spans="1:11">
      <c r="A2360" s="1">
        <v>45945</v>
      </c>
      <c r="B2360" t="s">
        <v>1980</v>
      </c>
      <c r="C2360">
        <v>3.7269999999999999</v>
      </c>
      <c r="I2360" s="1">
        <v>45947</v>
      </c>
      <c r="J2360" s="1" t="s">
        <v>282</v>
      </c>
      <c r="K2360" s="3">
        <v>5000</v>
      </c>
    </row>
    <row r="2361" spans="1:11">
      <c r="A2361" s="1">
        <v>45945</v>
      </c>
      <c r="B2361" t="s">
        <v>1981</v>
      </c>
      <c r="C2361">
        <v>3.798</v>
      </c>
      <c r="I2361" s="1">
        <v>45947</v>
      </c>
      <c r="J2361" s="1" t="s">
        <v>283</v>
      </c>
      <c r="K2361" s="3">
        <v>7</v>
      </c>
    </row>
    <row r="2362" spans="1:11">
      <c r="A2362" s="1">
        <v>45945</v>
      </c>
      <c r="B2362" t="s">
        <v>1982</v>
      </c>
      <c r="C2362">
        <v>3.8109999999999999</v>
      </c>
      <c r="I2362" s="1">
        <v>45947</v>
      </c>
      <c r="J2362" s="1" t="s">
        <v>284</v>
      </c>
      <c r="K2362" s="3">
        <v>10000</v>
      </c>
    </row>
    <row r="2363" spans="1:11">
      <c r="A2363" s="1">
        <v>45945</v>
      </c>
      <c r="B2363" t="s">
        <v>1983</v>
      </c>
      <c r="C2363">
        <v>3.87</v>
      </c>
      <c r="I2363" s="1">
        <v>45947</v>
      </c>
      <c r="J2363" s="1" t="s">
        <v>285</v>
      </c>
      <c r="K2363" s="3">
        <v>4</v>
      </c>
    </row>
    <row r="2364" spans="1:11">
      <c r="A2364" s="1">
        <v>45944</v>
      </c>
      <c r="B2364" t="s">
        <v>1974</v>
      </c>
      <c r="C2364">
        <v>2.7269999999999999</v>
      </c>
      <c r="I2364" s="1">
        <v>45947</v>
      </c>
      <c r="J2364" s="1" t="s">
        <v>286</v>
      </c>
      <c r="K2364" s="3">
        <v>4897.82</v>
      </c>
    </row>
    <row r="2365" spans="1:11">
      <c r="A2365" s="1">
        <v>45944</v>
      </c>
      <c r="B2365" t="s">
        <v>1975</v>
      </c>
      <c r="C2365">
        <v>2.7730000000000001</v>
      </c>
      <c r="I2365" s="1">
        <v>45947</v>
      </c>
      <c r="J2365" s="1" t="s">
        <v>287</v>
      </c>
      <c r="K2365" s="3">
        <v>150630.51</v>
      </c>
    </row>
    <row r="2366" spans="1:11">
      <c r="A2366" s="1">
        <v>45944</v>
      </c>
      <c r="B2366" t="s">
        <v>1976</v>
      </c>
      <c r="C2366">
        <v>2.835</v>
      </c>
      <c r="I2366" s="1">
        <v>45947</v>
      </c>
      <c r="J2366" s="1" t="s">
        <v>288</v>
      </c>
      <c r="K2366" s="3">
        <v>-46146.879999999997</v>
      </c>
    </row>
    <row r="2367" spans="1:11">
      <c r="A2367" s="1">
        <v>45944</v>
      </c>
      <c r="B2367" t="s">
        <v>1977</v>
      </c>
      <c r="C2367">
        <v>2.9820000000000002</v>
      </c>
      <c r="I2367" s="1">
        <v>45947</v>
      </c>
      <c r="J2367" s="1" t="s">
        <v>289</v>
      </c>
      <c r="K2367" s="3">
        <v>16</v>
      </c>
    </row>
    <row r="2368" spans="1:11">
      <c r="A2368" s="1">
        <v>45944</v>
      </c>
      <c r="B2368" t="s">
        <v>1978</v>
      </c>
      <c r="C2368">
        <v>3.129</v>
      </c>
      <c r="I2368" s="1">
        <v>45947</v>
      </c>
      <c r="J2368" s="1" t="s">
        <v>290</v>
      </c>
      <c r="K2368" s="3">
        <v>16</v>
      </c>
    </row>
    <row r="2369" spans="1:11">
      <c r="A2369" s="1">
        <v>45944</v>
      </c>
      <c r="B2369" t="s">
        <v>1979</v>
      </c>
      <c r="C2369">
        <v>3.4020000000000001</v>
      </c>
      <c r="I2369" s="1">
        <v>45946</v>
      </c>
      <c r="J2369" s="1" t="s">
        <v>107</v>
      </c>
      <c r="K2369" s="3">
        <v>3329167998517</v>
      </c>
    </row>
    <row r="2370" spans="1:11">
      <c r="A2370" s="1">
        <v>45944</v>
      </c>
      <c r="B2370" t="s">
        <v>1980</v>
      </c>
      <c r="C2370">
        <v>3.726</v>
      </c>
      <c r="I2370" s="1">
        <v>45946</v>
      </c>
      <c r="J2370" s="1" t="s">
        <v>282</v>
      </c>
      <c r="K2370" s="3">
        <v>5000</v>
      </c>
    </row>
    <row r="2371" spans="1:11">
      <c r="A2371" s="1">
        <v>45944</v>
      </c>
      <c r="B2371" t="s">
        <v>1981</v>
      </c>
      <c r="C2371">
        <v>3.7930000000000001</v>
      </c>
      <c r="I2371" s="1">
        <v>45946</v>
      </c>
      <c r="J2371" s="1" t="s">
        <v>283</v>
      </c>
      <c r="K2371" s="3">
        <v>7</v>
      </c>
    </row>
    <row r="2372" spans="1:11">
      <c r="A2372" s="1">
        <v>45944</v>
      </c>
      <c r="B2372" t="s">
        <v>1982</v>
      </c>
      <c r="C2372">
        <v>3.8109999999999999</v>
      </c>
      <c r="I2372" s="1">
        <v>45946</v>
      </c>
      <c r="J2372" s="1" t="s">
        <v>284</v>
      </c>
      <c r="K2372" s="3">
        <v>20000</v>
      </c>
    </row>
    <row r="2373" spans="1:11">
      <c r="A2373" s="1">
        <v>45944</v>
      </c>
      <c r="B2373" t="s">
        <v>1983</v>
      </c>
      <c r="C2373">
        <v>3.87</v>
      </c>
      <c r="I2373" s="1">
        <v>45946</v>
      </c>
      <c r="J2373" s="1" t="s">
        <v>285</v>
      </c>
      <c r="K2373" s="3">
        <v>4</v>
      </c>
    </row>
    <row r="2374" spans="1:11">
      <c r="A2374" s="1">
        <v>45943</v>
      </c>
      <c r="B2374" t="s">
        <v>1974</v>
      </c>
      <c r="C2374">
        <v>2.7269999999999999</v>
      </c>
      <c r="I2374" s="1">
        <v>45946</v>
      </c>
      <c r="J2374" s="1" t="s">
        <v>286</v>
      </c>
      <c r="K2374" s="3">
        <v>7478.62</v>
      </c>
    </row>
    <row r="2375" spans="1:11">
      <c r="A2375" s="1">
        <v>45943</v>
      </c>
      <c r="B2375" t="s">
        <v>1975</v>
      </c>
      <c r="C2375">
        <v>2.7730000000000001</v>
      </c>
      <c r="I2375" s="1">
        <v>45946</v>
      </c>
      <c r="J2375" s="1" t="s">
        <v>287</v>
      </c>
      <c r="K2375" s="3">
        <v>145528.32999999999</v>
      </c>
    </row>
    <row r="2376" spans="1:11">
      <c r="A2376" s="1">
        <v>45943</v>
      </c>
      <c r="B2376" t="s">
        <v>1976</v>
      </c>
      <c r="C2376">
        <v>2.835</v>
      </c>
      <c r="I2376" s="1">
        <v>45946</v>
      </c>
      <c r="J2376" s="1" t="s">
        <v>288</v>
      </c>
      <c r="K2376" s="3">
        <v>-40044.699999999997</v>
      </c>
    </row>
    <row r="2377" spans="1:11">
      <c r="A2377" s="1">
        <v>45943</v>
      </c>
      <c r="B2377" t="s">
        <v>1977</v>
      </c>
      <c r="C2377">
        <v>2.9820000000000002</v>
      </c>
      <c r="I2377" s="1">
        <v>45946</v>
      </c>
      <c r="J2377" s="1" t="s">
        <v>289</v>
      </c>
      <c r="K2377" s="3">
        <v>26</v>
      </c>
    </row>
    <row r="2378" spans="1:11">
      <c r="A2378" s="1">
        <v>45943</v>
      </c>
      <c r="B2378" t="s">
        <v>1978</v>
      </c>
      <c r="C2378">
        <v>3.129</v>
      </c>
      <c r="I2378" s="1">
        <v>45946</v>
      </c>
      <c r="J2378" s="1" t="s">
        <v>290</v>
      </c>
      <c r="K2378" s="3">
        <v>26</v>
      </c>
    </row>
    <row r="2379" spans="1:11">
      <c r="A2379" s="1">
        <v>45943</v>
      </c>
      <c r="B2379" t="s">
        <v>1979</v>
      </c>
      <c r="C2379">
        <v>3.4060000000000001</v>
      </c>
      <c r="I2379" s="1">
        <v>45945</v>
      </c>
      <c r="J2379" s="1" t="s">
        <v>107</v>
      </c>
      <c r="K2379" s="3">
        <v>3543341487602</v>
      </c>
    </row>
    <row r="2380" spans="1:11">
      <c r="A2380" s="1">
        <v>45943</v>
      </c>
      <c r="B2380" t="s">
        <v>1980</v>
      </c>
      <c r="C2380">
        <v>3.7269999999999999</v>
      </c>
      <c r="I2380" s="1">
        <v>45945</v>
      </c>
      <c r="J2380" s="1" t="s">
        <v>282</v>
      </c>
      <c r="K2380" s="3">
        <v>4000</v>
      </c>
    </row>
    <row r="2381" spans="1:11">
      <c r="A2381" s="1">
        <v>45943</v>
      </c>
      <c r="B2381" t="s">
        <v>1981</v>
      </c>
      <c r="C2381">
        <v>3.7879999999999998</v>
      </c>
      <c r="I2381" s="1">
        <v>45945</v>
      </c>
      <c r="J2381" s="1" t="s">
        <v>283</v>
      </c>
      <c r="K2381" s="3">
        <v>7</v>
      </c>
    </row>
    <row r="2382" spans="1:11">
      <c r="A2382" s="1">
        <v>45943</v>
      </c>
      <c r="B2382" t="s">
        <v>1982</v>
      </c>
      <c r="C2382">
        <v>3.8029999999999999</v>
      </c>
      <c r="I2382" s="1">
        <v>45945</v>
      </c>
      <c r="J2382" s="1" t="s">
        <v>284</v>
      </c>
      <c r="K2382" s="3">
        <v>13000</v>
      </c>
    </row>
    <row r="2383" spans="1:11">
      <c r="A2383" s="1">
        <v>45943</v>
      </c>
      <c r="B2383" t="s">
        <v>1983</v>
      </c>
      <c r="C2383">
        <v>3.8620000000000001</v>
      </c>
      <c r="I2383" s="1">
        <v>45945</v>
      </c>
      <c r="J2383" s="1" t="s">
        <v>285</v>
      </c>
      <c r="K2383" s="3">
        <v>4</v>
      </c>
    </row>
    <row r="2384" spans="1:11">
      <c r="A2384" s="1">
        <v>45940</v>
      </c>
      <c r="B2384" t="s">
        <v>1974</v>
      </c>
      <c r="C2384">
        <v>2.7269999999999999</v>
      </c>
      <c r="I2384" s="1">
        <v>45945</v>
      </c>
      <c r="J2384" s="1" t="s">
        <v>286</v>
      </c>
      <c r="K2384" s="3">
        <v>6703.47</v>
      </c>
    </row>
    <row r="2385" spans="1:11">
      <c r="A2385" s="1">
        <v>45940</v>
      </c>
      <c r="B2385" t="s">
        <v>1975</v>
      </c>
      <c r="C2385">
        <v>2.7730000000000001</v>
      </c>
      <c r="I2385" s="1">
        <v>45945</v>
      </c>
      <c r="J2385" s="1" t="s">
        <v>287</v>
      </c>
      <c r="K2385" s="3">
        <v>133006.95000000001</v>
      </c>
    </row>
    <row r="2386" spans="1:11">
      <c r="A2386" s="1">
        <v>45940</v>
      </c>
      <c r="B2386" t="s">
        <v>1976</v>
      </c>
      <c r="C2386">
        <v>2.835</v>
      </c>
      <c r="I2386" s="1">
        <v>45945</v>
      </c>
      <c r="J2386" s="1" t="s">
        <v>288</v>
      </c>
      <c r="K2386" s="3">
        <v>-36375.910000000003</v>
      </c>
    </row>
    <row r="2387" spans="1:11">
      <c r="A2387" s="1">
        <v>45940</v>
      </c>
      <c r="B2387" t="s">
        <v>1977</v>
      </c>
      <c r="C2387">
        <v>2.9820000000000002</v>
      </c>
      <c r="I2387" s="1">
        <v>45945</v>
      </c>
      <c r="J2387" s="1" t="s">
        <v>289</v>
      </c>
      <c r="K2387" s="3">
        <v>26</v>
      </c>
    </row>
    <row r="2388" spans="1:11">
      <c r="A2388" s="1">
        <v>45940</v>
      </c>
      <c r="B2388" t="s">
        <v>1978</v>
      </c>
      <c r="C2388">
        <v>3.129</v>
      </c>
      <c r="I2388" s="1">
        <v>45945</v>
      </c>
      <c r="J2388" s="1" t="s">
        <v>290</v>
      </c>
      <c r="K2388" s="3">
        <v>26</v>
      </c>
    </row>
    <row r="2389" spans="1:11">
      <c r="A2389" s="1">
        <v>45940</v>
      </c>
      <c r="B2389" t="s">
        <v>1979</v>
      </c>
      <c r="C2389">
        <v>3.4369999999999998</v>
      </c>
      <c r="I2389" s="1">
        <v>45944</v>
      </c>
      <c r="J2389" s="1" t="s">
        <v>288</v>
      </c>
      <c r="K2389" s="3">
        <v>-34079.379999999997</v>
      </c>
    </row>
    <row r="2390" spans="1:11">
      <c r="A2390" s="1">
        <v>45940</v>
      </c>
      <c r="B2390" t="s">
        <v>1980</v>
      </c>
      <c r="C2390">
        <v>3.7189999999999999</v>
      </c>
      <c r="I2390" s="1">
        <v>45944</v>
      </c>
      <c r="J2390" s="1" t="s">
        <v>289</v>
      </c>
      <c r="K2390" s="3">
        <v>18</v>
      </c>
    </row>
    <row r="2391" spans="1:11">
      <c r="A2391" s="1">
        <v>45940</v>
      </c>
      <c r="B2391" t="s">
        <v>1981</v>
      </c>
      <c r="C2391">
        <v>3.7879999999999998</v>
      </c>
      <c r="I2391" s="1">
        <v>45944</v>
      </c>
      <c r="J2391" s="1" t="s">
        <v>290</v>
      </c>
      <c r="K2391" s="3">
        <v>18</v>
      </c>
    </row>
    <row r="2392" spans="1:11">
      <c r="A2392" s="1">
        <v>45940</v>
      </c>
      <c r="B2392" t="s">
        <v>1982</v>
      </c>
      <c r="C2392">
        <v>3.798</v>
      </c>
      <c r="I2392" s="1">
        <v>45944</v>
      </c>
      <c r="J2392" s="1" t="s">
        <v>107</v>
      </c>
      <c r="K2392" s="3">
        <v>4129859059078</v>
      </c>
    </row>
    <row r="2393" spans="1:11">
      <c r="A2393" s="1">
        <v>45940</v>
      </c>
      <c r="B2393" t="s">
        <v>1983</v>
      </c>
      <c r="C2393">
        <v>3.8580000000000001</v>
      </c>
      <c r="I2393" s="1">
        <v>45944</v>
      </c>
      <c r="J2393" s="1" t="s">
        <v>282</v>
      </c>
      <c r="K2393" s="3">
        <v>1000</v>
      </c>
    </row>
    <row r="2394" spans="1:11">
      <c r="A2394" s="1">
        <v>45939</v>
      </c>
      <c r="B2394" t="s">
        <v>1974</v>
      </c>
      <c r="C2394">
        <v>2.7269999999999999</v>
      </c>
      <c r="I2394" s="1">
        <v>45944</v>
      </c>
      <c r="J2394" s="1" t="s">
        <v>283</v>
      </c>
      <c r="K2394" s="3">
        <v>7</v>
      </c>
    </row>
    <row r="2395" spans="1:11">
      <c r="A2395" s="1">
        <v>45939</v>
      </c>
      <c r="B2395" t="s">
        <v>1975</v>
      </c>
      <c r="C2395">
        <v>2.7730000000000001</v>
      </c>
      <c r="I2395" s="1">
        <v>45944</v>
      </c>
      <c r="J2395" s="1" t="s">
        <v>284</v>
      </c>
      <c r="K2395" s="3">
        <v>7000</v>
      </c>
    </row>
    <row r="2396" spans="1:11">
      <c r="A2396" s="1">
        <v>45939</v>
      </c>
      <c r="B2396" t="s">
        <v>1976</v>
      </c>
      <c r="C2396">
        <v>2.835</v>
      </c>
      <c r="I2396" s="1">
        <v>45944</v>
      </c>
      <c r="J2396" s="1" t="s">
        <v>285</v>
      </c>
      <c r="K2396" s="3">
        <v>4</v>
      </c>
    </row>
    <row r="2397" spans="1:11">
      <c r="A2397" s="1">
        <v>45939</v>
      </c>
      <c r="B2397" t="s">
        <v>1977</v>
      </c>
      <c r="C2397">
        <v>2.98</v>
      </c>
      <c r="I2397" s="1">
        <v>45944</v>
      </c>
      <c r="J2397" s="1" t="s">
        <v>286</v>
      </c>
      <c r="K2397" s="3">
        <v>22910.89</v>
      </c>
    </row>
    <row r="2398" spans="1:11">
      <c r="A2398" s="1">
        <v>45939</v>
      </c>
      <c r="B2398" t="s">
        <v>1978</v>
      </c>
      <c r="C2398">
        <v>3.1240000000000001</v>
      </c>
      <c r="I2398" s="1">
        <v>45944</v>
      </c>
      <c r="J2398" s="1" t="s">
        <v>287</v>
      </c>
      <c r="K2398" s="3">
        <v>126710.42</v>
      </c>
    </row>
    <row r="2399" spans="1:11">
      <c r="A2399" s="1">
        <v>45939</v>
      </c>
      <c r="B2399" t="s">
        <v>1979</v>
      </c>
      <c r="C2399">
        <v>3.4089999999999998</v>
      </c>
      <c r="I2399" s="1">
        <v>45943</v>
      </c>
      <c r="J2399" s="1" t="s">
        <v>282</v>
      </c>
      <c r="K2399" s="3">
        <v>2000</v>
      </c>
    </row>
    <row r="2400" spans="1:11">
      <c r="A2400" s="1">
        <v>45939</v>
      </c>
      <c r="B2400" t="s">
        <v>1980</v>
      </c>
      <c r="C2400">
        <v>3.7050000000000001</v>
      </c>
      <c r="I2400" s="1">
        <v>45943</v>
      </c>
      <c r="J2400" s="1" t="s">
        <v>283</v>
      </c>
      <c r="K2400" s="3">
        <v>7</v>
      </c>
    </row>
    <row r="2401" spans="1:11">
      <c r="A2401" s="1">
        <v>45939</v>
      </c>
      <c r="B2401" t="s">
        <v>1981</v>
      </c>
      <c r="C2401">
        <v>3.7759999999999998</v>
      </c>
      <c r="I2401" s="1">
        <v>45943</v>
      </c>
      <c r="J2401" s="1" t="s">
        <v>284</v>
      </c>
      <c r="K2401" s="3">
        <v>10000</v>
      </c>
    </row>
    <row r="2402" spans="1:11">
      <c r="A2402" s="1">
        <v>45939</v>
      </c>
      <c r="B2402" t="s">
        <v>1982</v>
      </c>
      <c r="C2402">
        <v>3.786</v>
      </c>
      <c r="I2402" s="1">
        <v>45943</v>
      </c>
      <c r="J2402" s="1" t="s">
        <v>285</v>
      </c>
      <c r="K2402" s="3">
        <v>4</v>
      </c>
    </row>
    <row r="2403" spans="1:11">
      <c r="A2403" s="1">
        <v>45939</v>
      </c>
      <c r="B2403" t="s">
        <v>1983</v>
      </c>
      <c r="C2403">
        <v>3.8450000000000002</v>
      </c>
      <c r="I2403" s="1">
        <v>45943</v>
      </c>
      <c r="J2403" s="1" t="s">
        <v>286</v>
      </c>
      <c r="K2403" s="3">
        <v>9435.27</v>
      </c>
    </row>
    <row r="2404" spans="1:11">
      <c r="A2404" s="1">
        <v>45938</v>
      </c>
      <c r="B2404" t="s">
        <v>1974</v>
      </c>
      <c r="C2404">
        <v>2.7130000000000001</v>
      </c>
      <c r="I2404" s="1">
        <v>45943</v>
      </c>
      <c r="J2404" s="1" t="s">
        <v>287</v>
      </c>
      <c r="K2404" s="3">
        <v>142621.31</v>
      </c>
    </row>
    <row r="2405" spans="1:11">
      <c r="A2405" s="1">
        <v>45938</v>
      </c>
      <c r="B2405" t="s">
        <v>1975</v>
      </c>
      <c r="C2405">
        <v>2.7629999999999999</v>
      </c>
      <c r="I2405" s="1">
        <v>45943</v>
      </c>
      <c r="J2405" s="1" t="s">
        <v>288</v>
      </c>
      <c r="K2405" s="3">
        <v>-45990.27</v>
      </c>
    </row>
    <row r="2406" spans="1:11">
      <c r="A2406" s="1">
        <v>45938</v>
      </c>
      <c r="B2406" t="s">
        <v>1976</v>
      </c>
      <c r="C2406">
        <v>2.8210000000000002</v>
      </c>
      <c r="I2406" s="1">
        <v>45943</v>
      </c>
      <c r="J2406" s="1" t="s">
        <v>289</v>
      </c>
      <c r="K2406" s="3">
        <v>19</v>
      </c>
    </row>
    <row r="2407" spans="1:11">
      <c r="A2407" s="1">
        <v>45938</v>
      </c>
      <c r="B2407" t="s">
        <v>1977</v>
      </c>
      <c r="C2407">
        <v>2.9529999999999998</v>
      </c>
      <c r="I2407" s="1">
        <v>45943</v>
      </c>
      <c r="J2407" s="1" t="s">
        <v>290</v>
      </c>
      <c r="K2407" s="3">
        <v>19</v>
      </c>
    </row>
    <row r="2408" spans="1:11">
      <c r="A2408" s="1">
        <v>45938</v>
      </c>
      <c r="B2408" t="s">
        <v>1978</v>
      </c>
      <c r="C2408">
        <v>3.0859999999999999</v>
      </c>
      <c r="I2408" s="1">
        <v>45943</v>
      </c>
      <c r="J2408" s="1" t="s">
        <v>107</v>
      </c>
      <c r="K2408" s="3">
        <v>5250435671296</v>
      </c>
    </row>
    <row r="2409" spans="1:11">
      <c r="A2409" s="1">
        <v>45938</v>
      </c>
      <c r="B2409" t="s">
        <v>1979</v>
      </c>
      <c r="C2409">
        <v>3.395</v>
      </c>
      <c r="I2409" s="1">
        <v>45942</v>
      </c>
      <c r="J2409" s="1" t="s">
        <v>107</v>
      </c>
      <c r="K2409" s="3">
        <v>5498484776946</v>
      </c>
    </row>
    <row r="2410" spans="1:11">
      <c r="A2410" s="1">
        <v>45938</v>
      </c>
      <c r="B2410" t="s">
        <v>1980</v>
      </c>
      <c r="C2410">
        <v>3.665</v>
      </c>
      <c r="I2410" s="1">
        <v>45940</v>
      </c>
      <c r="J2410" s="1" t="s">
        <v>282</v>
      </c>
      <c r="K2410" s="3">
        <v>1000</v>
      </c>
    </row>
    <row r="2411" spans="1:11">
      <c r="A2411" s="1">
        <v>45938</v>
      </c>
      <c r="B2411" t="s">
        <v>1981</v>
      </c>
      <c r="C2411">
        <v>3.7549999999999999</v>
      </c>
      <c r="I2411" s="1">
        <v>45940</v>
      </c>
      <c r="J2411" s="1" t="s">
        <v>283</v>
      </c>
      <c r="K2411" s="3">
        <v>7</v>
      </c>
    </row>
    <row r="2412" spans="1:11">
      <c r="A2412" s="1">
        <v>45938</v>
      </c>
      <c r="B2412" t="s">
        <v>1982</v>
      </c>
      <c r="C2412">
        <v>3.7610000000000001</v>
      </c>
      <c r="I2412" s="1">
        <v>45940</v>
      </c>
      <c r="J2412" s="1" t="s">
        <v>284</v>
      </c>
      <c r="K2412" s="3">
        <v>254.8</v>
      </c>
    </row>
    <row r="2413" spans="1:11">
      <c r="A2413" s="1">
        <v>45938</v>
      </c>
      <c r="B2413" t="s">
        <v>1983</v>
      </c>
      <c r="C2413">
        <v>3.827</v>
      </c>
      <c r="I2413" s="1">
        <v>45940</v>
      </c>
      <c r="J2413" s="1" t="s">
        <v>285</v>
      </c>
      <c r="K2413" s="3">
        <v>4</v>
      </c>
    </row>
    <row r="2414" spans="1:11">
      <c r="A2414" s="1">
        <v>45937</v>
      </c>
      <c r="B2414" t="s">
        <v>1974</v>
      </c>
      <c r="C2414">
        <v>2.7130000000000001</v>
      </c>
      <c r="I2414" s="1">
        <v>45940</v>
      </c>
      <c r="J2414" s="1" t="s">
        <v>286</v>
      </c>
      <c r="K2414" s="3">
        <v>5000</v>
      </c>
    </row>
    <row r="2415" spans="1:11">
      <c r="A2415" s="1">
        <v>45937</v>
      </c>
      <c r="B2415" t="s">
        <v>1975</v>
      </c>
      <c r="C2415">
        <v>2.7749999999999999</v>
      </c>
      <c r="I2415" s="1">
        <v>45940</v>
      </c>
      <c r="J2415" s="1" t="s">
        <v>287</v>
      </c>
      <c r="K2415" s="3">
        <v>142056.57999999999</v>
      </c>
    </row>
    <row r="2416" spans="1:11">
      <c r="A2416" s="1">
        <v>45937</v>
      </c>
      <c r="B2416" t="s">
        <v>1976</v>
      </c>
      <c r="C2416">
        <v>2.8210000000000002</v>
      </c>
      <c r="I2416" s="1">
        <v>45940</v>
      </c>
      <c r="J2416" s="1" t="s">
        <v>288</v>
      </c>
      <c r="K2416" s="3">
        <v>-51426.07</v>
      </c>
    </row>
    <row r="2417" spans="1:11">
      <c r="A2417" s="1">
        <v>45937</v>
      </c>
      <c r="B2417" t="s">
        <v>1977</v>
      </c>
      <c r="C2417">
        <v>2.9550000000000001</v>
      </c>
      <c r="I2417" s="1">
        <v>45940</v>
      </c>
      <c r="J2417" s="1" t="s">
        <v>289</v>
      </c>
      <c r="K2417" s="3">
        <v>1</v>
      </c>
    </row>
    <row r="2418" spans="1:11">
      <c r="A2418" s="1">
        <v>45937</v>
      </c>
      <c r="B2418" t="s">
        <v>1978</v>
      </c>
      <c r="C2418">
        <v>3.09</v>
      </c>
      <c r="I2418" s="1">
        <v>45940</v>
      </c>
      <c r="J2418" s="1" t="s">
        <v>290</v>
      </c>
      <c r="K2418" s="3">
        <v>1</v>
      </c>
    </row>
    <row r="2419" spans="1:11">
      <c r="A2419" s="1">
        <v>45937</v>
      </c>
      <c r="B2419" t="s">
        <v>1979</v>
      </c>
      <c r="C2419">
        <v>3.3929999999999998</v>
      </c>
      <c r="I2419" s="1">
        <v>45939</v>
      </c>
      <c r="J2419" s="1" t="s">
        <v>107</v>
      </c>
      <c r="K2419" s="3">
        <v>5498484776946</v>
      </c>
    </row>
    <row r="2420" spans="1:11">
      <c r="A2420" s="1">
        <v>45937</v>
      </c>
      <c r="B2420" t="s">
        <v>1980</v>
      </c>
      <c r="C2420">
        <v>3.6739999999999999</v>
      </c>
      <c r="I2420" s="1">
        <v>45939</v>
      </c>
      <c r="J2420" s="1" t="s">
        <v>282</v>
      </c>
      <c r="K2420" s="3">
        <v>5000</v>
      </c>
    </row>
    <row r="2421" spans="1:11">
      <c r="A2421" s="1">
        <v>45937</v>
      </c>
      <c r="B2421" t="s">
        <v>1981</v>
      </c>
      <c r="C2421">
        <v>3.75</v>
      </c>
      <c r="I2421" s="1">
        <v>45939</v>
      </c>
      <c r="J2421" s="1" t="s">
        <v>283</v>
      </c>
      <c r="K2421" s="3">
        <v>7</v>
      </c>
    </row>
    <row r="2422" spans="1:11">
      <c r="A2422" s="1">
        <v>45937</v>
      </c>
      <c r="B2422" t="s">
        <v>1982</v>
      </c>
      <c r="C2422">
        <v>3.7570000000000001</v>
      </c>
      <c r="I2422" s="1">
        <v>45939</v>
      </c>
      <c r="J2422" s="1" t="s">
        <v>284</v>
      </c>
      <c r="K2422" s="3">
        <v>12045.94</v>
      </c>
    </row>
    <row r="2423" spans="1:11">
      <c r="A2423" s="1">
        <v>45937</v>
      </c>
      <c r="B2423" t="s">
        <v>1983</v>
      </c>
      <c r="C2423">
        <v>3.827</v>
      </c>
      <c r="I2423" s="1">
        <v>45939</v>
      </c>
      <c r="J2423" s="1" t="s">
        <v>285</v>
      </c>
      <c r="K2423" s="3">
        <v>4</v>
      </c>
    </row>
    <row r="2424" spans="1:11">
      <c r="A2424" s="1">
        <v>45936</v>
      </c>
      <c r="B2424" t="s">
        <v>1974</v>
      </c>
      <c r="C2424">
        <v>2.7130000000000001</v>
      </c>
      <c r="I2424" s="1">
        <v>45939</v>
      </c>
      <c r="J2424" s="1" t="s">
        <v>286</v>
      </c>
      <c r="K2424" s="3">
        <v>16781.36</v>
      </c>
    </row>
    <row r="2425" spans="1:11">
      <c r="A2425" s="1">
        <v>45936</v>
      </c>
      <c r="B2425" t="s">
        <v>1975</v>
      </c>
      <c r="C2425">
        <v>2.7629999999999999</v>
      </c>
      <c r="I2425" s="1">
        <v>45939</v>
      </c>
      <c r="J2425" s="1" t="s">
        <v>287</v>
      </c>
      <c r="K2425" s="3">
        <v>146801.78</v>
      </c>
    </row>
    <row r="2426" spans="1:11">
      <c r="A2426" s="1">
        <v>45936</v>
      </c>
      <c r="B2426" t="s">
        <v>1976</v>
      </c>
      <c r="C2426">
        <v>2.8210000000000002</v>
      </c>
      <c r="I2426" s="1">
        <v>45939</v>
      </c>
      <c r="J2426" s="1" t="s">
        <v>288</v>
      </c>
      <c r="K2426" s="3">
        <v>-51528.25</v>
      </c>
    </row>
    <row r="2427" spans="1:11">
      <c r="A2427" s="1">
        <v>45936</v>
      </c>
      <c r="B2427" t="s">
        <v>1977</v>
      </c>
      <c r="C2427">
        <v>2.9529999999999998</v>
      </c>
      <c r="I2427" s="1">
        <v>45939</v>
      </c>
      <c r="J2427" s="1" t="s">
        <v>289</v>
      </c>
      <c r="K2427" s="3">
        <v>15</v>
      </c>
    </row>
    <row r="2428" spans="1:11">
      <c r="A2428" s="1">
        <v>45936</v>
      </c>
      <c r="B2428" t="s">
        <v>1978</v>
      </c>
      <c r="C2428">
        <v>3.0859999999999999</v>
      </c>
      <c r="I2428" s="1">
        <v>45939</v>
      </c>
      <c r="J2428" s="1" t="s">
        <v>290</v>
      </c>
      <c r="K2428" s="3">
        <v>15</v>
      </c>
    </row>
    <row r="2429" spans="1:11">
      <c r="A2429" s="1">
        <v>45936</v>
      </c>
      <c r="B2429" t="s">
        <v>1979</v>
      </c>
      <c r="C2429">
        <v>3.395</v>
      </c>
      <c r="I2429" s="1">
        <v>45938</v>
      </c>
      <c r="J2429" s="1" t="s">
        <v>107</v>
      </c>
      <c r="K2429" s="3">
        <v>5613353280387</v>
      </c>
    </row>
    <row r="2430" spans="1:11">
      <c r="A2430" s="1">
        <v>45936</v>
      </c>
      <c r="B2430" t="s">
        <v>1980</v>
      </c>
      <c r="C2430">
        <v>3.6789999999999998</v>
      </c>
      <c r="I2430" s="1">
        <v>45938</v>
      </c>
      <c r="J2430" s="1" t="s">
        <v>282</v>
      </c>
      <c r="K2430" s="3">
        <v>2000</v>
      </c>
    </row>
    <row r="2431" spans="1:11">
      <c r="A2431" s="1">
        <v>45936</v>
      </c>
      <c r="B2431" t="s">
        <v>1981</v>
      </c>
      <c r="C2431">
        <v>3.75</v>
      </c>
      <c r="I2431" s="1">
        <v>45938</v>
      </c>
      <c r="J2431" s="1" t="s">
        <v>283</v>
      </c>
      <c r="K2431" s="3">
        <v>7</v>
      </c>
    </row>
    <row r="2432" spans="1:11">
      <c r="A2432" s="1">
        <v>45936</v>
      </c>
      <c r="B2432" t="s">
        <v>1982</v>
      </c>
      <c r="C2432">
        <v>3.7570000000000001</v>
      </c>
      <c r="I2432" s="1">
        <v>45938</v>
      </c>
      <c r="J2432" s="1" t="s">
        <v>284</v>
      </c>
      <c r="K2432" s="3">
        <v>13000</v>
      </c>
    </row>
    <row r="2433" spans="1:11">
      <c r="A2433" s="1">
        <v>45936</v>
      </c>
      <c r="B2433" t="s">
        <v>1983</v>
      </c>
      <c r="C2433">
        <v>3.827</v>
      </c>
      <c r="I2433" s="1">
        <v>45938</v>
      </c>
      <c r="J2433" s="1" t="s">
        <v>285</v>
      </c>
      <c r="K2433" s="3">
        <v>4</v>
      </c>
    </row>
    <row r="2434" spans="1:11">
      <c r="A2434" s="1">
        <v>45933</v>
      </c>
      <c r="B2434" t="s">
        <v>1974</v>
      </c>
      <c r="C2434">
        <v>2.7130000000000001</v>
      </c>
      <c r="I2434" s="1">
        <v>45938</v>
      </c>
      <c r="J2434" s="1" t="s">
        <v>286</v>
      </c>
      <c r="K2434" s="3">
        <v>13932.85</v>
      </c>
    </row>
    <row r="2435" spans="1:11">
      <c r="A2435" s="1">
        <v>45933</v>
      </c>
      <c r="B2435" t="s">
        <v>1975</v>
      </c>
      <c r="C2435">
        <v>2.7629999999999999</v>
      </c>
      <c r="I2435" s="1">
        <v>45938</v>
      </c>
      <c r="J2435" s="1" t="s">
        <v>287</v>
      </c>
      <c r="K2435" s="3">
        <v>151537.20000000001</v>
      </c>
    </row>
    <row r="2436" spans="1:11">
      <c r="A2436" s="1">
        <v>45933</v>
      </c>
      <c r="B2436" t="s">
        <v>1976</v>
      </c>
      <c r="C2436">
        <v>2.8210000000000002</v>
      </c>
      <c r="I2436" s="1">
        <v>45938</v>
      </c>
      <c r="J2436" s="1" t="s">
        <v>288</v>
      </c>
      <c r="K2436" s="3">
        <v>-60830.99</v>
      </c>
    </row>
    <row r="2437" spans="1:11">
      <c r="A2437" s="1">
        <v>45933</v>
      </c>
      <c r="B2437" t="s">
        <v>1977</v>
      </c>
      <c r="C2437">
        <v>2.9529999999999998</v>
      </c>
      <c r="I2437" s="1">
        <v>45938</v>
      </c>
      <c r="J2437" s="1" t="s">
        <v>289</v>
      </c>
      <c r="K2437" s="3">
        <v>21</v>
      </c>
    </row>
    <row r="2438" spans="1:11">
      <c r="A2438" s="1">
        <v>45933</v>
      </c>
      <c r="B2438" t="s">
        <v>1978</v>
      </c>
      <c r="C2438">
        <v>3.0859999999999999</v>
      </c>
      <c r="I2438" s="1">
        <v>45938</v>
      </c>
      <c r="J2438" s="1" t="s">
        <v>290</v>
      </c>
      <c r="K2438" s="3">
        <v>21</v>
      </c>
    </row>
    <row r="2439" spans="1:11">
      <c r="A2439" s="1">
        <v>45933</v>
      </c>
      <c r="B2439" t="s">
        <v>1979</v>
      </c>
      <c r="C2439">
        <v>3.4020000000000001</v>
      </c>
      <c r="I2439" s="1">
        <v>45937</v>
      </c>
      <c r="J2439" s="1" t="s">
        <v>282</v>
      </c>
      <c r="K2439" s="3">
        <v>3000</v>
      </c>
    </row>
    <row r="2440" spans="1:11">
      <c r="A2440" s="1">
        <v>45933</v>
      </c>
      <c r="B2440" t="s">
        <v>1980</v>
      </c>
      <c r="C2440">
        <v>3.66</v>
      </c>
      <c r="I2440" s="1">
        <v>45937</v>
      </c>
      <c r="J2440" s="1" t="s">
        <v>283</v>
      </c>
      <c r="K2440" s="3">
        <v>7</v>
      </c>
    </row>
    <row r="2441" spans="1:11">
      <c r="A2441" s="1">
        <v>45933</v>
      </c>
      <c r="B2441" t="s">
        <v>1981</v>
      </c>
      <c r="C2441">
        <v>3.75</v>
      </c>
      <c r="I2441" s="1">
        <v>45937</v>
      </c>
      <c r="J2441" s="1" t="s">
        <v>284</v>
      </c>
      <c r="K2441" s="3">
        <v>17000</v>
      </c>
    </row>
    <row r="2442" spans="1:11">
      <c r="A2442" s="1">
        <v>45933</v>
      </c>
      <c r="B2442" t="s">
        <v>1982</v>
      </c>
      <c r="C2442">
        <v>3.7570000000000001</v>
      </c>
      <c r="I2442" s="1">
        <v>45937</v>
      </c>
      <c r="J2442" s="1" t="s">
        <v>285</v>
      </c>
      <c r="K2442" s="3">
        <v>4</v>
      </c>
    </row>
    <row r="2443" spans="1:11">
      <c r="A2443" s="1">
        <v>45933</v>
      </c>
      <c r="B2443" t="s">
        <v>1983</v>
      </c>
      <c r="C2443">
        <v>3.827</v>
      </c>
      <c r="I2443" s="1">
        <v>45937</v>
      </c>
      <c r="J2443" s="1" t="s">
        <v>286</v>
      </c>
      <c r="K2443" s="3">
        <v>15509.6</v>
      </c>
    </row>
    <row r="2444" spans="1:11">
      <c r="A2444" s="1">
        <v>45932</v>
      </c>
      <c r="B2444" t="s">
        <v>1974</v>
      </c>
      <c r="C2444">
        <v>2.7130000000000001</v>
      </c>
      <c r="I2444" s="1">
        <v>45937</v>
      </c>
      <c r="J2444" s="1" t="s">
        <v>287</v>
      </c>
      <c r="K2444" s="3">
        <v>152470.04999999999</v>
      </c>
    </row>
    <row r="2445" spans="1:11">
      <c r="A2445" s="1">
        <v>45932</v>
      </c>
      <c r="B2445" t="s">
        <v>1975</v>
      </c>
      <c r="C2445">
        <v>2.7629999999999999</v>
      </c>
      <c r="I2445" s="1">
        <v>45937</v>
      </c>
      <c r="J2445" s="1" t="s">
        <v>288</v>
      </c>
      <c r="K2445" s="3">
        <v>-68060.37</v>
      </c>
    </row>
    <row r="2446" spans="1:11">
      <c r="A2446" s="1">
        <v>45932</v>
      </c>
      <c r="B2446" t="s">
        <v>1976</v>
      </c>
      <c r="C2446">
        <v>2.8210000000000002</v>
      </c>
      <c r="I2446" s="1">
        <v>45937</v>
      </c>
      <c r="J2446" s="1" t="s">
        <v>289</v>
      </c>
      <c r="K2446" s="3">
        <v>24</v>
      </c>
    </row>
    <row r="2447" spans="1:11">
      <c r="A2447" s="1">
        <v>45932</v>
      </c>
      <c r="B2447" t="s">
        <v>1977</v>
      </c>
      <c r="C2447">
        <v>2.9529999999999998</v>
      </c>
      <c r="I2447" s="1">
        <v>45937</v>
      </c>
      <c r="J2447" s="1" t="s">
        <v>290</v>
      </c>
      <c r="K2447" s="3">
        <v>24</v>
      </c>
    </row>
    <row r="2448" spans="1:11">
      <c r="A2448" s="1">
        <v>45932</v>
      </c>
      <c r="B2448" t="s">
        <v>1978</v>
      </c>
      <c r="C2448">
        <v>3.0859999999999999</v>
      </c>
      <c r="I2448" s="1">
        <v>45937</v>
      </c>
      <c r="J2448" s="1" t="s">
        <v>107</v>
      </c>
      <c r="K2448" s="3">
        <v>4521072515694</v>
      </c>
    </row>
    <row r="2449" spans="1:11">
      <c r="A2449" s="1">
        <v>45932</v>
      </c>
      <c r="B2449" t="s">
        <v>1979</v>
      </c>
      <c r="C2449">
        <v>3.4</v>
      </c>
      <c r="I2449" s="1">
        <v>45936</v>
      </c>
      <c r="J2449" s="1" t="s">
        <v>282</v>
      </c>
      <c r="K2449" s="3">
        <v>2000</v>
      </c>
    </row>
    <row r="2450" spans="1:11">
      <c r="A2450" s="1">
        <v>45932</v>
      </c>
      <c r="B2450" t="s">
        <v>1980</v>
      </c>
      <c r="C2450">
        <v>3.6720000000000002</v>
      </c>
      <c r="I2450" s="1">
        <v>45936</v>
      </c>
      <c r="J2450" s="1" t="s">
        <v>283</v>
      </c>
      <c r="K2450" s="3">
        <v>7</v>
      </c>
    </row>
    <row r="2451" spans="1:11">
      <c r="A2451" s="1">
        <v>45932</v>
      </c>
      <c r="B2451" t="s">
        <v>1981</v>
      </c>
      <c r="C2451">
        <v>3.7450000000000001</v>
      </c>
      <c r="I2451" s="1">
        <v>45936</v>
      </c>
      <c r="J2451" s="1" t="s">
        <v>284</v>
      </c>
      <c r="K2451" s="3">
        <v>7000</v>
      </c>
    </row>
    <row r="2452" spans="1:11">
      <c r="A2452" s="1">
        <v>45932</v>
      </c>
      <c r="B2452" t="s">
        <v>1982</v>
      </c>
      <c r="C2452">
        <v>3.7570000000000001</v>
      </c>
      <c r="I2452" s="1">
        <v>45936</v>
      </c>
      <c r="J2452" s="1" t="s">
        <v>285</v>
      </c>
      <c r="K2452" s="3">
        <v>4</v>
      </c>
    </row>
    <row r="2453" spans="1:11">
      <c r="A2453" s="1">
        <v>45932</v>
      </c>
      <c r="B2453" t="s">
        <v>1983</v>
      </c>
      <c r="C2453">
        <v>3.827</v>
      </c>
      <c r="I2453" s="1">
        <v>45936</v>
      </c>
      <c r="J2453" s="1" t="s">
        <v>286</v>
      </c>
      <c r="K2453" s="3">
        <v>18000</v>
      </c>
    </row>
    <row r="2454" spans="1:11">
      <c r="A2454" s="1">
        <v>45931</v>
      </c>
      <c r="B2454" t="s">
        <v>1974</v>
      </c>
      <c r="C2454">
        <v>2.6920000000000002</v>
      </c>
      <c r="I2454" s="1">
        <v>45936</v>
      </c>
      <c r="J2454" s="1" t="s">
        <v>287</v>
      </c>
      <c r="K2454" s="3">
        <v>150979.65</v>
      </c>
    </row>
    <row r="2455" spans="1:11">
      <c r="A2455" s="1">
        <v>45931</v>
      </c>
      <c r="B2455" t="s">
        <v>1975</v>
      </c>
      <c r="C2455">
        <v>2.738</v>
      </c>
      <c r="I2455" s="1">
        <v>45936</v>
      </c>
      <c r="J2455" s="1" t="s">
        <v>288</v>
      </c>
      <c r="K2455" s="3">
        <v>-60659.08</v>
      </c>
    </row>
    <row r="2456" spans="1:11">
      <c r="A2456" s="1">
        <v>45931</v>
      </c>
      <c r="B2456" t="s">
        <v>1976</v>
      </c>
      <c r="C2456">
        <v>2.794</v>
      </c>
      <c r="I2456" s="1">
        <v>45936</v>
      </c>
      <c r="J2456" s="1" t="s">
        <v>289</v>
      </c>
      <c r="K2456" s="3">
        <v>13</v>
      </c>
    </row>
    <row r="2457" spans="1:11">
      <c r="A2457" s="1">
        <v>45931</v>
      </c>
      <c r="B2457" t="s">
        <v>1977</v>
      </c>
      <c r="C2457">
        <v>2.927</v>
      </c>
      <c r="I2457" s="1">
        <v>45936</v>
      </c>
      <c r="J2457" s="1" t="s">
        <v>290</v>
      </c>
      <c r="K2457" s="3">
        <v>13</v>
      </c>
    </row>
    <row r="2458" spans="1:11">
      <c r="A2458" s="1">
        <v>45931</v>
      </c>
      <c r="B2458" t="s">
        <v>1978</v>
      </c>
      <c r="C2458">
        <v>3.0609999999999999</v>
      </c>
      <c r="I2458" s="1">
        <v>45936</v>
      </c>
      <c r="J2458" s="1" t="s">
        <v>107</v>
      </c>
      <c r="K2458" s="3">
        <v>3894293039355</v>
      </c>
    </row>
    <row r="2459" spans="1:11">
      <c r="A2459" s="1">
        <v>45931</v>
      </c>
      <c r="B2459" t="s">
        <v>1979</v>
      </c>
      <c r="C2459">
        <v>3.379</v>
      </c>
      <c r="I2459" s="1">
        <v>45935</v>
      </c>
      <c r="J2459" s="1" t="s">
        <v>107</v>
      </c>
      <c r="K2459" s="3">
        <v>3279770680002</v>
      </c>
    </row>
    <row r="2460" spans="1:11">
      <c r="A2460" s="1">
        <v>45931</v>
      </c>
      <c r="B2460" t="s">
        <v>1980</v>
      </c>
      <c r="C2460">
        <v>3.6259999999999999</v>
      </c>
      <c r="I2460" s="1">
        <v>45933</v>
      </c>
      <c r="J2460" s="1" t="s">
        <v>282</v>
      </c>
      <c r="K2460" s="3">
        <v>1000</v>
      </c>
    </row>
    <row r="2461" spans="1:11">
      <c r="A2461" s="1">
        <v>45931</v>
      </c>
      <c r="B2461" t="s">
        <v>1981</v>
      </c>
      <c r="C2461">
        <v>3.7130000000000001</v>
      </c>
      <c r="I2461" s="1">
        <v>45933</v>
      </c>
      <c r="J2461" s="1" t="s">
        <v>283</v>
      </c>
      <c r="K2461" s="3">
        <v>7</v>
      </c>
    </row>
    <row r="2462" spans="1:11">
      <c r="A2462" s="1">
        <v>45931</v>
      </c>
      <c r="B2462" t="s">
        <v>1982</v>
      </c>
      <c r="C2462">
        <v>3.7309999999999999</v>
      </c>
      <c r="I2462" s="1">
        <v>45933</v>
      </c>
      <c r="J2462" s="1" t="s">
        <v>284</v>
      </c>
      <c r="K2462" s="3">
        <v>123.77</v>
      </c>
    </row>
    <row r="2463" spans="1:11">
      <c r="A2463" s="1">
        <v>45931</v>
      </c>
      <c r="B2463" t="s">
        <v>1983</v>
      </c>
      <c r="C2463">
        <v>3.8170000000000002</v>
      </c>
      <c r="I2463" s="1">
        <v>45933</v>
      </c>
      <c r="J2463" s="1" t="s">
        <v>285</v>
      </c>
      <c r="K2463" s="3">
        <v>4</v>
      </c>
    </row>
    <row r="2464" spans="1:11">
      <c r="A2464" s="1">
        <v>45930</v>
      </c>
      <c r="B2464" t="s">
        <v>1974</v>
      </c>
      <c r="C2464">
        <v>2.6920000000000002</v>
      </c>
      <c r="I2464" s="1">
        <v>45933</v>
      </c>
      <c r="J2464" s="1" t="s">
        <v>286</v>
      </c>
      <c r="K2464" s="3">
        <v>10553.6</v>
      </c>
    </row>
    <row r="2465" spans="1:11">
      <c r="A2465" s="1">
        <v>45930</v>
      </c>
      <c r="B2465" t="s">
        <v>1975</v>
      </c>
      <c r="C2465">
        <v>2.738</v>
      </c>
      <c r="I2465" s="1">
        <v>45933</v>
      </c>
      <c r="J2465" s="1" t="s">
        <v>287</v>
      </c>
      <c r="K2465" s="3">
        <v>161979.65</v>
      </c>
    </row>
    <row r="2466" spans="1:11">
      <c r="A2466" s="1">
        <v>45930</v>
      </c>
      <c r="B2466" t="s">
        <v>1976</v>
      </c>
      <c r="C2466">
        <v>2.794</v>
      </c>
      <c r="I2466" s="1">
        <v>45933</v>
      </c>
      <c r="J2466" s="1" t="s">
        <v>288</v>
      </c>
      <c r="K2466" s="3">
        <v>-69223.81</v>
      </c>
    </row>
    <row r="2467" spans="1:11">
      <c r="A2467" s="1">
        <v>45930</v>
      </c>
      <c r="B2467" t="s">
        <v>1977</v>
      </c>
      <c r="C2467">
        <v>2.9249999999999998</v>
      </c>
      <c r="I2467" s="1">
        <v>45933</v>
      </c>
      <c r="J2467" s="1" t="s">
        <v>289</v>
      </c>
      <c r="K2467" s="3">
        <v>1</v>
      </c>
    </row>
    <row r="2468" spans="1:11">
      <c r="A2468" s="1">
        <v>45930</v>
      </c>
      <c r="B2468" t="s">
        <v>1978</v>
      </c>
      <c r="C2468">
        <v>3.0569999999999999</v>
      </c>
      <c r="I2468" s="1">
        <v>45933</v>
      </c>
      <c r="J2468" s="1" t="s">
        <v>290</v>
      </c>
      <c r="K2468" s="3">
        <v>1</v>
      </c>
    </row>
    <row r="2469" spans="1:11">
      <c r="A2469" s="1">
        <v>45930</v>
      </c>
      <c r="B2469" t="s">
        <v>1979</v>
      </c>
      <c r="C2469">
        <v>3.3740000000000001</v>
      </c>
      <c r="I2469" s="1">
        <v>45932</v>
      </c>
      <c r="J2469" s="1" t="s">
        <v>282</v>
      </c>
      <c r="K2469" s="3">
        <v>3000</v>
      </c>
    </row>
    <row r="2470" spans="1:11">
      <c r="A2470" s="1">
        <v>45930</v>
      </c>
      <c r="B2470" t="s">
        <v>1980</v>
      </c>
      <c r="C2470">
        <v>3.6230000000000002</v>
      </c>
      <c r="I2470" s="1">
        <v>45932</v>
      </c>
      <c r="J2470" s="1" t="s">
        <v>283</v>
      </c>
      <c r="K2470" s="3">
        <v>7</v>
      </c>
    </row>
    <row r="2471" spans="1:11">
      <c r="A2471" s="1">
        <v>45930</v>
      </c>
      <c r="B2471" t="s">
        <v>1981</v>
      </c>
      <c r="C2471">
        <v>3.7080000000000002</v>
      </c>
      <c r="I2471" s="1">
        <v>45932</v>
      </c>
      <c r="J2471" s="1" t="s">
        <v>284</v>
      </c>
      <c r="K2471" s="3">
        <v>6657.54</v>
      </c>
    </row>
    <row r="2472" spans="1:11">
      <c r="A2472" s="1">
        <v>45930</v>
      </c>
      <c r="B2472" t="s">
        <v>1982</v>
      </c>
      <c r="C2472">
        <v>3.7309999999999999</v>
      </c>
      <c r="I2472" s="1">
        <v>45932</v>
      </c>
      <c r="J2472" s="1" t="s">
        <v>285</v>
      </c>
      <c r="K2472" s="3">
        <v>4</v>
      </c>
    </row>
    <row r="2473" spans="1:11">
      <c r="A2473" s="1">
        <v>45930</v>
      </c>
      <c r="B2473" t="s">
        <v>1983</v>
      </c>
      <c r="C2473">
        <v>3.8170000000000002</v>
      </c>
      <c r="I2473" s="1">
        <v>45932</v>
      </c>
      <c r="J2473" s="1" t="s">
        <v>286</v>
      </c>
      <c r="K2473" s="3">
        <v>17075.54</v>
      </c>
    </row>
    <row r="2474" spans="1:11">
      <c r="A2474" s="1">
        <v>45929</v>
      </c>
      <c r="B2474" t="s">
        <v>1974</v>
      </c>
      <c r="C2474">
        <v>2.6920000000000002</v>
      </c>
      <c r="I2474" s="1">
        <v>45932</v>
      </c>
      <c r="J2474" s="1" t="s">
        <v>287</v>
      </c>
      <c r="K2474" s="3">
        <v>172409.48</v>
      </c>
    </row>
    <row r="2475" spans="1:11">
      <c r="A2475" s="1">
        <v>45929</v>
      </c>
      <c r="B2475" t="s">
        <v>1975</v>
      </c>
      <c r="C2475">
        <v>2.738</v>
      </c>
      <c r="I2475" s="1">
        <v>45932</v>
      </c>
      <c r="J2475" s="1" t="s">
        <v>288</v>
      </c>
      <c r="K2475" s="3">
        <v>-74777.41</v>
      </c>
    </row>
    <row r="2476" spans="1:11">
      <c r="A2476" s="1">
        <v>45929</v>
      </c>
      <c r="B2476" t="s">
        <v>1976</v>
      </c>
      <c r="C2476">
        <v>2.794</v>
      </c>
      <c r="I2476" s="1">
        <v>45932</v>
      </c>
      <c r="J2476" s="1" t="s">
        <v>289</v>
      </c>
      <c r="K2476" s="3">
        <v>10</v>
      </c>
    </row>
    <row r="2477" spans="1:11">
      <c r="A2477" s="1">
        <v>45929</v>
      </c>
      <c r="B2477" t="s">
        <v>1977</v>
      </c>
      <c r="C2477">
        <v>2.927</v>
      </c>
      <c r="I2477" s="1">
        <v>45932</v>
      </c>
      <c r="J2477" s="1" t="s">
        <v>290</v>
      </c>
      <c r="K2477" s="3">
        <v>10</v>
      </c>
    </row>
    <row r="2478" spans="1:11">
      <c r="A2478" s="1">
        <v>45929</v>
      </c>
      <c r="B2478" t="s">
        <v>1978</v>
      </c>
      <c r="C2478">
        <v>3.0590000000000002</v>
      </c>
      <c r="I2478" s="1">
        <v>45932</v>
      </c>
      <c r="J2478" s="1" t="s">
        <v>107</v>
      </c>
      <c r="K2478" s="3">
        <v>4126439539523</v>
      </c>
    </row>
    <row r="2479" spans="1:11">
      <c r="A2479" s="1">
        <v>45929</v>
      </c>
      <c r="B2479" t="s">
        <v>1979</v>
      </c>
      <c r="C2479">
        <v>3.3740000000000001</v>
      </c>
      <c r="I2479" s="1">
        <v>45931</v>
      </c>
      <c r="J2479" s="1" t="s">
        <v>107</v>
      </c>
      <c r="K2479" s="3">
        <v>5647808123651</v>
      </c>
    </row>
    <row r="2480" spans="1:11">
      <c r="A2480" s="1">
        <v>45929</v>
      </c>
      <c r="B2480" t="s">
        <v>1980</v>
      </c>
      <c r="C2480">
        <v>3.6230000000000002</v>
      </c>
      <c r="I2480" s="1">
        <v>45931</v>
      </c>
      <c r="J2480" s="1" t="s">
        <v>288</v>
      </c>
      <c r="K2480" s="3">
        <v>-75071.59</v>
      </c>
    </row>
    <row r="2481" spans="1:11">
      <c r="A2481" s="1">
        <v>45929</v>
      </c>
      <c r="B2481" t="s">
        <v>1981</v>
      </c>
      <c r="C2481">
        <v>3.7029999999999998</v>
      </c>
      <c r="I2481" s="1">
        <v>45931</v>
      </c>
      <c r="J2481" s="1" t="s">
        <v>289</v>
      </c>
      <c r="K2481" s="3">
        <v>11</v>
      </c>
    </row>
    <row r="2482" spans="1:11">
      <c r="A2482" s="1">
        <v>45929</v>
      </c>
      <c r="B2482" t="s">
        <v>1982</v>
      </c>
      <c r="C2482">
        <v>3.7309999999999999</v>
      </c>
      <c r="I2482" s="1">
        <v>45931</v>
      </c>
      <c r="J2482" s="1" t="s">
        <v>290</v>
      </c>
      <c r="K2482" s="3">
        <v>11</v>
      </c>
    </row>
    <row r="2483" spans="1:11">
      <c r="A2483" s="1">
        <v>45929</v>
      </c>
      <c r="B2483" t="s">
        <v>1983</v>
      </c>
      <c r="C2483">
        <v>3.8170000000000002</v>
      </c>
      <c r="I2483" s="1">
        <v>45931</v>
      </c>
      <c r="J2483" s="1" t="s">
        <v>282</v>
      </c>
      <c r="K2483" s="3">
        <v>6000</v>
      </c>
    </row>
    <row r="2484" spans="1:11">
      <c r="A2484" s="1">
        <v>45926</v>
      </c>
      <c r="B2484" t="s">
        <v>1974</v>
      </c>
      <c r="C2484">
        <v>2.6920000000000002</v>
      </c>
      <c r="I2484" s="1">
        <v>45931</v>
      </c>
      <c r="J2484" s="1" t="s">
        <v>283</v>
      </c>
      <c r="K2484" s="3">
        <v>7</v>
      </c>
    </row>
    <row r="2485" spans="1:11">
      <c r="A2485" s="1">
        <v>45926</v>
      </c>
      <c r="B2485" t="s">
        <v>1975</v>
      </c>
      <c r="C2485">
        <v>2.738</v>
      </c>
      <c r="I2485" s="1">
        <v>45931</v>
      </c>
      <c r="J2485" s="1" t="s">
        <v>284</v>
      </c>
      <c r="K2485" s="3">
        <v>10238</v>
      </c>
    </row>
    <row r="2486" spans="1:11">
      <c r="A2486" s="1">
        <v>45926</v>
      </c>
      <c r="B2486" t="s">
        <v>1976</v>
      </c>
      <c r="C2486">
        <v>2.794</v>
      </c>
      <c r="I2486" s="1">
        <v>45931</v>
      </c>
      <c r="J2486" s="1" t="s">
        <v>285</v>
      </c>
      <c r="K2486" s="3">
        <v>4</v>
      </c>
    </row>
    <row r="2487" spans="1:11">
      <c r="A2487" s="1">
        <v>45926</v>
      </c>
      <c r="B2487" t="s">
        <v>1977</v>
      </c>
      <c r="C2487">
        <v>2.927</v>
      </c>
      <c r="I2487" s="1">
        <v>45931</v>
      </c>
      <c r="J2487" s="1" t="s">
        <v>286</v>
      </c>
      <c r="K2487" s="3">
        <v>12443.01</v>
      </c>
    </row>
    <row r="2488" spans="1:11">
      <c r="A2488" s="1">
        <v>45926</v>
      </c>
      <c r="B2488" t="s">
        <v>1978</v>
      </c>
      <c r="C2488">
        <v>3.0590000000000002</v>
      </c>
      <c r="I2488" s="1">
        <v>45931</v>
      </c>
      <c r="J2488" s="1" t="s">
        <v>287</v>
      </c>
      <c r="K2488" s="3">
        <v>182827.02</v>
      </c>
    </row>
    <row r="2489" spans="1:11">
      <c r="A2489" s="1">
        <v>45926</v>
      </c>
      <c r="B2489" t="s">
        <v>1979</v>
      </c>
      <c r="C2489">
        <v>3.3740000000000001</v>
      </c>
      <c r="I2489" s="1">
        <v>45930</v>
      </c>
      <c r="J2489" s="1" t="s">
        <v>282</v>
      </c>
      <c r="K2489" s="3">
        <v>6000</v>
      </c>
    </row>
    <row r="2490" spans="1:11">
      <c r="A2490" s="1">
        <v>45926</v>
      </c>
      <c r="B2490" t="s">
        <v>1980</v>
      </c>
      <c r="C2490">
        <v>3.6219999999999999</v>
      </c>
      <c r="I2490" s="1">
        <v>45930</v>
      </c>
      <c r="J2490" s="1" t="s">
        <v>283</v>
      </c>
      <c r="K2490" s="3">
        <v>7</v>
      </c>
    </row>
    <row r="2491" spans="1:11">
      <c r="A2491" s="1">
        <v>45926</v>
      </c>
      <c r="B2491" t="s">
        <v>1981</v>
      </c>
      <c r="C2491">
        <v>3.7010000000000001</v>
      </c>
      <c r="I2491" s="1">
        <v>45930</v>
      </c>
      <c r="J2491" s="1" t="s">
        <v>284</v>
      </c>
      <c r="K2491" s="3">
        <v>17963</v>
      </c>
    </row>
    <row r="2492" spans="1:11">
      <c r="A2492" s="1">
        <v>45926</v>
      </c>
      <c r="B2492" t="s">
        <v>1982</v>
      </c>
      <c r="C2492">
        <v>3.7309999999999999</v>
      </c>
      <c r="I2492" s="1">
        <v>45930</v>
      </c>
      <c r="J2492" s="1" t="s">
        <v>285</v>
      </c>
      <c r="K2492" s="3">
        <v>4</v>
      </c>
    </row>
    <row r="2493" spans="1:11">
      <c r="A2493" s="1">
        <v>45926</v>
      </c>
      <c r="B2493" t="s">
        <v>1983</v>
      </c>
      <c r="C2493">
        <v>3.8170000000000002</v>
      </c>
      <c r="I2493" s="1">
        <v>45930</v>
      </c>
      <c r="J2493" s="1" t="s">
        <v>286</v>
      </c>
      <c r="K2493" s="3">
        <v>5953.52</v>
      </c>
    </row>
    <row r="2494" spans="1:11">
      <c r="A2494" s="1">
        <v>45925</v>
      </c>
      <c r="B2494" t="s">
        <v>1974</v>
      </c>
      <c r="C2494">
        <v>2.6920000000000002</v>
      </c>
      <c r="I2494" s="1">
        <v>45930</v>
      </c>
      <c r="J2494" s="1" t="s">
        <v>287</v>
      </c>
      <c r="K2494" s="3">
        <v>185032.03</v>
      </c>
    </row>
    <row r="2495" spans="1:11">
      <c r="A2495" s="1">
        <v>45925</v>
      </c>
      <c r="B2495" t="s">
        <v>1975</v>
      </c>
      <c r="C2495">
        <v>2.738</v>
      </c>
      <c r="I2495" s="1">
        <v>45930</v>
      </c>
      <c r="J2495" s="1" t="s">
        <v>288</v>
      </c>
      <c r="K2495" s="3">
        <v>-73581.75</v>
      </c>
    </row>
    <row r="2496" spans="1:11">
      <c r="A2496" s="1">
        <v>45925</v>
      </c>
      <c r="B2496" t="s">
        <v>1976</v>
      </c>
      <c r="C2496">
        <v>2.794</v>
      </c>
      <c r="I2496" s="1">
        <v>45930</v>
      </c>
      <c r="J2496" s="1" t="s">
        <v>289</v>
      </c>
      <c r="K2496" s="3">
        <v>15</v>
      </c>
    </row>
    <row r="2497" spans="1:11">
      <c r="A2497" s="1">
        <v>45925</v>
      </c>
      <c r="B2497" t="s">
        <v>1977</v>
      </c>
      <c r="C2497">
        <v>2.915</v>
      </c>
      <c r="I2497" s="1">
        <v>45930</v>
      </c>
      <c r="J2497" s="1" t="s">
        <v>290</v>
      </c>
      <c r="K2497" s="3">
        <v>15</v>
      </c>
    </row>
    <row r="2498" spans="1:11">
      <c r="A2498" s="1">
        <v>45925</v>
      </c>
      <c r="B2498" t="s">
        <v>1978</v>
      </c>
      <c r="C2498">
        <v>3.036</v>
      </c>
      <c r="I2498" s="1">
        <v>45930</v>
      </c>
      <c r="J2498" s="1" t="s">
        <v>107</v>
      </c>
      <c r="K2498" s="3">
        <v>6115365681135</v>
      </c>
    </row>
    <row r="2499" spans="1:11">
      <c r="A2499" s="1">
        <v>45925</v>
      </c>
      <c r="B2499" t="s">
        <v>1979</v>
      </c>
      <c r="C2499">
        <v>3.375</v>
      </c>
      <c r="I2499" s="1">
        <v>45929</v>
      </c>
      <c r="J2499" s="1" t="s">
        <v>282</v>
      </c>
      <c r="K2499" s="3">
        <v>4000</v>
      </c>
    </row>
    <row r="2500" spans="1:11">
      <c r="A2500" s="1">
        <v>45925</v>
      </c>
      <c r="B2500" t="s">
        <v>1980</v>
      </c>
      <c r="C2500">
        <v>3.6150000000000002</v>
      </c>
      <c r="I2500" s="1">
        <v>45929</v>
      </c>
      <c r="J2500" s="1" t="s">
        <v>283</v>
      </c>
      <c r="K2500" s="3">
        <v>7</v>
      </c>
    </row>
    <row r="2501" spans="1:11">
      <c r="A2501" s="1">
        <v>45925</v>
      </c>
      <c r="B2501" t="s">
        <v>1981</v>
      </c>
      <c r="C2501">
        <v>3.6949999999999998</v>
      </c>
      <c r="I2501" s="1">
        <v>45929</v>
      </c>
      <c r="J2501" s="1" t="s">
        <v>284</v>
      </c>
      <c r="K2501" s="3">
        <v>13998.54</v>
      </c>
    </row>
    <row r="2502" spans="1:11">
      <c r="A2502" s="1">
        <v>45925</v>
      </c>
      <c r="B2502" t="s">
        <v>1982</v>
      </c>
      <c r="C2502">
        <v>3.7290000000000001</v>
      </c>
      <c r="I2502" s="1">
        <v>45929</v>
      </c>
      <c r="J2502" s="1" t="s">
        <v>285</v>
      </c>
      <c r="K2502" s="3">
        <v>4</v>
      </c>
    </row>
    <row r="2503" spans="1:11">
      <c r="A2503" s="1">
        <v>45925</v>
      </c>
      <c r="B2503" t="s">
        <v>1983</v>
      </c>
      <c r="C2503">
        <v>3.8170000000000002</v>
      </c>
      <c r="I2503" s="1">
        <v>45929</v>
      </c>
      <c r="J2503" s="1" t="s">
        <v>286</v>
      </c>
      <c r="K2503" s="3">
        <v>9828.34</v>
      </c>
    </row>
    <row r="2504" spans="1:11">
      <c r="A2504" s="1">
        <v>45924</v>
      </c>
      <c r="B2504" t="s">
        <v>1974</v>
      </c>
      <c r="C2504">
        <v>2.681</v>
      </c>
      <c r="I2504" s="1">
        <v>45929</v>
      </c>
      <c r="J2504" s="1" t="s">
        <v>287</v>
      </c>
      <c r="K2504" s="3">
        <v>173022.55</v>
      </c>
    </row>
    <row r="2505" spans="1:11">
      <c r="A2505" s="1">
        <v>45924</v>
      </c>
      <c r="B2505" t="s">
        <v>1975</v>
      </c>
      <c r="C2505">
        <v>2.7229999999999999</v>
      </c>
      <c r="I2505" s="1">
        <v>45929</v>
      </c>
      <c r="J2505" s="1" t="s">
        <v>107</v>
      </c>
      <c r="K2505" s="3">
        <v>5235580440735</v>
      </c>
    </row>
    <row r="2506" spans="1:11">
      <c r="A2506" s="1">
        <v>45924</v>
      </c>
      <c r="B2506" t="s">
        <v>1976</v>
      </c>
      <c r="C2506">
        <v>2.7850000000000001</v>
      </c>
      <c r="I2506" s="1">
        <v>45929</v>
      </c>
      <c r="J2506" s="1" t="s">
        <v>288</v>
      </c>
      <c r="K2506" s="3">
        <v>-64025.67</v>
      </c>
    </row>
    <row r="2507" spans="1:11">
      <c r="A2507" s="1">
        <v>45924</v>
      </c>
      <c r="B2507" t="s">
        <v>1977</v>
      </c>
      <c r="C2507">
        <v>2.9119999999999999</v>
      </c>
      <c r="I2507" s="1">
        <v>45929</v>
      </c>
      <c r="J2507" s="1" t="s">
        <v>289</v>
      </c>
      <c r="K2507" s="3">
        <v>10</v>
      </c>
    </row>
    <row r="2508" spans="1:11">
      <c r="A2508" s="1">
        <v>45924</v>
      </c>
      <c r="B2508" t="s">
        <v>1978</v>
      </c>
      <c r="C2508">
        <v>3.0390000000000001</v>
      </c>
      <c r="I2508" s="1">
        <v>45929</v>
      </c>
      <c r="J2508" s="1" t="s">
        <v>290</v>
      </c>
      <c r="K2508" s="3">
        <v>10</v>
      </c>
    </row>
    <row r="2509" spans="1:11">
      <c r="A2509" s="1">
        <v>45924</v>
      </c>
      <c r="B2509" t="s">
        <v>1979</v>
      </c>
      <c r="C2509">
        <v>3.3690000000000002</v>
      </c>
      <c r="I2509" s="1">
        <v>45928</v>
      </c>
      <c r="J2509" s="1" t="s">
        <v>107</v>
      </c>
      <c r="K2509" s="3">
        <v>5099546522549</v>
      </c>
    </row>
    <row r="2510" spans="1:11">
      <c r="A2510" s="1">
        <v>45924</v>
      </c>
      <c r="B2510" t="s">
        <v>1980</v>
      </c>
      <c r="C2510">
        <v>3.5779999999999998</v>
      </c>
      <c r="I2510" s="1">
        <v>45926</v>
      </c>
      <c r="J2510" s="1" t="s">
        <v>282</v>
      </c>
      <c r="K2510" s="3">
        <v>5000</v>
      </c>
    </row>
    <row r="2511" spans="1:11">
      <c r="A2511" s="1">
        <v>45924</v>
      </c>
      <c r="B2511" t="s">
        <v>1981</v>
      </c>
      <c r="C2511">
        <v>3.6640000000000001</v>
      </c>
      <c r="I2511" s="1">
        <v>45926</v>
      </c>
      <c r="J2511" s="1" t="s">
        <v>283</v>
      </c>
      <c r="K2511" s="3">
        <v>7</v>
      </c>
    </row>
    <row r="2512" spans="1:11">
      <c r="A2512" s="1">
        <v>45924</v>
      </c>
      <c r="B2512" t="s">
        <v>1982</v>
      </c>
      <c r="C2512">
        <v>3.694</v>
      </c>
      <c r="I2512" s="1">
        <v>45926</v>
      </c>
      <c r="J2512" s="1" t="s">
        <v>284</v>
      </c>
      <c r="K2512" s="3">
        <v>17000</v>
      </c>
    </row>
    <row r="2513" spans="1:11">
      <c r="A2513" s="1">
        <v>45924</v>
      </c>
      <c r="B2513" t="s">
        <v>1983</v>
      </c>
      <c r="C2513">
        <v>3.7919999999999998</v>
      </c>
      <c r="I2513" s="1">
        <v>45926</v>
      </c>
      <c r="J2513" s="1" t="s">
        <v>285</v>
      </c>
      <c r="K2513" s="3">
        <v>4</v>
      </c>
    </row>
    <row r="2514" spans="1:11">
      <c r="A2514" s="1">
        <v>45923</v>
      </c>
      <c r="B2514" t="s">
        <v>1974</v>
      </c>
      <c r="C2514">
        <v>2.681</v>
      </c>
      <c r="I2514" s="1">
        <v>45926</v>
      </c>
      <c r="J2514" s="1" t="s">
        <v>286</v>
      </c>
      <c r="K2514" s="3">
        <v>6715.27</v>
      </c>
    </row>
    <row r="2515" spans="1:11">
      <c r="A2515" s="1">
        <v>45923</v>
      </c>
      <c r="B2515" t="s">
        <v>1975</v>
      </c>
      <c r="C2515">
        <v>2.7229999999999999</v>
      </c>
      <c r="I2515" s="1">
        <v>45926</v>
      </c>
      <c r="J2515" s="1" t="s">
        <v>287</v>
      </c>
      <c r="K2515" s="3">
        <v>168852.35</v>
      </c>
    </row>
    <row r="2516" spans="1:11">
      <c r="A2516" s="1">
        <v>45923</v>
      </c>
      <c r="B2516" t="s">
        <v>1976</v>
      </c>
      <c r="C2516">
        <v>2.7850000000000001</v>
      </c>
      <c r="I2516" s="1">
        <v>45926</v>
      </c>
      <c r="J2516" s="1" t="s">
        <v>288</v>
      </c>
      <c r="K2516" s="3">
        <v>-55854.01</v>
      </c>
    </row>
    <row r="2517" spans="1:11">
      <c r="A2517" s="1">
        <v>45923</v>
      </c>
      <c r="B2517" t="s">
        <v>1977</v>
      </c>
      <c r="C2517">
        <v>2.9079999999999999</v>
      </c>
      <c r="I2517" s="1">
        <v>45926</v>
      </c>
      <c r="J2517" s="1" t="s">
        <v>289</v>
      </c>
      <c r="K2517" s="3">
        <v>11</v>
      </c>
    </row>
    <row r="2518" spans="1:11">
      <c r="A2518" s="1">
        <v>45923</v>
      </c>
      <c r="B2518" t="s">
        <v>1978</v>
      </c>
      <c r="C2518">
        <v>3.0310000000000001</v>
      </c>
      <c r="I2518" s="1">
        <v>45926</v>
      </c>
      <c r="J2518" s="1" t="s">
        <v>290</v>
      </c>
      <c r="K2518" s="3">
        <v>11</v>
      </c>
    </row>
    <row r="2519" spans="1:11">
      <c r="A2519" s="1">
        <v>45923</v>
      </c>
      <c r="B2519" t="s">
        <v>1979</v>
      </c>
      <c r="C2519">
        <v>3.3690000000000002</v>
      </c>
      <c r="I2519" s="1">
        <v>45925</v>
      </c>
      <c r="J2519" s="1" t="s">
        <v>282</v>
      </c>
      <c r="K2519" s="3">
        <v>15000</v>
      </c>
    </row>
    <row r="2520" spans="1:11">
      <c r="A2520" s="1">
        <v>45923</v>
      </c>
      <c r="B2520" t="s">
        <v>1980</v>
      </c>
      <c r="C2520">
        <v>3.5779999999999998</v>
      </c>
      <c r="I2520" s="1">
        <v>45925</v>
      </c>
      <c r="J2520" s="1" t="s">
        <v>283</v>
      </c>
      <c r="K2520" s="3">
        <v>7</v>
      </c>
    </row>
    <row r="2521" spans="1:11">
      <c r="A2521" s="1">
        <v>45923</v>
      </c>
      <c r="B2521" t="s">
        <v>1981</v>
      </c>
      <c r="C2521">
        <v>3.661</v>
      </c>
      <c r="I2521" s="1">
        <v>45925</v>
      </c>
      <c r="J2521" s="1" t="s">
        <v>284</v>
      </c>
      <c r="K2521" s="3">
        <v>27813.15</v>
      </c>
    </row>
    <row r="2522" spans="1:11">
      <c r="A2522" s="1">
        <v>45923</v>
      </c>
      <c r="B2522" t="s">
        <v>1982</v>
      </c>
      <c r="C2522">
        <v>3.694</v>
      </c>
      <c r="I2522" s="1">
        <v>45925</v>
      </c>
      <c r="J2522" s="1" t="s">
        <v>285</v>
      </c>
      <c r="K2522" s="3">
        <v>4</v>
      </c>
    </row>
    <row r="2523" spans="1:11">
      <c r="A2523" s="1">
        <v>45923</v>
      </c>
      <c r="B2523" t="s">
        <v>1983</v>
      </c>
      <c r="C2523">
        <v>3.7919999999999998</v>
      </c>
      <c r="I2523" s="1">
        <v>45925</v>
      </c>
      <c r="J2523" s="1" t="s">
        <v>286</v>
      </c>
      <c r="K2523" s="3">
        <v>2892.58</v>
      </c>
    </row>
    <row r="2524" spans="1:11">
      <c r="A2524" s="1">
        <v>45922</v>
      </c>
      <c r="B2524" t="s">
        <v>1974</v>
      </c>
      <c r="C2524">
        <v>2.681</v>
      </c>
      <c r="I2524" s="1">
        <v>45925</v>
      </c>
      <c r="J2524" s="1" t="s">
        <v>287</v>
      </c>
      <c r="K2524" s="3">
        <v>158567.62</v>
      </c>
    </row>
    <row r="2525" spans="1:11">
      <c r="A2525" s="1">
        <v>45922</v>
      </c>
      <c r="B2525" t="s">
        <v>1975</v>
      </c>
      <c r="C2525">
        <v>2.7229999999999999</v>
      </c>
      <c r="I2525" s="1">
        <v>45925</v>
      </c>
      <c r="J2525" s="1" t="s">
        <v>288</v>
      </c>
      <c r="K2525" s="3">
        <v>-52015.68</v>
      </c>
    </row>
    <row r="2526" spans="1:11">
      <c r="A2526" s="1">
        <v>45922</v>
      </c>
      <c r="B2526" t="s">
        <v>1976</v>
      </c>
      <c r="C2526">
        <v>2.7850000000000001</v>
      </c>
      <c r="I2526" s="1">
        <v>45925</v>
      </c>
      <c r="J2526" s="1" t="s">
        <v>289</v>
      </c>
      <c r="K2526" s="3">
        <v>21</v>
      </c>
    </row>
    <row r="2527" spans="1:11">
      <c r="A2527" s="1">
        <v>45922</v>
      </c>
      <c r="B2527" t="s">
        <v>1977</v>
      </c>
      <c r="C2527">
        <v>2.9049999999999998</v>
      </c>
      <c r="I2527" s="1">
        <v>45925</v>
      </c>
      <c r="J2527" s="1" t="s">
        <v>290</v>
      </c>
      <c r="K2527" s="3">
        <v>21</v>
      </c>
    </row>
    <row r="2528" spans="1:11">
      <c r="A2528" s="1">
        <v>45922</v>
      </c>
      <c r="B2528" t="s">
        <v>1978</v>
      </c>
      <c r="C2528">
        <v>3.024</v>
      </c>
      <c r="I2528" s="1">
        <v>45925</v>
      </c>
      <c r="J2528" s="1" t="s">
        <v>107</v>
      </c>
      <c r="K2528" s="3">
        <v>4981585795264</v>
      </c>
    </row>
    <row r="2529" spans="1:11">
      <c r="A2529" s="1">
        <v>45922</v>
      </c>
      <c r="B2529" t="s">
        <v>1979</v>
      </c>
      <c r="C2529">
        <v>3.3690000000000002</v>
      </c>
      <c r="I2529" s="1">
        <v>45924</v>
      </c>
      <c r="J2529" s="1" t="s">
        <v>282</v>
      </c>
      <c r="K2529" s="3">
        <v>9000</v>
      </c>
    </row>
    <row r="2530" spans="1:11">
      <c r="A2530" s="1">
        <v>45922</v>
      </c>
      <c r="B2530" t="s">
        <v>1980</v>
      </c>
      <c r="C2530">
        <v>3.5779999999999998</v>
      </c>
      <c r="I2530" s="1">
        <v>45924</v>
      </c>
      <c r="J2530" s="1" t="s">
        <v>283</v>
      </c>
      <c r="K2530" s="3">
        <v>7</v>
      </c>
    </row>
    <row r="2531" spans="1:11">
      <c r="A2531" s="1">
        <v>45922</v>
      </c>
      <c r="B2531" t="s">
        <v>1981</v>
      </c>
      <c r="C2531">
        <v>3.6560000000000001</v>
      </c>
      <c r="I2531" s="1">
        <v>45924</v>
      </c>
      <c r="J2531" s="1" t="s">
        <v>284</v>
      </c>
      <c r="K2531" s="3">
        <v>19000</v>
      </c>
    </row>
    <row r="2532" spans="1:11">
      <c r="A2532" s="1">
        <v>45922</v>
      </c>
      <c r="B2532" t="s">
        <v>1982</v>
      </c>
      <c r="C2532">
        <v>3.694</v>
      </c>
      <c r="I2532" s="1">
        <v>45924</v>
      </c>
      <c r="J2532" s="1" t="s">
        <v>285</v>
      </c>
      <c r="K2532" s="3">
        <v>4</v>
      </c>
    </row>
    <row r="2533" spans="1:11">
      <c r="A2533" s="1">
        <v>45922</v>
      </c>
      <c r="B2533" t="s">
        <v>1983</v>
      </c>
      <c r="C2533">
        <v>3.7919999999999998</v>
      </c>
      <c r="I2533" s="1">
        <v>45924</v>
      </c>
      <c r="J2533" s="1" t="s">
        <v>286</v>
      </c>
      <c r="K2533" s="3">
        <v>6719.81</v>
      </c>
    </row>
    <row r="2534" spans="1:11">
      <c r="A2534" s="1">
        <v>45919</v>
      </c>
      <c r="B2534" t="s">
        <v>1974</v>
      </c>
      <c r="C2534">
        <v>2.669</v>
      </c>
      <c r="I2534" s="1">
        <v>45924</v>
      </c>
      <c r="J2534" s="1" t="s">
        <v>287</v>
      </c>
      <c r="K2534" s="3">
        <v>133647.04999999999</v>
      </c>
    </row>
    <row r="2535" spans="1:11">
      <c r="A2535" s="1">
        <v>45919</v>
      </c>
      <c r="B2535" t="s">
        <v>1975</v>
      </c>
      <c r="C2535">
        <v>2.71</v>
      </c>
      <c r="I2535" s="1">
        <v>45924</v>
      </c>
      <c r="J2535" s="1" t="s">
        <v>288</v>
      </c>
      <c r="K2535" s="3">
        <v>-37832.720000000001</v>
      </c>
    </row>
    <row r="2536" spans="1:11">
      <c r="A2536" s="1">
        <v>45919</v>
      </c>
      <c r="B2536" t="s">
        <v>1976</v>
      </c>
      <c r="C2536">
        <v>2.7730000000000001</v>
      </c>
      <c r="I2536" s="1">
        <v>45924</v>
      </c>
      <c r="J2536" s="1" t="s">
        <v>289</v>
      </c>
      <c r="K2536" s="3">
        <v>19</v>
      </c>
    </row>
    <row r="2537" spans="1:11">
      <c r="A2537" s="1">
        <v>45919</v>
      </c>
      <c r="B2537" t="s">
        <v>1977</v>
      </c>
      <c r="C2537">
        <v>2.899</v>
      </c>
      <c r="I2537" s="1">
        <v>45924</v>
      </c>
      <c r="J2537" s="1" t="s">
        <v>290</v>
      </c>
      <c r="K2537" s="3">
        <v>19</v>
      </c>
    </row>
    <row r="2538" spans="1:11">
      <c r="A2538" s="1">
        <v>45919</v>
      </c>
      <c r="B2538" t="s">
        <v>1978</v>
      </c>
      <c r="C2538">
        <v>3.024</v>
      </c>
      <c r="I2538" s="1">
        <v>45924</v>
      </c>
      <c r="J2538" s="1" t="s">
        <v>107</v>
      </c>
      <c r="K2538" s="3">
        <v>4595841196260</v>
      </c>
    </row>
    <row r="2539" spans="1:11">
      <c r="A2539" s="1">
        <v>45919</v>
      </c>
      <c r="B2539" t="s">
        <v>1979</v>
      </c>
      <c r="C2539">
        <v>3.3639999999999999</v>
      </c>
      <c r="I2539" s="1">
        <v>45923</v>
      </c>
      <c r="J2539" s="1" t="s">
        <v>107</v>
      </c>
      <c r="K2539" s="3">
        <v>4006748673973</v>
      </c>
    </row>
    <row r="2540" spans="1:11">
      <c r="A2540" s="1">
        <v>45919</v>
      </c>
      <c r="B2540" t="s">
        <v>1980</v>
      </c>
      <c r="C2540">
        <v>3.5720000000000001</v>
      </c>
      <c r="I2540" s="1">
        <v>45923</v>
      </c>
      <c r="J2540" s="1" t="s">
        <v>282</v>
      </c>
      <c r="K2540" s="3">
        <v>1000</v>
      </c>
    </row>
    <row r="2541" spans="1:11">
      <c r="A2541" s="1">
        <v>45919</v>
      </c>
      <c r="B2541" t="s">
        <v>1981</v>
      </c>
      <c r="C2541">
        <v>3.6509999999999998</v>
      </c>
      <c r="I2541" s="1">
        <v>45923</v>
      </c>
      <c r="J2541" s="1" t="s">
        <v>283</v>
      </c>
      <c r="K2541" s="3">
        <v>7</v>
      </c>
    </row>
    <row r="2542" spans="1:11">
      <c r="A2542" s="1">
        <v>45919</v>
      </c>
      <c r="B2542" t="s">
        <v>1982</v>
      </c>
      <c r="C2542">
        <v>3.694</v>
      </c>
      <c r="I2542" s="1">
        <v>45923</v>
      </c>
      <c r="J2542" s="1" t="s">
        <v>284</v>
      </c>
      <c r="K2542" s="3">
        <v>12000</v>
      </c>
    </row>
    <row r="2543" spans="1:11">
      <c r="A2543" s="1">
        <v>45919</v>
      </c>
      <c r="B2543" t="s">
        <v>1983</v>
      </c>
      <c r="C2543">
        <v>3.7919999999999998</v>
      </c>
      <c r="I2543" s="1">
        <v>45923</v>
      </c>
      <c r="J2543" s="1" t="s">
        <v>285</v>
      </c>
      <c r="K2543" s="3">
        <v>4</v>
      </c>
    </row>
    <row r="2544" spans="1:11">
      <c r="A2544" s="1">
        <v>45918</v>
      </c>
      <c r="B2544" t="s">
        <v>1974</v>
      </c>
      <c r="C2544">
        <v>2.669</v>
      </c>
      <c r="I2544" s="1">
        <v>45923</v>
      </c>
      <c r="J2544" s="1" t="s">
        <v>286</v>
      </c>
      <c r="K2544" s="3">
        <v>12288.53</v>
      </c>
    </row>
    <row r="2545" spans="1:11">
      <c r="A2545" s="1">
        <v>45918</v>
      </c>
      <c r="B2545" t="s">
        <v>1975</v>
      </c>
      <c r="C2545">
        <v>2.71</v>
      </c>
      <c r="I2545" s="1">
        <v>45923</v>
      </c>
      <c r="J2545" s="1" t="s">
        <v>287</v>
      </c>
      <c r="K2545" s="3">
        <v>121366.86</v>
      </c>
    </row>
    <row r="2546" spans="1:11">
      <c r="A2546" s="1">
        <v>45918</v>
      </c>
      <c r="B2546" t="s">
        <v>1976</v>
      </c>
      <c r="C2546">
        <v>2.7730000000000001</v>
      </c>
      <c r="I2546" s="1">
        <v>45923</v>
      </c>
      <c r="J2546" s="1" t="s">
        <v>288</v>
      </c>
      <c r="K2546" s="3">
        <v>-32109.52</v>
      </c>
    </row>
    <row r="2547" spans="1:11">
      <c r="A2547" s="1">
        <v>45918</v>
      </c>
      <c r="B2547" t="s">
        <v>1977</v>
      </c>
      <c r="C2547">
        <v>2.895</v>
      </c>
      <c r="I2547" s="1">
        <v>45923</v>
      </c>
      <c r="J2547" s="1" t="s">
        <v>289</v>
      </c>
      <c r="K2547" s="3">
        <v>10</v>
      </c>
    </row>
    <row r="2548" spans="1:11">
      <c r="A2548" s="1">
        <v>45918</v>
      </c>
      <c r="B2548" t="s">
        <v>1978</v>
      </c>
      <c r="C2548">
        <v>3.0169999999999999</v>
      </c>
      <c r="I2548" s="1">
        <v>45923</v>
      </c>
      <c r="J2548" s="1" t="s">
        <v>290</v>
      </c>
      <c r="K2548" s="3">
        <v>10</v>
      </c>
    </row>
    <row r="2549" spans="1:11">
      <c r="A2549" s="1">
        <v>45918</v>
      </c>
      <c r="B2549" t="s">
        <v>1979</v>
      </c>
      <c r="C2549">
        <v>3.367</v>
      </c>
      <c r="I2549" s="1">
        <v>45922</v>
      </c>
      <c r="J2549" s="1" t="s">
        <v>107</v>
      </c>
      <c r="K2549" s="3">
        <v>4006748673973</v>
      </c>
    </row>
    <row r="2550" spans="1:11">
      <c r="A2550" s="1">
        <v>45918</v>
      </c>
      <c r="B2550" t="s">
        <v>1980</v>
      </c>
      <c r="C2550">
        <v>3.569</v>
      </c>
      <c r="I2550" s="1">
        <v>45922</v>
      </c>
      <c r="J2550" s="1" t="s">
        <v>282</v>
      </c>
      <c r="K2550" s="3">
        <v>1000</v>
      </c>
    </row>
    <row r="2551" spans="1:11">
      <c r="A2551" s="1">
        <v>45918</v>
      </c>
      <c r="B2551" t="s">
        <v>1981</v>
      </c>
      <c r="C2551">
        <v>3.6509999999999998</v>
      </c>
      <c r="I2551" s="1">
        <v>45922</v>
      </c>
      <c r="J2551" s="1" t="s">
        <v>283</v>
      </c>
      <c r="K2551" s="3">
        <v>7</v>
      </c>
    </row>
    <row r="2552" spans="1:11">
      <c r="A2552" s="1">
        <v>45918</v>
      </c>
      <c r="B2552" t="s">
        <v>1982</v>
      </c>
      <c r="C2552">
        <v>3.694</v>
      </c>
      <c r="I2552" s="1">
        <v>45922</v>
      </c>
      <c r="J2552" s="1" t="s">
        <v>284</v>
      </c>
      <c r="K2552" s="3">
        <v>3997.89</v>
      </c>
    </row>
    <row r="2553" spans="1:11">
      <c r="A2553" s="1">
        <v>45918</v>
      </c>
      <c r="B2553" t="s">
        <v>1983</v>
      </c>
      <c r="C2553">
        <v>3.7919999999999998</v>
      </c>
      <c r="I2553" s="1">
        <v>45922</v>
      </c>
      <c r="J2553" s="1" t="s">
        <v>285</v>
      </c>
      <c r="K2553" s="3">
        <v>4</v>
      </c>
    </row>
    <row r="2554" spans="1:11">
      <c r="A2554" s="1">
        <v>45917</v>
      </c>
      <c r="B2554" t="s">
        <v>1974</v>
      </c>
      <c r="C2554">
        <v>2.6629999999999998</v>
      </c>
      <c r="I2554" s="1">
        <v>45922</v>
      </c>
      <c r="J2554" s="1" t="s">
        <v>286</v>
      </c>
      <c r="K2554" s="3">
        <v>21882.77</v>
      </c>
    </row>
    <row r="2555" spans="1:11">
      <c r="A2555" s="1">
        <v>45917</v>
      </c>
      <c r="B2555" t="s">
        <v>1975</v>
      </c>
      <c r="C2555">
        <v>2.7040000000000002</v>
      </c>
      <c r="I2555" s="1">
        <v>45922</v>
      </c>
      <c r="J2555" s="1" t="s">
        <v>287</v>
      </c>
      <c r="K2555" s="3">
        <v>121655.39</v>
      </c>
    </row>
    <row r="2556" spans="1:11">
      <c r="A2556" s="1">
        <v>45917</v>
      </c>
      <c r="B2556" t="s">
        <v>1976</v>
      </c>
      <c r="C2556">
        <v>2.7669999999999999</v>
      </c>
      <c r="I2556" s="1">
        <v>45922</v>
      </c>
      <c r="J2556" s="1" t="s">
        <v>288</v>
      </c>
      <c r="K2556" s="3">
        <v>-38444.53</v>
      </c>
    </row>
    <row r="2557" spans="1:11">
      <c r="A2557" s="1">
        <v>45917</v>
      </c>
      <c r="B2557" t="s">
        <v>1977</v>
      </c>
      <c r="C2557">
        <v>2.887</v>
      </c>
      <c r="I2557" s="1">
        <v>45922</v>
      </c>
      <c r="J2557" s="1" t="s">
        <v>289</v>
      </c>
      <c r="K2557" s="3">
        <v>5</v>
      </c>
    </row>
    <row r="2558" spans="1:11">
      <c r="A2558" s="1">
        <v>45917</v>
      </c>
      <c r="B2558" t="s">
        <v>1978</v>
      </c>
      <c r="C2558">
        <v>3.0059999999999998</v>
      </c>
      <c r="I2558" s="1">
        <v>45922</v>
      </c>
      <c r="J2558" s="1" t="s">
        <v>290</v>
      </c>
      <c r="K2558" s="3">
        <v>5</v>
      </c>
    </row>
    <row r="2559" spans="1:11">
      <c r="A2559" s="1">
        <v>45917</v>
      </c>
      <c r="B2559" t="s">
        <v>1979</v>
      </c>
      <c r="C2559">
        <v>3.3580000000000001</v>
      </c>
      <c r="I2559" s="1">
        <v>45921</v>
      </c>
      <c r="J2559" s="1" t="s">
        <v>107</v>
      </c>
      <c r="K2559" s="3">
        <v>4891365974436</v>
      </c>
    </row>
    <row r="2560" spans="1:11">
      <c r="A2560" s="1">
        <v>45917</v>
      </c>
      <c r="B2560" t="s">
        <v>1980</v>
      </c>
      <c r="C2560">
        <v>3.5579999999999998</v>
      </c>
      <c r="I2560" s="1">
        <v>45919</v>
      </c>
      <c r="J2560" s="1" t="s">
        <v>282</v>
      </c>
      <c r="K2560" s="3">
        <v>1000</v>
      </c>
    </row>
    <row r="2561" spans="1:11">
      <c r="A2561" s="1">
        <v>45917</v>
      </c>
      <c r="B2561" t="s">
        <v>1981</v>
      </c>
      <c r="C2561">
        <v>3.6429999999999998</v>
      </c>
      <c r="I2561" s="1">
        <v>45919</v>
      </c>
      <c r="J2561" s="1" t="s">
        <v>283</v>
      </c>
      <c r="K2561" s="3">
        <v>7</v>
      </c>
    </row>
    <row r="2562" spans="1:11">
      <c r="A2562" s="1">
        <v>45917</v>
      </c>
      <c r="B2562" t="s">
        <v>1982</v>
      </c>
      <c r="C2562">
        <v>3.6850000000000001</v>
      </c>
      <c r="I2562" s="1">
        <v>45919</v>
      </c>
      <c r="J2562" s="1" t="s">
        <v>284</v>
      </c>
      <c r="K2562" s="3">
        <v>3340</v>
      </c>
    </row>
    <row r="2563" spans="1:11">
      <c r="A2563" s="1">
        <v>45917</v>
      </c>
      <c r="B2563" t="s">
        <v>1983</v>
      </c>
      <c r="C2563">
        <v>3.7879999999999998</v>
      </c>
      <c r="I2563" s="1">
        <v>45919</v>
      </c>
      <c r="J2563" s="1" t="s">
        <v>285</v>
      </c>
      <c r="K2563" s="3">
        <v>4</v>
      </c>
    </row>
    <row r="2564" spans="1:11">
      <c r="A2564" s="1">
        <v>45916</v>
      </c>
      <c r="B2564" t="s">
        <v>1974</v>
      </c>
      <c r="C2564">
        <v>2.6629999999999998</v>
      </c>
      <c r="I2564" s="1">
        <v>45919</v>
      </c>
      <c r="J2564" s="1" t="s">
        <v>286</v>
      </c>
      <c r="K2564" s="3">
        <v>24838.52</v>
      </c>
    </row>
    <row r="2565" spans="1:11">
      <c r="A2565" s="1">
        <v>45916</v>
      </c>
      <c r="B2565" t="s">
        <v>1975</v>
      </c>
      <c r="C2565">
        <v>2.7040000000000002</v>
      </c>
      <c r="I2565" s="1">
        <v>45919</v>
      </c>
      <c r="J2565" s="1" t="s">
        <v>287</v>
      </c>
      <c r="K2565" s="3">
        <v>139540.26999999999</v>
      </c>
    </row>
    <row r="2566" spans="1:11">
      <c r="A2566" s="1">
        <v>45916</v>
      </c>
      <c r="B2566" t="s">
        <v>1976</v>
      </c>
      <c r="C2566">
        <v>2.7669999999999999</v>
      </c>
      <c r="I2566" s="1">
        <v>45919</v>
      </c>
      <c r="J2566" s="1" t="s">
        <v>288</v>
      </c>
      <c r="K2566" s="3">
        <v>-50498.96</v>
      </c>
    </row>
    <row r="2567" spans="1:11">
      <c r="A2567" s="1">
        <v>45916</v>
      </c>
      <c r="B2567" t="s">
        <v>1977</v>
      </c>
      <c r="C2567">
        <v>2.887</v>
      </c>
      <c r="I2567" s="1">
        <v>45919</v>
      </c>
      <c r="J2567" s="1" t="s">
        <v>289</v>
      </c>
      <c r="K2567" s="3">
        <v>3</v>
      </c>
    </row>
    <row r="2568" spans="1:11">
      <c r="A2568" s="1">
        <v>45916</v>
      </c>
      <c r="B2568" t="s">
        <v>1978</v>
      </c>
      <c r="C2568">
        <v>3.0059999999999998</v>
      </c>
      <c r="I2568" s="1">
        <v>45919</v>
      </c>
      <c r="J2568" s="1" t="s">
        <v>290</v>
      </c>
      <c r="K2568" s="3">
        <v>3</v>
      </c>
    </row>
    <row r="2569" spans="1:11">
      <c r="A2569" s="1">
        <v>45916</v>
      </c>
      <c r="B2569" t="s">
        <v>1979</v>
      </c>
      <c r="C2569">
        <v>3.3580000000000001</v>
      </c>
      <c r="I2569" s="1">
        <v>45918</v>
      </c>
      <c r="J2569" s="1" t="s">
        <v>282</v>
      </c>
      <c r="K2569" s="3">
        <v>1000</v>
      </c>
    </row>
    <row r="2570" spans="1:11">
      <c r="A2570" s="1">
        <v>45916</v>
      </c>
      <c r="B2570" t="s">
        <v>1980</v>
      </c>
      <c r="C2570">
        <v>3.5569999999999999</v>
      </c>
      <c r="I2570" s="1">
        <v>45918</v>
      </c>
      <c r="J2570" s="1" t="s">
        <v>283</v>
      </c>
      <c r="K2570" s="3">
        <v>7</v>
      </c>
    </row>
    <row r="2571" spans="1:11">
      <c r="A2571" s="1">
        <v>45916</v>
      </c>
      <c r="B2571" t="s">
        <v>1981</v>
      </c>
      <c r="C2571">
        <v>3.6429999999999998</v>
      </c>
      <c r="I2571" s="1">
        <v>45918</v>
      </c>
      <c r="J2571" s="1" t="s">
        <v>284</v>
      </c>
      <c r="K2571" s="3">
        <v>4367.22</v>
      </c>
    </row>
    <row r="2572" spans="1:11">
      <c r="A2572" s="1">
        <v>45916</v>
      </c>
      <c r="B2572" t="s">
        <v>1982</v>
      </c>
      <c r="C2572">
        <v>3.6850000000000001</v>
      </c>
      <c r="I2572" s="1">
        <v>45918</v>
      </c>
      <c r="J2572" s="1" t="s">
        <v>285</v>
      </c>
      <c r="K2572" s="3">
        <v>4</v>
      </c>
    </row>
    <row r="2573" spans="1:11">
      <c r="A2573" s="1">
        <v>45916</v>
      </c>
      <c r="B2573" t="s">
        <v>1983</v>
      </c>
      <c r="C2573">
        <v>3.7879999999999998</v>
      </c>
      <c r="I2573" s="1">
        <v>45918</v>
      </c>
      <c r="J2573" s="1" t="s">
        <v>286</v>
      </c>
      <c r="K2573" s="3">
        <v>11499.29</v>
      </c>
    </row>
    <row r="2574" spans="1:11">
      <c r="A2574" s="1">
        <v>45915</v>
      </c>
      <c r="B2574" t="s">
        <v>1974</v>
      </c>
      <c r="C2574">
        <v>2.6640000000000001</v>
      </c>
      <c r="I2574" s="1">
        <v>45918</v>
      </c>
      <c r="J2574" s="1" t="s">
        <v>287</v>
      </c>
      <c r="K2574" s="3">
        <v>161038.79</v>
      </c>
    </row>
    <row r="2575" spans="1:11">
      <c r="A2575" s="1">
        <v>45915</v>
      </c>
      <c r="B2575" t="s">
        <v>1975</v>
      </c>
      <c r="C2575">
        <v>2.7090000000000001</v>
      </c>
      <c r="I2575" s="1">
        <v>45918</v>
      </c>
      <c r="J2575" s="1" t="s">
        <v>288</v>
      </c>
      <c r="K2575" s="3">
        <v>-68622.210000000006</v>
      </c>
    </row>
    <row r="2576" spans="1:11">
      <c r="A2576" s="1">
        <v>45915</v>
      </c>
      <c r="B2576" t="s">
        <v>1976</v>
      </c>
      <c r="C2576">
        <v>2.7679999999999998</v>
      </c>
      <c r="I2576" s="1">
        <v>45918</v>
      </c>
      <c r="J2576" s="1" t="s">
        <v>289</v>
      </c>
      <c r="K2576" s="3">
        <v>9</v>
      </c>
    </row>
    <row r="2577" spans="1:11">
      <c r="A2577" s="1">
        <v>45915</v>
      </c>
      <c r="B2577" t="s">
        <v>1977</v>
      </c>
      <c r="C2577">
        <v>2.8940000000000001</v>
      </c>
      <c r="I2577" s="1">
        <v>45918</v>
      </c>
      <c r="J2577" s="1" t="s">
        <v>290</v>
      </c>
      <c r="K2577" s="3">
        <v>9</v>
      </c>
    </row>
    <row r="2578" spans="1:11">
      <c r="A2578" s="1">
        <v>45915</v>
      </c>
      <c r="B2578" t="s">
        <v>1978</v>
      </c>
      <c r="C2578">
        <v>3.0209999999999999</v>
      </c>
      <c r="I2578" s="1">
        <v>45918</v>
      </c>
      <c r="J2578" s="1" t="s">
        <v>107</v>
      </c>
      <c r="K2578" s="3">
        <v>4663519997704</v>
      </c>
    </row>
    <row r="2579" spans="1:11">
      <c r="A2579" s="1">
        <v>45915</v>
      </c>
      <c r="B2579" t="s">
        <v>1979</v>
      </c>
      <c r="C2579">
        <v>3.3610000000000002</v>
      </c>
      <c r="I2579" s="1">
        <v>45917</v>
      </c>
      <c r="J2579" s="1" t="s">
        <v>107</v>
      </c>
      <c r="K2579" s="3">
        <v>3145734338755</v>
      </c>
    </row>
    <row r="2580" spans="1:11">
      <c r="A2580" s="1">
        <v>45915</v>
      </c>
      <c r="B2580" t="s">
        <v>1980</v>
      </c>
      <c r="C2580">
        <v>3.5590000000000002</v>
      </c>
      <c r="I2580" s="1">
        <v>45917</v>
      </c>
      <c r="J2580" s="1" t="s">
        <v>282</v>
      </c>
      <c r="K2580" s="3">
        <v>5000</v>
      </c>
    </row>
    <row r="2581" spans="1:11">
      <c r="A2581" s="1">
        <v>45915</v>
      </c>
      <c r="B2581" t="s">
        <v>1981</v>
      </c>
      <c r="C2581">
        <v>3.6429999999999998</v>
      </c>
      <c r="I2581" s="1">
        <v>45917</v>
      </c>
      <c r="J2581" s="1" t="s">
        <v>283</v>
      </c>
      <c r="K2581" s="3">
        <v>7</v>
      </c>
    </row>
    <row r="2582" spans="1:11">
      <c r="A2582" s="1">
        <v>45915</v>
      </c>
      <c r="B2582" t="s">
        <v>1982</v>
      </c>
      <c r="C2582">
        <v>3.6840000000000002</v>
      </c>
      <c r="I2582" s="1">
        <v>45917</v>
      </c>
      <c r="J2582" s="1" t="s">
        <v>284</v>
      </c>
      <c r="K2582" s="3">
        <v>8003.47</v>
      </c>
    </row>
    <row r="2583" spans="1:11">
      <c r="A2583" s="1">
        <v>45915</v>
      </c>
      <c r="B2583" t="s">
        <v>1983</v>
      </c>
      <c r="C2583">
        <v>3.786</v>
      </c>
      <c r="I2583" s="1">
        <v>45917</v>
      </c>
      <c r="J2583" s="1" t="s">
        <v>285</v>
      </c>
      <c r="K2583" s="3">
        <v>4</v>
      </c>
    </row>
    <row r="2584" spans="1:11">
      <c r="A2584" s="1">
        <v>45912</v>
      </c>
      <c r="B2584" t="s">
        <v>1974</v>
      </c>
      <c r="C2584">
        <v>2.66</v>
      </c>
      <c r="I2584" s="1">
        <v>45917</v>
      </c>
      <c r="J2584" s="1" t="s">
        <v>286</v>
      </c>
      <c r="K2584" s="3">
        <v>6700.48</v>
      </c>
    </row>
    <row r="2585" spans="1:11">
      <c r="A2585" s="1">
        <v>45912</v>
      </c>
      <c r="B2585" t="s">
        <v>1975</v>
      </c>
      <c r="C2585">
        <v>2.702</v>
      </c>
      <c r="I2585" s="1">
        <v>45917</v>
      </c>
      <c r="J2585" s="1" t="s">
        <v>287</v>
      </c>
      <c r="K2585" s="3">
        <v>168170.86</v>
      </c>
    </row>
    <row r="2586" spans="1:11">
      <c r="A2586" s="1">
        <v>45912</v>
      </c>
      <c r="B2586" t="s">
        <v>1976</v>
      </c>
      <c r="C2586">
        <v>2.7650000000000001</v>
      </c>
      <c r="I2586" s="1">
        <v>45917</v>
      </c>
      <c r="J2586" s="1" t="s">
        <v>288</v>
      </c>
      <c r="K2586" s="3">
        <v>-77228.92</v>
      </c>
    </row>
    <row r="2587" spans="1:11">
      <c r="A2587" s="1">
        <v>45912</v>
      </c>
      <c r="B2587" t="s">
        <v>1977</v>
      </c>
      <c r="C2587">
        <v>2.891</v>
      </c>
      <c r="I2587" s="1">
        <v>45917</v>
      </c>
      <c r="J2587" s="1" t="s">
        <v>289</v>
      </c>
      <c r="K2587" s="3">
        <v>8</v>
      </c>
    </row>
    <row r="2588" spans="1:11">
      <c r="A2588" s="1">
        <v>45912</v>
      </c>
      <c r="B2588" t="s">
        <v>1978</v>
      </c>
      <c r="C2588">
        <v>3.0169999999999999</v>
      </c>
      <c r="I2588" s="1">
        <v>45917</v>
      </c>
      <c r="J2588" s="1" t="s">
        <v>290</v>
      </c>
      <c r="K2588" s="3">
        <v>8</v>
      </c>
    </row>
    <row r="2589" spans="1:11">
      <c r="A2589" s="1">
        <v>45912</v>
      </c>
      <c r="B2589" t="s">
        <v>1979</v>
      </c>
      <c r="C2589">
        <v>3.3719999999999999</v>
      </c>
      <c r="I2589" s="1">
        <v>45916</v>
      </c>
      <c r="J2589" s="1" t="s">
        <v>107</v>
      </c>
      <c r="K2589" s="3">
        <v>6202958945691</v>
      </c>
    </row>
    <row r="2590" spans="1:11">
      <c r="A2590" s="1">
        <v>45912</v>
      </c>
      <c r="B2590" t="s">
        <v>1980</v>
      </c>
      <c r="C2590">
        <v>3.5640000000000001</v>
      </c>
      <c r="I2590" s="1">
        <v>45916</v>
      </c>
      <c r="J2590" s="1" t="s">
        <v>282</v>
      </c>
      <c r="K2590" s="3">
        <v>6000</v>
      </c>
    </row>
    <row r="2591" spans="1:11">
      <c r="A2591" s="1">
        <v>45912</v>
      </c>
      <c r="B2591" t="s">
        <v>1981</v>
      </c>
      <c r="C2591">
        <v>3.64</v>
      </c>
      <c r="I2591" s="1">
        <v>45916</v>
      </c>
      <c r="J2591" s="1" t="s">
        <v>283</v>
      </c>
      <c r="K2591" s="3">
        <v>7</v>
      </c>
    </row>
    <row r="2592" spans="1:11">
      <c r="A2592" s="1">
        <v>45912</v>
      </c>
      <c r="B2592" t="s">
        <v>1982</v>
      </c>
      <c r="C2592">
        <v>3.681</v>
      </c>
      <c r="I2592" s="1">
        <v>45916</v>
      </c>
      <c r="J2592" s="1" t="s">
        <v>284</v>
      </c>
      <c r="K2592" s="3">
        <v>17953.52</v>
      </c>
    </row>
    <row r="2593" spans="1:11">
      <c r="A2593" s="1">
        <v>45912</v>
      </c>
      <c r="B2593" t="s">
        <v>1983</v>
      </c>
      <c r="C2593">
        <v>3.7810000000000001</v>
      </c>
      <c r="I2593" s="1">
        <v>45916</v>
      </c>
      <c r="J2593" s="1" t="s">
        <v>285</v>
      </c>
      <c r="K2593" s="3">
        <v>4</v>
      </c>
    </row>
    <row r="2594" spans="1:11">
      <c r="A2594" s="1">
        <v>45911</v>
      </c>
      <c r="B2594" t="s">
        <v>1974</v>
      </c>
      <c r="C2594">
        <v>2.66</v>
      </c>
      <c r="I2594" s="1">
        <v>45916</v>
      </c>
      <c r="J2594" s="1" t="s">
        <v>286</v>
      </c>
      <c r="K2594" s="3">
        <v>3451.83</v>
      </c>
    </row>
    <row r="2595" spans="1:11">
      <c r="A2595" s="1">
        <v>45911</v>
      </c>
      <c r="B2595" t="s">
        <v>1975</v>
      </c>
      <c r="C2595">
        <v>2.702</v>
      </c>
      <c r="I2595" s="1">
        <v>45916</v>
      </c>
      <c r="J2595" s="1" t="s">
        <v>287</v>
      </c>
      <c r="K2595" s="3">
        <v>166867.87</v>
      </c>
    </row>
    <row r="2596" spans="1:11">
      <c r="A2596" s="1">
        <v>45911</v>
      </c>
      <c r="B2596" t="s">
        <v>1976</v>
      </c>
      <c r="C2596">
        <v>2.7650000000000001</v>
      </c>
      <c r="I2596" s="1">
        <v>45916</v>
      </c>
      <c r="J2596" s="1" t="s">
        <v>288</v>
      </c>
      <c r="K2596" s="3">
        <v>-77209.59</v>
      </c>
    </row>
    <row r="2597" spans="1:11">
      <c r="A2597" s="1">
        <v>45911</v>
      </c>
      <c r="B2597" t="s">
        <v>1977</v>
      </c>
      <c r="C2597">
        <v>2.887</v>
      </c>
      <c r="I2597" s="1">
        <v>45916</v>
      </c>
      <c r="J2597" s="1" t="s">
        <v>289</v>
      </c>
      <c r="K2597" s="3">
        <v>13</v>
      </c>
    </row>
    <row r="2598" spans="1:11">
      <c r="A2598" s="1">
        <v>45911</v>
      </c>
      <c r="B2598" t="s">
        <v>1978</v>
      </c>
      <c r="C2598">
        <v>3.01</v>
      </c>
      <c r="I2598" s="1">
        <v>45916</v>
      </c>
      <c r="J2598" s="1" t="s">
        <v>290</v>
      </c>
      <c r="K2598" s="3">
        <v>13</v>
      </c>
    </row>
    <row r="2599" spans="1:11">
      <c r="A2599" s="1">
        <v>45911</v>
      </c>
      <c r="B2599" t="s">
        <v>1979</v>
      </c>
      <c r="C2599">
        <v>3.3690000000000002</v>
      </c>
      <c r="I2599" s="1">
        <v>45915</v>
      </c>
      <c r="J2599" s="1" t="s">
        <v>107</v>
      </c>
      <c r="K2599" s="3">
        <v>6202958945691</v>
      </c>
    </row>
    <row r="2600" spans="1:11">
      <c r="A2600" s="1">
        <v>45911</v>
      </c>
      <c r="B2600" t="s">
        <v>1980</v>
      </c>
      <c r="C2600">
        <v>3.5590000000000002</v>
      </c>
      <c r="I2600" s="1">
        <v>45915</v>
      </c>
      <c r="J2600" s="1" t="s">
        <v>282</v>
      </c>
      <c r="K2600" s="3">
        <v>6000</v>
      </c>
    </row>
    <row r="2601" spans="1:11">
      <c r="A2601" s="1">
        <v>45911</v>
      </c>
      <c r="B2601" t="s">
        <v>1981</v>
      </c>
      <c r="C2601">
        <v>3.637</v>
      </c>
      <c r="I2601" s="1">
        <v>45915</v>
      </c>
      <c r="J2601" s="1" t="s">
        <v>283</v>
      </c>
      <c r="K2601" s="3">
        <v>7</v>
      </c>
    </row>
    <row r="2602" spans="1:11">
      <c r="A2602" s="1">
        <v>45911</v>
      </c>
      <c r="B2602" t="s">
        <v>1982</v>
      </c>
      <c r="C2602">
        <v>3.681</v>
      </c>
      <c r="I2602" s="1">
        <v>45915</v>
      </c>
      <c r="J2602" s="1" t="s">
        <v>284</v>
      </c>
      <c r="K2602" s="3">
        <v>18435.27</v>
      </c>
    </row>
    <row r="2603" spans="1:11">
      <c r="A2603" s="1">
        <v>45911</v>
      </c>
      <c r="B2603" t="s">
        <v>1983</v>
      </c>
      <c r="C2603">
        <v>3.7770000000000001</v>
      </c>
      <c r="I2603" s="1">
        <v>45915</v>
      </c>
      <c r="J2603" s="1" t="s">
        <v>285</v>
      </c>
      <c r="K2603" s="3">
        <v>4</v>
      </c>
    </row>
    <row r="2604" spans="1:11">
      <c r="A2604" s="1">
        <v>45910</v>
      </c>
      <c r="B2604" t="s">
        <v>1982</v>
      </c>
      <c r="C2604">
        <v>3.677</v>
      </c>
      <c r="I2604" s="1">
        <v>45915</v>
      </c>
      <c r="J2604" s="1" t="s">
        <v>286</v>
      </c>
      <c r="K2604" s="3">
        <v>14804.7</v>
      </c>
    </row>
    <row r="2605" spans="1:11">
      <c r="A2605" s="1">
        <v>45910</v>
      </c>
      <c r="B2605" t="s">
        <v>1983</v>
      </c>
      <c r="C2605">
        <v>3.7730000000000001</v>
      </c>
      <c r="I2605" s="1">
        <v>45915</v>
      </c>
      <c r="J2605" s="1" t="s">
        <v>287</v>
      </c>
      <c r="K2605" s="3">
        <v>152366.18</v>
      </c>
    </row>
    <row r="2606" spans="1:11">
      <c r="A2606" s="1">
        <v>45910</v>
      </c>
      <c r="B2606" t="s">
        <v>1974</v>
      </c>
      <c r="C2606">
        <v>2.6560000000000001</v>
      </c>
      <c r="I2606" s="1">
        <v>45915</v>
      </c>
      <c r="J2606" s="1" t="s">
        <v>288</v>
      </c>
      <c r="K2606" s="3">
        <v>-68372.89</v>
      </c>
    </row>
    <row r="2607" spans="1:11">
      <c r="A2607" s="1">
        <v>45910</v>
      </c>
      <c r="B2607" t="s">
        <v>1975</v>
      </c>
      <c r="C2607">
        <v>2.698</v>
      </c>
      <c r="I2607" s="1">
        <v>45915</v>
      </c>
      <c r="J2607" s="1" t="s">
        <v>289</v>
      </c>
      <c r="K2607" s="3">
        <v>13</v>
      </c>
    </row>
    <row r="2608" spans="1:11">
      <c r="A2608" s="1">
        <v>45910</v>
      </c>
      <c r="B2608" t="s">
        <v>1976</v>
      </c>
      <c r="C2608">
        <v>2.76</v>
      </c>
      <c r="I2608" s="1">
        <v>45915</v>
      </c>
      <c r="J2608" s="1" t="s">
        <v>290</v>
      </c>
      <c r="K2608" s="3">
        <v>13</v>
      </c>
    </row>
    <row r="2609" spans="1:11">
      <c r="A2609" s="1">
        <v>45910</v>
      </c>
      <c r="B2609" t="s">
        <v>1977</v>
      </c>
      <c r="C2609">
        <v>2.8889999999999998</v>
      </c>
      <c r="I2609" s="1">
        <v>45914</v>
      </c>
      <c r="J2609" s="1" t="s">
        <v>107</v>
      </c>
      <c r="K2609" s="3">
        <v>6983650495006</v>
      </c>
    </row>
    <row r="2610" spans="1:11">
      <c r="A2610" s="1">
        <v>45910</v>
      </c>
      <c r="B2610" t="s">
        <v>1978</v>
      </c>
      <c r="C2610">
        <v>3.0179999999999998</v>
      </c>
      <c r="I2610" s="1">
        <v>45912</v>
      </c>
      <c r="J2610" s="1" t="s">
        <v>282</v>
      </c>
      <c r="K2610" s="3">
        <v>10000</v>
      </c>
    </row>
    <row r="2611" spans="1:11">
      <c r="A2611" s="1">
        <v>45910</v>
      </c>
      <c r="B2611" t="s">
        <v>1979</v>
      </c>
      <c r="C2611">
        <v>3.3620000000000001</v>
      </c>
      <c r="I2611" s="1">
        <v>45912</v>
      </c>
      <c r="J2611" s="1" t="s">
        <v>283</v>
      </c>
      <c r="K2611" s="3">
        <v>7</v>
      </c>
    </row>
    <row r="2612" spans="1:11">
      <c r="A2612" s="1">
        <v>45910</v>
      </c>
      <c r="B2612" t="s">
        <v>1980</v>
      </c>
      <c r="C2612">
        <v>3.544</v>
      </c>
      <c r="I2612" s="1">
        <v>45912</v>
      </c>
      <c r="J2612" s="1" t="s">
        <v>284</v>
      </c>
      <c r="K2612" s="3">
        <v>13847.88</v>
      </c>
    </row>
    <row r="2613" spans="1:11">
      <c r="A2613" s="1">
        <v>45910</v>
      </c>
      <c r="B2613" t="s">
        <v>1981</v>
      </c>
      <c r="C2613">
        <v>3.6230000000000002</v>
      </c>
      <c r="I2613" s="1">
        <v>45912</v>
      </c>
      <c r="J2613" s="1" t="s">
        <v>285</v>
      </c>
      <c r="K2613" s="3">
        <v>4</v>
      </c>
    </row>
    <row r="2614" spans="1:11">
      <c r="A2614" s="1">
        <v>45909</v>
      </c>
      <c r="B2614" t="s">
        <v>1974</v>
      </c>
      <c r="C2614">
        <v>2.6560000000000001</v>
      </c>
      <c r="I2614" s="1">
        <v>45912</v>
      </c>
      <c r="J2614" s="1" t="s">
        <v>286</v>
      </c>
      <c r="K2614" s="3">
        <v>6789.38</v>
      </c>
    </row>
    <row r="2615" spans="1:11">
      <c r="A2615" s="1">
        <v>45909</v>
      </c>
      <c r="B2615" t="s">
        <v>1975</v>
      </c>
      <c r="C2615">
        <v>2.698</v>
      </c>
      <c r="I2615" s="1">
        <v>45912</v>
      </c>
      <c r="J2615" s="1" t="s">
        <v>287</v>
      </c>
      <c r="K2615" s="3">
        <v>148735.60999999999</v>
      </c>
    </row>
    <row r="2616" spans="1:11">
      <c r="A2616" s="1">
        <v>45909</v>
      </c>
      <c r="B2616" t="s">
        <v>1976</v>
      </c>
      <c r="C2616">
        <v>2.76</v>
      </c>
      <c r="I2616" s="1">
        <v>45912</v>
      </c>
      <c r="J2616" s="1" t="s">
        <v>288</v>
      </c>
      <c r="K2616" s="3">
        <v>-61294.82</v>
      </c>
    </row>
    <row r="2617" spans="1:11">
      <c r="A2617" s="1">
        <v>45909</v>
      </c>
      <c r="B2617" t="s">
        <v>1977</v>
      </c>
      <c r="C2617">
        <v>2.8839999999999999</v>
      </c>
      <c r="I2617" s="1">
        <v>45912</v>
      </c>
      <c r="J2617" s="1" t="s">
        <v>289</v>
      </c>
      <c r="K2617" s="3">
        <v>10</v>
      </c>
    </row>
    <row r="2618" spans="1:11">
      <c r="A2618" s="1">
        <v>45909</v>
      </c>
      <c r="B2618" t="s">
        <v>1978</v>
      </c>
      <c r="C2618">
        <v>3.0070000000000001</v>
      </c>
      <c r="I2618" s="1">
        <v>45912</v>
      </c>
      <c r="J2618" s="1" t="s">
        <v>290</v>
      </c>
      <c r="K2618" s="3">
        <v>10</v>
      </c>
    </row>
    <row r="2619" spans="1:11">
      <c r="A2619" s="1">
        <v>45909</v>
      </c>
      <c r="B2619" t="s">
        <v>1979</v>
      </c>
      <c r="C2619">
        <v>3.3610000000000002</v>
      </c>
      <c r="I2619" s="1">
        <v>45911</v>
      </c>
      <c r="J2619" s="1" t="s">
        <v>282</v>
      </c>
      <c r="K2619" s="3">
        <v>1000</v>
      </c>
    </row>
    <row r="2620" spans="1:11">
      <c r="A2620" s="1">
        <v>45909</v>
      </c>
      <c r="B2620" t="s">
        <v>1980</v>
      </c>
      <c r="C2620">
        <v>3.5419999999999998</v>
      </c>
      <c r="I2620" s="1">
        <v>45911</v>
      </c>
      <c r="J2620" s="1" t="s">
        <v>283</v>
      </c>
      <c r="K2620" s="3">
        <v>7</v>
      </c>
    </row>
    <row r="2621" spans="1:11">
      <c r="A2621" s="1">
        <v>45909</v>
      </c>
      <c r="B2621" t="s">
        <v>1981</v>
      </c>
      <c r="C2621">
        <v>3.621</v>
      </c>
      <c r="I2621" s="1">
        <v>45911</v>
      </c>
      <c r="J2621" s="1" t="s">
        <v>284</v>
      </c>
      <c r="K2621" s="3">
        <v>4093.62</v>
      </c>
    </row>
    <row r="2622" spans="1:11">
      <c r="A2622" s="1">
        <v>45909</v>
      </c>
      <c r="B2622" t="s">
        <v>1982</v>
      </c>
      <c r="C2622">
        <v>3.677</v>
      </c>
      <c r="I2622" s="1">
        <v>45911</v>
      </c>
      <c r="J2622" s="1" t="s">
        <v>285</v>
      </c>
      <c r="K2622" s="3">
        <v>4</v>
      </c>
    </row>
    <row r="2623" spans="1:11">
      <c r="A2623" s="1">
        <v>45909</v>
      </c>
      <c r="B2623" t="s">
        <v>1983</v>
      </c>
      <c r="C2623">
        <v>3.7730000000000001</v>
      </c>
      <c r="I2623" s="1">
        <v>45911</v>
      </c>
      <c r="J2623" s="1" t="s">
        <v>286</v>
      </c>
      <c r="K2623" s="3">
        <v>2061.5500000000002</v>
      </c>
    </row>
    <row r="2624" spans="1:11">
      <c r="A2624" s="1">
        <v>45908</v>
      </c>
      <c r="B2624" t="s">
        <v>1974</v>
      </c>
      <c r="C2624">
        <v>2.6480000000000001</v>
      </c>
      <c r="I2624" s="1">
        <v>45911</v>
      </c>
      <c r="J2624" s="1" t="s">
        <v>287</v>
      </c>
      <c r="K2624" s="3">
        <v>141677.10999999999</v>
      </c>
    </row>
    <row r="2625" spans="1:11">
      <c r="A2625" s="1">
        <v>45908</v>
      </c>
      <c r="B2625" t="s">
        <v>1975</v>
      </c>
      <c r="C2625">
        <v>2.69</v>
      </c>
      <c r="I2625" s="1">
        <v>45911</v>
      </c>
      <c r="J2625" s="1" t="s">
        <v>288</v>
      </c>
      <c r="K2625" s="3">
        <v>-43245.68</v>
      </c>
    </row>
    <row r="2626" spans="1:11">
      <c r="A2626" s="1">
        <v>45908</v>
      </c>
      <c r="B2626" t="s">
        <v>1976</v>
      </c>
      <c r="C2626">
        <v>2.7519999999999998</v>
      </c>
      <c r="I2626" s="1">
        <v>45911</v>
      </c>
      <c r="J2626" s="1" t="s">
        <v>289</v>
      </c>
      <c r="K2626" s="3">
        <v>8</v>
      </c>
    </row>
    <row r="2627" spans="1:11">
      <c r="A2627" s="1">
        <v>45908</v>
      </c>
      <c r="B2627" t="s">
        <v>1977</v>
      </c>
      <c r="C2627">
        <v>2.88</v>
      </c>
      <c r="I2627" s="1">
        <v>45911</v>
      </c>
      <c r="J2627" s="1" t="s">
        <v>290</v>
      </c>
      <c r="K2627" s="3">
        <v>8</v>
      </c>
    </row>
    <row r="2628" spans="1:11">
      <c r="A2628" s="1">
        <v>45908</v>
      </c>
      <c r="B2628" t="s">
        <v>1978</v>
      </c>
      <c r="C2628">
        <v>3.0070000000000001</v>
      </c>
      <c r="I2628" s="1">
        <v>45911</v>
      </c>
      <c r="J2628" s="1" t="s">
        <v>107</v>
      </c>
      <c r="K2628" s="3">
        <v>6482788339502</v>
      </c>
    </row>
    <row r="2629" spans="1:11">
      <c r="A2629" s="1">
        <v>45908</v>
      </c>
      <c r="B2629" t="s">
        <v>1979</v>
      </c>
      <c r="C2629">
        <v>3.3620000000000001</v>
      </c>
      <c r="I2629" s="1">
        <v>45910</v>
      </c>
      <c r="J2629" s="1" t="s">
        <v>282</v>
      </c>
      <c r="K2629" s="3">
        <v>1000</v>
      </c>
    </row>
    <row r="2630" spans="1:11">
      <c r="A2630" s="1">
        <v>45908</v>
      </c>
      <c r="B2630" t="s">
        <v>1980</v>
      </c>
      <c r="C2630">
        <v>3.54</v>
      </c>
      <c r="I2630" s="1">
        <v>45910</v>
      </c>
      <c r="J2630" s="1" t="s">
        <v>283</v>
      </c>
      <c r="K2630" s="3">
        <v>7</v>
      </c>
    </row>
    <row r="2631" spans="1:11">
      <c r="A2631" s="1">
        <v>45908</v>
      </c>
      <c r="B2631" t="s">
        <v>1981</v>
      </c>
      <c r="C2631">
        <v>3.62</v>
      </c>
      <c r="I2631" s="1">
        <v>45910</v>
      </c>
      <c r="J2631" s="1" t="s">
        <v>284</v>
      </c>
      <c r="K2631" s="3">
        <v>3984.7</v>
      </c>
    </row>
    <row r="2632" spans="1:11">
      <c r="A2632" s="1">
        <v>45908</v>
      </c>
      <c r="B2632" t="s">
        <v>1982</v>
      </c>
      <c r="C2632">
        <v>3.677</v>
      </c>
      <c r="I2632" s="1">
        <v>45910</v>
      </c>
      <c r="J2632" s="1" t="s">
        <v>285</v>
      </c>
      <c r="K2632" s="3">
        <v>4</v>
      </c>
    </row>
    <row r="2633" spans="1:11">
      <c r="A2633" s="1">
        <v>45908</v>
      </c>
      <c r="B2633" t="s">
        <v>1983</v>
      </c>
      <c r="C2633">
        <v>3.7730000000000001</v>
      </c>
      <c r="I2633" s="1">
        <v>45910</v>
      </c>
      <c r="J2633" s="1" t="s">
        <v>286</v>
      </c>
      <c r="K2633" s="3">
        <v>21418.3</v>
      </c>
    </row>
    <row r="2634" spans="1:11">
      <c r="A2634" s="1">
        <v>45905</v>
      </c>
      <c r="B2634" t="s">
        <v>1974</v>
      </c>
      <c r="C2634">
        <v>2.6480000000000001</v>
      </c>
      <c r="I2634" s="1">
        <v>45910</v>
      </c>
      <c r="J2634" s="1" t="s">
        <v>287</v>
      </c>
      <c r="K2634" s="3">
        <v>139645.04</v>
      </c>
    </row>
    <row r="2635" spans="1:11">
      <c r="A2635" s="1">
        <v>45905</v>
      </c>
      <c r="B2635" t="s">
        <v>1975</v>
      </c>
      <c r="C2635">
        <v>2.69</v>
      </c>
      <c r="I2635" s="1">
        <v>45910</v>
      </c>
      <c r="J2635" s="1" t="s">
        <v>288</v>
      </c>
      <c r="K2635" s="3">
        <v>-33807.94</v>
      </c>
    </row>
    <row r="2636" spans="1:11">
      <c r="A2636" s="1">
        <v>45905</v>
      </c>
      <c r="B2636" t="s">
        <v>1976</v>
      </c>
      <c r="C2636">
        <v>2.7519999999999998</v>
      </c>
      <c r="I2636" s="1">
        <v>45910</v>
      </c>
      <c r="J2636" s="1" t="s">
        <v>289</v>
      </c>
      <c r="K2636" s="3">
        <v>9</v>
      </c>
    </row>
    <row r="2637" spans="1:11">
      <c r="A2637" s="1">
        <v>45905</v>
      </c>
      <c r="B2637" t="s">
        <v>1977</v>
      </c>
      <c r="C2637">
        <v>2.88</v>
      </c>
      <c r="I2637" s="1">
        <v>45910</v>
      </c>
      <c r="J2637" s="1" t="s">
        <v>290</v>
      </c>
      <c r="K2637" s="3">
        <v>9</v>
      </c>
    </row>
    <row r="2638" spans="1:11">
      <c r="A2638" s="1">
        <v>45905</v>
      </c>
      <c r="B2638" t="s">
        <v>1978</v>
      </c>
      <c r="C2638">
        <v>3.0070000000000001</v>
      </c>
      <c r="I2638" s="1">
        <v>45910</v>
      </c>
      <c r="J2638" s="1" t="s">
        <v>107</v>
      </c>
      <c r="K2638" s="3">
        <v>6482788339502</v>
      </c>
    </row>
    <row r="2639" spans="1:11">
      <c r="A2639" s="1">
        <v>45905</v>
      </c>
      <c r="B2639" t="s">
        <v>1979</v>
      </c>
      <c r="C2639">
        <v>3.3610000000000002</v>
      </c>
      <c r="I2639" s="1">
        <v>45909</v>
      </c>
      <c r="J2639" s="1" t="s">
        <v>282</v>
      </c>
      <c r="K2639" s="3">
        <v>1000</v>
      </c>
    </row>
    <row r="2640" spans="1:11">
      <c r="A2640" s="1">
        <v>45905</v>
      </c>
      <c r="B2640" t="s">
        <v>1980</v>
      </c>
      <c r="C2640">
        <v>3.5379999999999998</v>
      </c>
      <c r="I2640" s="1">
        <v>45909</v>
      </c>
      <c r="J2640" s="1" t="s">
        <v>283</v>
      </c>
      <c r="K2640" s="3">
        <v>7</v>
      </c>
    </row>
    <row r="2641" spans="1:11">
      <c r="A2641" s="1">
        <v>45905</v>
      </c>
      <c r="B2641" t="s">
        <v>1981</v>
      </c>
      <c r="C2641">
        <v>3.62</v>
      </c>
      <c r="I2641" s="1">
        <v>45909</v>
      </c>
      <c r="J2641" s="1" t="s">
        <v>284</v>
      </c>
      <c r="K2641" s="3">
        <v>6000</v>
      </c>
    </row>
    <row r="2642" spans="1:11">
      <c r="A2642" s="1">
        <v>45905</v>
      </c>
      <c r="B2642" t="s">
        <v>1982</v>
      </c>
      <c r="C2642">
        <v>3.677</v>
      </c>
      <c r="I2642" s="1">
        <v>45909</v>
      </c>
      <c r="J2642" s="1" t="s">
        <v>285</v>
      </c>
      <c r="K2642" s="3">
        <v>4</v>
      </c>
    </row>
    <row r="2643" spans="1:11">
      <c r="A2643" s="1">
        <v>45905</v>
      </c>
      <c r="B2643" t="s">
        <v>1983</v>
      </c>
      <c r="C2643">
        <v>3.7730000000000001</v>
      </c>
      <c r="I2643" s="1">
        <v>45909</v>
      </c>
      <c r="J2643" s="1" t="s">
        <v>286</v>
      </c>
      <c r="K2643" s="3">
        <v>340.06</v>
      </c>
    </row>
    <row r="2644" spans="1:11">
      <c r="A2644" s="1">
        <v>45904</v>
      </c>
      <c r="B2644" t="s">
        <v>1974</v>
      </c>
      <c r="C2644">
        <v>2.6480000000000001</v>
      </c>
      <c r="I2644" s="1">
        <v>45909</v>
      </c>
      <c r="J2644" s="1" t="s">
        <v>287</v>
      </c>
      <c r="K2644" s="3">
        <v>157078.64000000001</v>
      </c>
    </row>
    <row r="2645" spans="1:11">
      <c r="A2645" s="1">
        <v>45904</v>
      </c>
      <c r="B2645" t="s">
        <v>1975</v>
      </c>
      <c r="C2645">
        <v>2.69</v>
      </c>
      <c r="I2645" s="1">
        <v>45909</v>
      </c>
      <c r="J2645" s="1" t="s">
        <v>288</v>
      </c>
      <c r="K2645" s="3">
        <v>-48525.760000000002</v>
      </c>
    </row>
    <row r="2646" spans="1:11">
      <c r="A2646" s="1">
        <v>45904</v>
      </c>
      <c r="B2646" t="s">
        <v>1976</v>
      </c>
      <c r="C2646">
        <v>2.7519999999999998</v>
      </c>
      <c r="I2646" s="1">
        <v>45909</v>
      </c>
      <c r="J2646" s="1" t="s">
        <v>289</v>
      </c>
      <c r="K2646" s="3">
        <v>9</v>
      </c>
    </row>
    <row r="2647" spans="1:11">
      <c r="A2647" s="1">
        <v>45904</v>
      </c>
      <c r="B2647" t="s">
        <v>1977</v>
      </c>
      <c r="C2647">
        <v>2.88</v>
      </c>
      <c r="I2647" s="1">
        <v>45909</v>
      </c>
      <c r="J2647" s="1" t="s">
        <v>290</v>
      </c>
      <c r="K2647" s="3">
        <v>9</v>
      </c>
    </row>
    <row r="2648" spans="1:11">
      <c r="A2648" s="1">
        <v>45904</v>
      </c>
      <c r="B2648" t="s">
        <v>1978</v>
      </c>
      <c r="C2648">
        <v>3.0070000000000001</v>
      </c>
      <c r="I2648" s="1">
        <v>45909</v>
      </c>
      <c r="J2648" s="1" t="s">
        <v>107</v>
      </c>
      <c r="K2648" s="3">
        <v>6482788339502</v>
      </c>
    </row>
    <row r="2649" spans="1:11">
      <c r="A2649" s="1">
        <v>45904</v>
      </c>
      <c r="B2649" t="s">
        <v>1979</v>
      </c>
      <c r="C2649">
        <v>3.3780000000000001</v>
      </c>
      <c r="I2649" s="1">
        <v>45908</v>
      </c>
      <c r="J2649" s="1" t="s">
        <v>282</v>
      </c>
      <c r="K2649" s="3">
        <v>15000</v>
      </c>
    </row>
    <row r="2650" spans="1:11">
      <c r="A2650" s="1">
        <v>45904</v>
      </c>
      <c r="B2650" t="s">
        <v>1980</v>
      </c>
      <c r="C2650">
        <v>3.55</v>
      </c>
      <c r="I2650" s="1">
        <v>45908</v>
      </c>
      <c r="J2650" s="1" t="s">
        <v>283</v>
      </c>
      <c r="K2650" s="3">
        <v>7</v>
      </c>
    </row>
    <row r="2651" spans="1:11">
      <c r="A2651" s="1">
        <v>45904</v>
      </c>
      <c r="B2651" t="s">
        <v>1981</v>
      </c>
      <c r="C2651">
        <v>3.62</v>
      </c>
      <c r="I2651" s="1">
        <v>45908</v>
      </c>
      <c r="J2651" s="1" t="s">
        <v>284</v>
      </c>
      <c r="K2651" s="3">
        <v>36076.120000000003</v>
      </c>
    </row>
    <row r="2652" spans="1:11">
      <c r="A2652" s="1">
        <v>45904</v>
      </c>
      <c r="B2652" t="s">
        <v>1982</v>
      </c>
      <c r="C2652">
        <v>3.677</v>
      </c>
      <c r="I2652" s="1">
        <v>45908</v>
      </c>
      <c r="J2652" s="1" t="s">
        <v>285</v>
      </c>
      <c r="K2652" s="3">
        <v>4</v>
      </c>
    </row>
    <row r="2653" spans="1:11">
      <c r="A2653" s="1">
        <v>45904</v>
      </c>
      <c r="B2653" t="s">
        <v>1983</v>
      </c>
      <c r="C2653">
        <v>3.7730000000000001</v>
      </c>
      <c r="I2653" s="1">
        <v>45908</v>
      </c>
      <c r="J2653" s="1" t="s">
        <v>286</v>
      </c>
      <c r="K2653" s="3">
        <v>35596.57</v>
      </c>
    </row>
    <row r="2654" spans="1:11">
      <c r="A2654" s="1">
        <v>45903</v>
      </c>
      <c r="B2654" t="s">
        <v>1974</v>
      </c>
      <c r="C2654">
        <v>2.6309999999999998</v>
      </c>
      <c r="I2654" s="1">
        <v>45908</v>
      </c>
      <c r="J2654" s="1" t="s">
        <v>287</v>
      </c>
      <c r="K2654" s="3">
        <v>151418.70000000001</v>
      </c>
    </row>
    <row r="2655" spans="1:11">
      <c r="A2655" s="1">
        <v>45903</v>
      </c>
      <c r="B2655" t="s">
        <v>1975</v>
      </c>
      <c r="C2655">
        <v>2.673</v>
      </c>
      <c r="I2655" s="1">
        <v>45908</v>
      </c>
      <c r="J2655" s="1" t="s">
        <v>288</v>
      </c>
      <c r="K2655" s="3">
        <v>-45413.99</v>
      </c>
    </row>
    <row r="2656" spans="1:11">
      <c r="A2656" s="1">
        <v>45903</v>
      </c>
      <c r="B2656" t="s">
        <v>1976</v>
      </c>
      <c r="C2656">
        <v>2.7349999999999999</v>
      </c>
      <c r="I2656" s="1">
        <v>45908</v>
      </c>
      <c r="J2656" s="1" t="s">
        <v>289</v>
      </c>
      <c r="K2656" s="3">
        <v>19</v>
      </c>
    </row>
    <row r="2657" spans="1:11">
      <c r="A2657" s="1">
        <v>45903</v>
      </c>
      <c r="B2657" t="s">
        <v>1977</v>
      </c>
      <c r="C2657">
        <v>2.871</v>
      </c>
      <c r="I2657" s="1">
        <v>45908</v>
      </c>
      <c r="J2657" s="1" t="s">
        <v>290</v>
      </c>
      <c r="K2657" s="3">
        <v>19</v>
      </c>
    </row>
    <row r="2658" spans="1:11">
      <c r="A2658" s="1">
        <v>45903</v>
      </c>
      <c r="B2658" t="s">
        <v>1978</v>
      </c>
      <c r="C2658">
        <v>3.0070000000000001</v>
      </c>
      <c r="I2658" s="1">
        <v>45908</v>
      </c>
      <c r="J2658" s="1" t="s">
        <v>107</v>
      </c>
      <c r="K2658" s="3">
        <v>6482788339502</v>
      </c>
    </row>
    <row r="2659" spans="1:11">
      <c r="A2659" s="1">
        <v>45903</v>
      </c>
      <c r="B2659" t="s">
        <v>1979</v>
      </c>
      <c r="C2659">
        <v>3.3860000000000001</v>
      </c>
      <c r="I2659" s="1">
        <v>45907</v>
      </c>
      <c r="J2659" s="1" t="s">
        <v>107</v>
      </c>
      <c r="K2659" s="3">
        <v>6969058190095</v>
      </c>
    </row>
    <row r="2660" spans="1:11">
      <c r="A2660" s="1">
        <v>45903</v>
      </c>
      <c r="B2660" t="s">
        <v>1980</v>
      </c>
      <c r="C2660">
        <v>3.548</v>
      </c>
      <c r="I2660" s="1">
        <v>45905</v>
      </c>
      <c r="J2660" s="1" t="s">
        <v>282</v>
      </c>
      <c r="K2660" s="3">
        <v>1000</v>
      </c>
    </row>
    <row r="2661" spans="1:11">
      <c r="A2661" s="1">
        <v>45903</v>
      </c>
      <c r="B2661" t="s">
        <v>1981</v>
      </c>
      <c r="C2661">
        <v>3.6150000000000002</v>
      </c>
      <c r="I2661" s="1">
        <v>45905</v>
      </c>
      <c r="J2661" s="1" t="s">
        <v>283</v>
      </c>
      <c r="K2661" s="3">
        <v>7</v>
      </c>
    </row>
    <row r="2662" spans="1:11">
      <c r="A2662" s="1">
        <v>45903</v>
      </c>
      <c r="B2662" t="s">
        <v>1982</v>
      </c>
      <c r="C2662">
        <v>3.677</v>
      </c>
      <c r="I2662" s="1">
        <v>45905</v>
      </c>
      <c r="J2662" s="1" t="s">
        <v>284</v>
      </c>
      <c r="K2662" s="3">
        <v>7000</v>
      </c>
    </row>
    <row r="2663" spans="1:11">
      <c r="A2663" s="1">
        <v>45903</v>
      </c>
      <c r="B2663" t="s">
        <v>1983</v>
      </c>
      <c r="C2663">
        <v>3.7650000000000001</v>
      </c>
      <c r="I2663" s="1">
        <v>45905</v>
      </c>
      <c r="J2663" s="1" t="s">
        <v>285</v>
      </c>
      <c r="K2663" s="3">
        <v>4</v>
      </c>
    </row>
    <row r="2664" spans="1:11">
      <c r="A2664" s="1">
        <v>45898</v>
      </c>
      <c r="B2664" t="s">
        <v>1974</v>
      </c>
      <c r="C2664">
        <v>2.6309999999999998</v>
      </c>
      <c r="I2664" s="1">
        <v>45905</v>
      </c>
      <c r="J2664" s="1" t="s">
        <v>286</v>
      </c>
      <c r="K2664" s="3">
        <v>31394.03</v>
      </c>
    </row>
    <row r="2665" spans="1:11">
      <c r="A2665" s="1">
        <v>45898</v>
      </c>
      <c r="B2665" t="s">
        <v>1975</v>
      </c>
      <c r="C2665">
        <v>2.673</v>
      </c>
      <c r="I2665" s="1">
        <v>45905</v>
      </c>
      <c r="J2665" s="1" t="s">
        <v>287</v>
      </c>
      <c r="K2665" s="3">
        <v>150939.15</v>
      </c>
    </row>
    <row r="2666" spans="1:11">
      <c r="A2666" s="1">
        <v>45898</v>
      </c>
      <c r="B2666" t="s">
        <v>1976</v>
      </c>
      <c r="C2666">
        <v>2.7349999999999999</v>
      </c>
      <c r="I2666" s="1">
        <v>45905</v>
      </c>
      <c r="J2666" s="1" t="s">
        <v>288</v>
      </c>
      <c r="K2666" s="3">
        <v>-66205.86</v>
      </c>
    </row>
    <row r="2667" spans="1:11">
      <c r="A2667" s="1">
        <v>45898</v>
      </c>
      <c r="B2667" t="s">
        <v>1977</v>
      </c>
      <c r="C2667">
        <v>2.8730000000000002</v>
      </c>
      <c r="I2667" s="1">
        <v>45905</v>
      </c>
      <c r="J2667" s="1" t="s">
        <v>289</v>
      </c>
      <c r="K2667" s="3">
        <v>7</v>
      </c>
    </row>
    <row r="2668" spans="1:11">
      <c r="A2668" s="1">
        <v>45898</v>
      </c>
      <c r="B2668" t="s">
        <v>1978</v>
      </c>
      <c r="C2668">
        <v>3.01</v>
      </c>
      <c r="I2668" s="1">
        <v>45905</v>
      </c>
      <c r="J2668" s="1" t="s">
        <v>290</v>
      </c>
      <c r="K2668" s="3">
        <v>7</v>
      </c>
    </row>
    <row r="2669" spans="1:11">
      <c r="A2669" s="1">
        <v>45898</v>
      </c>
      <c r="B2669" t="s">
        <v>1979</v>
      </c>
      <c r="C2669">
        <v>3.3919999999999999</v>
      </c>
      <c r="I2669" s="1">
        <v>45904</v>
      </c>
      <c r="J2669" s="1" t="s">
        <v>288</v>
      </c>
      <c r="K2669" s="3">
        <v>-90810.51</v>
      </c>
    </row>
    <row r="2670" spans="1:11">
      <c r="A2670" s="1">
        <v>45898</v>
      </c>
      <c r="B2670" t="s">
        <v>1980</v>
      </c>
      <c r="C2670">
        <v>3.55</v>
      </c>
      <c r="I2670" s="1">
        <v>45904</v>
      </c>
      <c r="J2670" s="1" t="s">
        <v>289</v>
      </c>
      <c r="K2670" s="3">
        <v>11</v>
      </c>
    </row>
    <row r="2671" spans="1:11">
      <c r="A2671" s="1">
        <v>45898</v>
      </c>
      <c r="B2671" t="s">
        <v>1981</v>
      </c>
      <c r="C2671">
        <v>3.6150000000000002</v>
      </c>
      <c r="I2671" s="1">
        <v>45904</v>
      </c>
      <c r="J2671" s="1" t="s">
        <v>290</v>
      </c>
      <c r="K2671" s="3">
        <v>11</v>
      </c>
    </row>
    <row r="2672" spans="1:11">
      <c r="A2672" s="1">
        <v>45898</v>
      </c>
      <c r="B2672" t="s">
        <v>1982</v>
      </c>
      <c r="C2672">
        <v>3.677</v>
      </c>
      <c r="I2672" s="1">
        <v>45904</v>
      </c>
      <c r="J2672" s="1" t="s">
        <v>282</v>
      </c>
      <c r="K2672" s="3">
        <v>2000</v>
      </c>
    </row>
    <row r="2673" spans="1:11">
      <c r="A2673" s="1">
        <v>45898</v>
      </c>
      <c r="B2673" t="s">
        <v>1983</v>
      </c>
      <c r="C2673">
        <v>3.7650000000000001</v>
      </c>
      <c r="I2673" s="1">
        <v>45904</v>
      </c>
      <c r="J2673" s="1" t="s">
        <v>283</v>
      </c>
      <c r="K2673" s="3">
        <v>7</v>
      </c>
    </row>
    <row r="2674" spans="1:11">
      <c r="A2674" s="1">
        <v>45897</v>
      </c>
      <c r="B2674" t="s">
        <v>1974</v>
      </c>
      <c r="C2674">
        <v>2.621</v>
      </c>
      <c r="I2674" s="1">
        <v>45904</v>
      </c>
      <c r="J2674" s="1" t="s">
        <v>284</v>
      </c>
      <c r="K2674" s="3">
        <v>14101</v>
      </c>
    </row>
    <row r="2675" spans="1:11">
      <c r="A2675" s="1">
        <v>45897</v>
      </c>
      <c r="B2675" t="s">
        <v>1975</v>
      </c>
      <c r="C2675">
        <v>2.6629999999999998</v>
      </c>
      <c r="I2675" s="1">
        <v>45904</v>
      </c>
      <c r="J2675" s="1" t="s">
        <v>285</v>
      </c>
      <c r="K2675" s="3">
        <v>4</v>
      </c>
    </row>
    <row r="2676" spans="1:11">
      <c r="A2676" s="1">
        <v>45897</v>
      </c>
      <c r="B2676" t="s">
        <v>1976</v>
      </c>
      <c r="C2676">
        <v>2.7250000000000001</v>
      </c>
      <c r="I2676" s="1">
        <v>45904</v>
      </c>
      <c r="J2676" s="1" t="s">
        <v>286</v>
      </c>
      <c r="K2676" s="3">
        <v>19523.060000000001</v>
      </c>
    </row>
    <row r="2677" spans="1:11">
      <c r="A2677" s="1">
        <v>45897</v>
      </c>
      <c r="B2677" t="s">
        <v>1977</v>
      </c>
      <c r="C2677">
        <v>2.8679999999999999</v>
      </c>
      <c r="I2677" s="1">
        <v>45904</v>
      </c>
      <c r="J2677" s="1" t="s">
        <v>287</v>
      </c>
      <c r="K2677" s="3">
        <v>175333.18</v>
      </c>
    </row>
    <row r="2678" spans="1:11">
      <c r="A2678" s="1">
        <v>45897</v>
      </c>
      <c r="B2678" t="s">
        <v>1978</v>
      </c>
      <c r="C2678">
        <v>3.01</v>
      </c>
      <c r="I2678" s="1">
        <v>45904</v>
      </c>
      <c r="J2678" s="1" t="s">
        <v>107</v>
      </c>
      <c r="K2678" s="3">
        <v>8933467999513</v>
      </c>
    </row>
    <row r="2679" spans="1:11">
      <c r="A2679" s="1">
        <v>45897</v>
      </c>
      <c r="B2679" t="s">
        <v>1979</v>
      </c>
      <c r="C2679">
        <v>3.383</v>
      </c>
      <c r="I2679" s="1">
        <v>45903</v>
      </c>
      <c r="J2679" s="1" t="s">
        <v>107</v>
      </c>
      <c r="K2679" s="3">
        <v>9012587935026</v>
      </c>
    </row>
    <row r="2680" spans="1:11">
      <c r="A2680" s="1">
        <v>45897</v>
      </c>
      <c r="B2680" t="s">
        <v>1980</v>
      </c>
      <c r="C2680">
        <v>3.5459999999999998</v>
      </c>
      <c r="I2680" s="1">
        <v>45903</v>
      </c>
      <c r="J2680" s="1" t="s">
        <v>282</v>
      </c>
      <c r="K2680" s="3">
        <v>23000</v>
      </c>
    </row>
    <row r="2681" spans="1:11">
      <c r="A2681" s="1">
        <v>45897</v>
      </c>
      <c r="B2681" t="s">
        <v>1981</v>
      </c>
      <c r="C2681">
        <v>3.621</v>
      </c>
      <c r="I2681" s="1">
        <v>45903</v>
      </c>
      <c r="J2681" s="1" t="s">
        <v>283</v>
      </c>
      <c r="K2681" s="3">
        <v>7</v>
      </c>
    </row>
    <row r="2682" spans="1:11">
      <c r="A2682" s="1">
        <v>45897</v>
      </c>
      <c r="B2682" t="s">
        <v>1982</v>
      </c>
      <c r="C2682">
        <v>3.6709999999999998</v>
      </c>
      <c r="I2682" s="1">
        <v>45903</v>
      </c>
      <c r="J2682" s="1" t="s">
        <v>284</v>
      </c>
      <c r="K2682" s="3">
        <v>28328.11</v>
      </c>
    </row>
    <row r="2683" spans="1:11">
      <c r="A2683" s="1">
        <v>45897</v>
      </c>
      <c r="B2683" t="s">
        <v>1983</v>
      </c>
      <c r="C2683">
        <v>3.76</v>
      </c>
      <c r="I2683" s="1">
        <v>45903</v>
      </c>
      <c r="J2683" s="1" t="s">
        <v>285</v>
      </c>
      <c r="K2683" s="3">
        <v>4</v>
      </c>
    </row>
    <row r="2684" spans="1:11">
      <c r="A2684" s="1">
        <v>45896</v>
      </c>
      <c r="B2684" t="s">
        <v>1974</v>
      </c>
      <c r="C2684">
        <v>2.613</v>
      </c>
      <c r="I2684" s="1">
        <v>45903</v>
      </c>
      <c r="J2684" s="1" t="s">
        <v>286</v>
      </c>
      <c r="K2684" s="3">
        <v>11085.37</v>
      </c>
    </row>
    <row r="2685" spans="1:11">
      <c r="A2685" s="1">
        <v>45896</v>
      </c>
      <c r="B2685" t="s">
        <v>1975</v>
      </c>
      <c r="C2685">
        <v>2.6539999999999999</v>
      </c>
      <c r="I2685" s="1">
        <v>45903</v>
      </c>
      <c r="J2685" s="1" t="s">
        <v>287</v>
      </c>
      <c r="K2685" s="3">
        <v>180755.24</v>
      </c>
    </row>
    <row r="2686" spans="1:11">
      <c r="A2686" s="1">
        <v>45896</v>
      </c>
      <c r="B2686" t="s">
        <v>1976</v>
      </c>
      <c r="C2686">
        <v>2.7170000000000001</v>
      </c>
      <c r="I2686" s="1">
        <v>45903</v>
      </c>
      <c r="J2686" s="1" t="s">
        <v>288</v>
      </c>
      <c r="K2686" s="3">
        <v>-108272.02</v>
      </c>
    </row>
    <row r="2687" spans="1:11">
      <c r="A2687" s="1">
        <v>45896</v>
      </c>
      <c r="B2687" t="s">
        <v>1977</v>
      </c>
      <c r="C2687">
        <v>2.8650000000000002</v>
      </c>
      <c r="I2687" s="1">
        <v>45903</v>
      </c>
      <c r="J2687" s="1" t="s">
        <v>289</v>
      </c>
      <c r="K2687" s="3">
        <v>14</v>
      </c>
    </row>
    <row r="2688" spans="1:11">
      <c r="A2688" s="1">
        <v>45896</v>
      </c>
      <c r="B2688" t="s">
        <v>1978</v>
      </c>
      <c r="C2688">
        <v>3.0139999999999998</v>
      </c>
      <c r="I2688" s="1">
        <v>45903</v>
      </c>
      <c r="J2688" s="1" t="s">
        <v>290</v>
      </c>
      <c r="K2688" s="3">
        <v>14</v>
      </c>
    </row>
    <row r="2689" spans="1:11">
      <c r="A2689" s="1">
        <v>45896</v>
      </c>
      <c r="B2689" t="s">
        <v>1979</v>
      </c>
      <c r="C2689">
        <v>3.383</v>
      </c>
      <c r="I2689" s="1">
        <v>45902</v>
      </c>
      <c r="J2689" s="1" t="s">
        <v>282</v>
      </c>
      <c r="K2689" s="3">
        <v>0</v>
      </c>
    </row>
    <row r="2690" spans="1:11">
      <c r="A2690" s="1">
        <v>45896</v>
      </c>
      <c r="B2690" t="s">
        <v>1980</v>
      </c>
      <c r="C2690">
        <v>3.544</v>
      </c>
      <c r="I2690" s="1">
        <v>45902</v>
      </c>
      <c r="J2690" s="1" t="s">
        <v>283</v>
      </c>
      <c r="K2690" s="3">
        <v>7</v>
      </c>
    </row>
    <row r="2691" spans="1:11">
      <c r="A2691" s="1">
        <v>45896</v>
      </c>
      <c r="B2691" t="s">
        <v>1981</v>
      </c>
      <c r="C2691">
        <v>3.621</v>
      </c>
      <c r="I2691" s="1">
        <v>45902</v>
      </c>
      <c r="J2691" s="1" t="s">
        <v>284</v>
      </c>
      <c r="K2691" s="3">
        <v>0</v>
      </c>
    </row>
    <row r="2692" spans="1:11">
      <c r="A2692" s="1">
        <v>45896</v>
      </c>
      <c r="B2692" t="s">
        <v>1982</v>
      </c>
      <c r="C2692">
        <v>3.673</v>
      </c>
      <c r="I2692" s="1">
        <v>45902</v>
      </c>
      <c r="J2692" s="1" t="s">
        <v>285</v>
      </c>
      <c r="K2692" s="3">
        <v>4</v>
      </c>
    </row>
    <row r="2693" spans="1:11">
      <c r="A2693" s="1">
        <v>45896</v>
      </c>
      <c r="B2693" t="s">
        <v>1983</v>
      </c>
      <c r="C2693">
        <v>3.76</v>
      </c>
      <c r="I2693" s="1">
        <v>45902</v>
      </c>
      <c r="J2693" s="1" t="s">
        <v>286</v>
      </c>
      <c r="K2693" s="3">
        <v>4564.7700000000004</v>
      </c>
    </row>
    <row r="2694" spans="1:11">
      <c r="A2694" s="1">
        <v>45895</v>
      </c>
      <c r="B2694" t="s">
        <v>1974</v>
      </c>
      <c r="C2694">
        <v>2.6080000000000001</v>
      </c>
      <c r="I2694" s="1">
        <v>45902</v>
      </c>
      <c r="J2694" s="1" t="s">
        <v>287</v>
      </c>
      <c r="K2694" s="3">
        <v>163512.5</v>
      </c>
    </row>
    <row r="2695" spans="1:11">
      <c r="A2695" s="1">
        <v>45895</v>
      </c>
      <c r="B2695" t="s">
        <v>1975</v>
      </c>
      <c r="C2695">
        <v>2.65</v>
      </c>
      <c r="I2695" s="1">
        <v>45902</v>
      </c>
      <c r="J2695" s="1" t="s">
        <v>288</v>
      </c>
      <c r="K2695" s="3">
        <v>-97939.09</v>
      </c>
    </row>
    <row r="2696" spans="1:11">
      <c r="A2696" s="1">
        <v>45895</v>
      </c>
      <c r="B2696" t="s">
        <v>1976</v>
      </c>
      <c r="C2696">
        <v>2.7080000000000002</v>
      </c>
      <c r="I2696" s="1">
        <v>45902</v>
      </c>
      <c r="J2696" s="1" t="s">
        <v>289</v>
      </c>
      <c r="K2696" s="3">
        <v>0</v>
      </c>
    </row>
    <row r="2697" spans="1:11">
      <c r="A2697" s="1">
        <v>45895</v>
      </c>
      <c r="B2697" t="s">
        <v>1977</v>
      </c>
      <c r="C2697">
        <v>2.859</v>
      </c>
      <c r="I2697" s="1">
        <v>45902</v>
      </c>
      <c r="J2697" s="1" t="s">
        <v>290</v>
      </c>
      <c r="K2697" s="3">
        <v>0</v>
      </c>
    </row>
    <row r="2698" spans="1:11">
      <c r="A2698" s="1">
        <v>45895</v>
      </c>
      <c r="B2698" t="s">
        <v>1978</v>
      </c>
      <c r="C2698">
        <v>3.01</v>
      </c>
      <c r="I2698" s="1">
        <v>45902</v>
      </c>
      <c r="J2698" s="1" t="s">
        <v>107</v>
      </c>
      <c r="K2698" s="3">
        <v>8059723975937</v>
      </c>
    </row>
    <row r="2699" spans="1:11">
      <c r="A2699" s="1">
        <v>45895</v>
      </c>
      <c r="B2699" t="s">
        <v>1979</v>
      </c>
      <c r="C2699">
        <v>3.3780000000000001</v>
      </c>
      <c r="I2699" s="1">
        <v>45901</v>
      </c>
      <c r="J2699" s="1" t="s">
        <v>282</v>
      </c>
      <c r="K2699" s="3">
        <v>0</v>
      </c>
    </row>
    <row r="2700" spans="1:11">
      <c r="A2700" s="1">
        <v>45895</v>
      </c>
      <c r="B2700" t="s">
        <v>1980</v>
      </c>
      <c r="C2700">
        <v>3.544</v>
      </c>
      <c r="I2700" s="1">
        <v>45901</v>
      </c>
      <c r="J2700" s="1" t="s">
        <v>283</v>
      </c>
      <c r="K2700" s="3">
        <v>7</v>
      </c>
    </row>
    <row r="2701" spans="1:11">
      <c r="A2701" s="1">
        <v>45895</v>
      </c>
      <c r="B2701" t="s">
        <v>1981</v>
      </c>
      <c r="C2701">
        <v>3.6080000000000001</v>
      </c>
      <c r="I2701" s="1">
        <v>45901</v>
      </c>
      <c r="J2701" s="1" t="s">
        <v>284</v>
      </c>
      <c r="K2701" s="3">
        <v>0</v>
      </c>
    </row>
    <row r="2702" spans="1:11">
      <c r="A2702" s="1">
        <v>45895</v>
      </c>
      <c r="B2702" t="s">
        <v>1982</v>
      </c>
      <c r="C2702">
        <v>3.669</v>
      </c>
      <c r="I2702" s="1">
        <v>45901</v>
      </c>
      <c r="J2702" s="1" t="s">
        <v>285</v>
      </c>
      <c r="K2702" s="3">
        <v>4</v>
      </c>
    </row>
    <row r="2703" spans="1:11">
      <c r="A2703" s="1">
        <v>45895</v>
      </c>
      <c r="B2703" t="s">
        <v>1983</v>
      </c>
      <c r="C2703">
        <v>3.7519999999999998</v>
      </c>
      <c r="I2703" s="1">
        <v>45901</v>
      </c>
      <c r="J2703" s="1" t="s">
        <v>286</v>
      </c>
      <c r="K2703" s="3">
        <v>13586.43</v>
      </c>
    </row>
    <row r="2704" spans="1:11">
      <c r="A2704" s="1">
        <v>45894</v>
      </c>
      <c r="B2704" t="s">
        <v>1974</v>
      </c>
      <c r="C2704">
        <v>2.5710000000000002</v>
      </c>
      <c r="I2704" s="1">
        <v>45901</v>
      </c>
      <c r="J2704" s="1" t="s">
        <v>287</v>
      </c>
      <c r="K2704" s="3">
        <v>168077.27</v>
      </c>
    </row>
    <row r="2705" spans="1:11">
      <c r="A2705" s="1">
        <v>45894</v>
      </c>
      <c r="B2705" t="s">
        <v>1975</v>
      </c>
      <c r="C2705">
        <v>2.621</v>
      </c>
      <c r="I2705" s="1">
        <v>45901</v>
      </c>
      <c r="J2705" s="1" t="s">
        <v>288</v>
      </c>
      <c r="K2705" s="3">
        <v>-102163.8</v>
      </c>
    </row>
    <row r="2706" spans="1:11">
      <c r="A2706" s="1">
        <v>45894</v>
      </c>
      <c r="B2706" t="s">
        <v>1976</v>
      </c>
      <c r="C2706">
        <v>2.6829999999999998</v>
      </c>
      <c r="I2706" s="1">
        <v>45901</v>
      </c>
      <c r="J2706" s="1" t="s">
        <v>289</v>
      </c>
      <c r="K2706" s="3">
        <v>0</v>
      </c>
    </row>
    <row r="2707" spans="1:11">
      <c r="A2707" s="1">
        <v>45894</v>
      </c>
      <c r="B2707" t="s">
        <v>1977</v>
      </c>
      <c r="C2707">
        <v>2.84</v>
      </c>
      <c r="I2707" s="1">
        <v>45901</v>
      </c>
      <c r="J2707" s="1" t="s">
        <v>290</v>
      </c>
      <c r="K2707" s="3">
        <v>0</v>
      </c>
    </row>
    <row r="2708" spans="1:11">
      <c r="A2708" s="1">
        <v>45894</v>
      </c>
      <c r="B2708" t="s">
        <v>1978</v>
      </c>
      <c r="C2708">
        <v>2.996</v>
      </c>
      <c r="I2708" s="1">
        <v>45900</v>
      </c>
      <c r="J2708" s="1" t="s">
        <v>107</v>
      </c>
      <c r="K2708" s="3">
        <v>8059723975937</v>
      </c>
    </row>
    <row r="2709" spans="1:11">
      <c r="A2709" s="1">
        <v>45894</v>
      </c>
      <c r="B2709" t="s">
        <v>1979</v>
      </c>
      <c r="C2709">
        <v>3.3359999999999999</v>
      </c>
      <c r="I2709" s="1">
        <v>45898</v>
      </c>
      <c r="J2709" s="1" t="s">
        <v>282</v>
      </c>
      <c r="K2709" s="3">
        <v>1000</v>
      </c>
    </row>
    <row r="2710" spans="1:11">
      <c r="A2710" s="1">
        <v>45894</v>
      </c>
      <c r="B2710" t="s">
        <v>1980</v>
      </c>
      <c r="C2710">
        <v>3.5350000000000001</v>
      </c>
      <c r="I2710" s="1">
        <v>45898</v>
      </c>
      <c r="J2710" s="1" t="s">
        <v>283</v>
      </c>
      <c r="K2710" s="3">
        <v>7</v>
      </c>
    </row>
    <row r="2711" spans="1:11">
      <c r="A2711" s="1">
        <v>45894</v>
      </c>
      <c r="B2711" t="s">
        <v>1981</v>
      </c>
      <c r="C2711">
        <v>3.5979999999999999</v>
      </c>
      <c r="I2711" s="1">
        <v>45898</v>
      </c>
      <c r="J2711" s="1" t="s">
        <v>284</v>
      </c>
      <c r="K2711" s="3">
        <v>5156.9399999999996</v>
      </c>
    </row>
    <row r="2712" spans="1:11">
      <c r="A2712" s="1">
        <v>45894</v>
      </c>
      <c r="B2712" t="s">
        <v>1982</v>
      </c>
      <c r="C2712">
        <v>3.6480000000000001</v>
      </c>
      <c r="I2712" s="1">
        <v>45898</v>
      </c>
      <c r="J2712" s="1" t="s">
        <v>285</v>
      </c>
      <c r="K2712" s="3">
        <v>4</v>
      </c>
    </row>
    <row r="2713" spans="1:11">
      <c r="A2713" s="1">
        <v>45894</v>
      </c>
      <c r="B2713" t="s">
        <v>1983</v>
      </c>
      <c r="C2713">
        <v>3.7349999999999999</v>
      </c>
      <c r="I2713" s="1">
        <v>45898</v>
      </c>
      <c r="J2713" s="1" t="s">
        <v>286</v>
      </c>
      <c r="K2713" s="3">
        <v>17341.14</v>
      </c>
    </row>
    <row r="2714" spans="1:11">
      <c r="A2714" s="1">
        <v>45891</v>
      </c>
      <c r="B2714" t="s">
        <v>1974</v>
      </c>
      <c r="C2714">
        <v>2.5379999999999998</v>
      </c>
      <c r="I2714" s="1">
        <v>45898</v>
      </c>
      <c r="J2714" s="1" t="s">
        <v>287</v>
      </c>
      <c r="K2714" s="3">
        <v>181663.7</v>
      </c>
    </row>
    <row r="2715" spans="1:11">
      <c r="A2715" s="1">
        <v>45891</v>
      </c>
      <c r="B2715" t="s">
        <v>1975</v>
      </c>
      <c r="C2715">
        <v>2.5830000000000002</v>
      </c>
      <c r="I2715" s="1">
        <v>45898</v>
      </c>
      <c r="J2715" s="1" t="s">
        <v>288</v>
      </c>
      <c r="K2715" s="3">
        <v>-80153.66</v>
      </c>
    </row>
    <row r="2716" spans="1:11">
      <c r="A2716" s="1">
        <v>45891</v>
      </c>
      <c r="B2716" t="s">
        <v>1976</v>
      </c>
      <c r="C2716">
        <v>2.6419999999999999</v>
      </c>
      <c r="I2716" s="1">
        <v>45898</v>
      </c>
      <c r="J2716" s="1" t="s">
        <v>289</v>
      </c>
      <c r="K2716" s="3">
        <v>2</v>
      </c>
    </row>
    <row r="2717" spans="1:11">
      <c r="A2717" s="1">
        <v>45891</v>
      </c>
      <c r="B2717" t="s">
        <v>1977</v>
      </c>
      <c r="C2717">
        <v>2.7850000000000001</v>
      </c>
      <c r="I2717" s="1">
        <v>45898</v>
      </c>
      <c r="J2717" s="1" t="s">
        <v>290</v>
      </c>
      <c r="K2717" s="3">
        <v>2</v>
      </c>
    </row>
    <row r="2718" spans="1:11">
      <c r="A2718" s="1">
        <v>45891</v>
      </c>
      <c r="B2718" t="s">
        <v>1978</v>
      </c>
      <c r="C2718">
        <v>2.9289999999999998</v>
      </c>
      <c r="I2718" s="1">
        <v>45897</v>
      </c>
      <c r="J2718" s="1" t="s">
        <v>282</v>
      </c>
      <c r="K2718" s="3">
        <v>1000</v>
      </c>
    </row>
    <row r="2719" spans="1:11">
      <c r="A2719" s="1">
        <v>45891</v>
      </c>
      <c r="B2719" t="s">
        <v>1979</v>
      </c>
      <c r="C2719">
        <v>3.2530000000000001</v>
      </c>
      <c r="I2719" s="1">
        <v>45897</v>
      </c>
      <c r="J2719" s="1" t="s">
        <v>283</v>
      </c>
      <c r="K2719" s="3">
        <v>7</v>
      </c>
    </row>
    <row r="2720" spans="1:11">
      <c r="A2720" s="1">
        <v>45891</v>
      </c>
      <c r="B2720" t="s">
        <v>1980</v>
      </c>
      <c r="C2720">
        <v>3.5350000000000001</v>
      </c>
      <c r="I2720" s="1">
        <v>45897</v>
      </c>
      <c r="J2720" s="1" t="s">
        <v>284</v>
      </c>
      <c r="K2720" s="3">
        <v>0</v>
      </c>
    </row>
    <row r="2721" spans="1:11">
      <c r="A2721" s="1">
        <v>45891</v>
      </c>
      <c r="B2721" t="s">
        <v>1981</v>
      </c>
      <c r="C2721">
        <v>3.5979999999999999</v>
      </c>
      <c r="I2721" s="1">
        <v>45897</v>
      </c>
      <c r="J2721" s="1" t="s">
        <v>285</v>
      </c>
      <c r="K2721" s="3">
        <v>4</v>
      </c>
    </row>
    <row r="2722" spans="1:11">
      <c r="A2722" s="1">
        <v>45891</v>
      </c>
      <c r="B2722" t="s">
        <v>1982</v>
      </c>
      <c r="C2722">
        <v>3.6379999999999999</v>
      </c>
      <c r="I2722" s="1">
        <v>45897</v>
      </c>
      <c r="J2722" s="1" t="s">
        <v>286</v>
      </c>
      <c r="K2722" s="3">
        <v>8516.0300000000007</v>
      </c>
    </row>
    <row r="2723" spans="1:11">
      <c r="A2723" s="1">
        <v>45891</v>
      </c>
      <c r="B2723" t="s">
        <v>1983</v>
      </c>
      <c r="C2723">
        <v>3.7189999999999999</v>
      </c>
      <c r="I2723" s="1">
        <v>45897</v>
      </c>
      <c r="J2723" s="1" t="s">
        <v>287</v>
      </c>
      <c r="K2723" s="3">
        <v>193847.9</v>
      </c>
    </row>
    <row r="2724" spans="1:11">
      <c r="A2724" s="1">
        <v>45890</v>
      </c>
      <c r="B2724" t="s">
        <v>1975</v>
      </c>
      <c r="C2724">
        <v>2.5830000000000002</v>
      </c>
      <c r="I2724" s="1">
        <v>45897</v>
      </c>
      <c r="J2724" s="1" t="s">
        <v>288</v>
      </c>
      <c r="K2724" s="3">
        <v>-66100.77</v>
      </c>
    </row>
    <row r="2725" spans="1:11">
      <c r="A2725" s="1">
        <v>45890</v>
      </c>
      <c r="B2725" t="s">
        <v>1976</v>
      </c>
      <c r="C2725">
        <v>2.6419999999999999</v>
      </c>
      <c r="I2725" s="1">
        <v>45897</v>
      </c>
      <c r="J2725" s="1" t="s">
        <v>289</v>
      </c>
      <c r="K2725" s="3">
        <v>0</v>
      </c>
    </row>
    <row r="2726" spans="1:11">
      <c r="A2726" s="1">
        <v>45890</v>
      </c>
      <c r="B2726" t="s">
        <v>1977</v>
      </c>
      <c r="C2726">
        <v>2.7480000000000002</v>
      </c>
      <c r="I2726" s="1">
        <v>45897</v>
      </c>
      <c r="J2726" s="1" t="s">
        <v>290</v>
      </c>
      <c r="K2726" s="3">
        <v>0</v>
      </c>
    </row>
    <row r="2727" spans="1:11">
      <c r="A2727" s="1">
        <v>45890</v>
      </c>
      <c r="B2727" t="s">
        <v>1978</v>
      </c>
      <c r="C2727">
        <v>2.855</v>
      </c>
      <c r="I2727" s="1">
        <v>45897</v>
      </c>
      <c r="J2727" s="1" t="s">
        <v>107</v>
      </c>
      <c r="K2727" s="3">
        <v>8309045226020</v>
      </c>
    </row>
    <row r="2728" spans="1:11">
      <c r="A2728" s="1">
        <v>45890</v>
      </c>
      <c r="B2728" t="s">
        <v>1979</v>
      </c>
      <c r="C2728">
        <v>3.1480000000000001</v>
      </c>
      <c r="I2728" s="1">
        <v>45896</v>
      </c>
      <c r="J2728" s="1" t="s">
        <v>288</v>
      </c>
      <c r="K2728" s="3">
        <v>-55093.74</v>
      </c>
    </row>
    <row r="2729" spans="1:11">
      <c r="A2729" s="1">
        <v>45890</v>
      </c>
      <c r="B2729" t="s">
        <v>1980</v>
      </c>
      <c r="C2729">
        <v>3.49</v>
      </c>
      <c r="I2729" s="1">
        <v>45896</v>
      </c>
      <c r="J2729" s="1" t="s">
        <v>289</v>
      </c>
      <c r="K2729" s="3">
        <v>0</v>
      </c>
    </row>
    <row r="2730" spans="1:11">
      <c r="A2730" s="1">
        <v>45890</v>
      </c>
      <c r="B2730" t="s">
        <v>1981</v>
      </c>
      <c r="C2730">
        <v>3.5680000000000001</v>
      </c>
      <c r="I2730" s="1">
        <v>45896</v>
      </c>
      <c r="J2730" s="1" t="s">
        <v>290</v>
      </c>
      <c r="K2730" s="3">
        <v>0</v>
      </c>
    </row>
    <row r="2731" spans="1:11">
      <c r="A2731" s="1">
        <v>45890</v>
      </c>
      <c r="B2731" t="s">
        <v>1982</v>
      </c>
      <c r="C2731">
        <v>3.629</v>
      </c>
      <c r="I2731" s="1">
        <v>45896</v>
      </c>
      <c r="J2731" s="1" t="s">
        <v>107</v>
      </c>
      <c r="K2731" s="3">
        <v>8309045226020</v>
      </c>
    </row>
    <row r="2732" spans="1:11">
      <c r="A2732" s="1">
        <v>45890</v>
      </c>
      <c r="B2732" t="s">
        <v>1983</v>
      </c>
      <c r="C2732">
        <v>3.7130000000000001</v>
      </c>
      <c r="I2732" s="1">
        <v>45896</v>
      </c>
      <c r="J2732" s="1" t="s">
        <v>282</v>
      </c>
      <c r="K2732" s="3">
        <v>1000</v>
      </c>
    </row>
    <row r="2733" spans="1:11">
      <c r="A2733" s="1">
        <v>45890</v>
      </c>
      <c r="B2733" t="s">
        <v>1974</v>
      </c>
      <c r="C2733">
        <v>2.5379999999999998</v>
      </c>
      <c r="I2733" s="1">
        <v>45896</v>
      </c>
      <c r="J2733" s="1" t="s">
        <v>283</v>
      </c>
      <c r="K2733" s="3">
        <v>7</v>
      </c>
    </row>
    <row r="2734" spans="1:11">
      <c r="A2734" s="1">
        <v>45889</v>
      </c>
      <c r="B2734" t="s">
        <v>1974</v>
      </c>
      <c r="C2734">
        <v>2.504</v>
      </c>
      <c r="I2734" s="1">
        <v>45896</v>
      </c>
      <c r="J2734" s="1" t="s">
        <v>284</v>
      </c>
      <c r="K2734" s="3">
        <v>0</v>
      </c>
    </row>
    <row r="2735" spans="1:11">
      <c r="A2735" s="1">
        <v>45889</v>
      </c>
      <c r="B2735" t="s">
        <v>1975</v>
      </c>
      <c r="C2735">
        <v>2.5499999999999998</v>
      </c>
      <c r="I2735" s="1">
        <v>45896</v>
      </c>
      <c r="J2735" s="1" t="s">
        <v>285</v>
      </c>
      <c r="K2735" s="3">
        <v>4</v>
      </c>
    </row>
    <row r="2736" spans="1:11">
      <c r="A2736" s="1">
        <v>45889</v>
      </c>
      <c r="B2736" t="s">
        <v>1976</v>
      </c>
      <c r="C2736">
        <v>2.613</v>
      </c>
      <c r="I2736" s="1">
        <v>45896</v>
      </c>
      <c r="J2736" s="1" t="s">
        <v>286</v>
      </c>
      <c r="K2736" s="3">
        <v>3694.02</v>
      </c>
    </row>
    <row r="2737" spans="1:11">
      <c r="A2737" s="1">
        <v>45889</v>
      </c>
      <c r="B2737" t="s">
        <v>1977</v>
      </c>
      <c r="C2737">
        <v>2.722</v>
      </c>
      <c r="I2737" s="1">
        <v>45896</v>
      </c>
      <c r="J2737" s="1" t="s">
        <v>287</v>
      </c>
      <c r="K2737" s="3">
        <v>202363.93</v>
      </c>
    </row>
    <row r="2738" spans="1:11">
      <c r="A2738" s="1">
        <v>45889</v>
      </c>
      <c r="B2738" t="s">
        <v>1978</v>
      </c>
      <c r="C2738">
        <v>2.831</v>
      </c>
      <c r="I2738" s="1">
        <v>45895</v>
      </c>
      <c r="J2738" s="1" t="s">
        <v>282</v>
      </c>
      <c r="K2738" s="3">
        <v>1000</v>
      </c>
    </row>
    <row r="2739" spans="1:11">
      <c r="A2739" s="1">
        <v>45889</v>
      </c>
      <c r="B2739" t="s">
        <v>1979</v>
      </c>
      <c r="C2739">
        <v>3.113</v>
      </c>
      <c r="I2739" s="1">
        <v>45895</v>
      </c>
      <c r="J2739" s="1" t="s">
        <v>283</v>
      </c>
      <c r="K2739" s="3">
        <v>7</v>
      </c>
    </row>
    <row r="2740" spans="1:11">
      <c r="A2740" s="1">
        <v>45889</v>
      </c>
      <c r="B2740" t="s">
        <v>1980</v>
      </c>
      <c r="C2740">
        <v>3.4319999999999999</v>
      </c>
      <c r="I2740" s="1">
        <v>45895</v>
      </c>
      <c r="J2740" s="1" t="s">
        <v>284</v>
      </c>
      <c r="K2740" s="3">
        <v>3779.89</v>
      </c>
    </row>
    <row r="2741" spans="1:11">
      <c r="A2741" s="1">
        <v>45889</v>
      </c>
      <c r="B2741" t="s">
        <v>1981</v>
      </c>
      <c r="C2741">
        <v>3.5230000000000001</v>
      </c>
      <c r="I2741" s="1">
        <v>45895</v>
      </c>
      <c r="J2741" s="1" t="s">
        <v>285</v>
      </c>
      <c r="K2741" s="3">
        <v>4</v>
      </c>
    </row>
    <row r="2742" spans="1:11">
      <c r="A2742" s="1">
        <v>45889</v>
      </c>
      <c r="B2742" t="s">
        <v>1982</v>
      </c>
      <c r="C2742">
        <v>3.5880000000000001</v>
      </c>
      <c r="I2742" s="1">
        <v>45895</v>
      </c>
      <c r="J2742" s="1" t="s">
        <v>286</v>
      </c>
      <c r="K2742" s="3">
        <v>12119.16</v>
      </c>
    </row>
    <row r="2743" spans="1:11">
      <c r="A2743" s="1">
        <v>45889</v>
      </c>
      <c r="B2743" t="s">
        <v>1983</v>
      </c>
      <c r="C2743">
        <v>3.6669999999999998</v>
      </c>
      <c r="I2743" s="1">
        <v>45895</v>
      </c>
      <c r="J2743" s="1" t="s">
        <v>287</v>
      </c>
      <c r="K2743" s="3">
        <v>206057.95</v>
      </c>
    </row>
    <row r="2744" spans="1:11">
      <c r="A2744" s="1">
        <v>45888</v>
      </c>
      <c r="B2744" t="s">
        <v>1974</v>
      </c>
      <c r="C2744">
        <v>2.496</v>
      </c>
      <c r="I2744" s="1">
        <v>45895</v>
      </c>
      <c r="J2744" s="1" t="s">
        <v>288</v>
      </c>
      <c r="K2744" s="3">
        <v>-47702.39</v>
      </c>
    </row>
    <row r="2745" spans="1:11">
      <c r="A2745" s="1">
        <v>45888</v>
      </c>
      <c r="B2745" t="s">
        <v>1975</v>
      </c>
      <c r="C2745">
        <v>2.5419999999999998</v>
      </c>
      <c r="I2745" s="1">
        <v>45895</v>
      </c>
      <c r="J2745" s="1" t="s">
        <v>289</v>
      </c>
      <c r="K2745" s="3">
        <v>1</v>
      </c>
    </row>
    <row r="2746" spans="1:11">
      <c r="A2746" s="1">
        <v>45888</v>
      </c>
      <c r="B2746" t="s">
        <v>1976</v>
      </c>
      <c r="C2746">
        <v>2.6080000000000001</v>
      </c>
      <c r="I2746" s="1">
        <v>45895</v>
      </c>
      <c r="J2746" s="1" t="s">
        <v>290</v>
      </c>
      <c r="K2746" s="3">
        <v>1</v>
      </c>
    </row>
    <row r="2747" spans="1:11">
      <c r="A2747" s="1">
        <v>45888</v>
      </c>
      <c r="B2747" t="s">
        <v>1977</v>
      </c>
      <c r="C2747">
        <v>2.7160000000000002</v>
      </c>
      <c r="I2747" s="1">
        <v>45895</v>
      </c>
      <c r="J2747" s="1" t="s">
        <v>107</v>
      </c>
      <c r="K2747" s="3">
        <v>10268078224855</v>
      </c>
    </row>
    <row r="2748" spans="1:11">
      <c r="A2748" s="1">
        <v>45888</v>
      </c>
      <c r="B2748" t="s">
        <v>1978</v>
      </c>
      <c r="C2748">
        <v>2.823</v>
      </c>
      <c r="I2748" s="1">
        <v>45894</v>
      </c>
      <c r="J2748" s="1" t="s">
        <v>107</v>
      </c>
      <c r="K2748" s="3">
        <v>12033431913042</v>
      </c>
    </row>
    <row r="2749" spans="1:11">
      <c r="A2749" s="1">
        <v>45888</v>
      </c>
      <c r="B2749" t="s">
        <v>1979</v>
      </c>
      <c r="C2749">
        <v>3.1030000000000002</v>
      </c>
      <c r="I2749" s="1">
        <v>45894</v>
      </c>
      <c r="J2749" s="1" t="s">
        <v>282</v>
      </c>
      <c r="K2749" s="3">
        <v>3000</v>
      </c>
    </row>
    <row r="2750" spans="1:11">
      <c r="A2750" s="1">
        <v>45888</v>
      </c>
      <c r="B2750" t="s">
        <v>1980</v>
      </c>
      <c r="C2750">
        <v>3.4329999999999998</v>
      </c>
      <c r="I2750" s="1">
        <v>45894</v>
      </c>
      <c r="J2750" s="1" t="s">
        <v>283</v>
      </c>
      <c r="K2750" s="3">
        <v>7</v>
      </c>
    </row>
    <row r="2751" spans="1:11">
      <c r="A2751" s="1">
        <v>45888</v>
      </c>
      <c r="B2751" t="s">
        <v>1981</v>
      </c>
      <c r="C2751">
        <v>3.5230000000000001</v>
      </c>
      <c r="I2751" s="1">
        <v>45894</v>
      </c>
      <c r="J2751" s="1" t="s">
        <v>284</v>
      </c>
      <c r="K2751" s="3">
        <v>32615.18</v>
      </c>
    </row>
    <row r="2752" spans="1:11">
      <c r="A2752" s="1">
        <v>45888</v>
      </c>
      <c r="B2752" t="s">
        <v>1982</v>
      </c>
      <c r="C2752">
        <v>3.5880000000000001</v>
      </c>
      <c r="I2752" s="1">
        <v>45894</v>
      </c>
      <c r="J2752" s="1" t="s">
        <v>285</v>
      </c>
      <c r="K2752" s="3">
        <v>4</v>
      </c>
    </row>
    <row r="2753" spans="1:11">
      <c r="A2753" s="1">
        <v>45888</v>
      </c>
      <c r="B2753" t="s">
        <v>1983</v>
      </c>
      <c r="C2753">
        <v>3.6669999999999998</v>
      </c>
      <c r="I2753" s="1">
        <v>45894</v>
      </c>
      <c r="J2753" s="1" t="s">
        <v>286</v>
      </c>
      <c r="K2753" s="3">
        <v>17152.009999999998</v>
      </c>
    </row>
    <row r="2754" spans="1:11">
      <c r="A2754" s="1">
        <v>45887</v>
      </c>
      <c r="B2754" t="s">
        <v>1974</v>
      </c>
      <c r="C2754">
        <v>2.492</v>
      </c>
      <c r="I2754" s="1">
        <v>45894</v>
      </c>
      <c r="J2754" s="1" t="s">
        <v>287</v>
      </c>
      <c r="K2754" s="3">
        <v>214397.22</v>
      </c>
    </row>
    <row r="2755" spans="1:11">
      <c r="A2755" s="1">
        <v>45887</v>
      </c>
      <c r="B2755" t="s">
        <v>1975</v>
      </c>
      <c r="C2755">
        <v>2.5379999999999998</v>
      </c>
      <c r="I2755" s="1">
        <v>45894</v>
      </c>
      <c r="J2755" s="1" t="s">
        <v>288</v>
      </c>
      <c r="K2755" s="3">
        <v>-55256.78</v>
      </c>
    </row>
    <row r="2756" spans="1:11">
      <c r="A2756" s="1">
        <v>45887</v>
      </c>
      <c r="B2756" t="s">
        <v>1976</v>
      </c>
      <c r="C2756">
        <v>2.6</v>
      </c>
      <c r="I2756" s="1">
        <v>45894</v>
      </c>
      <c r="J2756" s="1" t="s">
        <v>289</v>
      </c>
      <c r="K2756" s="3">
        <v>9</v>
      </c>
    </row>
    <row r="2757" spans="1:11">
      <c r="A2757" s="1">
        <v>45887</v>
      </c>
      <c r="B2757" t="s">
        <v>1977</v>
      </c>
      <c r="C2757">
        <v>2.7149999999999999</v>
      </c>
      <c r="I2757" s="1">
        <v>45894</v>
      </c>
      <c r="J2757" s="1" t="s">
        <v>290</v>
      </c>
      <c r="K2757" s="3">
        <v>9</v>
      </c>
    </row>
    <row r="2758" spans="1:11">
      <c r="A2758" s="1">
        <v>45887</v>
      </c>
      <c r="B2758" t="s">
        <v>1978</v>
      </c>
      <c r="C2758">
        <v>2.83</v>
      </c>
      <c r="I2758" s="1">
        <v>45893</v>
      </c>
      <c r="J2758" s="1" t="s">
        <v>107</v>
      </c>
      <c r="K2758" s="3">
        <v>11805907824780</v>
      </c>
    </row>
    <row r="2759" spans="1:11">
      <c r="A2759" s="1">
        <v>45887</v>
      </c>
      <c r="B2759" t="s">
        <v>1979</v>
      </c>
      <c r="C2759">
        <v>3.11</v>
      </c>
      <c r="I2759" s="1">
        <v>45891</v>
      </c>
      <c r="J2759" s="1" t="s">
        <v>282</v>
      </c>
      <c r="K2759" s="3">
        <v>10000</v>
      </c>
    </row>
    <row r="2760" spans="1:11">
      <c r="A2760" s="1">
        <v>45887</v>
      </c>
      <c r="B2760" t="s">
        <v>1980</v>
      </c>
      <c r="C2760">
        <v>3.4249999999999998</v>
      </c>
      <c r="I2760" s="1">
        <v>45891</v>
      </c>
      <c r="J2760" s="1" t="s">
        <v>283</v>
      </c>
      <c r="K2760" s="3">
        <v>7</v>
      </c>
    </row>
    <row r="2761" spans="1:11">
      <c r="A2761" s="1">
        <v>45887</v>
      </c>
      <c r="B2761" t="s">
        <v>1981</v>
      </c>
      <c r="C2761">
        <v>3.52</v>
      </c>
      <c r="I2761" s="1">
        <v>45891</v>
      </c>
      <c r="J2761" s="1" t="s">
        <v>284</v>
      </c>
      <c r="K2761" s="3">
        <v>53294.54</v>
      </c>
    </row>
    <row r="2762" spans="1:11">
      <c r="A2762" s="1">
        <v>45887</v>
      </c>
      <c r="B2762" t="s">
        <v>1982</v>
      </c>
      <c r="C2762">
        <v>3.5880000000000001</v>
      </c>
      <c r="I2762" s="1">
        <v>45891</v>
      </c>
      <c r="J2762" s="1" t="s">
        <v>285</v>
      </c>
      <c r="K2762" s="3">
        <v>4</v>
      </c>
    </row>
    <row r="2763" spans="1:11">
      <c r="A2763" s="1">
        <v>45887</v>
      </c>
      <c r="B2763" t="s">
        <v>1983</v>
      </c>
      <c r="C2763">
        <v>3.665</v>
      </c>
      <c r="I2763" s="1">
        <v>45891</v>
      </c>
      <c r="J2763" s="1" t="s">
        <v>286</v>
      </c>
      <c r="K2763" s="3">
        <v>32088.84</v>
      </c>
    </row>
    <row r="2764" spans="1:11">
      <c r="A2764" s="1">
        <v>45884</v>
      </c>
      <c r="B2764" t="s">
        <v>1974</v>
      </c>
      <c r="C2764">
        <v>2.4830000000000001</v>
      </c>
      <c r="I2764" s="1">
        <v>45891</v>
      </c>
      <c r="J2764" s="1" t="s">
        <v>287</v>
      </c>
      <c r="K2764" s="3">
        <v>198934.05</v>
      </c>
    </row>
    <row r="2765" spans="1:11">
      <c r="A2765" s="1">
        <v>45884</v>
      </c>
      <c r="B2765" t="s">
        <v>1975</v>
      </c>
      <c r="C2765">
        <v>2.5289999999999999</v>
      </c>
      <c r="I2765" s="1">
        <v>45891</v>
      </c>
      <c r="J2765" s="1" t="s">
        <v>288</v>
      </c>
      <c r="K2765" s="3">
        <v>-58822.36</v>
      </c>
    </row>
    <row r="2766" spans="1:11">
      <c r="A2766" s="1">
        <v>45884</v>
      </c>
      <c r="B2766" t="s">
        <v>1976</v>
      </c>
      <c r="C2766">
        <v>2.5920000000000001</v>
      </c>
      <c r="I2766" s="1">
        <v>45891</v>
      </c>
      <c r="J2766" s="1" t="s">
        <v>289</v>
      </c>
      <c r="K2766" s="3">
        <v>26</v>
      </c>
    </row>
    <row r="2767" spans="1:11">
      <c r="A2767" s="1">
        <v>45884</v>
      </c>
      <c r="B2767" t="s">
        <v>1977</v>
      </c>
      <c r="C2767">
        <v>2.714</v>
      </c>
      <c r="I2767" s="1">
        <v>45891</v>
      </c>
      <c r="J2767" s="1" t="s">
        <v>290</v>
      </c>
      <c r="K2767" s="3">
        <v>26</v>
      </c>
    </row>
    <row r="2768" spans="1:11">
      <c r="A2768" s="1">
        <v>45884</v>
      </c>
      <c r="B2768" t="s">
        <v>1978</v>
      </c>
      <c r="C2768">
        <v>2.8370000000000002</v>
      </c>
      <c r="I2768" s="1">
        <v>45890</v>
      </c>
      <c r="J2768" s="1" t="s">
        <v>282</v>
      </c>
      <c r="K2768" s="3">
        <v>12000</v>
      </c>
    </row>
    <row r="2769" spans="1:11">
      <c r="A2769" s="1">
        <v>45884</v>
      </c>
      <c r="B2769" t="s">
        <v>1979</v>
      </c>
      <c r="C2769">
        <v>3.1139999999999999</v>
      </c>
      <c r="I2769" s="1">
        <v>45890</v>
      </c>
      <c r="J2769" s="1" t="s">
        <v>283</v>
      </c>
      <c r="K2769" s="3">
        <v>7</v>
      </c>
    </row>
    <row r="2770" spans="1:11">
      <c r="A2770" s="1">
        <v>45884</v>
      </c>
      <c r="B2770" t="s">
        <v>1980</v>
      </c>
      <c r="C2770">
        <v>3.4279999999999999</v>
      </c>
      <c r="I2770" s="1">
        <v>45890</v>
      </c>
      <c r="J2770" s="1" t="s">
        <v>284</v>
      </c>
      <c r="K2770" s="3">
        <v>28070.28</v>
      </c>
    </row>
    <row r="2771" spans="1:11">
      <c r="A2771" s="1">
        <v>45884</v>
      </c>
      <c r="B2771" t="s">
        <v>1981</v>
      </c>
      <c r="C2771">
        <v>3.5169999999999999</v>
      </c>
      <c r="I2771" s="1">
        <v>45890</v>
      </c>
      <c r="J2771" s="1" t="s">
        <v>285</v>
      </c>
      <c r="K2771" s="3">
        <v>4</v>
      </c>
    </row>
    <row r="2772" spans="1:11">
      <c r="A2772" s="1">
        <v>45884</v>
      </c>
      <c r="B2772" t="s">
        <v>1982</v>
      </c>
      <c r="C2772">
        <v>3.5790000000000002</v>
      </c>
      <c r="I2772" s="1">
        <v>45890</v>
      </c>
      <c r="J2772" s="1" t="s">
        <v>286</v>
      </c>
      <c r="K2772" s="3">
        <v>27696.43</v>
      </c>
    </row>
    <row r="2773" spans="1:11">
      <c r="A2773" s="1">
        <v>45884</v>
      </c>
      <c r="B2773" t="s">
        <v>1983</v>
      </c>
      <c r="C2773">
        <v>3.6560000000000001</v>
      </c>
      <c r="I2773" s="1">
        <v>45890</v>
      </c>
      <c r="J2773" s="1" t="s">
        <v>287</v>
      </c>
      <c r="K2773" s="3">
        <v>177728.35</v>
      </c>
    </row>
    <row r="2774" spans="1:11">
      <c r="A2774" s="1">
        <v>45883</v>
      </c>
      <c r="B2774" t="s">
        <v>1974</v>
      </c>
      <c r="C2774">
        <v>2.4580000000000002</v>
      </c>
      <c r="I2774" s="1">
        <v>45890</v>
      </c>
      <c r="J2774" s="1" t="s">
        <v>288</v>
      </c>
      <c r="K2774" s="3">
        <v>-73570.06</v>
      </c>
    </row>
    <row r="2775" spans="1:11">
      <c r="A2775" s="1">
        <v>45883</v>
      </c>
      <c r="B2775" t="s">
        <v>1975</v>
      </c>
      <c r="C2775">
        <v>2.504</v>
      </c>
      <c r="I2775" s="1">
        <v>45890</v>
      </c>
      <c r="J2775" s="1" t="s">
        <v>289</v>
      </c>
      <c r="K2775" s="3">
        <v>16</v>
      </c>
    </row>
    <row r="2776" spans="1:11">
      <c r="A2776" s="1">
        <v>45883</v>
      </c>
      <c r="B2776" t="s">
        <v>1976</v>
      </c>
      <c r="C2776">
        <v>2.5710000000000002</v>
      </c>
      <c r="I2776" s="1">
        <v>45890</v>
      </c>
      <c r="J2776" s="1" t="s">
        <v>290</v>
      </c>
      <c r="K2776" s="3">
        <v>16</v>
      </c>
    </row>
    <row r="2777" spans="1:11">
      <c r="A2777" s="1">
        <v>45883</v>
      </c>
      <c r="B2777" t="s">
        <v>1977</v>
      </c>
      <c r="C2777">
        <v>2.6970000000000001</v>
      </c>
      <c r="I2777" s="1">
        <v>45890</v>
      </c>
      <c r="J2777" s="1" t="s">
        <v>107</v>
      </c>
      <c r="K2777" s="3">
        <v>12907304684311</v>
      </c>
    </row>
    <row r="2778" spans="1:11">
      <c r="A2778" s="1">
        <v>45883</v>
      </c>
      <c r="B2778" t="s">
        <v>1978</v>
      </c>
      <c r="C2778">
        <v>2.823</v>
      </c>
      <c r="I2778" s="1">
        <v>45889</v>
      </c>
      <c r="J2778" s="1" t="s">
        <v>107</v>
      </c>
      <c r="K2778" s="3">
        <v>14948963285513</v>
      </c>
    </row>
    <row r="2779" spans="1:11">
      <c r="A2779" s="1">
        <v>45883</v>
      </c>
      <c r="B2779" t="s">
        <v>1979</v>
      </c>
      <c r="C2779">
        <v>3.105</v>
      </c>
      <c r="I2779" s="1">
        <v>45889</v>
      </c>
      <c r="J2779" s="1" t="s">
        <v>282</v>
      </c>
      <c r="K2779" s="3">
        <v>3000</v>
      </c>
    </row>
    <row r="2780" spans="1:11">
      <c r="A2780" s="1">
        <v>45883</v>
      </c>
      <c r="B2780" t="s">
        <v>1980</v>
      </c>
      <c r="C2780">
        <v>3.4180000000000001</v>
      </c>
      <c r="I2780" s="1">
        <v>45889</v>
      </c>
      <c r="J2780" s="1" t="s">
        <v>283</v>
      </c>
      <c r="K2780" s="3">
        <v>7</v>
      </c>
    </row>
    <row r="2781" spans="1:11">
      <c r="A2781" s="1">
        <v>45883</v>
      </c>
      <c r="B2781" t="s">
        <v>1981</v>
      </c>
      <c r="C2781">
        <v>3.5150000000000001</v>
      </c>
      <c r="I2781" s="1">
        <v>45889</v>
      </c>
      <c r="J2781" s="1" t="s">
        <v>284</v>
      </c>
      <c r="K2781" s="3">
        <v>5911.7</v>
      </c>
    </row>
    <row r="2782" spans="1:11">
      <c r="A2782" s="1">
        <v>45883</v>
      </c>
      <c r="B2782" t="s">
        <v>1982</v>
      </c>
      <c r="C2782">
        <v>3.5710000000000002</v>
      </c>
      <c r="I2782" s="1">
        <v>45889</v>
      </c>
      <c r="J2782" s="1" t="s">
        <v>285</v>
      </c>
      <c r="K2782" s="3">
        <v>4</v>
      </c>
    </row>
    <row r="2783" spans="1:11">
      <c r="A2783" s="1">
        <v>45883</v>
      </c>
      <c r="B2783" t="s">
        <v>1983</v>
      </c>
      <c r="C2783">
        <v>3.6480000000000001</v>
      </c>
      <c r="I2783" s="1">
        <v>45889</v>
      </c>
      <c r="J2783" s="1" t="s">
        <v>286</v>
      </c>
      <c r="K2783" s="3">
        <v>14234.22</v>
      </c>
    </row>
    <row r="2784" spans="1:11">
      <c r="A2784" s="1">
        <v>45882</v>
      </c>
      <c r="B2784" t="s">
        <v>1974</v>
      </c>
      <c r="C2784">
        <v>2.41</v>
      </c>
      <c r="I2784" s="1">
        <v>45889</v>
      </c>
      <c r="J2784" s="1" t="s">
        <v>287</v>
      </c>
      <c r="K2784" s="3">
        <v>177354.5</v>
      </c>
    </row>
    <row r="2785" spans="1:11">
      <c r="A2785" s="1">
        <v>45882</v>
      </c>
      <c r="B2785" t="s">
        <v>1975</v>
      </c>
      <c r="C2785">
        <v>2.46</v>
      </c>
      <c r="I2785" s="1">
        <v>45889</v>
      </c>
      <c r="J2785" s="1" t="s">
        <v>288</v>
      </c>
      <c r="K2785" s="3">
        <v>-92750.46</v>
      </c>
    </row>
    <row r="2786" spans="1:11">
      <c r="A2786" s="1">
        <v>45882</v>
      </c>
      <c r="B2786" t="s">
        <v>1976</v>
      </c>
      <c r="C2786">
        <v>2.5459999999999998</v>
      </c>
      <c r="I2786" s="1">
        <v>45889</v>
      </c>
      <c r="J2786" s="1" t="s">
        <v>289</v>
      </c>
      <c r="K2786" s="3">
        <v>4</v>
      </c>
    </row>
    <row r="2787" spans="1:11">
      <c r="A2787" s="1">
        <v>45882</v>
      </c>
      <c r="B2787" t="s">
        <v>1977</v>
      </c>
      <c r="C2787">
        <v>2.6629999999999998</v>
      </c>
      <c r="I2787" s="1">
        <v>45889</v>
      </c>
      <c r="J2787" s="1" t="s">
        <v>290</v>
      </c>
      <c r="K2787" s="3">
        <v>4</v>
      </c>
    </row>
    <row r="2788" spans="1:11">
      <c r="A2788" s="1">
        <v>45882</v>
      </c>
      <c r="B2788" t="s">
        <v>1978</v>
      </c>
      <c r="C2788">
        <v>2.7789999999999999</v>
      </c>
      <c r="I2788" s="1">
        <v>45888</v>
      </c>
      <c r="J2788" s="1" t="s">
        <v>288</v>
      </c>
      <c r="K2788" s="3">
        <v>-103290.66</v>
      </c>
    </row>
    <row r="2789" spans="1:11">
      <c r="A2789" s="1">
        <v>45882</v>
      </c>
      <c r="B2789" t="s">
        <v>1979</v>
      </c>
      <c r="C2789">
        <v>3.0910000000000002</v>
      </c>
      <c r="I2789" s="1">
        <v>45888</v>
      </c>
      <c r="J2789" s="1" t="s">
        <v>289</v>
      </c>
      <c r="K2789" s="3">
        <v>7</v>
      </c>
    </row>
    <row r="2790" spans="1:11">
      <c r="A2790" s="1">
        <v>45882</v>
      </c>
      <c r="B2790" t="s">
        <v>1980</v>
      </c>
      <c r="C2790">
        <v>3.3769999999999998</v>
      </c>
      <c r="I2790" s="1">
        <v>45888</v>
      </c>
      <c r="J2790" s="1" t="s">
        <v>290</v>
      </c>
      <c r="K2790" s="3">
        <v>7</v>
      </c>
    </row>
    <row r="2791" spans="1:11">
      <c r="A2791" s="1">
        <v>45882</v>
      </c>
      <c r="B2791" t="s">
        <v>1981</v>
      </c>
      <c r="C2791">
        <v>3.47</v>
      </c>
      <c r="I2791" s="1">
        <v>45888</v>
      </c>
      <c r="J2791" s="1" t="s">
        <v>282</v>
      </c>
      <c r="K2791" s="3">
        <v>3000</v>
      </c>
    </row>
    <row r="2792" spans="1:11">
      <c r="A2792" s="1">
        <v>45882</v>
      </c>
      <c r="B2792" t="s">
        <v>1982</v>
      </c>
      <c r="C2792">
        <v>3.5329999999999999</v>
      </c>
      <c r="I2792" s="1">
        <v>45888</v>
      </c>
      <c r="J2792" s="1" t="s">
        <v>283</v>
      </c>
      <c r="K2792" s="3">
        <v>7</v>
      </c>
    </row>
    <row r="2793" spans="1:11">
      <c r="A2793" s="1">
        <v>45882</v>
      </c>
      <c r="B2793" t="s">
        <v>1983</v>
      </c>
      <c r="C2793">
        <v>3.617</v>
      </c>
      <c r="I2793" s="1">
        <v>45888</v>
      </c>
      <c r="J2793" s="1" t="s">
        <v>284</v>
      </c>
      <c r="K2793" s="3">
        <v>11048.11</v>
      </c>
    </row>
    <row r="2794" spans="1:11">
      <c r="A2794" s="1">
        <v>45881</v>
      </c>
      <c r="B2794" t="s">
        <v>1974</v>
      </c>
      <c r="C2794">
        <v>2.39</v>
      </c>
      <c r="I2794" s="1">
        <v>45888</v>
      </c>
      <c r="J2794" s="1" t="s">
        <v>285</v>
      </c>
      <c r="K2794" s="3">
        <v>4</v>
      </c>
    </row>
    <row r="2795" spans="1:11">
      <c r="A2795" s="1">
        <v>45881</v>
      </c>
      <c r="B2795" t="s">
        <v>1975</v>
      </c>
      <c r="C2795">
        <v>2.44</v>
      </c>
      <c r="I2795" s="1">
        <v>45888</v>
      </c>
      <c r="J2795" s="1" t="s">
        <v>286</v>
      </c>
      <c r="K2795" s="3">
        <v>12807.46</v>
      </c>
    </row>
    <row r="2796" spans="1:11">
      <c r="A2796" s="1">
        <v>45881</v>
      </c>
      <c r="B2796" t="s">
        <v>1976</v>
      </c>
      <c r="C2796">
        <v>2.5419999999999998</v>
      </c>
      <c r="I2796" s="1">
        <v>45888</v>
      </c>
      <c r="J2796" s="1" t="s">
        <v>287</v>
      </c>
      <c r="K2796" s="3">
        <v>185677.02</v>
      </c>
    </row>
    <row r="2797" spans="1:11">
      <c r="A2797" s="1">
        <v>45881</v>
      </c>
      <c r="B2797" t="s">
        <v>1977</v>
      </c>
      <c r="C2797">
        <v>2.6589999999999998</v>
      </c>
      <c r="I2797" s="1">
        <v>45887</v>
      </c>
      <c r="J2797" s="1" t="s">
        <v>282</v>
      </c>
      <c r="K2797" s="3">
        <v>5000</v>
      </c>
    </row>
    <row r="2798" spans="1:11">
      <c r="A2798" s="1">
        <v>45881</v>
      </c>
      <c r="B2798" t="s">
        <v>1978</v>
      </c>
      <c r="C2798">
        <v>2.7759999999999998</v>
      </c>
      <c r="I2798" s="1">
        <v>45887</v>
      </c>
      <c r="J2798" s="1" t="s">
        <v>283</v>
      </c>
      <c r="K2798" s="3">
        <v>7</v>
      </c>
    </row>
    <row r="2799" spans="1:11">
      <c r="A2799" s="1">
        <v>45881</v>
      </c>
      <c r="B2799" t="s">
        <v>1979</v>
      </c>
      <c r="C2799">
        <v>3.08</v>
      </c>
      <c r="I2799" s="1">
        <v>45887</v>
      </c>
      <c r="J2799" s="1" t="s">
        <v>284</v>
      </c>
      <c r="K2799" s="3">
        <v>5119.97</v>
      </c>
    </row>
    <row r="2800" spans="1:11">
      <c r="A2800" s="1">
        <v>45881</v>
      </c>
      <c r="B2800" t="s">
        <v>1980</v>
      </c>
      <c r="C2800">
        <v>3.371</v>
      </c>
      <c r="I2800" s="1">
        <v>45887</v>
      </c>
      <c r="J2800" s="1" t="s">
        <v>285</v>
      </c>
      <c r="K2800" s="3">
        <v>4</v>
      </c>
    </row>
    <row r="2801" spans="1:11">
      <c r="A2801" s="1">
        <v>45881</v>
      </c>
      <c r="B2801" t="s">
        <v>1981</v>
      </c>
      <c r="C2801">
        <v>3.4729999999999999</v>
      </c>
      <c r="I2801" s="1">
        <v>45887</v>
      </c>
      <c r="J2801" s="1" t="s">
        <v>286</v>
      </c>
      <c r="K2801" s="3">
        <v>13725.58</v>
      </c>
    </row>
    <row r="2802" spans="1:11">
      <c r="A2802" s="1">
        <v>45881</v>
      </c>
      <c r="B2802" t="s">
        <v>1982</v>
      </c>
      <c r="C2802">
        <v>3.5379999999999998</v>
      </c>
      <c r="I2802" s="1">
        <v>45887</v>
      </c>
      <c r="J2802" s="1" t="s">
        <v>287</v>
      </c>
      <c r="K2802" s="3">
        <v>187436.37</v>
      </c>
    </row>
    <row r="2803" spans="1:11">
      <c r="A2803" s="1">
        <v>45881</v>
      </c>
      <c r="B2803" t="s">
        <v>1983</v>
      </c>
      <c r="C2803">
        <v>3.617</v>
      </c>
      <c r="I2803" s="1">
        <v>45887</v>
      </c>
      <c r="J2803" s="1" t="s">
        <v>288</v>
      </c>
      <c r="K2803" s="3">
        <v>-103978.96</v>
      </c>
    </row>
    <row r="2804" spans="1:11">
      <c r="A2804" s="1">
        <v>45880</v>
      </c>
      <c r="B2804" t="s">
        <v>1974</v>
      </c>
      <c r="C2804">
        <v>2.3980000000000001</v>
      </c>
      <c r="I2804" s="1">
        <v>45887</v>
      </c>
      <c r="J2804" s="1" t="s">
        <v>289</v>
      </c>
      <c r="K2804" s="3">
        <v>7</v>
      </c>
    </row>
    <row r="2805" spans="1:11">
      <c r="A2805" s="1">
        <v>45880</v>
      </c>
      <c r="B2805" t="s">
        <v>1975</v>
      </c>
      <c r="C2805">
        <v>2.44</v>
      </c>
      <c r="I2805" s="1">
        <v>45887</v>
      </c>
      <c r="J2805" s="1" t="s">
        <v>290</v>
      </c>
      <c r="K2805" s="3">
        <v>7</v>
      </c>
    </row>
    <row r="2806" spans="1:11">
      <c r="A2806" s="1">
        <v>45880</v>
      </c>
      <c r="B2806" t="s">
        <v>1976</v>
      </c>
      <c r="C2806">
        <v>2.5249999999999999</v>
      </c>
      <c r="I2806" s="1">
        <v>45887</v>
      </c>
      <c r="J2806" s="1" t="s">
        <v>107</v>
      </c>
      <c r="K2806" s="3">
        <v>13815402652470</v>
      </c>
    </row>
    <row r="2807" spans="1:11">
      <c r="A2807" s="1">
        <v>45880</v>
      </c>
      <c r="B2807" t="s">
        <v>1977</v>
      </c>
      <c r="C2807">
        <v>2.649</v>
      </c>
      <c r="I2807" s="1">
        <v>45886</v>
      </c>
      <c r="J2807" s="1" t="s">
        <v>107</v>
      </c>
      <c r="K2807" s="3">
        <v>14161088624164</v>
      </c>
    </row>
    <row r="2808" spans="1:11">
      <c r="A2808" s="1">
        <v>45880</v>
      </c>
      <c r="B2808" t="s">
        <v>1978</v>
      </c>
      <c r="C2808">
        <v>2.7719999999999998</v>
      </c>
      <c r="I2808" s="1">
        <v>45884</v>
      </c>
      <c r="J2808" s="1" t="s">
        <v>282</v>
      </c>
      <c r="K2808" s="3">
        <v>10000</v>
      </c>
    </row>
    <row r="2809" spans="1:11">
      <c r="A2809" s="1">
        <v>45880</v>
      </c>
      <c r="B2809" t="s">
        <v>1979</v>
      </c>
      <c r="C2809">
        <v>3.0870000000000002</v>
      </c>
      <c r="I2809" s="1">
        <v>45884</v>
      </c>
      <c r="J2809" s="1" t="s">
        <v>283</v>
      </c>
      <c r="K2809" s="3">
        <v>7</v>
      </c>
    </row>
    <row r="2810" spans="1:11">
      <c r="A2810" s="1">
        <v>45880</v>
      </c>
      <c r="B2810" t="s">
        <v>1980</v>
      </c>
      <c r="C2810">
        <v>3.37</v>
      </c>
      <c r="I2810" s="1">
        <v>45884</v>
      </c>
      <c r="J2810" s="1" t="s">
        <v>284</v>
      </c>
      <c r="K2810" s="3">
        <v>18316.98</v>
      </c>
    </row>
    <row r="2811" spans="1:11">
      <c r="A2811" s="1">
        <v>45880</v>
      </c>
      <c r="B2811" t="s">
        <v>1981</v>
      </c>
      <c r="C2811">
        <v>3.47</v>
      </c>
      <c r="I2811" s="1">
        <v>45884</v>
      </c>
      <c r="J2811" s="1" t="s">
        <v>285</v>
      </c>
      <c r="K2811" s="3">
        <v>4</v>
      </c>
    </row>
    <row r="2812" spans="1:11">
      <c r="A2812" s="1">
        <v>45880</v>
      </c>
      <c r="B2812" t="s">
        <v>1982</v>
      </c>
      <c r="C2812">
        <v>3.5329999999999999</v>
      </c>
      <c r="I2812" s="1">
        <v>45884</v>
      </c>
      <c r="J2812" s="1" t="s">
        <v>286</v>
      </c>
      <c r="K2812" s="3">
        <v>25830.799999999999</v>
      </c>
    </row>
    <row r="2813" spans="1:11">
      <c r="A2813" s="1">
        <v>45880</v>
      </c>
      <c r="B2813" t="s">
        <v>1983</v>
      </c>
      <c r="C2813">
        <v>3.613</v>
      </c>
      <c r="I2813" s="1">
        <v>45884</v>
      </c>
      <c r="J2813" s="1" t="s">
        <v>287</v>
      </c>
      <c r="K2813" s="3">
        <v>196041.98</v>
      </c>
    </row>
    <row r="2814" spans="1:11">
      <c r="A2814" s="1">
        <v>45877</v>
      </c>
      <c r="B2814" t="s">
        <v>1974</v>
      </c>
      <c r="C2814">
        <v>2.4060000000000001</v>
      </c>
      <c r="I2814" s="1">
        <v>45884</v>
      </c>
      <c r="J2814" s="1" t="s">
        <v>288</v>
      </c>
      <c r="K2814" s="3">
        <v>-100552.53</v>
      </c>
    </row>
    <row r="2815" spans="1:11">
      <c r="A2815" s="1">
        <v>45877</v>
      </c>
      <c r="B2815" t="s">
        <v>1975</v>
      </c>
      <c r="C2815">
        <v>2.448</v>
      </c>
      <c r="I2815" s="1">
        <v>45884</v>
      </c>
      <c r="J2815" s="1" t="s">
        <v>289</v>
      </c>
      <c r="K2815" s="3">
        <v>12</v>
      </c>
    </row>
    <row r="2816" spans="1:11">
      <c r="A2816" s="1">
        <v>45877</v>
      </c>
      <c r="B2816" t="s">
        <v>1976</v>
      </c>
      <c r="C2816">
        <v>2.5329999999999999</v>
      </c>
      <c r="I2816" s="1">
        <v>45884</v>
      </c>
      <c r="J2816" s="1" t="s">
        <v>290</v>
      </c>
      <c r="K2816" s="3">
        <v>12</v>
      </c>
    </row>
    <row r="2817" spans="1:11">
      <c r="A2817" s="1">
        <v>45877</v>
      </c>
      <c r="B2817" t="s">
        <v>1977</v>
      </c>
      <c r="C2817">
        <v>2.653</v>
      </c>
      <c r="I2817" s="1">
        <v>45883</v>
      </c>
      <c r="J2817" s="1" t="s">
        <v>282</v>
      </c>
      <c r="K2817" s="3">
        <v>5000</v>
      </c>
    </row>
    <row r="2818" spans="1:11">
      <c r="A2818" s="1">
        <v>45877</v>
      </c>
      <c r="B2818" t="s">
        <v>1978</v>
      </c>
      <c r="C2818">
        <v>2.7719999999999998</v>
      </c>
      <c r="I2818" s="1">
        <v>45883</v>
      </c>
      <c r="J2818" s="1" t="s">
        <v>283</v>
      </c>
      <c r="K2818" s="3">
        <v>7</v>
      </c>
    </row>
    <row r="2819" spans="1:11">
      <c r="A2819" s="1">
        <v>45877</v>
      </c>
      <c r="B2819" t="s">
        <v>1979</v>
      </c>
      <c r="C2819">
        <v>3.0819999999999999</v>
      </c>
      <c r="I2819" s="1">
        <v>45883</v>
      </c>
      <c r="J2819" s="1" t="s">
        <v>284</v>
      </c>
      <c r="K2819" s="3">
        <v>5041.49</v>
      </c>
    </row>
    <row r="2820" spans="1:11">
      <c r="A2820" s="1">
        <v>45877</v>
      </c>
      <c r="B2820" t="s">
        <v>1980</v>
      </c>
      <c r="C2820">
        <v>3.3679999999999999</v>
      </c>
      <c r="I2820" s="1">
        <v>45883</v>
      </c>
      <c r="J2820" s="1" t="s">
        <v>285</v>
      </c>
      <c r="K2820" s="3">
        <v>4</v>
      </c>
    </row>
    <row r="2821" spans="1:11">
      <c r="A2821" s="1">
        <v>45877</v>
      </c>
      <c r="B2821" t="s">
        <v>1981</v>
      </c>
      <c r="C2821">
        <v>3.4689999999999999</v>
      </c>
      <c r="I2821" s="1">
        <v>45883</v>
      </c>
      <c r="J2821" s="1" t="s">
        <v>286</v>
      </c>
      <c r="K2821" s="3">
        <v>10235.69</v>
      </c>
    </row>
    <row r="2822" spans="1:11">
      <c r="A2822" s="1">
        <v>45877</v>
      </c>
      <c r="B2822" t="s">
        <v>1982</v>
      </c>
      <c r="C2822">
        <v>3.5329999999999999</v>
      </c>
      <c r="I2822" s="1">
        <v>45883</v>
      </c>
      <c r="J2822" s="1" t="s">
        <v>287</v>
      </c>
      <c r="K2822" s="3">
        <v>203555.8</v>
      </c>
    </row>
    <row r="2823" spans="1:11">
      <c r="A2823" s="1">
        <v>45877</v>
      </c>
      <c r="B2823" t="s">
        <v>1983</v>
      </c>
      <c r="C2823">
        <v>3.613</v>
      </c>
      <c r="I2823" s="1">
        <v>45883</v>
      </c>
      <c r="J2823" s="1" t="s">
        <v>288</v>
      </c>
      <c r="K2823" s="3">
        <v>-94294.49</v>
      </c>
    </row>
    <row r="2824" spans="1:11">
      <c r="A2824" s="1">
        <v>45876</v>
      </c>
      <c r="B2824" t="s">
        <v>1974</v>
      </c>
      <c r="C2824">
        <v>2.4020000000000001</v>
      </c>
      <c r="I2824" s="1">
        <v>45883</v>
      </c>
      <c r="J2824" s="1" t="s">
        <v>289</v>
      </c>
      <c r="K2824" s="3">
        <v>5</v>
      </c>
    </row>
    <row r="2825" spans="1:11">
      <c r="A2825" s="1">
        <v>45876</v>
      </c>
      <c r="B2825" t="s">
        <v>1975</v>
      </c>
      <c r="C2825">
        <v>2.448</v>
      </c>
      <c r="I2825" s="1">
        <v>45883</v>
      </c>
      <c r="J2825" s="1" t="s">
        <v>290</v>
      </c>
      <c r="K2825" s="3">
        <v>5</v>
      </c>
    </row>
    <row r="2826" spans="1:11">
      <c r="A2826" s="1">
        <v>45876</v>
      </c>
      <c r="B2826" t="s">
        <v>1976</v>
      </c>
      <c r="C2826">
        <v>2.5249999999999999</v>
      </c>
      <c r="I2826" s="1">
        <v>45883</v>
      </c>
      <c r="J2826" s="1" t="s">
        <v>107</v>
      </c>
      <c r="K2826" s="3">
        <v>14916776100990</v>
      </c>
    </row>
    <row r="2827" spans="1:11">
      <c r="A2827" s="1">
        <v>45876</v>
      </c>
      <c r="B2827" t="s">
        <v>1977</v>
      </c>
      <c r="C2827">
        <v>2.6469999999999998</v>
      </c>
      <c r="I2827" s="1">
        <v>45882</v>
      </c>
      <c r="J2827" s="1" t="s">
        <v>288</v>
      </c>
      <c r="K2827" s="3">
        <v>-76833.75</v>
      </c>
    </row>
    <row r="2828" spans="1:11">
      <c r="A2828" s="1">
        <v>45876</v>
      </c>
      <c r="B2828" t="s">
        <v>1978</v>
      </c>
      <c r="C2828">
        <v>2.7690000000000001</v>
      </c>
      <c r="I2828" s="1">
        <v>45882</v>
      </c>
      <c r="J2828" s="1" t="s">
        <v>289</v>
      </c>
      <c r="K2828" s="3">
        <v>1</v>
      </c>
    </row>
    <row r="2829" spans="1:11">
      <c r="A2829" s="1">
        <v>45876</v>
      </c>
      <c r="B2829" t="s">
        <v>1979</v>
      </c>
      <c r="C2829">
        <v>3.08</v>
      </c>
      <c r="I2829" s="1">
        <v>45882</v>
      </c>
      <c r="J2829" s="1" t="s">
        <v>290</v>
      </c>
      <c r="K2829" s="3">
        <v>1</v>
      </c>
    </row>
    <row r="2830" spans="1:11">
      <c r="A2830" s="1">
        <v>45876</v>
      </c>
      <c r="B2830" t="s">
        <v>1980</v>
      </c>
      <c r="C2830">
        <v>3.371</v>
      </c>
      <c r="I2830" s="1">
        <v>45882</v>
      </c>
      <c r="J2830" s="1" t="s">
        <v>107</v>
      </c>
      <c r="K2830" s="3">
        <v>14916776100990</v>
      </c>
    </row>
    <row r="2831" spans="1:11">
      <c r="A2831" s="1">
        <v>45876</v>
      </c>
      <c r="B2831" t="s">
        <v>1981</v>
      </c>
      <c r="C2831">
        <v>3.4660000000000002</v>
      </c>
      <c r="I2831" s="1">
        <v>45882</v>
      </c>
      <c r="J2831" s="1" t="s">
        <v>282</v>
      </c>
      <c r="K2831" s="3">
        <v>5000</v>
      </c>
    </row>
    <row r="2832" spans="1:11">
      <c r="A2832" s="1">
        <v>45876</v>
      </c>
      <c r="B2832" t="s">
        <v>1982</v>
      </c>
      <c r="C2832">
        <v>3.5329999999999999</v>
      </c>
      <c r="I2832" s="1">
        <v>45882</v>
      </c>
      <c r="J2832" s="1" t="s">
        <v>283</v>
      </c>
      <c r="K2832" s="3">
        <v>7</v>
      </c>
    </row>
    <row r="2833" spans="1:11">
      <c r="A2833" s="1">
        <v>45876</v>
      </c>
      <c r="B2833" t="s">
        <v>1983</v>
      </c>
      <c r="C2833">
        <v>3.6040000000000001</v>
      </c>
      <c r="I2833" s="1">
        <v>45882</v>
      </c>
      <c r="J2833" s="1" t="s">
        <v>284</v>
      </c>
      <c r="K2833" s="3">
        <v>876.77</v>
      </c>
    </row>
    <row r="2834" spans="1:11">
      <c r="A2834" s="1">
        <v>45875</v>
      </c>
      <c r="B2834" t="s">
        <v>1974</v>
      </c>
      <c r="C2834">
        <v>2.3479999999999999</v>
      </c>
      <c r="I2834" s="1">
        <v>45882</v>
      </c>
      <c r="J2834" s="1" t="s">
        <v>285</v>
      </c>
      <c r="K2834" s="3">
        <v>4</v>
      </c>
    </row>
    <row r="2835" spans="1:11">
      <c r="A2835" s="1">
        <v>45875</v>
      </c>
      <c r="B2835" t="s">
        <v>1975</v>
      </c>
      <c r="C2835">
        <v>2.39</v>
      </c>
      <c r="I2835" s="1">
        <v>45882</v>
      </c>
      <c r="J2835" s="1" t="s">
        <v>286</v>
      </c>
      <c r="K2835" s="3">
        <v>6191.14</v>
      </c>
    </row>
    <row r="2836" spans="1:11">
      <c r="A2836" s="1">
        <v>45875</v>
      </c>
      <c r="B2836" t="s">
        <v>1976</v>
      </c>
      <c r="C2836">
        <v>2.4710000000000001</v>
      </c>
      <c r="I2836" s="1">
        <v>45882</v>
      </c>
      <c r="J2836" s="1" t="s">
        <v>287</v>
      </c>
      <c r="K2836" s="3">
        <v>208750</v>
      </c>
    </row>
    <row r="2837" spans="1:11">
      <c r="A2837" s="1">
        <v>45875</v>
      </c>
      <c r="B2837" t="s">
        <v>1977</v>
      </c>
      <c r="C2837">
        <v>2.617</v>
      </c>
      <c r="I2837" s="1">
        <v>45881</v>
      </c>
      <c r="J2837" s="1" t="s">
        <v>107</v>
      </c>
      <c r="K2837" s="3">
        <v>14278556861527</v>
      </c>
    </row>
    <row r="2838" spans="1:11">
      <c r="A2838" s="1">
        <v>45875</v>
      </c>
      <c r="B2838" t="s">
        <v>1978</v>
      </c>
      <c r="C2838">
        <v>2.7639999999999998</v>
      </c>
      <c r="I2838" s="1">
        <v>45881</v>
      </c>
      <c r="J2838" s="1" t="s">
        <v>282</v>
      </c>
      <c r="K2838" s="3">
        <v>10000</v>
      </c>
    </row>
    <row r="2839" spans="1:11">
      <c r="A2839" s="1">
        <v>45875</v>
      </c>
      <c r="B2839" t="s">
        <v>1979</v>
      </c>
      <c r="C2839">
        <v>3.0760000000000001</v>
      </c>
      <c r="I2839" s="1">
        <v>45881</v>
      </c>
      <c r="J2839" s="1" t="s">
        <v>283</v>
      </c>
      <c r="K2839" s="3">
        <v>7</v>
      </c>
    </row>
    <row r="2840" spans="1:11">
      <c r="A2840" s="1">
        <v>45875</v>
      </c>
      <c r="B2840" t="s">
        <v>1980</v>
      </c>
      <c r="C2840">
        <v>3.3380000000000001</v>
      </c>
      <c r="I2840" s="1">
        <v>45881</v>
      </c>
      <c r="J2840" s="1" t="s">
        <v>284</v>
      </c>
      <c r="K2840" s="3">
        <v>8765.39</v>
      </c>
    </row>
    <row r="2841" spans="1:11">
      <c r="A2841" s="1">
        <v>45875</v>
      </c>
      <c r="B2841" t="s">
        <v>1981</v>
      </c>
      <c r="C2841">
        <v>3.4449999999999998</v>
      </c>
      <c r="I2841" s="1">
        <v>45881</v>
      </c>
      <c r="J2841" s="1" t="s">
        <v>285</v>
      </c>
      <c r="K2841" s="3">
        <v>4</v>
      </c>
    </row>
    <row r="2842" spans="1:11">
      <c r="A2842" s="1">
        <v>45875</v>
      </c>
      <c r="B2842" t="s">
        <v>1982</v>
      </c>
      <c r="C2842">
        <v>3.508</v>
      </c>
      <c r="I2842" s="1">
        <v>45881</v>
      </c>
      <c r="J2842" s="1" t="s">
        <v>286</v>
      </c>
      <c r="K2842" s="3">
        <v>15781.92</v>
      </c>
    </row>
    <row r="2843" spans="1:11">
      <c r="A2843" s="1">
        <v>45875</v>
      </c>
      <c r="B2843" t="s">
        <v>1983</v>
      </c>
      <c r="C2843">
        <v>3.581</v>
      </c>
      <c r="I2843" s="1">
        <v>45881</v>
      </c>
      <c r="J2843" s="1" t="s">
        <v>287</v>
      </c>
      <c r="K2843" s="3">
        <v>214064.37</v>
      </c>
    </row>
    <row r="2844" spans="1:11">
      <c r="A2844" s="1">
        <v>45874</v>
      </c>
      <c r="B2844" t="s">
        <v>1977</v>
      </c>
      <c r="C2844">
        <v>2.617</v>
      </c>
      <c r="I2844" s="1">
        <v>45881</v>
      </c>
      <c r="J2844" s="1" t="s">
        <v>288</v>
      </c>
      <c r="K2844" s="3">
        <v>-68790.67</v>
      </c>
    </row>
    <row r="2845" spans="1:11">
      <c r="A2845" s="1">
        <v>45874</v>
      </c>
      <c r="B2845" t="s">
        <v>1978</v>
      </c>
      <c r="C2845">
        <v>2.7629999999999999</v>
      </c>
      <c r="I2845" s="1">
        <v>45881</v>
      </c>
      <c r="J2845" s="1" t="s">
        <v>289</v>
      </c>
      <c r="K2845" s="3">
        <v>5</v>
      </c>
    </row>
    <row r="2846" spans="1:11">
      <c r="A2846" s="1">
        <v>45874</v>
      </c>
      <c r="B2846" t="s">
        <v>1979</v>
      </c>
      <c r="C2846">
        <v>3.073</v>
      </c>
      <c r="I2846" s="1">
        <v>45881</v>
      </c>
      <c r="J2846" s="1" t="s">
        <v>290</v>
      </c>
      <c r="K2846" s="3">
        <v>5</v>
      </c>
    </row>
    <row r="2847" spans="1:11">
      <c r="A2847" s="1">
        <v>45874</v>
      </c>
      <c r="B2847" t="s">
        <v>1980</v>
      </c>
      <c r="C2847">
        <v>3.3380000000000001</v>
      </c>
      <c r="I2847" s="1">
        <v>45880</v>
      </c>
      <c r="J2847" s="1" t="s">
        <v>282</v>
      </c>
      <c r="K2847" s="3">
        <v>15000</v>
      </c>
    </row>
    <row r="2848" spans="1:11">
      <c r="A2848" s="1">
        <v>45874</v>
      </c>
      <c r="B2848" t="s">
        <v>1981</v>
      </c>
      <c r="C2848">
        <v>3.44</v>
      </c>
      <c r="I2848" s="1">
        <v>45880</v>
      </c>
      <c r="J2848" s="1" t="s">
        <v>283</v>
      </c>
      <c r="K2848" s="3">
        <v>7</v>
      </c>
    </row>
    <row r="2849" spans="1:11">
      <c r="A2849" s="1">
        <v>45874</v>
      </c>
      <c r="B2849" t="s">
        <v>1982</v>
      </c>
      <c r="C2849">
        <v>3.5019999999999998</v>
      </c>
      <c r="I2849" s="1">
        <v>45880</v>
      </c>
      <c r="J2849" s="1" t="s">
        <v>284</v>
      </c>
      <c r="K2849" s="3">
        <v>26476.19</v>
      </c>
    </row>
    <row r="2850" spans="1:11">
      <c r="A2850" s="1">
        <v>45874</v>
      </c>
      <c r="B2850" t="s">
        <v>1983</v>
      </c>
      <c r="C2850">
        <v>3.59</v>
      </c>
      <c r="I2850" s="1">
        <v>45880</v>
      </c>
      <c r="J2850" s="1" t="s">
        <v>285</v>
      </c>
      <c r="K2850" s="3">
        <v>4</v>
      </c>
    </row>
    <row r="2851" spans="1:11">
      <c r="A2851" s="1">
        <v>45874</v>
      </c>
      <c r="B2851" t="s">
        <v>1974</v>
      </c>
      <c r="C2851">
        <v>2.3479999999999999</v>
      </c>
      <c r="I2851" s="1">
        <v>45880</v>
      </c>
      <c r="J2851" s="1" t="s">
        <v>286</v>
      </c>
      <c r="K2851" s="3">
        <v>21854.94</v>
      </c>
    </row>
    <row r="2852" spans="1:11">
      <c r="A2852" s="1">
        <v>45874</v>
      </c>
      <c r="B2852" t="s">
        <v>1975</v>
      </c>
      <c r="C2852">
        <v>2.39</v>
      </c>
      <c r="I2852" s="1">
        <v>45880</v>
      </c>
      <c r="J2852" s="1" t="s">
        <v>287</v>
      </c>
      <c r="K2852" s="3">
        <v>221080.9</v>
      </c>
    </row>
    <row r="2853" spans="1:11">
      <c r="A2853" s="1">
        <v>45874</v>
      </c>
      <c r="B2853" t="s">
        <v>1976</v>
      </c>
      <c r="C2853">
        <v>2.4710000000000001</v>
      </c>
      <c r="I2853" s="1">
        <v>45880</v>
      </c>
      <c r="J2853" s="1" t="s">
        <v>288</v>
      </c>
      <c r="K2853" s="3">
        <v>-71765.13</v>
      </c>
    </row>
    <row r="2854" spans="1:11">
      <c r="A2854" s="1">
        <v>45873</v>
      </c>
      <c r="B2854" t="s">
        <v>1974</v>
      </c>
      <c r="C2854">
        <v>2.3479999999999999</v>
      </c>
      <c r="I2854" s="1">
        <v>45880</v>
      </c>
      <c r="J2854" s="1" t="s">
        <v>289</v>
      </c>
      <c r="K2854" s="3">
        <v>13</v>
      </c>
    </row>
    <row r="2855" spans="1:11">
      <c r="A2855" s="1">
        <v>45873</v>
      </c>
      <c r="B2855" t="s">
        <v>1975</v>
      </c>
      <c r="C2855">
        <v>2.39</v>
      </c>
      <c r="I2855" s="1">
        <v>45880</v>
      </c>
      <c r="J2855" s="1" t="s">
        <v>290</v>
      </c>
      <c r="K2855" s="3">
        <v>13</v>
      </c>
    </row>
    <row r="2856" spans="1:11">
      <c r="A2856" s="1">
        <v>45873</v>
      </c>
      <c r="B2856" t="s">
        <v>1976</v>
      </c>
      <c r="C2856">
        <v>2.4630000000000001</v>
      </c>
      <c r="I2856" s="1">
        <v>45880</v>
      </c>
      <c r="J2856" s="1" t="s">
        <v>107</v>
      </c>
      <c r="K2856" s="3">
        <v>14564669962534</v>
      </c>
    </row>
    <row r="2857" spans="1:11">
      <c r="A2857" s="1">
        <v>45873</v>
      </c>
      <c r="B2857" t="s">
        <v>1977</v>
      </c>
      <c r="C2857">
        <v>2.6110000000000002</v>
      </c>
      <c r="I2857" s="1">
        <v>45879</v>
      </c>
      <c r="J2857" s="1" t="s">
        <v>107</v>
      </c>
      <c r="K2857" s="3">
        <v>14515479417367</v>
      </c>
    </row>
    <row r="2858" spans="1:11">
      <c r="A2858" s="1">
        <v>45873</v>
      </c>
      <c r="B2858" t="s">
        <v>1978</v>
      </c>
      <c r="C2858">
        <v>2.7589999999999999</v>
      </c>
      <c r="I2858" s="1">
        <v>45877</v>
      </c>
      <c r="J2858" s="1" t="s">
        <v>282</v>
      </c>
      <c r="K2858" s="3">
        <v>15000</v>
      </c>
    </row>
    <row r="2859" spans="1:11">
      <c r="A2859" s="1">
        <v>45873</v>
      </c>
      <c r="B2859" t="s">
        <v>1979</v>
      </c>
      <c r="C2859">
        <v>3.0720000000000001</v>
      </c>
      <c r="I2859" s="1">
        <v>45877</v>
      </c>
      <c r="J2859" s="1" t="s">
        <v>283</v>
      </c>
      <c r="K2859" s="3">
        <v>7</v>
      </c>
    </row>
    <row r="2860" spans="1:11">
      <c r="A2860" s="1">
        <v>45873</v>
      </c>
      <c r="B2860" t="s">
        <v>1980</v>
      </c>
      <c r="C2860">
        <v>3.335</v>
      </c>
      <c r="I2860" s="1">
        <v>45877</v>
      </c>
      <c r="J2860" s="1" t="s">
        <v>284</v>
      </c>
      <c r="K2860" s="3">
        <v>25269.64</v>
      </c>
    </row>
    <row r="2861" spans="1:11">
      <c r="A2861" s="1">
        <v>45873</v>
      </c>
      <c r="B2861" t="s">
        <v>1981</v>
      </c>
      <c r="C2861">
        <v>3.4409999999999998</v>
      </c>
      <c r="I2861" s="1">
        <v>45877</v>
      </c>
      <c r="J2861" s="1" t="s">
        <v>285</v>
      </c>
      <c r="K2861" s="3">
        <v>4</v>
      </c>
    </row>
    <row r="2862" spans="1:11">
      <c r="A2862" s="1">
        <v>45873</v>
      </c>
      <c r="B2862" t="s">
        <v>1982</v>
      </c>
      <c r="C2862">
        <v>3.5019999999999998</v>
      </c>
      <c r="I2862" s="1">
        <v>45877</v>
      </c>
      <c r="J2862" s="1" t="s">
        <v>286</v>
      </c>
      <c r="K2862" s="3">
        <v>19160.59</v>
      </c>
    </row>
    <row r="2863" spans="1:11">
      <c r="A2863" s="1">
        <v>45873</v>
      </c>
      <c r="B2863" t="s">
        <v>1983</v>
      </c>
      <c r="C2863">
        <v>3.5750000000000002</v>
      </c>
      <c r="I2863" s="1">
        <v>45877</v>
      </c>
      <c r="J2863" s="1" t="s">
        <v>287</v>
      </c>
      <c r="K2863" s="3">
        <v>216459.65</v>
      </c>
    </row>
    <row r="2864" spans="1:11">
      <c r="A2864" s="1">
        <v>45870</v>
      </c>
      <c r="B2864" t="s">
        <v>1974</v>
      </c>
      <c r="C2864">
        <v>2.3479999999999999</v>
      </c>
      <c r="I2864" s="1">
        <v>45877</v>
      </c>
      <c r="J2864" s="1" t="s">
        <v>288</v>
      </c>
      <c r="K2864" s="3">
        <v>-79894.490000000005</v>
      </c>
    </row>
    <row r="2865" spans="1:11">
      <c r="A2865" s="1">
        <v>45870</v>
      </c>
      <c r="B2865" t="s">
        <v>1975</v>
      </c>
      <c r="C2865">
        <v>2.39</v>
      </c>
      <c r="I2865" s="1">
        <v>45877</v>
      </c>
      <c r="J2865" s="1" t="s">
        <v>289</v>
      </c>
      <c r="K2865" s="3">
        <v>21</v>
      </c>
    </row>
    <row r="2866" spans="1:11">
      <c r="A2866" s="1">
        <v>45870</v>
      </c>
      <c r="B2866" t="s">
        <v>1976</v>
      </c>
      <c r="C2866">
        <v>2.4630000000000001</v>
      </c>
      <c r="I2866" s="1">
        <v>45877</v>
      </c>
      <c r="J2866" s="1" t="s">
        <v>290</v>
      </c>
      <c r="K2866" s="3">
        <v>21</v>
      </c>
    </row>
    <row r="2867" spans="1:11">
      <c r="A2867" s="1">
        <v>45870</v>
      </c>
      <c r="B2867" t="s">
        <v>1977</v>
      </c>
      <c r="C2867">
        <v>2.6110000000000002</v>
      </c>
      <c r="I2867" s="1">
        <v>45876</v>
      </c>
      <c r="J2867" s="1" t="s">
        <v>107</v>
      </c>
      <c r="K2867" s="3">
        <v>12647248320832</v>
      </c>
    </row>
    <row r="2868" spans="1:11">
      <c r="A2868" s="1">
        <v>45870</v>
      </c>
      <c r="B2868" t="s">
        <v>1978</v>
      </c>
      <c r="C2868">
        <v>2.7589999999999999</v>
      </c>
      <c r="I2868" s="1">
        <v>45876</v>
      </c>
      <c r="J2868" s="1" t="s">
        <v>282</v>
      </c>
      <c r="K2868" s="3">
        <v>15000</v>
      </c>
    </row>
    <row r="2869" spans="1:11">
      <c r="A2869" s="1">
        <v>45870</v>
      </c>
      <c r="B2869" t="s">
        <v>1979</v>
      </c>
      <c r="C2869">
        <v>3.0710000000000002</v>
      </c>
      <c r="I2869" s="1">
        <v>45876</v>
      </c>
      <c r="J2869" s="1" t="s">
        <v>283</v>
      </c>
      <c r="K2869" s="3">
        <v>7</v>
      </c>
    </row>
    <row r="2870" spans="1:11">
      <c r="A2870" s="1">
        <v>45870</v>
      </c>
      <c r="B2870" t="s">
        <v>1980</v>
      </c>
      <c r="C2870">
        <v>3.335</v>
      </c>
      <c r="I2870" s="1">
        <v>45876</v>
      </c>
      <c r="J2870" s="1" t="s">
        <v>284</v>
      </c>
      <c r="K2870" s="3">
        <v>26111.72</v>
      </c>
    </row>
    <row r="2871" spans="1:11">
      <c r="A2871" s="1">
        <v>45870</v>
      </c>
      <c r="B2871" t="s">
        <v>1981</v>
      </c>
      <c r="C2871">
        <v>3.44</v>
      </c>
      <c r="I2871" s="1">
        <v>45876</v>
      </c>
      <c r="J2871" s="1" t="s">
        <v>285</v>
      </c>
      <c r="K2871" s="3">
        <v>4</v>
      </c>
    </row>
    <row r="2872" spans="1:11">
      <c r="A2872" s="1">
        <v>45870</v>
      </c>
      <c r="B2872" t="s">
        <v>1982</v>
      </c>
      <c r="C2872">
        <v>3.5019999999999998</v>
      </c>
      <c r="I2872" s="1">
        <v>45876</v>
      </c>
      <c r="J2872" s="1" t="s">
        <v>286</v>
      </c>
      <c r="K2872" s="3">
        <v>30539.22</v>
      </c>
    </row>
    <row r="2873" spans="1:11">
      <c r="A2873" s="1">
        <v>45870</v>
      </c>
      <c r="B2873" t="s">
        <v>1983</v>
      </c>
      <c r="C2873">
        <v>3.5750000000000002</v>
      </c>
      <c r="I2873" s="1">
        <v>45876</v>
      </c>
      <c r="J2873" s="1" t="s">
        <v>287</v>
      </c>
      <c r="K2873" s="3">
        <v>210350.6</v>
      </c>
    </row>
    <row r="2874" spans="1:11">
      <c r="A2874" s="1">
        <v>45869</v>
      </c>
      <c r="B2874" t="s">
        <v>1975</v>
      </c>
      <c r="C2874">
        <v>2.3849999999999998</v>
      </c>
      <c r="I2874" s="1">
        <v>45876</v>
      </c>
      <c r="J2874" s="1" t="s">
        <v>288</v>
      </c>
      <c r="K2874" s="3">
        <v>-73224.28</v>
      </c>
    </row>
    <row r="2875" spans="1:11">
      <c r="A2875" s="1">
        <v>45869</v>
      </c>
      <c r="B2875" t="s">
        <v>1976</v>
      </c>
      <c r="C2875">
        <v>2.4540000000000002</v>
      </c>
      <c r="I2875" s="1">
        <v>45876</v>
      </c>
      <c r="J2875" s="1" t="s">
        <v>289</v>
      </c>
      <c r="K2875" s="3">
        <v>19</v>
      </c>
    </row>
    <row r="2876" spans="1:11">
      <c r="A2876" s="1">
        <v>45869</v>
      </c>
      <c r="B2876" t="s">
        <v>1977</v>
      </c>
      <c r="C2876">
        <v>2.6019999999999999</v>
      </c>
      <c r="I2876" s="1">
        <v>45876</v>
      </c>
      <c r="J2876" s="1" t="s">
        <v>290</v>
      </c>
      <c r="K2876" s="3">
        <v>19</v>
      </c>
    </row>
    <row r="2877" spans="1:11">
      <c r="A2877" s="1">
        <v>45869</v>
      </c>
      <c r="B2877" t="s">
        <v>1978</v>
      </c>
      <c r="C2877">
        <v>2.7490000000000001</v>
      </c>
      <c r="I2877" s="1">
        <v>45875</v>
      </c>
      <c r="J2877" s="1" t="s">
        <v>282</v>
      </c>
      <c r="K2877" s="3">
        <v>10000</v>
      </c>
    </row>
    <row r="2878" spans="1:11">
      <c r="A2878" s="1">
        <v>45869</v>
      </c>
      <c r="B2878" t="s">
        <v>1979</v>
      </c>
      <c r="C2878">
        <v>3.0659999999999998</v>
      </c>
      <c r="I2878" s="1">
        <v>45875</v>
      </c>
      <c r="J2878" s="1" t="s">
        <v>283</v>
      </c>
      <c r="K2878" s="3">
        <v>7</v>
      </c>
    </row>
    <row r="2879" spans="1:11">
      <c r="A2879" s="1">
        <v>45869</v>
      </c>
      <c r="B2879" t="s">
        <v>1980</v>
      </c>
      <c r="C2879">
        <v>3.3359999999999999</v>
      </c>
      <c r="I2879" s="1">
        <v>45875</v>
      </c>
      <c r="J2879" s="1" t="s">
        <v>284</v>
      </c>
      <c r="K2879" s="3">
        <v>28522.880000000001</v>
      </c>
    </row>
    <row r="2880" spans="1:11">
      <c r="A2880" s="1">
        <v>45869</v>
      </c>
      <c r="B2880" t="s">
        <v>1981</v>
      </c>
      <c r="C2880">
        <v>3.44</v>
      </c>
      <c r="I2880" s="1">
        <v>45875</v>
      </c>
      <c r="J2880" s="1" t="s">
        <v>285</v>
      </c>
      <c r="K2880" s="3">
        <v>4</v>
      </c>
    </row>
    <row r="2881" spans="1:11">
      <c r="A2881" s="1">
        <v>45869</v>
      </c>
      <c r="B2881" t="s">
        <v>1982</v>
      </c>
      <c r="C2881">
        <v>3.5019999999999998</v>
      </c>
      <c r="I2881" s="1">
        <v>45875</v>
      </c>
      <c r="J2881" s="1" t="s">
        <v>286</v>
      </c>
      <c r="K2881" s="3">
        <v>26706.35</v>
      </c>
    </row>
    <row r="2882" spans="1:11">
      <c r="A2882" s="1">
        <v>45869</v>
      </c>
      <c r="B2882" t="s">
        <v>1983</v>
      </c>
      <c r="C2882">
        <v>3.5750000000000002</v>
      </c>
      <c r="I2882" s="1">
        <v>45875</v>
      </c>
      <c r="J2882" s="1" t="s">
        <v>287</v>
      </c>
      <c r="K2882" s="3">
        <v>214778.1</v>
      </c>
    </row>
    <row r="2883" spans="1:11">
      <c r="A2883" s="1">
        <v>45869</v>
      </c>
      <c r="B2883" t="s">
        <v>1974</v>
      </c>
      <c r="C2883">
        <v>2.3439999999999999</v>
      </c>
      <c r="I2883" s="1">
        <v>45875</v>
      </c>
      <c r="J2883" s="1" t="s">
        <v>288</v>
      </c>
      <c r="K2883" s="3">
        <v>-93527.81</v>
      </c>
    </row>
    <row r="2884" spans="1:11">
      <c r="A2884" s="1">
        <v>45868</v>
      </c>
      <c r="B2884" t="s">
        <v>1974</v>
      </c>
      <c r="C2884">
        <v>2.34</v>
      </c>
      <c r="I2884" s="1">
        <v>45875</v>
      </c>
      <c r="J2884" s="1" t="s">
        <v>289</v>
      </c>
      <c r="K2884" s="3">
        <v>23</v>
      </c>
    </row>
    <row r="2885" spans="1:11">
      <c r="A2885" s="1">
        <v>45868</v>
      </c>
      <c r="B2885" t="s">
        <v>1975</v>
      </c>
      <c r="C2885">
        <v>2.383</v>
      </c>
      <c r="I2885" s="1">
        <v>45875</v>
      </c>
      <c r="J2885" s="1" t="s">
        <v>290</v>
      </c>
      <c r="K2885" s="3">
        <v>23</v>
      </c>
    </row>
    <row r="2886" spans="1:11">
      <c r="A2886" s="1">
        <v>45868</v>
      </c>
      <c r="B2886" t="s">
        <v>1976</v>
      </c>
      <c r="C2886">
        <v>2.4540000000000002</v>
      </c>
      <c r="I2886" s="1">
        <v>45875</v>
      </c>
      <c r="J2886" s="1" t="s">
        <v>107</v>
      </c>
      <c r="K2886" s="3">
        <v>11438584083240</v>
      </c>
    </row>
    <row r="2887" spans="1:11">
      <c r="A2887" s="1">
        <v>45868</v>
      </c>
      <c r="B2887" t="s">
        <v>1977</v>
      </c>
      <c r="C2887">
        <v>2.5990000000000002</v>
      </c>
      <c r="I2887" s="1">
        <v>45874</v>
      </c>
      <c r="J2887" s="1" t="s">
        <v>107</v>
      </c>
      <c r="K2887" s="3">
        <v>11438584083240</v>
      </c>
    </row>
    <row r="2888" spans="1:11">
      <c r="A2888" s="1">
        <v>45868</v>
      </c>
      <c r="B2888" t="s">
        <v>1978</v>
      </c>
      <c r="C2888">
        <v>2.7429999999999999</v>
      </c>
      <c r="I2888" s="1">
        <v>45874</v>
      </c>
      <c r="J2888" s="1" t="s">
        <v>282</v>
      </c>
      <c r="K2888" s="3">
        <v>10000</v>
      </c>
    </row>
    <row r="2889" spans="1:11">
      <c r="A2889" s="1">
        <v>45868</v>
      </c>
      <c r="B2889" t="s">
        <v>1979</v>
      </c>
      <c r="C2889">
        <v>3.0659999999999998</v>
      </c>
      <c r="I2889" s="1">
        <v>45874</v>
      </c>
      <c r="J2889" s="1" t="s">
        <v>283</v>
      </c>
      <c r="K2889" s="3">
        <v>7</v>
      </c>
    </row>
    <row r="2890" spans="1:11">
      <c r="A2890" s="1">
        <v>45868</v>
      </c>
      <c r="B2890" t="s">
        <v>1980</v>
      </c>
      <c r="C2890">
        <v>3.323</v>
      </c>
      <c r="I2890" s="1">
        <v>45874</v>
      </c>
      <c r="J2890" s="1" t="s">
        <v>284</v>
      </c>
      <c r="K2890" s="3">
        <v>19996.919999999998</v>
      </c>
    </row>
    <row r="2891" spans="1:11">
      <c r="A2891" s="1">
        <v>45868</v>
      </c>
      <c r="B2891" t="s">
        <v>1981</v>
      </c>
      <c r="C2891">
        <v>3.431</v>
      </c>
      <c r="I2891" s="1">
        <v>45874</v>
      </c>
      <c r="J2891" s="1" t="s">
        <v>285</v>
      </c>
      <c r="K2891" s="3">
        <v>4</v>
      </c>
    </row>
    <row r="2892" spans="1:11">
      <c r="A2892" s="1">
        <v>45868</v>
      </c>
      <c r="B2892" t="s">
        <v>1982</v>
      </c>
      <c r="C2892">
        <v>3.4940000000000002</v>
      </c>
      <c r="I2892" s="1">
        <v>45874</v>
      </c>
      <c r="J2892" s="1" t="s">
        <v>286</v>
      </c>
      <c r="K2892" s="3">
        <v>22865.4</v>
      </c>
    </row>
    <row r="2893" spans="1:11">
      <c r="A2893" s="1">
        <v>45868</v>
      </c>
      <c r="B2893" t="s">
        <v>1983</v>
      </c>
      <c r="C2893">
        <v>3.5670000000000002</v>
      </c>
      <c r="I2893" s="1">
        <v>45874</v>
      </c>
      <c r="J2893" s="1" t="s">
        <v>287</v>
      </c>
      <c r="K2893" s="3">
        <v>212961.57</v>
      </c>
    </row>
    <row r="2894" spans="1:11">
      <c r="A2894" s="1">
        <v>45867</v>
      </c>
      <c r="B2894" t="s">
        <v>1974</v>
      </c>
      <c r="C2894">
        <v>2.34</v>
      </c>
      <c r="I2894" s="1">
        <v>45874</v>
      </c>
      <c r="J2894" s="1" t="s">
        <v>288</v>
      </c>
      <c r="K2894" s="3">
        <v>-114043.02</v>
      </c>
    </row>
    <row r="2895" spans="1:11">
      <c r="A2895" s="1">
        <v>45867</v>
      </c>
      <c r="B2895" t="s">
        <v>1975</v>
      </c>
      <c r="C2895">
        <v>2.383</v>
      </c>
      <c r="I2895" s="1">
        <v>45874</v>
      </c>
      <c r="J2895" s="1" t="s">
        <v>289</v>
      </c>
      <c r="K2895" s="3">
        <v>16</v>
      </c>
    </row>
    <row r="2896" spans="1:11">
      <c r="A2896" s="1">
        <v>45867</v>
      </c>
      <c r="B2896" t="s">
        <v>1976</v>
      </c>
      <c r="C2896">
        <v>2.4540000000000002</v>
      </c>
      <c r="I2896" s="1">
        <v>45874</v>
      </c>
      <c r="J2896" s="1" t="s">
        <v>290</v>
      </c>
      <c r="K2896" s="3">
        <v>16</v>
      </c>
    </row>
    <row r="2897" spans="1:11">
      <c r="A2897" s="1">
        <v>45867</v>
      </c>
      <c r="B2897" t="s">
        <v>1977</v>
      </c>
      <c r="C2897">
        <v>2.5979999999999999</v>
      </c>
      <c r="I2897" s="1">
        <v>45873</v>
      </c>
      <c r="J2897" s="1" t="s">
        <v>107</v>
      </c>
      <c r="K2897" s="3">
        <v>10722305866839</v>
      </c>
    </row>
    <row r="2898" spans="1:11">
      <c r="A2898" s="1">
        <v>45867</v>
      </c>
      <c r="B2898" t="s">
        <v>1978</v>
      </c>
      <c r="C2898">
        <v>2.7410000000000001</v>
      </c>
      <c r="I2898" s="1">
        <v>45873</v>
      </c>
      <c r="J2898" s="1" t="s">
        <v>282</v>
      </c>
      <c r="K2898" s="3">
        <v>15000</v>
      </c>
    </row>
    <row r="2899" spans="1:11">
      <c r="A2899" s="1">
        <v>45867</v>
      </c>
      <c r="B2899" t="s">
        <v>1979</v>
      </c>
      <c r="C2899">
        <v>3.0649999999999999</v>
      </c>
      <c r="I2899" s="1">
        <v>45873</v>
      </c>
      <c r="J2899" s="1" t="s">
        <v>283</v>
      </c>
      <c r="K2899" s="3">
        <v>7</v>
      </c>
    </row>
    <row r="2900" spans="1:11">
      <c r="A2900" s="1">
        <v>45867</v>
      </c>
      <c r="B2900" t="s">
        <v>1980</v>
      </c>
      <c r="C2900">
        <v>3.31</v>
      </c>
      <c r="I2900" s="1">
        <v>45873</v>
      </c>
      <c r="J2900" s="1" t="s">
        <v>284</v>
      </c>
      <c r="K2900" s="3">
        <v>25578.560000000001</v>
      </c>
    </row>
    <row r="2901" spans="1:11">
      <c r="A2901" s="1">
        <v>45867</v>
      </c>
      <c r="B2901" t="s">
        <v>1981</v>
      </c>
      <c r="C2901">
        <v>3.4289999999999998</v>
      </c>
      <c r="I2901" s="1">
        <v>45873</v>
      </c>
      <c r="J2901" s="1" t="s">
        <v>285</v>
      </c>
      <c r="K2901" s="3">
        <v>4</v>
      </c>
    </row>
    <row r="2902" spans="1:11">
      <c r="A2902" s="1">
        <v>45867</v>
      </c>
      <c r="B2902" t="s">
        <v>1982</v>
      </c>
      <c r="C2902">
        <v>3.4940000000000002</v>
      </c>
      <c r="I2902" s="1">
        <v>45873</v>
      </c>
      <c r="J2902" s="1" t="s">
        <v>286</v>
      </c>
      <c r="K2902" s="3">
        <v>18853.62</v>
      </c>
    </row>
    <row r="2903" spans="1:11">
      <c r="A2903" s="1">
        <v>45867</v>
      </c>
      <c r="B2903" t="s">
        <v>1983</v>
      </c>
      <c r="C2903">
        <v>3.5670000000000002</v>
      </c>
      <c r="I2903" s="1">
        <v>45873</v>
      </c>
      <c r="J2903" s="1" t="s">
        <v>287</v>
      </c>
      <c r="K2903" s="3">
        <v>215830.05</v>
      </c>
    </row>
    <row r="2904" spans="1:11">
      <c r="A2904" s="1">
        <v>45866</v>
      </c>
      <c r="B2904" t="s">
        <v>1974</v>
      </c>
      <c r="C2904">
        <v>2.3210000000000002</v>
      </c>
      <c r="I2904" s="1">
        <v>45873</v>
      </c>
      <c r="J2904" s="1" t="s">
        <v>288</v>
      </c>
      <c r="K2904" s="3">
        <v>-121126.5</v>
      </c>
    </row>
    <row r="2905" spans="1:11">
      <c r="A2905" s="1">
        <v>45866</v>
      </c>
      <c r="B2905" t="s">
        <v>1975</v>
      </c>
      <c r="C2905">
        <v>2.36</v>
      </c>
      <c r="I2905" s="1">
        <v>45873</v>
      </c>
      <c r="J2905" s="1" t="s">
        <v>289</v>
      </c>
      <c r="K2905" s="3">
        <v>15</v>
      </c>
    </row>
    <row r="2906" spans="1:11">
      <c r="A2906" s="1">
        <v>45866</v>
      </c>
      <c r="B2906" t="s">
        <v>1976</v>
      </c>
      <c r="C2906">
        <v>2.4329999999999998</v>
      </c>
      <c r="I2906" s="1">
        <v>45873</v>
      </c>
      <c r="J2906" s="1" t="s">
        <v>290</v>
      </c>
      <c r="K2906" s="3">
        <v>15</v>
      </c>
    </row>
    <row r="2907" spans="1:11">
      <c r="A2907" s="1">
        <v>45866</v>
      </c>
      <c r="B2907" t="s">
        <v>1977</v>
      </c>
      <c r="C2907">
        <v>2.5840000000000001</v>
      </c>
      <c r="I2907" s="1">
        <v>45872</v>
      </c>
      <c r="J2907" s="1" t="s">
        <v>107</v>
      </c>
      <c r="K2907" s="3">
        <v>9696129305457</v>
      </c>
    </row>
    <row r="2908" spans="1:11">
      <c r="A2908" s="1">
        <v>45866</v>
      </c>
      <c r="B2908" t="s">
        <v>1978</v>
      </c>
      <c r="C2908">
        <v>2.734</v>
      </c>
      <c r="I2908" s="1">
        <v>45870</v>
      </c>
      <c r="J2908" s="1" t="s">
        <v>282</v>
      </c>
      <c r="K2908" s="3">
        <v>10000</v>
      </c>
    </row>
    <row r="2909" spans="1:11">
      <c r="A2909" s="1">
        <v>45866</v>
      </c>
      <c r="B2909" t="s">
        <v>1979</v>
      </c>
      <c r="C2909">
        <v>3.0640000000000001</v>
      </c>
      <c r="I2909" s="1">
        <v>45870</v>
      </c>
      <c r="J2909" s="1" t="s">
        <v>283</v>
      </c>
      <c r="K2909" s="3">
        <v>7</v>
      </c>
    </row>
    <row r="2910" spans="1:11">
      <c r="A2910" s="1">
        <v>45866</v>
      </c>
      <c r="B2910" t="s">
        <v>1980</v>
      </c>
      <c r="C2910">
        <v>3.31</v>
      </c>
      <c r="I2910" s="1">
        <v>45870</v>
      </c>
      <c r="J2910" s="1" t="s">
        <v>284</v>
      </c>
      <c r="K2910" s="3">
        <v>30976.44</v>
      </c>
    </row>
    <row r="2911" spans="1:11">
      <c r="A2911" s="1">
        <v>45866</v>
      </c>
      <c r="B2911" t="s">
        <v>1981</v>
      </c>
      <c r="C2911">
        <v>3.4289999999999998</v>
      </c>
      <c r="I2911" s="1">
        <v>45870</v>
      </c>
      <c r="J2911" s="1" t="s">
        <v>285</v>
      </c>
      <c r="K2911" s="3">
        <v>4</v>
      </c>
    </row>
    <row r="2912" spans="1:11">
      <c r="A2912" s="1">
        <v>45866</v>
      </c>
      <c r="B2912" t="s">
        <v>1982</v>
      </c>
      <c r="C2912">
        <v>3.49</v>
      </c>
      <c r="I2912" s="1">
        <v>45870</v>
      </c>
      <c r="J2912" s="1" t="s">
        <v>286</v>
      </c>
      <c r="K2912" s="3">
        <v>28746.31</v>
      </c>
    </row>
    <row r="2913" spans="1:11">
      <c r="A2913" s="1">
        <v>45866</v>
      </c>
      <c r="B2913" t="s">
        <v>1983</v>
      </c>
      <c r="C2913">
        <v>3.5579999999999998</v>
      </c>
      <c r="I2913" s="1">
        <v>45870</v>
      </c>
      <c r="J2913" s="1" t="s">
        <v>287</v>
      </c>
      <c r="K2913" s="3">
        <v>209105.11</v>
      </c>
    </row>
    <row r="2914" spans="1:11">
      <c r="A2914" s="1">
        <v>45863</v>
      </c>
      <c r="B2914" t="s">
        <v>1974</v>
      </c>
      <c r="C2914">
        <v>2.3210000000000002</v>
      </c>
      <c r="I2914" s="1">
        <v>45870</v>
      </c>
      <c r="J2914" s="1" t="s">
        <v>288</v>
      </c>
      <c r="K2914" s="3">
        <v>-118125.18</v>
      </c>
    </row>
    <row r="2915" spans="1:11">
      <c r="A2915" s="1">
        <v>45863</v>
      </c>
      <c r="B2915" t="s">
        <v>1975</v>
      </c>
      <c r="C2915">
        <v>2.36</v>
      </c>
      <c r="I2915" s="1">
        <v>45870</v>
      </c>
      <c r="J2915" s="1" t="s">
        <v>289</v>
      </c>
      <c r="K2915" s="3">
        <v>15</v>
      </c>
    </row>
    <row r="2916" spans="1:11">
      <c r="A2916" s="1">
        <v>45863</v>
      </c>
      <c r="B2916" t="s">
        <v>1976</v>
      </c>
      <c r="C2916">
        <v>2.4329999999999998</v>
      </c>
      <c r="I2916" s="1">
        <v>45870</v>
      </c>
      <c r="J2916" s="1" t="s">
        <v>290</v>
      </c>
      <c r="K2916" s="3">
        <v>15</v>
      </c>
    </row>
    <row r="2917" spans="1:11">
      <c r="A2917" s="1">
        <v>45863</v>
      </c>
      <c r="B2917" t="s">
        <v>1977</v>
      </c>
      <c r="C2917">
        <v>2.5840000000000001</v>
      </c>
      <c r="I2917" s="1">
        <v>45869</v>
      </c>
      <c r="J2917" s="1" t="s">
        <v>107</v>
      </c>
      <c r="K2917" s="3">
        <v>9229337757669</v>
      </c>
    </row>
    <row r="2918" spans="1:11">
      <c r="A2918" s="1">
        <v>45863</v>
      </c>
      <c r="B2918" t="s">
        <v>1978</v>
      </c>
      <c r="C2918">
        <v>2.734</v>
      </c>
      <c r="I2918" s="1">
        <v>45869</v>
      </c>
      <c r="J2918" s="1" t="s">
        <v>288</v>
      </c>
      <c r="K2918" s="3">
        <v>-127710.9</v>
      </c>
    </row>
    <row r="2919" spans="1:11">
      <c r="A2919" s="1">
        <v>45863</v>
      </c>
      <c r="B2919" t="s">
        <v>1979</v>
      </c>
      <c r="C2919">
        <v>3.0649999999999999</v>
      </c>
      <c r="I2919" s="1">
        <v>45869</v>
      </c>
      <c r="J2919" s="1" t="s">
        <v>289</v>
      </c>
      <c r="K2919" s="3">
        <v>3</v>
      </c>
    </row>
    <row r="2920" spans="1:11">
      <c r="A2920" s="1">
        <v>45863</v>
      </c>
      <c r="B2920" t="s">
        <v>1980</v>
      </c>
      <c r="C2920">
        <v>3.3149999999999999</v>
      </c>
      <c r="I2920" s="1">
        <v>45869</v>
      </c>
      <c r="J2920" s="1" t="s">
        <v>290</v>
      </c>
      <c r="K2920" s="3">
        <v>3</v>
      </c>
    </row>
    <row r="2921" spans="1:11">
      <c r="A2921" s="1">
        <v>45863</v>
      </c>
      <c r="B2921" t="s">
        <v>1981</v>
      </c>
      <c r="C2921">
        <v>3.4289999999999998</v>
      </c>
      <c r="I2921" s="1">
        <v>45869</v>
      </c>
      <c r="J2921" s="1" t="s">
        <v>282</v>
      </c>
      <c r="K2921" s="3">
        <v>10000</v>
      </c>
    </row>
    <row r="2922" spans="1:11">
      <c r="A2922" s="1">
        <v>45863</v>
      </c>
      <c r="B2922" t="s">
        <v>1982</v>
      </c>
      <c r="C2922">
        <v>3.49</v>
      </c>
      <c r="I2922" s="1">
        <v>45869</v>
      </c>
      <c r="J2922" s="1" t="s">
        <v>283</v>
      </c>
      <c r="K2922" s="3">
        <v>7</v>
      </c>
    </row>
    <row r="2923" spans="1:11">
      <c r="A2923" s="1">
        <v>45863</v>
      </c>
      <c r="B2923" t="s">
        <v>1983</v>
      </c>
      <c r="C2923">
        <v>3.5579999999999998</v>
      </c>
      <c r="I2923" s="1">
        <v>45869</v>
      </c>
      <c r="J2923" s="1" t="s">
        <v>284</v>
      </c>
      <c r="K2923" s="3">
        <v>7835.26</v>
      </c>
    </row>
    <row r="2924" spans="1:11">
      <c r="A2924" s="1">
        <v>45862</v>
      </c>
      <c r="B2924" t="s">
        <v>1974</v>
      </c>
      <c r="C2924">
        <v>2.3039999999999998</v>
      </c>
      <c r="I2924" s="1">
        <v>45869</v>
      </c>
      <c r="J2924" s="1" t="s">
        <v>285</v>
      </c>
      <c r="K2924" s="3">
        <v>4</v>
      </c>
    </row>
    <row r="2925" spans="1:11">
      <c r="A2925" s="1">
        <v>45862</v>
      </c>
      <c r="B2925" t="s">
        <v>1975</v>
      </c>
      <c r="C2925">
        <v>2.3439999999999999</v>
      </c>
      <c r="I2925" s="1">
        <v>45869</v>
      </c>
      <c r="J2925" s="1" t="s">
        <v>286</v>
      </c>
      <c r="K2925" s="3">
        <v>14431.76</v>
      </c>
    </row>
    <row r="2926" spans="1:11">
      <c r="A2926" s="1">
        <v>45862</v>
      </c>
      <c r="B2926" t="s">
        <v>1976</v>
      </c>
      <c r="C2926">
        <v>2.4249999999999998</v>
      </c>
      <c r="I2926" s="1">
        <v>45869</v>
      </c>
      <c r="J2926" s="1" t="s">
        <v>287</v>
      </c>
      <c r="K2926" s="3">
        <v>206874.98</v>
      </c>
    </row>
    <row r="2927" spans="1:11">
      <c r="A2927" s="1">
        <v>45862</v>
      </c>
      <c r="B2927" t="s">
        <v>1977</v>
      </c>
      <c r="C2927">
        <v>2.5790000000000002</v>
      </c>
      <c r="I2927" s="1">
        <v>45868</v>
      </c>
      <c r="J2927" s="1" t="s">
        <v>288</v>
      </c>
      <c r="K2927" s="3">
        <v>-111603.44</v>
      </c>
    </row>
    <row r="2928" spans="1:11">
      <c r="A2928" s="1">
        <v>45862</v>
      </c>
      <c r="B2928" t="s">
        <v>1978</v>
      </c>
      <c r="C2928">
        <v>2.7320000000000002</v>
      </c>
      <c r="I2928" s="1">
        <v>45868</v>
      </c>
      <c r="J2928" s="1" t="s">
        <v>289</v>
      </c>
      <c r="K2928" s="3">
        <v>3</v>
      </c>
    </row>
    <row r="2929" spans="1:11">
      <c r="A2929" s="1">
        <v>45862</v>
      </c>
      <c r="B2929" t="s">
        <v>1979</v>
      </c>
      <c r="C2929">
        <v>3.0569999999999999</v>
      </c>
      <c r="I2929" s="1">
        <v>45868</v>
      </c>
      <c r="J2929" s="1" t="s">
        <v>290</v>
      </c>
      <c r="K2929" s="3">
        <v>3</v>
      </c>
    </row>
    <row r="2930" spans="1:11">
      <c r="A2930" s="1">
        <v>45862</v>
      </c>
      <c r="B2930" t="s">
        <v>1980</v>
      </c>
      <c r="C2930">
        <v>3.3239999999999998</v>
      </c>
      <c r="I2930" s="1">
        <v>45868</v>
      </c>
      <c r="J2930" s="1" t="s">
        <v>282</v>
      </c>
      <c r="K2930" s="3">
        <v>5000</v>
      </c>
    </row>
    <row r="2931" spans="1:11">
      <c r="A2931" s="1">
        <v>45862</v>
      </c>
      <c r="B2931" t="s">
        <v>1981</v>
      </c>
      <c r="C2931">
        <v>3.4319999999999999</v>
      </c>
      <c r="I2931" s="1">
        <v>45868</v>
      </c>
      <c r="J2931" s="1" t="s">
        <v>283</v>
      </c>
      <c r="K2931" s="3">
        <v>7</v>
      </c>
    </row>
    <row r="2932" spans="1:11">
      <c r="A2932" s="1">
        <v>45862</v>
      </c>
      <c r="B2932" t="s">
        <v>1982</v>
      </c>
      <c r="C2932">
        <v>3.4769999999999999</v>
      </c>
      <c r="I2932" s="1">
        <v>45868</v>
      </c>
      <c r="J2932" s="1" t="s">
        <v>284</v>
      </c>
      <c r="K2932" s="3">
        <v>1493.85</v>
      </c>
    </row>
    <row r="2933" spans="1:11">
      <c r="A2933" s="1">
        <v>45862</v>
      </c>
      <c r="B2933" t="s">
        <v>1983</v>
      </c>
      <c r="C2933">
        <v>3.55</v>
      </c>
      <c r="I2933" s="1">
        <v>45868</v>
      </c>
      <c r="J2933" s="1" t="s">
        <v>285</v>
      </c>
      <c r="K2933" s="3">
        <v>4</v>
      </c>
    </row>
    <row r="2934" spans="1:11">
      <c r="A2934" s="1">
        <v>45861</v>
      </c>
      <c r="B2934" t="s">
        <v>1974</v>
      </c>
      <c r="C2934">
        <v>2.2709999999999999</v>
      </c>
      <c r="I2934" s="1">
        <v>45868</v>
      </c>
      <c r="J2934" s="1" t="s">
        <v>286</v>
      </c>
      <c r="K2934" s="3">
        <v>10548.65</v>
      </c>
    </row>
    <row r="2935" spans="1:11">
      <c r="A2935" s="1">
        <v>45861</v>
      </c>
      <c r="B2935" t="s">
        <v>1975</v>
      </c>
      <c r="C2935">
        <v>2.302</v>
      </c>
      <c r="I2935" s="1">
        <v>45868</v>
      </c>
      <c r="J2935" s="1" t="s">
        <v>287</v>
      </c>
      <c r="K2935" s="3">
        <v>213471.48</v>
      </c>
    </row>
    <row r="2936" spans="1:11">
      <c r="A2936" s="1">
        <v>45861</v>
      </c>
      <c r="B2936" t="s">
        <v>1976</v>
      </c>
      <c r="C2936">
        <v>2.3730000000000002</v>
      </c>
      <c r="I2936" s="1">
        <v>45868</v>
      </c>
      <c r="J2936" s="1" t="s">
        <v>107</v>
      </c>
      <c r="K2936" s="3">
        <v>7250950566547</v>
      </c>
    </row>
    <row r="2937" spans="1:11">
      <c r="A2937" s="1">
        <v>45861</v>
      </c>
      <c r="B2937" t="s">
        <v>1977</v>
      </c>
      <c r="C2937">
        <v>2.5419999999999998</v>
      </c>
      <c r="I2937" s="1">
        <v>45867</v>
      </c>
      <c r="J2937" s="1" t="s">
        <v>282</v>
      </c>
      <c r="K2937" s="3">
        <v>10000</v>
      </c>
    </row>
    <row r="2938" spans="1:11">
      <c r="A2938" s="1">
        <v>45861</v>
      </c>
      <c r="B2938" t="s">
        <v>1978</v>
      </c>
      <c r="C2938">
        <v>2.7109999999999999</v>
      </c>
      <c r="I2938" s="1">
        <v>45867</v>
      </c>
      <c r="J2938" s="1" t="s">
        <v>283</v>
      </c>
      <c r="K2938" s="3">
        <v>7</v>
      </c>
    </row>
    <row r="2939" spans="1:11">
      <c r="A2939" s="1">
        <v>45861</v>
      </c>
      <c r="B2939" t="s">
        <v>1979</v>
      </c>
      <c r="C2939">
        <v>3.0310000000000001</v>
      </c>
      <c r="I2939" s="1">
        <v>45867</v>
      </c>
      <c r="J2939" s="1" t="s">
        <v>284</v>
      </c>
      <c r="K2939" s="3">
        <v>10149.280000000001</v>
      </c>
    </row>
    <row r="2940" spans="1:11">
      <c r="A2940" s="1">
        <v>45861</v>
      </c>
      <c r="B2940" t="s">
        <v>1980</v>
      </c>
      <c r="C2940">
        <v>3.3050000000000002</v>
      </c>
      <c r="I2940" s="1">
        <v>45867</v>
      </c>
      <c r="J2940" s="1" t="s">
        <v>285</v>
      </c>
      <c r="K2940" s="3">
        <v>4</v>
      </c>
    </row>
    <row r="2941" spans="1:11">
      <c r="A2941" s="1">
        <v>45861</v>
      </c>
      <c r="B2941" t="s">
        <v>1981</v>
      </c>
      <c r="C2941">
        <v>3.407</v>
      </c>
      <c r="I2941" s="1">
        <v>45867</v>
      </c>
      <c r="J2941" s="1" t="s">
        <v>286</v>
      </c>
      <c r="K2941" s="3">
        <v>13053.03</v>
      </c>
    </row>
    <row r="2942" spans="1:11">
      <c r="A2942" s="1">
        <v>45861</v>
      </c>
      <c r="B2942" t="s">
        <v>1982</v>
      </c>
      <c r="C2942">
        <v>3.4420000000000002</v>
      </c>
      <c r="I2942" s="1">
        <v>45867</v>
      </c>
      <c r="J2942" s="1" t="s">
        <v>287</v>
      </c>
      <c r="K2942" s="3">
        <v>222526.28</v>
      </c>
    </row>
    <row r="2943" spans="1:11">
      <c r="A2943" s="1">
        <v>45861</v>
      </c>
      <c r="B2943" t="s">
        <v>1983</v>
      </c>
      <c r="C2943">
        <v>3.5169999999999999</v>
      </c>
      <c r="I2943" s="1">
        <v>45867</v>
      </c>
      <c r="J2943" s="1" t="s">
        <v>288</v>
      </c>
      <c r="K2943" s="3">
        <v>-95445.74</v>
      </c>
    </row>
    <row r="2944" spans="1:11">
      <c r="A2944" s="1">
        <v>45860</v>
      </c>
      <c r="B2944" t="s">
        <v>1974</v>
      </c>
      <c r="C2944">
        <v>2.2690000000000001</v>
      </c>
      <c r="I2944" s="1">
        <v>45867</v>
      </c>
      <c r="J2944" s="1" t="s">
        <v>289</v>
      </c>
      <c r="K2944" s="3">
        <v>4</v>
      </c>
    </row>
    <row r="2945" spans="1:11">
      <c r="A2945" s="1">
        <v>45860</v>
      </c>
      <c r="B2945" t="s">
        <v>1975</v>
      </c>
      <c r="C2945">
        <v>2.302</v>
      </c>
      <c r="I2945" s="1">
        <v>45867</v>
      </c>
      <c r="J2945" s="1" t="s">
        <v>290</v>
      </c>
      <c r="K2945" s="3">
        <v>4</v>
      </c>
    </row>
    <row r="2946" spans="1:11">
      <c r="A2946" s="1">
        <v>45860</v>
      </c>
      <c r="B2946" t="s">
        <v>1976</v>
      </c>
      <c r="C2946">
        <v>2.3690000000000002</v>
      </c>
      <c r="I2946" s="1">
        <v>45867</v>
      </c>
      <c r="J2946" s="1" t="s">
        <v>107</v>
      </c>
      <c r="K2946" s="3">
        <v>5930136807175</v>
      </c>
    </row>
    <row r="2947" spans="1:11">
      <c r="A2947" s="1">
        <v>45860</v>
      </c>
      <c r="B2947" t="s">
        <v>1977</v>
      </c>
      <c r="C2947">
        <v>2.5289999999999999</v>
      </c>
      <c r="I2947" s="1">
        <v>45866</v>
      </c>
      <c r="J2947" s="1" t="s">
        <v>282</v>
      </c>
      <c r="K2947" s="3">
        <v>10000</v>
      </c>
    </row>
    <row r="2948" spans="1:11">
      <c r="A2948" s="1">
        <v>45860</v>
      </c>
      <c r="B2948" t="s">
        <v>1978</v>
      </c>
      <c r="C2948">
        <v>2.69</v>
      </c>
      <c r="I2948" s="1">
        <v>45866</v>
      </c>
      <c r="J2948" s="1" t="s">
        <v>283</v>
      </c>
      <c r="K2948" s="3">
        <v>7</v>
      </c>
    </row>
    <row r="2949" spans="1:11">
      <c r="A2949" s="1">
        <v>45860</v>
      </c>
      <c r="B2949" t="s">
        <v>1979</v>
      </c>
      <c r="C2949">
        <v>3.028</v>
      </c>
      <c r="I2949" s="1">
        <v>45866</v>
      </c>
      <c r="J2949" s="1" t="s">
        <v>284</v>
      </c>
      <c r="K2949" s="3">
        <v>18378</v>
      </c>
    </row>
    <row r="2950" spans="1:11">
      <c r="A2950" s="1">
        <v>45860</v>
      </c>
      <c r="B2950" t="s">
        <v>1980</v>
      </c>
      <c r="C2950">
        <v>3.2850000000000001</v>
      </c>
      <c r="I2950" s="1">
        <v>45866</v>
      </c>
      <c r="J2950" s="1" t="s">
        <v>285</v>
      </c>
      <c r="K2950" s="3">
        <v>4</v>
      </c>
    </row>
    <row r="2951" spans="1:11">
      <c r="A2951" s="1">
        <v>45860</v>
      </c>
      <c r="B2951" t="s">
        <v>1981</v>
      </c>
      <c r="C2951">
        <v>3.3929999999999998</v>
      </c>
      <c r="I2951" s="1">
        <v>45866</v>
      </c>
      <c r="J2951" s="1" t="s">
        <v>286</v>
      </c>
      <c r="K2951" s="3">
        <v>3818.7</v>
      </c>
    </row>
    <row r="2952" spans="1:11">
      <c r="A2952" s="1">
        <v>45860</v>
      </c>
      <c r="B2952" t="s">
        <v>1982</v>
      </c>
      <c r="C2952">
        <v>3.4329999999999998</v>
      </c>
      <c r="I2952" s="1">
        <v>45866</v>
      </c>
      <c r="J2952" s="1" t="s">
        <v>287</v>
      </c>
      <c r="K2952" s="3">
        <v>225430.03</v>
      </c>
    </row>
    <row r="2953" spans="1:11">
      <c r="A2953" s="1">
        <v>45860</v>
      </c>
      <c r="B2953" t="s">
        <v>1983</v>
      </c>
      <c r="C2953">
        <v>3.5169999999999999</v>
      </c>
      <c r="I2953" s="1">
        <v>45866</v>
      </c>
      <c r="J2953" s="1" t="s">
        <v>288</v>
      </c>
      <c r="K2953" s="3">
        <v>-85633.37</v>
      </c>
    </row>
    <row r="2954" spans="1:11">
      <c r="A2954" s="1">
        <v>45859</v>
      </c>
      <c r="B2954" t="s">
        <v>1974</v>
      </c>
      <c r="C2954">
        <v>2.2690000000000001</v>
      </c>
      <c r="I2954" s="1">
        <v>45866</v>
      </c>
      <c r="J2954" s="1" t="s">
        <v>289</v>
      </c>
      <c r="K2954" s="3">
        <v>7</v>
      </c>
    </row>
    <row r="2955" spans="1:11">
      <c r="A2955" s="1">
        <v>45859</v>
      </c>
      <c r="B2955" t="s">
        <v>1975</v>
      </c>
      <c r="C2955">
        <v>2.302</v>
      </c>
      <c r="I2955" s="1">
        <v>45866</v>
      </c>
      <c r="J2955" s="1" t="s">
        <v>290</v>
      </c>
      <c r="K2955" s="3">
        <v>7</v>
      </c>
    </row>
    <row r="2956" spans="1:11">
      <c r="A2956" s="1">
        <v>45859</v>
      </c>
      <c r="B2956" t="s">
        <v>1976</v>
      </c>
      <c r="C2956">
        <v>2.3690000000000002</v>
      </c>
      <c r="I2956" s="1">
        <v>45866</v>
      </c>
      <c r="J2956" s="1" t="s">
        <v>107</v>
      </c>
      <c r="K2956" s="3">
        <v>4595575406331</v>
      </c>
    </row>
    <row r="2957" spans="1:11">
      <c r="A2957" s="1">
        <v>45859</v>
      </c>
      <c r="B2957" t="s">
        <v>1977</v>
      </c>
      <c r="C2957">
        <v>2.5299999999999998</v>
      </c>
      <c r="I2957" s="1">
        <v>45865</v>
      </c>
      <c r="J2957" s="1" t="s">
        <v>107</v>
      </c>
      <c r="K2957" s="3">
        <v>3030911945593</v>
      </c>
    </row>
    <row r="2958" spans="1:11">
      <c r="A2958" s="1">
        <v>45859</v>
      </c>
      <c r="B2958" t="s">
        <v>1978</v>
      </c>
      <c r="C2958">
        <v>2.6909999999999998</v>
      </c>
      <c r="I2958" s="1">
        <v>45863</v>
      </c>
      <c r="J2958" s="1" t="s">
        <v>282</v>
      </c>
      <c r="K2958" s="3">
        <v>15000</v>
      </c>
    </row>
    <row r="2959" spans="1:11">
      <c r="A2959" s="1">
        <v>45859</v>
      </c>
      <c r="B2959" t="s">
        <v>1979</v>
      </c>
      <c r="C2959">
        <v>3.028</v>
      </c>
      <c r="I2959" s="1">
        <v>45863</v>
      </c>
      <c r="J2959" s="1" t="s">
        <v>283</v>
      </c>
      <c r="K2959" s="3">
        <v>7</v>
      </c>
    </row>
    <row r="2960" spans="1:11">
      <c r="A2960" s="1">
        <v>45859</v>
      </c>
      <c r="B2960" t="s">
        <v>1980</v>
      </c>
      <c r="C2960">
        <v>3.2839999999999998</v>
      </c>
      <c r="I2960" s="1">
        <v>45863</v>
      </c>
      <c r="J2960" s="1" t="s">
        <v>284</v>
      </c>
      <c r="K2960" s="3">
        <v>31528.76</v>
      </c>
    </row>
    <row r="2961" spans="1:11">
      <c r="A2961" s="1">
        <v>45859</v>
      </c>
      <c r="B2961" t="s">
        <v>1981</v>
      </c>
      <c r="C2961">
        <v>3.395</v>
      </c>
      <c r="I2961" s="1">
        <v>45863</v>
      </c>
      <c r="J2961" s="1" t="s">
        <v>285</v>
      </c>
      <c r="K2961" s="3">
        <v>4</v>
      </c>
    </row>
    <row r="2962" spans="1:11">
      <c r="A2962" s="1">
        <v>45859</v>
      </c>
      <c r="B2962" t="s">
        <v>1982</v>
      </c>
      <c r="C2962">
        <v>3.4329999999999998</v>
      </c>
      <c r="I2962" s="1">
        <v>45863</v>
      </c>
      <c r="J2962" s="1" t="s">
        <v>286</v>
      </c>
      <c r="K2962" s="3">
        <v>7940.46</v>
      </c>
    </row>
    <row r="2963" spans="1:11">
      <c r="A2963" s="1">
        <v>45859</v>
      </c>
      <c r="B2963" t="s">
        <v>1983</v>
      </c>
      <c r="C2963">
        <v>3.5169999999999999</v>
      </c>
      <c r="I2963" s="1">
        <v>45863</v>
      </c>
      <c r="J2963" s="1" t="s">
        <v>287</v>
      </c>
      <c r="K2963" s="3">
        <v>210870.73</v>
      </c>
    </row>
    <row r="2964" spans="1:11">
      <c r="A2964" s="1">
        <v>45856</v>
      </c>
      <c r="B2964" t="s">
        <v>1974</v>
      </c>
      <c r="C2964">
        <v>2.2690000000000001</v>
      </c>
      <c r="I2964" s="1">
        <v>45863</v>
      </c>
      <c r="J2964" s="1" t="s">
        <v>288</v>
      </c>
      <c r="K2964" s="3">
        <v>-70598.45</v>
      </c>
    </row>
    <row r="2965" spans="1:11">
      <c r="A2965" s="1">
        <v>45856</v>
      </c>
      <c r="B2965" t="s">
        <v>1975</v>
      </c>
      <c r="C2965">
        <v>2.302</v>
      </c>
      <c r="I2965" s="1">
        <v>45863</v>
      </c>
      <c r="J2965" s="1" t="s">
        <v>289</v>
      </c>
      <c r="K2965" s="3">
        <v>19</v>
      </c>
    </row>
    <row r="2966" spans="1:11">
      <c r="A2966" s="1">
        <v>45856</v>
      </c>
      <c r="B2966" t="s">
        <v>1976</v>
      </c>
      <c r="C2966">
        <v>2.3690000000000002</v>
      </c>
      <c r="I2966" s="1">
        <v>45863</v>
      </c>
      <c r="J2966" s="1" t="s">
        <v>290</v>
      </c>
      <c r="K2966" s="3">
        <v>19</v>
      </c>
    </row>
    <row r="2967" spans="1:11">
      <c r="A2967" s="1">
        <v>45856</v>
      </c>
      <c r="B2967" t="s">
        <v>1977</v>
      </c>
      <c r="C2967">
        <v>2.5259999999999998</v>
      </c>
      <c r="I2967" s="1">
        <v>45862</v>
      </c>
      <c r="J2967" s="1" t="s">
        <v>282</v>
      </c>
      <c r="K2967" s="3">
        <v>17000</v>
      </c>
    </row>
    <row r="2968" spans="1:11">
      <c r="A2968" s="1">
        <v>45856</v>
      </c>
      <c r="B2968" t="s">
        <v>1978</v>
      </c>
      <c r="C2968">
        <v>2.6840000000000002</v>
      </c>
      <c r="I2968" s="1">
        <v>45862</v>
      </c>
      <c r="J2968" s="1" t="s">
        <v>283</v>
      </c>
      <c r="K2968" s="3">
        <v>7</v>
      </c>
    </row>
    <row r="2969" spans="1:11">
      <c r="A2969" s="1">
        <v>45856</v>
      </c>
      <c r="B2969" t="s">
        <v>1979</v>
      </c>
      <c r="C2969">
        <v>3.0259999999999998</v>
      </c>
      <c r="I2969" s="1">
        <v>45862</v>
      </c>
      <c r="J2969" s="1" t="s">
        <v>284</v>
      </c>
      <c r="K2969" s="3">
        <v>47176.06</v>
      </c>
    </row>
    <row r="2970" spans="1:11">
      <c r="A2970" s="1">
        <v>45856</v>
      </c>
      <c r="B2970" t="s">
        <v>1980</v>
      </c>
      <c r="C2970">
        <v>3.2810000000000001</v>
      </c>
      <c r="I2970" s="1">
        <v>45862</v>
      </c>
      <c r="J2970" s="1" t="s">
        <v>285</v>
      </c>
      <c r="K2970" s="3">
        <v>4</v>
      </c>
    </row>
    <row r="2971" spans="1:11">
      <c r="A2971" s="1">
        <v>45856</v>
      </c>
      <c r="B2971" t="s">
        <v>1981</v>
      </c>
      <c r="C2971">
        <v>3.391</v>
      </c>
      <c r="I2971" s="1">
        <v>45862</v>
      </c>
      <c r="J2971" s="1" t="s">
        <v>286</v>
      </c>
      <c r="K2971" s="3">
        <v>24678.19</v>
      </c>
    </row>
    <row r="2972" spans="1:11">
      <c r="A2972" s="1">
        <v>45856</v>
      </c>
      <c r="B2972" t="s">
        <v>1982</v>
      </c>
      <c r="C2972">
        <v>3.4329999999999998</v>
      </c>
      <c r="I2972" s="1">
        <v>45862</v>
      </c>
      <c r="J2972" s="1" t="s">
        <v>287</v>
      </c>
      <c r="K2972" s="3">
        <v>187282.43</v>
      </c>
    </row>
    <row r="2973" spans="1:11">
      <c r="A2973" s="1">
        <v>45856</v>
      </c>
      <c r="B2973" t="s">
        <v>1983</v>
      </c>
      <c r="C2973">
        <v>3.5169999999999999</v>
      </c>
      <c r="I2973" s="1">
        <v>45862</v>
      </c>
      <c r="J2973" s="1" t="s">
        <v>288</v>
      </c>
      <c r="K2973" s="3">
        <v>-49792.6</v>
      </c>
    </row>
    <row r="2974" spans="1:11">
      <c r="A2974" s="1">
        <v>45855</v>
      </c>
      <c r="B2974" t="s">
        <v>1974</v>
      </c>
      <c r="C2974">
        <v>2.2690000000000001</v>
      </c>
      <c r="I2974" s="1">
        <v>45862</v>
      </c>
      <c r="J2974" s="1" t="s">
        <v>289</v>
      </c>
      <c r="K2974" s="3">
        <v>26</v>
      </c>
    </row>
    <row r="2975" spans="1:11">
      <c r="A2975" s="1">
        <v>45855</v>
      </c>
      <c r="B2975" t="s">
        <v>1975</v>
      </c>
      <c r="C2975">
        <v>2.302</v>
      </c>
      <c r="I2975" s="1">
        <v>45862</v>
      </c>
      <c r="J2975" s="1" t="s">
        <v>290</v>
      </c>
      <c r="K2975" s="3">
        <v>26</v>
      </c>
    </row>
    <row r="2976" spans="1:11">
      <c r="A2976" s="1">
        <v>45855</v>
      </c>
      <c r="B2976" t="s">
        <v>1976</v>
      </c>
      <c r="C2976">
        <v>2.3690000000000002</v>
      </c>
      <c r="I2976" s="1">
        <v>45862</v>
      </c>
      <c r="J2976" s="1" t="s">
        <v>107</v>
      </c>
      <c r="K2976" s="3">
        <v>1720890425809</v>
      </c>
    </row>
    <row r="2977" spans="1:11">
      <c r="A2977" s="1">
        <v>45855</v>
      </c>
      <c r="B2977" t="s">
        <v>1977</v>
      </c>
      <c r="C2977">
        <v>2.5209999999999999</v>
      </c>
      <c r="I2977" s="1">
        <v>45861</v>
      </c>
      <c r="J2977" s="1" t="s">
        <v>282</v>
      </c>
      <c r="K2977" s="3">
        <v>15000</v>
      </c>
    </row>
    <row r="2978" spans="1:11">
      <c r="A2978" s="1">
        <v>45855</v>
      </c>
      <c r="B2978" t="s">
        <v>1978</v>
      </c>
      <c r="C2978">
        <v>2.6739999999999999</v>
      </c>
      <c r="I2978" s="1">
        <v>45861</v>
      </c>
      <c r="J2978" s="1" t="s">
        <v>283</v>
      </c>
      <c r="K2978" s="3">
        <v>7</v>
      </c>
    </row>
    <row r="2979" spans="1:11">
      <c r="A2979" s="1">
        <v>45855</v>
      </c>
      <c r="B2979" t="s">
        <v>1979</v>
      </c>
      <c r="C2979">
        <v>3.0129999999999999</v>
      </c>
      <c r="I2979" s="1">
        <v>45861</v>
      </c>
      <c r="J2979" s="1" t="s">
        <v>284</v>
      </c>
      <c r="K2979" s="3">
        <v>38713.629999999997</v>
      </c>
    </row>
    <row r="2980" spans="1:11">
      <c r="A2980" s="1">
        <v>45855</v>
      </c>
      <c r="B2980" t="s">
        <v>1980</v>
      </c>
      <c r="C2980">
        <v>3.28</v>
      </c>
      <c r="I2980" s="1">
        <v>45861</v>
      </c>
      <c r="J2980" s="1" t="s">
        <v>285</v>
      </c>
      <c r="K2980" s="3">
        <v>4</v>
      </c>
    </row>
    <row r="2981" spans="1:11">
      <c r="A2981" s="1">
        <v>45855</v>
      </c>
      <c r="B2981" t="s">
        <v>1981</v>
      </c>
      <c r="C2981">
        <v>3.3849999999999998</v>
      </c>
      <c r="I2981" s="1">
        <v>45861</v>
      </c>
      <c r="J2981" s="1" t="s">
        <v>286</v>
      </c>
      <c r="K2981" s="3">
        <v>30000</v>
      </c>
    </row>
    <row r="2982" spans="1:11">
      <c r="A2982" s="1">
        <v>45855</v>
      </c>
      <c r="B2982" t="s">
        <v>1982</v>
      </c>
      <c r="C2982">
        <v>3.423</v>
      </c>
      <c r="I2982" s="1">
        <v>45861</v>
      </c>
      <c r="J2982" s="1" t="s">
        <v>287</v>
      </c>
      <c r="K2982" s="3">
        <v>164784.56</v>
      </c>
    </row>
    <row r="2983" spans="1:11">
      <c r="A2983" s="1">
        <v>45855</v>
      </c>
      <c r="B2983" t="s">
        <v>1983</v>
      </c>
      <c r="C2983">
        <v>3.5129999999999999</v>
      </c>
      <c r="I2983" s="1">
        <v>45861</v>
      </c>
      <c r="J2983" s="1" t="s">
        <v>288</v>
      </c>
      <c r="K2983" s="3">
        <v>-60039.03</v>
      </c>
    </row>
    <row r="2984" spans="1:11">
      <c r="A2984" s="1">
        <v>45854</v>
      </c>
      <c r="B2984" t="s">
        <v>1974</v>
      </c>
      <c r="C2984">
        <v>2.206</v>
      </c>
      <c r="I2984" s="1">
        <v>45861</v>
      </c>
      <c r="J2984" s="1" t="s">
        <v>289</v>
      </c>
      <c r="K2984" s="3">
        <v>25</v>
      </c>
    </row>
    <row r="2985" spans="1:11">
      <c r="A2985" s="1">
        <v>45854</v>
      </c>
      <c r="B2985" t="s">
        <v>1975</v>
      </c>
      <c r="C2985">
        <v>2.2559999999999998</v>
      </c>
      <c r="I2985" s="1">
        <v>45861</v>
      </c>
      <c r="J2985" s="1" t="s">
        <v>290</v>
      </c>
      <c r="K2985" s="3">
        <v>25</v>
      </c>
    </row>
    <row r="2986" spans="1:11">
      <c r="A2986" s="1">
        <v>45854</v>
      </c>
      <c r="B2986" t="s">
        <v>1976</v>
      </c>
      <c r="C2986">
        <v>2.327</v>
      </c>
      <c r="I2986" s="1">
        <v>45861</v>
      </c>
      <c r="J2986" s="1" t="s">
        <v>107</v>
      </c>
      <c r="K2986" s="3">
        <v>1720890425809</v>
      </c>
    </row>
    <row r="2987" spans="1:11">
      <c r="A2987" s="1">
        <v>45854</v>
      </c>
      <c r="B2987" t="s">
        <v>1977</v>
      </c>
      <c r="C2987">
        <v>2.5</v>
      </c>
      <c r="I2987" s="1">
        <v>45860</v>
      </c>
      <c r="J2987" s="1" t="s">
        <v>282</v>
      </c>
      <c r="K2987" s="3">
        <v>15000</v>
      </c>
    </row>
    <row r="2988" spans="1:11">
      <c r="A2988" s="1">
        <v>45854</v>
      </c>
      <c r="B2988" t="s">
        <v>1978</v>
      </c>
      <c r="C2988">
        <v>2.6739999999999999</v>
      </c>
      <c r="I2988" s="1">
        <v>45860</v>
      </c>
      <c r="J2988" s="1" t="s">
        <v>283</v>
      </c>
      <c r="K2988" s="3">
        <v>7</v>
      </c>
    </row>
    <row r="2989" spans="1:11">
      <c r="A2989" s="1">
        <v>45854</v>
      </c>
      <c r="B2989" t="s">
        <v>1979</v>
      </c>
      <c r="C2989">
        <v>3.0110000000000001</v>
      </c>
      <c r="I2989" s="1">
        <v>45860</v>
      </c>
      <c r="J2989" s="1" t="s">
        <v>284</v>
      </c>
      <c r="K2989" s="3">
        <v>35918.43</v>
      </c>
    </row>
    <row r="2990" spans="1:11">
      <c r="A2990" s="1">
        <v>45854</v>
      </c>
      <c r="B2990" t="s">
        <v>1980</v>
      </c>
      <c r="C2990">
        <v>3.24</v>
      </c>
      <c r="I2990" s="1">
        <v>45860</v>
      </c>
      <c r="J2990" s="1" t="s">
        <v>285</v>
      </c>
      <c r="K2990" s="3">
        <v>4</v>
      </c>
    </row>
    <row r="2991" spans="1:11">
      <c r="A2991" s="1">
        <v>45854</v>
      </c>
      <c r="B2991" t="s">
        <v>1981</v>
      </c>
      <c r="C2991">
        <v>3.363</v>
      </c>
      <c r="I2991" s="1">
        <v>45860</v>
      </c>
      <c r="J2991" s="1" t="s">
        <v>286</v>
      </c>
      <c r="K2991" s="3">
        <v>31067.05</v>
      </c>
    </row>
    <row r="2992" spans="1:11">
      <c r="A2992" s="1">
        <v>45854</v>
      </c>
      <c r="B2992" t="s">
        <v>1982</v>
      </c>
      <c r="C2992">
        <v>3.4169999999999998</v>
      </c>
      <c r="I2992" s="1">
        <v>45860</v>
      </c>
      <c r="J2992" s="1" t="s">
        <v>287</v>
      </c>
      <c r="K2992" s="3">
        <v>156070.93</v>
      </c>
    </row>
    <row r="2993" spans="1:11">
      <c r="A2993" s="1">
        <v>45854</v>
      </c>
      <c r="B2993" t="s">
        <v>1983</v>
      </c>
      <c r="C2993">
        <v>3.508</v>
      </c>
      <c r="I2993" s="1">
        <v>45860</v>
      </c>
      <c r="J2993" s="1" t="s">
        <v>288</v>
      </c>
      <c r="K2993" s="3">
        <v>-79490.38</v>
      </c>
    </row>
    <row r="2994" spans="1:11">
      <c r="A2994" s="1">
        <v>45853</v>
      </c>
      <c r="B2994" t="s">
        <v>1974</v>
      </c>
      <c r="C2994">
        <v>2.2040000000000002</v>
      </c>
      <c r="I2994" s="1">
        <v>45860</v>
      </c>
      <c r="J2994" s="1" t="s">
        <v>289</v>
      </c>
      <c r="K2994" s="3">
        <v>16</v>
      </c>
    </row>
    <row r="2995" spans="1:11">
      <c r="A2995" s="1">
        <v>45853</v>
      </c>
      <c r="B2995" t="s">
        <v>1975</v>
      </c>
      <c r="C2995">
        <v>2.254</v>
      </c>
      <c r="I2995" s="1">
        <v>45860</v>
      </c>
      <c r="J2995" s="1" t="s">
        <v>290</v>
      </c>
      <c r="K2995" s="3">
        <v>16</v>
      </c>
    </row>
    <row r="2996" spans="1:11">
      <c r="A2996" s="1">
        <v>45853</v>
      </c>
      <c r="B2996" t="s">
        <v>1976</v>
      </c>
      <c r="C2996">
        <v>2.3250000000000002</v>
      </c>
      <c r="I2996" s="1">
        <v>45860</v>
      </c>
      <c r="J2996" s="1" t="s">
        <v>107</v>
      </c>
      <c r="K2996" s="3">
        <v>1720890425809</v>
      </c>
    </row>
    <row r="2997" spans="1:11">
      <c r="A2997" s="1">
        <v>45853</v>
      </c>
      <c r="B2997" t="s">
        <v>1977</v>
      </c>
      <c r="C2997">
        <v>2.4969999999999999</v>
      </c>
      <c r="I2997" s="1">
        <v>45859</v>
      </c>
      <c r="J2997" s="1" t="s">
        <v>282</v>
      </c>
      <c r="K2997" s="3">
        <v>7000</v>
      </c>
    </row>
    <row r="2998" spans="1:11">
      <c r="A2998" s="1">
        <v>45853</v>
      </c>
      <c r="B2998" t="s">
        <v>1978</v>
      </c>
      <c r="C2998">
        <v>2.669</v>
      </c>
      <c r="I2998" s="1">
        <v>45859</v>
      </c>
      <c r="J2998" s="1" t="s">
        <v>283</v>
      </c>
      <c r="K2998" s="3">
        <v>7</v>
      </c>
    </row>
    <row r="2999" spans="1:11">
      <c r="A2999" s="1">
        <v>45853</v>
      </c>
      <c r="B2999" t="s">
        <v>1979</v>
      </c>
      <c r="C2999">
        <v>3.012</v>
      </c>
      <c r="I2999" s="1">
        <v>45859</v>
      </c>
      <c r="J2999" s="1" t="s">
        <v>284</v>
      </c>
      <c r="K2999" s="3">
        <v>20364.330000000002</v>
      </c>
    </row>
    <row r="3000" spans="1:11">
      <c r="A3000" s="1">
        <v>45853</v>
      </c>
      <c r="B3000" t="s">
        <v>1980</v>
      </c>
      <c r="C3000">
        <v>3.234</v>
      </c>
      <c r="I3000" s="1">
        <v>45859</v>
      </c>
      <c r="J3000" s="1" t="s">
        <v>285</v>
      </c>
      <c r="K3000" s="3">
        <v>4</v>
      </c>
    </row>
    <row r="3001" spans="1:11">
      <c r="A3001" s="1">
        <v>45853</v>
      </c>
      <c r="B3001" t="s">
        <v>1981</v>
      </c>
      <c r="C3001">
        <v>3.3580000000000001</v>
      </c>
      <c r="I3001" s="1">
        <v>45859</v>
      </c>
      <c r="J3001" s="1" t="s">
        <v>286</v>
      </c>
      <c r="K3001" s="3">
        <v>17160.37</v>
      </c>
    </row>
    <row r="3002" spans="1:11">
      <c r="A3002" s="1">
        <v>45853</v>
      </c>
      <c r="B3002" t="s">
        <v>1982</v>
      </c>
      <c r="C3002">
        <v>3.4169999999999998</v>
      </c>
      <c r="I3002" s="1">
        <v>45859</v>
      </c>
      <c r="J3002" s="1" t="s">
        <v>287</v>
      </c>
      <c r="K3002" s="3">
        <v>151219.54999999999</v>
      </c>
    </row>
    <row r="3003" spans="1:11">
      <c r="A3003" s="1">
        <v>45853</v>
      </c>
      <c r="B3003" t="s">
        <v>1983</v>
      </c>
      <c r="C3003">
        <v>3.508</v>
      </c>
      <c r="I3003" s="1">
        <v>45859</v>
      </c>
      <c r="J3003" s="1" t="s">
        <v>288</v>
      </c>
      <c r="K3003" s="3">
        <v>-97504.4</v>
      </c>
    </row>
    <row r="3004" spans="1:11">
      <c r="A3004" s="1">
        <v>45852</v>
      </c>
      <c r="B3004" t="s">
        <v>1974</v>
      </c>
      <c r="C3004">
        <v>2.2040000000000002</v>
      </c>
      <c r="I3004" s="1">
        <v>45859</v>
      </c>
      <c r="J3004" s="1" t="s">
        <v>289</v>
      </c>
      <c r="K3004" s="3">
        <v>12</v>
      </c>
    </row>
    <row r="3005" spans="1:11">
      <c r="A3005" s="1">
        <v>45852</v>
      </c>
      <c r="B3005" t="s">
        <v>1975</v>
      </c>
      <c r="C3005">
        <v>2.254</v>
      </c>
      <c r="I3005" s="1">
        <v>45859</v>
      </c>
      <c r="J3005" s="1" t="s">
        <v>290</v>
      </c>
      <c r="K3005" s="3">
        <v>12</v>
      </c>
    </row>
    <row r="3006" spans="1:11">
      <c r="A3006" s="1">
        <v>45852</v>
      </c>
      <c r="B3006" t="s">
        <v>1976</v>
      </c>
      <c r="C3006">
        <v>2.3250000000000002</v>
      </c>
      <c r="I3006" s="1">
        <v>45859</v>
      </c>
      <c r="J3006" s="1" t="s">
        <v>107</v>
      </c>
      <c r="K3006" s="3">
        <v>1734601514193</v>
      </c>
    </row>
    <row r="3007" spans="1:11">
      <c r="A3007" s="1">
        <v>45852</v>
      </c>
      <c r="B3007" t="s">
        <v>1977</v>
      </c>
      <c r="C3007">
        <v>2.4969999999999999</v>
      </c>
      <c r="I3007" s="1">
        <v>45858</v>
      </c>
      <c r="J3007" s="1" t="s">
        <v>107</v>
      </c>
      <c r="K3007" s="3">
        <v>738719635677</v>
      </c>
    </row>
    <row r="3008" spans="1:11">
      <c r="A3008" s="1">
        <v>45852</v>
      </c>
      <c r="B3008" t="s">
        <v>1978</v>
      </c>
      <c r="C3008">
        <v>2.669</v>
      </c>
      <c r="I3008" s="1">
        <v>45856</v>
      </c>
      <c r="J3008" s="1" t="s">
        <v>282</v>
      </c>
      <c r="K3008" s="3">
        <v>12000</v>
      </c>
    </row>
    <row r="3009" spans="1:11">
      <c r="A3009" s="1">
        <v>45852</v>
      </c>
      <c r="B3009" t="s">
        <v>1979</v>
      </c>
      <c r="C3009">
        <v>3.0110000000000001</v>
      </c>
      <c r="I3009" s="1">
        <v>45856</v>
      </c>
      <c r="J3009" s="1" t="s">
        <v>283</v>
      </c>
      <c r="K3009" s="3">
        <v>7</v>
      </c>
    </row>
    <row r="3010" spans="1:11">
      <c r="A3010" s="1">
        <v>45852</v>
      </c>
      <c r="B3010" t="s">
        <v>1980</v>
      </c>
      <c r="C3010">
        <v>3.2280000000000002</v>
      </c>
      <c r="I3010" s="1">
        <v>45856</v>
      </c>
      <c r="J3010" s="1" t="s">
        <v>284</v>
      </c>
      <c r="K3010" s="3">
        <v>26315.62</v>
      </c>
    </row>
    <row r="3011" spans="1:11">
      <c r="A3011" s="1">
        <v>45852</v>
      </c>
      <c r="B3011" t="s">
        <v>1981</v>
      </c>
      <c r="C3011">
        <v>3.3450000000000002</v>
      </c>
      <c r="I3011" s="1">
        <v>45856</v>
      </c>
      <c r="J3011" s="1" t="s">
        <v>285</v>
      </c>
      <c r="K3011" s="3">
        <v>4</v>
      </c>
    </row>
    <row r="3012" spans="1:11">
      <c r="A3012" s="1">
        <v>45852</v>
      </c>
      <c r="B3012" t="s">
        <v>1982</v>
      </c>
      <c r="C3012">
        <v>3.4079999999999999</v>
      </c>
      <c r="I3012" s="1">
        <v>45856</v>
      </c>
      <c r="J3012" s="1" t="s">
        <v>286</v>
      </c>
      <c r="K3012" s="3">
        <v>11444.18</v>
      </c>
    </row>
    <row r="3013" spans="1:11">
      <c r="A3013" s="1">
        <v>45852</v>
      </c>
      <c r="B3013" t="s">
        <v>1983</v>
      </c>
      <c r="C3013">
        <v>3.5</v>
      </c>
      <c r="I3013" s="1">
        <v>45856</v>
      </c>
      <c r="J3013" s="1" t="s">
        <v>287</v>
      </c>
      <c r="K3013" s="3">
        <v>148015.59</v>
      </c>
    </row>
    <row r="3014" spans="1:11">
      <c r="A3014" s="1">
        <v>45849</v>
      </c>
      <c r="B3014" t="s">
        <v>1974</v>
      </c>
      <c r="C3014">
        <v>2.2669999999999999</v>
      </c>
      <c r="I3014" s="1">
        <v>45856</v>
      </c>
      <c r="J3014" s="1" t="s">
        <v>288</v>
      </c>
      <c r="K3014" s="3">
        <v>-110846.07</v>
      </c>
    </row>
    <row r="3015" spans="1:11">
      <c r="A3015" s="1">
        <v>45849</v>
      </c>
      <c r="B3015" t="s">
        <v>1975</v>
      </c>
      <c r="C3015">
        <v>2.3250000000000002</v>
      </c>
      <c r="I3015" s="1">
        <v>45856</v>
      </c>
      <c r="J3015" s="1" t="s">
        <v>289</v>
      </c>
      <c r="K3015" s="3">
        <v>15</v>
      </c>
    </row>
    <row r="3016" spans="1:11">
      <c r="A3016" s="1">
        <v>45849</v>
      </c>
      <c r="B3016" t="s">
        <v>1976</v>
      </c>
      <c r="C3016">
        <v>2.4039999999999999</v>
      </c>
      <c r="I3016" s="1">
        <v>45856</v>
      </c>
      <c r="J3016" s="1" t="s">
        <v>290</v>
      </c>
      <c r="K3016" s="3">
        <v>15</v>
      </c>
    </row>
    <row r="3017" spans="1:11">
      <c r="A3017" s="1">
        <v>45849</v>
      </c>
      <c r="B3017" t="s">
        <v>1977</v>
      </c>
      <c r="C3017">
        <v>2.5369999999999999</v>
      </c>
      <c r="I3017" s="1">
        <v>45855</v>
      </c>
      <c r="J3017" s="1" t="s">
        <v>282</v>
      </c>
      <c r="K3017" s="3">
        <v>28000</v>
      </c>
    </row>
    <row r="3018" spans="1:11">
      <c r="A3018" s="1">
        <v>45849</v>
      </c>
      <c r="B3018" t="s">
        <v>1978</v>
      </c>
      <c r="C3018">
        <v>2.669</v>
      </c>
      <c r="I3018" s="1">
        <v>45855</v>
      </c>
      <c r="J3018" s="1" t="s">
        <v>283</v>
      </c>
      <c r="K3018" s="3">
        <v>7</v>
      </c>
    </row>
    <row r="3019" spans="1:11">
      <c r="A3019" s="1">
        <v>45849</v>
      </c>
      <c r="B3019" t="s">
        <v>1979</v>
      </c>
      <c r="C3019">
        <v>3.0089999999999999</v>
      </c>
      <c r="I3019" s="1">
        <v>45855</v>
      </c>
      <c r="J3019" s="1" t="s">
        <v>284</v>
      </c>
      <c r="K3019" s="3">
        <v>24775.63</v>
      </c>
    </row>
    <row r="3020" spans="1:11">
      <c r="A3020" s="1">
        <v>45849</v>
      </c>
      <c r="B3020" t="s">
        <v>1980</v>
      </c>
      <c r="C3020">
        <v>3.2280000000000002</v>
      </c>
      <c r="I3020" s="1">
        <v>45855</v>
      </c>
      <c r="J3020" s="1" t="s">
        <v>285</v>
      </c>
      <c r="K3020" s="3">
        <v>4</v>
      </c>
    </row>
    <row r="3021" spans="1:11">
      <c r="A3021" s="1">
        <v>45849</v>
      </c>
      <c r="B3021" t="s">
        <v>1981</v>
      </c>
      <c r="C3021">
        <v>3.3450000000000002</v>
      </c>
      <c r="I3021" s="1">
        <v>45855</v>
      </c>
      <c r="J3021" s="1" t="s">
        <v>286</v>
      </c>
      <c r="K3021" s="3">
        <v>14756.42</v>
      </c>
    </row>
    <row r="3022" spans="1:11">
      <c r="A3022" s="1">
        <v>45849</v>
      </c>
      <c r="B3022" t="s">
        <v>1982</v>
      </c>
      <c r="C3022">
        <v>3.4079999999999999</v>
      </c>
      <c r="I3022" s="1">
        <v>45855</v>
      </c>
      <c r="J3022" s="1" t="s">
        <v>287</v>
      </c>
      <c r="K3022" s="3">
        <v>133144.15</v>
      </c>
    </row>
    <row r="3023" spans="1:11">
      <c r="A3023" s="1">
        <v>45849</v>
      </c>
      <c r="B3023" t="s">
        <v>1983</v>
      </c>
      <c r="C3023">
        <v>3.5</v>
      </c>
      <c r="I3023" s="1">
        <v>45855</v>
      </c>
      <c r="J3023" s="1" t="s">
        <v>288</v>
      </c>
      <c r="K3023" s="3">
        <v>-114349.79</v>
      </c>
    </row>
    <row r="3024" spans="1:11">
      <c r="A3024" s="1">
        <v>45848</v>
      </c>
      <c r="B3024" t="s">
        <v>1974</v>
      </c>
      <c r="C3024">
        <v>2.1960000000000002</v>
      </c>
      <c r="I3024" s="1">
        <v>45855</v>
      </c>
      <c r="J3024" s="1" t="s">
        <v>289</v>
      </c>
      <c r="K3024" s="3">
        <v>13</v>
      </c>
    </row>
    <row r="3025" spans="1:11">
      <c r="A3025" s="1">
        <v>45848</v>
      </c>
      <c r="B3025" t="s">
        <v>1975</v>
      </c>
      <c r="C3025">
        <v>2.246</v>
      </c>
      <c r="I3025" s="1">
        <v>45855</v>
      </c>
      <c r="J3025" s="1" t="s">
        <v>290</v>
      </c>
      <c r="K3025" s="3">
        <v>13</v>
      </c>
    </row>
    <row r="3026" spans="1:11">
      <c r="A3026" s="1">
        <v>45848</v>
      </c>
      <c r="B3026" t="s">
        <v>1976</v>
      </c>
      <c r="C3026">
        <v>2.3170000000000002</v>
      </c>
      <c r="I3026" s="1">
        <v>45855</v>
      </c>
      <c r="J3026" s="1" t="s">
        <v>107</v>
      </c>
      <c r="K3026" s="3">
        <v>663069459294</v>
      </c>
    </row>
    <row r="3027" spans="1:11">
      <c r="A3027" s="1">
        <v>45848</v>
      </c>
      <c r="B3027" t="s">
        <v>1977</v>
      </c>
      <c r="C3027">
        <v>2.4929999999999999</v>
      </c>
      <c r="I3027" s="1">
        <v>45854</v>
      </c>
      <c r="J3027" s="1" t="s">
        <v>107</v>
      </c>
      <c r="K3027" s="3">
        <v>663069459294</v>
      </c>
    </row>
    <row r="3028" spans="1:11">
      <c r="A3028" s="1">
        <v>45848</v>
      </c>
      <c r="B3028" t="s">
        <v>1978</v>
      </c>
      <c r="C3028">
        <v>2.669</v>
      </c>
      <c r="I3028" s="1">
        <v>45854</v>
      </c>
      <c r="J3028" s="1" t="s">
        <v>288</v>
      </c>
      <c r="K3028" s="3">
        <v>-104428.02</v>
      </c>
    </row>
    <row r="3029" spans="1:11">
      <c r="A3029" s="1">
        <v>45848</v>
      </c>
      <c r="B3029" t="s">
        <v>1979</v>
      </c>
      <c r="C3029">
        <v>3.0059999999999998</v>
      </c>
      <c r="I3029" s="1">
        <v>45854</v>
      </c>
      <c r="J3029" s="1" t="s">
        <v>289</v>
      </c>
      <c r="K3029" s="3">
        <v>16</v>
      </c>
    </row>
    <row r="3030" spans="1:11">
      <c r="A3030" s="1">
        <v>45848</v>
      </c>
      <c r="B3030" t="s">
        <v>1980</v>
      </c>
      <c r="C3030">
        <v>3.2229999999999999</v>
      </c>
      <c r="I3030" s="1">
        <v>45854</v>
      </c>
      <c r="J3030" s="1" t="s">
        <v>290</v>
      </c>
      <c r="K3030" s="3">
        <v>16</v>
      </c>
    </row>
    <row r="3031" spans="1:11">
      <c r="A3031" s="1">
        <v>45848</v>
      </c>
      <c r="B3031" t="s">
        <v>1981</v>
      </c>
      <c r="C3031">
        <v>3.3519999999999999</v>
      </c>
      <c r="I3031" s="1">
        <v>45854</v>
      </c>
      <c r="J3031" s="1" t="s">
        <v>282</v>
      </c>
      <c r="K3031" s="3">
        <v>30000</v>
      </c>
    </row>
    <row r="3032" spans="1:11">
      <c r="A3032" s="1">
        <v>45848</v>
      </c>
      <c r="B3032" t="s">
        <v>1982</v>
      </c>
      <c r="C3032">
        <v>3.4079999999999999</v>
      </c>
      <c r="I3032" s="1">
        <v>45854</v>
      </c>
      <c r="J3032" s="1" t="s">
        <v>283</v>
      </c>
      <c r="K3032" s="3">
        <v>7</v>
      </c>
    </row>
    <row r="3033" spans="1:11">
      <c r="A3033" s="1">
        <v>45848</v>
      </c>
      <c r="B3033" t="s">
        <v>1983</v>
      </c>
      <c r="C3033">
        <v>3.5</v>
      </c>
      <c r="I3033" s="1">
        <v>45854</v>
      </c>
      <c r="J3033" s="1" t="s">
        <v>284</v>
      </c>
      <c r="K3033" s="3">
        <v>30000</v>
      </c>
    </row>
    <row r="3034" spans="1:11">
      <c r="A3034" s="1">
        <v>45847</v>
      </c>
      <c r="B3034" t="s">
        <v>1974</v>
      </c>
      <c r="C3034">
        <v>2.1829999999999998</v>
      </c>
      <c r="I3034" s="1">
        <v>45854</v>
      </c>
      <c r="J3034" s="1" t="s">
        <v>285</v>
      </c>
      <c r="K3034" s="3">
        <v>4</v>
      </c>
    </row>
    <row r="3035" spans="1:11">
      <c r="A3035" s="1">
        <v>45847</v>
      </c>
      <c r="B3035" t="s">
        <v>1975</v>
      </c>
      <c r="C3035">
        <v>2.2330000000000001</v>
      </c>
      <c r="I3035" s="1">
        <v>45854</v>
      </c>
      <c r="J3035" s="1" t="s">
        <v>286</v>
      </c>
      <c r="K3035" s="3">
        <v>20994.75</v>
      </c>
    </row>
    <row r="3036" spans="1:11">
      <c r="A3036" s="1">
        <v>45847</v>
      </c>
      <c r="B3036" t="s">
        <v>1976</v>
      </c>
      <c r="C3036">
        <v>2.3039999999999998</v>
      </c>
      <c r="I3036" s="1">
        <v>45854</v>
      </c>
      <c r="J3036" s="1" t="s">
        <v>287</v>
      </c>
      <c r="K3036" s="3">
        <v>123124.94</v>
      </c>
    </row>
    <row r="3037" spans="1:11">
      <c r="A3037" s="1">
        <v>45847</v>
      </c>
      <c r="B3037" t="s">
        <v>1977</v>
      </c>
      <c r="C3037">
        <v>2.488</v>
      </c>
      <c r="I3037" s="1">
        <v>45853</v>
      </c>
      <c r="J3037" s="1" t="s">
        <v>282</v>
      </c>
      <c r="K3037" s="3">
        <v>35000</v>
      </c>
    </row>
    <row r="3038" spans="1:11">
      <c r="A3038" s="1">
        <v>45847</v>
      </c>
      <c r="B3038" t="s">
        <v>1978</v>
      </c>
      <c r="C3038">
        <v>2.6720000000000002</v>
      </c>
      <c r="I3038" s="1">
        <v>45853</v>
      </c>
      <c r="J3038" s="1" t="s">
        <v>283</v>
      </c>
      <c r="K3038" s="3">
        <v>7</v>
      </c>
    </row>
    <row r="3039" spans="1:11">
      <c r="A3039" s="1">
        <v>45847</v>
      </c>
      <c r="B3039" t="s">
        <v>1979</v>
      </c>
      <c r="C3039">
        <v>3.004</v>
      </c>
      <c r="I3039" s="1">
        <v>45853</v>
      </c>
      <c r="J3039" s="1" t="s">
        <v>284</v>
      </c>
      <c r="K3039" s="3">
        <v>35977.94</v>
      </c>
    </row>
    <row r="3040" spans="1:11">
      <c r="A3040" s="1">
        <v>45847</v>
      </c>
      <c r="B3040" t="s">
        <v>1980</v>
      </c>
      <c r="C3040">
        <v>3.2240000000000002</v>
      </c>
      <c r="I3040" s="1">
        <v>45853</v>
      </c>
      <c r="J3040" s="1" t="s">
        <v>285</v>
      </c>
      <c r="K3040" s="3">
        <v>4</v>
      </c>
    </row>
    <row r="3041" spans="1:11">
      <c r="A3041" s="1">
        <v>45847</v>
      </c>
      <c r="B3041" t="s">
        <v>1981</v>
      </c>
      <c r="C3041">
        <v>3.3460000000000001</v>
      </c>
      <c r="I3041" s="1">
        <v>45853</v>
      </c>
      <c r="J3041" s="1" t="s">
        <v>286</v>
      </c>
      <c r="K3041" s="3">
        <v>15000</v>
      </c>
    </row>
    <row r="3042" spans="1:11">
      <c r="A3042" s="1">
        <v>45847</v>
      </c>
      <c r="B3042" t="s">
        <v>1982</v>
      </c>
      <c r="C3042">
        <v>3.4039999999999999</v>
      </c>
      <c r="I3042" s="1">
        <v>45853</v>
      </c>
      <c r="J3042" s="1" t="s">
        <v>287</v>
      </c>
      <c r="K3042" s="3">
        <v>114119.69</v>
      </c>
    </row>
    <row r="3043" spans="1:11">
      <c r="A3043" s="1">
        <v>45847</v>
      </c>
      <c r="B3043" t="s">
        <v>1983</v>
      </c>
      <c r="C3043">
        <v>3.496</v>
      </c>
      <c r="I3043" s="1">
        <v>45853</v>
      </c>
      <c r="J3043" s="1" t="s">
        <v>288</v>
      </c>
      <c r="K3043" s="3">
        <v>-95422.77</v>
      </c>
    </row>
    <row r="3044" spans="1:11">
      <c r="A3044" s="1">
        <v>45846</v>
      </c>
      <c r="B3044" t="s">
        <v>1974</v>
      </c>
      <c r="C3044">
        <v>2.1880000000000002</v>
      </c>
      <c r="I3044" s="1">
        <v>45853</v>
      </c>
      <c r="J3044" s="1" t="s">
        <v>289</v>
      </c>
      <c r="K3044" s="3">
        <v>16</v>
      </c>
    </row>
    <row r="3045" spans="1:11">
      <c r="A3045" s="1">
        <v>45846</v>
      </c>
      <c r="B3045" t="s">
        <v>1975</v>
      </c>
      <c r="C3045">
        <v>2.238</v>
      </c>
      <c r="I3045" s="1">
        <v>45853</v>
      </c>
      <c r="J3045" s="1" t="s">
        <v>290</v>
      </c>
      <c r="K3045" s="3">
        <v>16</v>
      </c>
    </row>
    <row r="3046" spans="1:11">
      <c r="A3046" s="1">
        <v>45846</v>
      </c>
      <c r="B3046" t="s">
        <v>1976</v>
      </c>
      <c r="C3046">
        <v>2.3170000000000002</v>
      </c>
      <c r="I3046" s="1">
        <v>45853</v>
      </c>
      <c r="J3046" s="1" t="s">
        <v>107</v>
      </c>
      <c r="K3046" s="3">
        <v>663069459294</v>
      </c>
    </row>
    <row r="3047" spans="1:11">
      <c r="A3047" s="1">
        <v>45846</v>
      </c>
      <c r="B3047" t="s">
        <v>1977</v>
      </c>
      <c r="C3047">
        <v>2.4940000000000002</v>
      </c>
      <c r="I3047" s="1">
        <v>45852</v>
      </c>
      <c r="J3047" s="1" t="s">
        <v>288</v>
      </c>
      <c r="K3047" s="3">
        <v>-79355.72</v>
      </c>
    </row>
    <row r="3048" spans="1:11">
      <c r="A3048" s="1">
        <v>45846</v>
      </c>
      <c r="B3048" t="s">
        <v>1978</v>
      </c>
      <c r="C3048">
        <v>2.6720000000000002</v>
      </c>
      <c r="I3048" s="1">
        <v>45852</v>
      </c>
      <c r="J3048" s="1" t="s">
        <v>289</v>
      </c>
      <c r="K3048" s="3">
        <v>9</v>
      </c>
    </row>
    <row r="3049" spans="1:11">
      <c r="A3049" s="1">
        <v>45846</v>
      </c>
      <c r="B3049" t="s">
        <v>1979</v>
      </c>
      <c r="C3049">
        <v>3.0009999999999999</v>
      </c>
      <c r="I3049" s="1">
        <v>45852</v>
      </c>
      <c r="J3049" s="1" t="s">
        <v>290</v>
      </c>
      <c r="K3049" s="3">
        <v>9</v>
      </c>
    </row>
    <row r="3050" spans="1:11">
      <c r="A3050" s="1">
        <v>45846</v>
      </c>
      <c r="B3050" t="s">
        <v>1980</v>
      </c>
      <c r="C3050">
        <v>3.2250000000000001</v>
      </c>
      <c r="I3050" s="1">
        <v>45852</v>
      </c>
      <c r="J3050" s="1" t="s">
        <v>282</v>
      </c>
      <c r="K3050" s="3">
        <v>18000</v>
      </c>
    </row>
    <row r="3051" spans="1:11">
      <c r="A3051" s="1">
        <v>45846</v>
      </c>
      <c r="B3051" t="s">
        <v>1981</v>
      </c>
      <c r="C3051">
        <v>3.3460000000000001</v>
      </c>
      <c r="I3051" s="1">
        <v>45852</v>
      </c>
      <c r="J3051" s="1" t="s">
        <v>283</v>
      </c>
      <c r="K3051" s="3">
        <v>7</v>
      </c>
    </row>
    <row r="3052" spans="1:11">
      <c r="A3052" s="1">
        <v>45846</v>
      </c>
      <c r="B3052" t="s">
        <v>1982</v>
      </c>
      <c r="C3052">
        <v>3.4039999999999999</v>
      </c>
      <c r="I3052" s="1">
        <v>45852</v>
      </c>
      <c r="J3052" s="1" t="s">
        <v>284</v>
      </c>
      <c r="K3052" s="3">
        <v>17160.37</v>
      </c>
    </row>
    <row r="3053" spans="1:11">
      <c r="A3053" s="1">
        <v>45846</v>
      </c>
      <c r="B3053" t="s">
        <v>1983</v>
      </c>
      <c r="C3053">
        <v>3.496</v>
      </c>
      <c r="I3053" s="1">
        <v>45852</v>
      </c>
      <c r="J3053" s="1" t="s">
        <v>285</v>
      </c>
      <c r="K3053" s="3">
        <v>4</v>
      </c>
    </row>
    <row r="3054" spans="1:11">
      <c r="A3054" s="1">
        <v>45845</v>
      </c>
      <c r="B3054" t="s">
        <v>1974</v>
      </c>
      <c r="C3054">
        <v>2.1829999999999998</v>
      </c>
      <c r="I3054" s="1">
        <v>45852</v>
      </c>
      <c r="J3054" s="1" t="s">
        <v>286</v>
      </c>
      <c r="K3054" s="3">
        <v>28019.82</v>
      </c>
    </row>
    <row r="3055" spans="1:11">
      <c r="A3055" s="1">
        <v>45845</v>
      </c>
      <c r="B3055" t="s">
        <v>1975</v>
      </c>
      <c r="C3055">
        <v>2.2330000000000001</v>
      </c>
      <c r="I3055" s="1">
        <v>45852</v>
      </c>
      <c r="J3055" s="1" t="s">
        <v>287</v>
      </c>
      <c r="K3055" s="3">
        <v>93141.75</v>
      </c>
    </row>
    <row r="3056" spans="1:11">
      <c r="A3056" s="1">
        <v>45845</v>
      </c>
      <c r="B3056" t="s">
        <v>1976</v>
      </c>
      <c r="C3056">
        <v>2.3039999999999998</v>
      </c>
      <c r="I3056" s="1">
        <v>45852</v>
      </c>
      <c r="J3056" s="1" t="s">
        <v>107</v>
      </c>
      <c r="K3056" s="3">
        <v>657128134878</v>
      </c>
    </row>
    <row r="3057" spans="1:11">
      <c r="A3057" s="1">
        <v>45845</v>
      </c>
      <c r="B3057" t="s">
        <v>1977</v>
      </c>
      <c r="C3057">
        <v>2.488</v>
      </c>
      <c r="I3057" s="1">
        <v>45851</v>
      </c>
      <c r="J3057" s="1" t="s">
        <v>107</v>
      </c>
      <c r="K3057" s="3">
        <v>2609901737404</v>
      </c>
    </row>
    <row r="3058" spans="1:11">
      <c r="A3058" s="1">
        <v>45845</v>
      </c>
      <c r="B3058" t="s">
        <v>1978</v>
      </c>
      <c r="C3058">
        <v>2.6720000000000002</v>
      </c>
      <c r="I3058" s="1">
        <v>45849</v>
      </c>
      <c r="J3058" s="1" t="s">
        <v>282</v>
      </c>
      <c r="K3058" s="3">
        <v>12000</v>
      </c>
    </row>
    <row r="3059" spans="1:11">
      <c r="A3059" s="1">
        <v>45845</v>
      </c>
      <c r="B3059" t="s">
        <v>1979</v>
      </c>
      <c r="C3059">
        <v>2.9990000000000001</v>
      </c>
      <c r="I3059" s="1">
        <v>45849</v>
      </c>
      <c r="J3059" s="1" t="s">
        <v>283</v>
      </c>
      <c r="K3059" s="3">
        <v>7</v>
      </c>
    </row>
    <row r="3060" spans="1:11">
      <c r="A3060" s="1">
        <v>45845</v>
      </c>
      <c r="B3060" t="s">
        <v>1980</v>
      </c>
      <c r="C3060">
        <v>3.2229999999999999</v>
      </c>
      <c r="I3060" s="1">
        <v>45849</v>
      </c>
      <c r="J3060" s="1" t="s">
        <v>284</v>
      </c>
      <c r="K3060" s="3">
        <v>11444.18</v>
      </c>
    </row>
    <row r="3061" spans="1:11">
      <c r="A3061" s="1">
        <v>45845</v>
      </c>
      <c r="B3061" t="s">
        <v>1981</v>
      </c>
      <c r="C3061">
        <v>3.3450000000000002</v>
      </c>
      <c r="I3061" s="1">
        <v>45849</v>
      </c>
      <c r="J3061" s="1" t="s">
        <v>285</v>
      </c>
      <c r="K3061" s="3">
        <v>4</v>
      </c>
    </row>
    <row r="3062" spans="1:11">
      <c r="A3062" s="1">
        <v>45845</v>
      </c>
      <c r="B3062" t="s">
        <v>1982</v>
      </c>
      <c r="C3062">
        <v>3.4039999999999999</v>
      </c>
      <c r="I3062" s="1">
        <v>45849</v>
      </c>
      <c r="J3062" s="1" t="s">
        <v>286</v>
      </c>
      <c r="K3062" s="3">
        <v>20000</v>
      </c>
    </row>
    <row r="3063" spans="1:11">
      <c r="A3063" s="1">
        <v>45845</v>
      </c>
      <c r="B3063" t="s">
        <v>1983</v>
      </c>
      <c r="C3063">
        <v>3.496</v>
      </c>
      <c r="I3063" s="1">
        <v>45849</v>
      </c>
      <c r="J3063" s="1" t="s">
        <v>287</v>
      </c>
      <c r="K3063" s="3">
        <v>104001.2</v>
      </c>
    </row>
    <row r="3064" spans="1:11">
      <c r="A3064" s="1">
        <v>45842</v>
      </c>
      <c r="B3064" t="s">
        <v>1974</v>
      </c>
      <c r="C3064">
        <v>2.1829999999999998</v>
      </c>
      <c r="I3064" s="1">
        <v>45849</v>
      </c>
      <c r="J3064" s="1" t="s">
        <v>288</v>
      </c>
      <c r="K3064" s="3">
        <v>-90215.17</v>
      </c>
    </row>
    <row r="3065" spans="1:11">
      <c r="A3065" s="1">
        <v>45842</v>
      </c>
      <c r="B3065" t="s">
        <v>1975</v>
      </c>
      <c r="C3065">
        <v>2.2330000000000001</v>
      </c>
      <c r="I3065" s="1">
        <v>45849</v>
      </c>
      <c r="J3065" s="1" t="s">
        <v>289</v>
      </c>
      <c r="K3065" s="3">
        <v>6</v>
      </c>
    </row>
    <row r="3066" spans="1:11">
      <c r="A3066" s="1">
        <v>45842</v>
      </c>
      <c r="B3066" t="s">
        <v>1976</v>
      </c>
      <c r="C3066">
        <v>2.3039999999999998</v>
      </c>
      <c r="I3066" s="1">
        <v>45849</v>
      </c>
      <c r="J3066" s="1" t="s">
        <v>290</v>
      </c>
      <c r="K3066" s="3">
        <v>6</v>
      </c>
    </row>
    <row r="3067" spans="1:11">
      <c r="A3067" s="1">
        <v>45842</v>
      </c>
      <c r="B3067" t="s">
        <v>1977</v>
      </c>
      <c r="C3067">
        <v>2.488</v>
      </c>
      <c r="I3067" s="1">
        <v>45848</v>
      </c>
      <c r="J3067" s="1" t="s">
        <v>107</v>
      </c>
      <c r="K3067" s="3">
        <v>4549754637405</v>
      </c>
    </row>
    <row r="3068" spans="1:11">
      <c r="A3068" s="1">
        <v>45842</v>
      </c>
      <c r="B3068" t="s">
        <v>1978</v>
      </c>
      <c r="C3068">
        <v>2.6720000000000002</v>
      </c>
      <c r="I3068" s="1">
        <v>45848</v>
      </c>
      <c r="J3068" s="1" t="s">
        <v>282</v>
      </c>
      <c r="K3068" s="3">
        <v>17000</v>
      </c>
    </row>
    <row r="3069" spans="1:11">
      <c r="A3069" s="1">
        <v>45842</v>
      </c>
      <c r="B3069" t="s">
        <v>1979</v>
      </c>
      <c r="C3069">
        <v>3</v>
      </c>
      <c r="I3069" s="1">
        <v>45848</v>
      </c>
      <c r="J3069" s="1" t="s">
        <v>283</v>
      </c>
      <c r="K3069" s="3">
        <v>7</v>
      </c>
    </row>
    <row r="3070" spans="1:11">
      <c r="A3070" s="1">
        <v>45842</v>
      </c>
      <c r="B3070" t="s">
        <v>1980</v>
      </c>
      <c r="C3070">
        <v>3.2229999999999999</v>
      </c>
      <c r="I3070" s="1">
        <v>45848</v>
      </c>
      <c r="J3070" s="1" t="s">
        <v>284</v>
      </c>
      <c r="K3070" s="3">
        <v>15209.62</v>
      </c>
    </row>
    <row r="3071" spans="1:11">
      <c r="A3071" s="1">
        <v>45842</v>
      </c>
      <c r="B3071" t="s">
        <v>1981</v>
      </c>
      <c r="C3071">
        <v>3.3450000000000002</v>
      </c>
      <c r="I3071" s="1">
        <v>45848</v>
      </c>
      <c r="J3071" s="1" t="s">
        <v>285</v>
      </c>
      <c r="K3071" s="3">
        <v>4</v>
      </c>
    </row>
    <row r="3072" spans="1:11">
      <c r="A3072" s="1">
        <v>45842</v>
      </c>
      <c r="B3072" t="s">
        <v>1982</v>
      </c>
      <c r="C3072">
        <v>3.4039999999999999</v>
      </c>
      <c r="I3072" s="1">
        <v>45848</v>
      </c>
      <c r="J3072" s="1" t="s">
        <v>286</v>
      </c>
      <c r="K3072" s="3">
        <v>195.77</v>
      </c>
    </row>
    <row r="3073" spans="1:11">
      <c r="A3073" s="1">
        <v>45842</v>
      </c>
      <c r="B3073" t="s">
        <v>1983</v>
      </c>
      <c r="C3073">
        <v>3.496</v>
      </c>
      <c r="I3073" s="1">
        <v>45848</v>
      </c>
      <c r="J3073" s="1" t="s">
        <v>287</v>
      </c>
      <c r="K3073" s="3">
        <v>112557.02</v>
      </c>
    </row>
    <row r="3074" spans="1:11">
      <c r="A3074" s="1">
        <v>45841</v>
      </c>
      <c r="B3074" t="s">
        <v>1974</v>
      </c>
      <c r="C3074">
        <v>2.1829999999999998</v>
      </c>
      <c r="I3074" s="1">
        <v>45848</v>
      </c>
      <c r="J3074" s="1" t="s">
        <v>288</v>
      </c>
      <c r="K3074" s="3">
        <v>-98770.99</v>
      </c>
    </row>
    <row r="3075" spans="1:11">
      <c r="A3075" s="1">
        <v>45841</v>
      </c>
      <c r="B3075" t="s">
        <v>1975</v>
      </c>
      <c r="C3075">
        <v>2.2330000000000001</v>
      </c>
      <c r="I3075" s="1">
        <v>45848</v>
      </c>
      <c r="J3075" s="1" t="s">
        <v>289</v>
      </c>
      <c r="K3075" s="3">
        <v>12</v>
      </c>
    </row>
    <row r="3076" spans="1:11">
      <c r="A3076" s="1">
        <v>45841</v>
      </c>
      <c r="B3076" t="s">
        <v>1976</v>
      </c>
      <c r="C3076">
        <v>2.3039999999999998</v>
      </c>
      <c r="I3076" s="1">
        <v>45848</v>
      </c>
      <c r="J3076" s="1" t="s">
        <v>290</v>
      </c>
      <c r="K3076" s="3">
        <v>12</v>
      </c>
    </row>
    <row r="3077" spans="1:11">
      <c r="A3077" s="1">
        <v>45841</v>
      </c>
      <c r="B3077" t="s">
        <v>1977</v>
      </c>
      <c r="C3077">
        <v>2.488</v>
      </c>
      <c r="I3077" s="1">
        <v>45847</v>
      </c>
      <c r="J3077" s="1" t="s">
        <v>282</v>
      </c>
      <c r="K3077" s="3">
        <v>18000</v>
      </c>
    </row>
    <row r="3078" spans="1:11">
      <c r="A3078" s="1">
        <v>45841</v>
      </c>
      <c r="B3078" t="s">
        <v>1978</v>
      </c>
      <c r="C3078">
        <v>2.6720000000000002</v>
      </c>
      <c r="I3078" s="1">
        <v>45847</v>
      </c>
      <c r="J3078" s="1" t="s">
        <v>283</v>
      </c>
      <c r="K3078" s="3">
        <v>7</v>
      </c>
    </row>
    <row r="3079" spans="1:11">
      <c r="A3079" s="1">
        <v>45841</v>
      </c>
      <c r="B3079" t="s">
        <v>1979</v>
      </c>
      <c r="C3079">
        <v>2.9990000000000001</v>
      </c>
      <c r="I3079" s="1">
        <v>45847</v>
      </c>
      <c r="J3079" s="1" t="s">
        <v>284</v>
      </c>
      <c r="K3079" s="3">
        <v>18932.849999999999</v>
      </c>
    </row>
    <row r="3080" spans="1:11">
      <c r="A3080" s="1">
        <v>45841</v>
      </c>
      <c r="B3080" t="s">
        <v>1980</v>
      </c>
      <c r="C3080">
        <v>3.2229999999999999</v>
      </c>
      <c r="I3080" s="1">
        <v>45847</v>
      </c>
      <c r="J3080" s="1" t="s">
        <v>285</v>
      </c>
      <c r="K3080" s="3">
        <v>4</v>
      </c>
    </row>
    <row r="3081" spans="1:11">
      <c r="A3081" s="1">
        <v>45841</v>
      </c>
      <c r="B3081" t="s">
        <v>1981</v>
      </c>
      <c r="C3081">
        <v>3.3460000000000001</v>
      </c>
      <c r="I3081" s="1">
        <v>45847</v>
      </c>
      <c r="J3081" s="1" t="s">
        <v>286</v>
      </c>
      <c r="K3081" s="3">
        <v>410.15</v>
      </c>
    </row>
    <row r="3082" spans="1:11">
      <c r="A3082" s="1">
        <v>45841</v>
      </c>
      <c r="B3082" t="s">
        <v>1982</v>
      </c>
      <c r="C3082">
        <v>3.4039999999999999</v>
      </c>
      <c r="I3082" s="1">
        <v>45847</v>
      </c>
      <c r="J3082" s="1" t="s">
        <v>287</v>
      </c>
      <c r="K3082" s="3">
        <v>97543.17</v>
      </c>
    </row>
    <row r="3083" spans="1:11">
      <c r="A3083" s="1">
        <v>45841</v>
      </c>
      <c r="B3083" t="s">
        <v>1983</v>
      </c>
      <c r="C3083">
        <v>3.496</v>
      </c>
      <c r="I3083" s="1">
        <v>45847</v>
      </c>
      <c r="J3083" s="1" t="s">
        <v>288</v>
      </c>
      <c r="K3083" s="3">
        <v>-84210.34</v>
      </c>
    </row>
    <row r="3084" spans="1:11">
      <c r="A3084" s="1">
        <v>45840</v>
      </c>
      <c r="B3084" t="s">
        <v>1974</v>
      </c>
      <c r="C3084">
        <v>2.1829999999999998</v>
      </c>
      <c r="I3084" s="1">
        <v>45847</v>
      </c>
      <c r="J3084" s="1" t="s">
        <v>289</v>
      </c>
      <c r="K3084" s="3">
        <v>14</v>
      </c>
    </row>
    <row r="3085" spans="1:11">
      <c r="A3085" s="1">
        <v>45840</v>
      </c>
      <c r="B3085" t="s">
        <v>1975</v>
      </c>
      <c r="C3085">
        <v>2.2330000000000001</v>
      </c>
      <c r="I3085" s="1">
        <v>45847</v>
      </c>
      <c r="J3085" s="1" t="s">
        <v>290</v>
      </c>
      <c r="K3085" s="3">
        <v>14</v>
      </c>
    </row>
    <row r="3086" spans="1:11">
      <c r="A3086" s="1">
        <v>45840</v>
      </c>
      <c r="B3086" t="s">
        <v>1976</v>
      </c>
      <c r="C3086">
        <v>2.3039999999999998</v>
      </c>
      <c r="I3086" s="1">
        <v>45847</v>
      </c>
      <c r="J3086" s="1" t="s">
        <v>107</v>
      </c>
      <c r="K3086" s="3">
        <v>4549754637405</v>
      </c>
    </row>
    <row r="3087" spans="1:11">
      <c r="A3087" s="1">
        <v>45840</v>
      </c>
      <c r="B3087" t="s">
        <v>1977</v>
      </c>
      <c r="C3087">
        <v>2.488</v>
      </c>
      <c r="I3087" s="1">
        <v>45846</v>
      </c>
      <c r="J3087" s="1" t="s">
        <v>107</v>
      </c>
      <c r="K3087" s="3">
        <v>4549754637405</v>
      </c>
    </row>
    <row r="3088" spans="1:11">
      <c r="A3088" s="1">
        <v>45840</v>
      </c>
      <c r="B3088" t="s">
        <v>1978</v>
      </c>
      <c r="C3088">
        <v>2.6720000000000002</v>
      </c>
      <c r="I3088" s="1">
        <v>45846</v>
      </c>
      <c r="J3088" s="1" t="s">
        <v>282</v>
      </c>
      <c r="K3088" s="3">
        <v>15000</v>
      </c>
    </row>
    <row r="3089" spans="1:11">
      <c r="A3089" s="1">
        <v>45840</v>
      </c>
      <c r="B3089" t="s">
        <v>1979</v>
      </c>
      <c r="C3089">
        <v>2.996</v>
      </c>
      <c r="I3089" s="1">
        <v>45846</v>
      </c>
      <c r="J3089" s="1" t="s">
        <v>283</v>
      </c>
      <c r="K3089" s="3">
        <v>7</v>
      </c>
    </row>
    <row r="3090" spans="1:11">
      <c r="A3090" s="1">
        <v>45840</v>
      </c>
      <c r="B3090" t="s">
        <v>1980</v>
      </c>
      <c r="C3090">
        <v>3.2189999999999999</v>
      </c>
      <c r="I3090" s="1">
        <v>45846</v>
      </c>
      <c r="J3090" s="1" t="s">
        <v>284</v>
      </c>
      <c r="K3090" s="3">
        <v>16509.599999999999</v>
      </c>
    </row>
    <row r="3091" spans="1:11">
      <c r="A3091" s="1">
        <v>45840</v>
      </c>
      <c r="B3091" t="s">
        <v>1981</v>
      </c>
      <c r="C3091">
        <v>3.3359999999999999</v>
      </c>
      <c r="I3091" s="1">
        <v>45846</v>
      </c>
      <c r="J3091" s="1" t="s">
        <v>285</v>
      </c>
      <c r="K3091" s="3">
        <v>4</v>
      </c>
    </row>
    <row r="3092" spans="1:11">
      <c r="A3092" s="1">
        <v>45840</v>
      </c>
      <c r="B3092" t="s">
        <v>1982</v>
      </c>
      <c r="C3092">
        <v>3.4039999999999999</v>
      </c>
      <c r="I3092" s="1">
        <v>45846</v>
      </c>
      <c r="J3092" s="1" t="s">
        <v>286</v>
      </c>
      <c r="K3092" s="3">
        <v>8043.36</v>
      </c>
    </row>
    <row r="3093" spans="1:11">
      <c r="A3093" s="1">
        <v>45840</v>
      </c>
      <c r="B3093" t="s">
        <v>1983</v>
      </c>
      <c r="C3093">
        <v>3.496</v>
      </c>
      <c r="I3093" s="1">
        <v>45846</v>
      </c>
      <c r="J3093" s="1" t="s">
        <v>287</v>
      </c>
      <c r="K3093" s="3">
        <v>79020.47</v>
      </c>
    </row>
    <row r="3094" spans="1:11">
      <c r="A3094" s="1">
        <v>45839</v>
      </c>
      <c r="B3094" t="s">
        <v>1974</v>
      </c>
      <c r="C3094">
        <v>2.1829999999999998</v>
      </c>
      <c r="I3094" s="1">
        <v>45846</v>
      </c>
      <c r="J3094" s="1" t="s">
        <v>288</v>
      </c>
      <c r="K3094" s="3">
        <v>-63625.74</v>
      </c>
    </row>
    <row r="3095" spans="1:11">
      <c r="A3095" s="1">
        <v>45839</v>
      </c>
      <c r="B3095" t="s">
        <v>1975</v>
      </c>
      <c r="C3095">
        <v>2.2330000000000001</v>
      </c>
      <c r="I3095" s="1">
        <v>45846</v>
      </c>
      <c r="J3095" s="1" t="s">
        <v>289</v>
      </c>
      <c r="K3095" s="3">
        <v>13</v>
      </c>
    </row>
    <row r="3096" spans="1:11">
      <c r="A3096" s="1">
        <v>45839</v>
      </c>
      <c r="B3096" t="s">
        <v>1976</v>
      </c>
      <c r="C3096">
        <v>2.3039999999999998</v>
      </c>
      <c r="I3096" s="1">
        <v>45846</v>
      </c>
      <c r="J3096" s="1" t="s">
        <v>290</v>
      </c>
      <c r="K3096" s="3">
        <v>13</v>
      </c>
    </row>
    <row r="3097" spans="1:11">
      <c r="A3097" s="1">
        <v>45839</v>
      </c>
      <c r="B3097" t="s">
        <v>1977</v>
      </c>
      <c r="C3097">
        <v>2.488</v>
      </c>
      <c r="I3097" s="1">
        <v>45845</v>
      </c>
      <c r="J3097" s="1" t="s">
        <v>107</v>
      </c>
      <c r="K3097" s="3">
        <v>4750890408651</v>
      </c>
    </row>
    <row r="3098" spans="1:11">
      <c r="A3098" s="1">
        <v>45839</v>
      </c>
      <c r="B3098" t="s">
        <v>1978</v>
      </c>
      <c r="C3098">
        <v>2.6720000000000002</v>
      </c>
      <c r="I3098" s="1">
        <v>45845</v>
      </c>
      <c r="J3098" s="1" t="s">
        <v>286</v>
      </c>
      <c r="K3098" s="3">
        <v>33055.379999999997</v>
      </c>
    </row>
    <row r="3099" spans="1:11">
      <c r="A3099" s="1">
        <v>45839</v>
      </c>
      <c r="B3099" t="s">
        <v>1979</v>
      </c>
      <c r="C3099">
        <v>2.9940000000000002</v>
      </c>
      <c r="I3099" s="1">
        <v>45845</v>
      </c>
      <c r="J3099" s="1" t="s">
        <v>287</v>
      </c>
      <c r="K3099" s="3">
        <v>70554.23</v>
      </c>
    </row>
    <row r="3100" spans="1:11">
      <c r="A3100" s="1">
        <v>45839</v>
      </c>
      <c r="B3100" t="s">
        <v>1980</v>
      </c>
      <c r="C3100">
        <v>3.22</v>
      </c>
      <c r="I3100" s="1">
        <v>45845</v>
      </c>
      <c r="J3100" s="1" t="s">
        <v>288</v>
      </c>
      <c r="K3100" s="3">
        <v>-56669.1</v>
      </c>
    </row>
    <row r="3101" spans="1:11">
      <c r="A3101" s="1">
        <v>45839</v>
      </c>
      <c r="B3101" t="s">
        <v>1981</v>
      </c>
      <c r="C3101">
        <v>3.3380000000000001</v>
      </c>
      <c r="I3101" s="1">
        <v>45845</v>
      </c>
      <c r="J3101" s="1" t="s">
        <v>289</v>
      </c>
      <c r="K3101" s="3">
        <v>7</v>
      </c>
    </row>
    <row r="3102" spans="1:11">
      <c r="A3102" s="1">
        <v>45839</v>
      </c>
      <c r="B3102" t="s">
        <v>1982</v>
      </c>
      <c r="C3102">
        <v>3.4039999999999999</v>
      </c>
      <c r="I3102" s="1">
        <v>45845</v>
      </c>
      <c r="J3102" s="1" t="s">
        <v>290</v>
      </c>
      <c r="K3102" s="3">
        <v>7</v>
      </c>
    </row>
    <row r="3103" spans="1:11">
      <c r="A3103" s="1">
        <v>45839</v>
      </c>
      <c r="B3103" t="s">
        <v>1983</v>
      </c>
      <c r="C3103">
        <v>3.496</v>
      </c>
      <c r="I3103" s="1">
        <v>45845</v>
      </c>
      <c r="J3103" s="1" t="s">
        <v>285</v>
      </c>
      <c r="K3103" s="3">
        <v>4</v>
      </c>
    </row>
    <row r="3104" spans="1:11">
      <c r="A3104" s="1">
        <v>45838</v>
      </c>
      <c r="B3104" t="s">
        <v>1974</v>
      </c>
      <c r="C3104">
        <v>2.1829999999999998</v>
      </c>
      <c r="I3104" s="1">
        <v>45845</v>
      </c>
      <c r="J3104" s="1" t="s">
        <v>282</v>
      </c>
      <c r="K3104" s="3">
        <v>9000</v>
      </c>
    </row>
    <row r="3105" spans="1:11">
      <c r="A3105" s="1">
        <v>45838</v>
      </c>
      <c r="B3105" t="s">
        <v>1975</v>
      </c>
      <c r="C3105">
        <v>2.2330000000000001</v>
      </c>
      <c r="I3105" s="1">
        <v>45845</v>
      </c>
      <c r="J3105" s="1" t="s">
        <v>283</v>
      </c>
      <c r="K3105" s="3">
        <v>7</v>
      </c>
    </row>
    <row r="3106" spans="1:11">
      <c r="A3106" s="1">
        <v>45838</v>
      </c>
      <c r="B3106" t="s">
        <v>1976</v>
      </c>
      <c r="C3106">
        <v>2.3039999999999998</v>
      </c>
      <c r="I3106" s="1">
        <v>45845</v>
      </c>
      <c r="J3106" s="1" t="s">
        <v>284</v>
      </c>
      <c r="K3106" s="3">
        <v>9000</v>
      </c>
    </row>
    <row r="3107" spans="1:11">
      <c r="A3107" s="1">
        <v>45838</v>
      </c>
      <c r="B3107" t="s">
        <v>1977</v>
      </c>
      <c r="C3107">
        <v>2.4889999999999999</v>
      </c>
      <c r="I3107" s="1">
        <v>45844</v>
      </c>
      <c r="J3107" s="1" t="s">
        <v>107</v>
      </c>
      <c r="K3107" s="3">
        <v>5525643177968</v>
      </c>
    </row>
    <row r="3108" spans="1:11">
      <c r="A3108" s="1">
        <v>45838</v>
      </c>
      <c r="B3108" t="s">
        <v>1978</v>
      </c>
      <c r="C3108">
        <v>2.6739999999999999</v>
      </c>
      <c r="I3108" s="1">
        <v>45842</v>
      </c>
      <c r="J3108" s="1" t="s">
        <v>282</v>
      </c>
      <c r="K3108" s="3">
        <v>5000</v>
      </c>
    </row>
    <row r="3109" spans="1:11">
      <c r="A3109" s="1">
        <v>45838</v>
      </c>
      <c r="B3109" t="s">
        <v>1979</v>
      </c>
      <c r="C3109">
        <v>2.996</v>
      </c>
      <c r="I3109" s="1">
        <v>45842</v>
      </c>
      <c r="J3109" s="1" t="s">
        <v>283</v>
      </c>
      <c r="K3109" s="3">
        <v>7</v>
      </c>
    </row>
    <row r="3110" spans="1:11">
      <c r="A3110" s="1">
        <v>45838</v>
      </c>
      <c r="B3110" t="s">
        <v>1980</v>
      </c>
      <c r="C3110">
        <v>3.2170000000000001</v>
      </c>
      <c r="I3110" s="1">
        <v>45842</v>
      </c>
      <c r="J3110" s="1" t="s">
        <v>284</v>
      </c>
      <c r="K3110" s="3">
        <v>5122.5600000000004</v>
      </c>
    </row>
    <row r="3111" spans="1:11">
      <c r="A3111" s="1">
        <v>45838</v>
      </c>
      <c r="B3111" t="s">
        <v>1981</v>
      </c>
      <c r="C3111">
        <v>3.3380000000000001</v>
      </c>
      <c r="I3111" s="1">
        <v>45842</v>
      </c>
      <c r="J3111" s="1" t="s">
        <v>285</v>
      </c>
      <c r="K3111" s="3">
        <v>4</v>
      </c>
    </row>
    <row r="3112" spans="1:11">
      <c r="A3112" s="1">
        <v>45838</v>
      </c>
      <c r="B3112" t="s">
        <v>1982</v>
      </c>
      <c r="C3112">
        <v>3.4039999999999999</v>
      </c>
      <c r="I3112" s="1">
        <v>45842</v>
      </c>
      <c r="J3112" s="1" t="s">
        <v>286</v>
      </c>
      <c r="K3112" s="3">
        <v>24534.85</v>
      </c>
    </row>
    <row r="3113" spans="1:11">
      <c r="A3113" s="1">
        <v>45838</v>
      </c>
      <c r="B3113" t="s">
        <v>1983</v>
      </c>
      <c r="C3113">
        <v>3.496</v>
      </c>
      <c r="I3113" s="1">
        <v>45842</v>
      </c>
      <c r="J3113" s="1" t="s">
        <v>287</v>
      </c>
      <c r="K3113" s="3">
        <v>94609.61</v>
      </c>
    </row>
    <row r="3114" spans="1:11">
      <c r="A3114" s="1">
        <v>45835</v>
      </c>
      <c r="B3114" t="s">
        <v>1974</v>
      </c>
      <c r="C3114">
        <v>2.1749999999999998</v>
      </c>
      <c r="I3114" s="1">
        <v>45842</v>
      </c>
      <c r="J3114" s="1" t="s">
        <v>288</v>
      </c>
      <c r="K3114" s="3">
        <v>-61704.66</v>
      </c>
    </row>
    <row r="3115" spans="1:11">
      <c r="A3115" s="1">
        <v>45835</v>
      </c>
      <c r="B3115" t="s">
        <v>1975</v>
      </c>
      <c r="C3115">
        <v>2.2170000000000001</v>
      </c>
      <c r="I3115" s="1">
        <v>45842</v>
      </c>
      <c r="J3115" s="1" t="s">
        <v>289</v>
      </c>
      <c r="K3115" s="3">
        <v>3</v>
      </c>
    </row>
    <row r="3116" spans="1:11">
      <c r="A3116" s="1">
        <v>45835</v>
      </c>
      <c r="B3116" t="s">
        <v>1976</v>
      </c>
      <c r="C3116">
        <v>2.2879999999999998</v>
      </c>
      <c r="I3116" s="1">
        <v>45842</v>
      </c>
      <c r="J3116" s="1" t="s">
        <v>290</v>
      </c>
      <c r="K3116" s="3">
        <v>3</v>
      </c>
    </row>
    <row r="3117" spans="1:11">
      <c r="A3117" s="1">
        <v>45835</v>
      </c>
      <c r="B3117" t="s">
        <v>1977</v>
      </c>
      <c r="C3117">
        <v>2.476</v>
      </c>
      <c r="I3117" s="1">
        <v>45841</v>
      </c>
      <c r="J3117" s="1" t="s">
        <v>107</v>
      </c>
      <c r="K3117" s="3">
        <v>6607163233157</v>
      </c>
    </row>
    <row r="3118" spans="1:11">
      <c r="A3118" s="1">
        <v>45835</v>
      </c>
      <c r="B3118" t="s">
        <v>1978</v>
      </c>
      <c r="C3118">
        <v>2.6640000000000001</v>
      </c>
      <c r="I3118" s="1">
        <v>45841</v>
      </c>
      <c r="J3118" s="1" t="s">
        <v>282</v>
      </c>
      <c r="K3118" s="3">
        <v>3000</v>
      </c>
    </row>
    <row r="3119" spans="1:11">
      <c r="A3119" s="1">
        <v>45835</v>
      </c>
      <c r="B3119" t="s">
        <v>1979</v>
      </c>
      <c r="C3119">
        <v>3.0009999999999999</v>
      </c>
      <c r="I3119" s="1">
        <v>45841</v>
      </c>
      <c r="J3119" s="1" t="s">
        <v>283</v>
      </c>
      <c r="K3119" s="3">
        <v>7</v>
      </c>
    </row>
    <row r="3120" spans="1:11">
      <c r="A3120" s="1">
        <v>45835</v>
      </c>
      <c r="B3120" t="s">
        <v>1980</v>
      </c>
      <c r="C3120">
        <v>3.2130000000000001</v>
      </c>
      <c r="I3120" s="1">
        <v>45841</v>
      </c>
      <c r="J3120" s="1" t="s">
        <v>284</v>
      </c>
      <c r="K3120" s="3">
        <v>195.77</v>
      </c>
    </row>
    <row r="3121" spans="1:11">
      <c r="A3121" s="1">
        <v>45835</v>
      </c>
      <c r="B3121" t="s">
        <v>1981</v>
      </c>
      <c r="C3121">
        <v>3.3370000000000002</v>
      </c>
      <c r="I3121" s="1">
        <v>45841</v>
      </c>
      <c r="J3121" s="1" t="s">
        <v>285</v>
      </c>
      <c r="K3121" s="3">
        <v>4</v>
      </c>
    </row>
    <row r="3122" spans="1:11">
      <c r="A3122" s="1">
        <v>45835</v>
      </c>
      <c r="B3122" t="s">
        <v>1982</v>
      </c>
      <c r="C3122">
        <v>3.3879999999999999</v>
      </c>
      <c r="I3122" s="1">
        <v>45841</v>
      </c>
      <c r="J3122" s="1" t="s">
        <v>286</v>
      </c>
      <c r="K3122" s="3">
        <v>20442.060000000001</v>
      </c>
    </row>
    <row r="3123" spans="1:11">
      <c r="A3123" s="1">
        <v>45835</v>
      </c>
      <c r="B3123" t="s">
        <v>1983</v>
      </c>
      <c r="C3123">
        <v>3.4830000000000001</v>
      </c>
      <c r="I3123" s="1">
        <v>45841</v>
      </c>
      <c r="J3123" s="1" t="s">
        <v>287</v>
      </c>
      <c r="K3123" s="3">
        <v>114021.9</v>
      </c>
    </row>
    <row r="3124" spans="1:11">
      <c r="A3124" s="1">
        <v>45834</v>
      </c>
      <c r="B3124" t="s">
        <v>1974</v>
      </c>
      <c r="C3124">
        <v>2.1749999999999998</v>
      </c>
      <c r="I3124" s="1">
        <v>45841</v>
      </c>
      <c r="J3124" s="1" t="s">
        <v>288</v>
      </c>
      <c r="K3124" s="3">
        <v>-66239.509999999995</v>
      </c>
    </row>
    <row r="3125" spans="1:11">
      <c r="A3125" s="1">
        <v>45834</v>
      </c>
      <c r="B3125" t="s">
        <v>1975</v>
      </c>
      <c r="C3125">
        <v>2.2170000000000001</v>
      </c>
      <c r="I3125" s="1">
        <v>45841</v>
      </c>
      <c r="J3125" s="1" t="s">
        <v>289</v>
      </c>
      <c r="K3125" s="3">
        <v>1</v>
      </c>
    </row>
    <row r="3126" spans="1:11">
      <c r="A3126" s="1">
        <v>45834</v>
      </c>
      <c r="B3126" t="s">
        <v>1976</v>
      </c>
      <c r="C3126">
        <v>2.2879999999999998</v>
      </c>
      <c r="I3126" s="1">
        <v>45841</v>
      </c>
      <c r="J3126" s="1" t="s">
        <v>290</v>
      </c>
      <c r="K3126" s="3">
        <v>1</v>
      </c>
    </row>
    <row r="3127" spans="1:11">
      <c r="A3127" s="1">
        <v>45834</v>
      </c>
      <c r="B3127" t="s">
        <v>1977</v>
      </c>
      <c r="C3127">
        <v>2.476</v>
      </c>
      <c r="I3127" s="1">
        <v>45840</v>
      </c>
      <c r="J3127" s="1" t="s">
        <v>282</v>
      </c>
      <c r="K3127" s="3">
        <v>5000</v>
      </c>
    </row>
    <row r="3128" spans="1:11">
      <c r="A3128" s="1">
        <v>45834</v>
      </c>
      <c r="B3128" t="s">
        <v>1978</v>
      </c>
      <c r="C3128">
        <v>2.6640000000000001</v>
      </c>
      <c r="I3128" s="1">
        <v>45840</v>
      </c>
      <c r="J3128" s="1" t="s">
        <v>283</v>
      </c>
      <c r="K3128" s="3">
        <v>7</v>
      </c>
    </row>
    <row r="3129" spans="1:11">
      <c r="A3129" s="1">
        <v>45834</v>
      </c>
      <c r="B3129" t="s">
        <v>1979</v>
      </c>
      <c r="C3129">
        <v>3.0030000000000001</v>
      </c>
      <c r="I3129" s="1">
        <v>45840</v>
      </c>
      <c r="J3129" s="1" t="s">
        <v>284</v>
      </c>
      <c r="K3129" s="3">
        <v>0</v>
      </c>
    </row>
    <row r="3130" spans="1:11">
      <c r="A3130" s="1">
        <v>45834</v>
      </c>
      <c r="B3130" t="s">
        <v>1980</v>
      </c>
      <c r="C3130">
        <v>3.2130000000000001</v>
      </c>
      <c r="I3130" s="1">
        <v>45840</v>
      </c>
      <c r="J3130" s="1" t="s">
        <v>285</v>
      </c>
      <c r="K3130" s="3">
        <v>4</v>
      </c>
    </row>
    <row r="3131" spans="1:11">
      <c r="A3131" s="1">
        <v>45834</v>
      </c>
      <c r="B3131" t="s">
        <v>1981</v>
      </c>
      <c r="C3131">
        <v>3.331</v>
      </c>
      <c r="I3131" s="1">
        <v>45840</v>
      </c>
      <c r="J3131" s="1" t="s">
        <v>286</v>
      </c>
      <c r="K3131" s="3">
        <v>8377.8700000000008</v>
      </c>
    </row>
    <row r="3132" spans="1:11">
      <c r="A3132" s="1">
        <v>45834</v>
      </c>
      <c r="B3132" t="s">
        <v>1982</v>
      </c>
      <c r="C3132">
        <v>3.3879999999999999</v>
      </c>
      <c r="I3132" s="1">
        <v>45840</v>
      </c>
      <c r="J3132" s="1" t="s">
        <v>287</v>
      </c>
      <c r="K3132" s="3">
        <v>134268.19</v>
      </c>
    </row>
    <row r="3133" spans="1:11">
      <c r="A3133" s="1">
        <v>45834</v>
      </c>
      <c r="B3133" t="s">
        <v>1983</v>
      </c>
      <c r="C3133">
        <v>3.4830000000000001</v>
      </c>
      <c r="I3133" s="1">
        <v>45840</v>
      </c>
      <c r="J3133" s="1" t="s">
        <v>288</v>
      </c>
      <c r="K3133" s="3">
        <v>-86485.8</v>
      </c>
    </row>
    <row r="3134" spans="1:11">
      <c r="A3134" s="1">
        <v>45833</v>
      </c>
      <c r="B3134" t="s">
        <v>1974</v>
      </c>
      <c r="C3134">
        <v>2.1749999999999998</v>
      </c>
      <c r="I3134" s="1">
        <v>45840</v>
      </c>
      <c r="J3134" s="1" t="s">
        <v>289</v>
      </c>
      <c r="K3134" s="3">
        <v>0</v>
      </c>
    </row>
    <row r="3135" spans="1:11">
      <c r="A3135" s="1">
        <v>45833</v>
      </c>
      <c r="B3135" t="s">
        <v>1975</v>
      </c>
      <c r="C3135">
        <v>2.2170000000000001</v>
      </c>
      <c r="I3135" s="1">
        <v>45840</v>
      </c>
      <c r="J3135" s="1" t="s">
        <v>290</v>
      </c>
      <c r="K3135" s="3">
        <v>0</v>
      </c>
    </row>
    <row r="3136" spans="1:11">
      <c r="A3136" s="1">
        <v>45833</v>
      </c>
      <c r="B3136" t="s">
        <v>1976</v>
      </c>
      <c r="C3136">
        <v>2.2789999999999999</v>
      </c>
      <c r="I3136" s="1">
        <v>45840</v>
      </c>
      <c r="J3136" s="1" t="s">
        <v>107</v>
      </c>
      <c r="K3136" s="3">
        <v>7023911493712</v>
      </c>
    </row>
    <row r="3137" spans="1:11">
      <c r="A3137" s="1">
        <v>45833</v>
      </c>
      <c r="B3137" t="s">
        <v>1977</v>
      </c>
      <c r="C3137">
        <v>2.4670000000000001</v>
      </c>
      <c r="I3137" s="1">
        <v>45839</v>
      </c>
      <c r="J3137" s="1" t="s">
        <v>107</v>
      </c>
      <c r="K3137" s="3">
        <v>7826370763594</v>
      </c>
    </row>
    <row r="3138" spans="1:11">
      <c r="A3138" s="1">
        <v>45833</v>
      </c>
      <c r="B3138" t="s">
        <v>1978</v>
      </c>
      <c r="C3138">
        <v>2.6539999999999999</v>
      </c>
      <c r="I3138" s="1">
        <v>45839</v>
      </c>
      <c r="J3138" s="1" t="s">
        <v>282</v>
      </c>
      <c r="K3138" s="3">
        <v>5000</v>
      </c>
    </row>
    <row r="3139" spans="1:11">
      <c r="A3139" s="1">
        <v>45833</v>
      </c>
      <c r="B3139" t="s">
        <v>1979</v>
      </c>
      <c r="C3139">
        <v>2.9910000000000001</v>
      </c>
      <c r="I3139" s="1">
        <v>45839</v>
      </c>
      <c r="J3139" s="1" t="s">
        <v>283</v>
      </c>
      <c r="K3139" s="3">
        <v>7</v>
      </c>
    </row>
    <row r="3140" spans="1:11">
      <c r="A3140" s="1">
        <v>45833</v>
      </c>
      <c r="B3140" t="s">
        <v>1980</v>
      </c>
      <c r="C3140">
        <v>3.2029999999999998</v>
      </c>
      <c r="I3140" s="1">
        <v>45839</v>
      </c>
      <c r="J3140" s="1" t="s">
        <v>284</v>
      </c>
      <c r="K3140" s="3">
        <v>4201.46</v>
      </c>
    </row>
    <row r="3141" spans="1:11">
      <c r="A3141" s="1">
        <v>45833</v>
      </c>
      <c r="B3141" t="s">
        <v>1981</v>
      </c>
      <c r="C3141">
        <v>3.3220000000000001</v>
      </c>
      <c r="I3141" s="1">
        <v>45839</v>
      </c>
      <c r="J3141" s="1" t="s">
        <v>285</v>
      </c>
      <c r="K3141" s="3">
        <v>4</v>
      </c>
    </row>
    <row r="3142" spans="1:11">
      <c r="A3142" s="1">
        <v>45833</v>
      </c>
      <c r="B3142" t="s">
        <v>1982</v>
      </c>
      <c r="C3142">
        <v>3.383</v>
      </c>
      <c r="I3142" s="1">
        <v>45839</v>
      </c>
      <c r="J3142" s="1" t="s">
        <v>286</v>
      </c>
      <c r="K3142" s="3">
        <v>4778.08</v>
      </c>
    </row>
    <row r="3143" spans="1:11">
      <c r="A3143" s="1">
        <v>45833</v>
      </c>
      <c r="B3143" t="s">
        <v>1983</v>
      </c>
      <c r="C3143">
        <v>3.4790000000000001</v>
      </c>
      <c r="I3143" s="1">
        <v>45839</v>
      </c>
      <c r="J3143" s="1" t="s">
        <v>287</v>
      </c>
      <c r="K3143" s="3">
        <v>142646.06</v>
      </c>
    </row>
    <row r="3144" spans="1:11">
      <c r="A3144" s="1">
        <v>45832</v>
      </c>
      <c r="B3144" t="s">
        <v>1974</v>
      </c>
      <c r="C3144">
        <v>2.1709999999999998</v>
      </c>
      <c r="I3144" s="1">
        <v>45839</v>
      </c>
      <c r="J3144" s="1" t="s">
        <v>288</v>
      </c>
      <c r="K3144" s="3">
        <v>-94453.52</v>
      </c>
    </row>
    <row r="3145" spans="1:11">
      <c r="A3145" s="1">
        <v>45832</v>
      </c>
      <c r="B3145" t="s">
        <v>1975</v>
      </c>
      <c r="C3145">
        <v>2.2130000000000001</v>
      </c>
      <c r="I3145" s="1">
        <v>45839</v>
      </c>
      <c r="J3145" s="1" t="s">
        <v>289</v>
      </c>
      <c r="K3145" s="3">
        <v>3</v>
      </c>
    </row>
    <row r="3146" spans="1:11">
      <c r="A3146" s="1">
        <v>45832</v>
      </c>
      <c r="B3146" t="s">
        <v>1976</v>
      </c>
      <c r="C3146">
        <v>2.2749999999999999</v>
      </c>
      <c r="I3146" s="1">
        <v>45839</v>
      </c>
      <c r="J3146" s="1" t="s">
        <v>290</v>
      </c>
      <c r="K3146" s="3">
        <v>3</v>
      </c>
    </row>
    <row r="3147" spans="1:11">
      <c r="A3147" s="1">
        <v>45832</v>
      </c>
      <c r="B3147" t="s">
        <v>1977</v>
      </c>
      <c r="C3147">
        <v>2.4689999999999999</v>
      </c>
      <c r="I3147" s="1">
        <v>45838</v>
      </c>
      <c r="J3147" s="1" t="s">
        <v>282</v>
      </c>
      <c r="K3147" s="3">
        <v>50000</v>
      </c>
    </row>
    <row r="3148" spans="1:11">
      <c r="A3148" s="1">
        <v>45832</v>
      </c>
      <c r="B3148" t="s">
        <v>1978</v>
      </c>
      <c r="C3148">
        <v>2.6640000000000001</v>
      </c>
      <c r="I3148" s="1">
        <v>45838</v>
      </c>
      <c r="J3148" s="1" t="s">
        <v>283</v>
      </c>
      <c r="K3148" s="3">
        <v>7</v>
      </c>
    </row>
    <row r="3149" spans="1:11">
      <c r="A3149" s="1">
        <v>45832</v>
      </c>
      <c r="B3149" t="s">
        <v>1979</v>
      </c>
      <c r="C3149">
        <v>3.004</v>
      </c>
      <c r="I3149" s="1">
        <v>45838</v>
      </c>
      <c r="J3149" s="1" t="s">
        <v>284</v>
      </c>
      <c r="K3149" s="3">
        <v>52904.4</v>
      </c>
    </row>
    <row r="3150" spans="1:11">
      <c r="A3150" s="1">
        <v>45832</v>
      </c>
      <c r="B3150" t="s">
        <v>1980</v>
      </c>
      <c r="C3150">
        <v>3.2080000000000002</v>
      </c>
      <c r="I3150" s="1">
        <v>45838</v>
      </c>
      <c r="J3150" s="1" t="s">
        <v>285</v>
      </c>
      <c r="K3150" s="3">
        <v>4</v>
      </c>
    </row>
    <row r="3151" spans="1:11">
      <c r="A3151" s="1">
        <v>45832</v>
      </c>
      <c r="B3151" t="s">
        <v>1981</v>
      </c>
      <c r="C3151">
        <v>3.3250000000000002</v>
      </c>
      <c r="I3151" s="1">
        <v>45838</v>
      </c>
      <c r="J3151" s="1" t="s">
        <v>286</v>
      </c>
      <c r="K3151" s="3">
        <v>0</v>
      </c>
    </row>
    <row r="3152" spans="1:11">
      <c r="A3152" s="1">
        <v>45832</v>
      </c>
      <c r="B3152" t="s">
        <v>1982</v>
      </c>
      <c r="C3152">
        <v>3.383</v>
      </c>
      <c r="I3152" s="1">
        <v>45838</v>
      </c>
      <c r="J3152" s="1" t="s">
        <v>287</v>
      </c>
      <c r="K3152" s="3">
        <v>143222.68</v>
      </c>
    </row>
    <row r="3153" spans="1:11">
      <c r="A3153" s="1">
        <v>45832</v>
      </c>
      <c r="B3153" t="s">
        <v>1983</v>
      </c>
      <c r="C3153">
        <v>3.4790000000000001</v>
      </c>
      <c r="I3153" s="1">
        <v>45838</v>
      </c>
      <c r="J3153" s="1" t="s">
        <v>288</v>
      </c>
      <c r="K3153" s="3">
        <v>-91188.24</v>
      </c>
    </row>
    <row r="3154" spans="1:11">
      <c r="A3154" s="1">
        <v>45831</v>
      </c>
      <c r="B3154" t="s">
        <v>1974</v>
      </c>
      <c r="C3154">
        <v>2.1709999999999998</v>
      </c>
      <c r="I3154" s="1">
        <v>45838</v>
      </c>
      <c r="J3154" s="1" t="s">
        <v>289</v>
      </c>
      <c r="K3154" s="3">
        <v>25</v>
      </c>
    </row>
    <row r="3155" spans="1:11">
      <c r="A3155" s="1">
        <v>45831</v>
      </c>
      <c r="B3155" t="s">
        <v>1975</v>
      </c>
      <c r="C3155">
        <v>2.2130000000000001</v>
      </c>
      <c r="I3155" s="1">
        <v>45838</v>
      </c>
      <c r="J3155" s="1" t="s">
        <v>290</v>
      </c>
      <c r="K3155" s="3">
        <v>25</v>
      </c>
    </row>
    <row r="3156" spans="1:11">
      <c r="A3156" s="1">
        <v>45831</v>
      </c>
      <c r="B3156" t="s">
        <v>1976</v>
      </c>
      <c r="C3156">
        <v>2.2749999999999999</v>
      </c>
      <c r="I3156" s="1">
        <v>45838</v>
      </c>
      <c r="J3156" s="1" t="s">
        <v>107</v>
      </c>
      <c r="K3156" s="3">
        <v>7955695377954</v>
      </c>
    </row>
    <row r="3157" spans="1:11">
      <c r="A3157" s="1">
        <v>45831</v>
      </c>
      <c r="B3157" t="s">
        <v>1977</v>
      </c>
      <c r="C3157">
        <v>2.4630000000000001</v>
      </c>
      <c r="I3157" s="1">
        <v>45837</v>
      </c>
      <c r="J3157" s="1" t="s">
        <v>107</v>
      </c>
      <c r="K3157" s="3">
        <v>5228169006111</v>
      </c>
    </row>
    <row r="3158" spans="1:11">
      <c r="A3158" s="1">
        <v>45831</v>
      </c>
      <c r="B3158" t="s">
        <v>1978</v>
      </c>
      <c r="C3158">
        <v>2.65</v>
      </c>
      <c r="I3158" s="1">
        <v>45835</v>
      </c>
      <c r="J3158" s="1" t="s">
        <v>282</v>
      </c>
      <c r="K3158" s="3">
        <v>30000</v>
      </c>
    </row>
    <row r="3159" spans="1:11">
      <c r="A3159" s="1">
        <v>45831</v>
      </c>
      <c r="B3159" t="s">
        <v>1979</v>
      </c>
      <c r="C3159">
        <v>2.984</v>
      </c>
      <c r="I3159" s="1">
        <v>45835</v>
      </c>
      <c r="J3159" s="1" t="s">
        <v>283</v>
      </c>
      <c r="K3159" s="3">
        <v>7</v>
      </c>
    </row>
    <row r="3160" spans="1:11">
      <c r="A3160" s="1">
        <v>45831</v>
      </c>
      <c r="B3160" t="s">
        <v>1980</v>
      </c>
      <c r="C3160">
        <v>3.1960000000000002</v>
      </c>
      <c r="I3160" s="1">
        <v>45835</v>
      </c>
      <c r="J3160" s="1" t="s">
        <v>284</v>
      </c>
      <c r="K3160" s="3">
        <v>40365.040000000001</v>
      </c>
    </row>
    <row r="3161" spans="1:11">
      <c r="A3161" s="1">
        <v>45831</v>
      </c>
      <c r="B3161" t="s">
        <v>1981</v>
      </c>
      <c r="C3161">
        <v>3.3090000000000002</v>
      </c>
      <c r="I3161" s="1">
        <v>45835</v>
      </c>
      <c r="J3161" s="1" t="s">
        <v>285</v>
      </c>
      <c r="K3161" s="3">
        <v>4</v>
      </c>
    </row>
    <row r="3162" spans="1:11">
      <c r="A3162" s="1">
        <v>45831</v>
      </c>
      <c r="B3162" t="s">
        <v>1982</v>
      </c>
      <c r="C3162">
        <v>3.375</v>
      </c>
      <c r="I3162" s="1">
        <v>45835</v>
      </c>
      <c r="J3162" s="1" t="s">
        <v>286</v>
      </c>
      <c r="K3162" s="3">
        <v>322.82</v>
      </c>
    </row>
    <row r="3163" spans="1:11">
      <c r="A3163" s="1">
        <v>45831</v>
      </c>
      <c r="B3163" t="s">
        <v>1983</v>
      </c>
      <c r="C3163">
        <v>3.4710000000000001</v>
      </c>
      <c r="I3163" s="1">
        <v>45835</v>
      </c>
      <c r="J3163" s="1" t="s">
        <v>287</v>
      </c>
      <c r="K3163" s="3">
        <v>90318.28</v>
      </c>
    </row>
    <row r="3164" spans="1:11">
      <c r="A3164" s="1">
        <v>45828</v>
      </c>
      <c r="B3164" t="s">
        <v>1974</v>
      </c>
      <c r="C3164">
        <v>2.169</v>
      </c>
      <c r="I3164" s="1">
        <v>45835</v>
      </c>
      <c r="J3164" s="1" t="s">
        <v>288</v>
      </c>
      <c r="K3164" s="3">
        <v>-58132.86</v>
      </c>
    </row>
    <row r="3165" spans="1:11">
      <c r="A3165" s="1">
        <v>45828</v>
      </c>
      <c r="B3165" t="s">
        <v>1975</v>
      </c>
      <c r="C3165">
        <v>2.21</v>
      </c>
      <c r="I3165" s="1">
        <v>45835</v>
      </c>
      <c r="J3165" s="1" t="s">
        <v>289</v>
      </c>
      <c r="K3165" s="3">
        <v>21</v>
      </c>
    </row>
    <row r="3166" spans="1:11">
      <c r="A3166" s="1">
        <v>45828</v>
      </c>
      <c r="B3166" t="s">
        <v>1976</v>
      </c>
      <c r="C3166">
        <v>2.2730000000000001</v>
      </c>
      <c r="I3166" s="1">
        <v>45835</v>
      </c>
      <c r="J3166" s="1" t="s">
        <v>290</v>
      </c>
      <c r="K3166" s="3">
        <v>21</v>
      </c>
    </row>
    <row r="3167" spans="1:11">
      <c r="A3167" s="1">
        <v>45828</v>
      </c>
      <c r="B3167" t="s">
        <v>1977</v>
      </c>
      <c r="C3167">
        <v>2.46</v>
      </c>
      <c r="I3167" s="1">
        <v>45834</v>
      </c>
      <c r="J3167" s="1" t="s">
        <v>107</v>
      </c>
      <c r="K3167" s="3">
        <v>1856674995553</v>
      </c>
    </row>
    <row r="3168" spans="1:11">
      <c r="A3168" s="1">
        <v>45828</v>
      </c>
      <c r="B3168" t="s">
        <v>1978</v>
      </c>
      <c r="C3168">
        <v>2.6469999999999998</v>
      </c>
      <c r="I3168" s="1">
        <v>45834</v>
      </c>
      <c r="J3168" s="1" t="s">
        <v>282</v>
      </c>
      <c r="K3168" s="3">
        <v>22000</v>
      </c>
    </row>
    <row r="3169" spans="1:11">
      <c r="A3169" s="1">
        <v>45828</v>
      </c>
      <c r="B3169" t="s">
        <v>1979</v>
      </c>
      <c r="C3169">
        <v>2.9849999999999999</v>
      </c>
      <c r="I3169" s="1">
        <v>45834</v>
      </c>
      <c r="J3169" s="1" t="s">
        <v>283</v>
      </c>
      <c r="K3169" s="3">
        <v>7</v>
      </c>
    </row>
    <row r="3170" spans="1:11">
      <c r="A3170" s="1">
        <v>45828</v>
      </c>
      <c r="B3170" t="s">
        <v>1980</v>
      </c>
      <c r="C3170">
        <v>3.1930000000000001</v>
      </c>
      <c r="I3170" s="1">
        <v>45834</v>
      </c>
      <c r="J3170" s="1" t="s">
        <v>284</v>
      </c>
      <c r="K3170" s="3">
        <v>20442.060000000001</v>
      </c>
    </row>
    <row r="3171" spans="1:11">
      <c r="A3171" s="1">
        <v>45828</v>
      </c>
      <c r="B3171" t="s">
        <v>1981</v>
      </c>
      <c r="C3171">
        <v>3.3069999999999999</v>
      </c>
      <c r="I3171" s="1">
        <v>45834</v>
      </c>
      <c r="J3171" s="1" t="s">
        <v>285</v>
      </c>
      <c r="K3171" s="3">
        <v>4</v>
      </c>
    </row>
    <row r="3172" spans="1:11">
      <c r="A3172" s="1">
        <v>45828</v>
      </c>
      <c r="B3172" t="s">
        <v>1982</v>
      </c>
      <c r="C3172">
        <v>3.375</v>
      </c>
      <c r="I3172" s="1">
        <v>45834</v>
      </c>
      <c r="J3172" s="1" t="s">
        <v>286</v>
      </c>
      <c r="K3172" s="3">
        <v>935.5</v>
      </c>
    </row>
    <row r="3173" spans="1:11">
      <c r="A3173" s="1">
        <v>45828</v>
      </c>
      <c r="B3173" t="s">
        <v>1983</v>
      </c>
      <c r="C3173">
        <v>3.4710000000000001</v>
      </c>
      <c r="I3173" s="1">
        <v>45834</v>
      </c>
      <c r="J3173" s="1" t="s">
        <v>287</v>
      </c>
      <c r="K3173" s="3">
        <v>50276.06</v>
      </c>
    </row>
    <row r="3174" spans="1:11">
      <c r="A3174" s="1">
        <v>45827</v>
      </c>
      <c r="B3174" t="s">
        <v>1974</v>
      </c>
      <c r="C3174">
        <v>2.16</v>
      </c>
      <c r="I3174" s="1">
        <v>45834</v>
      </c>
      <c r="J3174" s="1" t="s">
        <v>288</v>
      </c>
      <c r="K3174" s="3">
        <v>-33920.83</v>
      </c>
    </row>
    <row r="3175" spans="1:11">
      <c r="A3175" s="1">
        <v>45827</v>
      </c>
      <c r="B3175" t="s">
        <v>1975</v>
      </c>
      <c r="C3175">
        <v>2.202</v>
      </c>
      <c r="I3175" s="1">
        <v>45834</v>
      </c>
      <c r="J3175" s="1" t="s">
        <v>289</v>
      </c>
      <c r="K3175" s="3">
        <v>11</v>
      </c>
    </row>
    <row r="3176" spans="1:11">
      <c r="A3176" s="1">
        <v>45827</v>
      </c>
      <c r="B3176" t="s">
        <v>1976</v>
      </c>
      <c r="C3176">
        <v>2.2650000000000001</v>
      </c>
      <c r="I3176" s="1">
        <v>45834</v>
      </c>
      <c r="J3176" s="1" t="s">
        <v>290</v>
      </c>
      <c r="K3176" s="3">
        <v>11</v>
      </c>
    </row>
    <row r="3177" spans="1:11">
      <c r="A3177" s="1">
        <v>45827</v>
      </c>
      <c r="B3177" t="s">
        <v>1977</v>
      </c>
      <c r="C3177">
        <v>2.4510000000000001</v>
      </c>
      <c r="I3177" s="1">
        <v>45833</v>
      </c>
      <c r="J3177" s="1" t="s">
        <v>282</v>
      </c>
      <c r="K3177" s="3">
        <v>10000</v>
      </c>
    </row>
    <row r="3178" spans="1:11">
      <c r="A3178" s="1">
        <v>45827</v>
      </c>
      <c r="B3178" t="s">
        <v>1978</v>
      </c>
      <c r="C3178">
        <v>2.6360000000000001</v>
      </c>
      <c r="I3178" s="1">
        <v>45833</v>
      </c>
      <c r="J3178" s="1" t="s">
        <v>283</v>
      </c>
      <c r="K3178" s="3">
        <v>7</v>
      </c>
    </row>
    <row r="3179" spans="1:11">
      <c r="A3179" s="1">
        <v>45827</v>
      </c>
      <c r="B3179" t="s">
        <v>1979</v>
      </c>
      <c r="C3179">
        <v>2.972</v>
      </c>
      <c r="I3179" s="1">
        <v>45833</v>
      </c>
      <c r="J3179" s="1" t="s">
        <v>284</v>
      </c>
      <c r="K3179" s="3">
        <v>7875.2</v>
      </c>
    </row>
    <row r="3180" spans="1:11">
      <c r="A3180" s="1">
        <v>45827</v>
      </c>
      <c r="B3180" t="s">
        <v>1980</v>
      </c>
      <c r="C3180">
        <v>3.181</v>
      </c>
      <c r="I3180" s="1">
        <v>45833</v>
      </c>
      <c r="J3180" s="1" t="s">
        <v>285</v>
      </c>
      <c r="K3180" s="3">
        <v>4</v>
      </c>
    </row>
    <row r="3181" spans="1:11">
      <c r="A3181" s="1">
        <v>45827</v>
      </c>
      <c r="B3181" t="s">
        <v>1981</v>
      </c>
      <c r="C3181">
        <v>3.3109999999999999</v>
      </c>
      <c r="I3181" s="1">
        <v>45833</v>
      </c>
      <c r="J3181" s="1" t="s">
        <v>286</v>
      </c>
      <c r="K3181" s="3">
        <v>3055.23</v>
      </c>
    </row>
    <row r="3182" spans="1:11">
      <c r="A3182" s="1">
        <v>45827</v>
      </c>
      <c r="B3182" t="s">
        <v>1982</v>
      </c>
      <c r="C3182">
        <v>3.363</v>
      </c>
      <c r="I3182" s="1">
        <v>45833</v>
      </c>
      <c r="J3182" s="1" t="s">
        <v>287</v>
      </c>
      <c r="K3182" s="3">
        <v>30769.5</v>
      </c>
    </row>
    <row r="3183" spans="1:11">
      <c r="A3183" s="1">
        <v>45827</v>
      </c>
      <c r="B3183" t="s">
        <v>1983</v>
      </c>
      <c r="C3183">
        <v>3.4540000000000002</v>
      </c>
      <c r="I3183" s="1">
        <v>45833</v>
      </c>
      <c r="J3183" s="1" t="s">
        <v>288</v>
      </c>
      <c r="K3183" s="3">
        <v>-14414.27</v>
      </c>
    </row>
    <row r="3184" spans="1:11">
      <c r="A3184" s="1">
        <v>45826</v>
      </c>
      <c r="B3184" t="s">
        <v>1974</v>
      </c>
      <c r="C3184">
        <v>2.16</v>
      </c>
      <c r="I3184" s="1">
        <v>45833</v>
      </c>
      <c r="J3184" s="1" t="s">
        <v>289</v>
      </c>
      <c r="K3184" s="3">
        <v>6</v>
      </c>
    </row>
    <row r="3185" spans="1:11">
      <c r="A3185" s="1">
        <v>45826</v>
      </c>
      <c r="B3185" t="s">
        <v>1975</v>
      </c>
      <c r="C3185">
        <v>2.202</v>
      </c>
      <c r="I3185" s="1">
        <v>45833</v>
      </c>
      <c r="J3185" s="1" t="s">
        <v>290</v>
      </c>
      <c r="K3185" s="3">
        <v>6</v>
      </c>
    </row>
    <row r="3186" spans="1:11">
      <c r="A3186" s="1">
        <v>45826</v>
      </c>
      <c r="B3186" t="s">
        <v>1976</v>
      </c>
      <c r="C3186">
        <v>2.2650000000000001</v>
      </c>
      <c r="I3186" s="1">
        <v>45833</v>
      </c>
      <c r="J3186" s="1" t="s">
        <v>107</v>
      </c>
      <c r="K3186" s="3">
        <v>1439926734998</v>
      </c>
    </row>
    <row r="3187" spans="1:11">
      <c r="A3187" s="1">
        <v>45826</v>
      </c>
      <c r="B3187" t="s">
        <v>1977</v>
      </c>
      <c r="C3187">
        <v>2.4380000000000002</v>
      </c>
      <c r="I3187" s="1">
        <v>45832</v>
      </c>
      <c r="J3187" s="1" t="s">
        <v>289</v>
      </c>
      <c r="K3187" s="3">
        <v>3</v>
      </c>
    </row>
    <row r="3188" spans="1:11">
      <c r="A3188" s="1">
        <v>45826</v>
      </c>
      <c r="B3188" t="s">
        <v>1978</v>
      </c>
      <c r="C3188">
        <v>2.6110000000000002</v>
      </c>
      <c r="I3188" s="1">
        <v>45832</v>
      </c>
      <c r="J3188" s="1" t="s">
        <v>290</v>
      </c>
      <c r="K3188" s="3">
        <v>3</v>
      </c>
    </row>
    <row r="3189" spans="1:11">
      <c r="A3189" s="1">
        <v>45826</v>
      </c>
      <c r="B3189" t="s">
        <v>1979</v>
      </c>
      <c r="C3189">
        <v>2.9689999999999999</v>
      </c>
      <c r="I3189" s="1">
        <v>45832</v>
      </c>
      <c r="J3189" s="1" t="s">
        <v>282</v>
      </c>
      <c r="K3189" s="3">
        <v>1000</v>
      </c>
    </row>
    <row r="3190" spans="1:11">
      <c r="A3190" s="1">
        <v>45826</v>
      </c>
      <c r="B3190" t="s">
        <v>1980</v>
      </c>
      <c r="C3190">
        <v>3.1779999999999999</v>
      </c>
      <c r="I3190" s="1">
        <v>45832</v>
      </c>
      <c r="J3190" s="1" t="s">
        <v>283</v>
      </c>
      <c r="K3190" s="3">
        <v>7</v>
      </c>
    </row>
    <row r="3191" spans="1:11">
      <c r="A3191" s="1">
        <v>45826</v>
      </c>
      <c r="B3191" t="s">
        <v>1981</v>
      </c>
      <c r="C3191">
        <v>3.2890000000000001</v>
      </c>
      <c r="I3191" s="1">
        <v>45832</v>
      </c>
      <c r="J3191" s="1" t="s">
        <v>284</v>
      </c>
      <c r="K3191" s="3">
        <v>1508.63</v>
      </c>
    </row>
    <row r="3192" spans="1:11">
      <c r="A3192" s="1">
        <v>45826</v>
      </c>
      <c r="B3192" t="s">
        <v>1982</v>
      </c>
      <c r="C3192">
        <v>3.3580000000000001</v>
      </c>
      <c r="I3192" s="1">
        <v>45832</v>
      </c>
      <c r="J3192" s="1" t="s">
        <v>285</v>
      </c>
      <c r="K3192" s="3">
        <v>4</v>
      </c>
    </row>
    <row r="3193" spans="1:11">
      <c r="A3193" s="1">
        <v>45826</v>
      </c>
      <c r="B3193" t="s">
        <v>1983</v>
      </c>
      <c r="C3193">
        <v>3.45</v>
      </c>
      <c r="I3193" s="1">
        <v>45832</v>
      </c>
      <c r="J3193" s="1" t="s">
        <v>286</v>
      </c>
      <c r="K3193" s="3">
        <v>1723.13</v>
      </c>
    </row>
    <row r="3194" spans="1:11">
      <c r="A3194" s="1">
        <v>45825</v>
      </c>
      <c r="B3194" t="s">
        <v>1974</v>
      </c>
      <c r="C3194">
        <v>2.133</v>
      </c>
      <c r="I3194" s="1">
        <v>45832</v>
      </c>
      <c r="J3194" s="1" t="s">
        <v>287</v>
      </c>
      <c r="K3194" s="3">
        <v>25949.53</v>
      </c>
    </row>
    <row r="3195" spans="1:11">
      <c r="A3195" s="1">
        <v>45825</v>
      </c>
      <c r="B3195" t="s">
        <v>1975</v>
      </c>
      <c r="C3195">
        <v>2.1749999999999998</v>
      </c>
      <c r="I3195" s="1">
        <v>45832</v>
      </c>
      <c r="J3195" s="1" t="s">
        <v>288</v>
      </c>
      <c r="K3195" s="3">
        <v>-9091.6299999999992</v>
      </c>
    </row>
    <row r="3196" spans="1:11">
      <c r="A3196" s="1">
        <v>45825</v>
      </c>
      <c r="B3196" t="s">
        <v>1976</v>
      </c>
      <c r="C3196">
        <v>2.2349999999999999</v>
      </c>
      <c r="I3196" s="1">
        <v>45832</v>
      </c>
      <c r="J3196" s="1" t="s">
        <v>107</v>
      </c>
      <c r="K3196" s="3">
        <v>637467465116</v>
      </c>
    </row>
    <row r="3197" spans="1:11">
      <c r="A3197" s="1">
        <v>45825</v>
      </c>
      <c r="B3197" t="s">
        <v>1977</v>
      </c>
      <c r="C3197">
        <v>2.4049999999999998</v>
      </c>
      <c r="I3197" s="1">
        <v>45831</v>
      </c>
      <c r="J3197" s="1" t="s">
        <v>107</v>
      </c>
      <c r="K3197" s="3">
        <v>0</v>
      </c>
    </row>
    <row r="3198" spans="1:11">
      <c r="A3198" s="1">
        <v>45825</v>
      </c>
      <c r="B3198" t="s">
        <v>1978</v>
      </c>
      <c r="C3198">
        <v>2.5739999999999998</v>
      </c>
      <c r="I3198" s="1">
        <v>45831</v>
      </c>
      <c r="J3198" s="1" t="s">
        <v>282</v>
      </c>
      <c r="K3198" s="3">
        <v>1000</v>
      </c>
    </row>
    <row r="3199" spans="1:11">
      <c r="A3199" s="1">
        <v>45825</v>
      </c>
      <c r="B3199" t="s">
        <v>1979</v>
      </c>
      <c r="C3199">
        <v>2.9449999999999998</v>
      </c>
      <c r="I3199" s="1">
        <v>45831</v>
      </c>
      <c r="J3199" s="1" t="s">
        <v>283</v>
      </c>
      <c r="K3199" s="3">
        <v>7</v>
      </c>
    </row>
    <row r="3200" spans="1:11">
      <c r="A3200" s="1">
        <v>45825</v>
      </c>
      <c r="B3200" t="s">
        <v>1980</v>
      </c>
      <c r="C3200">
        <v>3.1640000000000001</v>
      </c>
      <c r="I3200" s="1">
        <v>45831</v>
      </c>
      <c r="J3200" s="1" t="s">
        <v>284</v>
      </c>
      <c r="K3200" s="3">
        <v>0</v>
      </c>
    </row>
    <row r="3201" spans="1:11">
      <c r="A3201" s="1">
        <v>45825</v>
      </c>
      <c r="B3201" t="s">
        <v>1981</v>
      </c>
      <c r="C3201">
        <v>3.2719999999999998</v>
      </c>
      <c r="I3201" s="1">
        <v>45831</v>
      </c>
      <c r="J3201" s="1" t="s">
        <v>285</v>
      </c>
      <c r="K3201" s="3">
        <v>4</v>
      </c>
    </row>
    <row r="3202" spans="1:11">
      <c r="A3202" s="1">
        <v>45825</v>
      </c>
      <c r="B3202" t="s">
        <v>1982</v>
      </c>
      <c r="C3202">
        <v>3.35</v>
      </c>
      <c r="I3202" s="1">
        <v>45831</v>
      </c>
      <c r="J3202" s="1" t="s">
        <v>286</v>
      </c>
      <c r="K3202" s="3">
        <v>1795.9</v>
      </c>
    </row>
    <row r="3203" spans="1:11">
      <c r="A3203" s="1">
        <v>45825</v>
      </c>
      <c r="B3203" t="s">
        <v>1983</v>
      </c>
      <c r="C3203">
        <v>3.444</v>
      </c>
      <c r="I3203" s="1">
        <v>45831</v>
      </c>
      <c r="J3203" s="1" t="s">
        <v>287</v>
      </c>
      <c r="K3203" s="3">
        <v>26164.03</v>
      </c>
    </row>
    <row r="3204" spans="1:11">
      <c r="A3204" s="1">
        <v>45824</v>
      </c>
      <c r="B3204" t="s">
        <v>1974</v>
      </c>
      <c r="C3204">
        <v>2.133</v>
      </c>
      <c r="I3204" s="1">
        <v>45831</v>
      </c>
      <c r="J3204" s="1" t="s">
        <v>288</v>
      </c>
      <c r="K3204" s="3">
        <v>-6036.68</v>
      </c>
    </row>
    <row r="3205" spans="1:11">
      <c r="A3205" s="1">
        <v>45824</v>
      </c>
      <c r="B3205" t="s">
        <v>1975</v>
      </c>
      <c r="C3205">
        <v>2.1749999999999998</v>
      </c>
      <c r="I3205" s="1">
        <v>45831</v>
      </c>
      <c r="J3205" s="1" t="s">
        <v>289</v>
      </c>
      <c r="K3205" s="3">
        <v>0</v>
      </c>
    </row>
    <row r="3206" spans="1:11">
      <c r="A3206" s="1">
        <v>45824</v>
      </c>
      <c r="B3206" t="s">
        <v>1976</v>
      </c>
      <c r="C3206">
        <v>2.2349999999999999</v>
      </c>
      <c r="I3206" s="1">
        <v>45831</v>
      </c>
      <c r="J3206" s="1" t="s">
        <v>290</v>
      </c>
      <c r="K3206" s="3">
        <v>0</v>
      </c>
    </row>
    <row r="3207" spans="1:11">
      <c r="A3207" s="1">
        <v>45824</v>
      </c>
      <c r="B3207" t="s">
        <v>1977</v>
      </c>
      <c r="C3207">
        <v>2.3879999999999999</v>
      </c>
      <c r="I3207" s="1">
        <v>45830</v>
      </c>
      <c r="J3207" s="1" t="s">
        <v>107</v>
      </c>
      <c r="K3207" s="3">
        <v>0</v>
      </c>
    </row>
    <row r="3208" spans="1:11">
      <c r="A3208" s="1">
        <v>45824</v>
      </c>
      <c r="B3208" t="s">
        <v>1978</v>
      </c>
      <c r="C3208">
        <v>2.54</v>
      </c>
      <c r="I3208" s="1">
        <v>45828</v>
      </c>
      <c r="J3208" s="1" t="s">
        <v>282</v>
      </c>
      <c r="K3208" s="3">
        <v>1000</v>
      </c>
    </row>
    <row r="3209" spans="1:11">
      <c r="A3209" s="1">
        <v>45824</v>
      </c>
      <c r="B3209" t="s">
        <v>1979</v>
      </c>
      <c r="C3209">
        <v>2.9359999999999999</v>
      </c>
      <c r="I3209" s="1">
        <v>45828</v>
      </c>
      <c r="J3209" s="1" t="s">
        <v>283</v>
      </c>
      <c r="K3209" s="3">
        <v>7</v>
      </c>
    </row>
    <row r="3210" spans="1:11">
      <c r="A3210" s="1">
        <v>45824</v>
      </c>
      <c r="B3210" t="s">
        <v>1980</v>
      </c>
      <c r="C3210">
        <v>3.16</v>
      </c>
      <c r="I3210" s="1">
        <v>45828</v>
      </c>
      <c r="J3210" s="1" t="s">
        <v>284</v>
      </c>
      <c r="K3210" s="3">
        <v>0</v>
      </c>
    </row>
    <row r="3211" spans="1:11">
      <c r="A3211" s="1">
        <v>45824</v>
      </c>
      <c r="B3211" t="s">
        <v>1981</v>
      </c>
      <c r="C3211">
        <v>3.266</v>
      </c>
      <c r="I3211" s="1">
        <v>45828</v>
      </c>
      <c r="J3211" s="1" t="s">
        <v>285</v>
      </c>
      <c r="K3211" s="3">
        <v>4</v>
      </c>
    </row>
    <row r="3212" spans="1:11">
      <c r="A3212" s="1">
        <v>45824</v>
      </c>
      <c r="B3212" t="s">
        <v>1982</v>
      </c>
      <c r="C3212">
        <v>3.35</v>
      </c>
      <c r="I3212" s="1">
        <v>45828</v>
      </c>
      <c r="J3212" s="1" t="s">
        <v>286</v>
      </c>
      <c r="K3212" s="3">
        <v>1623.64</v>
      </c>
    </row>
    <row r="3213" spans="1:11">
      <c r="A3213" s="1">
        <v>45824</v>
      </c>
      <c r="B3213" t="s">
        <v>1983</v>
      </c>
      <c r="C3213">
        <v>3.444</v>
      </c>
      <c r="I3213" s="1">
        <v>45828</v>
      </c>
      <c r="J3213" s="1" t="s">
        <v>287</v>
      </c>
      <c r="K3213" s="3">
        <v>27959.93</v>
      </c>
    </row>
    <row r="3214" spans="1:11">
      <c r="A3214" s="1">
        <v>45821</v>
      </c>
      <c r="B3214" t="s">
        <v>1974</v>
      </c>
      <c r="C3214">
        <v>2.133</v>
      </c>
      <c r="I3214" s="1">
        <v>45828</v>
      </c>
      <c r="J3214" s="1" t="s">
        <v>288</v>
      </c>
      <c r="K3214" s="3">
        <v>-7832.58</v>
      </c>
    </row>
    <row r="3215" spans="1:11">
      <c r="A3215" s="1">
        <v>45821</v>
      </c>
      <c r="B3215" t="s">
        <v>1975</v>
      </c>
      <c r="C3215">
        <v>2.1749999999999998</v>
      </c>
      <c r="I3215" s="1">
        <v>45828</v>
      </c>
      <c r="J3215" s="1" t="s">
        <v>289</v>
      </c>
      <c r="K3215" s="3">
        <v>0</v>
      </c>
    </row>
    <row r="3216" spans="1:11">
      <c r="A3216" s="1">
        <v>45821</v>
      </c>
      <c r="B3216" t="s">
        <v>1976</v>
      </c>
      <c r="C3216">
        <v>2.2309999999999999</v>
      </c>
      <c r="I3216" s="1">
        <v>45828</v>
      </c>
      <c r="J3216" s="1" t="s">
        <v>290</v>
      </c>
      <c r="K3216" s="3">
        <v>0</v>
      </c>
    </row>
    <row r="3217" spans="1:11">
      <c r="A3217" s="1">
        <v>45821</v>
      </c>
      <c r="B3217" t="s">
        <v>1977</v>
      </c>
      <c r="C3217">
        <v>2.3849999999999998</v>
      </c>
      <c r="I3217" s="1">
        <v>45827</v>
      </c>
      <c r="J3217" s="1" t="s">
        <v>282</v>
      </c>
      <c r="K3217" s="3">
        <v>3000</v>
      </c>
    </row>
    <row r="3218" spans="1:11">
      <c r="A3218" s="1">
        <v>45821</v>
      </c>
      <c r="B3218" t="s">
        <v>1978</v>
      </c>
      <c r="C3218">
        <v>2.5379999999999998</v>
      </c>
      <c r="I3218" s="1">
        <v>45827</v>
      </c>
      <c r="J3218" s="1" t="s">
        <v>283</v>
      </c>
      <c r="K3218" s="3">
        <v>7</v>
      </c>
    </row>
    <row r="3219" spans="1:11">
      <c r="A3219" s="1">
        <v>45821</v>
      </c>
      <c r="B3219" t="s">
        <v>1979</v>
      </c>
      <c r="C3219">
        <v>2.9159999999999999</v>
      </c>
      <c r="I3219" s="1">
        <v>45827</v>
      </c>
      <c r="J3219" s="1" t="s">
        <v>284</v>
      </c>
      <c r="K3219" s="3">
        <v>0</v>
      </c>
    </row>
    <row r="3220" spans="1:11">
      <c r="A3220" s="1">
        <v>45821</v>
      </c>
      <c r="B3220" t="s">
        <v>1980</v>
      </c>
      <c r="C3220">
        <v>3.1560000000000001</v>
      </c>
      <c r="I3220" s="1">
        <v>45827</v>
      </c>
      <c r="J3220" s="1" t="s">
        <v>285</v>
      </c>
      <c r="K3220" s="3">
        <v>4</v>
      </c>
    </row>
    <row r="3221" spans="1:11">
      <c r="A3221" s="1">
        <v>45821</v>
      </c>
      <c r="B3221" t="s">
        <v>1981</v>
      </c>
      <c r="C3221">
        <v>3.2610000000000001</v>
      </c>
      <c r="I3221" s="1">
        <v>45827</v>
      </c>
      <c r="J3221" s="1" t="s">
        <v>286</v>
      </c>
      <c r="K3221" s="3">
        <v>4138.2</v>
      </c>
    </row>
    <row r="3222" spans="1:11">
      <c r="A3222" s="1">
        <v>45821</v>
      </c>
      <c r="B3222" t="s">
        <v>1982</v>
      </c>
      <c r="C3222">
        <v>3.3460000000000001</v>
      </c>
      <c r="I3222" s="1">
        <v>45827</v>
      </c>
      <c r="J3222" s="1" t="s">
        <v>287</v>
      </c>
      <c r="K3222" s="3">
        <v>29583.57</v>
      </c>
    </row>
    <row r="3223" spans="1:11">
      <c r="A3223" s="1">
        <v>45821</v>
      </c>
      <c r="B3223" t="s">
        <v>1983</v>
      </c>
      <c r="C3223">
        <v>3.44</v>
      </c>
      <c r="I3223" s="1">
        <v>45827</v>
      </c>
      <c r="J3223" s="1" t="s">
        <v>288</v>
      </c>
      <c r="K3223" s="3">
        <v>-9133.4</v>
      </c>
    </row>
    <row r="3224" spans="1:11">
      <c r="A3224" s="1">
        <v>45820</v>
      </c>
      <c r="B3224" t="s">
        <v>1974</v>
      </c>
      <c r="C3224">
        <v>2.133</v>
      </c>
      <c r="I3224" s="1">
        <v>45827</v>
      </c>
      <c r="J3224" s="1" t="s">
        <v>289</v>
      </c>
      <c r="K3224" s="3">
        <v>0</v>
      </c>
    </row>
    <row r="3225" spans="1:11">
      <c r="A3225" s="1">
        <v>45820</v>
      </c>
      <c r="B3225" t="s">
        <v>1975</v>
      </c>
      <c r="C3225">
        <v>2.1749999999999998</v>
      </c>
      <c r="I3225" s="1">
        <v>45827</v>
      </c>
      <c r="J3225" s="1" t="s">
        <v>290</v>
      </c>
      <c r="K3225" s="3">
        <v>0</v>
      </c>
    </row>
    <row r="3226" spans="1:11">
      <c r="A3226" s="1">
        <v>45820</v>
      </c>
      <c r="B3226" t="s">
        <v>1976</v>
      </c>
      <c r="C3226">
        <v>2.2309999999999999</v>
      </c>
      <c r="I3226" s="1">
        <v>45827</v>
      </c>
      <c r="J3226" s="1" t="s">
        <v>107</v>
      </c>
      <c r="K3226" s="3">
        <v>0</v>
      </c>
    </row>
    <row r="3227" spans="1:11">
      <c r="A3227" s="1">
        <v>45820</v>
      </c>
      <c r="B3227" t="s">
        <v>1977</v>
      </c>
      <c r="C3227">
        <v>2.38</v>
      </c>
      <c r="I3227" s="1">
        <v>45826</v>
      </c>
      <c r="J3227" s="1" t="s">
        <v>107</v>
      </c>
      <c r="K3227" s="3">
        <v>1329522751853</v>
      </c>
    </row>
    <row r="3228" spans="1:11">
      <c r="A3228" s="1">
        <v>45820</v>
      </c>
      <c r="B3228" t="s">
        <v>1978</v>
      </c>
      <c r="C3228">
        <v>2.528</v>
      </c>
      <c r="I3228" s="1">
        <v>45826</v>
      </c>
      <c r="J3228" s="1" t="s">
        <v>282</v>
      </c>
      <c r="K3228" s="3">
        <v>5000</v>
      </c>
    </row>
    <row r="3229" spans="1:11">
      <c r="A3229" s="1">
        <v>45820</v>
      </c>
      <c r="B3229" t="s">
        <v>1979</v>
      </c>
      <c r="C3229">
        <v>2.907</v>
      </c>
      <c r="I3229" s="1">
        <v>45826</v>
      </c>
      <c r="J3229" s="1" t="s">
        <v>283</v>
      </c>
      <c r="K3229" s="3">
        <v>7</v>
      </c>
    </row>
    <row r="3230" spans="1:11">
      <c r="A3230" s="1">
        <v>45820</v>
      </c>
      <c r="B3230" t="s">
        <v>1980</v>
      </c>
      <c r="C3230">
        <v>3.1549999999999998</v>
      </c>
      <c r="I3230" s="1">
        <v>45826</v>
      </c>
      <c r="J3230" s="1" t="s">
        <v>284</v>
      </c>
      <c r="K3230" s="3">
        <v>485.31</v>
      </c>
    </row>
    <row r="3231" spans="1:11">
      <c r="A3231" s="1">
        <v>45820</v>
      </c>
      <c r="B3231" t="s">
        <v>1981</v>
      </c>
      <c r="C3231">
        <v>3.2639999999999998</v>
      </c>
      <c r="I3231" s="1">
        <v>45826</v>
      </c>
      <c r="J3231" s="1" t="s">
        <v>285</v>
      </c>
      <c r="K3231" s="3">
        <v>4</v>
      </c>
    </row>
    <row r="3232" spans="1:11">
      <c r="A3232" s="1">
        <v>45820</v>
      </c>
      <c r="B3232" t="s">
        <v>1982</v>
      </c>
      <c r="C3232">
        <v>3.3460000000000001</v>
      </c>
      <c r="I3232" s="1">
        <v>45826</v>
      </c>
      <c r="J3232" s="1" t="s">
        <v>286</v>
      </c>
      <c r="K3232" s="3">
        <v>0</v>
      </c>
    </row>
    <row r="3233" spans="1:11">
      <c r="A3233" s="1">
        <v>45820</v>
      </c>
      <c r="B3233" t="s">
        <v>1983</v>
      </c>
      <c r="C3233">
        <v>3.44</v>
      </c>
      <c r="I3233" s="1">
        <v>45826</v>
      </c>
      <c r="J3233" s="1" t="s">
        <v>287</v>
      </c>
      <c r="K3233" s="3">
        <v>33721.769999999997</v>
      </c>
    </row>
    <row r="3234" spans="1:11">
      <c r="A3234" s="1">
        <v>45819</v>
      </c>
      <c r="B3234" t="s">
        <v>1974</v>
      </c>
      <c r="C3234">
        <v>2.133</v>
      </c>
      <c r="I3234" s="1">
        <v>45826</v>
      </c>
      <c r="J3234" s="1" t="s">
        <v>288</v>
      </c>
      <c r="K3234" s="3">
        <v>-12336.1</v>
      </c>
    </row>
    <row r="3235" spans="1:11">
      <c r="A3235" s="1">
        <v>45819</v>
      </c>
      <c r="B3235" t="s">
        <v>1975</v>
      </c>
      <c r="C3235">
        <v>2.1749999999999998</v>
      </c>
      <c r="I3235" s="1">
        <v>45826</v>
      </c>
      <c r="J3235" s="1" t="s">
        <v>289</v>
      </c>
      <c r="K3235" s="3">
        <v>1</v>
      </c>
    </row>
    <row r="3236" spans="1:11">
      <c r="A3236" s="1">
        <v>45819</v>
      </c>
      <c r="B3236" t="s">
        <v>1976</v>
      </c>
      <c r="C3236">
        <v>2.2309999999999999</v>
      </c>
      <c r="I3236" s="1">
        <v>45826</v>
      </c>
      <c r="J3236" s="1" t="s">
        <v>290</v>
      </c>
      <c r="K3236" s="3">
        <v>1</v>
      </c>
    </row>
    <row r="3237" spans="1:11">
      <c r="A3237" s="1">
        <v>45819</v>
      </c>
      <c r="B3237" t="s">
        <v>1977</v>
      </c>
      <c r="C3237">
        <v>2.379</v>
      </c>
      <c r="I3237" s="1">
        <v>45825</v>
      </c>
      <c r="J3237" s="1" t="s">
        <v>282</v>
      </c>
      <c r="K3237" s="3">
        <v>5000</v>
      </c>
    </row>
    <row r="3238" spans="1:11">
      <c r="A3238" s="1">
        <v>45819</v>
      </c>
      <c r="B3238" t="s">
        <v>1978</v>
      </c>
      <c r="C3238">
        <v>2.5259999999999998</v>
      </c>
      <c r="I3238" s="1">
        <v>45825</v>
      </c>
      <c r="J3238" s="1" t="s">
        <v>283</v>
      </c>
      <c r="K3238" s="3">
        <v>7</v>
      </c>
    </row>
    <row r="3239" spans="1:11">
      <c r="A3239" s="1">
        <v>45819</v>
      </c>
      <c r="B3239" t="s">
        <v>1979</v>
      </c>
      <c r="C3239">
        <v>2.8959999999999999</v>
      </c>
      <c r="I3239" s="1">
        <v>45825</v>
      </c>
      <c r="J3239" s="1" t="s">
        <v>284</v>
      </c>
      <c r="K3239" s="3">
        <v>0</v>
      </c>
    </row>
    <row r="3240" spans="1:11">
      <c r="A3240" s="1">
        <v>45819</v>
      </c>
      <c r="B3240" t="s">
        <v>1980</v>
      </c>
      <c r="C3240">
        <v>3.153</v>
      </c>
      <c r="I3240" s="1">
        <v>45825</v>
      </c>
      <c r="J3240" s="1" t="s">
        <v>285</v>
      </c>
      <c r="K3240" s="3">
        <v>4</v>
      </c>
    </row>
    <row r="3241" spans="1:11">
      <c r="A3241" s="1">
        <v>45819</v>
      </c>
      <c r="B3241" t="s">
        <v>1981</v>
      </c>
      <c r="C3241">
        <v>3.2629999999999999</v>
      </c>
      <c r="I3241" s="1">
        <v>45825</v>
      </c>
      <c r="J3241" s="1" t="s">
        <v>286</v>
      </c>
      <c r="K3241" s="3">
        <v>1381.75</v>
      </c>
    </row>
    <row r="3242" spans="1:11">
      <c r="A3242" s="1">
        <v>45819</v>
      </c>
      <c r="B3242" t="s">
        <v>1982</v>
      </c>
      <c r="C3242">
        <v>3.3460000000000001</v>
      </c>
      <c r="I3242" s="1">
        <v>45825</v>
      </c>
      <c r="J3242" s="1" t="s">
        <v>287</v>
      </c>
      <c r="K3242" s="3">
        <v>33236.46</v>
      </c>
    </row>
    <row r="3243" spans="1:11">
      <c r="A3243" s="1">
        <v>45819</v>
      </c>
      <c r="B3243" t="s">
        <v>1983</v>
      </c>
      <c r="C3243">
        <v>3.44</v>
      </c>
      <c r="I3243" s="1">
        <v>45825</v>
      </c>
      <c r="J3243" s="1" t="s">
        <v>288</v>
      </c>
      <c r="K3243" s="3">
        <v>-9280.8700000000008</v>
      </c>
    </row>
    <row r="3244" spans="1:11">
      <c r="A3244" s="1">
        <v>45818</v>
      </c>
      <c r="B3244" t="s">
        <v>1974</v>
      </c>
      <c r="C3244">
        <v>2.133</v>
      </c>
      <c r="I3244" s="1">
        <v>45825</v>
      </c>
      <c r="J3244" s="1" t="s">
        <v>289</v>
      </c>
      <c r="K3244" s="3">
        <v>0</v>
      </c>
    </row>
    <row r="3245" spans="1:11">
      <c r="A3245" s="1">
        <v>45818</v>
      </c>
      <c r="B3245" t="s">
        <v>1975</v>
      </c>
      <c r="C3245">
        <v>2.1749999999999998</v>
      </c>
      <c r="I3245" s="1">
        <v>45825</v>
      </c>
      <c r="J3245" s="1" t="s">
        <v>290</v>
      </c>
      <c r="K3245" s="3">
        <v>0</v>
      </c>
    </row>
    <row r="3246" spans="1:11">
      <c r="A3246" s="1">
        <v>45818</v>
      </c>
      <c r="B3246" t="s">
        <v>1976</v>
      </c>
      <c r="C3246">
        <v>2.2309999999999999</v>
      </c>
      <c r="I3246" s="1">
        <v>45825</v>
      </c>
      <c r="J3246" s="1" t="s">
        <v>107</v>
      </c>
      <c r="K3246" s="3">
        <v>1329522751853</v>
      </c>
    </row>
    <row r="3247" spans="1:11">
      <c r="A3247" s="1">
        <v>45818</v>
      </c>
      <c r="B3247" t="s">
        <v>1977</v>
      </c>
      <c r="C3247">
        <v>2.3780000000000001</v>
      </c>
      <c r="I3247" s="1">
        <v>45824</v>
      </c>
      <c r="J3247" s="1" t="s">
        <v>282</v>
      </c>
      <c r="K3247" s="3">
        <v>5000</v>
      </c>
    </row>
    <row r="3248" spans="1:11">
      <c r="A3248" s="1">
        <v>45818</v>
      </c>
      <c r="B3248" t="s">
        <v>1978</v>
      </c>
      <c r="C3248">
        <v>2.524</v>
      </c>
      <c r="I3248" s="1">
        <v>45824</v>
      </c>
      <c r="J3248" s="1" t="s">
        <v>283</v>
      </c>
      <c r="K3248" s="3">
        <v>7</v>
      </c>
    </row>
    <row r="3249" spans="1:11">
      <c r="A3249" s="1">
        <v>45818</v>
      </c>
      <c r="B3249" t="s">
        <v>1979</v>
      </c>
      <c r="C3249">
        <v>2.9009999999999998</v>
      </c>
      <c r="I3249" s="1">
        <v>45824</v>
      </c>
      <c r="J3249" s="1" t="s">
        <v>284</v>
      </c>
      <c r="K3249" s="3">
        <v>0</v>
      </c>
    </row>
    <row r="3250" spans="1:11">
      <c r="A3250" s="1">
        <v>45818</v>
      </c>
      <c r="B3250" t="s">
        <v>1980</v>
      </c>
      <c r="C3250">
        <v>3.1520000000000001</v>
      </c>
      <c r="I3250" s="1">
        <v>45824</v>
      </c>
      <c r="J3250" s="1" t="s">
        <v>285</v>
      </c>
      <c r="K3250" s="3">
        <v>4</v>
      </c>
    </row>
    <row r="3251" spans="1:11">
      <c r="A3251" s="1">
        <v>45818</v>
      </c>
      <c r="B3251" t="s">
        <v>1981</v>
      </c>
      <c r="C3251">
        <v>3.27</v>
      </c>
      <c r="I3251" s="1">
        <v>45824</v>
      </c>
      <c r="J3251" s="1" t="s">
        <v>286</v>
      </c>
      <c r="K3251" s="3">
        <v>1750.9</v>
      </c>
    </row>
    <row r="3252" spans="1:11">
      <c r="A3252" s="1">
        <v>45818</v>
      </c>
      <c r="B3252" t="s">
        <v>1982</v>
      </c>
      <c r="C3252">
        <v>3.3439999999999999</v>
      </c>
      <c r="I3252" s="1">
        <v>45824</v>
      </c>
      <c r="J3252" s="1" t="s">
        <v>287</v>
      </c>
      <c r="K3252" s="3">
        <v>34618.21</v>
      </c>
    </row>
    <row r="3253" spans="1:11">
      <c r="A3253" s="1">
        <v>45818</v>
      </c>
      <c r="B3253" t="s">
        <v>1983</v>
      </c>
      <c r="C3253">
        <v>3.44</v>
      </c>
      <c r="I3253" s="1">
        <v>45824</v>
      </c>
      <c r="J3253" s="1" t="s">
        <v>288</v>
      </c>
      <c r="K3253" s="3">
        <v>-8939.49</v>
      </c>
    </row>
    <row r="3254" spans="1:11">
      <c r="A3254" s="1">
        <v>45817</v>
      </c>
      <c r="B3254" t="s">
        <v>1974</v>
      </c>
      <c r="C3254">
        <v>2.133</v>
      </c>
      <c r="I3254" s="1">
        <v>45824</v>
      </c>
      <c r="J3254" s="1" t="s">
        <v>289</v>
      </c>
      <c r="K3254" s="3">
        <v>0</v>
      </c>
    </row>
    <row r="3255" spans="1:11">
      <c r="A3255" s="1">
        <v>45817</v>
      </c>
      <c r="B3255" t="s">
        <v>1975</v>
      </c>
      <c r="C3255">
        <v>2.1749999999999998</v>
      </c>
      <c r="I3255" s="1">
        <v>45824</v>
      </c>
      <c r="J3255" s="1" t="s">
        <v>290</v>
      </c>
      <c r="K3255" s="3">
        <v>0</v>
      </c>
    </row>
    <row r="3256" spans="1:11">
      <c r="A3256" s="1">
        <v>45817</v>
      </c>
      <c r="B3256" t="s">
        <v>1976</v>
      </c>
      <c r="C3256">
        <v>2.2309999999999999</v>
      </c>
      <c r="I3256" s="1">
        <v>45824</v>
      </c>
      <c r="J3256" s="1" t="s">
        <v>107</v>
      </c>
      <c r="K3256" s="3">
        <v>1329522751853</v>
      </c>
    </row>
    <row r="3257" spans="1:11">
      <c r="A3257" s="1">
        <v>45817</v>
      </c>
      <c r="B3257" t="s">
        <v>1977</v>
      </c>
      <c r="C3257">
        <v>2.38</v>
      </c>
      <c r="I3257" s="1">
        <v>45823</v>
      </c>
      <c r="J3257" s="1" t="s">
        <v>107</v>
      </c>
      <c r="K3257" s="3">
        <v>1329522751853</v>
      </c>
    </row>
    <row r="3258" spans="1:11">
      <c r="A3258" s="1">
        <v>45817</v>
      </c>
      <c r="B3258" t="s">
        <v>1978</v>
      </c>
      <c r="C3258">
        <v>2.5289999999999999</v>
      </c>
      <c r="I3258" s="1">
        <v>45821</v>
      </c>
      <c r="J3258" s="1" t="s">
        <v>282</v>
      </c>
      <c r="K3258" s="3">
        <v>5000</v>
      </c>
    </row>
    <row r="3259" spans="1:11">
      <c r="A3259" s="1">
        <v>45817</v>
      </c>
      <c r="B3259" t="s">
        <v>1979</v>
      </c>
      <c r="C3259">
        <v>2.8879999999999999</v>
      </c>
      <c r="I3259" s="1">
        <v>45821</v>
      </c>
      <c r="J3259" s="1" t="s">
        <v>283</v>
      </c>
      <c r="K3259" s="3">
        <v>7</v>
      </c>
    </row>
    <row r="3260" spans="1:11">
      <c r="A3260" s="1">
        <v>45817</v>
      </c>
      <c r="B3260" t="s">
        <v>1980</v>
      </c>
      <c r="C3260">
        <v>3.1469999999999998</v>
      </c>
      <c r="I3260" s="1">
        <v>45821</v>
      </c>
      <c r="J3260" s="1" t="s">
        <v>284</v>
      </c>
      <c r="K3260" s="3">
        <v>322.82</v>
      </c>
    </row>
    <row r="3261" spans="1:11">
      <c r="A3261" s="1">
        <v>45817</v>
      </c>
      <c r="B3261" t="s">
        <v>1981</v>
      </c>
      <c r="C3261">
        <v>3.258</v>
      </c>
      <c r="I3261" s="1">
        <v>45821</v>
      </c>
      <c r="J3261" s="1" t="s">
        <v>285</v>
      </c>
      <c r="K3261" s="3">
        <v>4</v>
      </c>
    </row>
    <row r="3262" spans="1:11">
      <c r="A3262" s="1">
        <v>45817</v>
      </c>
      <c r="B3262" t="s">
        <v>1982</v>
      </c>
      <c r="C3262">
        <v>3.3439999999999999</v>
      </c>
      <c r="I3262" s="1">
        <v>45821</v>
      </c>
      <c r="J3262" s="1" t="s">
        <v>286</v>
      </c>
      <c r="K3262" s="3">
        <v>1009.82</v>
      </c>
    </row>
    <row r="3263" spans="1:11">
      <c r="A3263" s="1">
        <v>45817</v>
      </c>
      <c r="B3263" t="s">
        <v>1983</v>
      </c>
      <c r="C3263">
        <v>3.44</v>
      </c>
      <c r="I3263" s="1">
        <v>45821</v>
      </c>
      <c r="J3263" s="1" t="s">
        <v>287</v>
      </c>
      <c r="K3263" s="3">
        <v>36369.11</v>
      </c>
    </row>
    <row r="3264" spans="1:11">
      <c r="A3264" s="1">
        <v>45814</v>
      </c>
      <c r="B3264" t="s">
        <v>1974</v>
      </c>
      <c r="C3264">
        <v>2.133</v>
      </c>
      <c r="I3264" s="1">
        <v>45821</v>
      </c>
      <c r="J3264" s="1" t="s">
        <v>288</v>
      </c>
      <c r="K3264" s="3">
        <v>-8894.49</v>
      </c>
    </row>
    <row r="3265" spans="1:11">
      <c r="A3265" s="1">
        <v>45814</v>
      </c>
      <c r="B3265" t="s">
        <v>1975</v>
      </c>
      <c r="C3265">
        <v>2.1789999999999998</v>
      </c>
      <c r="I3265" s="1">
        <v>45821</v>
      </c>
      <c r="J3265" s="1" t="s">
        <v>289</v>
      </c>
      <c r="K3265" s="3">
        <v>4</v>
      </c>
    </row>
    <row r="3266" spans="1:11">
      <c r="A3266" s="1">
        <v>45814</v>
      </c>
      <c r="B3266" t="s">
        <v>1976</v>
      </c>
      <c r="C3266">
        <v>2.238</v>
      </c>
      <c r="I3266" s="1">
        <v>45821</v>
      </c>
      <c r="J3266" s="1" t="s">
        <v>290</v>
      </c>
      <c r="K3266" s="3">
        <v>4</v>
      </c>
    </row>
    <row r="3267" spans="1:11">
      <c r="A3267" s="1">
        <v>45814</v>
      </c>
      <c r="B3267" t="s">
        <v>1977</v>
      </c>
      <c r="C3267">
        <v>2.38</v>
      </c>
      <c r="I3267" s="1">
        <v>45820</v>
      </c>
      <c r="J3267" s="1" t="s">
        <v>282</v>
      </c>
      <c r="K3267" s="3">
        <v>5000</v>
      </c>
    </row>
    <row r="3268" spans="1:11">
      <c r="A3268" s="1">
        <v>45814</v>
      </c>
      <c r="B3268" t="s">
        <v>1978</v>
      </c>
      <c r="C3268">
        <v>2.5219999999999998</v>
      </c>
      <c r="I3268" s="1">
        <v>45820</v>
      </c>
      <c r="J3268" s="1" t="s">
        <v>283</v>
      </c>
      <c r="K3268" s="3">
        <v>7</v>
      </c>
    </row>
    <row r="3269" spans="1:11">
      <c r="A3269" s="1">
        <v>45814</v>
      </c>
      <c r="B3269" t="s">
        <v>1979</v>
      </c>
      <c r="C3269">
        <v>2.8639999999999999</v>
      </c>
      <c r="I3269" s="1">
        <v>45820</v>
      </c>
      <c r="J3269" s="1" t="s">
        <v>284</v>
      </c>
      <c r="K3269" s="3">
        <v>5073.74</v>
      </c>
    </row>
    <row r="3270" spans="1:11">
      <c r="A3270" s="1">
        <v>45814</v>
      </c>
      <c r="B3270" t="s">
        <v>1980</v>
      </c>
      <c r="C3270">
        <v>3.1469999999999998</v>
      </c>
      <c r="I3270" s="1">
        <v>45820</v>
      </c>
      <c r="J3270" s="1" t="s">
        <v>285</v>
      </c>
      <c r="K3270" s="3">
        <v>4</v>
      </c>
    </row>
    <row r="3271" spans="1:11">
      <c r="A3271" s="1">
        <v>45814</v>
      </c>
      <c r="B3271" t="s">
        <v>1981</v>
      </c>
      <c r="C3271">
        <v>3.2549999999999999</v>
      </c>
      <c r="I3271" s="1">
        <v>45820</v>
      </c>
      <c r="J3271" s="1" t="s">
        <v>286</v>
      </c>
      <c r="K3271" s="3">
        <v>91.8</v>
      </c>
    </row>
    <row r="3272" spans="1:11">
      <c r="A3272" s="1">
        <v>45814</v>
      </c>
      <c r="B3272" t="s">
        <v>1982</v>
      </c>
      <c r="C3272">
        <v>3.34</v>
      </c>
      <c r="I3272" s="1">
        <v>45820</v>
      </c>
      <c r="J3272" s="1" t="s">
        <v>287</v>
      </c>
      <c r="K3272" s="3">
        <v>37056.11</v>
      </c>
    </row>
    <row r="3273" spans="1:11">
      <c r="A3273" s="1">
        <v>45814</v>
      </c>
      <c r="B3273" t="s">
        <v>1983</v>
      </c>
      <c r="C3273">
        <v>3.4350000000000001</v>
      </c>
      <c r="I3273" s="1">
        <v>45820</v>
      </c>
      <c r="J3273" s="1" t="s">
        <v>288</v>
      </c>
      <c r="K3273" s="3">
        <v>-8280.67</v>
      </c>
    </row>
    <row r="3274" spans="1:11">
      <c r="A3274" s="1">
        <v>45813</v>
      </c>
      <c r="B3274" t="s">
        <v>1974</v>
      </c>
      <c r="C3274">
        <v>2.121</v>
      </c>
      <c r="I3274" s="1">
        <v>45820</v>
      </c>
      <c r="J3274" s="1" t="s">
        <v>289</v>
      </c>
      <c r="K3274" s="3">
        <v>4</v>
      </c>
    </row>
    <row r="3275" spans="1:11">
      <c r="A3275" s="1">
        <v>45813</v>
      </c>
      <c r="B3275" t="s">
        <v>1975</v>
      </c>
      <c r="C3275">
        <v>2.1629999999999998</v>
      </c>
      <c r="I3275" s="1">
        <v>45820</v>
      </c>
      <c r="J3275" s="1" t="s">
        <v>290</v>
      </c>
      <c r="K3275" s="3">
        <v>4</v>
      </c>
    </row>
    <row r="3276" spans="1:11">
      <c r="A3276" s="1">
        <v>45813</v>
      </c>
      <c r="B3276" t="s">
        <v>1976</v>
      </c>
      <c r="C3276">
        <v>2.2170000000000001</v>
      </c>
      <c r="I3276" s="1">
        <v>45820</v>
      </c>
      <c r="J3276" s="1" t="s">
        <v>107</v>
      </c>
      <c r="K3276" s="3">
        <v>1329522751853</v>
      </c>
    </row>
    <row r="3277" spans="1:11">
      <c r="A3277" s="1">
        <v>45813</v>
      </c>
      <c r="B3277" t="s">
        <v>1977</v>
      </c>
      <c r="C3277">
        <v>2.3639999999999999</v>
      </c>
      <c r="I3277" s="1">
        <v>45819</v>
      </c>
      <c r="J3277" s="1" t="s">
        <v>289</v>
      </c>
      <c r="K3277" s="3">
        <v>3</v>
      </c>
    </row>
    <row r="3278" spans="1:11">
      <c r="A3278" s="1">
        <v>45813</v>
      </c>
      <c r="B3278" t="s">
        <v>1978</v>
      </c>
      <c r="C3278">
        <v>2.5110000000000001</v>
      </c>
      <c r="I3278" s="1">
        <v>45819</v>
      </c>
      <c r="J3278" s="1" t="s">
        <v>290</v>
      </c>
      <c r="K3278" s="3">
        <v>3</v>
      </c>
    </row>
    <row r="3279" spans="1:11">
      <c r="A3279" s="1">
        <v>45813</v>
      </c>
      <c r="B3279" t="s">
        <v>1979</v>
      </c>
      <c r="C3279">
        <v>2.863</v>
      </c>
      <c r="I3279" s="1">
        <v>45819</v>
      </c>
      <c r="J3279" s="1" t="s">
        <v>107</v>
      </c>
      <c r="K3279" s="3">
        <v>0</v>
      </c>
    </row>
    <row r="3280" spans="1:11">
      <c r="A3280" s="1">
        <v>45813</v>
      </c>
      <c r="B3280" t="s">
        <v>1980</v>
      </c>
      <c r="C3280">
        <v>3.1440000000000001</v>
      </c>
      <c r="I3280" s="1">
        <v>45819</v>
      </c>
      <c r="J3280" s="1" t="s">
        <v>282</v>
      </c>
      <c r="K3280" s="3">
        <v>5000</v>
      </c>
    </row>
    <row r="3281" spans="1:11">
      <c r="A3281" s="1">
        <v>45813</v>
      </c>
      <c r="B3281" t="s">
        <v>1981</v>
      </c>
      <c r="C3281">
        <v>3.254</v>
      </c>
      <c r="I3281" s="1">
        <v>45819</v>
      </c>
      <c r="J3281" s="1" t="s">
        <v>283</v>
      </c>
      <c r="K3281" s="3">
        <v>7</v>
      </c>
    </row>
    <row r="3282" spans="1:11">
      <c r="A3282" s="1">
        <v>45813</v>
      </c>
      <c r="B3282" t="s">
        <v>1982</v>
      </c>
      <c r="C3282">
        <v>3.34</v>
      </c>
      <c r="I3282" s="1">
        <v>45819</v>
      </c>
      <c r="J3282" s="1" t="s">
        <v>284</v>
      </c>
      <c r="K3282" s="3">
        <v>4317.43</v>
      </c>
    </row>
    <row r="3283" spans="1:11">
      <c r="A3283" s="1">
        <v>45813</v>
      </c>
      <c r="B3283" t="s">
        <v>1983</v>
      </c>
      <c r="C3283">
        <v>3.4350000000000001</v>
      </c>
      <c r="I3283" s="1">
        <v>45819</v>
      </c>
      <c r="J3283" s="1" t="s">
        <v>285</v>
      </c>
      <c r="K3283" s="3">
        <v>4</v>
      </c>
    </row>
    <row r="3284" spans="1:11">
      <c r="A3284" s="1">
        <v>45812</v>
      </c>
      <c r="B3284" t="s">
        <v>1974</v>
      </c>
      <c r="C3284">
        <v>2.121</v>
      </c>
      <c r="I3284" s="1">
        <v>45819</v>
      </c>
      <c r="J3284" s="1" t="s">
        <v>286</v>
      </c>
      <c r="K3284" s="3">
        <v>2650.24</v>
      </c>
    </row>
    <row r="3285" spans="1:11">
      <c r="A3285" s="1">
        <v>45812</v>
      </c>
      <c r="B3285" t="s">
        <v>1975</v>
      </c>
      <c r="C3285">
        <v>2.1629999999999998</v>
      </c>
      <c r="I3285" s="1">
        <v>45819</v>
      </c>
      <c r="J3285" s="1" t="s">
        <v>287</v>
      </c>
      <c r="K3285" s="3">
        <v>32074.17</v>
      </c>
    </row>
    <row r="3286" spans="1:11">
      <c r="A3286" s="1">
        <v>45812</v>
      </c>
      <c r="B3286" t="s">
        <v>1976</v>
      </c>
      <c r="C3286">
        <v>2.2170000000000001</v>
      </c>
      <c r="I3286" s="1">
        <v>45819</v>
      </c>
      <c r="J3286" s="1" t="s">
        <v>288</v>
      </c>
      <c r="K3286" s="3">
        <v>-5023.75</v>
      </c>
    </row>
    <row r="3287" spans="1:11">
      <c r="A3287" s="1">
        <v>45812</v>
      </c>
      <c r="B3287" t="s">
        <v>1977</v>
      </c>
      <c r="C3287">
        <v>2.36</v>
      </c>
      <c r="I3287" s="1">
        <v>45818</v>
      </c>
      <c r="J3287" s="1" t="s">
        <v>282</v>
      </c>
      <c r="K3287" s="3">
        <v>5000</v>
      </c>
    </row>
    <row r="3288" spans="1:11">
      <c r="A3288" s="1">
        <v>45812</v>
      </c>
      <c r="B3288" t="s">
        <v>1978</v>
      </c>
      <c r="C3288">
        <v>2.5030000000000001</v>
      </c>
      <c r="I3288" s="1">
        <v>45818</v>
      </c>
      <c r="J3288" s="1" t="s">
        <v>283</v>
      </c>
      <c r="K3288" s="3">
        <v>7</v>
      </c>
    </row>
    <row r="3289" spans="1:11">
      <c r="A3289" s="1">
        <v>45812</v>
      </c>
      <c r="B3289" t="s">
        <v>1979</v>
      </c>
      <c r="C3289">
        <v>2.8490000000000002</v>
      </c>
      <c r="I3289" s="1">
        <v>45818</v>
      </c>
      <c r="J3289" s="1" t="s">
        <v>284</v>
      </c>
      <c r="K3289" s="3">
        <v>0</v>
      </c>
    </row>
    <row r="3290" spans="1:11">
      <c r="A3290" s="1">
        <v>45812</v>
      </c>
      <c r="B3290" t="s">
        <v>1980</v>
      </c>
      <c r="C3290">
        <v>3.1280000000000001</v>
      </c>
      <c r="I3290" s="1">
        <v>45818</v>
      </c>
      <c r="J3290" s="1" t="s">
        <v>285</v>
      </c>
      <c r="K3290" s="3">
        <v>4</v>
      </c>
    </row>
    <row r="3291" spans="1:11">
      <c r="A3291" s="1">
        <v>45812</v>
      </c>
      <c r="B3291" t="s">
        <v>1981</v>
      </c>
      <c r="C3291">
        <v>3.2480000000000002</v>
      </c>
      <c r="I3291" s="1">
        <v>45818</v>
      </c>
      <c r="J3291" s="1" t="s">
        <v>286</v>
      </c>
      <c r="K3291" s="3">
        <v>1273.51</v>
      </c>
    </row>
    <row r="3292" spans="1:11">
      <c r="A3292" s="1">
        <v>45812</v>
      </c>
      <c r="B3292" t="s">
        <v>1982</v>
      </c>
      <c r="C3292">
        <v>3.34</v>
      </c>
      <c r="I3292" s="1">
        <v>45818</v>
      </c>
      <c r="J3292" s="1" t="s">
        <v>287</v>
      </c>
      <c r="K3292" s="3">
        <v>30406.98</v>
      </c>
    </row>
    <row r="3293" spans="1:11">
      <c r="A3293" s="1">
        <v>45812</v>
      </c>
      <c r="B3293" t="s">
        <v>1983</v>
      </c>
      <c r="C3293">
        <v>3.431</v>
      </c>
      <c r="I3293" s="1">
        <v>45818</v>
      </c>
      <c r="J3293" s="1" t="s">
        <v>288</v>
      </c>
      <c r="K3293" s="3">
        <v>-6884.51</v>
      </c>
    </row>
    <row r="3294" spans="1:11">
      <c r="A3294" s="1">
        <v>45811</v>
      </c>
      <c r="B3294" t="s">
        <v>1974</v>
      </c>
      <c r="C3294">
        <v>2.117</v>
      </c>
      <c r="I3294" s="1">
        <v>45818</v>
      </c>
      <c r="J3294" s="1" t="s">
        <v>289</v>
      </c>
      <c r="K3294" s="3">
        <v>0</v>
      </c>
    </row>
    <row r="3295" spans="1:11">
      <c r="A3295" s="1">
        <v>45811</v>
      </c>
      <c r="B3295" t="s">
        <v>1975</v>
      </c>
      <c r="C3295">
        <v>2.1629999999999998</v>
      </c>
      <c r="I3295" s="1">
        <v>45818</v>
      </c>
      <c r="J3295" s="1" t="s">
        <v>290</v>
      </c>
      <c r="K3295" s="3">
        <v>0</v>
      </c>
    </row>
    <row r="3296" spans="1:11">
      <c r="A3296" s="1">
        <v>45811</v>
      </c>
      <c r="B3296" t="s">
        <v>1976</v>
      </c>
      <c r="C3296">
        <v>2.2290000000000001</v>
      </c>
      <c r="I3296" s="1">
        <v>45818</v>
      </c>
      <c r="J3296" s="1" t="s">
        <v>107</v>
      </c>
      <c r="K3296" s="3">
        <v>0</v>
      </c>
    </row>
    <row r="3297" spans="1:11">
      <c r="A3297" s="1">
        <v>45811</v>
      </c>
      <c r="B3297" t="s">
        <v>1977</v>
      </c>
      <c r="C3297">
        <v>2.3620000000000001</v>
      </c>
      <c r="I3297" s="1">
        <v>45817</v>
      </c>
      <c r="J3297" s="1" t="s">
        <v>282</v>
      </c>
      <c r="K3297" s="3">
        <v>10000</v>
      </c>
    </row>
    <row r="3298" spans="1:11">
      <c r="A3298" s="1">
        <v>45811</v>
      </c>
      <c r="B3298" t="s">
        <v>1978</v>
      </c>
      <c r="C3298">
        <v>2.496</v>
      </c>
      <c r="I3298" s="1">
        <v>45817</v>
      </c>
      <c r="J3298" s="1" t="s">
        <v>283</v>
      </c>
      <c r="K3298" s="3">
        <v>7</v>
      </c>
    </row>
    <row r="3299" spans="1:11">
      <c r="A3299" s="1">
        <v>45811</v>
      </c>
      <c r="B3299" t="s">
        <v>1979</v>
      </c>
      <c r="C3299">
        <v>2.8250000000000002</v>
      </c>
      <c r="I3299" s="1">
        <v>45817</v>
      </c>
      <c r="J3299" s="1" t="s">
        <v>284</v>
      </c>
      <c r="K3299" s="3">
        <v>491.65</v>
      </c>
    </row>
    <row r="3300" spans="1:11">
      <c r="A3300" s="1">
        <v>45811</v>
      </c>
      <c r="B3300" t="s">
        <v>1980</v>
      </c>
      <c r="C3300">
        <v>3.1179999999999999</v>
      </c>
      <c r="I3300" s="1">
        <v>45817</v>
      </c>
      <c r="J3300" s="1" t="s">
        <v>285</v>
      </c>
      <c r="K3300" s="3">
        <v>4</v>
      </c>
    </row>
    <row r="3301" spans="1:11">
      <c r="A3301" s="1">
        <v>45811</v>
      </c>
      <c r="B3301" t="s">
        <v>1981</v>
      </c>
      <c r="C3301">
        <v>3.2389999999999999</v>
      </c>
      <c r="I3301" s="1">
        <v>45817</v>
      </c>
      <c r="J3301" s="1" t="s">
        <v>286</v>
      </c>
      <c r="K3301" s="3">
        <v>3743.61</v>
      </c>
    </row>
    <row r="3302" spans="1:11">
      <c r="A3302" s="1">
        <v>45811</v>
      </c>
      <c r="B3302" t="s">
        <v>1982</v>
      </c>
      <c r="C3302">
        <v>3.327</v>
      </c>
      <c r="I3302" s="1">
        <v>45817</v>
      </c>
      <c r="J3302" s="1" t="s">
        <v>287</v>
      </c>
      <c r="K3302" s="3">
        <v>31680.49</v>
      </c>
    </row>
    <row r="3303" spans="1:11">
      <c r="A3303" s="1">
        <v>45811</v>
      </c>
      <c r="B3303" t="s">
        <v>1983</v>
      </c>
      <c r="C3303">
        <v>3.419</v>
      </c>
      <c r="I3303" s="1">
        <v>45817</v>
      </c>
      <c r="J3303" s="1" t="s">
        <v>288</v>
      </c>
      <c r="K3303" s="3">
        <v>-6776.27</v>
      </c>
    </row>
    <row r="3304" spans="1:11">
      <c r="A3304" s="1">
        <v>45810</v>
      </c>
      <c r="B3304" t="s">
        <v>1974</v>
      </c>
      <c r="C3304">
        <v>2.117</v>
      </c>
      <c r="I3304" s="1">
        <v>45817</v>
      </c>
      <c r="J3304" s="1" t="s">
        <v>289</v>
      </c>
      <c r="K3304" s="3">
        <v>2</v>
      </c>
    </row>
    <row r="3305" spans="1:11">
      <c r="A3305" s="1">
        <v>45810</v>
      </c>
      <c r="B3305" t="s">
        <v>1975</v>
      </c>
      <c r="C3305">
        <v>2.1629999999999998</v>
      </c>
      <c r="I3305" s="1">
        <v>45817</v>
      </c>
      <c r="J3305" s="1" t="s">
        <v>290</v>
      </c>
      <c r="K3305" s="3">
        <v>2</v>
      </c>
    </row>
    <row r="3306" spans="1:11">
      <c r="A3306" s="1">
        <v>45810</v>
      </c>
      <c r="B3306" t="s">
        <v>1976</v>
      </c>
      <c r="C3306">
        <v>2.2290000000000001</v>
      </c>
      <c r="I3306" s="1">
        <v>45817</v>
      </c>
      <c r="J3306" s="1" t="s">
        <v>107</v>
      </c>
      <c r="K3306" s="3">
        <v>0</v>
      </c>
    </row>
    <row r="3307" spans="1:11">
      <c r="A3307" s="1">
        <v>45810</v>
      </c>
      <c r="B3307" t="s">
        <v>1977</v>
      </c>
      <c r="C3307">
        <v>2.3570000000000002</v>
      </c>
      <c r="I3307" s="1">
        <v>45816</v>
      </c>
      <c r="J3307" s="1" t="s">
        <v>107</v>
      </c>
      <c r="K3307" s="3">
        <v>1655445472597</v>
      </c>
    </row>
    <row r="3308" spans="1:11">
      <c r="A3308" s="1">
        <v>45810</v>
      </c>
      <c r="B3308" t="s">
        <v>1978</v>
      </c>
      <c r="C3308">
        <v>2.4849999999999999</v>
      </c>
      <c r="I3308" s="1">
        <v>45814</v>
      </c>
      <c r="J3308" s="1" t="s">
        <v>282</v>
      </c>
      <c r="K3308" s="3">
        <v>10000</v>
      </c>
    </row>
    <row r="3309" spans="1:11">
      <c r="A3309" s="1">
        <v>45810</v>
      </c>
      <c r="B3309" t="s">
        <v>1979</v>
      </c>
      <c r="C3309">
        <v>2.8109999999999999</v>
      </c>
      <c r="I3309" s="1">
        <v>45814</v>
      </c>
      <c r="J3309" s="1" t="s">
        <v>283</v>
      </c>
      <c r="K3309" s="3">
        <v>7</v>
      </c>
    </row>
    <row r="3310" spans="1:11">
      <c r="A3310" s="1">
        <v>45810</v>
      </c>
      <c r="B3310" t="s">
        <v>1980</v>
      </c>
      <c r="C3310">
        <v>3.1150000000000002</v>
      </c>
      <c r="I3310" s="1">
        <v>45814</v>
      </c>
      <c r="J3310" s="1" t="s">
        <v>284</v>
      </c>
      <c r="K3310" s="3">
        <v>0</v>
      </c>
    </row>
    <row r="3311" spans="1:11">
      <c r="A3311" s="1">
        <v>45810</v>
      </c>
      <c r="B3311" t="s">
        <v>1981</v>
      </c>
      <c r="C3311">
        <v>3.2370000000000001</v>
      </c>
      <c r="I3311" s="1">
        <v>45814</v>
      </c>
      <c r="J3311" s="1" t="s">
        <v>285</v>
      </c>
      <c r="K3311" s="3">
        <v>4</v>
      </c>
    </row>
    <row r="3312" spans="1:11">
      <c r="A3312" s="1">
        <v>45810</v>
      </c>
      <c r="B3312" t="s">
        <v>1982</v>
      </c>
      <c r="C3312">
        <v>3.327</v>
      </c>
      <c r="I3312" s="1">
        <v>45814</v>
      </c>
      <c r="J3312" s="1" t="s">
        <v>286</v>
      </c>
      <c r="K3312" s="3">
        <v>2593.09</v>
      </c>
    </row>
    <row r="3313" spans="1:11">
      <c r="A3313" s="1">
        <v>45810</v>
      </c>
      <c r="B3313" t="s">
        <v>1983</v>
      </c>
      <c r="C3313">
        <v>3.419</v>
      </c>
      <c r="I3313" s="1">
        <v>45814</v>
      </c>
      <c r="J3313" s="1" t="s">
        <v>287</v>
      </c>
      <c r="K3313" s="3">
        <v>34932.449999999997</v>
      </c>
    </row>
    <row r="3314" spans="1:11">
      <c r="A3314" s="1">
        <v>45807</v>
      </c>
      <c r="B3314" t="s">
        <v>1974</v>
      </c>
      <c r="C3314">
        <v>2.117</v>
      </c>
      <c r="I3314" s="1">
        <v>45814</v>
      </c>
      <c r="J3314" s="1" t="s">
        <v>288</v>
      </c>
      <c r="K3314" s="3">
        <v>-8768.98</v>
      </c>
    </row>
    <row r="3315" spans="1:11">
      <c r="A3315" s="1">
        <v>45807</v>
      </c>
      <c r="B3315" t="s">
        <v>1975</v>
      </c>
      <c r="C3315">
        <v>2.1629999999999998</v>
      </c>
      <c r="I3315" s="1">
        <v>45814</v>
      </c>
      <c r="J3315" s="1" t="s">
        <v>289</v>
      </c>
      <c r="K3315" s="3">
        <v>0</v>
      </c>
    </row>
    <row r="3316" spans="1:11">
      <c r="A3316" s="1">
        <v>45807</v>
      </c>
      <c r="B3316" t="s">
        <v>1976</v>
      </c>
      <c r="C3316">
        <v>2.2290000000000001</v>
      </c>
      <c r="I3316" s="1">
        <v>45814</v>
      </c>
      <c r="J3316" s="1" t="s">
        <v>290</v>
      </c>
      <c r="K3316" s="3">
        <v>0</v>
      </c>
    </row>
    <row r="3317" spans="1:11">
      <c r="A3317" s="1">
        <v>45807</v>
      </c>
      <c r="B3317" t="s">
        <v>1977</v>
      </c>
      <c r="C3317">
        <v>2.3570000000000002</v>
      </c>
      <c r="I3317" s="1">
        <v>45813</v>
      </c>
      <c r="J3317" s="1" t="s">
        <v>282</v>
      </c>
      <c r="K3317" s="3">
        <v>0</v>
      </c>
    </row>
    <row r="3318" spans="1:11">
      <c r="A3318" s="1">
        <v>45807</v>
      </c>
      <c r="B3318" t="s">
        <v>1978</v>
      </c>
      <c r="C3318">
        <v>2.4849999999999999</v>
      </c>
      <c r="I3318" s="1">
        <v>45813</v>
      </c>
      <c r="J3318" s="1" t="s">
        <v>283</v>
      </c>
      <c r="K3318" s="3">
        <v>7</v>
      </c>
    </row>
    <row r="3319" spans="1:11">
      <c r="A3319" s="1">
        <v>45807</v>
      </c>
      <c r="B3319" t="s">
        <v>1979</v>
      </c>
      <c r="C3319">
        <v>2.8050000000000002</v>
      </c>
      <c r="I3319" s="1">
        <v>45813</v>
      </c>
      <c r="J3319" s="1" t="s">
        <v>284</v>
      </c>
      <c r="K3319" s="3">
        <v>707.41</v>
      </c>
    </row>
    <row r="3320" spans="1:11">
      <c r="A3320" s="1">
        <v>45807</v>
      </c>
      <c r="B3320" t="s">
        <v>1980</v>
      </c>
      <c r="C3320">
        <v>3.11</v>
      </c>
      <c r="I3320" s="1">
        <v>45813</v>
      </c>
      <c r="J3320" s="1" t="s">
        <v>285</v>
      </c>
      <c r="K3320" s="3">
        <v>4</v>
      </c>
    </row>
    <row r="3321" spans="1:11">
      <c r="A3321" s="1">
        <v>45807</v>
      </c>
      <c r="B3321" t="s">
        <v>1981</v>
      </c>
      <c r="C3321">
        <v>3.23</v>
      </c>
      <c r="I3321" s="1">
        <v>45813</v>
      </c>
      <c r="J3321" s="1" t="s">
        <v>286</v>
      </c>
      <c r="K3321" s="3">
        <v>4842.6400000000003</v>
      </c>
    </row>
    <row r="3322" spans="1:11">
      <c r="A3322" s="1">
        <v>45807</v>
      </c>
      <c r="B3322" t="s">
        <v>1982</v>
      </c>
      <c r="C3322">
        <v>3.327</v>
      </c>
      <c r="I3322" s="1">
        <v>45813</v>
      </c>
      <c r="J3322" s="1" t="s">
        <v>287</v>
      </c>
      <c r="K3322" s="3">
        <v>37525.54</v>
      </c>
    </row>
    <row r="3323" spans="1:11">
      <c r="A3323" s="1">
        <v>45807</v>
      </c>
      <c r="B3323" t="s">
        <v>1983</v>
      </c>
      <c r="C3323">
        <v>3.419</v>
      </c>
      <c r="I3323" s="1">
        <v>45813</v>
      </c>
      <c r="J3323" s="1" t="s">
        <v>288</v>
      </c>
      <c r="K3323" s="3">
        <v>-10352.25</v>
      </c>
    </row>
    <row r="3324" spans="1:11">
      <c r="A3324" s="1">
        <v>45806</v>
      </c>
      <c r="B3324" t="s">
        <v>1980</v>
      </c>
      <c r="C3324">
        <v>3.105</v>
      </c>
      <c r="I3324" s="1">
        <v>45813</v>
      </c>
      <c r="J3324" s="1" t="s">
        <v>289</v>
      </c>
      <c r="K3324" s="3">
        <v>1</v>
      </c>
    </row>
    <row r="3325" spans="1:11">
      <c r="A3325" s="1">
        <v>45806</v>
      </c>
      <c r="B3325" t="s">
        <v>1981</v>
      </c>
      <c r="C3325">
        <v>3.2290000000000001</v>
      </c>
      <c r="I3325" s="1">
        <v>45813</v>
      </c>
      <c r="J3325" s="1" t="s">
        <v>290</v>
      </c>
      <c r="K3325" s="3">
        <v>1</v>
      </c>
    </row>
    <row r="3326" spans="1:11">
      <c r="A3326" s="1">
        <v>45806</v>
      </c>
      <c r="B3326" t="s">
        <v>1982</v>
      </c>
      <c r="C3326">
        <v>3.327</v>
      </c>
      <c r="I3326" s="1">
        <v>45813</v>
      </c>
      <c r="J3326" s="1" t="s">
        <v>107</v>
      </c>
      <c r="K3326" s="3">
        <v>4248534310052</v>
      </c>
    </row>
    <row r="3327" spans="1:11">
      <c r="A3327" s="1">
        <v>45806</v>
      </c>
      <c r="B3327" t="s">
        <v>1983</v>
      </c>
      <c r="C3327">
        <v>3.419</v>
      </c>
      <c r="I3327" s="1">
        <v>45812</v>
      </c>
      <c r="J3327" s="1" t="s">
        <v>282</v>
      </c>
      <c r="K3327" s="3">
        <v>0</v>
      </c>
    </row>
    <row r="3328" spans="1:11">
      <c r="A3328" s="1">
        <v>45806</v>
      </c>
      <c r="B3328" t="s">
        <v>1974</v>
      </c>
      <c r="C3328">
        <v>2.1040000000000001</v>
      </c>
      <c r="I3328" s="1">
        <v>45812</v>
      </c>
      <c r="J3328" s="1" t="s">
        <v>283</v>
      </c>
      <c r="K3328" s="3">
        <v>7</v>
      </c>
    </row>
    <row r="3329" spans="1:11">
      <c r="A3329" s="1">
        <v>45806</v>
      </c>
      <c r="B3329" t="s">
        <v>1975</v>
      </c>
      <c r="C3329">
        <v>2.1459999999999999</v>
      </c>
      <c r="I3329" s="1">
        <v>45812</v>
      </c>
      <c r="J3329" s="1" t="s">
        <v>284</v>
      </c>
      <c r="K3329" s="3">
        <v>0</v>
      </c>
    </row>
    <row r="3330" spans="1:11">
      <c r="A3330" s="1">
        <v>45806</v>
      </c>
      <c r="B3330" t="s">
        <v>1976</v>
      </c>
      <c r="C3330">
        <v>2.2080000000000002</v>
      </c>
      <c r="I3330" s="1">
        <v>45812</v>
      </c>
      <c r="J3330" s="1" t="s">
        <v>285</v>
      </c>
      <c r="K3330" s="3">
        <v>4</v>
      </c>
    </row>
    <row r="3331" spans="1:11">
      <c r="A3331" s="1">
        <v>45806</v>
      </c>
      <c r="B3331" t="s">
        <v>1977</v>
      </c>
      <c r="C3331">
        <v>2.3450000000000002</v>
      </c>
      <c r="I3331" s="1">
        <v>45812</v>
      </c>
      <c r="J3331" s="1" t="s">
        <v>286</v>
      </c>
      <c r="K3331" s="3">
        <v>1314.3</v>
      </c>
    </row>
    <row r="3332" spans="1:11">
      <c r="A3332" s="1">
        <v>45806</v>
      </c>
      <c r="B3332" t="s">
        <v>1978</v>
      </c>
      <c r="C3332">
        <v>2.4809999999999999</v>
      </c>
      <c r="I3332" s="1">
        <v>45812</v>
      </c>
      <c r="J3332" s="1" t="s">
        <v>287</v>
      </c>
      <c r="K3332" s="3">
        <v>41660.769999999997</v>
      </c>
    </row>
    <row r="3333" spans="1:11">
      <c r="A3333" s="1">
        <v>45806</v>
      </c>
      <c r="B3333" t="s">
        <v>1979</v>
      </c>
      <c r="C3333">
        <v>2.7970000000000002</v>
      </c>
      <c r="I3333" s="1">
        <v>45812</v>
      </c>
      <c r="J3333" s="1" t="s">
        <v>288</v>
      </c>
      <c r="K3333" s="3">
        <v>-15103.09</v>
      </c>
    </row>
    <row r="3334" spans="1:11">
      <c r="A3334" s="1">
        <v>45805</v>
      </c>
      <c r="B3334" t="s">
        <v>1974</v>
      </c>
      <c r="C3334">
        <v>2.1</v>
      </c>
      <c r="I3334" s="1">
        <v>45812</v>
      </c>
      <c r="J3334" s="1" t="s">
        <v>289</v>
      </c>
      <c r="K3334" s="3">
        <v>0</v>
      </c>
    </row>
    <row r="3335" spans="1:11">
      <c r="A3335" s="1">
        <v>45805</v>
      </c>
      <c r="B3335" t="s">
        <v>1975</v>
      </c>
      <c r="C3335">
        <v>2.1419999999999999</v>
      </c>
      <c r="I3335" s="1">
        <v>45812</v>
      </c>
      <c r="J3335" s="1" t="s">
        <v>290</v>
      </c>
      <c r="K3335" s="3">
        <v>0</v>
      </c>
    </row>
    <row r="3336" spans="1:11">
      <c r="A3336" s="1">
        <v>45805</v>
      </c>
      <c r="B3336" t="s">
        <v>1976</v>
      </c>
      <c r="C3336">
        <v>2.2040000000000002</v>
      </c>
      <c r="I3336" s="1">
        <v>45812</v>
      </c>
      <c r="J3336" s="1" t="s">
        <v>107</v>
      </c>
      <c r="K3336" s="3">
        <v>4248534310052</v>
      </c>
    </row>
    <row r="3337" spans="1:11">
      <c r="A3337" s="1">
        <v>45805</v>
      </c>
      <c r="B3337" t="s">
        <v>1977</v>
      </c>
      <c r="C3337">
        <v>2.3380000000000001</v>
      </c>
      <c r="I3337" s="1">
        <v>45811</v>
      </c>
      <c r="J3337" s="1" t="s">
        <v>288</v>
      </c>
      <c r="K3337" s="3">
        <v>-13767.15</v>
      </c>
    </row>
    <row r="3338" spans="1:11">
      <c r="A3338" s="1">
        <v>45805</v>
      </c>
      <c r="B3338" t="s">
        <v>1978</v>
      </c>
      <c r="C3338">
        <v>2.4710000000000001</v>
      </c>
      <c r="I3338" s="1">
        <v>45811</v>
      </c>
      <c r="J3338" s="1" t="s">
        <v>289</v>
      </c>
      <c r="K3338" s="3">
        <v>0</v>
      </c>
    </row>
    <row r="3339" spans="1:11">
      <c r="A3339" s="1">
        <v>45805</v>
      </c>
      <c r="B3339" t="s">
        <v>1979</v>
      </c>
      <c r="C3339">
        <v>2.7989999999999999</v>
      </c>
      <c r="I3339" s="1">
        <v>45811</v>
      </c>
      <c r="J3339" s="1" t="s">
        <v>290</v>
      </c>
      <c r="K3339" s="3">
        <v>0</v>
      </c>
    </row>
    <row r="3340" spans="1:11">
      <c r="A3340" s="1">
        <v>45805</v>
      </c>
      <c r="B3340" t="s">
        <v>1980</v>
      </c>
      <c r="C3340">
        <v>3.0990000000000002</v>
      </c>
      <c r="I3340" s="1">
        <v>45811</v>
      </c>
      <c r="J3340" s="1" t="s">
        <v>107</v>
      </c>
      <c r="K3340" s="3">
        <v>4248534310052</v>
      </c>
    </row>
    <row r="3341" spans="1:11">
      <c r="A3341" s="1">
        <v>45805</v>
      </c>
      <c r="B3341" t="s">
        <v>1981</v>
      </c>
      <c r="C3341">
        <v>3.2330000000000001</v>
      </c>
      <c r="I3341" s="1">
        <v>45811</v>
      </c>
      <c r="J3341" s="1" t="s">
        <v>282</v>
      </c>
      <c r="K3341" s="3">
        <v>10000</v>
      </c>
    </row>
    <row r="3342" spans="1:11">
      <c r="A3342" s="1">
        <v>45805</v>
      </c>
      <c r="B3342" t="s">
        <v>1982</v>
      </c>
      <c r="C3342">
        <v>3.327</v>
      </c>
      <c r="I3342" s="1">
        <v>45811</v>
      </c>
      <c r="J3342" s="1" t="s">
        <v>283</v>
      </c>
      <c r="K3342" s="3">
        <v>7</v>
      </c>
    </row>
    <row r="3343" spans="1:11">
      <c r="A3343" s="1">
        <v>45805</v>
      </c>
      <c r="B3343" t="s">
        <v>1983</v>
      </c>
      <c r="C3343">
        <v>3.419</v>
      </c>
      <c r="I3343" s="1">
        <v>45811</v>
      </c>
      <c r="J3343" s="1" t="s">
        <v>284</v>
      </c>
      <c r="K3343" s="3">
        <v>3152.4</v>
      </c>
    </row>
    <row r="3344" spans="1:11">
      <c r="A3344" s="1">
        <v>45804</v>
      </c>
      <c r="B3344" t="s">
        <v>1979</v>
      </c>
      <c r="C3344">
        <v>2.7930000000000001</v>
      </c>
      <c r="I3344" s="1">
        <v>45811</v>
      </c>
      <c r="J3344" s="1" t="s">
        <v>285</v>
      </c>
      <c r="K3344" s="3">
        <v>4</v>
      </c>
    </row>
    <row r="3345" spans="1:11">
      <c r="A3345" s="1">
        <v>45804</v>
      </c>
      <c r="B3345" t="s">
        <v>1980</v>
      </c>
      <c r="C3345">
        <v>3.0920000000000001</v>
      </c>
      <c r="I3345" s="1">
        <v>45811</v>
      </c>
      <c r="J3345" s="1" t="s">
        <v>286</v>
      </c>
      <c r="K3345" s="3">
        <v>2867.85</v>
      </c>
    </row>
    <row r="3346" spans="1:11">
      <c r="A3346" s="1">
        <v>45804</v>
      </c>
      <c r="B3346" t="s">
        <v>1981</v>
      </c>
      <c r="C3346">
        <v>3.2250000000000001</v>
      </c>
      <c r="I3346" s="1">
        <v>45811</v>
      </c>
      <c r="J3346" s="1" t="s">
        <v>287</v>
      </c>
      <c r="K3346" s="3">
        <v>42975.07</v>
      </c>
    </row>
    <row r="3347" spans="1:11">
      <c r="A3347" s="1">
        <v>45804</v>
      </c>
      <c r="B3347" t="s">
        <v>1982</v>
      </c>
      <c r="C3347">
        <v>3.3250000000000002</v>
      </c>
      <c r="I3347" s="1">
        <v>45810</v>
      </c>
      <c r="J3347" s="1" t="s">
        <v>282</v>
      </c>
      <c r="K3347" s="3">
        <v>10000</v>
      </c>
    </row>
    <row r="3348" spans="1:11">
      <c r="A3348" s="1">
        <v>45804</v>
      </c>
      <c r="B3348" t="s">
        <v>1983</v>
      </c>
      <c r="C3348">
        <v>3.4129999999999998</v>
      </c>
      <c r="I3348" s="1">
        <v>45810</v>
      </c>
      <c r="J3348" s="1" t="s">
        <v>283</v>
      </c>
      <c r="K3348" s="3">
        <v>7</v>
      </c>
    </row>
    <row r="3349" spans="1:11">
      <c r="A3349" s="1">
        <v>45804</v>
      </c>
      <c r="B3349" t="s">
        <v>1974</v>
      </c>
      <c r="C3349">
        <v>2.0979999999999999</v>
      </c>
      <c r="I3349" s="1">
        <v>45810</v>
      </c>
      <c r="J3349" s="1" t="s">
        <v>284</v>
      </c>
      <c r="K3349" s="3">
        <v>2470.81</v>
      </c>
    </row>
    <row r="3350" spans="1:11">
      <c r="A3350" s="1">
        <v>45804</v>
      </c>
      <c r="B3350" t="s">
        <v>1975</v>
      </c>
      <c r="C3350">
        <v>2.1419999999999999</v>
      </c>
      <c r="I3350" s="1">
        <v>45810</v>
      </c>
      <c r="J3350" s="1" t="s">
        <v>285</v>
      </c>
      <c r="K3350" s="3">
        <v>4</v>
      </c>
    </row>
    <row r="3351" spans="1:11">
      <c r="A3351" s="1">
        <v>45804</v>
      </c>
      <c r="B3351" t="s">
        <v>1976</v>
      </c>
      <c r="C3351">
        <v>2.2040000000000002</v>
      </c>
      <c r="I3351" s="1">
        <v>45810</v>
      </c>
      <c r="J3351" s="1" t="s">
        <v>286</v>
      </c>
      <c r="K3351" s="3">
        <v>9742.34</v>
      </c>
    </row>
    <row r="3352" spans="1:11">
      <c r="A3352" s="1">
        <v>45804</v>
      </c>
      <c r="B3352" t="s">
        <v>1977</v>
      </c>
      <c r="C3352">
        <v>2.3410000000000002</v>
      </c>
      <c r="I3352" s="1">
        <v>45810</v>
      </c>
      <c r="J3352" s="1" t="s">
        <v>287</v>
      </c>
      <c r="K3352" s="3">
        <v>42690.52</v>
      </c>
    </row>
    <row r="3353" spans="1:11">
      <c r="A3353" s="1">
        <v>45804</v>
      </c>
      <c r="B3353" t="s">
        <v>1978</v>
      </c>
      <c r="C3353">
        <v>2.4790000000000001</v>
      </c>
      <c r="I3353" s="1">
        <v>45810</v>
      </c>
      <c r="J3353" s="1" t="s">
        <v>288</v>
      </c>
      <c r="K3353" s="3">
        <v>-15361.49</v>
      </c>
    </row>
    <row r="3354" spans="1:11">
      <c r="A3354" s="1">
        <v>45803</v>
      </c>
      <c r="B3354" t="s">
        <v>1974</v>
      </c>
      <c r="C3354">
        <v>2.0979999999999999</v>
      </c>
      <c r="I3354" s="1">
        <v>45810</v>
      </c>
      <c r="J3354" s="1" t="s">
        <v>289</v>
      </c>
      <c r="K3354" s="3">
        <v>2</v>
      </c>
    </row>
    <row r="3355" spans="1:11">
      <c r="A3355" s="1">
        <v>45803</v>
      </c>
      <c r="B3355" t="s">
        <v>1975</v>
      </c>
      <c r="C3355">
        <v>2.1419999999999999</v>
      </c>
      <c r="I3355" s="1">
        <v>45810</v>
      </c>
      <c r="J3355" s="1" t="s">
        <v>290</v>
      </c>
      <c r="K3355" s="3">
        <v>2</v>
      </c>
    </row>
    <row r="3356" spans="1:11">
      <c r="A3356" s="1">
        <v>45803</v>
      </c>
      <c r="B3356" t="s">
        <v>1976</v>
      </c>
      <c r="C3356">
        <v>2.2040000000000002</v>
      </c>
      <c r="I3356" s="1">
        <v>45810</v>
      </c>
      <c r="J3356" s="1" t="s">
        <v>107</v>
      </c>
      <c r="K3356" s="3">
        <v>4248534310052</v>
      </c>
    </row>
    <row r="3357" spans="1:11">
      <c r="A3357" s="1">
        <v>45803</v>
      </c>
      <c r="B3357" t="s">
        <v>1977</v>
      </c>
      <c r="C3357">
        <v>2.3370000000000002</v>
      </c>
      <c r="I3357" s="1">
        <v>45809</v>
      </c>
      <c r="J3357" s="1" t="s">
        <v>107</v>
      </c>
      <c r="K3357" s="3">
        <v>4570385345049</v>
      </c>
    </row>
    <row r="3358" spans="1:11">
      <c r="A3358" s="1">
        <v>45803</v>
      </c>
      <c r="B3358" t="s">
        <v>1978</v>
      </c>
      <c r="C3358">
        <v>2.4700000000000002</v>
      </c>
      <c r="I3358" s="1">
        <v>45808</v>
      </c>
      <c r="J3358" s="1" t="s">
        <v>107</v>
      </c>
      <c r="K3358" s="3">
        <v>4570385345049</v>
      </c>
    </row>
    <row r="3359" spans="1:11">
      <c r="A3359" s="1">
        <v>45803</v>
      </c>
      <c r="B3359" t="s">
        <v>1979</v>
      </c>
      <c r="C3359">
        <v>2.7839999999999998</v>
      </c>
      <c r="I3359" s="1">
        <v>45807</v>
      </c>
      <c r="J3359" s="1" t="s">
        <v>282</v>
      </c>
      <c r="K3359" s="3">
        <v>10000</v>
      </c>
    </row>
    <row r="3360" spans="1:11">
      <c r="A3360" s="1">
        <v>45803</v>
      </c>
      <c r="B3360" t="s">
        <v>1980</v>
      </c>
      <c r="C3360">
        <v>3.09</v>
      </c>
      <c r="I3360" s="1">
        <v>45807</v>
      </c>
      <c r="J3360" s="1" t="s">
        <v>283</v>
      </c>
      <c r="K3360" s="3">
        <v>7</v>
      </c>
    </row>
    <row r="3361" spans="1:11">
      <c r="A3361" s="1">
        <v>45803</v>
      </c>
      <c r="B3361" t="s">
        <v>1981</v>
      </c>
      <c r="C3361">
        <v>3.2240000000000002</v>
      </c>
      <c r="I3361" s="1">
        <v>45807</v>
      </c>
      <c r="J3361" s="1" t="s">
        <v>284</v>
      </c>
      <c r="K3361" s="3">
        <v>1248.24</v>
      </c>
    </row>
    <row r="3362" spans="1:11">
      <c r="A3362" s="1">
        <v>45803</v>
      </c>
      <c r="B3362" t="s">
        <v>1982</v>
      </c>
      <c r="C3362">
        <v>3.3250000000000002</v>
      </c>
      <c r="I3362" s="1">
        <v>45807</v>
      </c>
      <c r="J3362" s="1" t="s">
        <v>285</v>
      </c>
      <c r="K3362" s="3">
        <v>4</v>
      </c>
    </row>
    <row r="3363" spans="1:11">
      <c r="A3363" s="1">
        <v>45803</v>
      </c>
      <c r="B3363" t="s">
        <v>1983</v>
      </c>
      <c r="C3363">
        <v>3.4129999999999998</v>
      </c>
      <c r="I3363" s="1">
        <v>45807</v>
      </c>
      <c r="J3363" s="1" t="s">
        <v>286</v>
      </c>
      <c r="K3363" s="3">
        <v>0</v>
      </c>
    </row>
    <row r="3364" spans="1:11">
      <c r="A3364" s="1">
        <v>45800</v>
      </c>
      <c r="B3364" t="s">
        <v>1979</v>
      </c>
      <c r="C3364">
        <v>2.7749999999999999</v>
      </c>
      <c r="I3364" s="1">
        <v>45807</v>
      </c>
      <c r="J3364" s="1" t="s">
        <v>287</v>
      </c>
      <c r="K3364" s="3">
        <v>49962.05</v>
      </c>
    </row>
    <row r="3365" spans="1:11">
      <c r="A3365" s="1">
        <v>45800</v>
      </c>
      <c r="B3365" t="s">
        <v>1978</v>
      </c>
      <c r="C3365">
        <v>2.4580000000000002</v>
      </c>
      <c r="I3365" s="1">
        <v>45807</v>
      </c>
      <c r="J3365" s="1" t="s">
        <v>288</v>
      </c>
      <c r="K3365" s="3">
        <v>-21360.22</v>
      </c>
    </row>
    <row r="3366" spans="1:11">
      <c r="A3366" s="1">
        <v>45800</v>
      </c>
      <c r="B3366" t="s">
        <v>1983</v>
      </c>
      <c r="C3366">
        <v>3.4129999999999998</v>
      </c>
      <c r="I3366" s="1">
        <v>45807</v>
      </c>
      <c r="J3366" s="1" t="s">
        <v>289</v>
      </c>
      <c r="K3366" s="3">
        <v>1</v>
      </c>
    </row>
    <row r="3367" spans="1:11">
      <c r="A3367" s="1">
        <v>45800</v>
      </c>
      <c r="B3367" t="s">
        <v>1974</v>
      </c>
      <c r="C3367">
        <v>2.0979999999999999</v>
      </c>
      <c r="I3367" s="1">
        <v>45807</v>
      </c>
      <c r="J3367" s="1" t="s">
        <v>290</v>
      </c>
      <c r="K3367" s="3">
        <v>1</v>
      </c>
    </row>
    <row r="3368" spans="1:11">
      <c r="A3368" s="1">
        <v>45800</v>
      </c>
      <c r="B3368" t="s">
        <v>1975</v>
      </c>
      <c r="C3368">
        <v>2.1419999999999999</v>
      </c>
      <c r="I3368" s="1">
        <v>45806</v>
      </c>
      <c r="J3368" s="1" t="s">
        <v>282</v>
      </c>
      <c r="K3368" s="3">
        <v>10000</v>
      </c>
    </row>
    <row r="3369" spans="1:11">
      <c r="A3369" s="1">
        <v>45800</v>
      </c>
      <c r="B3369" t="s">
        <v>1976</v>
      </c>
      <c r="C3369">
        <v>2.2040000000000002</v>
      </c>
      <c r="I3369" s="1">
        <v>45806</v>
      </c>
      <c r="J3369" s="1" t="s">
        <v>283</v>
      </c>
      <c r="K3369" s="3">
        <v>7</v>
      </c>
    </row>
    <row r="3370" spans="1:11">
      <c r="A3370" s="1">
        <v>45800</v>
      </c>
      <c r="B3370" t="s">
        <v>1977</v>
      </c>
      <c r="C3370">
        <v>2.331</v>
      </c>
      <c r="I3370" s="1">
        <v>45806</v>
      </c>
      <c r="J3370" s="1" t="s">
        <v>284</v>
      </c>
      <c r="K3370" s="3">
        <v>407.48</v>
      </c>
    </row>
    <row r="3371" spans="1:11">
      <c r="A3371" s="1">
        <v>45800</v>
      </c>
      <c r="B3371" t="s">
        <v>1980</v>
      </c>
      <c r="C3371">
        <v>3.0760000000000001</v>
      </c>
      <c r="I3371" s="1">
        <v>45806</v>
      </c>
      <c r="J3371" s="1" t="s">
        <v>285</v>
      </c>
      <c r="K3371" s="3">
        <v>4</v>
      </c>
    </row>
    <row r="3372" spans="1:11">
      <c r="A3372" s="1">
        <v>45800</v>
      </c>
      <c r="B3372" t="s">
        <v>1981</v>
      </c>
      <c r="C3372">
        <v>3.222</v>
      </c>
      <c r="I3372" s="1">
        <v>45806</v>
      </c>
      <c r="J3372" s="1" t="s">
        <v>286</v>
      </c>
      <c r="K3372" s="3">
        <v>4312.51</v>
      </c>
    </row>
    <row r="3373" spans="1:11">
      <c r="A3373" s="1">
        <v>45800</v>
      </c>
      <c r="B3373" t="s">
        <v>1982</v>
      </c>
      <c r="C3373">
        <v>3.3250000000000002</v>
      </c>
      <c r="I3373" s="1">
        <v>45806</v>
      </c>
      <c r="J3373" s="1" t="s">
        <v>287</v>
      </c>
      <c r="K3373" s="3">
        <v>48713.81</v>
      </c>
    </row>
    <row r="3374" spans="1:11">
      <c r="A3374" s="1">
        <v>45799</v>
      </c>
      <c r="B3374" t="s">
        <v>1974</v>
      </c>
      <c r="C3374">
        <v>2.09</v>
      </c>
      <c r="I3374" s="1">
        <v>45806</v>
      </c>
      <c r="J3374" s="1" t="s">
        <v>288</v>
      </c>
      <c r="K3374" s="3">
        <v>-18767.13</v>
      </c>
    </row>
    <row r="3375" spans="1:11">
      <c r="A3375" s="1">
        <v>45799</v>
      </c>
      <c r="B3375" t="s">
        <v>1975</v>
      </c>
      <c r="C3375">
        <v>2.133</v>
      </c>
      <c r="I3375" s="1">
        <v>45806</v>
      </c>
      <c r="J3375" s="1" t="s">
        <v>289</v>
      </c>
      <c r="K3375" s="3">
        <v>1</v>
      </c>
    </row>
    <row r="3376" spans="1:11">
      <c r="A3376" s="1">
        <v>45799</v>
      </c>
      <c r="B3376" t="s">
        <v>1976</v>
      </c>
      <c r="C3376">
        <v>2.1960000000000002</v>
      </c>
      <c r="I3376" s="1">
        <v>45806</v>
      </c>
      <c r="J3376" s="1" t="s">
        <v>290</v>
      </c>
      <c r="K3376" s="3">
        <v>1</v>
      </c>
    </row>
    <row r="3377" spans="1:11">
      <c r="A3377" s="1">
        <v>45799</v>
      </c>
      <c r="B3377" t="s">
        <v>1977</v>
      </c>
      <c r="C3377">
        <v>2.327</v>
      </c>
      <c r="I3377" s="1">
        <v>45806</v>
      </c>
      <c r="J3377" s="1" t="s">
        <v>107</v>
      </c>
      <c r="K3377" s="3">
        <v>3322148578137</v>
      </c>
    </row>
    <row r="3378" spans="1:11">
      <c r="A3378" s="1">
        <v>45799</v>
      </c>
      <c r="B3378" t="s">
        <v>1978</v>
      </c>
      <c r="C3378">
        <v>2.4580000000000002</v>
      </c>
      <c r="I3378" s="1">
        <v>45805</v>
      </c>
      <c r="J3378" s="1" t="s">
        <v>282</v>
      </c>
      <c r="K3378" s="3">
        <v>10000</v>
      </c>
    </row>
    <row r="3379" spans="1:11">
      <c r="A3379" s="1">
        <v>45799</v>
      </c>
      <c r="B3379" t="s">
        <v>1979</v>
      </c>
      <c r="C3379">
        <v>2.7759999999999998</v>
      </c>
      <c r="I3379" s="1">
        <v>45805</v>
      </c>
      <c r="J3379" s="1" t="s">
        <v>283</v>
      </c>
      <c r="K3379" s="3">
        <v>7</v>
      </c>
    </row>
    <row r="3380" spans="1:11">
      <c r="A3380" s="1">
        <v>45799</v>
      </c>
      <c r="B3380" t="s">
        <v>1980</v>
      </c>
      <c r="C3380">
        <v>3.0750000000000002</v>
      </c>
      <c r="I3380" s="1">
        <v>45805</v>
      </c>
      <c r="J3380" s="1" t="s">
        <v>284</v>
      </c>
      <c r="K3380" s="3">
        <v>3858.42</v>
      </c>
    </row>
    <row r="3381" spans="1:11">
      <c r="A3381" s="1">
        <v>45799</v>
      </c>
      <c r="B3381" t="s">
        <v>1981</v>
      </c>
      <c r="C3381">
        <v>3.2210000000000001</v>
      </c>
      <c r="I3381" s="1">
        <v>45805</v>
      </c>
      <c r="J3381" s="1" t="s">
        <v>285</v>
      </c>
      <c r="K3381" s="3">
        <v>4</v>
      </c>
    </row>
    <row r="3382" spans="1:11">
      <c r="A3382" s="1">
        <v>45799</v>
      </c>
      <c r="B3382" t="s">
        <v>1982</v>
      </c>
      <c r="C3382">
        <v>3.3250000000000002</v>
      </c>
      <c r="I3382" s="1">
        <v>45805</v>
      </c>
      <c r="J3382" s="1" t="s">
        <v>286</v>
      </c>
      <c r="K3382" s="3">
        <v>1314.1</v>
      </c>
    </row>
    <row r="3383" spans="1:11">
      <c r="A3383" s="1">
        <v>45799</v>
      </c>
      <c r="B3383" t="s">
        <v>1983</v>
      </c>
      <c r="C3383">
        <v>3.4129999999999998</v>
      </c>
      <c r="I3383" s="1">
        <v>45805</v>
      </c>
      <c r="J3383" s="1" t="s">
        <v>287</v>
      </c>
      <c r="K3383" s="3">
        <v>52618.84</v>
      </c>
    </row>
    <row r="3384" spans="1:11">
      <c r="A3384" s="1">
        <v>45798</v>
      </c>
      <c r="B3384" t="s">
        <v>1974</v>
      </c>
      <c r="C3384">
        <v>2.09</v>
      </c>
      <c r="I3384" s="1">
        <v>45805</v>
      </c>
      <c r="J3384" s="1" t="s">
        <v>288</v>
      </c>
      <c r="K3384" s="3">
        <v>-18237</v>
      </c>
    </row>
    <row r="3385" spans="1:11">
      <c r="A3385" s="1">
        <v>45798</v>
      </c>
      <c r="B3385" t="s">
        <v>1975</v>
      </c>
      <c r="C3385">
        <v>2.125</v>
      </c>
      <c r="I3385" s="1">
        <v>45805</v>
      </c>
      <c r="J3385" s="1" t="s">
        <v>289</v>
      </c>
      <c r="K3385" s="3">
        <v>6</v>
      </c>
    </row>
    <row r="3386" spans="1:11">
      <c r="A3386" s="1">
        <v>45798</v>
      </c>
      <c r="B3386" t="s">
        <v>1976</v>
      </c>
      <c r="C3386">
        <v>2.1880000000000002</v>
      </c>
      <c r="I3386" s="1">
        <v>45805</v>
      </c>
      <c r="J3386" s="1" t="s">
        <v>290</v>
      </c>
      <c r="K3386" s="3">
        <v>6</v>
      </c>
    </row>
    <row r="3387" spans="1:11">
      <c r="A3387" s="1">
        <v>45798</v>
      </c>
      <c r="B3387" t="s">
        <v>1977</v>
      </c>
      <c r="C3387">
        <v>2.3210000000000002</v>
      </c>
      <c r="I3387" s="1">
        <v>45805</v>
      </c>
      <c r="J3387" s="1" t="s">
        <v>107</v>
      </c>
      <c r="K3387" s="3">
        <v>5223840125389</v>
      </c>
    </row>
    <row r="3388" spans="1:11">
      <c r="A3388" s="1">
        <v>45798</v>
      </c>
      <c r="B3388" t="s">
        <v>1978</v>
      </c>
      <c r="C3388">
        <v>2.4550000000000001</v>
      </c>
      <c r="I3388" s="1">
        <v>45804</v>
      </c>
      <c r="J3388" s="1" t="s">
        <v>107</v>
      </c>
      <c r="K3388" s="3">
        <v>5223840125389</v>
      </c>
    </row>
    <row r="3389" spans="1:11">
      <c r="A3389" s="1">
        <v>45798</v>
      </c>
      <c r="B3389" t="s">
        <v>1979</v>
      </c>
      <c r="C3389">
        <v>2.766</v>
      </c>
      <c r="I3389" s="1">
        <v>45804</v>
      </c>
      <c r="J3389" s="1" t="s">
        <v>282</v>
      </c>
      <c r="K3389" s="3">
        <v>10000</v>
      </c>
    </row>
    <row r="3390" spans="1:11">
      <c r="A3390" s="1">
        <v>45798</v>
      </c>
      <c r="B3390" t="s">
        <v>1980</v>
      </c>
      <c r="C3390">
        <v>3.0720000000000001</v>
      </c>
      <c r="I3390" s="1">
        <v>45804</v>
      </c>
      <c r="J3390" s="1" t="s">
        <v>283</v>
      </c>
      <c r="K3390" s="3">
        <v>7</v>
      </c>
    </row>
    <row r="3391" spans="1:11">
      <c r="A3391" s="1">
        <v>45798</v>
      </c>
      <c r="B3391" t="s">
        <v>1981</v>
      </c>
      <c r="C3391">
        <v>3.22</v>
      </c>
      <c r="I3391" s="1">
        <v>45804</v>
      </c>
      <c r="J3391" s="1" t="s">
        <v>284</v>
      </c>
      <c r="K3391" s="3">
        <v>6273.68</v>
      </c>
    </row>
    <row r="3392" spans="1:11">
      <c r="A3392" s="1">
        <v>45798</v>
      </c>
      <c r="B3392" t="s">
        <v>1982</v>
      </c>
      <c r="C3392">
        <v>3.3250000000000002</v>
      </c>
      <c r="I3392" s="1">
        <v>45804</v>
      </c>
      <c r="J3392" s="1" t="s">
        <v>285</v>
      </c>
      <c r="K3392" s="3">
        <v>4</v>
      </c>
    </row>
    <row r="3393" spans="1:11">
      <c r="A3393" s="1">
        <v>45798</v>
      </c>
      <c r="B3393" t="s">
        <v>1983</v>
      </c>
      <c r="C3393">
        <v>3.4129999999999998</v>
      </c>
      <c r="I3393" s="1">
        <v>45804</v>
      </c>
      <c r="J3393" s="1" t="s">
        <v>286</v>
      </c>
      <c r="K3393" s="3">
        <v>2459.4299999999998</v>
      </c>
    </row>
    <row r="3394" spans="1:11">
      <c r="A3394" s="1">
        <v>45797</v>
      </c>
      <c r="B3394" t="s">
        <v>1974</v>
      </c>
      <c r="C3394">
        <v>2.09</v>
      </c>
      <c r="I3394" s="1">
        <v>45804</v>
      </c>
      <c r="J3394" s="1" t="s">
        <v>287</v>
      </c>
      <c r="K3394" s="3">
        <v>50074.52</v>
      </c>
    </row>
    <row r="3395" spans="1:11">
      <c r="A3395" s="1">
        <v>45797</v>
      </c>
      <c r="B3395" t="s">
        <v>1975</v>
      </c>
      <c r="C3395">
        <v>2.125</v>
      </c>
      <c r="I3395" s="1">
        <v>45804</v>
      </c>
      <c r="J3395" s="1" t="s">
        <v>288</v>
      </c>
      <c r="K3395" s="3">
        <v>-18236.8</v>
      </c>
    </row>
    <row r="3396" spans="1:11">
      <c r="A3396" s="1">
        <v>45797</v>
      </c>
      <c r="B3396" t="s">
        <v>1976</v>
      </c>
      <c r="C3396">
        <v>2.1880000000000002</v>
      </c>
      <c r="I3396" s="1">
        <v>45804</v>
      </c>
      <c r="J3396" s="1" t="s">
        <v>289</v>
      </c>
      <c r="K3396" s="3">
        <v>6</v>
      </c>
    </row>
    <row r="3397" spans="1:11">
      <c r="A3397" s="1">
        <v>45797</v>
      </c>
      <c r="B3397" t="s">
        <v>1977</v>
      </c>
      <c r="C3397">
        <v>2.3210000000000002</v>
      </c>
      <c r="I3397" s="1">
        <v>45804</v>
      </c>
      <c r="J3397" s="1" t="s">
        <v>290</v>
      </c>
      <c r="K3397" s="3">
        <v>6</v>
      </c>
    </row>
    <row r="3398" spans="1:11">
      <c r="A3398" s="1">
        <v>45797</v>
      </c>
      <c r="B3398" t="s">
        <v>1978</v>
      </c>
      <c r="C3398">
        <v>2.4550000000000001</v>
      </c>
      <c r="I3398" s="1">
        <v>45803</v>
      </c>
      <c r="J3398" s="1" t="s">
        <v>107</v>
      </c>
      <c r="K3398" s="3">
        <v>5223840125389</v>
      </c>
    </row>
    <row r="3399" spans="1:11">
      <c r="A3399" s="1">
        <v>45797</v>
      </c>
      <c r="B3399" t="s">
        <v>1979</v>
      </c>
      <c r="C3399">
        <v>2.774</v>
      </c>
      <c r="I3399" s="1">
        <v>45803</v>
      </c>
      <c r="J3399" s="1" t="s">
        <v>282</v>
      </c>
      <c r="K3399" s="3">
        <v>10000</v>
      </c>
    </row>
    <row r="3400" spans="1:11">
      <c r="A3400" s="1">
        <v>45797</v>
      </c>
      <c r="B3400" t="s">
        <v>1980</v>
      </c>
      <c r="C3400">
        <v>3.0750000000000002</v>
      </c>
      <c r="I3400" s="1">
        <v>45803</v>
      </c>
      <c r="J3400" s="1" t="s">
        <v>283</v>
      </c>
      <c r="K3400" s="3">
        <v>7</v>
      </c>
    </row>
    <row r="3401" spans="1:11">
      <c r="A3401" s="1">
        <v>45797</v>
      </c>
      <c r="B3401" t="s">
        <v>1981</v>
      </c>
      <c r="C3401">
        <v>3.2210000000000001</v>
      </c>
      <c r="I3401" s="1">
        <v>45803</v>
      </c>
      <c r="J3401" s="1" t="s">
        <v>284</v>
      </c>
      <c r="K3401" s="3">
        <v>7730.86</v>
      </c>
    </row>
    <row r="3402" spans="1:11">
      <c r="A3402" s="1">
        <v>45797</v>
      </c>
      <c r="B3402" t="s">
        <v>1982</v>
      </c>
      <c r="C3402">
        <v>3.3250000000000002</v>
      </c>
      <c r="I3402" s="1">
        <v>45803</v>
      </c>
      <c r="J3402" s="1" t="s">
        <v>285</v>
      </c>
      <c r="K3402" s="3">
        <v>4</v>
      </c>
    </row>
    <row r="3403" spans="1:11">
      <c r="A3403" s="1">
        <v>45797</v>
      </c>
      <c r="B3403" t="s">
        <v>1983</v>
      </c>
      <c r="C3403">
        <v>3.4129999999999998</v>
      </c>
      <c r="I3403" s="1">
        <v>45803</v>
      </c>
      <c r="J3403" s="1" t="s">
        <v>286</v>
      </c>
      <c r="K3403" s="3">
        <v>6372.09</v>
      </c>
    </row>
    <row r="3404" spans="1:11">
      <c r="A3404" s="1">
        <v>45796</v>
      </c>
      <c r="B3404" t="s">
        <v>1974</v>
      </c>
      <c r="C3404">
        <v>2.09</v>
      </c>
      <c r="I3404" s="1">
        <v>45803</v>
      </c>
      <c r="J3404" s="1" t="s">
        <v>287</v>
      </c>
      <c r="K3404" s="3">
        <v>46260.27</v>
      </c>
    </row>
    <row r="3405" spans="1:11">
      <c r="A3405" s="1">
        <v>45796</v>
      </c>
      <c r="B3405" t="s">
        <v>1975</v>
      </c>
      <c r="C3405">
        <v>2.125</v>
      </c>
      <c r="I3405" s="1">
        <v>45803</v>
      </c>
      <c r="J3405" s="1" t="s">
        <v>288</v>
      </c>
      <c r="K3405" s="3">
        <v>-17828.38</v>
      </c>
    </row>
    <row r="3406" spans="1:11">
      <c r="A3406" s="1">
        <v>45796</v>
      </c>
      <c r="B3406" t="s">
        <v>1976</v>
      </c>
      <c r="C3406">
        <v>2.1880000000000002</v>
      </c>
      <c r="I3406" s="1">
        <v>45803</v>
      </c>
      <c r="J3406" s="1" t="s">
        <v>289</v>
      </c>
      <c r="K3406" s="3">
        <v>4</v>
      </c>
    </row>
    <row r="3407" spans="1:11">
      <c r="A3407" s="1">
        <v>45796</v>
      </c>
      <c r="B3407" t="s">
        <v>1977</v>
      </c>
      <c r="C3407">
        <v>2.3180000000000001</v>
      </c>
      <c r="I3407" s="1">
        <v>45803</v>
      </c>
      <c r="J3407" s="1" t="s">
        <v>290</v>
      </c>
      <c r="K3407" s="3">
        <v>4</v>
      </c>
    </row>
    <row r="3408" spans="1:11">
      <c r="A3408" s="1">
        <v>45796</v>
      </c>
      <c r="B3408" t="s">
        <v>1978</v>
      </c>
      <c r="C3408">
        <v>2.4489999999999998</v>
      </c>
      <c r="I3408" s="1">
        <v>45802</v>
      </c>
      <c r="J3408" s="1" t="s">
        <v>107</v>
      </c>
      <c r="K3408" s="3">
        <v>4332646695761</v>
      </c>
    </row>
    <row r="3409" spans="1:11">
      <c r="A3409" s="1">
        <v>45796</v>
      </c>
      <c r="B3409" t="s">
        <v>1979</v>
      </c>
      <c r="C3409">
        <v>2.7759999999999998</v>
      </c>
      <c r="I3409" s="1">
        <v>45800</v>
      </c>
      <c r="J3409" s="1" t="s">
        <v>282</v>
      </c>
      <c r="K3409" s="3">
        <v>10000</v>
      </c>
    </row>
    <row r="3410" spans="1:11">
      <c r="A3410" s="1">
        <v>45796</v>
      </c>
      <c r="B3410" t="s">
        <v>1980</v>
      </c>
      <c r="C3410">
        <v>3.0739999999999998</v>
      </c>
      <c r="I3410" s="1">
        <v>45800</v>
      </c>
      <c r="J3410" s="1" t="s">
        <v>283</v>
      </c>
      <c r="K3410" s="3">
        <v>7</v>
      </c>
    </row>
    <row r="3411" spans="1:11">
      <c r="A3411" s="1">
        <v>45796</v>
      </c>
      <c r="B3411" t="s">
        <v>1981</v>
      </c>
      <c r="C3411">
        <v>3.22</v>
      </c>
      <c r="I3411" s="1">
        <v>45800</v>
      </c>
      <c r="J3411" s="1" t="s">
        <v>284</v>
      </c>
      <c r="K3411" s="3">
        <v>1344.85</v>
      </c>
    </row>
    <row r="3412" spans="1:11">
      <c r="A3412" s="1">
        <v>45796</v>
      </c>
      <c r="B3412" t="s">
        <v>1982</v>
      </c>
      <c r="C3412">
        <v>3.3250000000000002</v>
      </c>
      <c r="I3412" s="1">
        <v>45800</v>
      </c>
      <c r="J3412" s="1" t="s">
        <v>285</v>
      </c>
      <c r="K3412" s="3">
        <v>4</v>
      </c>
    </row>
    <row r="3413" spans="1:11">
      <c r="A3413" s="1">
        <v>45796</v>
      </c>
      <c r="B3413" t="s">
        <v>1983</v>
      </c>
      <c r="C3413">
        <v>3.4129999999999998</v>
      </c>
      <c r="I3413" s="1">
        <v>45800</v>
      </c>
      <c r="J3413" s="1" t="s">
        <v>286</v>
      </c>
      <c r="K3413" s="3">
        <v>2400.08</v>
      </c>
    </row>
    <row r="3414" spans="1:11">
      <c r="A3414" s="1">
        <v>45793</v>
      </c>
      <c r="B3414" t="s">
        <v>1974</v>
      </c>
      <c r="C3414">
        <v>2.09</v>
      </c>
      <c r="I3414" s="1">
        <v>45800</v>
      </c>
      <c r="J3414" s="1" t="s">
        <v>287</v>
      </c>
      <c r="K3414" s="3">
        <v>44901.5</v>
      </c>
    </row>
    <row r="3415" spans="1:11">
      <c r="A3415" s="1">
        <v>45793</v>
      </c>
      <c r="B3415" t="s">
        <v>1975</v>
      </c>
      <c r="C3415">
        <v>2.125</v>
      </c>
      <c r="I3415" s="1">
        <v>45800</v>
      </c>
      <c r="J3415" s="1" t="s">
        <v>288</v>
      </c>
      <c r="K3415" s="3">
        <v>-14458.13</v>
      </c>
    </row>
    <row r="3416" spans="1:11">
      <c r="A3416" s="1">
        <v>45793</v>
      </c>
      <c r="B3416" t="s">
        <v>1976</v>
      </c>
      <c r="C3416">
        <v>2.1880000000000002</v>
      </c>
      <c r="I3416" s="1">
        <v>45800</v>
      </c>
      <c r="J3416" s="1" t="s">
        <v>289</v>
      </c>
      <c r="K3416" s="3">
        <v>1</v>
      </c>
    </row>
    <row r="3417" spans="1:11">
      <c r="A3417" s="1">
        <v>45793</v>
      </c>
      <c r="B3417" t="s">
        <v>1977</v>
      </c>
      <c r="C3417">
        <v>2.3170000000000002</v>
      </c>
      <c r="I3417" s="1">
        <v>45800</v>
      </c>
      <c r="J3417" s="1" t="s">
        <v>290</v>
      </c>
      <c r="K3417" s="3">
        <v>1</v>
      </c>
    </row>
    <row r="3418" spans="1:11">
      <c r="A3418" s="1">
        <v>45793</v>
      </c>
      <c r="B3418" t="s">
        <v>1978</v>
      </c>
      <c r="C3418">
        <v>2.4460000000000002</v>
      </c>
      <c r="I3418" s="1">
        <v>45799</v>
      </c>
      <c r="J3418" s="1" t="s">
        <v>107</v>
      </c>
      <c r="K3418" s="3">
        <v>4395113670699</v>
      </c>
    </row>
    <row r="3419" spans="1:11">
      <c r="A3419" s="1">
        <v>45793</v>
      </c>
      <c r="B3419" t="s">
        <v>1979</v>
      </c>
      <c r="C3419">
        <v>2.774</v>
      </c>
      <c r="I3419" s="1">
        <v>45799</v>
      </c>
      <c r="J3419" s="1" t="s">
        <v>282</v>
      </c>
      <c r="K3419" s="3">
        <v>10000</v>
      </c>
    </row>
    <row r="3420" spans="1:11">
      <c r="A3420" s="1">
        <v>45793</v>
      </c>
      <c r="B3420" t="s">
        <v>1980</v>
      </c>
      <c r="C3420">
        <v>3.0739999999999998</v>
      </c>
      <c r="I3420" s="1">
        <v>45799</v>
      </c>
      <c r="J3420" s="1" t="s">
        <v>283</v>
      </c>
      <c r="K3420" s="3">
        <v>7</v>
      </c>
    </row>
    <row r="3421" spans="1:11">
      <c r="A3421" s="1">
        <v>45793</v>
      </c>
      <c r="B3421" t="s">
        <v>1981</v>
      </c>
      <c r="C3421">
        <v>3.22</v>
      </c>
      <c r="I3421" s="1">
        <v>45799</v>
      </c>
      <c r="J3421" s="1" t="s">
        <v>284</v>
      </c>
      <c r="K3421" s="3">
        <v>6901.39</v>
      </c>
    </row>
    <row r="3422" spans="1:11">
      <c r="A3422" s="1">
        <v>45793</v>
      </c>
      <c r="B3422" t="s">
        <v>1982</v>
      </c>
      <c r="C3422">
        <v>3.3250000000000002</v>
      </c>
      <c r="I3422" s="1">
        <v>45799</v>
      </c>
      <c r="J3422" s="1" t="s">
        <v>285</v>
      </c>
      <c r="K3422" s="3">
        <v>4</v>
      </c>
    </row>
    <row r="3423" spans="1:11">
      <c r="A3423" s="1">
        <v>45793</v>
      </c>
      <c r="B3423" t="s">
        <v>1983</v>
      </c>
      <c r="C3423">
        <v>3.4129999999999998</v>
      </c>
      <c r="I3423" s="1">
        <v>45799</v>
      </c>
      <c r="J3423" s="1" t="s">
        <v>286</v>
      </c>
      <c r="K3423" s="3">
        <v>2816.27</v>
      </c>
    </row>
    <row r="3424" spans="1:11">
      <c r="A3424" s="1">
        <v>45792</v>
      </c>
      <c r="B3424" t="s">
        <v>1974</v>
      </c>
      <c r="C3424">
        <v>2.09</v>
      </c>
      <c r="I3424" s="1">
        <v>45799</v>
      </c>
      <c r="J3424" s="1" t="s">
        <v>287</v>
      </c>
      <c r="K3424" s="3">
        <v>45957.17</v>
      </c>
    </row>
    <row r="3425" spans="1:11">
      <c r="A3425" s="1">
        <v>45792</v>
      </c>
      <c r="B3425" t="s">
        <v>1975</v>
      </c>
      <c r="C3425">
        <v>2.1230000000000002</v>
      </c>
      <c r="I3425" s="1">
        <v>45799</v>
      </c>
      <c r="J3425" s="1" t="s">
        <v>288</v>
      </c>
      <c r="K3425" s="3">
        <v>-16858.21</v>
      </c>
    </row>
    <row r="3426" spans="1:11">
      <c r="A3426" s="1">
        <v>45792</v>
      </c>
      <c r="B3426" t="s">
        <v>1976</v>
      </c>
      <c r="C3426">
        <v>2.1850000000000001</v>
      </c>
      <c r="I3426" s="1">
        <v>45799</v>
      </c>
      <c r="J3426" s="1" t="s">
        <v>289</v>
      </c>
      <c r="K3426" s="3">
        <v>5</v>
      </c>
    </row>
    <row r="3427" spans="1:11">
      <c r="A3427" s="1">
        <v>45792</v>
      </c>
      <c r="B3427" t="s">
        <v>1977</v>
      </c>
      <c r="C3427">
        <v>2.3140000000000001</v>
      </c>
      <c r="I3427" s="1">
        <v>45799</v>
      </c>
      <c r="J3427" s="1" t="s">
        <v>290</v>
      </c>
      <c r="K3427" s="3">
        <v>5</v>
      </c>
    </row>
    <row r="3428" spans="1:11">
      <c r="A3428" s="1">
        <v>45792</v>
      </c>
      <c r="B3428" t="s">
        <v>1978</v>
      </c>
      <c r="C3428">
        <v>2.444</v>
      </c>
      <c r="I3428" s="1">
        <v>45798</v>
      </c>
      <c r="J3428" s="1" t="s">
        <v>107</v>
      </c>
      <c r="K3428" s="3">
        <v>4007720083465</v>
      </c>
    </row>
    <row r="3429" spans="1:11">
      <c r="A3429" s="1">
        <v>45792</v>
      </c>
      <c r="B3429" t="s">
        <v>1979</v>
      </c>
      <c r="C3429">
        <v>2.7709999999999999</v>
      </c>
      <c r="I3429" s="1">
        <v>45798</v>
      </c>
      <c r="J3429" s="1" t="s">
        <v>282</v>
      </c>
      <c r="K3429" s="3">
        <v>10000</v>
      </c>
    </row>
    <row r="3430" spans="1:11">
      <c r="A3430" s="1">
        <v>45792</v>
      </c>
      <c r="B3430" t="s">
        <v>1980</v>
      </c>
      <c r="C3430">
        <v>3.069</v>
      </c>
      <c r="I3430" s="1">
        <v>45798</v>
      </c>
      <c r="J3430" s="1" t="s">
        <v>283</v>
      </c>
      <c r="K3430" s="3">
        <v>7</v>
      </c>
    </row>
    <row r="3431" spans="1:11">
      <c r="A3431" s="1">
        <v>45792</v>
      </c>
      <c r="B3431" t="s">
        <v>1981</v>
      </c>
      <c r="C3431">
        <v>3.2189999999999999</v>
      </c>
      <c r="I3431" s="1">
        <v>45798</v>
      </c>
      <c r="J3431" s="1" t="s">
        <v>284</v>
      </c>
      <c r="K3431" s="3">
        <v>3761.86</v>
      </c>
    </row>
    <row r="3432" spans="1:11">
      <c r="A3432" s="1">
        <v>45792</v>
      </c>
      <c r="B3432" t="s">
        <v>1982</v>
      </c>
      <c r="C3432">
        <v>3.3250000000000002</v>
      </c>
      <c r="I3432" s="1">
        <v>45798</v>
      </c>
      <c r="J3432" s="1" t="s">
        <v>285</v>
      </c>
      <c r="K3432" s="3">
        <v>4</v>
      </c>
    </row>
    <row r="3433" spans="1:11">
      <c r="A3433" s="1">
        <v>45792</v>
      </c>
      <c r="B3433" t="s">
        <v>1983</v>
      </c>
      <c r="C3433">
        <v>3.4129999999999998</v>
      </c>
      <c r="I3433" s="1">
        <v>45798</v>
      </c>
      <c r="J3433" s="1" t="s">
        <v>286</v>
      </c>
      <c r="K3433" s="3">
        <v>4116.05</v>
      </c>
    </row>
    <row r="3434" spans="1:11">
      <c r="A3434" s="1">
        <v>45791</v>
      </c>
      <c r="B3434" t="s">
        <v>1974</v>
      </c>
      <c r="C3434">
        <v>2.09</v>
      </c>
      <c r="I3434" s="1">
        <v>45798</v>
      </c>
      <c r="J3434" s="1" t="s">
        <v>287</v>
      </c>
      <c r="K3434" s="3">
        <v>41872.050000000003</v>
      </c>
    </row>
    <row r="3435" spans="1:11">
      <c r="A3435" s="1">
        <v>45791</v>
      </c>
      <c r="B3435" t="s">
        <v>1975</v>
      </c>
      <c r="C3435">
        <v>2.1230000000000002</v>
      </c>
      <c r="I3435" s="1">
        <v>45798</v>
      </c>
      <c r="J3435" s="1" t="s">
        <v>288</v>
      </c>
      <c r="K3435" s="3">
        <v>-15361.97</v>
      </c>
    </row>
    <row r="3436" spans="1:11">
      <c r="A3436" s="1">
        <v>45791</v>
      </c>
      <c r="B3436" t="s">
        <v>1976</v>
      </c>
      <c r="C3436">
        <v>2.1850000000000001</v>
      </c>
      <c r="I3436" s="1">
        <v>45798</v>
      </c>
      <c r="J3436" s="1" t="s">
        <v>289</v>
      </c>
      <c r="K3436" s="3">
        <v>7</v>
      </c>
    </row>
    <row r="3437" spans="1:11">
      <c r="A3437" s="1">
        <v>45791</v>
      </c>
      <c r="B3437" t="s">
        <v>1977</v>
      </c>
      <c r="C3437">
        <v>2.3140000000000001</v>
      </c>
      <c r="I3437" s="1">
        <v>45798</v>
      </c>
      <c r="J3437" s="1" t="s">
        <v>290</v>
      </c>
      <c r="K3437" s="3">
        <v>7</v>
      </c>
    </row>
    <row r="3438" spans="1:11">
      <c r="A3438" s="1">
        <v>45791</v>
      </c>
      <c r="B3438" t="s">
        <v>1978</v>
      </c>
      <c r="C3438">
        <v>2.444</v>
      </c>
      <c r="I3438" s="1">
        <v>45797</v>
      </c>
      <c r="J3438" s="1" t="s">
        <v>282</v>
      </c>
      <c r="K3438" s="3">
        <v>10000</v>
      </c>
    </row>
    <row r="3439" spans="1:11">
      <c r="A3439" s="1">
        <v>45791</v>
      </c>
      <c r="B3439" t="s">
        <v>1979</v>
      </c>
      <c r="C3439">
        <v>2.7709999999999999</v>
      </c>
      <c r="I3439" s="1">
        <v>45797</v>
      </c>
      <c r="J3439" s="1" t="s">
        <v>283</v>
      </c>
      <c r="K3439" s="3">
        <v>7</v>
      </c>
    </row>
    <row r="3440" spans="1:11">
      <c r="A3440" s="1">
        <v>45791</v>
      </c>
      <c r="B3440" t="s">
        <v>1980</v>
      </c>
      <c r="C3440">
        <v>3.073</v>
      </c>
      <c r="I3440" s="1">
        <v>45797</v>
      </c>
      <c r="J3440" s="1" t="s">
        <v>284</v>
      </c>
      <c r="K3440" s="3">
        <v>4298.8100000000004</v>
      </c>
    </row>
    <row r="3441" spans="1:11">
      <c r="A3441" s="1">
        <v>45791</v>
      </c>
      <c r="B3441" t="s">
        <v>1981</v>
      </c>
      <c r="C3441">
        <v>3.218</v>
      </c>
      <c r="I3441" s="1">
        <v>45797</v>
      </c>
      <c r="J3441" s="1" t="s">
        <v>285</v>
      </c>
      <c r="K3441" s="3">
        <v>4</v>
      </c>
    </row>
    <row r="3442" spans="1:11">
      <c r="A3442" s="1">
        <v>45791</v>
      </c>
      <c r="B3442" t="s">
        <v>1982</v>
      </c>
      <c r="C3442">
        <v>3.3250000000000002</v>
      </c>
      <c r="I3442" s="1">
        <v>45797</v>
      </c>
      <c r="J3442" s="1" t="s">
        <v>286</v>
      </c>
      <c r="K3442" s="3">
        <v>6477.66</v>
      </c>
    </row>
    <row r="3443" spans="1:11">
      <c r="A3443" s="1">
        <v>45791</v>
      </c>
      <c r="B3443" t="s">
        <v>1983</v>
      </c>
      <c r="C3443">
        <v>3.4129999999999998</v>
      </c>
      <c r="I3443" s="1">
        <v>45797</v>
      </c>
      <c r="J3443" s="1" t="s">
        <v>287</v>
      </c>
      <c r="K3443" s="3">
        <v>42226.239999999998</v>
      </c>
    </row>
    <row r="3444" spans="1:11">
      <c r="A3444" s="1">
        <v>45790</v>
      </c>
      <c r="B3444" t="s">
        <v>1974</v>
      </c>
      <c r="C3444">
        <v>2.09</v>
      </c>
      <c r="I3444" s="1">
        <v>45797</v>
      </c>
      <c r="J3444" s="1" t="s">
        <v>288</v>
      </c>
      <c r="K3444" s="3">
        <v>-18163.919999999998</v>
      </c>
    </row>
    <row r="3445" spans="1:11">
      <c r="A3445" s="1">
        <v>45790</v>
      </c>
      <c r="B3445" t="s">
        <v>1975</v>
      </c>
      <c r="C3445">
        <v>2.1230000000000002</v>
      </c>
      <c r="I3445" s="1">
        <v>45797</v>
      </c>
      <c r="J3445" s="1" t="s">
        <v>289</v>
      </c>
      <c r="K3445" s="3">
        <v>3</v>
      </c>
    </row>
    <row r="3446" spans="1:11">
      <c r="A3446" s="1">
        <v>45790</v>
      </c>
      <c r="B3446" t="s">
        <v>1976</v>
      </c>
      <c r="C3446">
        <v>2.1850000000000001</v>
      </c>
      <c r="I3446" s="1">
        <v>45797</v>
      </c>
      <c r="J3446" s="1" t="s">
        <v>290</v>
      </c>
      <c r="K3446" s="3">
        <v>3</v>
      </c>
    </row>
    <row r="3447" spans="1:11">
      <c r="A3447" s="1">
        <v>45790</v>
      </c>
      <c r="B3447" t="s">
        <v>1977</v>
      </c>
      <c r="C3447">
        <v>2.3140000000000001</v>
      </c>
      <c r="I3447" s="1">
        <v>45797</v>
      </c>
      <c r="J3447" s="1" t="s">
        <v>107</v>
      </c>
      <c r="K3447" s="3">
        <v>6904715264941</v>
      </c>
    </row>
    <row r="3448" spans="1:11">
      <c r="A3448" s="1">
        <v>45790</v>
      </c>
      <c r="B3448" t="s">
        <v>1978</v>
      </c>
      <c r="C3448">
        <v>2.444</v>
      </c>
      <c r="I3448" s="1">
        <v>45796</v>
      </c>
      <c r="J3448" s="1" t="s">
        <v>107</v>
      </c>
      <c r="K3448" s="3">
        <v>10118884048995</v>
      </c>
    </row>
    <row r="3449" spans="1:11">
      <c r="A3449" s="1">
        <v>45790</v>
      </c>
      <c r="B3449" t="s">
        <v>1979</v>
      </c>
      <c r="C3449">
        <v>2.7709999999999999</v>
      </c>
      <c r="I3449" s="1">
        <v>45796</v>
      </c>
      <c r="J3449" s="1" t="s">
        <v>282</v>
      </c>
      <c r="K3449" s="3">
        <v>10000</v>
      </c>
    </row>
    <row r="3450" spans="1:11">
      <c r="A3450" s="1">
        <v>45790</v>
      </c>
      <c r="B3450" t="s">
        <v>1980</v>
      </c>
      <c r="C3450">
        <v>3.077</v>
      </c>
      <c r="I3450" s="1">
        <v>45796</v>
      </c>
      <c r="J3450" s="1" t="s">
        <v>283</v>
      </c>
      <c r="K3450" s="3">
        <v>7</v>
      </c>
    </row>
    <row r="3451" spans="1:11">
      <c r="A3451" s="1">
        <v>45790</v>
      </c>
      <c r="B3451" t="s">
        <v>1981</v>
      </c>
      <c r="C3451">
        <v>3.218</v>
      </c>
      <c r="I3451" s="1">
        <v>45796</v>
      </c>
      <c r="J3451" s="1" t="s">
        <v>284</v>
      </c>
      <c r="K3451" s="3">
        <v>8647.35</v>
      </c>
    </row>
    <row r="3452" spans="1:11">
      <c r="A3452" s="1">
        <v>45790</v>
      </c>
      <c r="B3452" t="s">
        <v>1982</v>
      </c>
      <c r="C3452">
        <v>3.3250000000000002</v>
      </c>
      <c r="I3452" s="1">
        <v>45796</v>
      </c>
      <c r="J3452" s="1" t="s">
        <v>285</v>
      </c>
      <c r="K3452" s="3">
        <v>4</v>
      </c>
    </row>
    <row r="3453" spans="1:11">
      <c r="A3453" s="1">
        <v>45790</v>
      </c>
      <c r="B3453" t="s">
        <v>1983</v>
      </c>
      <c r="C3453">
        <v>3.4129999999999998</v>
      </c>
      <c r="I3453" s="1">
        <v>45796</v>
      </c>
      <c r="J3453" s="1" t="s">
        <v>286</v>
      </c>
      <c r="K3453" s="3">
        <v>10468.91</v>
      </c>
    </row>
    <row r="3454" spans="1:11">
      <c r="A3454" s="1">
        <v>45789</v>
      </c>
      <c r="B3454" t="s">
        <v>1974</v>
      </c>
      <c r="C3454">
        <v>2.09</v>
      </c>
      <c r="I3454" s="1">
        <v>45796</v>
      </c>
      <c r="J3454" s="1" t="s">
        <v>287</v>
      </c>
      <c r="K3454" s="3">
        <v>44405.09</v>
      </c>
    </row>
    <row r="3455" spans="1:11">
      <c r="A3455" s="1">
        <v>45789</v>
      </c>
      <c r="B3455" t="s">
        <v>1975</v>
      </c>
      <c r="C3455">
        <v>2.1230000000000002</v>
      </c>
      <c r="I3455" s="1">
        <v>45796</v>
      </c>
      <c r="J3455" s="1" t="s">
        <v>288</v>
      </c>
      <c r="K3455" s="3">
        <v>-22182.15</v>
      </c>
    </row>
    <row r="3456" spans="1:11">
      <c r="A3456" s="1">
        <v>45789</v>
      </c>
      <c r="B3456" t="s">
        <v>1976</v>
      </c>
      <c r="C3456">
        <v>2.1850000000000001</v>
      </c>
      <c r="I3456" s="1">
        <v>45796</v>
      </c>
      <c r="J3456" s="1" t="s">
        <v>289</v>
      </c>
      <c r="K3456" s="3">
        <v>6</v>
      </c>
    </row>
    <row r="3457" spans="1:11">
      <c r="A3457" s="1">
        <v>45789</v>
      </c>
      <c r="B3457" t="s">
        <v>1977</v>
      </c>
      <c r="C3457">
        <v>2.3140000000000001</v>
      </c>
      <c r="I3457" s="1">
        <v>45796</v>
      </c>
      <c r="J3457" s="1" t="s">
        <v>290</v>
      </c>
      <c r="K3457" s="3">
        <v>6</v>
      </c>
    </row>
    <row r="3458" spans="1:11">
      <c r="A3458" s="1">
        <v>45789</v>
      </c>
      <c r="B3458" t="s">
        <v>1978</v>
      </c>
      <c r="C3458">
        <v>2.444</v>
      </c>
      <c r="I3458" s="1">
        <v>45795</v>
      </c>
      <c r="J3458" s="1" t="s">
        <v>107</v>
      </c>
      <c r="K3458" s="3">
        <v>13575601685361</v>
      </c>
    </row>
    <row r="3459" spans="1:11">
      <c r="A3459" s="1">
        <v>45789</v>
      </c>
      <c r="B3459" t="s">
        <v>1979</v>
      </c>
      <c r="C3459">
        <v>2.7730000000000001</v>
      </c>
      <c r="I3459" s="1">
        <v>45793</v>
      </c>
      <c r="J3459" s="1" t="s">
        <v>282</v>
      </c>
      <c r="K3459" s="3">
        <v>10000</v>
      </c>
    </row>
    <row r="3460" spans="1:11">
      <c r="A3460" s="1">
        <v>45789</v>
      </c>
      <c r="B3460" t="s">
        <v>1980</v>
      </c>
      <c r="C3460">
        <v>3.0739999999999998</v>
      </c>
      <c r="I3460" s="1">
        <v>45793</v>
      </c>
      <c r="J3460" s="1" t="s">
        <v>283</v>
      </c>
      <c r="K3460" s="3">
        <v>7</v>
      </c>
    </row>
    <row r="3461" spans="1:11">
      <c r="A3461" s="1">
        <v>45789</v>
      </c>
      <c r="B3461" t="s">
        <v>1981</v>
      </c>
      <c r="C3461">
        <v>3.2210000000000001</v>
      </c>
      <c r="I3461" s="1">
        <v>45793</v>
      </c>
      <c r="J3461" s="1" t="s">
        <v>284</v>
      </c>
      <c r="K3461" s="3">
        <v>363.48</v>
      </c>
    </row>
    <row r="3462" spans="1:11">
      <c r="A3462" s="1">
        <v>45789</v>
      </c>
      <c r="B3462" t="s">
        <v>1982</v>
      </c>
      <c r="C3462">
        <v>3.3250000000000002</v>
      </c>
      <c r="I3462" s="1">
        <v>45793</v>
      </c>
      <c r="J3462" s="1" t="s">
        <v>285</v>
      </c>
      <c r="K3462" s="3">
        <v>4</v>
      </c>
    </row>
    <row r="3463" spans="1:11">
      <c r="A3463" s="1">
        <v>45789</v>
      </c>
      <c r="B3463" t="s">
        <v>1983</v>
      </c>
      <c r="C3463">
        <v>3.4129999999999998</v>
      </c>
      <c r="I3463" s="1">
        <v>45793</v>
      </c>
      <c r="J3463" s="1" t="s">
        <v>286</v>
      </c>
      <c r="K3463" s="3">
        <v>7139.99</v>
      </c>
    </row>
    <row r="3464" spans="1:11">
      <c r="A3464" s="1">
        <v>45786</v>
      </c>
      <c r="B3464" t="s">
        <v>1974</v>
      </c>
      <c r="C3464">
        <v>2.09</v>
      </c>
      <c r="I3464" s="1">
        <v>45793</v>
      </c>
      <c r="J3464" s="1" t="s">
        <v>287</v>
      </c>
      <c r="K3464" s="3">
        <v>46226.65</v>
      </c>
    </row>
    <row r="3465" spans="1:11">
      <c r="A3465" s="1">
        <v>45786</v>
      </c>
      <c r="B3465" t="s">
        <v>1975</v>
      </c>
      <c r="C3465">
        <v>2.1230000000000002</v>
      </c>
      <c r="I3465" s="1">
        <v>45793</v>
      </c>
      <c r="J3465" s="1" t="s">
        <v>288</v>
      </c>
      <c r="K3465" s="3">
        <v>-26278.97</v>
      </c>
    </row>
    <row r="3466" spans="1:11">
      <c r="A3466" s="1">
        <v>45786</v>
      </c>
      <c r="B3466" t="s">
        <v>1976</v>
      </c>
      <c r="C3466">
        <v>2.1850000000000001</v>
      </c>
      <c r="I3466" s="1">
        <v>45793</v>
      </c>
      <c r="J3466" s="1" t="s">
        <v>289</v>
      </c>
      <c r="K3466" s="3">
        <v>1</v>
      </c>
    </row>
    <row r="3467" spans="1:11">
      <c r="A3467" s="1">
        <v>45786</v>
      </c>
      <c r="B3467" t="s">
        <v>1977</v>
      </c>
      <c r="C3467">
        <v>2.3140000000000001</v>
      </c>
      <c r="I3467" s="1">
        <v>45793</v>
      </c>
      <c r="J3467" s="1" t="s">
        <v>290</v>
      </c>
      <c r="K3467" s="3">
        <v>1</v>
      </c>
    </row>
    <row r="3468" spans="1:11">
      <c r="A3468" s="1">
        <v>45786</v>
      </c>
      <c r="B3468" t="s">
        <v>1978</v>
      </c>
      <c r="C3468">
        <v>2.444</v>
      </c>
      <c r="I3468" s="1">
        <v>45792</v>
      </c>
      <c r="J3468" s="1" t="s">
        <v>107</v>
      </c>
      <c r="K3468" s="3">
        <v>14918868378174</v>
      </c>
    </row>
    <row r="3469" spans="1:11">
      <c r="A3469" s="1">
        <v>45786</v>
      </c>
      <c r="B3469" t="s">
        <v>1979</v>
      </c>
      <c r="C3469">
        <v>2.7730000000000001</v>
      </c>
      <c r="I3469" s="1">
        <v>45792</v>
      </c>
      <c r="J3469" s="1" t="s">
        <v>282</v>
      </c>
      <c r="K3469" s="3">
        <v>10000</v>
      </c>
    </row>
    <row r="3470" spans="1:11">
      <c r="A3470" s="1">
        <v>45786</v>
      </c>
      <c r="B3470" t="s">
        <v>1980</v>
      </c>
      <c r="C3470">
        <v>3.0790000000000002</v>
      </c>
      <c r="I3470" s="1">
        <v>45792</v>
      </c>
      <c r="J3470" s="1" t="s">
        <v>283</v>
      </c>
      <c r="K3470" s="3">
        <v>7</v>
      </c>
    </row>
    <row r="3471" spans="1:11">
      <c r="A3471" s="1">
        <v>45786</v>
      </c>
      <c r="B3471" t="s">
        <v>1981</v>
      </c>
      <c r="C3471">
        <v>3.2210000000000001</v>
      </c>
      <c r="I3471" s="1">
        <v>45792</v>
      </c>
      <c r="J3471" s="1" t="s">
        <v>284</v>
      </c>
      <c r="K3471" s="3">
        <v>3038.01</v>
      </c>
    </row>
    <row r="3472" spans="1:11">
      <c r="A3472" s="1">
        <v>45786</v>
      </c>
      <c r="B3472" t="s">
        <v>1982</v>
      </c>
      <c r="C3472">
        <v>3.3250000000000002</v>
      </c>
      <c r="I3472" s="1">
        <v>45792</v>
      </c>
      <c r="J3472" s="1" t="s">
        <v>285</v>
      </c>
      <c r="K3472" s="3">
        <v>4</v>
      </c>
    </row>
    <row r="3473" spans="1:11">
      <c r="A3473" s="1">
        <v>45786</v>
      </c>
      <c r="B3473" t="s">
        <v>1983</v>
      </c>
      <c r="C3473">
        <v>3.4129999999999998</v>
      </c>
      <c r="I3473" s="1">
        <v>45792</v>
      </c>
      <c r="J3473" s="1" t="s">
        <v>286</v>
      </c>
      <c r="K3473" s="3">
        <v>4830.79</v>
      </c>
    </row>
    <row r="3474" spans="1:11">
      <c r="A3474" s="1">
        <v>45785</v>
      </c>
      <c r="B3474" t="s">
        <v>1974</v>
      </c>
      <c r="C3474">
        <v>2.09</v>
      </c>
      <c r="I3474" s="1">
        <v>45792</v>
      </c>
      <c r="J3474" s="1" t="s">
        <v>287</v>
      </c>
      <c r="K3474" s="3">
        <v>53003.16</v>
      </c>
    </row>
    <row r="3475" spans="1:11">
      <c r="A3475" s="1">
        <v>45785</v>
      </c>
      <c r="B3475" t="s">
        <v>1975</v>
      </c>
      <c r="C3475">
        <v>2.1230000000000002</v>
      </c>
      <c r="I3475" s="1">
        <v>45792</v>
      </c>
      <c r="J3475" s="1" t="s">
        <v>288</v>
      </c>
      <c r="K3475" s="3">
        <v>-31018.880000000001</v>
      </c>
    </row>
    <row r="3476" spans="1:11">
      <c r="A3476" s="1">
        <v>45785</v>
      </c>
      <c r="B3476" t="s">
        <v>1976</v>
      </c>
      <c r="C3476">
        <v>2.1850000000000001</v>
      </c>
      <c r="I3476" s="1">
        <v>45792</v>
      </c>
      <c r="J3476" s="1" t="s">
        <v>289</v>
      </c>
      <c r="K3476" s="3">
        <v>3</v>
      </c>
    </row>
    <row r="3477" spans="1:11">
      <c r="A3477" s="1">
        <v>45785</v>
      </c>
      <c r="B3477" t="s">
        <v>1977</v>
      </c>
      <c r="C3477">
        <v>2.3140000000000001</v>
      </c>
      <c r="I3477" s="1">
        <v>45792</v>
      </c>
      <c r="J3477" s="1" t="s">
        <v>290</v>
      </c>
      <c r="K3477" s="3">
        <v>3</v>
      </c>
    </row>
    <row r="3478" spans="1:11">
      <c r="A3478" s="1">
        <v>45785</v>
      </c>
      <c r="B3478" t="s">
        <v>1978</v>
      </c>
      <c r="C3478">
        <v>2.444</v>
      </c>
      <c r="I3478" s="1">
        <v>45791</v>
      </c>
      <c r="J3478" s="1" t="s">
        <v>282</v>
      </c>
      <c r="K3478" s="3">
        <v>10000</v>
      </c>
    </row>
    <row r="3479" spans="1:11">
      <c r="A3479" s="1">
        <v>45785</v>
      </c>
      <c r="B3479" t="s">
        <v>1979</v>
      </c>
      <c r="C3479">
        <v>2.7730000000000001</v>
      </c>
      <c r="I3479" s="1">
        <v>45791</v>
      </c>
      <c r="J3479" s="1" t="s">
        <v>283</v>
      </c>
      <c r="K3479" s="3">
        <v>7</v>
      </c>
    </row>
    <row r="3480" spans="1:11">
      <c r="A3480" s="1">
        <v>45785</v>
      </c>
      <c r="B3480" t="s">
        <v>1980</v>
      </c>
      <c r="C3480">
        <v>3.0790000000000002</v>
      </c>
      <c r="I3480" s="1">
        <v>45791</v>
      </c>
      <c r="J3480" s="1" t="s">
        <v>284</v>
      </c>
      <c r="K3480" s="3">
        <v>2387.62</v>
      </c>
    </row>
    <row r="3481" spans="1:11">
      <c r="A3481" s="1">
        <v>45785</v>
      </c>
      <c r="B3481" t="s">
        <v>1981</v>
      </c>
      <c r="C3481">
        <v>3.2210000000000001</v>
      </c>
      <c r="I3481" s="1">
        <v>45791</v>
      </c>
      <c r="J3481" s="1" t="s">
        <v>285</v>
      </c>
      <c r="K3481" s="3">
        <v>4</v>
      </c>
    </row>
    <row r="3482" spans="1:11">
      <c r="A3482" s="1">
        <v>45785</v>
      </c>
      <c r="B3482" t="s">
        <v>1982</v>
      </c>
      <c r="C3482">
        <v>3.3250000000000002</v>
      </c>
      <c r="I3482" s="1">
        <v>45791</v>
      </c>
      <c r="J3482" s="1" t="s">
        <v>286</v>
      </c>
      <c r="K3482" s="3">
        <v>3456.75</v>
      </c>
    </row>
    <row r="3483" spans="1:11">
      <c r="A3483" s="1">
        <v>45785</v>
      </c>
      <c r="B3483" t="s">
        <v>1983</v>
      </c>
      <c r="C3483">
        <v>3.4129999999999998</v>
      </c>
      <c r="I3483" s="1">
        <v>45791</v>
      </c>
      <c r="J3483" s="1" t="s">
        <v>287</v>
      </c>
      <c r="K3483" s="3">
        <v>54795.94</v>
      </c>
    </row>
    <row r="3484" spans="1:11">
      <c r="A3484" s="1">
        <v>45784</v>
      </c>
      <c r="B3484" t="s">
        <v>1974</v>
      </c>
      <c r="C3484">
        <v>2.09</v>
      </c>
      <c r="I3484" s="1">
        <v>45791</v>
      </c>
      <c r="J3484" s="1" t="s">
        <v>288</v>
      </c>
      <c r="K3484" s="3">
        <v>-33033.4</v>
      </c>
    </row>
    <row r="3485" spans="1:11">
      <c r="A3485" s="1">
        <v>45784</v>
      </c>
      <c r="B3485" t="s">
        <v>1975</v>
      </c>
      <c r="C3485">
        <v>2.1230000000000002</v>
      </c>
      <c r="I3485" s="1">
        <v>45791</v>
      </c>
      <c r="J3485" s="1" t="s">
        <v>289</v>
      </c>
      <c r="K3485" s="3">
        <v>3</v>
      </c>
    </row>
    <row r="3486" spans="1:11">
      <c r="A3486" s="1">
        <v>45784</v>
      </c>
      <c r="B3486" t="s">
        <v>1976</v>
      </c>
      <c r="C3486">
        <v>2.1850000000000001</v>
      </c>
      <c r="I3486" s="1">
        <v>45791</v>
      </c>
      <c r="J3486" s="1" t="s">
        <v>290</v>
      </c>
      <c r="K3486" s="3">
        <v>3</v>
      </c>
    </row>
    <row r="3487" spans="1:11">
      <c r="A3487" s="1">
        <v>45784</v>
      </c>
      <c r="B3487" t="s">
        <v>1977</v>
      </c>
      <c r="C3487">
        <v>2.3119999999999998</v>
      </c>
      <c r="I3487" s="1">
        <v>45791</v>
      </c>
      <c r="J3487" s="1" t="s">
        <v>107</v>
      </c>
      <c r="K3487" s="3">
        <v>14916412266350</v>
      </c>
    </row>
    <row r="3488" spans="1:11">
      <c r="A3488" s="1">
        <v>45784</v>
      </c>
      <c r="B3488" t="s">
        <v>1978</v>
      </c>
      <c r="C3488">
        <v>2.4390000000000001</v>
      </c>
      <c r="I3488" s="1">
        <v>45790</v>
      </c>
      <c r="J3488" s="1" t="s">
        <v>107</v>
      </c>
      <c r="K3488" s="3">
        <v>14912752466730</v>
      </c>
    </row>
    <row r="3489" spans="1:11">
      <c r="A3489" s="1">
        <v>45784</v>
      </c>
      <c r="B3489" t="s">
        <v>1979</v>
      </c>
      <c r="C3489">
        <v>2.7719999999999998</v>
      </c>
      <c r="I3489" s="1">
        <v>45790</v>
      </c>
      <c r="J3489" s="1" t="s">
        <v>282</v>
      </c>
      <c r="K3489" s="3">
        <v>10000</v>
      </c>
    </row>
    <row r="3490" spans="1:11">
      <c r="A3490" s="1">
        <v>45784</v>
      </c>
      <c r="B3490" t="s">
        <v>1980</v>
      </c>
      <c r="C3490">
        <v>3.0739999999999998</v>
      </c>
      <c r="I3490" s="1">
        <v>45790</v>
      </c>
      <c r="J3490" s="1" t="s">
        <v>283</v>
      </c>
      <c r="K3490" s="3">
        <v>7</v>
      </c>
    </row>
    <row r="3491" spans="1:11">
      <c r="A3491" s="1">
        <v>45784</v>
      </c>
      <c r="B3491" t="s">
        <v>1981</v>
      </c>
      <c r="C3491">
        <v>3.2170000000000001</v>
      </c>
      <c r="I3491" s="1">
        <v>45790</v>
      </c>
      <c r="J3491" s="1" t="s">
        <v>284</v>
      </c>
      <c r="K3491" s="3">
        <v>5055.96</v>
      </c>
    </row>
    <row r="3492" spans="1:11">
      <c r="A3492" s="1">
        <v>45784</v>
      </c>
      <c r="B3492" t="s">
        <v>1982</v>
      </c>
      <c r="C3492">
        <v>3.3250000000000002</v>
      </c>
      <c r="I3492" s="1">
        <v>45790</v>
      </c>
      <c r="J3492" s="1" t="s">
        <v>285</v>
      </c>
      <c r="K3492" s="3">
        <v>4</v>
      </c>
    </row>
    <row r="3493" spans="1:11">
      <c r="A3493" s="1">
        <v>45784</v>
      </c>
      <c r="B3493" t="s">
        <v>1983</v>
      </c>
      <c r="C3493">
        <v>3.4129999999999998</v>
      </c>
      <c r="I3493" s="1">
        <v>45790</v>
      </c>
      <c r="J3493" s="1" t="s">
        <v>286</v>
      </c>
      <c r="K3493" s="3">
        <v>7539.65</v>
      </c>
    </row>
    <row r="3494" spans="1:11">
      <c r="A3494" s="1">
        <v>45783</v>
      </c>
      <c r="B3494" t="s">
        <v>1974</v>
      </c>
      <c r="C3494">
        <v>2.0830000000000002</v>
      </c>
      <c r="I3494" s="1">
        <v>45790</v>
      </c>
      <c r="J3494" s="1" t="s">
        <v>287</v>
      </c>
      <c r="K3494" s="3">
        <v>55865.07</v>
      </c>
    </row>
    <row r="3495" spans="1:11">
      <c r="A3495" s="1">
        <v>45783</v>
      </c>
      <c r="B3495" t="s">
        <v>1975</v>
      </c>
      <c r="C3495">
        <v>2.11</v>
      </c>
      <c r="I3495" s="1">
        <v>45790</v>
      </c>
      <c r="J3495" s="1" t="s">
        <v>288</v>
      </c>
      <c r="K3495" s="3">
        <v>-32374.1</v>
      </c>
    </row>
    <row r="3496" spans="1:11">
      <c r="A3496" s="1">
        <v>45783</v>
      </c>
      <c r="B3496" t="s">
        <v>1976</v>
      </c>
      <c r="C3496">
        <v>2.173</v>
      </c>
      <c r="I3496" s="1">
        <v>45790</v>
      </c>
      <c r="J3496" s="1" t="s">
        <v>289</v>
      </c>
      <c r="K3496" s="3">
        <v>5</v>
      </c>
    </row>
    <row r="3497" spans="1:11">
      <c r="A3497" s="1">
        <v>45783</v>
      </c>
      <c r="B3497" t="s">
        <v>1977</v>
      </c>
      <c r="C3497">
        <v>2.306</v>
      </c>
      <c r="I3497" s="1">
        <v>45790</v>
      </c>
      <c r="J3497" s="1" t="s">
        <v>290</v>
      </c>
      <c r="K3497" s="3">
        <v>5</v>
      </c>
    </row>
    <row r="3498" spans="1:11">
      <c r="A3498" s="1">
        <v>45783</v>
      </c>
      <c r="B3498" t="s">
        <v>1978</v>
      </c>
      <c r="C3498">
        <v>2.4390000000000001</v>
      </c>
      <c r="I3498" s="1">
        <v>45789</v>
      </c>
      <c r="J3498" s="1" t="s">
        <v>282</v>
      </c>
      <c r="K3498" s="3">
        <v>10000</v>
      </c>
    </row>
    <row r="3499" spans="1:11">
      <c r="A3499" s="1">
        <v>45783</v>
      </c>
      <c r="B3499" t="s">
        <v>1979</v>
      </c>
      <c r="C3499">
        <v>2.7690000000000001</v>
      </c>
      <c r="I3499" s="1">
        <v>45789</v>
      </c>
      <c r="J3499" s="1" t="s">
        <v>283</v>
      </c>
      <c r="K3499" s="3">
        <v>7</v>
      </c>
    </row>
    <row r="3500" spans="1:11">
      <c r="A3500" s="1">
        <v>45783</v>
      </c>
      <c r="B3500" t="s">
        <v>1980</v>
      </c>
      <c r="C3500">
        <v>3.0779999999999998</v>
      </c>
      <c r="I3500" s="1">
        <v>45789</v>
      </c>
      <c r="J3500" s="1" t="s">
        <v>284</v>
      </c>
      <c r="K3500" s="3">
        <v>7552.19</v>
      </c>
    </row>
    <row r="3501" spans="1:11">
      <c r="A3501" s="1">
        <v>45783</v>
      </c>
      <c r="B3501" t="s">
        <v>1981</v>
      </c>
      <c r="C3501">
        <v>3.2170000000000001</v>
      </c>
      <c r="I3501" s="1">
        <v>45789</v>
      </c>
      <c r="J3501" s="1" t="s">
        <v>285</v>
      </c>
      <c r="K3501" s="3">
        <v>4</v>
      </c>
    </row>
    <row r="3502" spans="1:11">
      <c r="A3502" s="1">
        <v>45783</v>
      </c>
      <c r="B3502" t="s">
        <v>1982</v>
      </c>
      <c r="C3502">
        <v>3.3250000000000002</v>
      </c>
      <c r="I3502" s="1">
        <v>45789</v>
      </c>
      <c r="J3502" s="1" t="s">
        <v>286</v>
      </c>
      <c r="K3502" s="3">
        <v>24923.55</v>
      </c>
    </row>
    <row r="3503" spans="1:11">
      <c r="A3503" s="1">
        <v>45783</v>
      </c>
      <c r="B3503" t="s">
        <v>1983</v>
      </c>
      <c r="C3503">
        <v>3.4129999999999998</v>
      </c>
      <c r="I3503" s="1">
        <v>45789</v>
      </c>
      <c r="J3503" s="1" t="s">
        <v>287</v>
      </c>
      <c r="K3503" s="3">
        <v>58348.76</v>
      </c>
    </row>
    <row r="3504" spans="1:11">
      <c r="A3504" s="1">
        <v>45782</v>
      </c>
      <c r="B3504" t="s">
        <v>1974</v>
      </c>
      <c r="C3504">
        <v>2.0830000000000002</v>
      </c>
      <c r="I3504" s="1">
        <v>45789</v>
      </c>
      <c r="J3504" s="1" t="s">
        <v>288</v>
      </c>
      <c r="K3504" s="3">
        <v>-33436.089999999997</v>
      </c>
    </row>
    <row r="3505" spans="1:11">
      <c r="A3505" s="1">
        <v>45782</v>
      </c>
      <c r="B3505" t="s">
        <v>1975</v>
      </c>
      <c r="C3505">
        <v>2.11</v>
      </c>
      <c r="I3505" s="1">
        <v>45789</v>
      </c>
      <c r="J3505" s="1" t="s">
        <v>289</v>
      </c>
      <c r="K3505" s="3">
        <v>6</v>
      </c>
    </row>
    <row r="3506" spans="1:11">
      <c r="A3506" s="1">
        <v>45782</v>
      </c>
      <c r="B3506" t="s">
        <v>1976</v>
      </c>
      <c r="C3506">
        <v>2.173</v>
      </c>
      <c r="I3506" s="1">
        <v>45789</v>
      </c>
      <c r="J3506" s="1" t="s">
        <v>290</v>
      </c>
      <c r="K3506" s="3">
        <v>6</v>
      </c>
    </row>
    <row r="3507" spans="1:11">
      <c r="A3507" s="1">
        <v>45782</v>
      </c>
      <c r="B3507" t="s">
        <v>1977</v>
      </c>
      <c r="C3507">
        <v>2.2959999999999998</v>
      </c>
      <c r="I3507" s="1">
        <v>45789</v>
      </c>
      <c r="J3507" s="1" t="s">
        <v>107</v>
      </c>
      <c r="K3507" s="3">
        <v>15111084970227</v>
      </c>
    </row>
    <row r="3508" spans="1:11">
      <c r="A3508" s="1">
        <v>45782</v>
      </c>
      <c r="B3508" t="s">
        <v>1978</v>
      </c>
      <c r="C3508">
        <v>2.42</v>
      </c>
      <c r="I3508" s="1">
        <v>45788</v>
      </c>
      <c r="J3508" s="1" t="s">
        <v>107</v>
      </c>
      <c r="K3508" s="3">
        <v>15236581886498</v>
      </c>
    </row>
    <row r="3509" spans="1:11">
      <c r="A3509" s="1">
        <v>45782</v>
      </c>
      <c r="B3509" t="s">
        <v>1979</v>
      </c>
      <c r="C3509">
        <v>2.774</v>
      </c>
      <c r="I3509" s="1">
        <v>45786</v>
      </c>
      <c r="J3509" s="1" t="s">
        <v>282</v>
      </c>
      <c r="K3509" s="3">
        <v>10000</v>
      </c>
    </row>
    <row r="3510" spans="1:11">
      <c r="A3510" s="1">
        <v>45782</v>
      </c>
      <c r="B3510" t="s">
        <v>1980</v>
      </c>
      <c r="C3510">
        <v>3.0779999999999998</v>
      </c>
      <c r="I3510" s="1">
        <v>45786</v>
      </c>
      <c r="J3510" s="1" t="s">
        <v>283</v>
      </c>
      <c r="K3510" s="3">
        <v>7</v>
      </c>
    </row>
    <row r="3511" spans="1:11">
      <c r="A3511" s="1">
        <v>45782</v>
      </c>
      <c r="B3511" t="s">
        <v>1981</v>
      </c>
      <c r="C3511">
        <v>3.2170000000000001</v>
      </c>
      <c r="I3511" s="1">
        <v>45786</v>
      </c>
      <c r="J3511" s="1" t="s">
        <v>284</v>
      </c>
      <c r="K3511" s="3">
        <v>8760.56</v>
      </c>
    </row>
    <row r="3512" spans="1:11">
      <c r="A3512" s="1">
        <v>45782</v>
      </c>
      <c r="B3512" t="s">
        <v>1982</v>
      </c>
      <c r="C3512">
        <v>3.3250000000000002</v>
      </c>
      <c r="I3512" s="1">
        <v>45786</v>
      </c>
      <c r="J3512" s="1" t="s">
        <v>285</v>
      </c>
      <c r="K3512" s="3">
        <v>4</v>
      </c>
    </row>
    <row r="3513" spans="1:11">
      <c r="A3513" s="1">
        <v>45782</v>
      </c>
      <c r="B3513" t="s">
        <v>1983</v>
      </c>
      <c r="C3513">
        <v>3.4129999999999998</v>
      </c>
      <c r="I3513" s="1">
        <v>45786</v>
      </c>
      <c r="J3513" s="1" t="s">
        <v>286</v>
      </c>
      <c r="K3513" s="3">
        <v>11436.76</v>
      </c>
    </row>
    <row r="3514" spans="1:11">
      <c r="A3514" s="1">
        <v>45776</v>
      </c>
      <c r="B3514" t="s">
        <v>1974</v>
      </c>
      <c r="C3514">
        <v>2.0830000000000002</v>
      </c>
      <c r="I3514" s="1">
        <v>45786</v>
      </c>
      <c r="J3514" s="1" t="s">
        <v>287</v>
      </c>
      <c r="K3514" s="3">
        <v>75720.12</v>
      </c>
    </row>
    <row r="3515" spans="1:11">
      <c r="A3515" s="1">
        <v>45776</v>
      </c>
      <c r="B3515" t="s">
        <v>1975</v>
      </c>
      <c r="C3515">
        <v>2.11</v>
      </c>
      <c r="I3515" s="1">
        <v>45786</v>
      </c>
      <c r="J3515" s="1" t="s">
        <v>288</v>
      </c>
      <c r="K3515" s="3">
        <v>-47890.73</v>
      </c>
    </row>
    <row r="3516" spans="1:11">
      <c r="A3516" s="1">
        <v>45776</v>
      </c>
      <c r="B3516" t="s">
        <v>1976</v>
      </c>
      <c r="C3516">
        <v>2.173</v>
      </c>
      <c r="I3516" s="1">
        <v>45786</v>
      </c>
      <c r="J3516" s="1" t="s">
        <v>289</v>
      </c>
      <c r="K3516" s="3">
        <v>9</v>
      </c>
    </row>
    <row r="3517" spans="1:11">
      <c r="A3517" s="1">
        <v>45776</v>
      </c>
      <c r="B3517" t="s">
        <v>1977</v>
      </c>
      <c r="C3517">
        <v>2.2959999999999998</v>
      </c>
      <c r="I3517" s="1">
        <v>45786</v>
      </c>
      <c r="J3517" s="1" t="s">
        <v>290</v>
      </c>
      <c r="K3517" s="3">
        <v>9</v>
      </c>
    </row>
    <row r="3518" spans="1:11">
      <c r="A3518" s="1">
        <v>45776</v>
      </c>
      <c r="B3518" t="s">
        <v>1978</v>
      </c>
      <c r="C3518">
        <v>2.419</v>
      </c>
      <c r="I3518" s="1">
        <v>45785</v>
      </c>
      <c r="J3518" s="1" t="s">
        <v>288</v>
      </c>
      <c r="K3518" s="3">
        <v>-52187.5</v>
      </c>
    </row>
    <row r="3519" spans="1:11">
      <c r="A3519" s="1">
        <v>45776</v>
      </c>
      <c r="B3519" t="s">
        <v>1979</v>
      </c>
      <c r="C3519">
        <v>2.7719999999999998</v>
      </c>
      <c r="I3519" s="1">
        <v>45785</v>
      </c>
      <c r="J3519" s="1" t="s">
        <v>289</v>
      </c>
      <c r="K3519" s="3">
        <v>4</v>
      </c>
    </row>
    <row r="3520" spans="1:11">
      <c r="A3520" s="1">
        <v>45776</v>
      </c>
      <c r="B3520" t="s">
        <v>1980</v>
      </c>
      <c r="C3520">
        <v>3.0739999999999998</v>
      </c>
      <c r="I3520" s="1">
        <v>45785</v>
      </c>
      <c r="J3520" s="1" t="s">
        <v>290</v>
      </c>
      <c r="K3520" s="3">
        <v>4</v>
      </c>
    </row>
    <row r="3521" spans="1:11">
      <c r="A3521" s="1">
        <v>45776</v>
      </c>
      <c r="B3521" t="s">
        <v>1981</v>
      </c>
      <c r="C3521">
        <v>3.2130000000000001</v>
      </c>
      <c r="I3521" s="1">
        <v>45785</v>
      </c>
      <c r="J3521" s="1" t="s">
        <v>107</v>
      </c>
      <c r="K3521" s="3">
        <v>14276436623045</v>
      </c>
    </row>
    <row r="3522" spans="1:11">
      <c r="A3522" s="1">
        <v>45776</v>
      </c>
      <c r="B3522" t="s">
        <v>1982</v>
      </c>
      <c r="C3522">
        <v>3.3380000000000001</v>
      </c>
      <c r="I3522" s="1">
        <v>45785</v>
      </c>
      <c r="J3522" s="1" t="s">
        <v>282</v>
      </c>
      <c r="K3522" s="3">
        <v>10000</v>
      </c>
    </row>
    <row r="3523" spans="1:11">
      <c r="A3523" s="1">
        <v>45776</v>
      </c>
      <c r="B3523" t="s">
        <v>1983</v>
      </c>
      <c r="C3523">
        <v>3.4289999999999998</v>
      </c>
      <c r="I3523" s="1">
        <v>45785</v>
      </c>
      <c r="J3523" s="1" t="s">
        <v>283</v>
      </c>
      <c r="K3523" s="3">
        <v>7</v>
      </c>
    </row>
    <row r="3524" spans="1:11">
      <c r="A3524" s="1">
        <v>45775</v>
      </c>
      <c r="B3524" t="s">
        <v>1974</v>
      </c>
      <c r="C3524">
        <v>2.0830000000000002</v>
      </c>
      <c r="I3524" s="1">
        <v>45785</v>
      </c>
      <c r="J3524" s="1" t="s">
        <v>284</v>
      </c>
      <c r="K3524" s="3">
        <v>4537.3999999999996</v>
      </c>
    </row>
    <row r="3525" spans="1:11">
      <c r="A3525" s="1">
        <v>45775</v>
      </c>
      <c r="B3525" t="s">
        <v>1975</v>
      </c>
      <c r="C3525">
        <v>2.11</v>
      </c>
      <c r="I3525" s="1">
        <v>45785</v>
      </c>
      <c r="J3525" s="1" t="s">
        <v>285</v>
      </c>
      <c r="K3525" s="3">
        <v>4</v>
      </c>
    </row>
    <row r="3526" spans="1:11">
      <c r="A3526" s="1">
        <v>45775</v>
      </c>
      <c r="B3526" t="s">
        <v>1976</v>
      </c>
      <c r="C3526">
        <v>2.173</v>
      </c>
      <c r="I3526" s="1">
        <v>45785</v>
      </c>
      <c r="J3526" s="1" t="s">
        <v>286</v>
      </c>
      <c r="K3526" s="3">
        <v>10592.6</v>
      </c>
    </row>
    <row r="3527" spans="1:11">
      <c r="A3527" s="1">
        <v>45775</v>
      </c>
      <c r="B3527" t="s">
        <v>1977</v>
      </c>
      <c r="C3527">
        <v>2.298</v>
      </c>
      <c r="I3527" s="1">
        <v>45785</v>
      </c>
      <c r="J3527" s="1" t="s">
        <v>287</v>
      </c>
      <c r="K3527" s="3">
        <v>78396.320000000007</v>
      </c>
    </row>
    <row r="3528" spans="1:11">
      <c r="A3528" s="1">
        <v>45775</v>
      </c>
      <c r="B3528" t="s">
        <v>1978</v>
      </c>
      <c r="C3528">
        <v>2.423</v>
      </c>
      <c r="I3528" s="1">
        <v>45784</v>
      </c>
      <c r="J3528" s="1" t="s">
        <v>288</v>
      </c>
      <c r="K3528" s="3">
        <v>-57949.31</v>
      </c>
    </row>
    <row r="3529" spans="1:11">
      <c r="A3529" s="1">
        <v>45775</v>
      </c>
      <c r="B3529" t="s">
        <v>1979</v>
      </c>
      <c r="C3529">
        <v>2.77</v>
      </c>
      <c r="I3529" s="1">
        <v>45784</v>
      </c>
      <c r="J3529" s="1" t="s">
        <v>289</v>
      </c>
      <c r="K3529" s="3">
        <v>5</v>
      </c>
    </row>
    <row r="3530" spans="1:11">
      <c r="A3530" s="1">
        <v>45775</v>
      </c>
      <c r="B3530" t="s">
        <v>1980</v>
      </c>
      <c r="C3530">
        <v>3.0739999999999998</v>
      </c>
      <c r="I3530" s="1">
        <v>45784</v>
      </c>
      <c r="J3530" s="1" t="s">
        <v>290</v>
      </c>
      <c r="K3530" s="3">
        <v>5</v>
      </c>
    </row>
    <row r="3531" spans="1:11">
      <c r="A3531" s="1">
        <v>45775</v>
      </c>
      <c r="B3531" t="s">
        <v>1981</v>
      </c>
      <c r="C3531">
        <v>3.214</v>
      </c>
      <c r="I3531" s="1">
        <v>45784</v>
      </c>
      <c r="J3531" s="1" t="s">
        <v>107</v>
      </c>
      <c r="K3531" s="3">
        <v>14995286171628</v>
      </c>
    </row>
    <row r="3532" spans="1:11">
      <c r="A3532" s="1">
        <v>45775</v>
      </c>
      <c r="B3532" t="s">
        <v>1982</v>
      </c>
      <c r="C3532">
        <v>3.3380000000000001</v>
      </c>
      <c r="I3532" s="1">
        <v>45784</v>
      </c>
      <c r="J3532" s="1" t="s">
        <v>282</v>
      </c>
      <c r="K3532" s="3">
        <v>10000</v>
      </c>
    </row>
    <row r="3533" spans="1:11">
      <c r="A3533" s="1">
        <v>45775</v>
      </c>
      <c r="B3533" t="s">
        <v>1983</v>
      </c>
      <c r="C3533">
        <v>3.4289999999999998</v>
      </c>
      <c r="I3533" s="1">
        <v>45784</v>
      </c>
      <c r="J3533" s="1" t="s">
        <v>283</v>
      </c>
      <c r="K3533" s="3">
        <v>7</v>
      </c>
    </row>
    <row r="3534" spans="1:11">
      <c r="A3534" s="1">
        <v>45772</v>
      </c>
      <c r="B3534" t="s">
        <v>1974</v>
      </c>
      <c r="C3534">
        <v>2.0830000000000002</v>
      </c>
      <c r="I3534" s="1">
        <v>45784</v>
      </c>
      <c r="J3534" s="1" t="s">
        <v>284</v>
      </c>
      <c r="K3534" s="3">
        <v>3018.46</v>
      </c>
    </row>
    <row r="3535" spans="1:11">
      <c r="A3535" s="1">
        <v>45772</v>
      </c>
      <c r="B3535" t="s">
        <v>1975</v>
      </c>
      <c r="C3535">
        <v>2.11</v>
      </c>
      <c r="I3535" s="1">
        <v>45784</v>
      </c>
      <c r="J3535" s="1" t="s">
        <v>285</v>
      </c>
      <c r="K3535" s="3">
        <v>4</v>
      </c>
    </row>
    <row r="3536" spans="1:11">
      <c r="A3536" s="1">
        <v>45772</v>
      </c>
      <c r="B3536" t="s">
        <v>1976</v>
      </c>
      <c r="C3536">
        <v>2.173</v>
      </c>
      <c r="I3536" s="1">
        <v>45784</v>
      </c>
      <c r="J3536" s="1" t="s">
        <v>286</v>
      </c>
      <c r="K3536" s="3">
        <v>7551.05</v>
      </c>
    </row>
    <row r="3537" spans="1:11">
      <c r="A3537" s="1">
        <v>45772</v>
      </c>
      <c r="B3537" t="s">
        <v>1977</v>
      </c>
      <c r="C3537">
        <v>2.2930000000000001</v>
      </c>
      <c r="I3537" s="1">
        <v>45784</v>
      </c>
      <c r="J3537" s="1" t="s">
        <v>287</v>
      </c>
      <c r="K3537" s="3">
        <v>84451.520000000004</v>
      </c>
    </row>
    <row r="3538" spans="1:11">
      <c r="A3538" s="1">
        <v>45772</v>
      </c>
      <c r="B3538" t="s">
        <v>1978</v>
      </c>
      <c r="C3538">
        <v>2.4140000000000001</v>
      </c>
      <c r="I3538" s="1">
        <v>45783</v>
      </c>
      <c r="J3538" s="1" t="s">
        <v>282</v>
      </c>
      <c r="K3538" s="3">
        <v>10000</v>
      </c>
    </row>
    <row r="3539" spans="1:11">
      <c r="A3539" s="1">
        <v>45772</v>
      </c>
      <c r="B3539" t="s">
        <v>1979</v>
      </c>
      <c r="C3539">
        <v>2.7719999999999998</v>
      </c>
      <c r="I3539" s="1">
        <v>45783</v>
      </c>
      <c r="J3539" s="1" t="s">
        <v>283</v>
      </c>
      <c r="K3539" s="3">
        <v>7</v>
      </c>
    </row>
    <row r="3540" spans="1:11">
      <c r="A3540" s="1">
        <v>45772</v>
      </c>
      <c r="B3540" t="s">
        <v>1980</v>
      </c>
      <c r="C3540">
        <v>3.0710000000000002</v>
      </c>
      <c r="I3540" s="1">
        <v>45783</v>
      </c>
      <c r="J3540" s="1" t="s">
        <v>284</v>
      </c>
      <c r="K3540" s="3">
        <v>2413.94</v>
      </c>
    </row>
    <row r="3541" spans="1:11">
      <c r="A3541" s="1">
        <v>45772</v>
      </c>
      <c r="B3541" t="s">
        <v>1981</v>
      </c>
      <c r="C3541">
        <v>3.2229999999999999</v>
      </c>
      <c r="I3541" s="1">
        <v>45783</v>
      </c>
      <c r="J3541" s="1" t="s">
        <v>285</v>
      </c>
      <c r="K3541" s="3">
        <v>4</v>
      </c>
    </row>
    <row r="3542" spans="1:11">
      <c r="A3542" s="1">
        <v>45772</v>
      </c>
      <c r="B3542" t="s">
        <v>1982</v>
      </c>
      <c r="C3542">
        <v>3.3380000000000001</v>
      </c>
      <c r="I3542" s="1">
        <v>45783</v>
      </c>
      <c r="J3542" s="1" t="s">
        <v>286</v>
      </c>
      <c r="K3542" s="3">
        <v>2164.1799999999998</v>
      </c>
    </row>
    <row r="3543" spans="1:11">
      <c r="A3543" s="1">
        <v>45772</v>
      </c>
      <c r="B3543" t="s">
        <v>1983</v>
      </c>
      <c r="C3543">
        <v>3.4289999999999998</v>
      </c>
      <c r="I3543" s="1">
        <v>45783</v>
      </c>
      <c r="J3543" s="1" t="s">
        <v>287</v>
      </c>
      <c r="K3543" s="3">
        <v>88984.11</v>
      </c>
    </row>
    <row r="3544" spans="1:11">
      <c r="A3544" s="1">
        <v>45771</v>
      </c>
      <c r="B3544" t="s">
        <v>1974</v>
      </c>
      <c r="C3544">
        <v>2.0830000000000002</v>
      </c>
      <c r="I3544" s="1">
        <v>45783</v>
      </c>
      <c r="J3544" s="1" t="s">
        <v>288</v>
      </c>
      <c r="K3544" s="3">
        <v>-62043.61</v>
      </c>
    </row>
    <row r="3545" spans="1:11">
      <c r="A3545" s="1">
        <v>45771</v>
      </c>
      <c r="B3545" t="s">
        <v>1975</v>
      </c>
      <c r="C3545">
        <v>2.11</v>
      </c>
      <c r="I3545" s="1">
        <v>45783</v>
      </c>
      <c r="J3545" s="1" t="s">
        <v>289</v>
      </c>
      <c r="K3545" s="3">
        <v>2</v>
      </c>
    </row>
    <row r="3546" spans="1:11">
      <c r="A3546" s="1">
        <v>45771</v>
      </c>
      <c r="B3546" t="s">
        <v>1976</v>
      </c>
      <c r="C3546">
        <v>2.173</v>
      </c>
      <c r="I3546" s="1">
        <v>45783</v>
      </c>
      <c r="J3546" s="1" t="s">
        <v>290</v>
      </c>
      <c r="K3546" s="3">
        <v>2</v>
      </c>
    </row>
    <row r="3547" spans="1:11">
      <c r="A3547" s="1">
        <v>45771</v>
      </c>
      <c r="B3547" t="s">
        <v>1977</v>
      </c>
      <c r="C3547">
        <v>2.3029999999999999</v>
      </c>
      <c r="I3547" s="1">
        <v>45783</v>
      </c>
      <c r="J3547" s="1" t="s">
        <v>107</v>
      </c>
      <c r="K3547" s="3">
        <v>14685752483869</v>
      </c>
    </row>
    <row r="3548" spans="1:11">
      <c r="A3548" s="1">
        <v>45771</v>
      </c>
      <c r="B3548" t="s">
        <v>1978</v>
      </c>
      <c r="C3548">
        <v>2.4340000000000002</v>
      </c>
      <c r="I3548" s="1">
        <v>45782</v>
      </c>
      <c r="J3548" s="1" t="s">
        <v>282</v>
      </c>
      <c r="K3548" s="3">
        <v>20000</v>
      </c>
    </row>
    <row r="3549" spans="1:11">
      <c r="A3549" s="1">
        <v>45771</v>
      </c>
      <c r="B3549" t="s">
        <v>1979</v>
      </c>
      <c r="C3549">
        <v>2.7770000000000001</v>
      </c>
      <c r="I3549" s="1">
        <v>45782</v>
      </c>
      <c r="J3549" s="1" t="s">
        <v>283</v>
      </c>
      <c r="K3549" s="3">
        <v>7</v>
      </c>
    </row>
    <row r="3550" spans="1:11">
      <c r="A3550" s="1">
        <v>45771</v>
      </c>
      <c r="B3550" t="s">
        <v>1980</v>
      </c>
      <c r="C3550">
        <v>3.0750000000000002</v>
      </c>
      <c r="I3550" s="1">
        <v>45782</v>
      </c>
      <c r="J3550" s="1" t="s">
        <v>284</v>
      </c>
      <c r="K3550" s="3">
        <v>19363.98</v>
      </c>
    </row>
    <row r="3551" spans="1:11">
      <c r="A3551" s="1">
        <v>45771</v>
      </c>
      <c r="B3551" t="s">
        <v>1981</v>
      </c>
      <c r="C3551">
        <v>3.2120000000000002</v>
      </c>
      <c r="I3551" s="1">
        <v>45782</v>
      </c>
      <c r="J3551" s="1" t="s">
        <v>285</v>
      </c>
      <c r="K3551" s="3">
        <v>4</v>
      </c>
    </row>
    <row r="3552" spans="1:11">
      <c r="A3552" s="1">
        <v>45771</v>
      </c>
      <c r="B3552" t="s">
        <v>1982</v>
      </c>
      <c r="C3552">
        <v>3.3330000000000002</v>
      </c>
      <c r="I3552" s="1">
        <v>45782</v>
      </c>
      <c r="J3552" s="1" t="s">
        <v>286</v>
      </c>
      <c r="K3552" s="3">
        <v>2003.82</v>
      </c>
    </row>
    <row r="3553" spans="1:11">
      <c r="A3553" s="1">
        <v>45771</v>
      </c>
      <c r="B3553" t="s">
        <v>1983</v>
      </c>
      <c r="C3553">
        <v>3.427</v>
      </c>
      <c r="I3553" s="1">
        <v>45782</v>
      </c>
      <c r="J3553" s="1" t="s">
        <v>287</v>
      </c>
      <c r="K3553" s="3">
        <v>88734.35</v>
      </c>
    </row>
    <row r="3554" spans="1:11">
      <c r="A3554" s="1">
        <v>45770</v>
      </c>
      <c r="B3554" t="s">
        <v>1974</v>
      </c>
      <c r="C3554">
        <v>2.0830000000000002</v>
      </c>
      <c r="I3554" s="1">
        <v>45782</v>
      </c>
      <c r="J3554" s="1" t="s">
        <v>288</v>
      </c>
      <c r="K3554" s="3">
        <v>-56668.14</v>
      </c>
    </row>
    <row r="3555" spans="1:11">
      <c r="A3555" s="1">
        <v>45770</v>
      </c>
      <c r="B3555" t="s">
        <v>1975</v>
      </c>
      <c r="C3555">
        <v>2.11</v>
      </c>
      <c r="I3555" s="1">
        <v>45782</v>
      </c>
      <c r="J3555" s="1" t="s">
        <v>289</v>
      </c>
      <c r="K3555" s="3">
        <v>13</v>
      </c>
    </row>
    <row r="3556" spans="1:11">
      <c r="A3556" s="1">
        <v>45770</v>
      </c>
      <c r="B3556" t="s">
        <v>1976</v>
      </c>
      <c r="C3556">
        <v>2.173</v>
      </c>
      <c r="I3556" s="1">
        <v>45782</v>
      </c>
      <c r="J3556" s="1" t="s">
        <v>290</v>
      </c>
      <c r="K3556" s="3">
        <v>13</v>
      </c>
    </row>
    <row r="3557" spans="1:11">
      <c r="A3557" s="1">
        <v>45770</v>
      </c>
      <c r="B3557" t="s">
        <v>1977</v>
      </c>
      <c r="C3557">
        <v>2.2869999999999999</v>
      </c>
      <c r="I3557" s="1">
        <v>45782</v>
      </c>
      <c r="J3557" s="1" t="s">
        <v>107</v>
      </c>
      <c r="K3557" s="3">
        <v>14684503595464</v>
      </c>
    </row>
    <row r="3558" spans="1:11">
      <c r="A3558" s="1">
        <v>45770</v>
      </c>
      <c r="B3558" t="s">
        <v>1978</v>
      </c>
      <c r="C3558">
        <v>2.4009999999999998</v>
      </c>
      <c r="I3558" s="1">
        <v>45781</v>
      </c>
      <c r="J3558" s="1" t="s">
        <v>107</v>
      </c>
      <c r="K3558" s="3">
        <v>13018186618032</v>
      </c>
    </row>
    <row r="3559" spans="1:11">
      <c r="A3559" s="1">
        <v>45770</v>
      </c>
      <c r="B3559" t="s">
        <v>1979</v>
      </c>
      <c r="C3559">
        <v>2.758</v>
      </c>
      <c r="I3559" s="1">
        <v>45777</v>
      </c>
      <c r="J3559" s="1" t="s">
        <v>107</v>
      </c>
      <c r="K3559" s="3">
        <v>13018186618032</v>
      </c>
    </row>
    <row r="3560" spans="1:11">
      <c r="A3560" s="1">
        <v>45770</v>
      </c>
      <c r="B3560" t="s">
        <v>1980</v>
      </c>
      <c r="C3560">
        <v>3.0409999999999999</v>
      </c>
      <c r="I3560" s="1">
        <v>45776</v>
      </c>
      <c r="J3560" s="1" t="s">
        <v>282</v>
      </c>
      <c r="K3560" s="3">
        <v>10000</v>
      </c>
    </row>
    <row r="3561" spans="1:11">
      <c r="A3561" s="1">
        <v>45770</v>
      </c>
      <c r="B3561" t="s">
        <v>1981</v>
      </c>
      <c r="C3561">
        <v>3.2010000000000001</v>
      </c>
      <c r="I3561" s="1">
        <v>45776</v>
      </c>
      <c r="J3561" s="1" t="s">
        <v>283</v>
      </c>
      <c r="K3561" s="3">
        <v>7</v>
      </c>
    </row>
    <row r="3562" spans="1:11">
      <c r="A3562" s="1">
        <v>45770</v>
      </c>
      <c r="B3562" t="s">
        <v>1982</v>
      </c>
      <c r="C3562">
        <v>3.3330000000000002</v>
      </c>
      <c r="I3562" s="1">
        <v>45776</v>
      </c>
      <c r="J3562" s="1" t="s">
        <v>284</v>
      </c>
      <c r="K3562" s="3">
        <v>2619.37</v>
      </c>
    </row>
    <row r="3563" spans="1:11">
      <c r="A3563" s="1">
        <v>45770</v>
      </c>
      <c r="B3563" t="s">
        <v>1983</v>
      </c>
      <c r="C3563">
        <v>3.427</v>
      </c>
      <c r="I3563" s="1">
        <v>45776</v>
      </c>
      <c r="J3563" s="1" t="s">
        <v>285</v>
      </c>
      <c r="K3563" s="3">
        <v>4</v>
      </c>
    </row>
    <row r="3564" spans="1:11">
      <c r="A3564" s="1">
        <v>45769</v>
      </c>
      <c r="B3564" t="s">
        <v>1974</v>
      </c>
      <c r="C3564">
        <v>2.0830000000000002</v>
      </c>
      <c r="I3564" s="1">
        <v>45776</v>
      </c>
      <c r="J3564" s="1" t="s">
        <v>286</v>
      </c>
      <c r="K3564" s="3">
        <v>7652.34</v>
      </c>
    </row>
    <row r="3565" spans="1:11">
      <c r="A3565" s="1">
        <v>45769</v>
      </c>
      <c r="B3565" t="s">
        <v>1975</v>
      </c>
      <c r="C3565">
        <v>2.11</v>
      </c>
      <c r="I3565" s="1">
        <v>45776</v>
      </c>
      <c r="J3565" s="1" t="s">
        <v>287</v>
      </c>
      <c r="K3565" s="3">
        <v>71374.19</v>
      </c>
    </row>
    <row r="3566" spans="1:11">
      <c r="A3566" s="1">
        <v>45769</v>
      </c>
      <c r="B3566" t="s">
        <v>1976</v>
      </c>
      <c r="C3566">
        <v>2.16</v>
      </c>
      <c r="I3566" s="1">
        <v>45776</v>
      </c>
      <c r="J3566" s="1" t="s">
        <v>288</v>
      </c>
      <c r="K3566" s="3">
        <v>-4168</v>
      </c>
    </row>
    <row r="3567" spans="1:11">
      <c r="A3567" s="1">
        <v>45769</v>
      </c>
      <c r="B3567" t="s">
        <v>1977</v>
      </c>
      <c r="C3567">
        <v>2.2799999999999998</v>
      </c>
      <c r="I3567" s="1">
        <v>45776</v>
      </c>
      <c r="J3567" s="1" t="s">
        <v>289</v>
      </c>
      <c r="K3567" s="3">
        <v>3</v>
      </c>
    </row>
    <row r="3568" spans="1:11">
      <c r="A3568" s="1">
        <v>45769</v>
      </c>
      <c r="B3568" t="s">
        <v>1978</v>
      </c>
      <c r="C3568">
        <v>2.4</v>
      </c>
      <c r="I3568" s="1">
        <v>45776</v>
      </c>
      <c r="J3568" s="1" t="s">
        <v>290</v>
      </c>
      <c r="K3568" s="3">
        <v>3</v>
      </c>
    </row>
    <row r="3569" spans="1:11">
      <c r="A3569" s="1">
        <v>45769</v>
      </c>
      <c r="B3569" t="s">
        <v>1979</v>
      </c>
      <c r="C3569">
        <v>2.7309999999999999</v>
      </c>
      <c r="I3569" s="1">
        <v>45775</v>
      </c>
      <c r="J3569" s="1" t="s">
        <v>107</v>
      </c>
      <c r="K3569" s="3">
        <v>13016938668659</v>
      </c>
    </row>
    <row r="3570" spans="1:11">
      <c r="A3570" s="1">
        <v>45769</v>
      </c>
      <c r="B3570" t="s">
        <v>1980</v>
      </c>
      <c r="C3570">
        <v>3.04</v>
      </c>
      <c r="I3570" s="1">
        <v>45775</v>
      </c>
      <c r="J3570" s="1" t="s">
        <v>282</v>
      </c>
      <c r="K3570" s="3">
        <v>10000</v>
      </c>
    </row>
    <row r="3571" spans="1:11">
      <c r="A3571" s="1">
        <v>45769</v>
      </c>
      <c r="B3571" t="s">
        <v>1981</v>
      </c>
      <c r="C3571">
        <v>3.198</v>
      </c>
      <c r="I3571" s="1">
        <v>45775</v>
      </c>
      <c r="J3571" s="1" t="s">
        <v>283</v>
      </c>
      <c r="K3571" s="3">
        <v>7</v>
      </c>
    </row>
    <row r="3572" spans="1:11">
      <c r="A3572" s="1">
        <v>45769</v>
      </c>
      <c r="B3572" t="s">
        <v>1982</v>
      </c>
      <c r="C3572">
        <v>3.3330000000000002</v>
      </c>
      <c r="I3572" s="1">
        <v>45775</v>
      </c>
      <c r="J3572" s="1" t="s">
        <v>284</v>
      </c>
      <c r="K3572" s="3">
        <v>3300.32</v>
      </c>
    </row>
    <row r="3573" spans="1:11">
      <c r="A3573" s="1">
        <v>45769</v>
      </c>
      <c r="B3573" t="s">
        <v>1983</v>
      </c>
      <c r="C3573">
        <v>3.427</v>
      </c>
      <c r="I3573" s="1">
        <v>45775</v>
      </c>
      <c r="J3573" s="1" t="s">
        <v>285</v>
      </c>
      <c r="K3573" s="3">
        <v>4</v>
      </c>
    </row>
    <row r="3574" spans="1:11">
      <c r="A3574" s="1">
        <v>45768</v>
      </c>
      <c r="B3574" t="s">
        <v>1974</v>
      </c>
      <c r="C3574">
        <v>2.0830000000000002</v>
      </c>
      <c r="I3574" s="1">
        <v>45775</v>
      </c>
      <c r="J3574" s="1" t="s">
        <v>286</v>
      </c>
      <c r="K3574" s="3">
        <v>18617.46</v>
      </c>
    </row>
    <row r="3575" spans="1:11">
      <c r="A3575" s="1">
        <v>45768</v>
      </c>
      <c r="B3575" t="s">
        <v>1975</v>
      </c>
      <c r="C3575">
        <v>2.11</v>
      </c>
      <c r="I3575" s="1">
        <v>45775</v>
      </c>
      <c r="J3575" s="1" t="s">
        <v>287</v>
      </c>
      <c r="K3575" s="3">
        <v>76407.16</v>
      </c>
    </row>
    <row r="3576" spans="1:11">
      <c r="A3576" s="1">
        <v>45768</v>
      </c>
      <c r="B3576" t="s">
        <v>1976</v>
      </c>
      <c r="C3576">
        <v>2.173</v>
      </c>
      <c r="I3576" s="1">
        <v>45775</v>
      </c>
      <c r="J3576" s="1" t="s">
        <v>288</v>
      </c>
      <c r="K3576" s="3">
        <v>-9656.16</v>
      </c>
    </row>
    <row r="3577" spans="1:11">
      <c r="A3577" s="1">
        <v>45768</v>
      </c>
      <c r="B3577" t="s">
        <v>1977</v>
      </c>
      <c r="C3577">
        <v>2.2829999999999999</v>
      </c>
      <c r="I3577" s="1">
        <v>45775</v>
      </c>
      <c r="J3577" s="1" t="s">
        <v>289</v>
      </c>
      <c r="K3577" s="3">
        <v>3</v>
      </c>
    </row>
    <row r="3578" spans="1:11">
      <c r="A3578" s="1">
        <v>45768</v>
      </c>
      <c r="B3578" t="s">
        <v>1978</v>
      </c>
      <c r="C3578">
        <v>2.3929999999999998</v>
      </c>
      <c r="I3578" s="1">
        <v>45775</v>
      </c>
      <c r="J3578" s="1" t="s">
        <v>290</v>
      </c>
      <c r="K3578" s="3">
        <v>3</v>
      </c>
    </row>
    <row r="3579" spans="1:11">
      <c r="A3579" s="1">
        <v>45768</v>
      </c>
      <c r="B3579" t="s">
        <v>1979</v>
      </c>
      <c r="C3579">
        <v>2.7309999999999999</v>
      </c>
      <c r="I3579" s="1">
        <v>45774</v>
      </c>
      <c r="J3579" s="1" t="s">
        <v>107</v>
      </c>
      <c r="K3579" s="3">
        <v>13690523116048</v>
      </c>
    </row>
    <row r="3580" spans="1:11">
      <c r="A3580" s="1">
        <v>45768</v>
      </c>
      <c r="B3580" t="s">
        <v>1980</v>
      </c>
      <c r="C3580">
        <v>3.0379999999999998</v>
      </c>
      <c r="I3580" s="1">
        <v>45772</v>
      </c>
      <c r="J3580" s="1" t="s">
        <v>283</v>
      </c>
      <c r="K3580" s="3">
        <v>14</v>
      </c>
    </row>
    <row r="3581" spans="1:11">
      <c r="A3581" s="1">
        <v>45768</v>
      </c>
      <c r="B3581" t="s">
        <v>1981</v>
      </c>
      <c r="C3581">
        <v>3.198</v>
      </c>
      <c r="I3581" s="1">
        <v>45772</v>
      </c>
      <c r="J3581" s="1" t="s">
        <v>284</v>
      </c>
      <c r="K3581" s="3">
        <v>1361.85</v>
      </c>
    </row>
    <row r="3582" spans="1:11">
      <c r="A3582" s="1">
        <v>45768</v>
      </c>
      <c r="B3582" t="s">
        <v>1982</v>
      </c>
      <c r="C3582">
        <v>3.3330000000000002</v>
      </c>
      <c r="I3582" s="1">
        <v>45772</v>
      </c>
      <c r="J3582" s="1" t="s">
        <v>285</v>
      </c>
      <c r="K3582" s="3">
        <v>4</v>
      </c>
    </row>
    <row r="3583" spans="1:11">
      <c r="A3583" s="1">
        <v>45768</v>
      </c>
      <c r="B3583" t="s">
        <v>1983</v>
      </c>
      <c r="C3583">
        <v>3.427</v>
      </c>
      <c r="I3583" s="1">
        <v>45772</v>
      </c>
      <c r="J3583" s="1" t="s">
        <v>286</v>
      </c>
      <c r="K3583" s="3">
        <v>19951.259999999998</v>
      </c>
    </row>
    <row r="3584" spans="1:11">
      <c r="A3584" s="1">
        <v>45765</v>
      </c>
      <c r="B3584" t="s">
        <v>1974</v>
      </c>
      <c r="C3584">
        <v>2.0830000000000002</v>
      </c>
      <c r="I3584" s="1">
        <v>45772</v>
      </c>
      <c r="J3584" s="1" t="s">
        <v>287</v>
      </c>
      <c r="K3584" s="3">
        <v>91724.3</v>
      </c>
    </row>
    <row r="3585" spans="1:11">
      <c r="A3585" s="1">
        <v>45765</v>
      </c>
      <c r="B3585" t="s">
        <v>1975</v>
      </c>
      <c r="C3585">
        <v>2.11</v>
      </c>
      <c r="I3585" s="1">
        <v>45772</v>
      </c>
      <c r="J3585" s="1" t="s">
        <v>288</v>
      </c>
      <c r="K3585" s="3">
        <v>-26269.8</v>
      </c>
    </row>
    <row r="3586" spans="1:11">
      <c r="A3586" s="1">
        <v>45765</v>
      </c>
      <c r="B3586" t="s">
        <v>1976</v>
      </c>
      <c r="C3586">
        <v>2.173</v>
      </c>
      <c r="I3586" s="1">
        <v>45772</v>
      </c>
      <c r="J3586" s="1" t="s">
        <v>289</v>
      </c>
      <c r="K3586" s="3">
        <v>2</v>
      </c>
    </row>
    <row r="3587" spans="1:11">
      <c r="A3587" s="1">
        <v>45765</v>
      </c>
      <c r="B3587" t="s">
        <v>1977</v>
      </c>
      <c r="C3587">
        <v>2.282</v>
      </c>
      <c r="I3587" s="1">
        <v>45772</v>
      </c>
      <c r="J3587" s="1" t="s">
        <v>290</v>
      </c>
      <c r="K3587" s="3">
        <v>2</v>
      </c>
    </row>
    <row r="3588" spans="1:11">
      <c r="A3588" s="1">
        <v>45765</v>
      </c>
      <c r="B3588" t="s">
        <v>1978</v>
      </c>
      <c r="C3588">
        <v>2.391</v>
      </c>
      <c r="I3588" s="1">
        <v>45772</v>
      </c>
      <c r="J3588" s="1" t="s">
        <v>282</v>
      </c>
      <c r="K3588" s="3">
        <v>10000</v>
      </c>
    </row>
    <row r="3589" spans="1:11">
      <c r="A3589" s="1">
        <v>45765</v>
      </c>
      <c r="B3589" t="s">
        <v>1979</v>
      </c>
      <c r="C3589">
        <v>2.7309999999999999</v>
      </c>
      <c r="I3589" s="1">
        <v>45771</v>
      </c>
      <c r="J3589" s="1" t="s">
        <v>107</v>
      </c>
      <c r="K3589" s="3">
        <v>13690523116048</v>
      </c>
    </row>
    <row r="3590" spans="1:11">
      <c r="A3590" s="1">
        <v>45765</v>
      </c>
      <c r="B3590" t="s">
        <v>1980</v>
      </c>
      <c r="C3590">
        <v>3.0369999999999999</v>
      </c>
      <c r="I3590" s="1">
        <v>45771</v>
      </c>
      <c r="J3590" s="1" t="s">
        <v>282</v>
      </c>
      <c r="K3590" s="3">
        <v>10000</v>
      </c>
    </row>
    <row r="3591" spans="1:11">
      <c r="A3591" s="1">
        <v>45765</v>
      </c>
      <c r="B3591" t="s">
        <v>1981</v>
      </c>
      <c r="C3591">
        <v>3.198</v>
      </c>
      <c r="I3591" s="1">
        <v>45771</v>
      </c>
      <c r="J3591" s="1" t="s">
        <v>283</v>
      </c>
      <c r="K3591" s="3">
        <v>14</v>
      </c>
    </row>
    <row r="3592" spans="1:11">
      <c r="A3592" s="1">
        <v>45765</v>
      </c>
      <c r="B3592" t="s">
        <v>1982</v>
      </c>
      <c r="C3592">
        <v>3.3330000000000002</v>
      </c>
      <c r="I3592" s="1">
        <v>45771</v>
      </c>
      <c r="J3592" s="1" t="s">
        <v>284</v>
      </c>
      <c r="K3592" s="3">
        <v>6114.01</v>
      </c>
    </row>
    <row r="3593" spans="1:11">
      <c r="A3593" s="1">
        <v>45765</v>
      </c>
      <c r="B3593" t="s">
        <v>1983</v>
      </c>
      <c r="C3593">
        <v>3.427</v>
      </c>
      <c r="I3593" s="1">
        <v>45771</v>
      </c>
      <c r="J3593" s="1" t="s">
        <v>285</v>
      </c>
      <c r="K3593" s="3">
        <v>4</v>
      </c>
    </row>
    <row r="3594" spans="1:11">
      <c r="A3594" s="1">
        <v>45764</v>
      </c>
      <c r="B3594" t="s">
        <v>1974</v>
      </c>
      <c r="C3594">
        <v>2.0830000000000002</v>
      </c>
      <c r="I3594" s="1">
        <v>45771</v>
      </c>
      <c r="J3594" s="1" t="s">
        <v>286</v>
      </c>
      <c r="K3594" s="3">
        <v>12190.8</v>
      </c>
    </row>
    <row r="3595" spans="1:11">
      <c r="A3595" s="1">
        <v>45764</v>
      </c>
      <c r="B3595" t="s">
        <v>1975</v>
      </c>
      <c r="C3595">
        <v>2.11</v>
      </c>
      <c r="I3595" s="1">
        <v>45771</v>
      </c>
      <c r="J3595" s="1" t="s">
        <v>287</v>
      </c>
      <c r="K3595" s="3">
        <v>110313.71</v>
      </c>
    </row>
    <row r="3596" spans="1:11">
      <c r="A3596" s="1">
        <v>45764</v>
      </c>
      <c r="B3596" t="s">
        <v>1976</v>
      </c>
      <c r="C3596">
        <v>2.173</v>
      </c>
      <c r="I3596" s="1">
        <v>45771</v>
      </c>
      <c r="J3596" s="1" t="s">
        <v>288</v>
      </c>
      <c r="K3596" s="3">
        <v>-46221.06</v>
      </c>
    </row>
    <row r="3597" spans="1:11">
      <c r="A3597" s="1">
        <v>45764</v>
      </c>
      <c r="B3597" t="s">
        <v>1977</v>
      </c>
      <c r="C3597">
        <v>2.2799999999999998</v>
      </c>
      <c r="I3597" s="1">
        <v>45771</v>
      </c>
      <c r="J3597" s="1" t="s">
        <v>289</v>
      </c>
      <c r="K3597" s="3">
        <v>2</v>
      </c>
    </row>
    <row r="3598" spans="1:11">
      <c r="A3598" s="1">
        <v>45764</v>
      </c>
      <c r="B3598" t="s">
        <v>1978</v>
      </c>
      <c r="C3598">
        <v>2.3879999999999999</v>
      </c>
      <c r="I3598" s="1">
        <v>45771</v>
      </c>
      <c r="J3598" s="1" t="s">
        <v>290</v>
      </c>
      <c r="K3598" s="3">
        <v>2</v>
      </c>
    </row>
    <row r="3599" spans="1:11">
      <c r="A3599" s="1">
        <v>45764</v>
      </c>
      <c r="B3599" t="s">
        <v>1979</v>
      </c>
      <c r="C3599">
        <v>2.726</v>
      </c>
      <c r="I3599" s="1">
        <v>45770</v>
      </c>
      <c r="J3599" s="1" t="s">
        <v>107</v>
      </c>
      <c r="K3599" s="3">
        <v>13149556454471</v>
      </c>
    </row>
    <row r="3600" spans="1:11">
      <c r="A3600" s="1">
        <v>45764</v>
      </c>
      <c r="B3600" t="s">
        <v>1980</v>
      </c>
      <c r="C3600">
        <v>3.0350000000000001</v>
      </c>
      <c r="I3600" s="1">
        <v>45770</v>
      </c>
      <c r="J3600" s="1" t="s">
        <v>282</v>
      </c>
      <c r="K3600" s="3">
        <v>10000</v>
      </c>
    </row>
    <row r="3601" spans="1:11">
      <c r="A3601" s="1">
        <v>45764</v>
      </c>
      <c r="B3601" t="s">
        <v>1981</v>
      </c>
      <c r="C3601">
        <v>3.1949999999999998</v>
      </c>
      <c r="I3601" s="1">
        <v>45770</v>
      </c>
      <c r="J3601" s="1" t="s">
        <v>283</v>
      </c>
      <c r="K3601" s="3">
        <v>14</v>
      </c>
    </row>
    <row r="3602" spans="1:11">
      <c r="A3602" s="1">
        <v>45764</v>
      </c>
      <c r="B3602" t="s">
        <v>1982</v>
      </c>
      <c r="C3602">
        <v>3.3330000000000002</v>
      </c>
      <c r="I3602" s="1">
        <v>45770</v>
      </c>
      <c r="J3602" s="1" t="s">
        <v>284</v>
      </c>
      <c r="K3602" s="3">
        <v>7542.05</v>
      </c>
    </row>
    <row r="3603" spans="1:11">
      <c r="A3603" s="1">
        <v>45764</v>
      </c>
      <c r="B3603" t="s">
        <v>1983</v>
      </c>
      <c r="C3603">
        <v>3.427</v>
      </c>
      <c r="I3603" s="1">
        <v>45770</v>
      </c>
      <c r="J3603" s="1" t="s">
        <v>285</v>
      </c>
      <c r="K3603" s="3">
        <v>4</v>
      </c>
    </row>
    <row r="3604" spans="1:11">
      <c r="A3604" s="1">
        <v>45763</v>
      </c>
      <c r="B3604" t="s">
        <v>1974</v>
      </c>
      <c r="C3604">
        <v>2.0830000000000002</v>
      </c>
      <c r="I3604" s="1">
        <v>45770</v>
      </c>
      <c r="J3604" s="1" t="s">
        <v>286</v>
      </c>
      <c r="K3604" s="3">
        <v>8389.15</v>
      </c>
    </row>
    <row r="3605" spans="1:11">
      <c r="A3605" s="1">
        <v>45763</v>
      </c>
      <c r="B3605" t="s">
        <v>1975</v>
      </c>
      <c r="C3605">
        <v>2.11</v>
      </c>
      <c r="I3605" s="1">
        <v>45770</v>
      </c>
      <c r="J3605" s="1" t="s">
        <v>287</v>
      </c>
      <c r="K3605" s="3">
        <v>116390.5</v>
      </c>
    </row>
    <row r="3606" spans="1:11">
      <c r="A3606" s="1">
        <v>45763</v>
      </c>
      <c r="B3606" t="s">
        <v>1976</v>
      </c>
      <c r="C3606">
        <v>2.173</v>
      </c>
      <c r="I3606" s="1">
        <v>45770</v>
      </c>
      <c r="J3606" s="1" t="s">
        <v>288</v>
      </c>
      <c r="K3606" s="3">
        <v>-58411.86</v>
      </c>
    </row>
    <row r="3607" spans="1:11">
      <c r="A3607" s="1">
        <v>45763</v>
      </c>
      <c r="B3607" t="s">
        <v>1977</v>
      </c>
      <c r="C3607">
        <v>2.2799999999999998</v>
      </c>
      <c r="I3607" s="1">
        <v>45770</v>
      </c>
      <c r="J3607" s="1" t="s">
        <v>289</v>
      </c>
      <c r="K3607" s="3">
        <v>5</v>
      </c>
    </row>
    <row r="3608" spans="1:11">
      <c r="A3608" s="1">
        <v>45763</v>
      </c>
      <c r="B3608" t="s">
        <v>1978</v>
      </c>
      <c r="C3608">
        <v>2.3879999999999999</v>
      </c>
      <c r="I3608" s="1">
        <v>45770</v>
      </c>
      <c r="J3608" s="1" t="s">
        <v>290</v>
      </c>
      <c r="K3608" s="3">
        <v>5</v>
      </c>
    </row>
    <row r="3609" spans="1:11">
      <c r="A3609" s="1">
        <v>45763</v>
      </c>
      <c r="B3609" t="s">
        <v>1979</v>
      </c>
      <c r="C3609">
        <v>2.7269999999999999</v>
      </c>
      <c r="I3609" s="1">
        <v>45769</v>
      </c>
      <c r="J3609" s="1" t="s">
        <v>107</v>
      </c>
      <c r="K3609" s="3">
        <v>11877577004554</v>
      </c>
    </row>
    <row r="3610" spans="1:11">
      <c r="A3610" s="1">
        <v>45763</v>
      </c>
      <c r="B3610" t="s">
        <v>1980</v>
      </c>
      <c r="C3610">
        <v>3.028</v>
      </c>
      <c r="I3610" s="1">
        <v>45769</v>
      </c>
      <c r="J3610" s="1" t="s">
        <v>282</v>
      </c>
      <c r="K3610" s="3">
        <v>10000</v>
      </c>
    </row>
    <row r="3611" spans="1:11">
      <c r="A3611" s="1">
        <v>45763</v>
      </c>
      <c r="B3611" t="s">
        <v>1981</v>
      </c>
      <c r="C3611">
        <v>3.1949999999999998</v>
      </c>
      <c r="I3611" s="1">
        <v>45769</v>
      </c>
      <c r="J3611" s="1" t="s">
        <v>283</v>
      </c>
      <c r="K3611" s="3">
        <v>7</v>
      </c>
    </row>
    <row r="3612" spans="1:11">
      <c r="A3612" s="1">
        <v>45763</v>
      </c>
      <c r="B3612" t="s">
        <v>1982</v>
      </c>
      <c r="C3612">
        <v>3.3330000000000002</v>
      </c>
      <c r="I3612" s="1">
        <v>45769</v>
      </c>
      <c r="J3612" s="1" t="s">
        <v>284</v>
      </c>
      <c r="K3612" s="3">
        <v>7005.26</v>
      </c>
    </row>
    <row r="3613" spans="1:11">
      <c r="A3613" s="1">
        <v>45763</v>
      </c>
      <c r="B3613" t="s">
        <v>1983</v>
      </c>
      <c r="C3613">
        <v>3.427</v>
      </c>
      <c r="I3613" s="1">
        <v>45769</v>
      </c>
      <c r="J3613" s="1" t="s">
        <v>285</v>
      </c>
      <c r="K3613" s="3">
        <v>4</v>
      </c>
    </row>
    <row r="3614" spans="1:11">
      <c r="A3614" s="1">
        <v>45762</v>
      </c>
      <c r="B3614" t="s">
        <v>1974</v>
      </c>
      <c r="C3614">
        <v>2.0830000000000002</v>
      </c>
      <c r="I3614" s="1">
        <v>45769</v>
      </c>
      <c r="J3614" s="1" t="s">
        <v>286</v>
      </c>
      <c r="K3614" s="3">
        <v>17626.18</v>
      </c>
    </row>
    <row r="3615" spans="1:11">
      <c r="A3615" s="1">
        <v>45762</v>
      </c>
      <c r="B3615" t="s">
        <v>1975</v>
      </c>
      <c r="C3615">
        <v>2.11</v>
      </c>
      <c r="I3615" s="1">
        <v>45769</v>
      </c>
      <c r="J3615" s="1" t="s">
        <v>287</v>
      </c>
      <c r="K3615" s="3">
        <v>117237.6</v>
      </c>
    </row>
    <row r="3616" spans="1:11">
      <c r="A3616" s="1">
        <v>45762</v>
      </c>
      <c r="B3616" t="s">
        <v>1976</v>
      </c>
      <c r="C3616">
        <v>2.173</v>
      </c>
      <c r="I3616" s="1">
        <v>45769</v>
      </c>
      <c r="J3616" s="1" t="s">
        <v>288</v>
      </c>
      <c r="K3616" s="3">
        <v>-66801.009999999995</v>
      </c>
    </row>
    <row r="3617" spans="1:11">
      <c r="A3617" s="1">
        <v>45762</v>
      </c>
      <c r="B3617" t="s">
        <v>1977</v>
      </c>
      <c r="C3617">
        <v>2.2799999999999998</v>
      </c>
      <c r="I3617" s="1">
        <v>45769</v>
      </c>
      <c r="J3617" s="1" t="s">
        <v>289</v>
      </c>
      <c r="K3617" s="3">
        <v>6</v>
      </c>
    </row>
    <row r="3618" spans="1:11">
      <c r="A3618" s="1">
        <v>45762</v>
      </c>
      <c r="B3618" t="s">
        <v>1978</v>
      </c>
      <c r="C3618">
        <v>2.3879999999999999</v>
      </c>
      <c r="I3618" s="1">
        <v>45769</v>
      </c>
      <c r="J3618" s="1" t="s">
        <v>290</v>
      </c>
      <c r="K3618" s="3">
        <v>6</v>
      </c>
    </row>
    <row r="3619" spans="1:11">
      <c r="A3619" s="1">
        <v>45762</v>
      </c>
      <c r="B3619" t="s">
        <v>1979</v>
      </c>
      <c r="C3619">
        <v>2.726</v>
      </c>
      <c r="I3619" s="1">
        <v>45768</v>
      </c>
      <c r="J3619" s="1" t="s">
        <v>282</v>
      </c>
      <c r="K3619" s="3">
        <v>10000</v>
      </c>
    </row>
    <row r="3620" spans="1:11">
      <c r="A3620" s="1">
        <v>45762</v>
      </c>
      <c r="B3620" t="s">
        <v>1980</v>
      </c>
      <c r="C3620">
        <v>3.0369999999999999</v>
      </c>
      <c r="I3620" s="1">
        <v>45768</v>
      </c>
      <c r="J3620" s="1" t="s">
        <v>283</v>
      </c>
      <c r="K3620" s="3">
        <v>7</v>
      </c>
    </row>
    <row r="3621" spans="1:11">
      <c r="A3621" s="1">
        <v>45762</v>
      </c>
      <c r="B3621" t="s">
        <v>1981</v>
      </c>
      <c r="C3621">
        <v>3.1949999999999998</v>
      </c>
      <c r="I3621" s="1">
        <v>45768</v>
      </c>
      <c r="J3621" s="1" t="s">
        <v>284</v>
      </c>
      <c r="K3621" s="3">
        <v>20437.16</v>
      </c>
    </row>
    <row r="3622" spans="1:11">
      <c r="A3622" s="1">
        <v>45762</v>
      </c>
      <c r="B3622" t="s">
        <v>1982</v>
      </c>
      <c r="C3622">
        <v>3.3330000000000002</v>
      </c>
      <c r="I3622" s="1">
        <v>45768</v>
      </c>
      <c r="J3622" s="1" t="s">
        <v>285</v>
      </c>
      <c r="K3622" s="3">
        <v>4</v>
      </c>
    </row>
    <row r="3623" spans="1:11">
      <c r="A3623" s="1">
        <v>45762</v>
      </c>
      <c r="B3623" t="s">
        <v>1983</v>
      </c>
      <c r="C3623">
        <v>3.427</v>
      </c>
      <c r="I3623" s="1">
        <v>45768</v>
      </c>
      <c r="J3623" s="1" t="s">
        <v>286</v>
      </c>
      <c r="K3623" s="3">
        <v>4027.59</v>
      </c>
    </row>
    <row r="3624" spans="1:11">
      <c r="A3624" s="1">
        <v>45761</v>
      </c>
      <c r="B3624" t="s">
        <v>1974</v>
      </c>
      <c r="C3624">
        <v>2.0830000000000002</v>
      </c>
      <c r="I3624" s="1">
        <v>45768</v>
      </c>
      <c r="J3624" s="1" t="s">
        <v>287</v>
      </c>
      <c r="K3624" s="3">
        <v>127858.52</v>
      </c>
    </row>
    <row r="3625" spans="1:11">
      <c r="A3625" s="1">
        <v>45761</v>
      </c>
      <c r="B3625" t="s">
        <v>1975</v>
      </c>
      <c r="C3625">
        <v>2.11</v>
      </c>
      <c r="I3625" s="1">
        <v>45768</v>
      </c>
      <c r="J3625" s="1" t="s">
        <v>288</v>
      </c>
      <c r="K3625" s="3">
        <v>-76774.850000000006</v>
      </c>
    </row>
    <row r="3626" spans="1:11">
      <c r="A3626" s="1">
        <v>45761</v>
      </c>
      <c r="B3626" t="s">
        <v>1976</v>
      </c>
      <c r="C3626">
        <v>2.173</v>
      </c>
      <c r="I3626" s="1">
        <v>45768</v>
      </c>
      <c r="J3626" s="1" t="s">
        <v>289</v>
      </c>
      <c r="K3626" s="3">
        <v>14</v>
      </c>
    </row>
    <row r="3627" spans="1:11">
      <c r="A3627" s="1">
        <v>45761</v>
      </c>
      <c r="B3627" t="s">
        <v>1977</v>
      </c>
      <c r="C3627">
        <v>2.274</v>
      </c>
      <c r="I3627" s="1">
        <v>45768</v>
      </c>
      <c r="J3627" s="1" t="s">
        <v>290</v>
      </c>
      <c r="K3627" s="3">
        <v>14</v>
      </c>
    </row>
    <row r="3628" spans="1:11">
      <c r="A3628" s="1">
        <v>45761</v>
      </c>
      <c r="B3628" t="s">
        <v>1978</v>
      </c>
      <c r="C3628">
        <v>2.3759999999999999</v>
      </c>
      <c r="I3628" s="1">
        <v>45768</v>
      </c>
      <c r="J3628" s="1" t="s">
        <v>107</v>
      </c>
      <c r="K3628" s="3">
        <v>11302474036735</v>
      </c>
    </row>
    <row r="3629" spans="1:11">
      <c r="A3629" s="1">
        <v>45761</v>
      </c>
      <c r="B3629" t="s">
        <v>1979</v>
      </c>
      <c r="C3629">
        <v>2.7290000000000001</v>
      </c>
      <c r="I3629" s="1">
        <v>45767</v>
      </c>
      <c r="J3629" s="1" t="s">
        <v>107</v>
      </c>
      <c r="K3629" s="3">
        <v>9337089522558</v>
      </c>
    </row>
    <row r="3630" spans="1:11">
      <c r="A3630" s="1">
        <v>45761</v>
      </c>
      <c r="B3630" t="s">
        <v>1980</v>
      </c>
      <c r="C3630">
        <v>3.0379999999999998</v>
      </c>
      <c r="I3630" s="1">
        <v>45765</v>
      </c>
      <c r="J3630" s="1" t="s">
        <v>282</v>
      </c>
      <c r="K3630" s="3">
        <v>10000</v>
      </c>
    </row>
    <row r="3631" spans="1:11">
      <c r="A3631" s="1">
        <v>45761</v>
      </c>
      <c r="B3631" t="s">
        <v>1981</v>
      </c>
      <c r="C3631">
        <v>3.1949999999999998</v>
      </c>
      <c r="I3631" s="1">
        <v>45765</v>
      </c>
      <c r="J3631" s="1" t="s">
        <v>283</v>
      </c>
      <c r="K3631" s="3">
        <v>7</v>
      </c>
    </row>
    <row r="3632" spans="1:11">
      <c r="A3632" s="1">
        <v>45761</v>
      </c>
      <c r="B3632" t="s">
        <v>1982</v>
      </c>
      <c r="C3632">
        <v>3.3330000000000002</v>
      </c>
      <c r="I3632" s="1">
        <v>45765</v>
      </c>
      <c r="J3632" s="1" t="s">
        <v>284</v>
      </c>
      <c r="K3632" s="3">
        <v>15984.02</v>
      </c>
    </row>
    <row r="3633" spans="1:11">
      <c r="A3633" s="1">
        <v>45761</v>
      </c>
      <c r="B3633" t="s">
        <v>1983</v>
      </c>
      <c r="C3633">
        <v>3.427</v>
      </c>
      <c r="I3633" s="1">
        <v>45765</v>
      </c>
      <c r="J3633" s="1" t="s">
        <v>285</v>
      </c>
      <c r="K3633" s="3">
        <v>4</v>
      </c>
    </row>
    <row r="3634" spans="1:11">
      <c r="A3634" s="1">
        <v>45758</v>
      </c>
      <c r="B3634" t="s">
        <v>1974</v>
      </c>
      <c r="C3634">
        <v>2.0830000000000002</v>
      </c>
      <c r="I3634" s="1">
        <v>45765</v>
      </c>
      <c r="J3634" s="1" t="s">
        <v>286</v>
      </c>
      <c r="K3634" s="3">
        <v>14212.43</v>
      </c>
    </row>
    <row r="3635" spans="1:11">
      <c r="A3635" s="1">
        <v>45758</v>
      </c>
      <c r="B3635" t="s">
        <v>1975</v>
      </c>
      <c r="C3635">
        <v>2.11</v>
      </c>
      <c r="I3635" s="1">
        <v>45765</v>
      </c>
      <c r="J3635" s="1" t="s">
        <v>287</v>
      </c>
      <c r="K3635" s="3">
        <v>111448.95</v>
      </c>
    </row>
    <row r="3636" spans="1:11">
      <c r="A3636" s="1">
        <v>45758</v>
      </c>
      <c r="B3636" t="s">
        <v>1976</v>
      </c>
      <c r="C3636">
        <v>2.173</v>
      </c>
      <c r="I3636" s="1">
        <v>45765</v>
      </c>
      <c r="J3636" s="1" t="s">
        <v>288</v>
      </c>
      <c r="K3636" s="3">
        <v>-62184.98</v>
      </c>
    </row>
    <row r="3637" spans="1:11">
      <c r="A3637" s="1">
        <v>45758</v>
      </c>
      <c r="B3637" t="s">
        <v>1977</v>
      </c>
      <c r="C3637">
        <v>2.2730000000000001</v>
      </c>
      <c r="I3637" s="1">
        <v>45765</v>
      </c>
      <c r="J3637" s="1" t="s">
        <v>289</v>
      </c>
      <c r="K3637" s="3">
        <v>11</v>
      </c>
    </row>
    <row r="3638" spans="1:11">
      <c r="A3638" s="1">
        <v>45758</v>
      </c>
      <c r="B3638" t="s">
        <v>1978</v>
      </c>
      <c r="C3638">
        <v>2.3730000000000002</v>
      </c>
      <c r="I3638" s="1">
        <v>45765</v>
      </c>
      <c r="J3638" s="1" t="s">
        <v>290</v>
      </c>
      <c r="K3638" s="3">
        <v>11</v>
      </c>
    </row>
    <row r="3639" spans="1:11">
      <c r="A3639" s="1">
        <v>45758</v>
      </c>
      <c r="B3639" t="s">
        <v>1979</v>
      </c>
      <c r="C3639">
        <v>2.7290000000000001</v>
      </c>
      <c r="I3639" s="1">
        <v>45764</v>
      </c>
      <c r="J3639" s="1" t="s">
        <v>290</v>
      </c>
      <c r="K3639" s="3">
        <v>6</v>
      </c>
    </row>
    <row r="3640" spans="1:11">
      <c r="A3640" s="1">
        <v>45758</v>
      </c>
      <c r="B3640" t="s">
        <v>1980</v>
      </c>
      <c r="C3640">
        <v>3.0379999999999998</v>
      </c>
      <c r="I3640" s="1">
        <v>45764</v>
      </c>
      <c r="J3640" s="1" t="s">
        <v>289</v>
      </c>
      <c r="K3640" s="3">
        <v>6</v>
      </c>
    </row>
    <row r="3641" spans="1:11">
      <c r="A3641" s="1">
        <v>45758</v>
      </c>
      <c r="B3641" t="s">
        <v>1981</v>
      </c>
      <c r="C3641">
        <v>3.1949999999999998</v>
      </c>
      <c r="I3641" s="1">
        <v>45764</v>
      </c>
      <c r="J3641" s="1" t="s">
        <v>282</v>
      </c>
      <c r="K3641" s="3">
        <v>10000</v>
      </c>
    </row>
    <row r="3642" spans="1:11">
      <c r="A3642" s="1">
        <v>45758</v>
      </c>
      <c r="B3642" t="s">
        <v>1982</v>
      </c>
      <c r="C3642">
        <v>3.3330000000000002</v>
      </c>
      <c r="I3642" s="1">
        <v>45764</v>
      </c>
      <c r="J3642" s="1" t="s">
        <v>283</v>
      </c>
      <c r="K3642" s="3">
        <v>7</v>
      </c>
    </row>
    <row r="3643" spans="1:11">
      <c r="A3643" s="1">
        <v>45758</v>
      </c>
      <c r="B3643" t="s">
        <v>1983</v>
      </c>
      <c r="C3643">
        <v>3.427</v>
      </c>
      <c r="I3643" s="1">
        <v>45764</v>
      </c>
      <c r="J3643" s="1" t="s">
        <v>284</v>
      </c>
      <c r="K3643" s="3">
        <v>7977.52</v>
      </c>
    </row>
    <row r="3644" spans="1:11">
      <c r="A3644" s="1">
        <v>45757</v>
      </c>
      <c r="B3644" t="s">
        <v>1974</v>
      </c>
      <c r="C3644">
        <v>2.0830000000000002</v>
      </c>
      <c r="I3644" s="1">
        <v>45764</v>
      </c>
      <c r="J3644" s="1" t="s">
        <v>285</v>
      </c>
      <c r="K3644" s="3">
        <v>4</v>
      </c>
    </row>
    <row r="3645" spans="1:11">
      <c r="A3645" s="1">
        <v>45757</v>
      </c>
      <c r="B3645" t="s">
        <v>1975</v>
      </c>
      <c r="C3645">
        <v>2.11</v>
      </c>
      <c r="I3645" s="1">
        <v>45764</v>
      </c>
      <c r="J3645" s="1" t="s">
        <v>286</v>
      </c>
      <c r="K3645" s="3">
        <v>1369.84</v>
      </c>
    </row>
    <row r="3646" spans="1:11">
      <c r="A3646" s="1">
        <v>45757</v>
      </c>
      <c r="B3646" t="s">
        <v>1976</v>
      </c>
      <c r="C3646">
        <v>2.173</v>
      </c>
      <c r="I3646" s="1">
        <v>45764</v>
      </c>
      <c r="J3646" s="1" t="s">
        <v>287</v>
      </c>
      <c r="K3646" s="3">
        <v>109677.36</v>
      </c>
    </row>
    <row r="3647" spans="1:11">
      <c r="A3647" s="1">
        <v>45757</v>
      </c>
      <c r="B3647" t="s">
        <v>1977</v>
      </c>
      <c r="C3647">
        <v>2.27</v>
      </c>
      <c r="I3647" s="1">
        <v>45764</v>
      </c>
      <c r="J3647" s="1" t="s">
        <v>288</v>
      </c>
      <c r="K3647" s="3">
        <v>-56446.15</v>
      </c>
    </row>
    <row r="3648" spans="1:11">
      <c r="A3648" s="1">
        <v>45757</v>
      </c>
      <c r="B3648" t="s">
        <v>1978</v>
      </c>
      <c r="C3648">
        <v>2.3679999999999999</v>
      </c>
      <c r="I3648" s="1">
        <v>45764</v>
      </c>
      <c r="J3648" s="1" t="s">
        <v>107</v>
      </c>
      <c r="K3648" s="3">
        <v>8604238214997</v>
      </c>
    </row>
    <row r="3649" spans="1:11">
      <c r="A3649" s="1">
        <v>45757</v>
      </c>
      <c r="B3649" t="s">
        <v>1979</v>
      </c>
      <c r="C3649">
        <v>2.73</v>
      </c>
      <c r="I3649" s="1">
        <v>45763</v>
      </c>
      <c r="J3649" s="1" t="s">
        <v>107</v>
      </c>
      <c r="K3649" s="3">
        <v>8275576053576</v>
      </c>
    </row>
    <row r="3650" spans="1:11">
      <c r="A3650" s="1">
        <v>45757</v>
      </c>
      <c r="B3650" t="s">
        <v>1980</v>
      </c>
      <c r="C3650">
        <v>3.036</v>
      </c>
      <c r="I3650" s="1">
        <v>45763</v>
      </c>
      <c r="J3650" s="1" t="s">
        <v>282</v>
      </c>
      <c r="K3650" s="3">
        <v>10000</v>
      </c>
    </row>
    <row r="3651" spans="1:11">
      <c r="A3651" s="1">
        <v>45757</v>
      </c>
      <c r="B3651" t="s">
        <v>1981</v>
      </c>
      <c r="C3651">
        <v>3.1949999999999998</v>
      </c>
      <c r="I3651" s="1">
        <v>45763</v>
      </c>
      <c r="J3651" s="1" t="s">
        <v>283</v>
      </c>
      <c r="K3651" s="3">
        <v>7</v>
      </c>
    </row>
    <row r="3652" spans="1:11">
      <c r="A3652" s="1">
        <v>45757</v>
      </c>
      <c r="B3652" t="s">
        <v>1982</v>
      </c>
      <c r="C3652">
        <v>3.3330000000000002</v>
      </c>
      <c r="I3652" s="1">
        <v>45763</v>
      </c>
      <c r="J3652" s="1" t="s">
        <v>284</v>
      </c>
      <c r="K3652" s="3">
        <v>7896.16</v>
      </c>
    </row>
    <row r="3653" spans="1:11">
      <c r="A3653" s="1">
        <v>45757</v>
      </c>
      <c r="B3653" t="s">
        <v>1983</v>
      </c>
      <c r="C3653">
        <v>3.427</v>
      </c>
      <c r="I3653" s="1">
        <v>45763</v>
      </c>
      <c r="J3653" s="1" t="s">
        <v>285</v>
      </c>
      <c r="K3653" s="3">
        <v>4</v>
      </c>
    </row>
    <row r="3654" spans="1:11">
      <c r="A3654" s="1">
        <v>45756</v>
      </c>
      <c r="B3654" t="s">
        <v>1974</v>
      </c>
      <c r="C3654">
        <v>2.0830000000000002</v>
      </c>
      <c r="I3654" s="1">
        <v>45763</v>
      </c>
      <c r="J3654" s="1" t="s">
        <v>286</v>
      </c>
      <c r="K3654" s="3">
        <v>11272.35</v>
      </c>
    </row>
    <row r="3655" spans="1:11">
      <c r="A3655" s="1">
        <v>45756</v>
      </c>
      <c r="B3655" t="s">
        <v>1975</v>
      </c>
      <c r="C3655">
        <v>2.11</v>
      </c>
      <c r="I3655" s="1">
        <v>45763</v>
      </c>
      <c r="J3655" s="1" t="s">
        <v>287</v>
      </c>
      <c r="K3655" s="3">
        <v>103069.68</v>
      </c>
    </row>
    <row r="3656" spans="1:11">
      <c r="A3656" s="1">
        <v>45756</v>
      </c>
      <c r="B3656" t="s">
        <v>1976</v>
      </c>
      <c r="C3656">
        <v>2.173</v>
      </c>
      <c r="I3656" s="1">
        <v>45763</v>
      </c>
      <c r="J3656" s="1" t="s">
        <v>288</v>
      </c>
      <c r="K3656" s="3">
        <v>-45625.19</v>
      </c>
    </row>
    <row r="3657" spans="1:11">
      <c r="A3657" s="1">
        <v>45756</v>
      </c>
      <c r="B3657" t="s">
        <v>1977</v>
      </c>
      <c r="C3657">
        <v>2.2709999999999999</v>
      </c>
      <c r="I3657" s="1">
        <v>45763</v>
      </c>
      <c r="J3657" s="1" t="s">
        <v>289</v>
      </c>
      <c r="K3657" s="3">
        <v>11</v>
      </c>
    </row>
    <row r="3658" spans="1:11">
      <c r="A3658" s="1">
        <v>45756</v>
      </c>
      <c r="B3658" t="s">
        <v>1978</v>
      </c>
      <c r="C3658">
        <v>2.3690000000000002</v>
      </c>
      <c r="I3658" s="1">
        <v>45763</v>
      </c>
      <c r="J3658" s="1" t="s">
        <v>290</v>
      </c>
      <c r="K3658" s="3">
        <v>11</v>
      </c>
    </row>
    <row r="3659" spans="1:11">
      <c r="A3659" s="1">
        <v>45756</v>
      </c>
      <c r="B3659" t="s">
        <v>1979</v>
      </c>
      <c r="C3659">
        <v>2.7349999999999999</v>
      </c>
      <c r="I3659" s="1">
        <v>45762</v>
      </c>
      <c r="J3659" s="1" t="s">
        <v>282</v>
      </c>
      <c r="K3659" s="3">
        <v>10000</v>
      </c>
    </row>
    <row r="3660" spans="1:11">
      <c r="A3660" s="1">
        <v>45756</v>
      </c>
      <c r="B3660" t="s">
        <v>1980</v>
      </c>
      <c r="C3660">
        <v>3.036</v>
      </c>
      <c r="I3660" s="1">
        <v>45762</v>
      </c>
      <c r="J3660" s="1" t="s">
        <v>283</v>
      </c>
      <c r="K3660" s="3">
        <v>7</v>
      </c>
    </row>
    <row r="3661" spans="1:11">
      <c r="A3661" s="1">
        <v>45756</v>
      </c>
      <c r="B3661" t="s">
        <v>1981</v>
      </c>
      <c r="C3661">
        <v>3.1949999999999998</v>
      </c>
      <c r="I3661" s="1">
        <v>45762</v>
      </c>
      <c r="J3661" s="1" t="s">
        <v>284</v>
      </c>
      <c r="K3661" s="3">
        <v>14519.18</v>
      </c>
    </row>
    <row r="3662" spans="1:11">
      <c r="A3662" s="1">
        <v>45756</v>
      </c>
      <c r="B3662" t="s">
        <v>1982</v>
      </c>
      <c r="C3662">
        <v>3.3210000000000002</v>
      </c>
      <c r="I3662" s="1">
        <v>45762</v>
      </c>
      <c r="J3662" s="1" t="s">
        <v>285</v>
      </c>
      <c r="K3662" s="3">
        <v>4</v>
      </c>
    </row>
    <row r="3663" spans="1:11">
      <c r="A3663" s="1">
        <v>45756</v>
      </c>
      <c r="B3663" t="s">
        <v>1983</v>
      </c>
      <c r="C3663">
        <v>3.415</v>
      </c>
      <c r="I3663" s="1">
        <v>45762</v>
      </c>
      <c r="J3663" s="1" t="s">
        <v>286</v>
      </c>
      <c r="K3663" s="3">
        <v>34853.199999999997</v>
      </c>
    </row>
    <row r="3664" spans="1:11">
      <c r="A3664" s="1">
        <v>45755</v>
      </c>
      <c r="B3664" t="s">
        <v>1974</v>
      </c>
      <c r="C3664">
        <v>2.0830000000000002</v>
      </c>
      <c r="I3664" s="1">
        <v>45762</v>
      </c>
      <c r="J3664" s="1" t="s">
        <v>287</v>
      </c>
      <c r="K3664" s="3">
        <v>106445.87</v>
      </c>
    </row>
    <row r="3665" spans="1:11">
      <c r="A3665" s="1">
        <v>45755</v>
      </c>
      <c r="B3665" t="s">
        <v>1975</v>
      </c>
      <c r="C3665">
        <v>2.11</v>
      </c>
      <c r="I3665" s="1">
        <v>45762</v>
      </c>
      <c r="J3665" s="1" t="s">
        <v>288</v>
      </c>
      <c r="K3665" s="3">
        <v>-48508.39</v>
      </c>
    </row>
    <row r="3666" spans="1:11">
      <c r="A3666" s="1">
        <v>45755</v>
      </c>
      <c r="B3666" t="s">
        <v>1976</v>
      </c>
      <c r="C3666">
        <v>2.173</v>
      </c>
      <c r="I3666" s="1">
        <v>45762</v>
      </c>
      <c r="J3666" s="1" t="s">
        <v>289</v>
      </c>
      <c r="K3666" s="3">
        <v>13</v>
      </c>
    </row>
    <row r="3667" spans="1:11">
      <c r="A3667" s="1">
        <v>45755</v>
      </c>
      <c r="B3667" t="s">
        <v>1977</v>
      </c>
      <c r="C3667">
        <v>2.274</v>
      </c>
      <c r="I3667" s="1">
        <v>45762</v>
      </c>
      <c r="J3667" s="1" t="s">
        <v>290</v>
      </c>
      <c r="K3667" s="3">
        <v>13</v>
      </c>
    </row>
    <row r="3668" spans="1:11">
      <c r="A3668" s="1">
        <v>45755</v>
      </c>
      <c r="B3668" t="s">
        <v>1978</v>
      </c>
      <c r="C3668">
        <v>2.3759999999999999</v>
      </c>
      <c r="I3668" s="1">
        <v>45762</v>
      </c>
      <c r="J3668" s="1" t="s">
        <v>107</v>
      </c>
      <c r="K3668" s="3">
        <v>8274713620275</v>
      </c>
    </row>
    <row r="3669" spans="1:11">
      <c r="A3669" s="1">
        <v>45755</v>
      </c>
      <c r="B3669" t="s">
        <v>1979</v>
      </c>
      <c r="C3669">
        <v>2.7360000000000002</v>
      </c>
      <c r="I3669" s="1">
        <v>45761</v>
      </c>
      <c r="J3669" s="1" t="s">
        <v>282</v>
      </c>
      <c r="K3669" s="3">
        <v>10000</v>
      </c>
    </row>
    <row r="3670" spans="1:11">
      <c r="A3670" s="1">
        <v>45755</v>
      </c>
      <c r="B3670" t="s">
        <v>1980</v>
      </c>
      <c r="C3670">
        <v>3.0379999999999998</v>
      </c>
      <c r="I3670" s="1">
        <v>45761</v>
      </c>
      <c r="J3670" s="1" t="s">
        <v>283</v>
      </c>
      <c r="K3670" s="3">
        <v>7</v>
      </c>
    </row>
    <row r="3671" spans="1:11">
      <c r="A3671" s="1">
        <v>45755</v>
      </c>
      <c r="B3671" t="s">
        <v>1981</v>
      </c>
      <c r="C3671">
        <v>3.1960000000000002</v>
      </c>
      <c r="I3671" s="1">
        <v>45761</v>
      </c>
      <c r="J3671" s="1" t="s">
        <v>284</v>
      </c>
      <c r="K3671" s="3">
        <v>17301.95</v>
      </c>
    </row>
    <row r="3672" spans="1:11">
      <c r="A3672" s="1">
        <v>45755</v>
      </c>
      <c r="B3672" t="s">
        <v>1982</v>
      </c>
      <c r="C3672">
        <v>3.3210000000000002</v>
      </c>
      <c r="I3672" s="1">
        <v>45761</v>
      </c>
      <c r="J3672" s="1" t="s">
        <v>285</v>
      </c>
      <c r="K3672" s="3">
        <v>4</v>
      </c>
    </row>
    <row r="3673" spans="1:11">
      <c r="A3673" s="1">
        <v>45755</v>
      </c>
      <c r="B3673" t="s">
        <v>1983</v>
      </c>
      <c r="C3673">
        <v>3.415</v>
      </c>
      <c r="I3673" s="1">
        <v>45761</v>
      </c>
      <c r="J3673" s="1" t="s">
        <v>286</v>
      </c>
      <c r="K3673" s="3">
        <v>10327.58</v>
      </c>
    </row>
    <row r="3674" spans="1:11">
      <c r="A3674" s="1">
        <v>45751</v>
      </c>
      <c r="B3674" t="s">
        <v>1974</v>
      </c>
      <c r="C3674">
        <v>2.0830000000000002</v>
      </c>
      <c r="I3674" s="1">
        <v>45761</v>
      </c>
      <c r="J3674" s="1" t="s">
        <v>287</v>
      </c>
      <c r="K3674" s="3">
        <v>126779.89</v>
      </c>
    </row>
    <row r="3675" spans="1:11">
      <c r="A3675" s="1">
        <v>45751</v>
      </c>
      <c r="B3675" t="s">
        <v>1975</v>
      </c>
      <c r="C3675">
        <v>2.11</v>
      </c>
      <c r="I3675" s="1">
        <v>45761</v>
      </c>
      <c r="J3675" s="1" t="s">
        <v>288</v>
      </c>
      <c r="K3675" s="3">
        <v>-65735.41</v>
      </c>
    </row>
    <row r="3676" spans="1:11">
      <c r="A3676" s="1">
        <v>45751</v>
      </c>
      <c r="B3676" t="s">
        <v>1976</v>
      </c>
      <c r="C3676">
        <v>2.169</v>
      </c>
      <c r="I3676" s="1">
        <v>45761</v>
      </c>
      <c r="J3676" s="1" t="s">
        <v>289</v>
      </c>
      <c r="K3676" s="3">
        <v>9</v>
      </c>
    </row>
    <row r="3677" spans="1:11">
      <c r="A3677" s="1">
        <v>45751</v>
      </c>
      <c r="B3677" t="s">
        <v>1977</v>
      </c>
      <c r="C3677">
        <v>2.2690000000000001</v>
      </c>
      <c r="I3677" s="1">
        <v>45761</v>
      </c>
      <c r="J3677" s="1" t="s">
        <v>290</v>
      </c>
      <c r="K3677" s="3">
        <v>9</v>
      </c>
    </row>
    <row r="3678" spans="1:11">
      <c r="A3678" s="1">
        <v>45751</v>
      </c>
      <c r="B3678" t="s">
        <v>1978</v>
      </c>
      <c r="C3678">
        <v>2.37</v>
      </c>
      <c r="I3678" s="1">
        <v>45761</v>
      </c>
      <c r="J3678" s="1" t="s">
        <v>107</v>
      </c>
      <c r="K3678" s="3">
        <v>7482033695918</v>
      </c>
    </row>
    <row r="3679" spans="1:11">
      <c r="A3679" s="1">
        <v>45751</v>
      </c>
      <c r="B3679" t="s">
        <v>1979</v>
      </c>
      <c r="C3679">
        <v>2.7109999999999999</v>
      </c>
      <c r="I3679" s="1">
        <v>45760</v>
      </c>
      <c r="J3679" s="1" t="s">
        <v>107</v>
      </c>
      <c r="K3679" s="3">
        <v>6672244096113</v>
      </c>
    </row>
    <row r="3680" spans="1:11">
      <c r="A3680" s="1">
        <v>45751</v>
      </c>
      <c r="B3680" t="s">
        <v>1980</v>
      </c>
      <c r="C3680">
        <v>3.0179999999999998</v>
      </c>
      <c r="I3680" s="1">
        <v>45758</v>
      </c>
      <c r="J3680" s="1" t="s">
        <v>282</v>
      </c>
      <c r="K3680" s="3">
        <v>10000</v>
      </c>
    </row>
    <row r="3681" spans="1:11">
      <c r="A3681" s="1">
        <v>45751</v>
      </c>
      <c r="B3681" t="s">
        <v>1981</v>
      </c>
      <c r="C3681">
        <v>3.1970000000000001</v>
      </c>
      <c r="I3681" s="1">
        <v>45758</v>
      </c>
      <c r="J3681" s="1" t="s">
        <v>283</v>
      </c>
      <c r="K3681" s="3">
        <v>7</v>
      </c>
    </row>
    <row r="3682" spans="1:11">
      <c r="A3682" s="1">
        <v>45751</v>
      </c>
      <c r="B3682" t="s">
        <v>1982</v>
      </c>
      <c r="C3682">
        <v>3.3210000000000002</v>
      </c>
      <c r="I3682" s="1">
        <v>45758</v>
      </c>
      <c r="J3682" s="1" t="s">
        <v>284</v>
      </c>
      <c r="K3682" s="3">
        <v>18939.2</v>
      </c>
    </row>
    <row r="3683" spans="1:11">
      <c r="A3683" s="1">
        <v>45751</v>
      </c>
      <c r="B3683" t="s">
        <v>1983</v>
      </c>
      <c r="C3683">
        <v>3.415</v>
      </c>
      <c r="I3683" s="1">
        <v>45758</v>
      </c>
      <c r="J3683" s="1" t="s">
        <v>285</v>
      </c>
      <c r="K3683" s="3">
        <v>4</v>
      </c>
    </row>
    <row r="3684" spans="1:11">
      <c r="A3684" s="1">
        <v>45750</v>
      </c>
      <c r="B3684" t="s">
        <v>1974</v>
      </c>
      <c r="C3684">
        <v>2.0830000000000002</v>
      </c>
      <c r="I3684" s="1">
        <v>45758</v>
      </c>
      <c r="J3684" s="1" t="s">
        <v>286</v>
      </c>
      <c r="K3684" s="3">
        <v>9041.4699999999993</v>
      </c>
    </row>
    <row r="3685" spans="1:11">
      <c r="A3685" s="1">
        <v>45750</v>
      </c>
      <c r="B3685" t="s">
        <v>1975</v>
      </c>
      <c r="C3685">
        <v>2.1059999999999999</v>
      </c>
      <c r="I3685" s="1">
        <v>45758</v>
      </c>
      <c r="J3685" s="1" t="s">
        <v>287</v>
      </c>
      <c r="K3685" s="3">
        <v>119805.52</v>
      </c>
    </row>
    <row r="3686" spans="1:11">
      <c r="A3686" s="1">
        <v>45750</v>
      </c>
      <c r="B3686" t="s">
        <v>1976</v>
      </c>
      <c r="C3686">
        <v>2.173</v>
      </c>
      <c r="I3686" s="1">
        <v>45758</v>
      </c>
      <c r="J3686" s="1" t="s">
        <v>288</v>
      </c>
      <c r="K3686" s="3">
        <v>-72035.399999999994</v>
      </c>
    </row>
    <row r="3687" spans="1:11">
      <c r="A3687" s="1">
        <v>45750</v>
      </c>
      <c r="B3687" t="s">
        <v>1977</v>
      </c>
      <c r="C3687">
        <v>2.2709999999999999</v>
      </c>
      <c r="I3687" s="1">
        <v>45758</v>
      </c>
      <c r="J3687" s="1" t="s">
        <v>289</v>
      </c>
      <c r="K3687" s="3">
        <v>12</v>
      </c>
    </row>
    <row r="3688" spans="1:11">
      <c r="A3688" s="1">
        <v>45750</v>
      </c>
      <c r="B3688" t="s">
        <v>1978</v>
      </c>
      <c r="C3688">
        <v>2.37</v>
      </c>
      <c r="I3688" s="1">
        <v>45758</v>
      </c>
      <c r="J3688" s="1" t="s">
        <v>290</v>
      </c>
      <c r="K3688" s="3">
        <v>12</v>
      </c>
    </row>
    <row r="3689" spans="1:11">
      <c r="A3689" s="1">
        <v>45750</v>
      </c>
      <c r="B3689" t="s">
        <v>1979</v>
      </c>
      <c r="C3689">
        <v>2.7330000000000001</v>
      </c>
      <c r="I3689" s="1">
        <v>45757</v>
      </c>
      <c r="J3689" s="1" t="s">
        <v>107</v>
      </c>
      <c r="K3689" s="3">
        <v>6107550354371</v>
      </c>
    </row>
    <row r="3690" spans="1:11">
      <c r="A3690" s="1">
        <v>45750</v>
      </c>
      <c r="B3690" t="s">
        <v>1980</v>
      </c>
      <c r="C3690">
        <v>3.04</v>
      </c>
      <c r="I3690" s="1">
        <v>45757</v>
      </c>
      <c r="J3690" s="1" t="s">
        <v>282</v>
      </c>
      <c r="K3690" s="3">
        <v>10000</v>
      </c>
    </row>
    <row r="3691" spans="1:11">
      <c r="A3691" s="1">
        <v>45750</v>
      </c>
      <c r="B3691" t="s">
        <v>1981</v>
      </c>
      <c r="C3691">
        <v>3.2050000000000001</v>
      </c>
      <c r="I3691" s="1">
        <v>45757</v>
      </c>
      <c r="J3691" s="1" t="s">
        <v>283</v>
      </c>
      <c r="K3691" s="3">
        <v>7</v>
      </c>
    </row>
    <row r="3692" spans="1:11">
      <c r="A3692" s="1">
        <v>45750</v>
      </c>
      <c r="B3692" t="s">
        <v>1982</v>
      </c>
      <c r="C3692">
        <v>3.3250000000000002</v>
      </c>
      <c r="I3692" s="1">
        <v>45757</v>
      </c>
      <c r="J3692" s="1" t="s">
        <v>284</v>
      </c>
      <c r="K3692" s="3">
        <v>8327.68</v>
      </c>
    </row>
    <row r="3693" spans="1:11">
      <c r="A3693" s="1">
        <v>45750</v>
      </c>
      <c r="B3693" t="s">
        <v>1983</v>
      </c>
      <c r="C3693">
        <v>3.415</v>
      </c>
      <c r="I3693" s="1">
        <v>45757</v>
      </c>
      <c r="J3693" s="1" t="s">
        <v>285</v>
      </c>
      <c r="K3693" s="3">
        <v>4</v>
      </c>
    </row>
    <row r="3694" spans="1:11">
      <c r="A3694" s="1">
        <v>45749</v>
      </c>
      <c r="B3694" t="s">
        <v>1974</v>
      </c>
      <c r="C3694">
        <v>2.0750000000000002</v>
      </c>
      <c r="I3694" s="1">
        <v>45757</v>
      </c>
      <c r="J3694" s="1" t="s">
        <v>286</v>
      </c>
      <c r="K3694" s="3">
        <v>1594.17</v>
      </c>
    </row>
    <row r="3695" spans="1:11">
      <c r="A3695" s="1">
        <v>45749</v>
      </c>
      <c r="B3695" t="s">
        <v>1975</v>
      </c>
      <c r="C3695">
        <v>2.0939999999999999</v>
      </c>
      <c r="I3695" s="1">
        <v>45757</v>
      </c>
      <c r="J3695" s="1" t="s">
        <v>287</v>
      </c>
      <c r="K3695" s="3">
        <v>109907.79</v>
      </c>
    </row>
    <row r="3696" spans="1:11">
      <c r="A3696" s="1">
        <v>45749</v>
      </c>
      <c r="B3696" t="s">
        <v>1976</v>
      </c>
      <c r="C3696">
        <v>2.1560000000000001</v>
      </c>
      <c r="I3696" s="1">
        <v>45757</v>
      </c>
      <c r="J3696" s="1" t="s">
        <v>288</v>
      </c>
      <c r="K3696" s="3">
        <v>-66864.44</v>
      </c>
    </row>
    <row r="3697" spans="1:11">
      <c r="A3697" s="1">
        <v>45749</v>
      </c>
      <c r="B3697" t="s">
        <v>1977</v>
      </c>
      <c r="C3697">
        <v>2.2210000000000001</v>
      </c>
      <c r="I3697" s="1">
        <v>45757</v>
      </c>
      <c r="J3697" s="1" t="s">
        <v>289</v>
      </c>
      <c r="K3697" s="3">
        <v>7</v>
      </c>
    </row>
    <row r="3698" spans="1:11">
      <c r="A3698" s="1">
        <v>45749</v>
      </c>
      <c r="B3698" t="s">
        <v>1978</v>
      </c>
      <c r="C3698">
        <v>2.2850000000000001</v>
      </c>
      <c r="I3698" s="1">
        <v>45757</v>
      </c>
      <c r="J3698" s="1" t="s">
        <v>290</v>
      </c>
      <c r="K3698" s="3">
        <v>7</v>
      </c>
    </row>
    <row r="3699" spans="1:11">
      <c r="A3699" s="1">
        <v>45749</v>
      </c>
      <c r="B3699" t="s">
        <v>1979</v>
      </c>
      <c r="C3699">
        <v>2.6659999999999999</v>
      </c>
      <c r="I3699" s="1">
        <v>45756</v>
      </c>
      <c r="J3699" s="1" t="s">
        <v>107</v>
      </c>
      <c r="K3699" s="3">
        <v>4746487780592</v>
      </c>
    </row>
    <row r="3700" spans="1:11">
      <c r="A3700" s="1">
        <v>45749</v>
      </c>
      <c r="B3700" t="s">
        <v>1980</v>
      </c>
      <c r="C3700">
        <v>2.964</v>
      </c>
      <c r="I3700" s="1">
        <v>45756</v>
      </c>
      <c r="J3700" s="1" t="s">
        <v>282</v>
      </c>
      <c r="K3700" s="3">
        <v>10000</v>
      </c>
    </row>
    <row r="3701" spans="1:11">
      <c r="A3701" s="1">
        <v>45749</v>
      </c>
      <c r="B3701" t="s">
        <v>1981</v>
      </c>
      <c r="C3701">
        <v>3.157</v>
      </c>
      <c r="I3701" s="1">
        <v>45756</v>
      </c>
      <c r="J3701" s="1" t="s">
        <v>283</v>
      </c>
      <c r="K3701" s="3">
        <v>7</v>
      </c>
    </row>
    <row r="3702" spans="1:11">
      <c r="A3702" s="1">
        <v>45749</v>
      </c>
      <c r="B3702" t="s">
        <v>1982</v>
      </c>
      <c r="C3702">
        <v>3.3130000000000002</v>
      </c>
      <c r="I3702" s="1">
        <v>45756</v>
      </c>
      <c r="J3702" s="1" t="s">
        <v>284</v>
      </c>
      <c r="K3702" s="3">
        <v>12970.75</v>
      </c>
    </row>
    <row r="3703" spans="1:11">
      <c r="A3703" s="1">
        <v>45749</v>
      </c>
      <c r="B3703" t="s">
        <v>1983</v>
      </c>
      <c r="C3703">
        <v>3.4129999999999998</v>
      </c>
      <c r="I3703" s="1">
        <v>45756</v>
      </c>
      <c r="J3703" s="1" t="s">
        <v>285</v>
      </c>
      <c r="K3703" s="3">
        <v>4</v>
      </c>
    </row>
    <row r="3704" spans="1:11">
      <c r="A3704" s="1">
        <v>45748</v>
      </c>
      <c r="B3704" t="s">
        <v>1974</v>
      </c>
      <c r="C3704">
        <v>2.0750000000000002</v>
      </c>
      <c r="I3704" s="1">
        <v>45756</v>
      </c>
      <c r="J3704" s="1" t="s">
        <v>286</v>
      </c>
      <c r="K3704" s="3">
        <v>3696.27</v>
      </c>
    </row>
    <row r="3705" spans="1:11">
      <c r="A3705" s="1">
        <v>45748</v>
      </c>
      <c r="B3705" t="s">
        <v>1975</v>
      </c>
      <c r="C3705">
        <v>2.0939999999999999</v>
      </c>
      <c r="I3705" s="1">
        <v>45756</v>
      </c>
      <c r="J3705" s="1" t="s">
        <v>287</v>
      </c>
      <c r="K3705" s="3">
        <v>103174.28</v>
      </c>
    </row>
    <row r="3706" spans="1:11">
      <c r="A3706" s="1">
        <v>45748</v>
      </c>
      <c r="B3706" t="s">
        <v>1976</v>
      </c>
      <c r="C3706">
        <v>2.1560000000000001</v>
      </c>
      <c r="I3706" s="1">
        <v>45756</v>
      </c>
      <c r="J3706" s="1" t="s">
        <v>288</v>
      </c>
      <c r="K3706" s="3">
        <v>-67088.77</v>
      </c>
    </row>
    <row r="3707" spans="1:11">
      <c r="A3707" s="1">
        <v>45748</v>
      </c>
      <c r="B3707" t="s">
        <v>1977</v>
      </c>
      <c r="C3707">
        <v>2.2280000000000002</v>
      </c>
      <c r="I3707" s="1">
        <v>45756</v>
      </c>
      <c r="J3707" s="1" t="s">
        <v>289</v>
      </c>
      <c r="K3707" s="3">
        <v>15</v>
      </c>
    </row>
    <row r="3708" spans="1:11">
      <c r="A3708" s="1">
        <v>45748</v>
      </c>
      <c r="B3708" t="s">
        <v>1978</v>
      </c>
      <c r="C3708">
        <v>2.2989999999999999</v>
      </c>
      <c r="I3708" s="1">
        <v>45756</v>
      </c>
      <c r="J3708" s="1" t="s">
        <v>290</v>
      </c>
      <c r="K3708" s="3">
        <v>15</v>
      </c>
    </row>
    <row r="3709" spans="1:11">
      <c r="A3709" s="1">
        <v>45748</v>
      </c>
      <c r="B3709" t="s">
        <v>1979</v>
      </c>
      <c r="C3709">
        <v>2.6619999999999999</v>
      </c>
      <c r="I3709" s="1">
        <v>45755</v>
      </c>
      <c r="J3709" s="1" t="s">
        <v>282</v>
      </c>
      <c r="K3709" s="3">
        <v>20000</v>
      </c>
    </row>
    <row r="3710" spans="1:11">
      <c r="A3710" s="1">
        <v>45748</v>
      </c>
      <c r="B3710" t="s">
        <v>1980</v>
      </c>
      <c r="C3710">
        <v>2.9689999999999999</v>
      </c>
      <c r="I3710" s="1">
        <v>45755</v>
      </c>
      <c r="J3710" s="1" t="s">
        <v>283</v>
      </c>
      <c r="K3710" s="3">
        <v>7</v>
      </c>
    </row>
    <row r="3711" spans="1:11">
      <c r="A3711" s="1">
        <v>45748</v>
      </c>
      <c r="B3711" t="s">
        <v>1981</v>
      </c>
      <c r="C3711">
        <v>3.1560000000000001</v>
      </c>
      <c r="I3711" s="1">
        <v>45755</v>
      </c>
      <c r="J3711" s="1" t="s">
        <v>284</v>
      </c>
      <c r="K3711" s="3">
        <v>33816.39</v>
      </c>
    </row>
    <row r="3712" spans="1:11">
      <c r="A3712" s="1">
        <v>45748</v>
      </c>
      <c r="B3712" t="s">
        <v>1982</v>
      </c>
      <c r="C3712">
        <v>3.3130000000000002</v>
      </c>
      <c r="I3712" s="1">
        <v>45755</v>
      </c>
      <c r="J3712" s="1" t="s">
        <v>285</v>
      </c>
      <c r="K3712" s="3">
        <v>4</v>
      </c>
    </row>
    <row r="3713" spans="1:11">
      <c r="A3713" s="1">
        <v>45748</v>
      </c>
      <c r="B3713" t="s">
        <v>1983</v>
      </c>
      <c r="C3713">
        <v>3.4129999999999998</v>
      </c>
      <c r="I3713" s="1">
        <v>45755</v>
      </c>
      <c r="J3713" s="1" t="s">
        <v>286</v>
      </c>
      <c r="K3713" s="3">
        <v>29967.439999999999</v>
      </c>
    </row>
    <row r="3714" spans="1:11">
      <c r="A3714" s="1">
        <v>45747</v>
      </c>
      <c r="B3714" t="s">
        <v>1974</v>
      </c>
      <c r="C3714">
        <v>2.0750000000000002</v>
      </c>
      <c r="I3714" s="1">
        <v>45755</v>
      </c>
      <c r="J3714" s="1" t="s">
        <v>287</v>
      </c>
      <c r="K3714" s="3">
        <v>93899.8</v>
      </c>
    </row>
    <row r="3715" spans="1:11">
      <c r="A3715" s="1">
        <v>45747</v>
      </c>
      <c r="B3715" t="s">
        <v>1975</v>
      </c>
      <c r="C3715">
        <v>2.0939999999999999</v>
      </c>
      <c r="I3715" s="1">
        <v>45755</v>
      </c>
      <c r="J3715" s="1" t="s">
        <v>288</v>
      </c>
      <c r="K3715" s="3">
        <v>-59512.69</v>
      </c>
    </row>
    <row r="3716" spans="1:11">
      <c r="A3716" s="1">
        <v>45747</v>
      </c>
      <c r="B3716" t="s">
        <v>1976</v>
      </c>
      <c r="C3716">
        <v>2.1560000000000001</v>
      </c>
      <c r="I3716" s="1">
        <v>45755</v>
      </c>
      <c r="J3716" s="1" t="s">
        <v>289</v>
      </c>
      <c r="K3716" s="3">
        <v>16</v>
      </c>
    </row>
    <row r="3717" spans="1:11">
      <c r="A3717" s="1">
        <v>45747</v>
      </c>
      <c r="B3717" t="s">
        <v>1977</v>
      </c>
      <c r="C3717">
        <v>2.2240000000000002</v>
      </c>
      <c r="I3717" s="1">
        <v>45755</v>
      </c>
      <c r="J3717" s="1" t="s">
        <v>290</v>
      </c>
      <c r="K3717" s="3">
        <v>17</v>
      </c>
    </row>
    <row r="3718" spans="1:11">
      <c r="A3718" s="1">
        <v>45747</v>
      </c>
      <c r="B3718" t="s">
        <v>1978</v>
      </c>
      <c r="C3718">
        <v>2.2919999999999998</v>
      </c>
      <c r="I3718" s="1">
        <v>45755</v>
      </c>
      <c r="J3718" s="1" t="s">
        <v>107</v>
      </c>
      <c r="K3718" s="3">
        <v>3748679112935</v>
      </c>
    </row>
    <row r="3719" spans="1:11">
      <c r="A3719" s="1">
        <v>45747</v>
      </c>
      <c r="B3719" t="s">
        <v>1979</v>
      </c>
      <c r="C3719">
        <v>2.657</v>
      </c>
      <c r="I3719" s="1">
        <v>45754</v>
      </c>
      <c r="J3719" s="1" t="s">
        <v>107</v>
      </c>
      <c r="K3719" s="3">
        <v>2844440616879</v>
      </c>
    </row>
    <row r="3720" spans="1:11">
      <c r="A3720" s="1">
        <v>45747</v>
      </c>
      <c r="B3720" t="s">
        <v>1980</v>
      </c>
      <c r="C3720">
        <v>2.9630000000000001</v>
      </c>
      <c r="I3720" s="1">
        <v>45754</v>
      </c>
      <c r="J3720" s="1" t="s">
        <v>282</v>
      </c>
      <c r="K3720" s="3">
        <v>0</v>
      </c>
    </row>
    <row r="3721" spans="1:11">
      <c r="A3721" s="1">
        <v>45747</v>
      </c>
      <c r="B3721" t="s">
        <v>1981</v>
      </c>
      <c r="C3721">
        <v>3.1560000000000001</v>
      </c>
      <c r="I3721" s="1">
        <v>45754</v>
      </c>
      <c r="J3721" s="1" t="s">
        <v>283</v>
      </c>
      <c r="K3721" s="3">
        <v>0</v>
      </c>
    </row>
    <row r="3722" spans="1:11">
      <c r="A3722" s="1">
        <v>45747</v>
      </c>
      <c r="B3722" t="s">
        <v>1982</v>
      </c>
      <c r="C3722">
        <v>3.3130000000000002</v>
      </c>
      <c r="I3722" s="1">
        <v>45754</v>
      </c>
      <c r="J3722" s="1" t="s">
        <v>284</v>
      </c>
      <c r="K3722" s="3">
        <v>0</v>
      </c>
    </row>
    <row r="3723" spans="1:11">
      <c r="A3723" s="1">
        <v>45747</v>
      </c>
      <c r="B3723" t="s">
        <v>1983</v>
      </c>
      <c r="C3723">
        <v>3.4129999999999998</v>
      </c>
      <c r="I3723" s="1">
        <v>45754</v>
      </c>
      <c r="J3723" s="1" t="s">
        <v>285</v>
      </c>
      <c r="K3723" s="3">
        <v>0</v>
      </c>
    </row>
    <row r="3724" spans="1:11">
      <c r="A3724" s="1">
        <v>45744</v>
      </c>
      <c r="B3724" t="s">
        <v>1974</v>
      </c>
      <c r="C3724">
        <v>2.0750000000000002</v>
      </c>
      <c r="I3724" s="1">
        <v>45754</v>
      </c>
      <c r="J3724" s="1" t="s">
        <v>286</v>
      </c>
      <c r="K3724" s="3">
        <v>5834.42</v>
      </c>
    </row>
    <row r="3725" spans="1:11">
      <c r="A3725" s="1">
        <v>45744</v>
      </c>
      <c r="B3725" t="s">
        <v>1975</v>
      </c>
      <c r="C3725">
        <v>2.0939999999999999</v>
      </c>
      <c r="I3725" s="1">
        <v>45754</v>
      </c>
      <c r="J3725" s="1" t="s">
        <v>287</v>
      </c>
      <c r="K3725" s="3">
        <v>90050.85</v>
      </c>
    </row>
    <row r="3726" spans="1:11">
      <c r="A3726" s="1">
        <v>45744</v>
      </c>
      <c r="B3726" t="s">
        <v>1976</v>
      </c>
      <c r="C3726">
        <v>2.1560000000000001</v>
      </c>
      <c r="I3726" s="1">
        <v>45751</v>
      </c>
      <c r="J3726" s="1" t="s">
        <v>282</v>
      </c>
      <c r="K3726" s="3">
        <v>10000</v>
      </c>
    </row>
    <row r="3727" spans="1:11">
      <c r="A3727" s="1">
        <v>45744</v>
      </c>
      <c r="B3727" t="s">
        <v>1977</v>
      </c>
      <c r="C3727">
        <v>2.23</v>
      </c>
      <c r="I3727" s="1">
        <v>45751</v>
      </c>
      <c r="J3727" s="1" t="s">
        <v>283</v>
      </c>
      <c r="K3727" s="3">
        <v>7</v>
      </c>
    </row>
    <row r="3728" spans="1:11">
      <c r="A3728" s="1">
        <v>45744</v>
      </c>
      <c r="B3728" t="s">
        <v>1978</v>
      </c>
      <c r="C3728">
        <v>2.3039999999999998</v>
      </c>
      <c r="I3728" s="1">
        <v>45751</v>
      </c>
      <c r="J3728" s="1" t="s">
        <v>284</v>
      </c>
      <c r="K3728" s="3">
        <v>12387.47</v>
      </c>
    </row>
    <row r="3729" spans="1:11">
      <c r="A3729" s="1">
        <v>45744</v>
      </c>
      <c r="B3729" t="s">
        <v>1979</v>
      </c>
      <c r="C3729">
        <v>2.6720000000000002</v>
      </c>
      <c r="I3729" s="1">
        <v>45751</v>
      </c>
      <c r="J3729" s="1" t="s">
        <v>285</v>
      </c>
      <c r="K3729" s="3">
        <v>4</v>
      </c>
    </row>
    <row r="3730" spans="1:11">
      <c r="A3730" s="1">
        <v>45744</v>
      </c>
      <c r="B3730" t="s">
        <v>1980</v>
      </c>
      <c r="C3730">
        <v>2.964</v>
      </c>
      <c r="I3730" s="1">
        <v>45751</v>
      </c>
      <c r="J3730" s="1" t="s">
        <v>286</v>
      </c>
      <c r="K3730" s="3">
        <v>10095.209999999999</v>
      </c>
    </row>
    <row r="3731" spans="1:11">
      <c r="A3731" s="1">
        <v>45744</v>
      </c>
      <c r="B3731" t="s">
        <v>1981</v>
      </c>
      <c r="C3731">
        <v>3.157</v>
      </c>
      <c r="I3731" s="1">
        <v>45751</v>
      </c>
      <c r="J3731" s="1" t="s">
        <v>287</v>
      </c>
      <c r="K3731" s="3">
        <v>95885.27</v>
      </c>
    </row>
    <row r="3732" spans="1:11">
      <c r="A3732" s="1">
        <v>45744</v>
      </c>
      <c r="B3732" t="s">
        <v>1982</v>
      </c>
      <c r="C3732">
        <v>3.3130000000000002</v>
      </c>
      <c r="I3732" s="1">
        <v>45751</v>
      </c>
      <c r="J3732" s="1" t="s">
        <v>288</v>
      </c>
      <c r="K3732" s="3">
        <v>-50133.77</v>
      </c>
    </row>
    <row r="3733" spans="1:11">
      <c r="A3733" s="1">
        <v>45744</v>
      </c>
      <c r="B3733" t="s">
        <v>1983</v>
      </c>
      <c r="C3733">
        <v>3.4129999999999998</v>
      </c>
      <c r="I3733" s="1">
        <v>45751</v>
      </c>
      <c r="J3733" s="1" t="s">
        <v>289</v>
      </c>
      <c r="K3733" s="3">
        <v>7</v>
      </c>
    </row>
    <row r="3734" spans="1:11">
      <c r="A3734" s="1">
        <v>45743</v>
      </c>
      <c r="B3734" t="s">
        <v>1974</v>
      </c>
      <c r="C3734">
        <v>2.0750000000000002</v>
      </c>
      <c r="I3734" s="1">
        <v>45751</v>
      </c>
      <c r="J3734" s="1" t="s">
        <v>290</v>
      </c>
      <c r="K3734" s="3">
        <v>7</v>
      </c>
    </row>
    <row r="3735" spans="1:11">
      <c r="A3735" s="1">
        <v>45743</v>
      </c>
      <c r="B3735" t="s">
        <v>1975</v>
      </c>
      <c r="C3735">
        <v>2.0939999999999999</v>
      </c>
      <c r="I3735" s="1">
        <v>45750</v>
      </c>
      <c r="J3735" s="1" t="s">
        <v>107</v>
      </c>
      <c r="K3735" s="3">
        <v>2351545191341</v>
      </c>
    </row>
    <row r="3736" spans="1:11">
      <c r="A3736" s="1">
        <v>45743</v>
      </c>
      <c r="B3736" t="s">
        <v>1976</v>
      </c>
      <c r="C3736">
        <v>2.1560000000000001</v>
      </c>
      <c r="I3736" s="1">
        <v>45750</v>
      </c>
      <c r="J3736" s="1" t="s">
        <v>282</v>
      </c>
      <c r="K3736" s="3">
        <v>10000</v>
      </c>
    </row>
    <row r="3737" spans="1:11">
      <c r="A3737" s="1">
        <v>45743</v>
      </c>
      <c r="B3737" t="s">
        <v>1977</v>
      </c>
      <c r="C3737">
        <v>2.23</v>
      </c>
      <c r="I3737" s="1">
        <v>45750</v>
      </c>
      <c r="J3737" s="1" t="s">
        <v>283</v>
      </c>
      <c r="K3737" s="3">
        <v>7</v>
      </c>
    </row>
    <row r="3738" spans="1:11">
      <c r="A3738" s="1">
        <v>45743</v>
      </c>
      <c r="B3738" t="s">
        <v>1978</v>
      </c>
      <c r="C3738">
        <v>2.3039999999999998</v>
      </c>
      <c r="I3738" s="1">
        <v>45750</v>
      </c>
      <c r="J3738" s="1" t="s">
        <v>284</v>
      </c>
      <c r="K3738" s="3">
        <v>1741.56</v>
      </c>
    </row>
    <row r="3739" spans="1:11">
      <c r="A3739" s="1">
        <v>45743</v>
      </c>
      <c r="B3739" t="s">
        <v>1979</v>
      </c>
      <c r="C3739">
        <v>2.673</v>
      </c>
      <c r="I3739" s="1">
        <v>45750</v>
      </c>
      <c r="J3739" s="1" t="s">
        <v>285</v>
      </c>
      <c r="K3739" s="3">
        <v>4</v>
      </c>
    </row>
    <row r="3740" spans="1:11">
      <c r="A3740" s="1">
        <v>45743</v>
      </c>
      <c r="B3740" t="s">
        <v>1980</v>
      </c>
      <c r="C3740">
        <v>2.97</v>
      </c>
      <c r="I3740" s="1">
        <v>45750</v>
      </c>
      <c r="J3740" s="1" t="s">
        <v>286</v>
      </c>
      <c r="K3740" s="3">
        <v>3386.14</v>
      </c>
    </row>
    <row r="3741" spans="1:11">
      <c r="A3741" s="1">
        <v>45743</v>
      </c>
      <c r="B3741" t="s">
        <v>1981</v>
      </c>
      <c r="C3741">
        <v>3.1539999999999999</v>
      </c>
      <c r="I3741" s="1">
        <v>45750</v>
      </c>
      <c r="J3741" s="1" t="s">
        <v>287</v>
      </c>
      <c r="K3741" s="3">
        <v>93593.01</v>
      </c>
    </row>
    <row r="3742" spans="1:11">
      <c r="A3742" s="1">
        <v>45743</v>
      </c>
      <c r="B3742" t="s">
        <v>1982</v>
      </c>
      <c r="C3742">
        <v>3.3130000000000002</v>
      </c>
      <c r="I3742" s="1">
        <v>45750</v>
      </c>
      <c r="J3742" s="1" t="s">
        <v>288</v>
      </c>
      <c r="K3742" s="3">
        <v>-51187.51</v>
      </c>
    </row>
    <row r="3743" spans="1:11">
      <c r="A3743" s="1">
        <v>45743</v>
      </c>
      <c r="B3743" t="s">
        <v>1983</v>
      </c>
      <c r="C3743">
        <v>3.4129999999999998</v>
      </c>
      <c r="I3743" s="1">
        <v>45750</v>
      </c>
      <c r="J3743" s="1" t="s">
        <v>289</v>
      </c>
      <c r="K3743" s="3">
        <v>3</v>
      </c>
    </row>
    <row r="3744" spans="1:11">
      <c r="A3744" s="1">
        <v>45742</v>
      </c>
      <c r="B3744" t="s">
        <v>1974</v>
      </c>
      <c r="C3744">
        <v>2.0750000000000002</v>
      </c>
      <c r="I3744" s="1">
        <v>45750</v>
      </c>
      <c r="J3744" s="1" t="s">
        <v>290</v>
      </c>
      <c r="K3744" s="3">
        <v>3</v>
      </c>
    </row>
    <row r="3745" spans="1:11">
      <c r="A3745" s="1">
        <v>45742</v>
      </c>
      <c r="B3745" t="s">
        <v>1975</v>
      </c>
      <c r="C3745">
        <v>2.0939999999999999</v>
      </c>
      <c r="I3745" s="1">
        <v>45749</v>
      </c>
      <c r="J3745" s="1" t="s">
        <v>282</v>
      </c>
      <c r="K3745" s="3">
        <v>20000</v>
      </c>
    </row>
    <row r="3746" spans="1:11">
      <c r="A3746" s="1">
        <v>45742</v>
      </c>
      <c r="B3746" t="s">
        <v>1976</v>
      </c>
      <c r="C3746">
        <v>2.1560000000000001</v>
      </c>
      <c r="I3746" s="1">
        <v>45749</v>
      </c>
      <c r="J3746" s="1" t="s">
        <v>283</v>
      </c>
      <c r="K3746" s="3">
        <v>7</v>
      </c>
    </row>
    <row r="3747" spans="1:11">
      <c r="A3747" s="1">
        <v>45742</v>
      </c>
      <c r="B3747" t="s">
        <v>1977</v>
      </c>
      <c r="C3747">
        <v>2.234</v>
      </c>
      <c r="I3747" s="1">
        <v>45749</v>
      </c>
      <c r="J3747" s="1" t="s">
        <v>284</v>
      </c>
      <c r="K3747" s="3">
        <v>1383.52</v>
      </c>
    </row>
    <row r="3748" spans="1:11">
      <c r="A3748" s="1">
        <v>45742</v>
      </c>
      <c r="B3748" t="s">
        <v>1978</v>
      </c>
      <c r="C3748">
        <v>2.3130000000000002</v>
      </c>
      <c r="I3748" s="1">
        <v>45749</v>
      </c>
      <c r="J3748" s="1" t="s">
        <v>285</v>
      </c>
      <c r="K3748" s="3">
        <v>4</v>
      </c>
    </row>
    <row r="3749" spans="1:11">
      <c r="A3749" s="1">
        <v>45742</v>
      </c>
      <c r="B3749" t="s">
        <v>1979</v>
      </c>
      <c r="C3749">
        <v>2.6739999999999999</v>
      </c>
      <c r="I3749" s="1">
        <v>45749</v>
      </c>
      <c r="J3749" s="1" t="s">
        <v>286</v>
      </c>
      <c r="K3749" s="3">
        <v>5047.67</v>
      </c>
    </row>
    <row r="3750" spans="1:11">
      <c r="A3750" s="1">
        <v>45742</v>
      </c>
      <c r="B3750" t="s">
        <v>1980</v>
      </c>
      <c r="C3750">
        <v>2.9750000000000001</v>
      </c>
      <c r="I3750" s="1">
        <v>45749</v>
      </c>
      <c r="J3750" s="1" t="s">
        <v>287</v>
      </c>
      <c r="K3750" s="3">
        <v>95237.59</v>
      </c>
    </row>
    <row r="3751" spans="1:11">
      <c r="A3751" s="1">
        <v>45742</v>
      </c>
      <c r="B3751" t="s">
        <v>1981</v>
      </c>
      <c r="C3751">
        <v>3.1560000000000001</v>
      </c>
      <c r="I3751" s="1">
        <v>45749</v>
      </c>
      <c r="J3751" s="1" t="s">
        <v>288</v>
      </c>
      <c r="K3751" s="3">
        <v>-52979.48</v>
      </c>
    </row>
    <row r="3752" spans="1:11">
      <c r="A3752" s="1">
        <v>45742</v>
      </c>
      <c r="B3752" t="s">
        <v>1982</v>
      </c>
      <c r="C3752">
        <v>3.3130000000000002</v>
      </c>
      <c r="I3752" s="1">
        <v>45749</v>
      </c>
      <c r="J3752" s="1" t="s">
        <v>289</v>
      </c>
      <c r="K3752" s="3">
        <v>3</v>
      </c>
    </row>
    <row r="3753" spans="1:11">
      <c r="A3753" s="1">
        <v>45742</v>
      </c>
      <c r="B3753" t="s">
        <v>1983</v>
      </c>
      <c r="C3753">
        <v>3.4129999999999998</v>
      </c>
      <c r="I3753" s="1">
        <v>45749</v>
      </c>
      <c r="J3753" s="1" t="s">
        <v>290</v>
      </c>
      <c r="K3753" s="3">
        <v>3</v>
      </c>
    </row>
    <row r="3754" spans="1:11">
      <c r="A3754" s="1">
        <v>45741</v>
      </c>
      <c r="B3754" t="s">
        <v>1974</v>
      </c>
      <c r="C3754">
        <v>2.0750000000000002</v>
      </c>
      <c r="I3754" s="1">
        <v>45749</v>
      </c>
      <c r="J3754" s="1" t="s">
        <v>107</v>
      </c>
      <c r="K3754" s="3">
        <v>3428775145346</v>
      </c>
    </row>
    <row r="3755" spans="1:11">
      <c r="A3755" s="1">
        <v>45741</v>
      </c>
      <c r="B3755" t="s">
        <v>1975</v>
      </c>
      <c r="C3755">
        <v>2.0939999999999999</v>
      </c>
      <c r="I3755" s="1">
        <v>45748</v>
      </c>
      <c r="J3755" s="1" t="s">
        <v>107</v>
      </c>
      <c r="K3755" s="3">
        <v>3428539688491</v>
      </c>
    </row>
    <row r="3756" spans="1:11">
      <c r="A3756" s="1">
        <v>45741</v>
      </c>
      <c r="B3756" t="s">
        <v>1976</v>
      </c>
      <c r="C3756">
        <v>2.1560000000000001</v>
      </c>
      <c r="I3756" s="1">
        <v>45748</v>
      </c>
      <c r="J3756" s="1" t="s">
        <v>282</v>
      </c>
      <c r="K3756" s="3">
        <v>20000</v>
      </c>
    </row>
    <row r="3757" spans="1:11">
      <c r="A3757" s="1">
        <v>45741</v>
      </c>
      <c r="B3757" t="s">
        <v>1977</v>
      </c>
      <c r="C3757">
        <v>2.2320000000000002</v>
      </c>
      <c r="I3757" s="1">
        <v>45748</v>
      </c>
      <c r="J3757" s="1" t="s">
        <v>283</v>
      </c>
      <c r="K3757" s="3">
        <v>7</v>
      </c>
    </row>
    <row r="3758" spans="1:11">
      <c r="A3758" s="1">
        <v>45741</v>
      </c>
      <c r="B3758" t="s">
        <v>1978</v>
      </c>
      <c r="C3758">
        <v>2.3079999999999998</v>
      </c>
      <c r="I3758" s="1">
        <v>45748</v>
      </c>
      <c r="J3758" s="1" t="s">
        <v>284</v>
      </c>
      <c r="K3758" s="3">
        <v>18640.77</v>
      </c>
    </row>
    <row r="3759" spans="1:11">
      <c r="A3759" s="1">
        <v>45741</v>
      </c>
      <c r="B3759" t="s">
        <v>1979</v>
      </c>
      <c r="C3759">
        <v>2.6720000000000002</v>
      </c>
      <c r="I3759" s="1">
        <v>45748</v>
      </c>
      <c r="J3759" s="1" t="s">
        <v>285</v>
      </c>
      <c r="K3759" s="3">
        <v>4</v>
      </c>
    </row>
    <row r="3760" spans="1:11">
      <c r="A3760" s="1">
        <v>45741</v>
      </c>
      <c r="B3760" t="s">
        <v>1980</v>
      </c>
      <c r="C3760">
        <v>2.972</v>
      </c>
      <c r="I3760" s="1">
        <v>45748</v>
      </c>
      <c r="J3760" s="1" t="s">
        <v>286</v>
      </c>
      <c r="K3760" s="3">
        <v>13288.05</v>
      </c>
    </row>
    <row r="3761" spans="1:11">
      <c r="A3761" s="1">
        <v>45741</v>
      </c>
      <c r="B3761" t="s">
        <v>1981</v>
      </c>
      <c r="C3761">
        <v>3.157</v>
      </c>
      <c r="I3761" s="1">
        <v>45748</v>
      </c>
      <c r="J3761" s="1" t="s">
        <v>287</v>
      </c>
      <c r="K3761" s="3">
        <v>98901.74</v>
      </c>
    </row>
    <row r="3762" spans="1:11">
      <c r="A3762" s="1">
        <v>45741</v>
      </c>
      <c r="B3762" t="s">
        <v>1982</v>
      </c>
      <c r="C3762">
        <v>3.3130000000000002</v>
      </c>
      <c r="I3762" s="1">
        <v>45748</v>
      </c>
      <c r="J3762" s="1" t="s">
        <v>288</v>
      </c>
      <c r="K3762" s="3">
        <v>-54330.879999999997</v>
      </c>
    </row>
    <row r="3763" spans="1:11">
      <c r="A3763" s="1">
        <v>45741</v>
      </c>
      <c r="B3763" t="s">
        <v>1983</v>
      </c>
      <c r="C3763">
        <v>3.4129999999999998</v>
      </c>
      <c r="I3763" s="1">
        <v>45748</v>
      </c>
      <c r="J3763" s="1" t="s">
        <v>289</v>
      </c>
      <c r="K3763" s="3">
        <v>11</v>
      </c>
    </row>
    <row r="3764" spans="1:11">
      <c r="A3764" s="1">
        <v>45740</v>
      </c>
      <c r="B3764" t="s">
        <v>1974</v>
      </c>
      <c r="C3764">
        <v>2.0750000000000002</v>
      </c>
      <c r="I3764" s="1">
        <v>45748</v>
      </c>
      <c r="J3764" s="1" t="s">
        <v>290</v>
      </c>
      <c r="K3764" s="3">
        <v>11</v>
      </c>
    </row>
    <row r="3765" spans="1:11">
      <c r="A3765" s="1">
        <v>45740</v>
      </c>
      <c r="B3765" t="s">
        <v>1975</v>
      </c>
      <c r="C3765">
        <v>2.0939999999999999</v>
      </c>
      <c r="I3765" s="1">
        <v>45747</v>
      </c>
      <c r="J3765" s="1" t="s">
        <v>107</v>
      </c>
      <c r="K3765" s="3">
        <v>4057756961556</v>
      </c>
    </row>
    <row r="3766" spans="1:11">
      <c r="A3766" s="1">
        <v>45740</v>
      </c>
      <c r="B3766" t="s">
        <v>1976</v>
      </c>
      <c r="C3766">
        <v>2.1560000000000001</v>
      </c>
      <c r="I3766" s="1">
        <v>45747</v>
      </c>
      <c r="J3766" s="1" t="s">
        <v>282</v>
      </c>
      <c r="K3766" s="3">
        <v>20000</v>
      </c>
    </row>
    <row r="3767" spans="1:11">
      <c r="A3767" s="1">
        <v>45740</v>
      </c>
      <c r="B3767" t="s">
        <v>1977</v>
      </c>
      <c r="C3767">
        <v>2.2320000000000002</v>
      </c>
      <c r="I3767" s="1">
        <v>45747</v>
      </c>
      <c r="J3767" s="1" t="s">
        <v>283</v>
      </c>
      <c r="K3767" s="3">
        <v>8</v>
      </c>
    </row>
    <row r="3768" spans="1:11">
      <c r="A3768" s="1">
        <v>45740</v>
      </c>
      <c r="B3768" t="s">
        <v>1978</v>
      </c>
      <c r="C3768">
        <v>2.3079999999999998</v>
      </c>
      <c r="I3768" s="1">
        <v>45747</v>
      </c>
      <c r="J3768" s="1" t="s">
        <v>284</v>
      </c>
      <c r="K3768" s="3">
        <v>30048.34</v>
      </c>
    </row>
    <row r="3769" spans="1:11">
      <c r="A3769" s="1">
        <v>45740</v>
      </c>
      <c r="B3769" t="s">
        <v>1979</v>
      </c>
      <c r="C3769">
        <v>2.6709999999999998</v>
      </c>
      <c r="I3769" s="1">
        <v>45747</v>
      </c>
      <c r="J3769" s="1" t="s">
        <v>285</v>
      </c>
      <c r="K3769" s="3">
        <v>4</v>
      </c>
    </row>
    <row r="3770" spans="1:11">
      <c r="A3770" s="1">
        <v>45740</v>
      </c>
      <c r="B3770" t="s">
        <v>1980</v>
      </c>
      <c r="C3770">
        <v>2.968</v>
      </c>
      <c r="I3770" s="1">
        <v>45747</v>
      </c>
      <c r="J3770" s="1" t="s">
        <v>286</v>
      </c>
      <c r="K3770" s="3">
        <v>18147.04</v>
      </c>
    </row>
    <row r="3771" spans="1:11">
      <c r="A3771" s="1">
        <v>45740</v>
      </c>
      <c r="B3771" t="s">
        <v>1981</v>
      </c>
      <c r="C3771">
        <v>3.1520000000000001</v>
      </c>
      <c r="I3771" s="1">
        <v>45747</v>
      </c>
      <c r="J3771" s="1" t="s">
        <v>287</v>
      </c>
      <c r="K3771" s="3">
        <v>93549.02</v>
      </c>
    </row>
    <row r="3772" spans="1:11">
      <c r="A3772" s="1">
        <v>45740</v>
      </c>
      <c r="B3772" t="s">
        <v>1982</v>
      </c>
      <c r="C3772">
        <v>3.3130000000000002</v>
      </c>
      <c r="I3772" s="1">
        <v>45747</v>
      </c>
      <c r="J3772" s="1" t="s">
        <v>288</v>
      </c>
      <c r="K3772" s="3">
        <v>-37651.480000000003</v>
      </c>
    </row>
    <row r="3773" spans="1:11">
      <c r="A3773" s="1">
        <v>45740</v>
      </c>
      <c r="B3773" t="s">
        <v>1983</v>
      </c>
      <c r="C3773">
        <v>3.4129999999999998</v>
      </c>
      <c r="I3773" s="1">
        <v>45747</v>
      </c>
      <c r="J3773" s="1" t="s">
        <v>289</v>
      </c>
      <c r="K3773" s="3">
        <v>14</v>
      </c>
    </row>
    <row r="3774" spans="1:11">
      <c r="A3774" s="1">
        <v>45737</v>
      </c>
      <c r="B3774" t="s">
        <v>1974</v>
      </c>
      <c r="C3774">
        <v>2.0750000000000002</v>
      </c>
      <c r="I3774" s="1">
        <v>45747</v>
      </c>
      <c r="J3774" s="1" t="s">
        <v>290</v>
      </c>
      <c r="K3774" s="3">
        <v>14</v>
      </c>
    </row>
    <row r="3775" spans="1:11">
      <c r="A3775" s="1">
        <v>45737</v>
      </c>
      <c r="B3775" t="s">
        <v>1975</v>
      </c>
      <c r="C3775">
        <v>2.0939999999999999</v>
      </c>
      <c r="I3775" s="1">
        <v>45746</v>
      </c>
      <c r="J3775" s="1" t="s">
        <v>107</v>
      </c>
      <c r="K3775" s="3">
        <v>2826320618404</v>
      </c>
    </row>
    <row r="3776" spans="1:11">
      <c r="A3776" s="1">
        <v>45737</v>
      </c>
      <c r="B3776" t="s">
        <v>1976</v>
      </c>
      <c r="C3776">
        <v>2.1560000000000001</v>
      </c>
      <c r="I3776" s="1">
        <v>45744</v>
      </c>
      <c r="J3776" s="1" t="s">
        <v>285</v>
      </c>
      <c r="K3776" s="3">
        <v>4</v>
      </c>
    </row>
    <row r="3777" spans="1:11">
      <c r="A3777" s="1">
        <v>45737</v>
      </c>
      <c r="B3777" t="s">
        <v>1977</v>
      </c>
      <c r="C3777">
        <v>2.23</v>
      </c>
      <c r="I3777" s="1">
        <v>45744</v>
      </c>
      <c r="J3777" s="1" t="s">
        <v>286</v>
      </c>
      <c r="K3777" s="3">
        <v>12710.12</v>
      </c>
    </row>
    <row r="3778" spans="1:11">
      <c r="A3778" s="1">
        <v>45737</v>
      </c>
      <c r="B3778" t="s">
        <v>1978</v>
      </c>
      <c r="C3778">
        <v>2.3029999999999999</v>
      </c>
      <c r="I3778" s="1">
        <v>45744</v>
      </c>
      <c r="J3778" s="1" t="s">
        <v>287</v>
      </c>
      <c r="K3778" s="3">
        <v>81647.72</v>
      </c>
    </row>
    <row r="3779" spans="1:11">
      <c r="A3779" s="1">
        <v>45737</v>
      </c>
      <c r="B3779" t="s">
        <v>1979</v>
      </c>
      <c r="C3779">
        <v>2.6419999999999999</v>
      </c>
      <c r="I3779" s="1">
        <v>45744</v>
      </c>
      <c r="J3779" s="1" t="s">
        <v>288</v>
      </c>
      <c r="K3779" s="3">
        <v>-49964.11</v>
      </c>
    </row>
    <row r="3780" spans="1:11">
      <c r="A3780" s="1">
        <v>45737</v>
      </c>
      <c r="B3780" t="s">
        <v>1980</v>
      </c>
      <c r="C3780">
        <v>2.96</v>
      </c>
      <c r="I3780" s="1">
        <v>45744</v>
      </c>
      <c r="J3780" s="1" t="s">
        <v>282</v>
      </c>
      <c r="K3780" s="3">
        <v>20000</v>
      </c>
    </row>
    <row r="3781" spans="1:11">
      <c r="A3781" s="1">
        <v>45737</v>
      </c>
      <c r="B3781" t="s">
        <v>1981</v>
      </c>
      <c r="C3781">
        <v>3.145</v>
      </c>
      <c r="I3781" s="1">
        <v>45744</v>
      </c>
      <c r="J3781" s="1" t="s">
        <v>283</v>
      </c>
      <c r="K3781" s="3">
        <v>7</v>
      </c>
    </row>
    <row r="3782" spans="1:11">
      <c r="A3782" s="1">
        <v>45737</v>
      </c>
      <c r="B3782" t="s">
        <v>1982</v>
      </c>
      <c r="C3782">
        <v>3.3130000000000002</v>
      </c>
      <c r="I3782" s="1">
        <v>45744</v>
      </c>
      <c r="J3782" s="1" t="s">
        <v>284</v>
      </c>
      <c r="K3782" s="3">
        <v>4589.1000000000004</v>
      </c>
    </row>
    <row r="3783" spans="1:11">
      <c r="A3783" s="1">
        <v>45737</v>
      </c>
      <c r="B3783" t="s">
        <v>1983</v>
      </c>
      <c r="C3783">
        <v>3.4129999999999998</v>
      </c>
      <c r="I3783" s="1">
        <v>45744</v>
      </c>
      <c r="J3783" s="1" t="s">
        <v>289</v>
      </c>
      <c r="K3783" s="3">
        <v>7</v>
      </c>
    </row>
    <row r="3784" spans="1:11">
      <c r="A3784" s="1">
        <v>45736</v>
      </c>
      <c r="B3784" t="s">
        <v>1974</v>
      </c>
      <c r="C3784">
        <v>2.0750000000000002</v>
      </c>
      <c r="I3784" s="1">
        <v>45744</v>
      </c>
      <c r="J3784" s="1" t="s">
        <v>290</v>
      </c>
      <c r="K3784" s="3">
        <v>7</v>
      </c>
    </row>
    <row r="3785" spans="1:11">
      <c r="A3785" s="1">
        <v>45736</v>
      </c>
      <c r="B3785" t="s">
        <v>1975</v>
      </c>
      <c r="C3785">
        <v>2.0939999999999999</v>
      </c>
      <c r="I3785" s="1">
        <v>45743</v>
      </c>
      <c r="J3785" s="1" t="s">
        <v>288</v>
      </c>
      <c r="K3785" s="3">
        <v>-52579.02</v>
      </c>
    </row>
    <row r="3786" spans="1:11">
      <c r="A3786" s="1">
        <v>45736</v>
      </c>
      <c r="B3786" t="s">
        <v>1976</v>
      </c>
      <c r="C3786">
        <v>2.1560000000000001</v>
      </c>
      <c r="I3786" s="1">
        <v>45743</v>
      </c>
      <c r="J3786" s="1" t="s">
        <v>289</v>
      </c>
      <c r="K3786" s="3">
        <v>4</v>
      </c>
    </row>
    <row r="3787" spans="1:11">
      <c r="A3787" s="1">
        <v>45736</v>
      </c>
      <c r="B3787" t="s">
        <v>1977</v>
      </c>
      <c r="C3787">
        <v>2.2240000000000002</v>
      </c>
      <c r="I3787" s="1">
        <v>45743</v>
      </c>
      <c r="J3787" s="1" t="s">
        <v>290</v>
      </c>
      <c r="K3787" s="3">
        <v>4</v>
      </c>
    </row>
    <row r="3788" spans="1:11">
      <c r="A3788" s="1">
        <v>45736</v>
      </c>
      <c r="B3788" t="s">
        <v>1978</v>
      </c>
      <c r="C3788">
        <v>2.2919999999999998</v>
      </c>
      <c r="I3788" s="1">
        <v>45743</v>
      </c>
      <c r="J3788" s="1" t="s">
        <v>282</v>
      </c>
      <c r="K3788" s="3">
        <v>20000</v>
      </c>
    </row>
    <row r="3789" spans="1:11">
      <c r="A3789" s="1">
        <v>45736</v>
      </c>
      <c r="B3789" t="s">
        <v>1979</v>
      </c>
      <c r="C3789">
        <v>2.6389999999999998</v>
      </c>
      <c r="I3789" s="1">
        <v>45743</v>
      </c>
      <c r="J3789" s="1" t="s">
        <v>283</v>
      </c>
      <c r="K3789" s="3">
        <v>7</v>
      </c>
    </row>
    <row r="3790" spans="1:11">
      <c r="A3790" s="1">
        <v>45736</v>
      </c>
      <c r="B3790" t="s">
        <v>1980</v>
      </c>
      <c r="C3790">
        <v>2.96</v>
      </c>
      <c r="I3790" s="1">
        <v>45743</v>
      </c>
      <c r="J3790" s="1" t="s">
        <v>284</v>
      </c>
      <c r="K3790" s="3">
        <v>4042.57</v>
      </c>
    </row>
    <row r="3791" spans="1:11">
      <c r="A3791" s="1">
        <v>45736</v>
      </c>
      <c r="B3791" t="s">
        <v>1981</v>
      </c>
      <c r="C3791">
        <v>3.145</v>
      </c>
      <c r="I3791" s="1">
        <v>45743</v>
      </c>
      <c r="J3791" s="1" t="s">
        <v>285</v>
      </c>
      <c r="K3791" s="3">
        <v>4</v>
      </c>
    </row>
    <row r="3792" spans="1:11">
      <c r="A3792" s="1">
        <v>45736</v>
      </c>
      <c r="B3792" t="s">
        <v>1982</v>
      </c>
      <c r="C3792">
        <v>3.3130000000000002</v>
      </c>
      <c r="I3792" s="1">
        <v>45743</v>
      </c>
      <c r="J3792" s="1" t="s">
        <v>286</v>
      </c>
      <c r="K3792" s="3">
        <v>4379.43</v>
      </c>
    </row>
    <row r="3793" spans="1:11">
      <c r="A3793" s="1">
        <v>45736</v>
      </c>
      <c r="B3793" t="s">
        <v>1983</v>
      </c>
      <c r="C3793">
        <v>3.4129999999999998</v>
      </c>
      <c r="I3793" s="1">
        <v>45743</v>
      </c>
      <c r="J3793" s="1" t="s">
        <v>287</v>
      </c>
      <c r="K3793" s="3">
        <v>89768.74</v>
      </c>
    </row>
    <row r="3794" spans="1:11">
      <c r="A3794" s="1">
        <v>45735</v>
      </c>
      <c r="B3794" t="s">
        <v>1974</v>
      </c>
      <c r="C3794">
        <v>2.0750000000000002</v>
      </c>
      <c r="I3794" s="1">
        <v>45743</v>
      </c>
      <c r="J3794" s="1" t="s">
        <v>107</v>
      </c>
      <c r="K3794" s="3">
        <v>2826320618404</v>
      </c>
    </row>
    <row r="3795" spans="1:11">
      <c r="A3795" s="1">
        <v>45735</v>
      </c>
      <c r="B3795" t="s">
        <v>1975</v>
      </c>
      <c r="C3795">
        <v>2.0939999999999999</v>
      </c>
      <c r="I3795" s="1">
        <v>45742</v>
      </c>
      <c r="J3795" s="1" t="s">
        <v>282</v>
      </c>
      <c r="K3795" s="3">
        <v>20000</v>
      </c>
    </row>
    <row r="3796" spans="1:11">
      <c r="A3796" s="1">
        <v>45735</v>
      </c>
      <c r="B3796" t="s">
        <v>1976</v>
      </c>
      <c r="C3796">
        <v>2.1560000000000001</v>
      </c>
      <c r="I3796" s="1">
        <v>45742</v>
      </c>
      <c r="J3796" s="1" t="s">
        <v>283</v>
      </c>
      <c r="K3796" s="3">
        <v>7</v>
      </c>
    </row>
    <row r="3797" spans="1:11">
      <c r="A3797" s="1">
        <v>45735</v>
      </c>
      <c r="B3797" t="s">
        <v>1977</v>
      </c>
      <c r="C3797">
        <v>2.2240000000000002</v>
      </c>
      <c r="I3797" s="1">
        <v>45742</v>
      </c>
      <c r="J3797" s="1" t="s">
        <v>284</v>
      </c>
      <c r="K3797" s="3">
        <v>8521.65</v>
      </c>
    </row>
    <row r="3798" spans="1:11">
      <c r="A3798" s="1">
        <v>45735</v>
      </c>
      <c r="B3798" t="s">
        <v>1978</v>
      </c>
      <c r="C3798">
        <v>2.2919999999999998</v>
      </c>
      <c r="I3798" s="1">
        <v>45742</v>
      </c>
      <c r="J3798" s="1" t="s">
        <v>285</v>
      </c>
      <c r="K3798" s="3">
        <v>4</v>
      </c>
    </row>
    <row r="3799" spans="1:11">
      <c r="A3799" s="1">
        <v>45735</v>
      </c>
      <c r="B3799" t="s">
        <v>1979</v>
      </c>
      <c r="C3799">
        <v>2.6389999999999998</v>
      </c>
      <c r="I3799" s="1">
        <v>45742</v>
      </c>
      <c r="J3799" s="1" t="s">
        <v>286</v>
      </c>
      <c r="K3799" s="3">
        <v>1844.6</v>
      </c>
    </row>
    <row r="3800" spans="1:11">
      <c r="A3800" s="1">
        <v>45735</v>
      </c>
      <c r="B3800" t="s">
        <v>1980</v>
      </c>
      <c r="C3800">
        <v>2.96</v>
      </c>
      <c r="I3800" s="1">
        <v>45742</v>
      </c>
      <c r="J3800" s="1" t="s">
        <v>287</v>
      </c>
      <c r="K3800" s="3">
        <v>90105.600000000006</v>
      </c>
    </row>
    <row r="3801" spans="1:11">
      <c r="A3801" s="1">
        <v>45735</v>
      </c>
      <c r="B3801" t="s">
        <v>1981</v>
      </c>
      <c r="C3801">
        <v>3.1480000000000001</v>
      </c>
      <c r="I3801" s="1">
        <v>45742</v>
      </c>
      <c r="J3801" s="1" t="s">
        <v>107</v>
      </c>
      <c r="K3801" s="3">
        <v>1749090664399</v>
      </c>
    </row>
    <row r="3802" spans="1:11">
      <c r="A3802" s="1">
        <v>45735</v>
      </c>
      <c r="B3802" t="s">
        <v>1982</v>
      </c>
      <c r="C3802">
        <v>3.3210000000000002</v>
      </c>
      <c r="I3802" s="1">
        <v>45742</v>
      </c>
      <c r="J3802" s="1" t="s">
        <v>288</v>
      </c>
      <c r="K3802" s="3">
        <v>-53572.31</v>
      </c>
    </row>
    <row r="3803" spans="1:11">
      <c r="A3803" s="1">
        <v>45735</v>
      </c>
      <c r="B3803" t="s">
        <v>1983</v>
      </c>
      <c r="C3803">
        <v>3.4129999999999998</v>
      </c>
      <c r="I3803" s="1">
        <v>45742</v>
      </c>
      <c r="J3803" s="1" t="s">
        <v>289</v>
      </c>
      <c r="K3803" s="3">
        <v>7</v>
      </c>
    </row>
    <row r="3804" spans="1:11">
      <c r="A3804" s="1">
        <v>45734</v>
      </c>
      <c r="B3804" t="s">
        <v>1974</v>
      </c>
      <c r="C3804">
        <v>2.0830000000000002</v>
      </c>
      <c r="I3804" s="1">
        <v>45742</v>
      </c>
      <c r="J3804" s="1" t="s">
        <v>290</v>
      </c>
      <c r="K3804" s="3">
        <v>7</v>
      </c>
    </row>
    <row r="3805" spans="1:11">
      <c r="A3805" s="1">
        <v>45734</v>
      </c>
      <c r="B3805" t="s">
        <v>1975</v>
      </c>
      <c r="C3805">
        <v>2.1019999999999999</v>
      </c>
      <c r="I3805" s="1">
        <v>45741</v>
      </c>
      <c r="J3805" s="1" t="s">
        <v>285</v>
      </c>
      <c r="K3805" s="3">
        <v>4</v>
      </c>
    </row>
    <row r="3806" spans="1:11">
      <c r="A3806" s="1">
        <v>45734</v>
      </c>
      <c r="B3806" t="s">
        <v>1976</v>
      </c>
      <c r="C3806">
        <v>2.16</v>
      </c>
      <c r="I3806" s="1">
        <v>45741</v>
      </c>
      <c r="J3806" s="1" t="s">
        <v>286</v>
      </c>
      <c r="K3806" s="3">
        <v>13641.61</v>
      </c>
    </row>
    <row r="3807" spans="1:11">
      <c r="A3807" s="1">
        <v>45734</v>
      </c>
      <c r="B3807" t="s">
        <v>1977</v>
      </c>
      <c r="C3807">
        <v>2.2330000000000001</v>
      </c>
      <c r="I3807" s="1">
        <v>45741</v>
      </c>
      <c r="J3807" s="1" t="s">
        <v>287</v>
      </c>
      <c r="K3807" s="3">
        <v>83428.55</v>
      </c>
    </row>
    <row r="3808" spans="1:11">
      <c r="A3808" s="1">
        <v>45734</v>
      </c>
      <c r="B3808" t="s">
        <v>1978</v>
      </c>
      <c r="C3808">
        <v>2.3050000000000002</v>
      </c>
      <c r="I3808" s="1">
        <v>45741</v>
      </c>
      <c r="J3808" s="1" t="s">
        <v>288</v>
      </c>
      <c r="K3808" s="3">
        <v>-50369.24</v>
      </c>
    </row>
    <row r="3809" spans="1:11">
      <c r="A3809" s="1">
        <v>45734</v>
      </c>
      <c r="B3809" t="s">
        <v>1979</v>
      </c>
      <c r="C3809">
        <v>2.645</v>
      </c>
      <c r="I3809" s="1">
        <v>45741</v>
      </c>
      <c r="J3809" s="1" t="s">
        <v>289</v>
      </c>
      <c r="K3809" s="3">
        <v>13</v>
      </c>
    </row>
    <row r="3810" spans="1:11">
      <c r="A3810" s="1">
        <v>45734</v>
      </c>
      <c r="B3810" t="s">
        <v>1980</v>
      </c>
      <c r="C3810">
        <v>2.9569999999999999</v>
      </c>
      <c r="I3810" s="1">
        <v>45741</v>
      </c>
      <c r="J3810" s="1" t="s">
        <v>290</v>
      </c>
      <c r="K3810" s="3">
        <v>13</v>
      </c>
    </row>
    <row r="3811" spans="1:11">
      <c r="A3811" s="1">
        <v>45734</v>
      </c>
      <c r="B3811" t="s">
        <v>1981</v>
      </c>
      <c r="C3811">
        <v>3.1520000000000001</v>
      </c>
      <c r="I3811" s="1">
        <v>45741</v>
      </c>
      <c r="J3811" s="1" t="s">
        <v>282</v>
      </c>
      <c r="K3811" s="3">
        <v>20000</v>
      </c>
    </row>
    <row r="3812" spans="1:11">
      <c r="A3812" s="1">
        <v>45734</v>
      </c>
      <c r="B3812" t="s">
        <v>1982</v>
      </c>
      <c r="C3812">
        <v>3.3210000000000002</v>
      </c>
      <c r="I3812" s="1">
        <v>45741</v>
      </c>
      <c r="J3812" s="1" t="s">
        <v>283</v>
      </c>
      <c r="K3812" s="3">
        <v>7</v>
      </c>
    </row>
    <row r="3813" spans="1:11">
      <c r="A3813" s="1">
        <v>45734</v>
      </c>
      <c r="B3813" t="s">
        <v>1983</v>
      </c>
      <c r="C3813">
        <v>3.4129999999999998</v>
      </c>
      <c r="I3813" s="1">
        <v>45741</v>
      </c>
      <c r="J3813" s="1" t="s">
        <v>284</v>
      </c>
      <c r="K3813" s="3">
        <v>17148.89</v>
      </c>
    </row>
    <row r="3814" spans="1:11">
      <c r="A3814" s="1">
        <v>45733</v>
      </c>
      <c r="B3814" t="s">
        <v>1974</v>
      </c>
      <c r="C3814">
        <v>2.0830000000000002</v>
      </c>
      <c r="I3814" s="1">
        <v>45741</v>
      </c>
      <c r="J3814" s="1" t="s">
        <v>107</v>
      </c>
      <c r="K3814" s="3">
        <v>1436174978032</v>
      </c>
    </row>
    <row r="3815" spans="1:11">
      <c r="A3815" s="1">
        <v>45733</v>
      </c>
      <c r="B3815" t="s">
        <v>1975</v>
      </c>
      <c r="C3815">
        <v>2.1019999999999999</v>
      </c>
      <c r="I3815" s="1">
        <v>45740</v>
      </c>
      <c r="J3815" s="1" t="s">
        <v>107</v>
      </c>
      <c r="K3815" s="3">
        <v>1657849105897</v>
      </c>
    </row>
    <row r="3816" spans="1:11">
      <c r="A3816" s="1">
        <v>45733</v>
      </c>
      <c r="B3816" t="s">
        <v>1976</v>
      </c>
      <c r="C3816">
        <v>2.16</v>
      </c>
      <c r="I3816" s="1">
        <v>45740</v>
      </c>
      <c r="J3816" s="1" t="s">
        <v>282</v>
      </c>
      <c r="K3816" s="3">
        <v>20000</v>
      </c>
    </row>
    <row r="3817" spans="1:11">
      <c r="A3817" s="1">
        <v>45733</v>
      </c>
      <c r="B3817" t="s">
        <v>1977</v>
      </c>
      <c r="C3817">
        <v>2.238</v>
      </c>
      <c r="I3817" s="1">
        <v>45740</v>
      </c>
      <c r="J3817" s="1" t="s">
        <v>283</v>
      </c>
      <c r="K3817" s="3">
        <v>7</v>
      </c>
    </row>
    <row r="3818" spans="1:11">
      <c r="A3818" s="1">
        <v>45733</v>
      </c>
      <c r="B3818" t="s">
        <v>1978</v>
      </c>
      <c r="C3818">
        <v>2.3159999999999998</v>
      </c>
      <c r="I3818" s="1">
        <v>45740</v>
      </c>
      <c r="J3818" s="1" t="s">
        <v>284</v>
      </c>
      <c r="K3818" s="3">
        <v>18792.64</v>
      </c>
    </row>
    <row r="3819" spans="1:11">
      <c r="A3819" s="1">
        <v>45733</v>
      </c>
      <c r="B3819" t="s">
        <v>1979</v>
      </c>
      <c r="C3819">
        <v>2.66</v>
      </c>
      <c r="I3819" s="1">
        <v>45740</v>
      </c>
      <c r="J3819" s="1" t="s">
        <v>285</v>
      </c>
      <c r="K3819" s="3">
        <v>4</v>
      </c>
    </row>
    <row r="3820" spans="1:11">
      <c r="A3820" s="1">
        <v>45733</v>
      </c>
      <c r="B3820" t="s">
        <v>1980</v>
      </c>
      <c r="C3820">
        <v>2.9630000000000001</v>
      </c>
      <c r="I3820" s="1">
        <v>45740</v>
      </c>
      <c r="J3820" s="1" t="s">
        <v>286</v>
      </c>
      <c r="K3820" s="3">
        <v>19720.63</v>
      </c>
    </row>
    <row r="3821" spans="1:11">
      <c r="A3821" s="1">
        <v>45733</v>
      </c>
      <c r="B3821" t="s">
        <v>1981</v>
      </c>
      <c r="C3821">
        <v>3.1480000000000001</v>
      </c>
      <c r="I3821" s="1">
        <v>45740</v>
      </c>
      <c r="J3821" s="1" t="s">
        <v>287</v>
      </c>
      <c r="K3821" s="3">
        <v>79921.27</v>
      </c>
    </row>
    <row r="3822" spans="1:11">
      <c r="A3822" s="1">
        <v>45733</v>
      </c>
      <c r="B3822" t="s">
        <v>1982</v>
      </c>
      <c r="C3822">
        <v>3.3210000000000002</v>
      </c>
      <c r="I3822" s="1">
        <v>45740</v>
      </c>
      <c r="J3822" s="1" t="s">
        <v>288</v>
      </c>
      <c r="K3822" s="3">
        <v>-50722.8</v>
      </c>
    </row>
    <row r="3823" spans="1:11">
      <c r="A3823" s="1">
        <v>45733</v>
      </c>
      <c r="B3823" t="s">
        <v>1983</v>
      </c>
      <c r="C3823">
        <v>3.4129999999999998</v>
      </c>
      <c r="I3823" s="1">
        <v>45740</v>
      </c>
      <c r="J3823" s="1" t="s">
        <v>289</v>
      </c>
      <c r="K3823" s="3">
        <v>14</v>
      </c>
    </row>
    <row r="3824" spans="1:11">
      <c r="A3824" s="1">
        <v>45730</v>
      </c>
      <c r="B3824" t="s">
        <v>1974</v>
      </c>
      <c r="C3824">
        <v>2.0830000000000002</v>
      </c>
      <c r="I3824" s="1">
        <v>45740</v>
      </c>
      <c r="J3824" s="1" t="s">
        <v>290</v>
      </c>
      <c r="K3824" s="3">
        <v>14</v>
      </c>
    </row>
    <row r="3825" spans="1:11">
      <c r="A3825" s="1">
        <v>45730</v>
      </c>
      <c r="B3825" t="s">
        <v>1975</v>
      </c>
      <c r="C3825">
        <v>2.1019999999999999</v>
      </c>
      <c r="I3825" s="1">
        <v>45739</v>
      </c>
      <c r="J3825" s="1" t="s">
        <v>107</v>
      </c>
      <c r="K3825" s="3">
        <v>2037430192493</v>
      </c>
    </row>
    <row r="3826" spans="1:11">
      <c r="A3826" s="1">
        <v>45730</v>
      </c>
      <c r="B3826" t="s">
        <v>1976</v>
      </c>
      <c r="C3826">
        <v>2.16</v>
      </c>
      <c r="I3826" s="1">
        <v>45737</v>
      </c>
      <c r="J3826" s="1" t="s">
        <v>282</v>
      </c>
      <c r="K3826" s="3">
        <v>20000</v>
      </c>
    </row>
    <row r="3827" spans="1:11">
      <c r="A3827" s="1">
        <v>45730</v>
      </c>
      <c r="B3827" t="s">
        <v>1977</v>
      </c>
      <c r="C3827">
        <v>2.2410000000000001</v>
      </c>
      <c r="I3827" s="1">
        <v>45737</v>
      </c>
      <c r="J3827" s="1" t="s">
        <v>283</v>
      </c>
      <c r="K3827" s="3">
        <v>7</v>
      </c>
    </row>
    <row r="3828" spans="1:11">
      <c r="A3828" s="1">
        <v>45730</v>
      </c>
      <c r="B3828" t="s">
        <v>1978</v>
      </c>
      <c r="C3828">
        <v>2.3210000000000002</v>
      </c>
      <c r="I3828" s="1">
        <v>45737</v>
      </c>
      <c r="J3828" s="1" t="s">
        <v>284</v>
      </c>
      <c r="K3828" s="3">
        <v>27235.1</v>
      </c>
    </row>
    <row r="3829" spans="1:11">
      <c r="A3829" s="1">
        <v>45730</v>
      </c>
      <c r="B3829" t="s">
        <v>1979</v>
      </c>
      <c r="C3829">
        <v>2.6819999999999999</v>
      </c>
      <c r="I3829" s="1">
        <v>45737</v>
      </c>
      <c r="J3829" s="1" t="s">
        <v>285</v>
      </c>
      <c r="K3829" s="3">
        <v>4</v>
      </c>
    </row>
    <row r="3830" spans="1:11">
      <c r="A3830" s="1">
        <v>45730</v>
      </c>
      <c r="B3830" t="s">
        <v>1980</v>
      </c>
      <c r="C3830">
        <v>2.9710000000000001</v>
      </c>
      <c r="I3830" s="1">
        <v>45737</v>
      </c>
      <c r="J3830" s="1" t="s">
        <v>286</v>
      </c>
      <c r="K3830" s="3">
        <v>12307.07</v>
      </c>
    </row>
    <row r="3831" spans="1:11">
      <c r="A3831" s="1">
        <v>45730</v>
      </c>
      <c r="B3831" t="s">
        <v>1981</v>
      </c>
      <c r="C3831">
        <v>3.15</v>
      </c>
      <c r="I3831" s="1">
        <v>45737</v>
      </c>
      <c r="J3831" s="1" t="s">
        <v>287</v>
      </c>
      <c r="K3831" s="3">
        <v>80849.259999999995</v>
      </c>
    </row>
    <row r="3832" spans="1:11">
      <c r="A3832" s="1">
        <v>45730</v>
      </c>
      <c r="B3832" t="s">
        <v>1982</v>
      </c>
      <c r="C3832">
        <v>3.3210000000000002</v>
      </c>
      <c r="I3832" s="1">
        <v>45737</v>
      </c>
      <c r="J3832" s="1" t="s">
        <v>288</v>
      </c>
      <c r="K3832" s="3">
        <v>-52296.39</v>
      </c>
    </row>
    <row r="3833" spans="1:11">
      <c r="A3833" s="1">
        <v>45730</v>
      </c>
      <c r="B3833" t="s">
        <v>1983</v>
      </c>
      <c r="C3833">
        <v>3.4129999999999998</v>
      </c>
      <c r="I3833" s="1">
        <v>45737</v>
      </c>
      <c r="J3833" s="1" t="s">
        <v>289</v>
      </c>
      <c r="K3833" s="3">
        <v>19</v>
      </c>
    </row>
    <row r="3834" spans="1:11">
      <c r="A3834" s="1">
        <v>45729</v>
      </c>
      <c r="B3834" t="s">
        <v>1974</v>
      </c>
      <c r="C3834">
        <v>2.0830000000000002</v>
      </c>
      <c r="I3834" s="1">
        <v>45737</v>
      </c>
      <c r="J3834" s="1" t="s">
        <v>290</v>
      </c>
      <c r="K3834" s="3">
        <v>19</v>
      </c>
    </row>
    <row r="3835" spans="1:11">
      <c r="A3835" s="1">
        <v>45729</v>
      </c>
      <c r="B3835" t="s">
        <v>1975</v>
      </c>
      <c r="C3835">
        <v>2.1019999999999999</v>
      </c>
      <c r="I3835" s="1">
        <v>45736</v>
      </c>
      <c r="J3835" s="1" t="s">
        <v>282</v>
      </c>
      <c r="K3835" s="3">
        <v>20000</v>
      </c>
    </row>
    <row r="3836" spans="1:11">
      <c r="A3836" s="1">
        <v>45729</v>
      </c>
      <c r="B3836" t="s">
        <v>1976</v>
      </c>
      <c r="C3836">
        <v>2.16</v>
      </c>
      <c r="I3836" s="1">
        <v>45736</v>
      </c>
      <c r="J3836" s="1" t="s">
        <v>283</v>
      </c>
      <c r="K3836" s="3">
        <v>7</v>
      </c>
    </row>
    <row r="3837" spans="1:11">
      <c r="A3837" s="1">
        <v>45729</v>
      </c>
      <c r="B3837" t="s">
        <v>1977</v>
      </c>
      <c r="C3837">
        <v>2.2429999999999999</v>
      </c>
      <c r="I3837" s="1">
        <v>45736</v>
      </c>
      <c r="J3837" s="1" t="s">
        <v>284</v>
      </c>
      <c r="K3837" s="3">
        <v>7384.93</v>
      </c>
    </row>
    <row r="3838" spans="1:11">
      <c r="A3838" s="1">
        <v>45729</v>
      </c>
      <c r="B3838" t="s">
        <v>1978</v>
      </c>
      <c r="C3838">
        <v>2.3250000000000002</v>
      </c>
      <c r="I3838" s="1">
        <v>45736</v>
      </c>
      <c r="J3838" s="1" t="s">
        <v>285</v>
      </c>
      <c r="K3838" s="3">
        <v>4</v>
      </c>
    </row>
    <row r="3839" spans="1:11">
      <c r="A3839" s="1">
        <v>45729</v>
      </c>
      <c r="B3839" t="s">
        <v>1979</v>
      </c>
      <c r="C3839">
        <v>2.6739999999999999</v>
      </c>
      <c r="I3839" s="1">
        <v>45736</v>
      </c>
      <c r="J3839" s="1" t="s">
        <v>286</v>
      </c>
      <c r="K3839" s="3">
        <v>6798.67</v>
      </c>
    </row>
    <row r="3840" spans="1:11">
      <c r="A3840" s="1">
        <v>45729</v>
      </c>
      <c r="B3840" t="s">
        <v>1980</v>
      </c>
      <c r="C3840">
        <v>2.9630000000000001</v>
      </c>
      <c r="I3840" s="1">
        <v>45736</v>
      </c>
      <c r="J3840" s="1" t="s">
        <v>287</v>
      </c>
      <c r="K3840" s="3">
        <v>65921.23</v>
      </c>
    </row>
    <row r="3841" spans="1:11">
      <c r="A3841" s="1">
        <v>45729</v>
      </c>
      <c r="B3841" t="s">
        <v>1981</v>
      </c>
      <c r="C3841">
        <v>3.1429999999999998</v>
      </c>
      <c r="I3841" s="1">
        <v>45736</v>
      </c>
      <c r="J3841" s="1" t="s">
        <v>288</v>
      </c>
      <c r="K3841" s="3">
        <v>-51893.34</v>
      </c>
    </row>
    <row r="3842" spans="1:11">
      <c r="A3842" s="1">
        <v>45729</v>
      </c>
      <c r="B3842" t="s">
        <v>1982</v>
      </c>
      <c r="C3842">
        <v>3.3210000000000002</v>
      </c>
      <c r="I3842" s="1">
        <v>45736</v>
      </c>
      <c r="J3842" s="1" t="s">
        <v>289</v>
      </c>
      <c r="K3842" s="3">
        <v>7</v>
      </c>
    </row>
    <row r="3843" spans="1:11">
      <c r="A3843" s="1">
        <v>45729</v>
      </c>
      <c r="B3843" t="s">
        <v>1983</v>
      </c>
      <c r="C3843">
        <v>3.4129999999999998</v>
      </c>
      <c r="I3843" s="1">
        <v>45736</v>
      </c>
      <c r="J3843" s="1" t="s">
        <v>290</v>
      </c>
      <c r="K3843" s="3">
        <v>7</v>
      </c>
    </row>
    <row r="3844" spans="1:11">
      <c r="A3844" s="1">
        <v>45728</v>
      </c>
      <c r="B3844" t="s">
        <v>1974</v>
      </c>
      <c r="C3844">
        <v>2.0830000000000002</v>
      </c>
      <c r="I3844" s="1">
        <v>45736</v>
      </c>
      <c r="J3844" s="1" t="s">
        <v>107</v>
      </c>
      <c r="K3844" s="3">
        <v>2406675976708</v>
      </c>
    </row>
    <row r="3845" spans="1:11">
      <c r="A3845" s="1">
        <v>45728</v>
      </c>
      <c r="B3845" t="s">
        <v>1975</v>
      </c>
      <c r="C3845">
        <v>2.1019999999999999</v>
      </c>
      <c r="I3845" s="1">
        <v>45735</v>
      </c>
      <c r="J3845" s="1" t="s">
        <v>282</v>
      </c>
      <c r="K3845" s="3">
        <v>20000</v>
      </c>
    </row>
    <row r="3846" spans="1:11">
      <c r="A3846" s="1">
        <v>45728</v>
      </c>
      <c r="B3846" t="s">
        <v>1976</v>
      </c>
      <c r="C3846">
        <v>2.16</v>
      </c>
      <c r="I3846" s="1">
        <v>45735</v>
      </c>
      <c r="J3846" s="1" t="s">
        <v>283</v>
      </c>
      <c r="K3846" s="3">
        <v>7</v>
      </c>
    </row>
    <row r="3847" spans="1:11">
      <c r="A3847" s="1">
        <v>45728</v>
      </c>
      <c r="B3847" t="s">
        <v>1977</v>
      </c>
      <c r="C3847">
        <v>2.2400000000000002</v>
      </c>
      <c r="I3847" s="1">
        <v>45735</v>
      </c>
      <c r="J3847" s="1" t="s">
        <v>284</v>
      </c>
      <c r="K3847" s="3">
        <v>1844.6</v>
      </c>
    </row>
    <row r="3848" spans="1:11">
      <c r="A3848" s="1">
        <v>45728</v>
      </c>
      <c r="B3848" t="s">
        <v>1978</v>
      </c>
      <c r="C3848">
        <v>2.3199999999999998</v>
      </c>
      <c r="I3848" s="1">
        <v>45735</v>
      </c>
      <c r="J3848" s="1" t="s">
        <v>285</v>
      </c>
      <c r="K3848" s="3">
        <v>4</v>
      </c>
    </row>
    <row r="3849" spans="1:11">
      <c r="A3849" s="1">
        <v>45728</v>
      </c>
      <c r="B3849" t="s">
        <v>1979</v>
      </c>
      <c r="C3849">
        <v>2.6739999999999999</v>
      </c>
      <c r="I3849" s="1">
        <v>45735</v>
      </c>
      <c r="J3849" s="1" t="s">
        <v>286</v>
      </c>
      <c r="K3849" s="3">
        <v>10973.88</v>
      </c>
    </row>
    <row r="3850" spans="1:11">
      <c r="A3850" s="1">
        <v>45728</v>
      </c>
      <c r="B3850" t="s">
        <v>1980</v>
      </c>
      <c r="C3850">
        <v>2.956</v>
      </c>
      <c r="I3850" s="1">
        <v>45735</v>
      </c>
      <c r="J3850" s="1" t="s">
        <v>287</v>
      </c>
      <c r="K3850" s="3">
        <v>65334.97</v>
      </c>
    </row>
    <row r="3851" spans="1:11">
      <c r="A3851" s="1">
        <v>45728</v>
      </c>
      <c r="B3851" t="s">
        <v>1981</v>
      </c>
      <c r="C3851">
        <v>3.137</v>
      </c>
      <c r="I3851" s="1">
        <v>45735</v>
      </c>
      <c r="J3851" s="1" t="s">
        <v>288</v>
      </c>
      <c r="K3851" s="3">
        <v>-54312.58</v>
      </c>
    </row>
    <row r="3852" spans="1:11">
      <c r="A3852" s="1">
        <v>45728</v>
      </c>
      <c r="B3852" t="s">
        <v>1982</v>
      </c>
      <c r="C3852">
        <v>3.3210000000000002</v>
      </c>
      <c r="I3852" s="1">
        <v>45735</v>
      </c>
      <c r="J3852" s="1" t="s">
        <v>289</v>
      </c>
      <c r="K3852" s="3">
        <v>3</v>
      </c>
    </row>
    <row r="3853" spans="1:11">
      <c r="A3853" s="1">
        <v>45728</v>
      </c>
      <c r="B3853" t="s">
        <v>1983</v>
      </c>
      <c r="C3853">
        <v>3.4129999999999998</v>
      </c>
      <c r="I3853" s="1">
        <v>45735</v>
      </c>
      <c r="J3853" s="1" t="s">
        <v>290</v>
      </c>
      <c r="K3853" s="3">
        <v>3</v>
      </c>
    </row>
    <row r="3854" spans="1:11">
      <c r="A3854" s="1">
        <v>45727</v>
      </c>
      <c r="B3854" t="s">
        <v>1974</v>
      </c>
      <c r="C3854">
        <v>2.0830000000000002</v>
      </c>
      <c r="I3854" s="1">
        <v>45735</v>
      </c>
      <c r="J3854" s="1" t="s">
        <v>107</v>
      </c>
      <c r="K3854" s="3">
        <v>2406675976708</v>
      </c>
    </row>
    <row r="3855" spans="1:11">
      <c r="A3855" s="1">
        <v>45727</v>
      </c>
      <c r="B3855" t="s">
        <v>1975</v>
      </c>
      <c r="C3855">
        <v>2.1019999999999999</v>
      </c>
      <c r="I3855" s="1">
        <v>45734</v>
      </c>
      <c r="J3855" s="1" t="s">
        <v>282</v>
      </c>
      <c r="K3855" s="3">
        <v>20000</v>
      </c>
    </row>
    <row r="3856" spans="1:11">
      <c r="A3856" s="1">
        <v>45727</v>
      </c>
      <c r="B3856" t="s">
        <v>1976</v>
      </c>
      <c r="C3856">
        <v>2.16</v>
      </c>
      <c r="I3856" s="1">
        <v>45734</v>
      </c>
      <c r="J3856" s="1" t="s">
        <v>283</v>
      </c>
      <c r="K3856" s="3">
        <v>7</v>
      </c>
    </row>
    <row r="3857" spans="1:11">
      <c r="A3857" s="1">
        <v>45727</v>
      </c>
      <c r="B3857" t="s">
        <v>1977</v>
      </c>
      <c r="C3857">
        <v>2.2400000000000002</v>
      </c>
      <c r="I3857" s="1">
        <v>45734</v>
      </c>
      <c r="J3857" s="1" t="s">
        <v>284</v>
      </c>
      <c r="K3857" s="3">
        <v>14657.39</v>
      </c>
    </row>
    <row r="3858" spans="1:11">
      <c r="A3858" s="1">
        <v>45727</v>
      </c>
      <c r="B3858" t="s">
        <v>1978</v>
      </c>
      <c r="C3858">
        <v>2.3199999999999998</v>
      </c>
      <c r="I3858" s="1">
        <v>45734</v>
      </c>
      <c r="J3858" s="1" t="s">
        <v>285</v>
      </c>
      <c r="K3858" s="3">
        <v>4</v>
      </c>
    </row>
    <row r="3859" spans="1:11">
      <c r="A3859" s="1">
        <v>45727</v>
      </c>
      <c r="B3859" t="s">
        <v>1979</v>
      </c>
      <c r="C3859">
        <v>2.68</v>
      </c>
      <c r="I3859" s="1">
        <v>45734</v>
      </c>
      <c r="J3859" s="1" t="s">
        <v>286</v>
      </c>
      <c r="K3859" s="3">
        <v>14969.58</v>
      </c>
    </row>
    <row r="3860" spans="1:11">
      <c r="A3860" s="1">
        <v>45727</v>
      </c>
      <c r="B3860" t="s">
        <v>1980</v>
      </c>
      <c r="C3860">
        <v>2.9609999999999999</v>
      </c>
      <c r="I3860" s="1">
        <v>45734</v>
      </c>
      <c r="J3860" s="1" t="s">
        <v>287</v>
      </c>
      <c r="K3860" s="3">
        <v>74464.25</v>
      </c>
    </row>
    <row r="3861" spans="1:11">
      <c r="A3861" s="1">
        <v>45727</v>
      </c>
      <c r="B3861" t="s">
        <v>1981</v>
      </c>
      <c r="C3861">
        <v>3.1440000000000001</v>
      </c>
      <c r="I3861" s="1">
        <v>45734</v>
      </c>
      <c r="J3861" s="1" t="s">
        <v>288</v>
      </c>
      <c r="K3861" s="3">
        <v>-63441.86</v>
      </c>
    </row>
    <row r="3862" spans="1:11">
      <c r="A3862" s="1">
        <v>45727</v>
      </c>
      <c r="B3862" t="s">
        <v>1982</v>
      </c>
      <c r="C3862">
        <v>3.3210000000000002</v>
      </c>
      <c r="I3862" s="1">
        <v>45734</v>
      </c>
      <c r="J3862" s="1" t="s">
        <v>289</v>
      </c>
      <c r="K3862" s="3">
        <v>8</v>
      </c>
    </row>
    <row r="3863" spans="1:11">
      <c r="A3863" s="1">
        <v>45727</v>
      </c>
      <c r="B3863" t="s">
        <v>1983</v>
      </c>
      <c r="C3863">
        <v>3.4129999999999998</v>
      </c>
      <c r="I3863" s="1">
        <v>45734</v>
      </c>
      <c r="J3863" s="1" t="s">
        <v>290</v>
      </c>
      <c r="K3863" s="3">
        <v>8</v>
      </c>
    </row>
    <row r="3864" spans="1:11">
      <c r="A3864" s="1">
        <v>45726</v>
      </c>
      <c r="B3864" t="s">
        <v>1974</v>
      </c>
      <c r="C3864">
        <v>2.0830000000000002</v>
      </c>
      <c r="I3864" s="1">
        <v>45734</v>
      </c>
      <c r="J3864" s="1" t="s">
        <v>107</v>
      </c>
      <c r="K3864" s="3">
        <v>3372869736096</v>
      </c>
    </row>
    <row r="3865" spans="1:11">
      <c r="A3865" s="1">
        <v>45726</v>
      </c>
      <c r="B3865" t="s">
        <v>1975</v>
      </c>
      <c r="C3865">
        <v>2.1019999999999999</v>
      </c>
      <c r="I3865" s="1">
        <v>45733</v>
      </c>
      <c r="J3865" s="1" t="s">
        <v>282</v>
      </c>
      <c r="K3865" s="3">
        <v>20000</v>
      </c>
    </row>
    <row r="3866" spans="1:11">
      <c r="A3866" s="1">
        <v>45726</v>
      </c>
      <c r="B3866" t="s">
        <v>1976</v>
      </c>
      <c r="C3866">
        <v>2.16</v>
      </c>
      <c r="I3866" s="1">
        <v>45733</v>
      </c>
      <c r="J3866" s="1" t="s">
        <v>283</v>
      </c>
      <c r="K3866" s="3">
        <v>7</v>
      </c>
    </row>
    <row r="3867" spans="1:11">
      <c r="A3867" s="1">
        <v>45726</v>
      </c>
      <c r="B3867" t="s">
        <v>1977</v>
      </c>
      <c r="C3867">
        <v>2.2410000000000001</v>
      </c>
      <c r="I3867" s="1">
        <v>45733</v>
      </c>
      <c r="J3867" s="1" t="s">
        <v>284</v>
      </c>
      <c r="K3867" s="3">
        <v>19720.63</v>
      </c>
    </row>
    <row r="3868" spans="1:11">
      <c r="A3868" s="1">
        <v>45726</v>
      </c>
      <c r="B3868" t="s">
        <v>1978</v>
      </c>
      <c r="C3868">
        <v>2.3220000000000001</v>
      </c>
      <c r="I3868" s="1">
        <v>45733</v>
      </c>
      <c r="J3868" s="1" t="s">
        <v>285</v>
      </c>
      <c r="K3868" s="3">
        <v>4</v>
      </c>
    </row>
    <row r="3869" spans="1:11">
      <c r="A3869" s="1">
        <v>45726</v>
      </c>
      <c r="B3869" t="s">
        <v>1979</v>
      </c>
      <c r="C3869">
        <v>2.6859999999999999</v>
      </c>
      <c r="I3869" s="1">
        <v>45733</v>
      </c>
      <c r="J3869" s="1" t="s">
        <v>286</v>
      </c>
      <c r="K3869" s="3">
        <v>31202.959999999999</v>
      </c>
    </row>
    <row r="3870" spans="1:11">
      <c r="A3870" s="1">
        <v>45726</v>
      </c>
      <c r="B3870" t="s">
        <v>1980</v>
      </c>
      <c r="C3870">
        <v>2.9569999999999999</v>
      </c>
      <c r="I3870" s="1">
        <v>45733</v>
      </c>
      <c r="J3870" s="1" t="s">
        <v>287</v>
      </c>
      <c r="K3870" s="3">
        <v>74776.44</v>
      </c>
    </row>
    <row r="3871" spans="1:11">
      <c r="A3871" s="1">
        <v>45726</v>
      </c>
      <c r="B3871" t="s">
        <v>1981</v>
      </c>
      <c r="C3871">
        <v>3.14</v>
      </c>
      <c r="I3871" s="1">
        <v>45733</v>
      </c>
      <c r="J3871" s="1" t="s">
        <v>288</v>
      </c>
      <c r="K3871" s="3">
        <v>-64769.83</v>
      </c>
    </row>
    <row r="3872" spans="1:11">
      <c r="A3872" s="1">
        <v>45726</v>
      </c>
      <c r="B3872" t="s">
        <v>1982</v>
      </c>
      <c r="C3872">
        <v>3.3210000000000002</v>
      </c>
      <c r="I3872" s="1">
        <v>45733</v>
      </c>
      <c r="J3872" s="1" t="s">
        <v>289</v>
      </c>
      <c r="K3872" s="3">
        <v>12</v>
      </c>
    </row>
    <row r="3873" spans="1:11">
      <c r="A3873" s="1">
        <v>45726</v>
      </c>
      <c r="B3873" t="s">
        <v>1983</v>
      </c>
      <c r="C3873">
        <v>3.4129999999999998</v>
      </c>
      <c r="I3873" s="1">
        <v>45733</v>
      </c>
      <c r="J3873" s="1" t="s">
        <v>290</v>
      </c>
      <c r="K3873" s="3">
        <v>12</v>
      </c>
    </row>
    <row r="3874" spans="1:11">
      <c r="A3874" s="1">
        <v>45723</v>
      </c>
      <c r="B3874" t="s">
        <v>1974</v>
      </c>
      <c r="C3874">
        <v>2.0830000000000002</v>
      </c>
      <c r="I3874" s="1">
        <v>45733</v>
      </c>
      <c r="J3874" s="1" t="s">
        <v>107</v>
      </c>
      <c r="K3874" s="3">
        <v>2609967236981</v>
      </c>
    </row>
    <row r="3875" spans="1:11">
      <c r="A3875" s="1">
        <v>45723</v>
      </c>
      <c r="B3875" t="s">
        <v>1975</v>
      </c>
      <c r="C3875">
        <v>2.1019999999999999</v>
      </c>
      <c r="I3875" s="1">
        <v>45732</v>
      </c>
      <c r="J3875" s="1" t="s">
        <v>107</v>
      </c>
      <c r="K3875" s="3">
        <v>3437058954250</v>
      </c>
    </row>
    <row r="3876" spans="1:11">
      <c r="A3876" s="1">
        <v>45723</v>
      </c>
      <c r="B3876" t="s">
        <v>1976</v>
      </c>
      <c r="C3876">
        <v>2.16</v>
      </c>
      <c r="I3876" s="1">
        <v>45730</v>
      </c>
      <c r="J3876" s="1" t="s">
        <v>282</v>
      </c>
      <c r="K3876" s="3">
        <v>20000</v>
      </c>
    </row>
    <row r="3877" spans="1:11">
      <c r="A3877" s="1">
        <v>45723</v>
      </c>
      <c r="B3877" t="s">
        <v>1977</v>
      </c>
      <c r="C3877">
        <v>2.2400000000000002</v>
      </c>
      <c r="I3877" s="1">
        <v>45730</v>
      </c>
      <c r="J3877" s="1" t="s">
        <v>283</v>
      </c>
      <c r="K3877" s="3">
        <v>7</v>
      </c>
    </row>
    <row r="3878" spans="1:11">
      <c r="A3878" s="1">
        <v>45723</v>
      </c>
      <c r="B3878" t="s">
        <v>1978</v>
      </c>
      <c r="C3878">
        <v>2.3199999999999998</v>
      </c>
      <c r="I3878" s="1">
        <v>45730</v>
      </c>
      <c r="J3878" s="1" t="s">
        <v>284</v>
      </c>
      <c r="K3878" s="3">
        <v>12307.07</v>
      </c>
    </row>
    <row r="3879" spans="1:11">
      <c r="A3879" s="1">
        <v>45723</v>
      </c>
      <c r="B3879" t="s">
        <v>1979</v>
      </c>
      <c r="C3879">
        <v>2.6739999999999999</v>
      </c>
      <c r="I3879" s="1">
        <v>45730</v>
      </c>
      <c r="J3879" s="1" t="s">
        <v>285</v>
      </c>
      <c r="K3879" s="3">
        <v>4</v>
      </c>
    </row>
    <row r="3880" spans="1:11">
      <c r="A3880" s="1">
        <v>45723</v>
      </c>
      <c r="B3880" t="s">
        <v>1980</v>
      </c>
      <c r="C3880">
        <v>2.9540000000000002</v>
      </c>
      <c r="I3880" s="1">
        <v>45730</v>
      </c>
      <c r="J3880" s="1" t="s">
        <v>286</v>
      </c>
      <c r="K3880" s="3">
        <v>11432.58</v>
      </c>
    </row>
    <row r="3881" spans="1:11">
      <c r="A3881" s="1">
        <v>45723</v>
      </c>
      <c r="B3881" t="s">
        <v>1981</v>
      </c>
      <c r="C3881">
        <v>3.141</v>
      </c>
      <c r="I3881" s="1">
        <v>45730</v>
      </c>
      <c r="J3881" s="1" t="s">
        <v>287</v>
      </c>
      <c r="K3881" s="3">
        <v>86258.77</v>
      </c>
    </row>
    <row r="3882" spans="1:11">
      <c r="A3882" s="1">
        <v>45723</v>
      </c>
      <c r="B3882" t="s">
        <v>1982</v>
      </c>
      <c r="C3882">
        <v>3.3210000000000002</v>
      </c>
      <c r="I3882" s="1">
        <v>45730</v>
      </c>
      <c r="J3882" s="1" t="s">
        <v>288</v>
      </c>
      <c r="K3882" s="3">
        <v>-76252.160000000003</v>
      </c>
    </row>
    <row r="3883" spans="1:11">
      <c r="A3883" s="1">
        <v>45723</v>
      </c>
      <c r="B3883" t="s">
        <v>1983</v>
      </c>
      <c r="C3883">
        <v>3.4129999999999998</v>
      </c>
      <c r="I3883" s="1">
        <v>45730</v>
      </c>
      <c r="J3883" s="1" t="s">
        <v>289</v>
      </c>
      <c r="K3883" s="3">
        <v>8</v>
      </c>
    </row>
    <row r="3884" spans="1:11">
      <c r="A3884" s="1">
        <v>45722</v>
      </c>
      <c r="B3884" t="s">
        <v>1980</v>
      </c>
      <c r="C3884">
        <v>2.96</v>
      </c>
      <c r="I3884" s="1">
        <v>45730</v>
      </c>
      <c r="J3884" s="1" t="s">
        <v>290</v>
      </c>
      <c r="K3884" s="3">
        <v>8</v>
      </c>
    </row>
    <row r="3885" spans="1:11">
      <c r="A3885" s="1">
        <v>45722</v>
      </c>
      <c r="B3885" t="s">
        <v>1981</v>
      </c>
      <c r="C3885">
        <v>3.15</v>
      </c>
      <c r="I3885" s="1">
        <v>45729</v>
      </c>
      <c r="J3885" s="1" t="s">
        <v>282</v>
      </c>
      <c r="K3885" s="3">
        <v>20000</v>
      </c>
    </row>
    <row r="3886" spans="1:11">
      <c r="A3886" s="1">
        <v>45722</v>
      </c>
      <c r="B3886" t="s">
        <v>1982</v>
      </c>
      <c r="C3886">
        <v>3.3090000000000002</v>
      </c>
      <c r="I3886" s="1">
        <v>45729</v>
      </c>
      <c r="J3886" s="1" t="s">
        <v>283</v>
      </c>
      <c r="K3886" s="3">
        <v>7</v>
      </c>
    </row>
    <row r="3887" spans="1:11">
      <c r="A3887" s="1">
        <v>45722</v>
      </c>
      <c r="B3887" t="s">
        <v>1983</v>
      </c>
      <c r="C3887">
        <v>3.4</v>
      </c>
      <c r="I3887" s="1">
        <v>45729</v>
      </c>
      <c r="J3887" s="1" t="s">
        <v>284</v>
      </c>
      <c r="K3887" s="3">
        <v>6890.47</v>
      </c>
    </row>
    <row r="3888" spans="1:11">
      <c r="A3888" s="1">
        <v>45722</v>
      </c>
      <c r="B3888" t="s">
        <v>1974</v>
      </c>
      <c r="C3888">
        <v>2.1</v>
      </c>
      <c r="I3888" s="1">
        <v>45729</v>
      </c>
      <c r="J3888" s="1" t="s">
        <v>285</v>
      </c>
      <c r="K3888" s="3">
        <v>4</v>
      </c>
    </row>
    <row r="3889" spans="1:11">
      <c r="A3889" s="1">
        <v>45722</v>
      </c>
      <c r="B3889" t="s">
        <v>1975</v>
      </c>
      <c r="C3889">
        <v>2.1019999999999999</v>
      </c>
      <c r="I3889" s="1">
        <v>45729</v>
      </c>
      <c r="J3889" s="1" t="s">
        <v>286</v>
      </c>
      <c r="K3889" s="3">
        <v>2690.69</v>
      </c>
    </row>
    <row r="3890" spans="1:11">
      <c r="A3890" s="1">
        <v>45722</v>
      </c>
      <c r="B3890" t="s">
        <v>1976</v>
      </c>
      <c r="C3890">
        <v>2.1480000000000001</v>
      </c>
      <c r="I3890" s="1">
        <v>45729</v>
      </c>
      <c r="J3890" s="1" t="s">
        <v>287</v>
      </c>
      <c r="K3890" s="3">
        <v>85384.28</v>
      </c>
    </row>
    <row r="3891" spans="1:11">
      <c r="A3891" s="1">
        <v>45722</v>
      </c>
      <c r="B3891" t="s">
        <v>1977</v>
      </c>
      <c r="C3891">
        <v>2.2389999999999999</v>
      </c>
      <c r="I3891" s="1">
        <v>45729</v>
      </c>
      <c r="J3891" s="1" t="s">
        <v>288</v>
      </c>
      <c r="K3891" s="3">
        <v>-75377.67</v>
      </c>
    </row>
    <row r="3892" spans="1:11">
      <c r="A3892" s="1">
        <v>45722</v>
      </c>
      <c r="B3892" t="s">
        <v>1978</v>
      </c>
      <c r="C3892">
        <v>2.33</v>
      </c>
      <c r="I3892" s="1">
        <v>45729</v>
      </c>
      <c r="J3892" s="1" t="s">
        <v>289</v>
      </c>
      <c r="K3892" s="3">
        <v>6</v>
      </c>
    </row>
    <row r="3893" spans="1:11">
      <c r="A3893" s="1">
        <v>45722</v>
      </c>
      <c r="B3893" t="s">
        <v>1979</v>
      </c>
      <c r="C3893">
        <v>2.7010000000000001</v>
      </c>
      <c r="I3893" s="1">
        <v>45729</v>
      </c>
      <c r="J3893" s="1" t="s">
        <v>290</v>
      </c>
      <c r="K3893" s="3">
        <v>6</v>
      </c>
    </row>
    <row r="3894" spans="1:11">
      <c r="A3894" s="1">
        <v>45721</v>
      </c>
      <c r="B3894" t="s">
        <v>1974</v>
      </c>
      <c r="C3894">
        <v>2.0830000000000002</v>
      </c>
      <c r="I3894" s="1">
        <v>45729</v>
      </c>
      <c r="J3894" s="1" t="s">
        <v>107</v>
      </c>
      <c r="K3894" s="3">
        <v>3436503894702</v>
      </c>
    </row>
    <row r="3895" spans="1:11">
      <c r="A3895" s="1">
        <v>45721</v>
      </c>
      <c r="B3895" t="s">
        <v>1975</v>
      </c>
      <c r="C3895">
        <v>2.1059999999999999</v>
      </c>
      <c r="I3895" s="1">
        <v>45728</v>
      </c>
      <c r="J3895" s="1" t="s">
        <v>107</v>
      </c>
      <c r="K3895" s="3">
        <v>3781619735122</v>
      </c>
    </row>
    <row r="3896" spans="1:11">
      <c r="A3896" s="1">
        <v>45721</v>
      </c>
      <c r="B3896" t="s">
        <v>1976</v>
      </c>
      <c r="C3896">
        <v>2.173</v>
      </c>
      <c r="I3896" s="1">
        <v>45728</v>
      </c>
      <c r="J3896" s="1" t="s">
        <v>282</v>
      </c>
      <c r="K3896" s="3">
        <v>20000</v>
      </c>
    </row>
    <row r="3897" spans="1:11">
      <c r="A3897" s="1">
        <v>45721</v>
      </c>
      <c r="B3897" t="s">
        <v>1977</v>
      </c>
      <c r="C3897">
        <v>2.2589999999999999</v>
      </c>
      <c r="I3897" s="1">
        <v>45728</v>
      </c>
      <c r="J3897" s="1" t="s">
        <v>283</v>
      </c>
      <c r="K3897" s="3">
        <v>7</v>
      </c>
    </row>
    <row r="3898" spans="1:11">
      <c r="A3898" s="1">
        <v>45721</v>
      </c>
      <c r="B3898" t="s">
        <v>1978</v>
      </c>
      <c r="C3898">
        <v>2.3450000000000002</v>
      </c>
      <c r="I3898" s="1">
        <v>45728</v>
      </c>
      <c r="J3898" s="1" t="s">
        <v>284</v>
      </c>
      <c r="K3898" s="3">
        <v>12710.79</v>
      </c>
    </row>
    <row r="3899" spans="1:11">
      <c r="A3899" s="1">
        <v>45721</v>
      </c>
      <c r="B3899" t="s">
        <v>1979</v>
      </c>
      <c r="C3899">
        <v>2.7709999999999999</v>
      </c>
      <c r="I3899" s="1">
        <v>45728</v>
      </c>
      <c r="J3899" s="1" t="s">
        <v>285</v>
      </c>
      <c r="K3899" s="3">
        <v>4</v>
      </c>
    </row>
    <row r="3900" spans="1:11">
      <c r="A3900" s="1">
        <v>45721</v>
      </c>
      <c r="B3900" t="s">
        <v>1980</v>
      </c>
      <c r="C3900">
        <v>3.0150000000000001</v>
      </c>
      <c r="I3900" s="1">
        <v>45728</v>
      </c>
      <c r="J3900" s="1" t="s">
        <v>286</v>
      </c>
      <c r="K3900" s="3">
        <v>10654.41</v>
      </c>
    </row>
    <row r="3901" spans="1:11">
      <c r="A3901" s="1">
        <v>45721</v>
      </c>
      <c r="B3901" t="s">
        <v>1981</v>
      </c>
      <c r="C3901">
        <v>3.2010000000000001</v>
      </c>
      <c r="I3901" s="1">
        <v>45728</v>
      </c>
      <c r="J3901" s="1" t="s">
        <v>287</v>
      </c>
      <c r="K3901" s="3">
        <v>81184.5</v>
      </c>
    </row>
    <row r="3902" spans="1:11">
      <c r="A3902" s="1">
        <v>45721</v>
      </c>
      <c r="B3902" t="s">
        <v>1982</v>
      </c>
      <c r="C3902">
        <v>3.34</v>
      </c>
      <c r="I3902" s="1">
        <v>45728</v>
      </c>
      <c r="J3902" s="1" t="s">
        <v>288</v>
      </c>
      <c r="K3902" s="3">
        <v>-71269.69</v>
      </c>
    </row>
    <row r="3903" spans="1:11">
      <c r="A3903" s="1">
        <v>45721</v>
      </c>
      <c r="B3903" t="s">
        <v>1983</v>
      </c>
      <c r="C3903">
        <v>3.427</v>
      </c>
      <c r="I3903" s="1">
        <v>45728</v>
      </c>
      <c r="J3903" s="1" t="s">
        <v>289</v>
      </c>
      <c r="K3903" s="3">
        <v>12</v>
      </c>
    </row>
    <row r="3904" spans="1:11">
      <c r="A3904" s="1">
        <v>45720</v>
      </c>
      <c r="B3904" t="s">
        <v>1974</v>
      </c>
      <c r="C3904">
        <v>2.0880000000000001</v>
      </c>
      <c r="I3904" s="1">
        <v>45728</v>
      </c>
      <c r="J3904" s="1" t="s">
        <v>290</v>
      </c>
      <c r="K3904" s="3">
        <v>12</v>
      </c>
    </row>
    <row r="3905" spans="1:11">
      <c r="A3905" s="1">
        <v>45720</v>
      </c>
      <c r="B3905" t="s">
        <v>1975</v>
      </c>
      <c r="C3905">
        <v>2.11</v>
      </c>
      <c r="I3905" s="1">
        <v>45727</v>
      </c>
      <c r="J3905" s="1" t="s">
        <v>285</v>
      </c>
      <c r="K3905" s="3">
        <v>4</v>
      </c>
    </row>
    <row r="3906" spans="1:11">
      <c r="A3906" s="1">
        <v>45720</v>
      </c>
      <c r="B3906" t="s">
        <v>1976</v>
      </c>
      <c r="C3906">
        <v>2.173</v>
      </c>
      <c r="I3906" s="1">
        <v>45727</v>
      </c>
      <c r="J3906" s="1" t="s">
        <v>286</v>
      </c>
      <c r="K3906" s="3">
        <v>11157.94</v>
      </c>
    </row>
    <row r="3907" spans="1:11">
      <c r="A3907" s="1">
        <v>45720</v>
      </c>
      <c r="B3907" t="s">
        <v>1977</v>
      </c>
      <c r="C3907">
        <v>2.278</v>
      </c>
      <c r="I3907" s="1">
        <v>45727</v>
      </c>
      <c r="J3907" s="1" t="s">
        <v>287</v>
      </c>
      <c r="K3907" s="3">
        <v>79128.12</v>
      </c>
    </row>
    <row r="3908" spans="1:11">
      <c r="A3908" s="1">
        <v>45720</v>
      </c>
      <c r="B3908" t="s">
        <v>1978</v>
      </c>
      <c r="C3908">
        <v>2.383</v>
      </c>
      <c r="I3908" s="1">
        <v>45727</v>
      </c>
      <c r="J3908" s="1" t="s">
        <v>288</v>
      </c>
      <c r="K3908" s="3">
        <v>-70950.22</v>
      </c>
    </row>
    <row r="3909" spans="1:11">
      <c r="A3909" s="1">
        <v>45720</v>
      </c>
      <c r="B3909" t="s">
        <v>1979</v>
      </c>
      <c r="C3909">
        <v>2.8220000000000001</v>
      </c>
      <c r="I3909" s="1">
        <v>45727</v>
      </c>
      <c r="J3909" s="1" t="s">
        <v>289</v>
      </c>
      <c r="K3909" s="3">
        <v>11</v>
      </c>
    </row>
    <row r="3910" spans="1:11">
      <c r="A3910" s="1">
        <v>45720</v>
      </c>
      <c r="B3910" t="s">
        <v>1980</v>
      </c>
      <c r="C3910">
        <v>3.0659999999999998</v>
      </c>
      <c r="I3910" s="1">
        <v>45727</v>
      </c>
      <c r="J3910" s="1" t="s">
        <v>290</v>
      </c>
      <c r="K3910" s="3">
        <v>11</v>
      </c>
    </row>
    <row r="3911" spans="1:11">
      <c r="A3911" s="1">
        <v>45720</v>
      </c>
      <c r="B3911" t="s">
        <v>1981</v>
      </c>
      <c r="C3911">
        <v>3.2349999999999999</v>
      </c>
      <c r="I3911" s="1">
        <v>45727</v>
      </c>
      <c r="J3911" s="1" t="s">
        <v>107</v>
      </c>
      <c r="K3911" s="3">
        <v>3740160439126</v>
      </c>
    </row>
    <row r="3912" spans="1:11">
      <c r="A3912" s="1">
        <v>45720</v>
      </c>
      <c r="B3912" t="s">
        <v>1982</v>
      </c>
      <c r="C3912">
        <v>3.3660000000000001</v>
      </c>
      <c r="I3912" s="1">
        <v>45727</v>
      </c>
      <c r="J3912" s="1" t="s">
        <v>282</v>
      </c>
      <c r="K3912" s="3">
        <v>20000</v>
      </c>
    </row>
    <row r="3913" spans="1:11">
      <c r="A3913" s="1">
        <v>45720</v>
      </c>
      <c r="B3913" t="s">
        <v>1983</v>
      </c>
      <c r="C3913">
        <v>3.444</v>
      </c>
      <c r="I3913" s="1">
        <v>45727</v>
      </c>
      <c r="J3913" s="1" t="s">
        <v>283</v>
      </c>
      <c r="K3913" s="3">
        <v>7</v>
      </c>
    </row>
    <row r="3914" spans="1:11">
      <c r="A3914" s="1">
        <v>45719</v>
      </c>
      <c r="B3914" t="s">
        <v>1974</v>
      </c>
      <c r="C3914">
        <v>2.0880000000000001</v>
      </c>
      <c r="I3914" s="1">
        <v>45727</v>
      </c>
      <c r="J3914" s="1" t="s">
        <v>284</v>
      </c>
      <c r="K3914" s="3">
        <v>10270.25</v>
      </c>
    </row>
    <row r="3915" spans="1:11">
      <c r="A3915" s="1">
        <v>45719</v>
      </c>
      <c r="B3915" t="s">
        <v>1975</v>
      </c>
      <c r="C3915">
        <v>2.11</v>
      </c>
      <c r="I3915" s="1">
        <v>45726</v>
      </c>
      <c r="J3915" s="1" t="s">
        <v>107</v>
      </c>
      <c r="K3915" s="3">
        <v>3740160439126</v>
      </c>
    </row>
    <row r="3916" spans="1:11">
      <c r="A3916" s="1">
        <v>45719</v>
      </c>
      <c r="B3916" t="s">
        <v>1976</v>
      </c>
      <c r="C3916">
        <v>2.173</v>
      </c>
      <c r="I3916" s="1">
        <v>45726</v>
      </c>
      <c r="J3916" s="1" t="s">
        <v>282</v>
      </c>
      <c r="K3916" s="3">
        <v>20000</v>
      </c>
    </row>
    <row r="3917" spans="1:11">
      <c r="A3917" s="1">
        <v>45719</v>
      </c>
      <c r="B3917" t="s">
        <v>1977</v>
      </c>
      <c r="C3917">
        <v>2.2839999999999998</v>
      </c>
      <c r="I3917" s="1">
        <v>45726</v>
      </c>
      <c r="J3917" s="1" t="s">
        <v>283</v>
      </c>
      <c r="K3917" s="3">
        <v>7</v>
      </c>
    </row>
    <row r="3918" spans="1:11">
      <c r="A3918" s="1">
        <v>45719</v>
      </c>
      <c r="B3918" t="s">
        <v>1978</v>
      </c>
      <c r="C3918">
        <v>2.395</v>
      </c>
      <c r="I3918" s="1">
        <v>45726</v>
      </c>
      <c r="J3918" s="1" t="s">
        <v>284</v>
      </c>
      <c r="K3918" s="3">
        <v>16202.96</v>
      </c>
    </row>
    <row r="3919" spans="1:11">
      <c r="A3919" s="1">
        <v>45719</v>
      </c>
      <c r="B3919" t="s">
        <v>1979</v>
      </c>
      <c r="C3919">
        <v>2.8210000000000002</v>
      </c>
      <c r="I3919" s="1">
        <v>45726</v>
      </c>
      <c r="J3919" s="1" t="s">
        <v>285</v>
      </c>
      <c r="K3919" s="3">
        <v>4</v>
      </c>
    </row>
    <row r="3920" spans="1:11">
      <c r="A3920" s="1">
        <v>45719</v>
      </c>
      <c r="B3920" t="s">
        <v>1980</v>
      </c>
      <c r="C3920">
        <v>3.0779999999999998</v>
      </c>
      <c r="I3920" s="1">
        <v>45726</v>
      </c>
      <c r="J3920" s="1" t="s">
        <v>286</v>
      </c>
      <c r="K3920" s="3">
        <v>0</v>
      </c>
    </row>
    <row r="3921" spans="1:11">
      <c r="A3921" s="1">
        <v>45719</v>
      </c>
      <c r="B3921" t="s">
        <v>1981</v>
      </c>
      <c r="C3921">
        <v>3.2530000000000001</v>
      </c>
      <c r="I3921" s="1">
        <v>45726</v>
      </c>
      <c r="J3921" s="1" t="s">
        <v>287</v>
      </c>
      <c r="K3921" s="3">
        <v>80015.81</v>
      </c>
    </row>
    <row r="3922" spans="1:11">
      <c r="A3922" s="1">
        <v>45719</v>
      </c>
      <c r="B3922" t="s">
        <v>1982</v>
      </c>
      <c r="C3922">
        <v>3.36</v>
      </c>
      <c r="I3922" s="1">
        <v>45726</v>
      </c>
      <c r="J3922" s="1" t="s">
        <v>288</v>
      </c>
      <c r="K3922" s="3">
        <v>-67138.58</v>
      </c>
    </row>
    <row r="3923" spans="1:11">
      <c r="A3923" s="1">
        <v>45719</v>
      </c>
      <c r="B3923" t="s">
        <v>1983</v>
      </c>
      <c r="C3923">
        <v>3.452</v>
      </c>
      <c r="I3923" s="1">
        <v>45726</v>
      </c>
      <c r="J3923" s="1" t="s">
        <v>289</v>
      </c>
      <c r="K3923" s="3">
        <v>7</v>
      </c>
    </row>
    <row r="3924" spans="1:11">
      <c r="A3924" s="1">
        <v>45716</v>
      </c>
      <c r="B3924" t="s">
        <v>1974</v>
      </c>
      <c r="C3924">
        <v>2.0880000000000001</v>
      </c>
      <c r="I3924" s="1">
        <v>45726</v>
      </c>
      <c r="J3924" s="1" t="s">
        <v>290</v>
      </c>
      <c r="K3924" s="3">
        <v>7</v>
      </c>
    </row>
    <row r="3925" spans="1:11">
      <c r="A3925" s="1">
        <v>45716</v>
      </c>
      <c r="B3925" t="s">
        <v>1975</v>
      </c>
      <c r="C3925">
        <v>2.11</v>
      </c>
      <c r="I3925" s="1">
        <v>45725</v>
      </c>
      <c r="J3925" s="1" t="s">
        <v>107</v>
      </c>
      <c r="K3925" s="3">
        <v>3740160439126</v>
      </c>
    </row>
    <row r="3926" spans="1:11">
      <c r="A3926" s="1">
        <v>45716</v>
      </c>
      <c r="B3926" t="s">
        <v>1976</v>
      </c>
      <c r="C3926">
        <v>2.173</v>
      </c>
      <c r="I3926" s="1">
        <v>45723</v>
      </c>
      <c r="J3926" s="1" t="s">
        <v>282</v>
      </c>
      <c r="K3926" s="3">
        <v>15000</v>
      </c>
    </row>
    <row r="3927" spans="1:11">
      <c r="A3927" s="1">
        <v>45716</v>
      </c>
      <c r="B3927" t="s">
        <v>1977</v>
      </c>
      <c r="C3927">
        <v>2.2949999999999999</v>
      </c>
      <c r="I3927" s="1">
        <v>45723</v>
      </c>
      <c r="J3927" s="1" t="s">
        <v>283</v>
      </c>
      <c r="K3927" s="3">
        <v>7</v>
      </c>
    </row>
    <row r="3928" spans="1:11">
      <c r="A3928" s="1">
        <v>45716</v>
      </c>
      <c r="B3928" t="s">
        <v>1978</v>
      </c>
      <c r="C3928">
        <v>2.4169999999999998</v>
      </c>
      <c r="I3928" s="1">
        <v>45723</v>
      </c>
      <c r="J3928" s="1" t="s">
        <v>284</v>
      </c>
      <c r="K3928" s="3">
        <v>5485.78</v>
      </c>
    </row>
    <row r="3929" spans="1:11">
      <c r="A3929" s="1">
        <v>45716</v>
      </c>
      <c r="B3929" t="s">
        <v>1979</v>
      </c>
      <c r="C3929">
        <v>2.8370000000000002</v>
      </c>
      <c r="I3929" s="1">
        <v>45723</v>
      </c>
      <c r="J3929" s="1" t="s">
        <v>285</v>
      </c>
      <c r="K3929" s="3">
        <v>4</v>
      </c>
    </row>
    <row r="3930" spans="1:11">
      <c r="A3930" s="1">
        <v>45716</v>
      </c>
      <c r="B3930" t="s">
        <v>1980</v>
      </c>
      <c r="C3930">
        <v>3.0880000000000001</v>
      </c>
      <c r="I3930" s="1">
        <v>45723</v>
      </c>
      <c r="J3930" s="1" t="s">
        <v>286</v>
      </c>
      <c r="K3930" s="3">
        <v>12436.05</v>
      </c>
    </row>
    <row r="3931" spans="1:11">
      <c r="A3931" s="1">
        <v>45716</v>
      </c>
      <c r="B3931" t="s">
        <v>1981</v>
      </c>
      <c r="C3931">
        <v>3.258</v>
      </c>
      <c r="I3931" s="1">
        <v>45723</v>
      </c>
      <c r="J3931" s="1" t="s">
        <v>287</v>
      </c>
      <c r="K3931" s="3">
        <v>63812.85</v>
      </c>
    </row>
    <row r="3932" spans="1:11">
      <c r="A3932" s="1">
        <v>45716</v>
      </c>
      <c r="B3932" t="s">
        <v>1982</v>
      </c>
      <c r="C3932">
        <v>3.36</v>
      </c>
      <c r="I3932" s="1">
        <v>45723</v>
      </c>
      <c r="J3932" s="1" t="s">
        <v>288</v>
      </c>
      <c r="K3932" s="3">
        <v>-35935.620000000003</v>
      </c>
    </row>
    <row r="3933" spans="1:11">
      <c r="A3933" s="1">
        <v>45716</v>
      </c>
      <c r="B3933" t="s">
        <v>1983</v>
      </c>
      <c r="C3933">
        <v>3.452</v>
      </c>
      <c r="I3933" s="1">
        <v>45723</v>
      </c>
      <c r="J3933" s="1" t="s">
        <v>289</v>
      </c>
      <c r="K3933" s="3">
        <v>2</v>
      </c>
    </row>
    <row r="3934" spans="1:11">
      <c r="A3934" s="1">
        <v>45715</v>
      </c>
      <c r="B3934" t="s">
        <v>1974</v>
      </c>
      <c r="C3934">
        <v>2.0920000000000001</v>
      </c>
      <c r="I3934" s="1">
        <v>45723</v>
      </c>
      <c r="J3934" s="1" t="s">
        <v>290</v>
      </c>
      <c r="K3934" s="3">
        <v>2</v>
      </c>
    </row>
    <row r="3935" spans="1:11">
      <c r="A3935" s="1">
        <v>45715</v>
      </c>
      <c r="B3935" t="s">
        <v>1975</v>
      </c>
      <c r="C3935">
        <v>2.1150000000000002</v>
      </c>
      <c r="I3935" s="1">
        <v>45722</v>
      </c>
      <c r="J3935" s="1" t="s">
        <v>107</v>
      </c>
      <c r="K3935" s="3">
        <v>4345183587241</v>
      </c>
    </row>
    <row r="3936" spans="1:11">
      <c r="A3936" s="1">
        <v>45715</v>
      </c>
      <c r="B3936" t="s">
        <v>1976</v>
      </c>
      <c r="C3936">
        <v>2.177</v>
      </c>
      <c r="I3936" s="1">
        <v>45722</v>
      </c>
      <c r="J3936" s="1" t="s">
        <v>282</v>
      </c>
      <c r="K3936" s="3">
        <v>15000</v>
      </c>
    </row>
    <row r="3937" spans="1:11">
      <c r="A3937" s="1">
        <v>45715</v>
      </c>
      <c r="B3937" t="s">
        <v>1977</v>
      </c>
      <c r="C3937">
        <v>2.2989999999999999</v>
      </c>
      <c r="I3937" s="1">
        <v>45722</v>
      </c>
      <c r="J3937" s="1" t="s">
        <v>283</v>
      </c>
      <c r="K3937" s="3">
        <v>7</v>
      </c>
    </row>
    <row r="3938" spans="1:11">
      <c r="A3938" s="1">
        <v>45715</v>
      </c>
      <c r="B3938" t="s">
        <v>1978</v>
      </c>
      <c r="C3938">
        <v>2.4220000000000002</v>
      </c>
      <c r="I3938" s="1">
        <v>45722</v>
      </c>
      <c r="J3938" s="1" t="s">
        <v>284</v>
      </c>
      <c r="K3938" s="3">
        <v>767.28</v>
      </c>
    </row>
    <row r="3939" spans="1:11">
      <c r="A3939" s="1">
        <v>45715</v>
      </c>
      <c r="B3939" t="s">
        <v>1979</v>
      </c>
      <c r="C3939">
        <v>2.839</v>
      </c>
      <c r="I3939" s="1">
        <v>45722</v>
      </c>
      <c r="J3939" s="1" t="s">
        <v>285</v>
      </c>
      <c r="K3939" s="3">
        <v>4</v>
      </c>
    </row>
    <row r="3940" spans="1:11">
      <c r="A3940" s="1">
        <v>45715</v>
      </c>
      <c r="B3940" t="s">
        <v>1980</v>
      </c>
      <c r="C3940">
        <v>3.0920000000000001</v>
      </c>
      <c r="I3940" s="1">
        <v>45722</v>
      </c>
      <c r="J3940" s="1" t="s">
        <v>286</v>
      </c>
      <c r="K3940" s="3">
        <v>7000</v>
      </c>
    </row>
    <row r="3941" spans="1:11">
      <c r="A3941" s="1">
        <v>45715</v>
      </c>
      <c r="B3941" t="s">
        <v>1981</v>
      </c>
      <c r="C3941">
        <v>3.266</v>
      </c>
      <c r="I3941" s="1">
        <v>45722</v>
      </c>
      <c r="J3941" s="1" t="s">
        <v>287</v>
      </c>
      <c r="K3941" s="3">
        <v>70763.12</v>
      </c>
    </row>
    <row r="3942" spans="1:11">
      <c r="A3942" s="1">
        <v>45715</v>
      </c>
      <c r="B3942" t="s">
        <v>1982</v>
      </c>
      <c r="C3942">
        <v>3.3650000000000002</v>
      </c>
      <c r="I3942" s="1">
        <v>45722</v>
      </c>
      <c r="J3942" s="1" t="s">
        <v>288</v>
      </c>
      <c r="K3942" s="3">
        <v>-36939.089999999997</v>
      </c>
    </row>
    <row r="3943" spans="1:11">
      <c r="A3943" s="1">
        <v>45715</v>
      </c>
      <c r="B3943" t="s">
        <v>1983</v>
      </c>
      <c r="C3943">
        <v>3.452</v>
      </c>
      <c r="I3943" s="1">
        <v>45722</v>
      </c>
      <c r="J3943" s="1" t="s">
        <v>289</v>
      </c>
      <c r="K3943" s="3">
        <v>2</v>
      </c>
    </row>
    <row r="3944" spans="1:11">
      <c r="A3944" s="1">
        <v>45714</v>
      </c>
      <c r="B3944" t="s">
        <v>1974</v>
      </c>
      <c r="C3944">
        <v>2.0920000000000001</v>
      </c>
      <c r="I3944" s="1">
        <v>45722</v>
      </c>
      <c r="J3944" s="1" t="s">
        <v>290</v>
      </c>
      <c r="K3944" s="3">
        <v>2</v>
      </c>
    </row>
    <row r="3945" spans="1:11">
      <c r="A3945" s="1">
        <v>45714</v>
      </c>
      <c r="B3945" t="s">
        <v>1975</v>
      </c>
      <c r="C3945">
        <v>2.1150000000000002</v>
      </c>
      <c r="I3945" s="1">
        <v>45721</v>
      </c>
      <c r="J3945" s="1" t="s">
        <v>107</v>
      </c>
      <c r="K3945" s="3">
        <v>5458006057239</v>
      </c>
    </row>
    <row r="3946" spans="1:11">
      <c r="A3946" s="1">
        <v>45714</v>
      </c>
      <c r="B3946" t="s">
        <v>1976</v>
      </c>
      <c r="C3946">
        <v>2.177</v>
      </c>
      <c r="I3946" s="1">
        <v>45721</v>
      </c>
      <c r="J3946" s="1" t="s">
        <v>282</v>
      </c>
      <c r="K3946" s="3">
        <v>15000</v>
      </c>
    </row>
    <row r="3947" spans="1:11">
      <c r="A3947" s="1">
        <v>45714</v>
      </c>
      <c r="B3947" t="s">
        <v>1977</v>
      </c>
      <c r="C3947">
        <v>2.3039999999999998</v>
      </c>
      <c r="I3947" s="1">
        <v>45721</v>
      </c>
      <c r="J3947" s="1" t="s">
        <v>283</v>
      </c>
      <c r="K3947" s="3">
        <v>7</v>
      </c>
    </row>
    <row r="3948" spans="1:11">
      <c r="A3948" s="1">
        <v>45714</v>
      </c>
      <c r="B3948" t="s">
        <v>1978</v>
      </c>
      <c r="C3948">
        <v>2.4300000000000002</v>
      </c>
      <c r="I3948" s="1">
        <v>45721</v>
      </c>
      <c r="J3948" s="1" t="s">
        <v>284</v>
      </c>
      <c r="K3948" s="3">
        <v>6970.55</v>
      </c>
    </row>
    <row r="3949" spans="1:11">
      <c r="A3949" s="1">
        <v>45714</v>
      </c>
      <c r="B3949" t="s">
        <v>1979</v>
      </c>
      <c r="C3949">
        <v>2.8479999999999999</v>
      </c>
      <c r="I3949" s="1">
        <v>45721</v>
      </c>
      <c r="J3949" s="1" t="s">
        <v>285</v>
      </c>
      <c r="K3949" s="3">
        <v>4</v>
      </c>
    </row>
    <row r="3950" spans="1:11">
      <c r="A3950" s="1">
        <v>45714</v>
      </c>
      <c r="B3950" t="s">
        <v>1980</v>
      </c>
      <c r="C3950">
        <v>3.113</v>
      </c>
      <c r="I3950" s="1">
        <v>45721</v>
      </c>
      <c r="J3950" s="1" t="s">
        <v>286</v>
      </c>
      <c r="K3950" s="3">
        <v>2235.0100000000002</v>
      </c>
    </row>
    <row r="3951" spans="1:11">
      <c r="A3951" s="1">
        <v>45714</v>
      </c>
      <c r="B3951" t="s">
        <v>1981</v>
      </c>
      <c r="C3951">
        <v>3.294</v>
      </c>
      <c r="I3951" s="1">
        <v>45721</v>
      </c>
      <c r="J3951" s="1" t="s">
        <v>287</v>
      </c>
      <c r="K3951" s="3">
        <v>76995.839999999997</v>
      </c>
    </row>
    <row r="3952" spans="1:11">
      <c r="A3952" s="1">
        <v>45714</v>
      </c>
      <c r="B3952" t="s">
        <v>1982</v>
      </c>
      <c r="C3952">
        <v>3.367</v>
      </c>
      <c r="I3952" s="1">
        <v>45721</v>
      </c>
      <c r="J3952" s="1" t="s">
        <v>288</v>
      </c>
      <c r="K3952" s="3">
        <v>-41248.400000000001</v>
      </c>
    </row>
    <row r="3953" spans="1:11">
      <c r="A3953" s="1">
        <v>45714</v>
      </c>
      <c r="B3953" t="s">
        <v>1983</v>
      </c>
      <c r="C3953">
        <v>3.4540000000000002</v>
      </c>
      <c r="I3953" s="1">
        <v>45721</v>
      </c>
      <c r="J3953" s="1" t="s">
        <v>289</v>
      </c>
      <c r="K3953" s="3">
        <v>4</v>
      </c>
    </row>
    <row r="3954" spans="1:11">
      <c r="A3954" s="1">
        <v>45713</v>
      </c>
      <c r="B3954" t="s">
        <v>1977</v>
      </c>
      <c r="C3954">
        <v>2.3039999999999998</v>
      </c>
      <c r="I3954" s="1">
        <v>45721</v>
      </c>
      <c r="J3954" s="1" t="s">
        <v>290</v>
      </c>
      <c r="K3954" s="3">
        <v>4</v>
      </c>
    </row>
    <row r="3955" spans="1:11">
      <c r="A3955" s="1">
        <v>45713</v>
      </c>
      <c r="B3955" t="s">
        <v>1978</v>
      </c>
      <c r="C3955">
        <v>2.4300000000000002</v>
      </c>
      <c r="I3955" s="1">
        <v>45720</v>
      </c>
      <c r="J3955" s="1" t="s">
        <v>282</v>
      </c>
      <c r="K3955" s="3">
        <v>15000</v>
      </c>
    </row>
    <row r="3956" spans="1:11">
      <c r="A3956" s="1">
        <v>45713</v>
      </c>
      <c r="B3956" t="s">
        <v>1979</v>
      </c>
      <c r="C3956">
        <v>2.8530000000000002</v>
      </c>
      <c r="I3956" s="1">
        <v>45720</v>
      </c>
      <c r="J3956" s="1" t="s">
        <v>283</v>
      </c>
      <c r="K3956" s="3">
        <v>14</v>
      </c>
    </row>
    <row r="3957" spans="1:11">
      <c r="A3957" s="1">
        <v>45713</v>
      </c>
      <c r="B3957" t="s">
        <v>1980</v>
      </c>
      <c r="C3957">
        <v>3.12</v>
      </c>
      <c r="I3957" s="1">
        <v>45720</v>
      </c>
      <c r="J3957" s="1" t="s">
        <v>284</v>
      </c>
      <c r="K3957" s="3">
        <v>7688.41</v>
      </c>
    </row>
    <row r="3958" spans="1:11">
      <c r="A3958" s="1">
        <v>45713</v>
      </c>
      <c r="B3958" t="s">
        <v>1981</v>
      </c>
      <c r="C3958">
        <v>3.2930000000000001</v>
      </c>
      <c r="I3958" s="1">
        <v>45720</v>
      </c>
      <c r="J3958" s="1" t="s">
        <v>285</v>
      </c>
      <c r="K3958" s="3">
        <v>4</v>
      </c>
    </row>
    <row r="3959" spans="1:11">
      <c r="A3959" s="1">
        <v>45713</v>
      </c>
      <c r="B3959" t="s">
        <v>1982</v>
      </c>
      <c r="C3959">
        <v>3.367</v>
      </c>
      <c r="I3959" s="1">
        <v>45720</v>
      </c>
      <c r="J3959" s="1" t="s">
        <v>286</v>
      </c>
      <c r="K3959" s="3">
        <v>6513.61</v>
      </c>
    </row>
    <row r="3960" spans="1:11">
      <c r="A3960" s="1">
        <v>45713</v>
      </c>
      <c r="B3960" t="s">
        <v>1983</v>
      </c>
      <c r="C3960">
        <v>3.4540000000000002</v>
      </c>
      <c r="I3960" s="1">
        <v>45720</v>
      </c>
      <c r="J3960" s="1" t="s">
        <v>287</v>
      </c>
      <c r="K3960" s="3">
        <v>72260.3</v>
      </c>
    </row>
    <row r="3961" spans="1:11">
      <c r="A3961" s="1">
        <v>45713</v>
      </c>
      <c r="B3961" t="s">
        <v>1974</v>
      </c>
      <c r="C3961">
        <v>2.0920000000000001</v>
      </c>
      <c r="I3961" s="1">
        <v>45720</v>
      </c>
      <c r="J3961" s="1" t="s">
        <v>288</v>
      </c>
      <c r="K3961" s="3">
        <v>-32829</v>
      </c>
    </row>
    <row r="3962" spans="1:11">
      <c r="A3962" s="1">
        <v>45713</v>
      </c>
      <c r="B3962" t="s">
        <v>1975</v>
      </c>
      <c r="C3962">
        <v>2.1150000000000002</v>
      </c>
      <c r="I3962" s="1">
        <v>45720</v>
      </c>
      <c r="J3962" s="1" t="s">
        <v>289</v>
      </c>
      <c r="K3962" s="3">
        <v>10</v>
      </c>
    </row>
    <row r="3963" spans="1:11">
      <c r="A3963" s="1">
        <v>45713</v>
      </c>
      <c r="B3963" t="s">
        <v>1976</v>
      </c>
      <c r="C3963">
        <v>2.177</v>
      </c>
      <c r="I3963" s="1">
        <v>45720</v>
      </c>
      <c r="J3963" s="1" t="s">
        <v>290</v>
      </c>
      <c r="K3963" s="3">
        <v>10</v>
      </c>
    </row>
    <row r="3964" spans="1:11">
      <c r="A3964" s="1">
        <v>45712</v>
      </c>
      <c r="B3964" t="s">
        <v>1974</v>
      </c>
      <c r="C3964">
        <v>2.0920000000000001</v>
      </c>
      <c r="I3964" s="1">
        <v>45720</v>
      </c>
      <c r="J3964" s="1" t="s">
        <v>107</v>
      </c>
      <c r="K3964" s="3">
        <v>6009591048680</v>
      </c>
    </row>
    <row r="3965" spans="1:11">
      <c r="A3965" s="1">
        <v>45712</v>
      </c>
      <c r="B3965" t="s">
        <v>1975</v>
      </c>
      <c r="C3965">
        <v>2.1150000000000002</v>
      </c>
      <c r="I3965" s="1">
        <v>45719</v>
      </c>
      <c r="J3965" s="1" t="s">
        <v>107</v>
      </c>
      <c r="K3965" s="3">
        <v>5878150728638</v>
      </c>
    </row>
    <row r="3966" spans="1:11">
      <c r="A3966" s="1">
        <v>45712</v>
      </c>
      <c r="B3966" t="s">
        <v>1976</v>
      </c>
      <c r="C3966">
        <v>2.177</v>
      </c>
      <c r="I3966" s="1">
        <v>45719</v>
      </c>
      <c r="J3966" s="1" t="s">
        <v>282</v>
      </c>
      <c r="K3966" s="3">
        <v>15000</v>
      </c>
    </row>
    <row r="3967" spans="1:11">
      <c r="A3967" s="1">
        <v>45712</v>
      </c>
      <c r="B3967" t="s">
        <v>1977</v>
      </c>
      <c r="C3967">
        <v>2.3029999999999999</v>
      </c>
      <c r="I3967" s="1">
        <v>45719</v>
      </c>
      <c r="J3967" s="1" t="s">
        <v>283</v>
      </c>
      <c r="K3967" s="3">
        <v>14</v>
      </c>
    </row>
    <row r="3968" spans="1:11">
      <c r="A3968" s="1">
        <v>45712</v>
      </c>
      <c r="B3968" t="s">
        <v>1978</v>
      </c>
      <c r="C3968">
        <v>2.4279999999999999</v>
      </c>
      <c r="I3968" s="1">
        <v>45719</v>
      </c>
      <c r="J3968" s="1" t="s">
        <v>284</v>
      </c>
      <c r="K3968" s="3">
        <v>20188.82</v>
      </c>
    </row>
    <row r="3969" spans="1:11">
      <c r="A3969" s="1">
        <v>45712</v>
      </c>
      <c r="B3969" t="s">
        <v>1979</v>
      </c>
      <c r="C3969">
        <v>2.8519999999999999</v>
      </c>
      <c r="I3969" s="1">
        <v>45719</v>
      </c>
      <c r="J3969" s="1" t="s">
        <v>285</v>
      </c>
      <c r="K3969" s="3">
        <v>4</v>
      </c>
    </row>
    <row r="3970" spans="1:11">
      <c r="A3970" s="1">
        <v>45712</v>
      </c>
      <c r="B3970" t="s">
        <v>1980</v>
      </c>
      <c r="C3970">
        <v>3.1179999999999999</v>
      </c>
      <c r="I3970" s="1">
        <v>45719</v>
      </c>
      <c r="J3970" s="1" t="s">
        <v>286</v>
      </c>
      <c r="K3970" s="3">
        <v>17774.060000000001</v>
      </c>
    </row>
    <row r="3971" spans="1:11">
      <c r="A3971" s="1">
        <v>45712</v>
      </c>
      <c r="B3971" t="s">
        <v>1981</v>
      </c>
      <c r="C3971">
        <v>3.2949999999999999</v>
      </c>
      <c r="I3971" s="1">
        <v>45719</v>
      </c>
      <c r="J3971" s="1" t="s">
        <v>287</v>
      </c>
      <c r="K3971" s="3">
        <v>71085.5</v>
      </c>
    </row>
    <row r="3972" spans="1:11">
      <c r="A3972" s="1">
        <v>45712</v>
      </c>
      <c r="B3972" t="s">
        <v>1982</v>
      </c>
      <c r="C3972">
        <v>3.367</v>
      </c>
      <c r="I3972" s="1">
        <v>45719</v>
      </c>
      <c r="J3972" s="1" t="s">
        <v>288</v>
      </c>
      <c r="K3972" s="3">
        <v>-28184.67</v>
      </c>
    </row>
    <row r="3973" spans="1:11">
      <c r="A3973" s="1">
        <v>45712</v>
      </c>
      <c r="B3973" t="s">
        <v>1983</v>
      </c>
      <c r="C3973">
        <v>3.4540000000000002</v>
      </c>
      <c r="I3973" s="1">
        <v>45719</v>
      </c>
      <c r="J3973" s="1" t="s">
        <v>289</v>
      </c>
      <c r="K3973" s="3">
        <v>19</v>
      </c>
    </row>
    <row r="3974" spans="1:11">
      <c r="A3974" s="1">
        <v>45709</v>
      </c>
      <c r="B3974" t="s">
        <v>1974</v>
      </c>
      <c r="C3974">
        <v>2.0920000000000001</v>
      </c>
      <c r="I3974" s="1">
        <v>45719</v>
      </c>
      <c r="J3974" s="1" t="s">
        <v>290</v>
      </c>
      <c r="K3974" s="3">
        <v>19</v>
      </c>
    </row>
    <row r="3975" spans="1:11">
      <c r="A3975" s="1">
        <v>45709</v>
      </c>
      <c r="B3975" t="s">
        <v>1975</v>
      </c>
      <c r="C3975">
        <v>2.1150000000000002</v>
      </c>
      <c r="I3975" s="1">
        <v>45718</v>
      </c>
      <c r="J3975" s="1" t="s">
        <v>107</v>
      </c>
      <c r="K3975" s="3">
        <v>5180401534195</v>
      </c>
    </row>
    <row r="3976" spans="1:11">
      <c r="A3976" s="1">
        <v>45709</v>
      </c>
      <c r="B3976" t="s">
        <v>1976</v>
      </c>
      <c r="C3976">
        <v>2.177</v>
      </c>
      <c r="I3976" s="1">
        <v>45717</v>
      </c>
      <c r="J3976" s="1" t="s">
        <v>107</v>
      </c>
      <c r="K3976" s="3">
        <v>5180401534195</v>
      </c>
    </row>
    <row r="3977" spans="1:11">
      <c r="A3977" s="1">
        <v>45709</v>
      </c>
      <c r="B3977" t="s">
        <v>1977</v>
      </c>
      <c r="C3977">
        <v>2.3039999999999998</v>
      </c>
      <c r="I3977" s="1">
        <v>45716</v>
      </c>
      <c r="J3977" s="1" t="s">
        <v>107</v>
      </c>
      <c r="K3977" s="3">
        <v>5180401534195</v>
      </c>
    </row>
    <row r="3978" spans="1:11">
      <c r="A3978" s="1">
        <v>45709</v>
      </c>
      <c r="B3978" t="s">
        <v>1978</v>
      </c>
      <c r="C3978">
        <v>2.4319999999999999</v>
      </c>
      <c r="I3978" s="1">
        <v>45716</v>
      </c>
      <c r="J3978" s="1" t="s">
        <v>282</v>
      </c>
      <c r="K3978" s="3">
        <v>20000</v>
      </c>
    </row>
    <row r="3979" spans="1:11">
      <c r="A3979" s="1">
        <v>45709</v>
      </c>
      <c r="B3979" t="s">
        <v>1979</v>
      </c>
      <c r="C3979">
        <v>2.8639999999999999</v>
      </c>
      <c r="I3979" s="1">
        <v>45716</v>
      </c>
      <c r="J3979" s="1" t="s">
        <v>283</v>
      </c>
      <c r="K3979" s="3">
        <v>7</v>
      </c>
    </row>
    <row r="3980" spans="1:11">
      <c r="A3980" s="1">
        <v>45709</v>
      </c>
      <c r="B3980" t="s">
        <v>1980</v>
      </c>
      <c r="C3980">
        <v>3.121</v>
      </c>
      <c r="I3980" s="1">
        <v>45716</v>
      </c>
      <c r="J3980" s="1" t="s">
        <v>284</v>
      </c>
      <c r="K3980" s="3">
        <v>18382.849999999999</v>
      </c>
    </row>
    <row r="3981" spans="1:11">
      <c r="A3981" s="1">
        <v>45709</v>
      </c>
      <c r="B3981" t="s">
        <v>1981</v>
      </c>
      <c r="C3981">
        <v>3.2949999999999999</v>
      </c>
      <c r="I3981" s="1">
        <v>45716</v>
      </c>
      <c r="J3981" s="1" t="s">
        <v>285</v>
      </c>
      <c r="K3981" s="3">
        <v>4</v>
      </c>
    </row>
    <row r="3982" spans="1:11">
      <c r="A3982" s="1">
        <v>45709</v>
      </c>
      <c r="B3982" t="s">
        <v>1982</v>
      </c>
      <c r="C3982">
        <v>3.367</v>
      </c>
      <c r="I3982" s="1">
        <v>45716</v>
      </c>
      <c r="J3982" s="1" t="s">
        <v>286</v>
      </c>
      <c r="K3982" s="3">
        <v>2092.4299999999998</v>
      </c>
    </row>
    <row r="3983" spans="1:11">
      <c r="A3983" s="1">
        <v>45709</v>
      </c>
      <c r="B3983" t="s">
        <v>1983</v>
      </c>
      <c r="C3983">
        <v>3.4540000000000002</v>
      </c>
      <c r="I3983" s="1">
        <v>45716</v>
      </c>
      <c r="J3983" s="1" t="s">
        <v>287</v>
      </c>
      <c r="K3983" s="3">
        <v>68670.740000000005</v>
      </c>
    </row>
    <row r="3984" spans="1:11">
      <c r="A3984" s="1">
        <v>45708</v>
      </c>
      <c r="B3984" t="s">
        <v>1974</v>
      </c>
      <c r="C3984">
        <v>2.0920000000000001</v>
      </c>
      <c r="I3984" s="1">
        <v>45716</v>
      </c>
      <c r="J3984" s="1" t="s">
        <v>288</v>
      </c>
      <c r="K3984" s="3">
        <v>-45958.73</v>
      </c>
    </row>
    <row r="3985" spans="1:11">
      <c r="A3985" s="1">
        <v>45708</v>
      </c>
      <c r="B3985" t="s">
        <v>1975</v>
      </c>
      <c r="C3985">
        <v>2.1150000000000002</v>
      </c>
      <c r="I3985" s="1">
        <v>45716</v>
      </c>
      <c r="J3985" s="1" t="s">
        <v>289</v>
      </c>
      <c r="K3985" s="3">
        <v>15</v>
      </c>
    </row>
    <row r="3986" spans="1:11">
      <c r="A3986" s="1">
        <v>45708</v>
      </c>
      <c r="B3986" t="s">
        <v>1976</v>
      </c>
      <c r="C3986">
        <v>2.177</v>
      </c>
      <c r="I3986" s="1">
        <v>45716</v>
      </c>
      <c r="J3986" s="1" t="s">
        <v>290</v>
      </c>
      <c r="K3986" s="3">
        <v>15</v>
      </c>
    </row>
    <row r="3987" spans="1:11">
      <c r="A3987" s="1">
        <v>45708</v>
      </c>
      <c r="B3987" t="s">
        <v>1977</v>
      </c>
      <c r="C3987">
        <v>2.3039999999999998</v>
      </c>
      <c r="I3987" s="1">
        <v>45715</v>
      </c>
      <c r="J3987" s="1" t="s">
        <v>107</v>
      </c>
      <c r="K3987" s="3">
        <v>4206687661413</v>
      </c>
    </row>
    <row r="3988" spans="1:11">
      <c r="A3988" s="1">
        <v>45708</v>
      </c>
      <c r="B3988" t="s">
        <v>1978</v>
      </c>
      <c r="C3988">
        <v>2.4319999999999999</v>
      </c>
      <c r="I3988" s="1">
        <v>45715</v>
      </c>
      <c r="J3988" s="1" t="s">
        <v>282</v>
      </c>
      <c r="K3988" s="3">
        <v>7000</v>
      </c>
    </row>
    <row r="3989" spans="1:11">
      <c r="A3989" s="1">
        <v>45708</v>
      </c>
      <c r="B3989" t="s">
        <v>1979</v>
      </c>
      <c r="C3989">
        <v>2.859</v>
      </c>
      <c r="I3989" s="1">
        <v>45715</v>
      </c>
      <c r="J3989" s="1" t="s">
        <v>283</v>
      </c>
      <c r="K3989" s="3">
        <v>7</v>
      </c>
    </row>
    <row r="3990" spans="1:11">
      <c r="A3990" s="1">
        <v>45708</v>
      </c>
      <c r="B3990" t="s">
        <v>1980</v>
      </c>
      <c r="C3990">
        <v>3.1230000000000002</v>
      </c>
      <c r="I3990" s="1">
        <v>45715</v>
      </c>
      <c r="J3990" s="1" t="s">
        <v>284</v>
      </c>
      <c r="K3990" s="3">
        <v>8923.41</v>
      </c>
    </row>
    <row r="3991" spans="1:11">
      <c r="A3991" s="1">
        <v>45708</v>
      </c>
      <c r="B3991" t="s">
        <v>1981</v>
      </c>
      <c r="C3991">
        <v>3.294</v>
      </c>
      <c r="I3991" s="1">
        <v>45715</v>
      </c>
      <c r="J3991" s="1" t="s">
        <v>285</v>
      </c>
      <c r="K3991" s="3">
        <v>4</v>
      </c>
    </row>
    <row r="3992" spans="1:11">
      <c r="A3992" s="1">
        <v>45708</v>
      </c>
      <c r="B3992" t="s">
        <v>1982</v>
      </c>
      <c r="C3992">
        <v>3.367</v>
      </c>
      <c r="I3992" s="1">
        <v>45715</v>
      </c>
      <c r="J3992" s="1" t="s">
        <v>286</v>
      </c>
      <c r="K3992" s="3">
        <v>11363.87</v>
      </c>
    </row>
    <row r="3993" spans="1:11">
      <c r="A3993" s="1">
        <v>45708</v>
      </c>
      <c r="B3993" t="s">
        <v>1983</v>
      </c>
      <c r="C3993">
        <v>3.45</v>
      </c>
      <c r="I3993" s="1">
        <v>45715</v>
      </c>
      <c r="J3993" s="1" t="s">
        <v>287</v>
      </c>
      <c r="K3993" s="3">
        <v>52380.32</v>
      </c>
    </row>
    <row r="3994" spans="1:11">
      <c r="A3994" s="1">
        <v>45707</v>
      </c>
      <c r="B3994" t="s">
        <v>1974</v>
      </c>
      <c r="C3994">
        <v>2.0920000000000001</v>
      </c>
      <c r="I3994" s="1">
        <v>45715</v>
      </c>
      <c r="J3994" s="1" t="s">
        <v>288</v>
      </c>
      <c r="K3994" s="3">
        <v>-35615.11</v>
      </c>
    </row>
    <row r="3995" spans="1:11">
      <c r="A3995" s="1">
        <v>45707</v>
      </c>
      <c r="B3995" t="s">
        <v>1975</v>
      </c>
      <c r="C3995">
        <v>2.1150000000000002</v>
      </c>
      <c r="I3995" s="1">
        <v>45715</v>
      </c>
      <c r="J3995" s="1" t="s">
        <v>289</v>
      </c>
      <c r="K3995" s="3">
        <v>8</v>
      </c>
    </row>
    <row r="3996" spans="1:11">
      <c r="A3996" s="1">
        <v>45707</v>
      </c>
      <c r="B3996" t="s">
        <v>1976</v>
      </c>
      <c r="C3996">
        <v>2.177</v>
      </c>
      <c r="I3996" s="1">
        <v>45715</v>
      </c>
      <c r="J3996" s="1" t="s">
        <v>290</v>
      </c>
      <c r="K3996" s="3">
        <v>8</v>
      </c>
    </row>
    <row r="3997" spans="1:11">
      <c r="A3997" s="1">
        <v>45707</v>
      </c>
      <c r="B3997" t="s">
        <v>1977</v>
      </c>
      <c r="C3997">
        <v>2.31</v>
      </c>
      <c r="I3997" s="1">
        <v>45714</v>
      </c>
      <c r="J3997" s="1" t="s">
        <v>288</v>
      </c>
      <c r="K3997" s="3">
        <v>-39978.980000000003</v>
      </c>
    </row>
    <row r="3998" spans="1:11">
      <c r="A3998" s="1">
        <v>45707</v>
      </c>
      <c r="B3998" t="s">
        <v>1978</v>
      </c>
      <c r="C3998">
        <v>2.4430000000000001</v>
      </c>
      <c r="I3998" s="1">
        <v>45714</v>
      </c>
      <c r="J3998" s="1" t="s">
        <v>289</v>
      </c>
      <c r="K3998" s="3">
        <v>8</v>
      </c>
    </row>
    <row r="3999" spans="1:11">
      <c r="A3999" s="1">
        <v>45707</v>
      </c>
      <c r="B3999" t="s">
        <v>1979</v>
      </c>
      <c r="C3999">
        <v>2.863</v>
      </c>
      <c r="I3999" s="1">
        <v>45714</v>
      </c>
      <c r="J3999" s="1" t="s">
        <v>290</v>
      </c>
      <c r="K3999" s="3">
        <v>8</v>
      </c>
    </row>
    <row r="4000" spans="1:11">
      <c r="A4000" s="1">
        <v>45707</v>
      </c>
      <c r="B4000" t="s">
        <v>1980</v>
      </c>
      <c r="C4000">
        <v>3.13</v>
      </c>
      <c r="I4000" s="1">
        <v>45714</v>
      </c>
      <c r="J4000" s="1" t="s">
        <v>282</v>
      </c>
      <c r="K4000" s="3">
        <v>5000</v>
      </c>
    </row>
    <row r="4001" spans="1:11">
      <c r="A4001" s="1">
        <v>45707</v>
      </c>
      <c r="B4001" t="s">
        <v>1981</v>
      </c>
      <c r="C4001">
        <v>3.294</v>
      </c>
      <c r="I4001" s="1">
        <v>45714</v>
      </c>
      <c r="J4001" s="1" t="s">
        <v>283</v>
      </c>
      <c r="K4001" s="3">
        <v>7</v>
      </c>
    </row>
    <row r="4002" spans="1:11">
      <c r="A4002" s="1">
        <v>45707</v>
      </c>
      <c r="B4002" t="s">
        <v>1982</v>
      </c>
      <c r="C4002">
        <v>3.3580000000000001</v>
      </c>
      <c r="I4002" s="1">
        <v>45714</v>
      </c>
      <c r="J4002" s="1" t="s">
        <v>284</v>
      </c>
      <c r="K4002" s="3">
        <v>5918.87</v>
      </c>
    </row>
    <row r="4003" spans="1:11">
      <c r="A4003" s="1">
        <v>45707</v>
      </c>
      <c r="B4003" t="s">
        <v>1983</v>
      </c>
      <c r="C4003">
        <v>3.4420000000000002</v>
      </c>
      <c r="I4003" s="1">
        <v>45714</v>
      </c>
      <c r="J4003" s="1" t="s">
        <v>285</v>
      </c>
      <c r="K4003" s="3">
        <v>4</v>
      </c>
    </row>
    <row r="4004" spans="1:11">
      <c r="A4004" s="1">
        <v>45706</v>
      </c>
      <c r="B4004" t="s">
        <v>1974</v>
      </c>
      <c r="C4004">
        <v>2.0920000000000001</v>
      </c>
      <c r="I4004" s="1">
        <v>45714</v>
      </c>
      <c r="J4004" s="1" t="s">
        <v>286</v>
      </c>
      <c r="K4004" s="3">
        <v>11852.9</v>
      </c>
    </row>
    <row r="4005" spans="1:11">
      <c r="A4005" s="1">
        <v>45706</v>
      </c>
      <c r="B4005" t="s">
        <v>1975</v>
      </c>
      <c r="C4005">
        <v>2.1150000000000002</v>
      </c>
      <c r="I4005" s="1">
        <v>45714</v>
      </c>
      <c r="J4005" s="1" t="s">
        <v>287</v>
      </c>
      <c r="K4005" s="3">
        <v>54820.78</v>
      </c>
    </row>
    <row r="4006" spans="1:11">
      <c r="A4006" s="1">
        <v>45706</v>
      </c>
      <c r="B4006" t="s">
        <v>1976</v>
      </c>
      <c r="C4006">
        <v>2.177</v>
      </c>
      <c r="I4006" s="1">
        <v>45714</v>
      </c>
      <c r="J4006" s="1" t="s">
        <v>107</v>
      </c>
      <c r="K4006" s="3">
        <v>4229866957530</v>
      </c>
    </row>
    <row r="4007" spans="1:11">
      <c r="A4007" s="1">
        <v>45706</v>
      </c>
      <c r="B4007" t="s">
        <v>1977</v>
      </c>
      <c r="C4007">
        <v>2.31</v>
      </c>
      <c r="I4007" s="1">
        <v>45713</v>
      </c>
      <c r="J4007" s="1" t="s">
        <v>290</v>
      </c>
      <c r="K4007" s="3">
        <v>15</v>
      </c>
    </row>
    <row r="4008" spans="1:11">
      <c r="A4008" s="1">
        <v>45706</v>
      </c>
      <c r="B4008" t="s">
        <v>1978</v>
      </c>
      <c r="C4008">
        <v>2.4430000000000001</v>
      </c>
      <c r="I4008" s="1">
        <v>45713</v>
      </c>
      <c r="J4008" s="1" t="s">
        <v>107</v>
      </c>
      <c r="K4008" s="3">
        <v>3935510069094</v>
      </c>
    </row>
    <row r="4009" spans="1:11">
      <c r="A4009" s="1">
        <v>45706</v>
      </c>
      <c r="B4009" t="s">
        <v>1979</v>
      </c>
      <c r="C4009">
        <v>2.859</v>
      </c>
      <c r="I4009" s="1">
        <v>45713</v>
      </c>
      <c r="J4009" s="1" t="s">
        <v>282</v>
      </c>
      <c r="K4009" s="3">
        <v>12000</v>
      </c>
    </row>
    <row r="4010" spans="1:11">
      <c r="A4010" s="1">
        <v>45706</v>
      </c>
      <c r="B4010" t="s">
        <v>1980</v>
      </c>
      <c r="C4010">
        <v>3.129</v>
      </c>
      <c r="I4010" s="1">
        <v>45713</v>
      </c>
      <c r="J4010" s="1" t="s">
        <v>283</v>
      </c>
      <c r="K4010" s="3">
        <v>7</v>
      </c>
    </row>
    <row r="4011" spans="1:11">
      <c r="A4011" s="1">
        <v>45706</v>
      </c>
      <c r="B4011" t="s">
        <v>1981</v>
      </c>
      <c r="C4011">
        <v>3.2930000000000001</v>
      </c>
      <c r="I4011" s="1">
        <v>45713</v>
      </c>
      <c r="J4011" s="1" t="s">
        <v>284</v>
      </c>
      <c r="K4011" s="3">
        <v>17671.55</v>
      </c>
    </row>
    <row r="4012" spans="1:11">
      <c r="A4012" s="1">
        <v>45706</v>
      </c>
      <c r="B4012" t="s">
        <v>1982</v>
      </c>
      <c r="C4012">
        <v>3.3580000000000001</v>
      </c>
      <c r="I4012" s="1">
        <v>45713</v>
      </c>
      <c r="J4012" s="1" t="s">
        <v>285</v>
      </c>
      <c r="K4012" s="3">
        <v>4</v>
      </c>
    </row>
    <row r="4013" spans="1:11">
      <c r="A4013" s="1">
        <v>45706</v>
      </c>
      <c r="B4013" t="s">
        <v>1983</v>
      </c>
      <c r="C4013">
        <v>3.4420000000000002</v>
      </c>
      <c r="I4013" s="1">
        <v>45713</v>
      </c>
      <c r="J4013" s="1" t="s">
        <v>286</v>
      </c>
      <c r="K4013" s="3">
        <v>29764.799999999999</v>
      </c>
    </row>
    <row r="4014" spans="1:11">
      <c r="A4014" s="1">
        <v>45705</v>
      </c>
      <c r="B4014" t="s">
        <v>1974</v>
      </c>
      <c r="C4014">
        <v>2.0920000000000001</v>
      </c>
      <c r="I4014" s="1">
        <v>45713</v>
      </c>
      <c r="J4014" s="1" t="s">
        <v>287</v>
      </c>
      <c r="K4014" s="3">
        <v>60754.81</v>
      </c>
    </row>
    <row r="4015" spans="1:11">
      <c r="A4015" s="1">
        <v>45705</v>
      </c>
      <c r="B4015" t="s">
        <v>1975</v>
      </c>
      <c r="C4015">
        <v>2.1150000000000002</v>
      </c>
      <c r="I4015" s="1">
        <v>45713</v>
      </c>
      <c r="J4015" s="1" t="s">
        <v>288</v>
      </c>
      <c r="K4015" s="3">
        <v>-49596.87</v>
      </c>
    </row>
    <row r="4016" spans="1:11">
      <c r="A4016" s="1">
        <v>45705</v>
      </c>
      <c r="B4016" t="s">
        <v>1976</v>
      </c>
      <c r="C4016">
        <v>2.177</v>
      </c>
      <c r="I4016" s="1">
        <v>45713</v>
      </c>
      <c r="J4016" s="1" t="s">
        <v>289</v>
      </c>
      <c r="K4016" s="3">
        <v>15</v>
      </c>
    </row>
    <row r="4017" spans="1:11">
      <c r="A4017" s="1">
        <v>45705</v>
      </c>
      <c r="B4017" t="s">
        <v>1977</v>
      </c>
      <c r="C4017">
        <v>2.302</v>
      </c>
      <c r="I4017" s="1">
        <v>45712</v>
      </c>
      <c r="J4017" s="1" t="s">
        <v>282</v>
      </c>
      <c r="K4017" s="3">
        <v>20000</v>
      </c>
    </row>
    <row r="4018" spans="1:11">
      <c r="A4018" s="1">
        <v>45705</v>
      </c>
      <c r="B4018" t="s">
        <v>1978</v>
      </c>
      <c r="C4018">
        <v>2.4260000000000002</v>
      </c>
      <c r="I4018" s="1">
        <v>45712</v>
      </c>
      <c r="J4018" s="1" t="s">
        <v>283</v>
      </c>
      <c r="K4018" s="3">
        <v>7</v>
      </c>
    </row>
    <row r="4019" spans="1:11">
      <c r="A4019" s="1">
        <v>45705</v>
      </c>
      <c r="B4019" t="s">
        <v>1979</v>
      </c>
      <c r="C4019">
        <v>2.8570000000000002</v>
      </c>
      <c r="I4019" s="1">
        <v>45712</v>
      </c>
      <c r="J4019" s="1" t="s">
        <v>284</v>
      </c>
      <c r="K4019" s="3">
        <v>17774.060000000001</v>
      </c>
    </row>
    <row r="4020" spans="1:11">
      <c r="A4020" s="1">
        <v>45705</v>
      </c>
      <c r="B4020" t="s">
        <v>1980</v>
      </c>
      <c r="C4020">
        <v>3.1280000000000001</v>
      </c>
      <c r="I4020" s="1">
        <v>45712</v>
      </c>
      <c r="J4020" s="1" t="s">
        <v>285</v>
      </c>
      <c r="K4020" s="3">
        <v>4</v>
      </c>
    </row>
    <row r="4021" spans="1:11">
      <c r="A4021" s="1">
        <v>45705</v>
      </c>
      <c r="B4021" t="s">
        <v>1981</v>
      </c>
      <c r="C4021">
        <v>3.2909999999999999</v>
      </c>
      <c r="I4021" s="1">
        <v>45712</v>
      </c>
      <c r="J4021" s="1" t="s">
        <v>286</v>
      </c>
      <c r="K4021" s="3">
        <v>32406.19</v>
      </c>
    </row>
    <row r="4022" spans="1:11">
      <c r="A4022" s="1">
        <v>45705</v>
      </c>
      <c r="B4022" t="s">
        <v>1982</v>
      </c>
      <c r="C4022">
        <v>3.3580000000000001</v>
      </c>
      <c r="I4022" s="1">
        <v>45712</v>
      </c>
      <c r="J4022" s="1" t="s">
        <v>287</v>
      </c>
      <c r="K4022" s="3">
        <v>72848.059999999896</v>
      </c>
    </row>
    <row r="4023" spans="1:11">
      <c r="A4023" s="1">
        <v>45705</v>
      </c>
      <c r="B4023" t="s">
        <v>1983</v>
      </c>
      <c r="C4023">
        <v>3.4420000000000002</v>
      </c>
      <c r="I4023" s="1">
        <v>45712</v>
      </c>
      <c r="J4023" s="1" t="s">
        <v>288</v>
      </c>
      <c r="K4023" s="3">
        <v>-72847.87</v>
      </c>
    </row>
    <row r="4024" spans="1:11">
      <c r="A4024" s="1">
        <v>45702</v>
      </c>
      <c r="B4024" t="s">
        <v>1974</v>
      </c>
      <c r="C4024">
        <v>2.0880000000000001</v>
      </c>
      <c r="I4024" s="1">
        <v>45712</v>
      </c>
      <c r="J4024" s="1" t="s">
        <v>289</v>
      </c>
      <c r="K4024" s="3">
        <v>14</v>
      </c>
    </row>
    <row r="4025" spans="1:11">
      <c r="A4025" s="1">
        <v>45702</v>
      </c>
      <c r="B4025" t="s">
        <v>1975</v>
      </c>
      <c r="C4025">
        <v>2.11</v>
      </c>
      <c r="I4025" s="1">
        <v>45712</v>
      </c>
      <c r="J4025" s="1" t="s">
        <v>290</v>
      </c>
      <c r="K4025" s="3">
        <v>14</v>
      </c>
    </row>
    <row r="4026" spans="1:11">
      <c r="A4026" s="1">
        <v>45702</v>
      </c>
      <c r="B4026" t="s">
        <v>1976</v>
      </c>
      <c r="C4026">
        <v>2.177</v>
      </c>
      <c r="I4026" s="1">
        <v>45712</v>
      </c>
      <c r="J4026" s="1" t="s">
        <v>107</v>
      </c>
      <c r="K4026" s="3">
        <v>5397474787582</v>
      </c>
    </row>
    <row r="4027" spans="1:11">
      <c r="A4027" s="1">
        <v>45702</v>
      </c>
      <c r="B4027" t="s">
        <v>1977</v>
      </c>
      <c r="C4027">
        <v>2.302</v>
      </c>
      <c r="I4027" s="1">
        <v>45711</v>
      </c>
      <c r="J4027" s="1" t="s">
        <v>107</v>
      </c>
      <c r="K4027" s="3">
        <v>6885944197435</v>
      </c>
    </row>
    <row r="4028" spans="1:11">
      <c r="A4028" s="1">
        <v>45702</v>
      </c>
      <c r="B4028" t="s">
        <v>1978</v>
      </c>
      <c r="C4028">
        <v>2.4260000000000002</v>
      </c>
      <c r="I4028" s="1">
        <v>45709</v>
      </c>
      <c r="J4028" s="1" t="s">
        <v>282</v>
      </c>
      <c r="K4028" s="3">
        <v>5000</v>
      </c>
    </row>
    <row r="4029" spans="1:11">
      <c r="A4029" s="1">
        <v>45702</v>
      </c>
      <c r="B4029" t="s">
        <v>1979</v>
      </c>
      <c r="C4029">
        <v>2.8069999999999999</v>
      </c>
      <c r="I4029" s="1">
        <v>45709</v>
      </c>
      <c r="J4029" s="1" t="s">
        <v>283</v>
      </c>
      <c r="K4029" s="3">
        <v>7</v>
      </c>
    </row>
    <row r="4030" spans="1:11">
      <c r="A4030" s="1">
        <v>45702</v>
      </c>
      <c r="B4030" t="s">
        <v>1980</v>
      </c>
      <c r="C4030">
        <v>3.13</v>
      </c>
      <c r="I4030" s="1">
        <v>45709</v>
      </c>
      <c r="J4030" s="1" t="s">
        <v>284</v>
      </c>
      <c r="K4030" s="3">
        <v>2092</v>
      </c>
    </row>
    <row r="4031" spans="1:11">
      <c r="A4031" s="1">
        <v>45702</v>
      </c>
      <c r="B4031" t="s">
        <v>1981</v>
      </c>
      <c r="C4031">
        <v>3.3010000000000002</v>
      </c>
      <c r="I4031" s="1">
        <v>45709</v>
      </c>
      <c r="J4031" s="1" t="s">
        <v>285</v>
      </c>
      <c r="K4031" s="3">
        <v>4</v>
      </c>
    </row>
    <row r="4032" spans="1:11">
      <c r="A4032" s="1">
        <v>45702</v>
      </c>
      <c r="B4032" t="s">
        <v>1982</v>
      </c>
      <c r="C4032">
        <v>3.363</v>
      </c>
      <c r="I4032" s="1">
        <v>45709</v>
      </c>
      <c r="J4032" s="1" t="s">
        <v>286</v>
      </c>
      <c r="K4032" s="3">
        <v>3764.55</v>
      </c>
    </row>
    <row r="4033" spans="1:11">
      <c r="A4033" s="1">
        <v>45702</v>
      </c>
      <c r="B4033" t="s">
        <v>1983</v>
      </c>
      <c r="C4033">
        <v>3.4460000000000002</v>
      </c>
      <c r="I4033" s="1">
        <v>45709</v>
      </c>
      <c r="J4033" s="1" t="s">
        <v>287</v>
      </c>
      <c r="K4033" s="3">
        <v>87479.759999999893</v>
      </c>
    </row>
    <row r="4034" spans="1:11">
      <c r="A4034" s="1">
        <v>45701</v>
      </c>
      <c r="B4034" t="s">
        <v>1974</v>
      </c>
      <c r="C4034">
        <v>2.0830000000000002</v>
      </c>
      <c r="I4034" s="1">
        <v>45709</v>
      </c>
      <c r="J4034" s="1" t="s">
        <v>288</v>
      </c>
      <c r="K4034" s="3">
        <v>-87479.57</v>
      </c>
    </row>
    <row r="4035" spans="1:11">
      <c r="A4035" s="1">
        <v>45701</v>
      </c>
      <c r="B4035" t="s">
        <v>1975</v>
      </c>
      <c r="C4035">
        <v>2.1059999999999999</v>
      </c>
      <c r="I4035" s="1">
        <v>45709</v>
      </c>
      <c r="J4035" s="1" t="s">
        <v>289</v>
      </c>
      <c r="K4035" s="3">
        <v>3</v>
      </c>
    </row>
    <row r="4036" spans="1:11">
      <c r="A4036" s="1">
        <v>45701</v>
      </c>
      <c r="B4036" t="s">
        <v>1976</v>
      </c>
      <c r="C4036">
        <v>2.1669999999999998</v>
      </c>
      <c r="I4036" s="1">
        <v>45709</v>
      </c>
      <c r="J4036" s="1" t="s">
        <v>290</v>
      </c>
      <c r="K4036" s="3">
        <v>3</v>
      </c>
    </row>
    <row r="4037" spans="1:11">
      <c r="A4037" s="1">
        <v>45701</v>
      </c>
      <c r="B4037" t="s">
        <v>1977</v>
      </c>
      <c r="C4037">
        <v>2.3010000000000002</v>
      </c>
      <c r="I4037" s="1">
        <v>45708</v>
      </c>
      <c r="J4037" s="1" t="s">
        <v>282</v>
      </c>
      <c r="K4037" s="3">
        <v>5000</v>
      </c>
    </row>
    <row r="4038" spans="1:11">
      <c r="A4038" s="1">
        <v>45701</v>
      </c>
      <c r="B4038" t="s">
        <v>1978</v>
      </c>
      <c r="C4038">
        <v>2.4359999999999999</v>
      </c>
      <c r="I4038" s="1">
        <v>45708</v>
      </c>
      <c r="J4038" s="1" t="s">
        <v>283</v>
      </c>
      <c r="K4038" s="3">
        <v>7</v>
      </c>
    </row>
    <row r="4039" spans="1:11">
      <c r="A4039" s="1">
        <v>45701</v>
      </c>
      <c r="B4039" t="s">
        <v>1979</v>
      </c>
      <c r="C4039">
        <v>2.8119999999999998</v>
      </c>
      <c r="I4039" s="1">
        <v>45708</v>
      </c>
      <c r="J4039" s="1" t="s">
        <v>284</v>
      </c>
      <c r="K4039" s="3">
        <v>0</v>
      </c>
    </row>
    <row r="4040" spans="1:11">
      <c r="A4040" s="1">
        <v>45701</v>
      </c>
      <c r="B4040" t="s">
        <v>1980</v>
      </c>
      <c r="C4040">
        <v>3.129</v>
      </c>
      <c r="I4040" s="1">
        <v>45708</v>
      </c>
      <c r="J4040" s="1" t="s">
        <v>285</v>
      </c>
      <c r="K4040" s="3">
        <v>4</v>
      </c>
    </row>
    <row r="4041" spans="1:11">
      <c r="A4041" s="1">
        <v>45701</v>
      </c>
      <c r="B4041" t="s">
        <v>1981</v>
      </c>
      <c r="C4041">
        <v>3.3050000000000002</v>
      </c>
      <c r="I4041" s="1">
        <v>45708</v>
      </c>
      <c r="J4041" s="1" t="s">
        <v>286</v>
      </c>
      <c r="K4041" s="3">
        <v>0</v>
      </c>
    </row>
    <row r="4042" spans="1:11">
      <c r="A4042" s="1">
        <v>45701</v>
      </c>
      <c r="B4042" t="s">
        <v>1982</v>
      </c>
      <c r="C4042">
        <v>3.3580000000000001</v>
      </c>
      <c r="I4042" s="1">
        <v>45708</v>
      </c>
      <c r="J4042" s="1" t="s">
        <v>287</v>
      </c>
      <c r="K4042" s="3">
        <v>89152.309999999896</v>
      </c>
    </row>
    <row r="4043" spans="1:11">
      <c r="A4043" s="1">
        <v>45701</v>
      </c>
      <c r="B4043" t="s">
        <v>1983</v>
      </c>
      <c r="C4043">
        <v>3.4460000000000002</v>
      </c>
      <c r="I4043" s="1">
        <v>45708</v>
      </c>
      <c r="J4043" s="1" t="s">
        <v>289</v>
      </c>
      <c r="K4043" s="3">
        <v>0</v>
      </c>
    </row>
    <row r="4044" spans="1:11">
      <c r="A4044" s="1">
        <v>45700</v>
      </c>
      <c r="B4044" t="s">
        <v>1974</v>
      </c>
      <c r="C4044">
        <v>2.0499999999999998</v>
      </c>
      <c r="I4044" s="1">
        <v>45708</v>
      </c>
      <c r="J4044" s="1" t="s">
        <v>290</v>
      </c>
      <c r="K4044" s="3">
        <v>0</v>
      </c>
    </row>
    <row r="4045" spans="1:11">
      <c r="A4045" s="1">
        <v>45700</v>
      </c>
      <c r="B4045" t="s">
        <v>1975</v>
      </c>
      <c r="C4045">
        <v>2.073</v>
      </c>
      <c r="I4045" s="1">
        <v>45708</v>
      </c>
      <c r="J4045" s="1" t="s">
        <v>107</v>
      </c>
      <c r="K4045" s="3">
        <v>7762655462649</v>
      </c>
    </row>
    <row r="4046" spans="1:11">
      <c r="A4046" s="1">
        <v>45700</v>
      </c>
      <c r="B4046" t="s">
        <v>1976</v>
      </c>
      <c r="C4046">
        <v>2.125</v>
      </c>
      <c r="I4046" s="1">
        <v>45708</v>
      </c>
      <c r="J4046" s="1" t="s">
        <v>288</v>
      </c>
      <c r="K4046" s="3">
        <v>-89152.12</v>
      </c>
    </row>
    <row r="4047" spans="1:11">
      <c r="A4047" s="1">
        <v>45700</v>
      </c>
      <c r="B4047" t="s">
        <v>1977</v>
      </c>
      <c r="C4047">
        <v>2.2709999999999999</v>
      </c>
      <c r="I4047" s="1">
        <v>45707</v>
      </c>
      <c r="J4047" s="1" t="s">
        <v>282</v>
      </c>
      <c r="K4047" s="3">
        <v>5000</v>
      </c>
    </row>
    <row r="4048" spans="1:11">
      <c r="A4048" s="1">
        <v>45700</v>
      </c>
      <c r="B4048" t="s">
        <v>1978</v>
      </c>
      <c r="C4048">
        <v>2.4169999999999998</v>
      </c>
      <c r="I4048" s="1">
        <v>45707</v>
      </c>
      <c r="J4048" s="1" t="s">
        <v>283</v>
      </c>
      <c r="K4048" s="3">
        <v>7</v>
      </c>
    </row>
    <row r="4049" spans="1:11">
      <c r="A4049" s="1">
        <v>45700</v>
      </c>
      <c r="B4049" t="s">
        <v>1979</v>
      </c>
      <c r="C4049">
        <v>2.7639999999999998</v>
      </c>
      <c r="I4049" s="1">
        <v>45707</v>
      </c>
      <c r="J4049" s="1" t="s">
        <v>284</v>
      </c>
      <c r="K4049" s="3">
        <v>1852.9</v>
      </c>
    </row>
    <row r="4050" spans="1:11">
      <c r="A4050" s="1">
        <v>45700</v>
      </c>
      <c r="B4050" t="s">
        <v>1980</v>
      </c>
      <c r="C4050">
        <v>3.0950000000000002</v>
      </c>
      <c r="I4050" s="1">
        <v>45707</v>
      </c>
      <c r="J4050" s="1" t="s">
        <v>285</v>
      </c>
      <c r="K4050" s="3">
        <v>4</v>
      </c>
    </row>
    <row r="4051" spans="1:11">
      <c r="A4051" s="1">
        <v>45700</v>
      </c>
      <c r="B4051" t="s">
        <v>1981</v>
      </c>
      <c r="C4051">
        <v>3.29</v>
      </c>
      <c r="I4051" s="1">
        <v>45707</v>
      </c>
      <c r="J4051" s="1" t="s">
        <v>286</v>
      </c>
      <c r="K4051" s="3">
        <v>6653.11</v>
      </c>
    </row>
    <row r="4052" spans="1:11">
      <c r="A4052" s="1">
        <v>45700</v>
      </c>
      <c r="B4052" t="s">
        <v>1982</v>
      </c>
      <c r="C4052">
        <v>3.3</v>
      </c>
      <c r="I4052" s="1">
        <v>45707</v>
      </c>
      <c r="J4052" s="1" t="s">
        <v>287</v>
      </c>
      <c r="K4052" s="3">
        <v>89152.309999999896</v>
      </c>
    </row>
    <row r="4053" spans="1:11">
      <c r="A4053" s="1">
        <v>45700</v>
      </c>
      <c r="B4053" t="s">
        <v>1983</v>
      </c>
      <c r="C4053">
        <v>3.375</v>
      </c>
      <c r="I4053" s="1">
        <v>45707</v>
      </c>
      <c r="J4053" s="1" t="s">
        <v>288</v>
      </c>
      <c r="K4053" s="3">
        <v>-77788.25</v>
      </c>
    </row>
    <row r="4054" spans="1:11">
      <c r="A4054" s="1">
        <v>45699</v>
      </c>
      <c r="B4054" t="s">
        <v>1974</v>
      </c>
      <c r="C4054">
        <v>2.0459999999999998</v>
      </c>
      <c r="I4054" s="1">
        <v>45707</v>
      </c>
      <c r="J4054" s="1" t="s">
        <v>289</v>
      </c>
      <c r="K4054" s="3">
        <v>5</v>
      </c>
    </row>
    <row r="4055" spans="1:11">
      <c r="A4055" s="1">
        <v>45699</v>
      </c>
      <c r="B4055" t="s">
        <v>1975</v>
      </c>
      <c r="C4055">
        <v>2.069</v>
      </c>
      <c r="I4055" s="1">
        <v>45707</v>
      </c>
      <c r="J4055" s="1" t="s">
        <v>290</v>
      </c>
      <c r="K4055" s="3">
        <v>5</v>
      </c>
    </row>
    <row r="4056" spans="1:11">
      <c r="A4056" s="1">
        <v>45699</v>
      </c>
      <c r="B4056" t="s">
        <v>1976</v>
      </c>
      <c r="C4056">
        <v>2.121</v>
      </c>
      <c r="I4056" s="1">
        <v>45707</v>
      </c>
      <c r="J4056" s="1" t="s">
        <v>107</v>
      </c>
      <c r="K4056" s="3">
        <v>7762655462649</v>
      </c>
    </row>
    <row r="4057" spans="1:11">
      <c r="A4057" s="1">
        <v>45699</v>
      </c>
      <c r="B4057" t="s">
        <v>1977</v>
      </c>
      <c r="C4057">
        <v>2.2629999999999999</v>
      </c>
      <c r="I4057" s="1">
        <v>45706</v>
      </c>
      <c r="J4057" s="1" t="s">
        <v>282</v>
      </c>
      <c r="K4057" s="3">
        <v>18000</v>
      </c>
    </row>
    <row r="4058" spans="1:11">
      <c r="A4058" s="1">
        <v>45699</v>
      </c>
      <c r="B4058" t="s">
        <v>1978</v>
      </c>
      <c r="C4058">
        <v>2.4060000000000001</v>
      </c>
      <c r="I4058" s="1">
        <v>45706</v>
      </c>
      <c r="J4058" s="1" t="s">
        <v>283</v>
      </c>
      <c r="K4058" s="3">
        <v>7</v>
      </c>
    </row>
    <row r="4059" spans="1:11">
      <c r="A4059" s="1">
        <v>45699</v>
      </c>
      <c r="B4059" t="s">
        <v>1979</v>
      </c>
      <c r="C4059">
        <v>2.7189999999999999</v>
      </c>
      <c r="I4059" s="1">
        <v>45706</v>
      </c>
      <c r="J4059" s="1" t="s">
        <v>284</v>
      </c>
      <c r="K4059" s="3">
        <v>17072.099999999999</v>
      </c>
    </row>
    <row r="4060" spans="1:11">
      <c r="A4060" s="1">
        <v>45699</v>
      </c>
      <c r="B4060" t="s">
        <v>1980</v>
      </c>
      <c r="C4060">
        <v>3.0830000000000002</v>
      </c>
      <c r="I4060" s="1">
        <v>45706</v>
      </c>
      <c r="J4060" s="1" t="s">
        <v>285</v>
      </c>
      <c r="K4060" s="3">
        <v>4</v>
      </c>
    </row>
    <row r="4061" spans="1:11">
      <c r="A4061" s="1">
        <v>45699</v>
      </c>
      <c r="B4061" t="s">
        <v>1981</v>
      </c>
      <c r="C4061">
        <v>3.2559999999999998</v>
      </c>
      <c r="I4061" s="1">
        <v>45706</v>
      </c>
      <c r="J4061" s="1" t="s">
        <v>286</v>
      </c>
      <c r="K4061" s="3">
        <v>29794.71</v>
      </c>
    </row>
    <row r="4062" spans="1:11">
      <c r="A4062" s="1">
        <v>45699</v>
      </c>
      <c r="B4062" t="s">
        <v>1982</v>
      </c>
      <c r="C4062">
        <v>3.2919999999999998</v>
      </c>
      <c r="I4062" s="1">
        <v>45706</v>
      </c>
      <c r="J4062" s="1" t="s">
        <v>287</v>
      </c>
      <c r="K4062" s="3">
        <v>93952.519999999902</v>
      </c>
    </row>
    <row r="4063" spans="1:11">
      <c r="A4063" s="1">
        <v>45699</v>
      </c>
      <c r="B4063" t="s">
        <v>1983</v>
      </c>
      <c r="C4063">
        <v>3.375</v>
      </c>
      <c r="I4063" s="1">
        <v>45706</v>
      </c>
      <c r="J4063" s="1" t="s">
        <v>288</v>
      </c>
      <c r="K4063" s="3">
        <v>-72588.460000000006</v>
      </c>
    </row>
    <row r="4064" spans="1:11">
      <c r="A4064" s="1">
        <v>45698</v>
      </c>
      <c r="B4064" t="s">
        <v>1974</v>
      </c>
      <c r="C4064">
        <v>2.0329999999999999</v>
      </c>
      <c r="I4064" s="1">
        <v>45706</v>
      </c>
      <c r="J4064" s="1" t="s">
        <v>289</v>
      </c>
      <c r="K4064" s="3">
        <v>9</v>
      </c>
    </row>
    <row r="4065" spans="1:11">
      <c r="A4065" s="1">
        <v>45698</v>
      </c>
      <c r="B4065" t="s">
        <v>1975</v>
      </c>
      <c r="C4065">
        <v>2.06</v>
      </c>
      <c r="I4065" s="1">
        <v>45706</v>
      </c>
      <c r="J4065" s="1" t="s">
        <v>290</v>
      </c>
      <c r="K4065" s="3">
        <v>9</v>
      </c>
    </row>
    <row r="4066" spans="1:11">
      <c r="A4066" s="1">
        <v>45698</v>
      </c>
      <c r="B4066" t="s">
        <v>1976</v>
      </c>
      <c r="C4066">
        <v>2.1080000000000001</v>
      </c>
      <c r="I4066" s="1">
        <v>45706</v>
      </c>
      <c r="J4066" s="1" t="s">
        <v>107</v>
      </c>
      <c r="K4066" s="3">
        <v>7293190874735</v>
      </c>
    </row>
    <row r="4067" spans="1:11">
      <c r="A4067" s="1">
        <v>45698</v>
      </c>
      <c r="B4067" t="s">
        <v>1977</v>
      </c>
      <c r="C4067">
        <v>2.2429999999999999</v>
      </c>
      <c r="I4067" s="1">
        <v>45705</v>
      </c>
      <c r="J4067" s="1" t="s">
        <v>282</v>
      </c>
      <c r="K4067" s="3">
        <v>18000</v>
      </c>
    </row>
    <row r="4068" spans="1:11">
      <c r="A4068" s="1">
        <v>45698</v>
      </c>
      <c r="B4068" t="s">
        <v>1978</v>
      </c>
      <c r="C4068">
        <v>2.379</v>
      </c>
      <c r="I4068" s="1">
        <v>45705</v>
      </c>
      <c r="J4068" s="1" t="s">
        <v>283</v>
      </c>
      <c r="K4068" s="3">
        <v>7</v>
      </c>
    </row>
    <row r="4069" spans="1:11">
      <c r="A4069" s="1">
        <v>45698</v>
      </c>
      <c r="B4069" t="s">
        <v>1979</v>
      </c>
      <c r="C4069">
        <v>2.6850000000000001</v>
      </c>
      <c r="I4069" s="1">
        <v>45705</v>
      </c>
      <c r="J4069" s="1" t="s">
        <v>284</v>
      </c>
      <c r="K4069" s="3">
        <v>16041</v>
      </c>
    </row>
    <row r="4070" spans="1:11">
      <c r="A4070" s="1">
        <v>45698</v>
      </c>
      <c r="B4070" t="s">
        <v>1980</v>
      </c>
      <c r="C4070">
        <v>3.07</v>
      </c>
      <c r="I4070" s="1">
        <v>45705</v>
      </c>
      <c r="J4070" s="1" t="s">
        <v>285</v>
      </c>
      <c r="K4070" s="3">
        <v>4</v>
      </c>
    </row>
    <row r="4071" spans="1:11">
      <c r="A4071" s="1">
        <v>45698</v>
      </c>
      <c r="B4071" t="s">
        <v>1981</v>
      </c>
      <c r="C4071">
        <v>3.25</v>
      </c>
      <c r="I4071" s="1">
        <v>45705</v>
      </c>
      <c r="J4071" s="1" t="s">
        <v>286</v>
      </c>
      <c r="K4071" s="3">
        <v>28901.81</v>
      </c>
    </row>
    <row r="4072" spans="1:11">
      <c r="A4072" s="1">
        <v>45698</v>
      </c>
      <c r="B4072" t="s">
        <v>1982</v>
      </c>
      <c r="C4072">
        <v>3.2770000000000001</v>
      </c>
      <c r="I4072" s="1">
        <v>45705</v>
      </c>
      <c r="J4072" s="1" t="s">
        <v>287</v>
      </c>
      <c r="K4072" s="3">
        <v>106675.4</v>
      </c>
    </row>
    <row r="4073" spans="1:11">
      <c r="A4073" s="1">
        <v>45698</v>
      </c>
      <c r="B4073" t="s">
        <v>1983</v>
      </c>
      <c r="C4073">
        <v>3.363</v>
      </c>
      <c r="I4073" s="1">
        <v>45705</v>
      </c>
      <c r="J4073" s="1" t="s">
        <v>288</v>
      </c>
      <c r="K4073" s="3">
        <v>-72618.83</v>
      </c>
    </row>
    <row r="4074" spans="1:11">
      <c r="A4074" s="1">
        <v>45695</v>
      </c>
      <c r="B4074" t="s">
        <v>1974</v>
      </c>
      <c r="C4074">
        <v>2.0329999999999999</v>
      </c>
      <c r="I4074" s="1">
        <v>45705</v>
      </c>
      <c r="J4074" s="1" t="s">
        <v>289</v>
      </c>
      <c r="K4074" s="3">
        <v>9</v>
      </c>
    </row>
    <row r="4075" spans="1:11">
      <c r="A4075" s="1">
        <v>45695</v>
      </c>
      <c r="B4075" t="s">
        <v>1975</v>
      </c>
      <c r="C4075">
        <v>2.056</v>
      </c>
      <c r="I4075" s="1">
        <v>45705</v>
      </c>
      <c r="J4075" s="1" t="s">
        <v>290</v>
      </c>
      <c r="K4075" s="3">
        <v>9</v>
      </c>
    </row>
    <row r="4076" spans="1:11">
      <c r="A4076" s="1">
        <v>45695</v>
      </c>
      <c r="B4076" t="s">
        <v>1976</v>
      </c>
      <c r="C4076">
        <v>2.1080000000000001</v>
      </c>
      <c r="I4076" s="1">
        <v>45705</v>
      </c>
      <c r="J4076" s="1" t="s">
        <v>107</v>
      </c>
      <c r="K4076" s="3">
        <v>7279703345522</v>
      </c>
    </row>
    <row r="4077" spans="1:11">
      <c r="A4077" s="1">
        <v>45695</v>
      </c>
      <c r="B4077" t="s">
        <v>1977</v>
      </c>
      <c r="C4077">
        <v>2.2290000000000001</v>
      </c>
      <c r="I4077" s="1">
        <v>45704</v>
      </c>
      <c r="J4077" s="1" t="s">
        <v>107</v>
      </c>
      <c r="K4077" s="3">
        <v>6922335466392</v>
      </c>
    </row>
    <row r="4078" spans="1:11">
      <c r="A4078" s="1">
        <v>45695</v>
      </c>
      <c r="B4078" t="s">
        <v>1978</v>
      </c>
      <c r="C4078">
        <v>2.35</v>
      </c>
      <c r="I4078" s="1">
        <v>45702</v>
      </c>
      <c r="J4078" s="1" t="s">
        <v>290</v>
      </c>
      <c r="K4078" s="3">
        <v>5</v>
      </c>
    </row>
    <row r="4079" spans="1:11">
      <c r="A4079" s="1">
        <v>45695</v>
      </c>
      <c r="B4079" t="s">
        <v>1979</v>
      </c>
      <c r="C4079">
        <v>2.6680000000000001</v>
      </c>
      <c r="I4079" s="1">
        <v>45702</v>
      </c>
      <c r="J4079" s="1" t="s">
        <v>282</v>
      </c>
      <c r="K4079" s="3">
        <v>5000</v>
      </c>
    </row>
    <row r="4080" spans="1:11">
      <c r="A4080" s="1">
        <v>45695</v>
      </c>
      <c r="B4080" t="s">
        <v>1980</v>
      </c>
      <c r="C4080">
        <v>3.0350000000000001</v>
      </c>
      <c r="I4080" s="1">
        <v>45702</v>
      </c>
      <c r="J4080" s="1" t="s">
        <v>283</v>
      </c>
      <c r="K4080" s="3">
        <v>7</v>
      </c>
    </row>
    <row r="4081" spans="1:11">
      <c r="A4081" s="1">
        <v>45695</v>
      </c>
      <c r="B4081" t="s">
        <v>1981</v>
      </c>
      <c r="C4081">
        <v>3.214</v>
      </c>
      <c r="I4081" s="1">
        <v>45702</v>
      </c>
      <c r="J4081" s="1" t="s">
        <v>284</v>
      </c>
      <c r="K4081" s="3">
        <v>3765</v>
      </c>
    </row>
    <row r="4082" spans="1:11">
      <c r="A4082" s="1">
        <v>45695</v>
      </c>
      <c r="B4082" t="s">
        <v>1982</v>
      </c>
      <c r="C4082">
        <v>3.2770000000000001</v>
      </c>
      <c r="I4082" s="1">
        <v>45702</v>
      </c>
      <c r="J4082" s="1" t="s">
        <v>285</v>
      </c>
      <c r="K4082" s="3">
        <v>4</v>
      </c>
    </row>
    <row r="4083" spans="1:11">
      <c r="A4083" s="1">
        <v>45695</v>
      </c>
      <c r="B4083" t="s">
        <v>1983</v>
      </c>
      <c r="C4083">
        <v>3.3580000000000001</v>
      </c>
      <c r="I4083" s="1">
        <v>45702</v>
      </c>
      <c r="J4083" s="1" t="s">
        <v>286</v>
      </c>
      <c r="K4083" s="3">
        <v>27692.560000000001</v>
      </c>
    </row>
    <row r="4084" spans="1:11">
      <c r="A4084" s="1">
        <v>45694</v>
      </c>
      <c r="B4084" t="s">
        <v>1974</v>
      </c>
      <c r="C4084">
        <v>2.0329999999999999</v>
      </c>
      <c r="I4084" s="1">
        <v>45702</v>
      </c>
      <c r="J4084" s="1" t="s">
        <v>287</v>
      </c>
      <c r="K4084" s="3">
        <v>119536.21</v>
      </c>
    </row>
    <row r="4085" spans="1:11">
      <c r="A4085" s="1">
        <v>45694</v>
      </c>
      <c r="B4085" t="s">
        <v>1975</v>
      </c>
      <c r="C4085">
        <v>2.0539999999999998</v>
      </c>
      <c r="I4085" s="1">
        <v>45702</v>
      </c>
      <c r="J4085" s="1" t="s">
        <v>288</v>
      </c>
      <c r="K4085" s="3">
        <v>-69114.63</v>
      </c>
    </row>
    <row r="4086" spans="1:11">
      <c r="A4086" s="1">
        <v>45694</v>
      </c>
      <c r="B4086" t="s">
        <v>1976</v>
      </c>
      <c r="C4086">
        <v>2.1040000000000001</v>
      </c>
      <c r="I4086" s="1">
        <v>45702</v>
      </c>
      <c r="J4086" s="1" t="s">
        <v>289</v>
      </c>
      <c r="K4086" s="3">
        <v>5</v>
      </c>
    </row>
    <row r="4087" spans="1:11">
      <c r="A4087" s="1">
        <v>45694</v>
      </c>
      <c r="B4087" t="s">
        <v>1977</v>
      </c>
      <c r="C4087">
        <v>2.2280000000000002</v>
      </c>
      <c r="I4087" s="1">
        <v>45701</v>
      </c>
      <c r="J4087" s="1" t="s">
        <v>282</v>
      </c>
      <c r="K4087" s="3">
        <v>12000</v>
      </c>
    </row>
    <row r="4088" spans="1:11">
      <c r="A4088" s="1">
        <v>45694</v>
      </c>
      <c r="B4088" t="s">
        <v>1978</v>
      </c>
      <c r="C4088">
        <v>2.351</v>
      </c>
      <c r="I4088" s="1">
        <v>45701</v>
      </c>
      <c r="J4088" s="1" t="s">
        <v>283</v>
      </c>
      <c r="K4088" s="3">
        <v>14</v>
      </c>
    </row>
    <row r="4089" spans="1:11">
      <c r="A4089" s="1">
        <v>45694</v>
      </c>
      <c r="B4089" t="s">
        <v>1979</v>
      </c>
      <c r="C4089">
        <v>2.68</v>
      </c>
      <c r="I4089" s="1">
        <v>45701</v>
      </c>
      <c r="J4089" s="1" t="s">
        <v>284</v>
      </c>
      <c r="K4089" s="3">
        <v>11363.87</v>
      </c>
    </row>
    <row r="4090" spans="1:11">
      <c r="A4090" s="1">
        <v>45694</v>
      </c>
      <c r="B4090" t="s">
        <v>1980</v>
      </c>
      <c r="C4090">
        <v>3.04</v>
      </c>
      <c r="I4090" s="1">
        <v>45701</v>
      </c>
      <c r="J4090" s="1" t="s">
        <v>285</v>
      </c>
      <c r="K4090" s="3">
        <v>4</v>
      </c>
    </row>
    <row r="4091" spans="1:11">
      <c r="A4091" s="1">
        <v>45694</v>
      </c>
      <c r="B4091" t="s">
        <v>1981</v>
      </c>
      <c r="C4091">
        <v>3.226</v>
      </c>
      <c r="I4091" s="1">
        <v>45701</v>
      </c>
      <c r="J4091" s="1" t="s">
        <v>286</v>
      </c>
      <c r="K4091" s="3">
        <v>13172.13</v>
      </c>
    </row>
    <row r="4092" spans="1:11">
      <c r="A4092" s="1">
        <v>45694</v>
      </c>
      <c r="B4092" t="s">
        <v>1982</v>
      </c>
      <c r="C4092">
        <v>3.2770000000000001</v>
      </c>
      <c r="I4092" s="1">
        <v>45701</v>
      </c>
      <c r="J4092" s="1" t="s">
        <v>287</v>
      </c>
      <c r="K4092" s="3">
        <v>143463.76999999999</v>
      </c>
    </row>
    <row r="4093" spans="1:11">
      <c r="A4093" s="1">
        <v>45694</v>
      </c>
      <c r="B4093" t="s">
        <v>1983</v>
      </c>
      <c r="C4093">
        <v>3.3580000000000001</v>
      </c>
      <c r="I4093" s="1">
        <v>45701</v>
      </c>
      <c r="J4093" s="1" t="s">
        <v>288</v>
      </c>
      <c r="K4093" s="3">
        <v>-93042.19</v>
      </c>
    </row>
    <row r="4094" spans="1:11">
      <c r="A4094" s="1">
        <v>45693</v>
      </c>
      <c r="B4094" t="s">
        <v>1974</v>
      </c>
      <c r="C4094">
        <v>2.0329999999999999</v>
      </c>
      <c r="I4094" s="1">
        <v>45701</v>
      </c>
      <c r="J4094" s="1" t="s">
        <v>289</v>
      </c>
      <c r="K4094" s="3">
        <v>7</v>
      </c>
    </row>
    <row r="4095" spans="1:11">
      <c r="A4095" s="1">
        <v>45693</v>
      </c>
      <c r="B4095" t="s">
        <v>1975</v>
      </c>
      <c r="C4095">
        <v>2.0539999999999998</v>
      </c>
      <c r="I4095" s="1">
        <v>45701</v>
      </c>
      <c r="J4095" s="1" t="s">
        <v>290</v>
      </c>
      <c r="K4095" s="3">
        <v>7</v>
      </c>
    </row>
    <row r="4096" spans="1:11">
      <c r="A4096" s="1">
        <v>45693</v>
      </c>
      <c r="B4096" t="s">
        <v>1976</v>
      </c>
      <c r="C4096">
        <v>2.1</v>
      </c>
      <c r="I4096" s="1">
        <v>45701</v>
      </c>
      <c r="J4096" s="1" t="s">
        <v>107</v>
      </c>
      <c r="K4096" s="3">
        <v>8215765670193</v>
      </c>
    </row>
    <row r="4097" spans="1:11">
      <c r="A4097" s="1">
        <v>45693</v>
      </c>
      <c r="B4097" t="s">
        <v>1977</v>
      </c>
      <c r="C4097">
        <v>2.2149999999999999</v>
      </c>
      <c r="I4097" s="1">
        <v>45700</v>
      </c>
      <c r="J4097" s="1" t="s">
        <v>107</v>
      </c>
      <c r="K4097" s="3">
        <v>7893272999829</v>
      </c>
    </row>
    <row r="4098" spans="1:11">
      <c r="A4098" s="1">
        <v>45693</v>
      </c>
      <c r="B4098" t="s">
        <v>1978</v>
      </c>
      <c r="C4098">
        <v>2.3290000000000002</v>
      </c>
      <c r="I4098" s="1">
        <v>45700</v>
      </c>
      <c r="J4098" s="1" t="s">
        <v>282</v>
      </c>
      <c r="K4098" s="3">
        <v>10000</v>
      </c>
    </row>
    <row r="4099" spans="1:11">
      <c r="A4099" s="1">
        <v>45693</v>
      </c>
      <c r="B4099" t="s">
        <v>1979</v>
      </c>
      <c r="C4099">
        <v>2.5750000000000002</v>
      </c>
      <c r="I4099" s="1">
        <v>45700</v>
      </c>
      <c r="J4099" s="1" t="s">
        <v>283</v>
      </c>
      <c r="K4099" s="3">
        <v>7</v>
      </c>
    </row>
    <row r="4100" spans="1:11">
      <c r="A4100" s="1">
        <v>45693</v>
      </c>
      <c r="B4100" t="s">
        <v>1980</v>
      </c>
      <c r="C4100">
        <v>3.0059999999999998</v>
      </c>
      <c r="I4100" s="1">
        <v>45700</v>
      </c>
      <c r="J4100" s="1" t="s">
        <v>284</v>
      </c>
      <c r="K4100" s="3">
        <v>16653.11</v>
      </c>
    </row>
    <row r="4101" spans="1:11">
      <c r="A4101" s="1">
        <v>45693</v>
      </c>
      <c r="B4101" t="s">
        <v>1981</v>
      </c>
      <c r="C4101">
        <v>3.198</v>
      </c>
      <c r="I4101" s="1">
        <v>45700</v>
      </c>
      <c r="J4101" s="1" t="s">
        <v>285</v>
      </c>
      <c r="K4101" s="3">
        <v>4</v>
      </c>
    </row>
    <row r="4102" spans="1:11">
      <c r="A4102" s="1">
        <v>45693</v>
      </c>
      <c r="B4102" t="s">
        <v>1982</v>
      </c>
      <c r="C4102">
        <v>3.2730000000000001</v>
      </c>
      <c r="I4102" s="1">
        <v>45700</v>
      </c>
      <c r="J4102" s="1" t="s">
        <v>286</v>
      </c>
      <c r="K4102" s="3">
        <v>35000</v>
      </c>
    </row>
    <row r="4103" spans="1:11">
      <c r="A4103" s="1">
        <v>45693</v>
      </c>
      <c r="B4103" t="s">
        <v>1983</v>
      </c>
      <c r="C4103">
        <v>3.3540000000000001</v>
      </c>
      <c r="I4103" s="1">
        <v>45700</v>
      </c>
      <c r="J4103" s="1" t="s">
        <v>287</v>
      </c>
      <c r="K4103" s="3">
        <v>145272.03</v>
      </c>
    </row>
    <row r="4104" spans="1:11">
      <c r="A4104" s="1">
        <v>45692</v>
      </c>
      <c r="B4104" t="s">
        <v>1974</v>
      </c>
      <c r="C4104">
        <v>2.0329999999999999</v>
      </c>
      <c r="I4104" s="1">
        <v>45700</v>
      </c>
      <c r="J4104" s="1" t="s">
        <v>288</v>
      </c>
      <c r="K4104" s="3">
        <v>-106214.51</v>
      </c>
    </row>
    <row r="4105" spans="1:11">
      <c r="A4105" s="1">
        <v>45692</v>
      </c>
      <c r="B4105" t="s">
        <v>1975</v>
      </c>
      <c r="C4105">
        <v>2.0539999999999998</v>
      </c>
      <c r="I4105" s="1">
        <v>45700</v>
      </c>
      <c r="J4105" s="1" t="s">
        <v>289</v>
      </c>
      <c r="K4105" s="3">
        <v>4</v>
      </c>
    </row>
    <row r="4106" spans="1:11">
      <c r="A4106" s="1">
        <v>45692</v>
      </c>
      <c r="B4106" t="s">
        <v>1976</v>
      </c>
      <c r="C4106">
        <v>2.0960000000000001</v>
      </c>
      <c r="I4106" s="1">
        <v>45700</v>
      </c>
      <c r="J4106" s="1" t="s">
        <v>290</v>
      </c>
      <c r="K4106" s="3">
        <v>4</v>
      </c>
    </row>
    <row r="4107" spans="1:11">
      <c r="A4107" s="1">
        <v>45692</v>
      </c>
      <c r="B4107" t="s">
        <v>1977</v>
      </c>
      <c r="C4107">
        <v>2.2170000000000001</v>
      </c>
      <c r="I4107" s="1">
        <v>45699</v>
      </c>
      <c r="J4107" s="1" t="s">
        <v>282</v>
      </c>
      <c r="K4107" s="3">
        <v>10000</v>
      </c>
    </row>
    <row r="4108" spans="1:11">
      <c r="A4108" s="1">
        <v>45692</v>
      </c>
      <c r="B4108" t="s">
        <v>1978</v>
      </c>
      <c r="C4108">
        <v>2.339</v>
      </c>
      <c r="I4108" s="1">
        <v>45699</v>
      </c>
      <c r="J4108" s="1" t="s">
        <v>283</v>
      </c>
      <c r="K4108" s="3">
        <v>7</v>
      </c>
    </row>
    <row r="4109" spans="1:11">
      <c r="A4109" s="1">
        <v>45692</v>
      </c>
      <c r="B4109" t="s">
        <v>1979</v>
      </c>
      <c r="C4109">
        <v>2.589</v>
      </c>
      <c r="I4109" s="1">
        <v>45699</v>
      </c>
      <c r="J4109" s="1" t="s">
        <v>284</v>
      </c>
      <c r="K4109" s="3">
        <v>22487.22</v>
      </c>
    </row>
    <row r="4110" spans="1:11">
      <c r="A4110" s="1">
        <v>45692</v>
      </c>
      <c r="B4110" t="s">
        <v>1980</v>
      </c>
      <c r="C4110">
        <v>3.0150000000000001</v>
      </c>
      <c r="I4110" s="1">
        <v>45699</v>
      </c>
      <c r="J4110" s="1" t="s">
        <v>285</v>
      </c>
      <c r="K4110" s="3">
        <v>4</v>
      </c>
    </row>
    <row r="4111" spans="1:11">
      <c r="A4111" s="1">
        <v>45692</v>
      </c>
      <c r="B4111" t="s">
        <v>1981</v>
      </c>
      <c r="C4111">
        <v>3.2010000000000001</v>
      </c>
      <c r="I4111" s="1">
        <v>45699</v>
      </c>
      <c r="J4111" s="1" t="s">
        <v>286</v>
      </c>
      <c r="K4111" s="3">
        <v>20273.93</v>
      </c>
    </row>
    <row r="4112" spans="1:11">
      <c r="A4112" s="1">
        <v>45692</v>
      </c>
      <c r="B4112" t="s">
        <v>1982</v>
      </c>
      <c r="C4112">
        <v>3.2770000000000001</v>
      </c>
      <c r="I4112" s="1">
        <v>45699</v>
      </c>
      <c r="J4112" s="1" t="s">
        <v>287</v>
      </c>
      <c r="K4112" s="3">
        <v>163618.92000000001</v>
      </c>
    </row>
    <row r="4113" spans="1:11">
      <c r="A4113" s="1">
        <v>45692</v>
      </c>
      <c r="B4113" t="s">
        <v>1983</v>
      </c>
      <c r="C4113">
        <v>3.3580000000000001</v>
      </c>
      <c r="I4113" s="1">
        <v>45699</v>
      </c>
      <c r="J4113" s="1" t="s">
        <v>288</v>
      </c>
      <c r="K4113" s="3">
        <v>-134561.4</v>
      </c>
    </row>
    <row r="4114" spans="1:11">
      <c r="A4114" s="1">
        <v>45691</v>
      </c>
      <c r="B4114" t="s">
        <v>1974</v>
      </c>
      <c r="C4114">
        <v>2.0249999999999999</v>
      </c>
      <c r="I4114" s="1">
        <v>45699</v>
      </c>
      <c r="J4114" s="1" t="s">
        <v>289</v>
      </c>
      <c r="K4114" s="3">
        <v>4</v>
      </c>
    </row>
    <row r="4115" spans="1:11">
      <c r="A4115" s="1">
        <v>45691</v>
      </c>
      <c r="B4115" t="s">
        <v>1975</v>
      </c>
      <c r="C4115">
        <v>2.0459999999999998</v>
      </c>
      <c r="I4115" s="1">
        <v>45699</v>
      </c>
      <c r="J4115" s="1" t="s">
        <v>290</v>
      </c>
      <c r="K4115" s="3">
        <v>4</v>
      </c>
    </row>
    <row r="4116" spans="1:11">
      <c r="A4116" s="1">
        <v>45691</v>
      </c>
      <c r="B4116" t="s">
        <v>1976</v>
      </c>
      <c r="C4116">
        <v>2.0960000000000001</v>
      </c>
      <c r="I4116" s="1">
        <v>45699</v>
      </c>
      <c r="J4116" s="1" t="s">
        <v>107</v>
      </c>
      <c r="K4116" s="3">
        <v>8968011798467</v>
      </c>
    </row>
    <row r="4117" spans="1:11">
      <c r="A4117" s="1">
        <v>45691</v>
      </c>
      <c r="B4117" t="s">
        <v>1977</v>
      </c>
      <c r="C4117">
        <v>2.2189999999999999</v>
      </c>
      <c r="I4117" s="1">
        <v>45698</v>
      </c>
      <c r="J4117" s="1" t="s">
        <v>107</v>
      </c>
      <c r="K4117" s="3">
        <v>8967061375707</v>
      </c>
    </row>
    <row r="4118" spans="1:11">
      <c r="A4118" s="1">
        <v>45691</v>
      </c>
      <c r="B4118" t="s">
        <v>1978</v>
      </c>
      <c r="C4118">
        <v>2.343</v>
      </c>
      <c r="I4118" s="1">
        <v>45698</v>
      </c>
      <c r="J4118" s="1" t="s">
        <v>289</v>
      </c>
      <c r="K4118" s="3">
        <v>8</v>
      </c>
    </row>
    <row r="4119" spans="1:11">
      <c r="A4119" s="1">
        <v>45691</v>
      </c>
      <c r="B4119" t="s">
        <v>1979</v>
      </c>
      <c r="C4119">
        <v>2.5670000000000002</v>
      </c>
      <c r="I4119" s="1">
        <v>45698</v>
      </c>
      <c r="J4119" s="1" t="s">
        <v>290</v>
      </c>
      <c r="K4119" s="3">
        <v>8</v>
      </c>
    </row>
    <row r="4120" spans="1:11">
      <c r="A4120" s="1">
        <v>45691</v>
      </c>
      <c r="B4120" t="s">
        <v>1980</v>
      </c>
      <c r="C4120">
        <v>3.0150000000000001</v>
      </c>
      <c r="I4120" s="1">
        <v>45698</v>
      </c>
      <c r="J4120" s="1" t="s">
        <v>282</v>
      </c>
      <c r="K4120" s="3">
        <v>15000</v>
      </c>
    </row>
    <row r="4121" spans="1:11">
      <c r="A4121" s="1">
        <v>45691</v>
      </c>
      <c r="B4121" t="s">
        <v>1981</v>
      </c>
      <c r="C4121">
        <v>3.202</v>
      </c>
      <c r="I4121" s="1">
        <v>45698</v>
      </c>
      <c r="J4121" s="1" t="s">
        <v>283</v>
      </c>
      <c r="K4121" s="3">
        <v>7</v>
      </c>
    </row>
    <row r="4122" spans="1:11">
      <c r="A4122" s="1">
        <v>45691</v>
      </c>
      <c r="B4122" t="s">
        <v>1982</v>
      </c>
      <c r="C4122">
        <v>3.2770000000000001</v>
      </c>
      <c r="I4122" s="1">
        <v>45698</v>
      </c>
      <c r="J4122" s="1" t="s">
        <v>284</v>
      </c>
      <c r="K4122" s="3">
        <v>31365.01</v>
      </c>
    </row>
    <row r="4123" spans="1:11">
      <c r="A4123" s="1">
        <v>45691</v>
      </c>
      <c r="B4123" t="s">
        <v>1983</v>
      </c>
      <c r="C4123">
        <v>3.3580000000000001</v>
      </c>
      <c r="I4123" s="1">
        <v>45698</v>
      </c>
      <c r="J4123" s="1" t="s">
        <v>285</v>
      </c>
      <c r="K4123" s="3">
        <v>4</v>
      </c>
    </row>
    <row r="4124" spans="1:11">
      <c r="A4124" s="1">
        <v>45681</v>
      </c>
      <c r="B4124" t="s">
        <v>1974</v>
      </c>
      <c r="C4124">
        <v>2.0249999999999999</v>
      </c>
      <c r="I4124" s="1">
        <v>45698</v>
      </c>
      <c r="J4124" s="1" t="s">
        <v>286</v>
      </c>
      <c r="K4124" s="3">
        <v>25000</v>
      </c>
    </row>
    <row r="4125" spans="1:11">
      <c r="A4125" s="1">
        <v>45681</v>
      </c>
      <c r="B4125" t="s">
        <v>1975</v>
      </c>
      <c r="C4125">
        <v>2.0459999999999998</v>
      </c>
      <c r="I4125" s="1">
        <v>45698</v>
      </c>
      <c r="J4125" s="1" t="s">
        <v>287</v>
      </c>
      <c r="K4125" s="3">
        <v>161405.63</v>
      </c>
    </row>
    <row r="4126" spans="1:11">
      <c r="A4126" s="1">
        <v>45681</v>
      </c>
      <c r="B4126" t="s">
        <v>1976</v>
      </c>
      <c r="C4126">
        <v>2.0960000000000001</v>
      </c>
      <c r="I4126" s="1">
        <v>45698</v>
      </c>
      <c r="J4126" s="1" t="s">
        <v>288</v>
      </c>
      <c r="K4126" s="3">
        <v>-125040.62</v>
      </c>
    </row>
    <row r="4127" spans="1:11">
      <c r="A4127" s="1">
        <v>45681</v>
      </c>
      <c r="B4127" t="s">
        <v>1977</v>
      </c>
      <c r="C4127">
        <v>2.2149999999999999</v>
      </c>
      <c r="I4127" s="1">
        <v>45697</v>
      </c>
      <c r="J4127" s="1" t="s">
        <v>107</v>
      </c>
      <c r="K4127" s="3">
        <v>8966623070172</v>
      </c>
    </row>
    <row r="4128" spans="1:11">
      <c r="A4128" s="1">
        <v>45681</v>
      </c>
      <c r="B4128" t="s">
        <v>1978</v>
      </c>
      <c r="C4128">
        <v>2.3340000000000001</v>
      </c>
      <c r="I4128" s="1">
        <v>45695</v>
      </c>
      <c r="J4128" s="1" t="s">
        <v>282</v>
      </c>
      <c r="K4128" s="3">
        <v>15000</v>
      </c>
    </row>
    <row r="4129" spans="1:11">
      <c r="A4129" s="1">
        <v>45681</v>
      </c>
      <c r="B4129" t="s">
        <v>1979</v>
      </c>
      <c r="C4129">
        <v>2.5529999999999999</v>
      </c>
      <c r="I4129" s="1">
        <v>45695</v>
      </c>
      <c r="J4129" s="1" t="s">
        <v>283</v>
      </c>
      <c r="K4129" s="3">
        <v>7</v>
      </c>
    </row>
    <row r="4130" spans="1:11">
      <c r="A4130" s="1">
        <v>45681</v>
      </c>
      <c r="B4130" t="s">
        <v>1980</v>
      </c>
      <c r="C4130">
        <v>2.9950000000000001</v>
      </c>
      <c r="I4130" s="1">
        <v>45695</v>
      </c>
      <c r="J4130" s="1" t="s">
        <v>284</v>
      </c>
      <c r="K4130" s="3">
        <v>12725.86</v>
      </c>
    </row>
    <row r="4131" spans="1:11">
      <c r="A4131" s="1">
        <v>45681</v>
      </c>
      <c r="B4131" t="s">
        <v>1981</v>
      </c>
      <c r="C4131">
        <v>3.1840000000000002</v>
      </c>
      <c r="I4131" s="1">
        <v>45695</v>
      </c>
      <c r="J4131" s="1" t="s">
        <v>285</v>
      </c>
      <c r="K4131" s="3">
        <v>4</v>
      </c>
    </row>
    <row r="4132" spans="1:11">
      <c r="A4132" s="1">
        <v>45681</v>
      </c>
      <c r="B4132" t="s">
        <v>1982</v>
      </c>
      <c r="C4132">
        <v>3.2749999999999999</v>
      </c>
      <c r="I4132" s="1">
        <v>45695</v>
      </c>
      <c r="J4132" s="1" t="s">
        <v>286</v>
      </c>
      <c r="K4132" s="3">
        <v>24756.87</v>
      </c>
    </row>
    <row r="4133" spans="1:11">
      <c r="A4133" s="1">
        <v>45681</v>
      </c>
      <c r="B4133" t="s">
        <v>1983</v>
      </c>
      <c r="C4133">
        <v>3.3580000000000001</v>
      </c>
      <c r="I4133" s="1">
        <v>45695</v>
      </c>
      <c r="J4133" s="1" t="s">
        <v>287</v>
      </c>
      <c r="K4133" s="3">
        <v>155040.62</v>
      </c>
    </row>
    <row r="4134" spans="1:11">
      <c r="A4134" s="1">
        <v>45680</v>
      </c>
      <c r="B4134" t="s">
        <v>1974</v>
      </c>
      <c r="C4134">
        <v>2.0249999999999999</v>
      </c>
      <c r="I4134" s="1">
        <v>45695</v>
      </c>
      <c r="J4134" s="1" t="s">
        <v>288</v>
      </c>
      <c r="K4134" s="3">
        <v>-121138.62</v>
      </c>
    </row>
    <row r="4135" spans="1:11">
      <c r="A4135" s="1">
        <v>45680</v>
      </c>
      <c r="B4135" t="s">
        <v>1975</v>
      </c>
      <c r="C4135">
        <v>2.0459999999999998</v>
      </c>
      <c r="I4135" s="1">
        <v>45695</v>
      </c>
      <c r="J4135" s="1" t="s">
        <v>289</v>
      </c>
      <c r="K4135" s="3">
        <v>9</v>
      </c>
    </row>
    <row r="4136" spans="1:11">
      <c r="A4136" s="1">
        <v>45680</v>
      </c>
      <c r="B4136" t="s">
        <v>1976</v>
      </c>
      <c r="C4136">
        <v>2.0920000000000001</v>
      </c>
      <c r="I4136" s="1">
        <v>45695</v>
      </c>
      <c r="J4136" s="1" t="s">
        <v>290</v>
      </c>
      <c r="K4136" s="3">
        <v>9</v>
      </c>
    </row>
    <row r="4137" spans="1:11">
      <c r="A4137" s="1">
        <v>45680</v>
      </c>
      <c r="B4137" t="s">
        <v>1977</v>
      </c>
      <c r="C4137">
        <v>2.2130000000000001</v>
      </c>
      <c r="I4137" s="1">
        <v>45694</v>
      </c>
      <c r="J4137" s="1" t="s">
        <v>107</v>
      </c>
      <c r="K4137" s="3">
        <v>8306040527322</v>
      </c>
    </row>
    <row r="4138" spans="1:11">
      <c r="A4138" s="1">
        <v>45680</v>
      </c>
      <c r="B4138" t="s">
        <v>1978</v>
      </c>
      <c r="C4138">
        <v>2.3340000000000001</v>
      </c>
      <c r="I4138" s="1">
        <v>45694</v>
      </c>
      <c r="J4138" s="1" t="s">
        <v>282</v>
      </c>
      <c r="K4138" s="3">
        <v>9000</v>
      </c>
    </row>
    <row r="4139" spans="1:11">
      <c r="A4139" s="1">
        <v>45680</v>
      </c>
      <c r="B4139" t="s">
        <v>1979</v>
      </c>
      <c r="C4139">
        <v>2.5430000000000001</v>
      </c>
      <c r="I4139" s="1">
        <v>45694</v>
      </c>
      <c r="J4139" s="1" t="s">
        <v>283</v>
      </c>
      <c r="K4139" s="3">
        <v>7</v>
      </c>
    </row>
    <row r="4140" spans="1:11">
      <c r="A4140" s="1">
        <v>45680</v>
      </c>
      <c r="B4140" t="s">
        <v>1980</v>
      </c>
      <c r="C4140">
        <v>2.9929999999999999</v>
      </c>
      <c r="I4140" s="1">
        <v>45694</v>
      </c>
      <c r="J4140" s="1" t="s">
        <v>284</v>
      </c>
      <c r="K4140" s="3">
        <v>8172.13</v>
      </c>
    </row>
    <row r="4141" spans="1:11">
      <c r="A4141" s="1">
        <v>45680</v>
      </c>
      <c r="B4141" t="s">
        <v>1981</v>
      </c>
      <c r="C4141">
        <v>3.1779999999999999</v>
      </c>
      <c r="I4141" s="1">
        <v>45694</v>
      </c>
      <c r="J4141" s="1" t="s">
        <v>285</v>
      </c>
      <c r="K4141" s="3">
        <v>4</v>
      </c>
    </row>
    <row r="4142" spans="1:11">
      <c r="A4142" s="1">
        <v>45680</v>
      </c>
      <c r="B4142" t="s">
        <v>1982</v>
      </c>
      <c r="C4142">
        <v>3.2709999999999999</v>
      </c>
      <c r="I4142" s="1">
        <v>45694</v>
      </c>
      <c r="J4142" s="1" t="s">
        <v>286</v>
      </c>
      <c r="K4142" s="3">
        <v>5000</v>
      </c>
    </row>
    <row r="4143" spans="1:11">
      <c r="A4143" s="1">
        <v>45680</v>
      </c>
      <c r="B4143" t="s">
        <v>1983</v>
      </c>
      <c r="C4143">
        <v>3.3580000000000001</v>
      </c>
      <c r="I4143" s="1">
        <v>45694</v>
      </c>
      <c r="J4143" s="1" t="s">
        <v>287</v>
      </c>
      <c r="K4143" s="3">
        <v>167071.63</v>
      </c>
    </row>
    <row r="4144" spans="1:11">
      <c r="A4144" s="1">
        <v>45679</v>
      </c>
      <c r="B4144" t="s">
        <v>1974</v>
      </c>
      <c r="C4144">
        <v>2.0289999999999999</v>
      </c>
      <c r="I4144" s="1">
        <v>45694</v>
      </c>
      <c r="J4144" s="1" t="s">
        <v>288</v>
      </c>
      <c r="K4144" s="3">
        <v>-118202.93</v>
      </c>
    </row>
    <row r="4145" spans="1:11">
      <c r="A4145" s="1">
        <v>45679</v>
      </c>
      <c r="B4145" t="s">
        <v>1975</v>
      </c>
      <c r="C4145">
        <v>2.0630000000000002</v>
      </c>
      <c r="I4145" s="1">
        <v>45694</v>
      </c>
      <c r="J4145" s="1" t="s">
        <v>289</v>
      </c>
      <c r="K4145" s="3">
        <v>6</v>
      </c>
    </row>
    <row r="4146" spans="1:11">
      <c r="A4146" s="1">
        <v>45679</v>
      </c>
      <c r="B4146" t="s">
        <v>1976</v>
      </c>
      <c r="C4146">
        <v>2.121</v>
      </c>
      <c r="I4146" s="1">
        <v>45694</v>
      </c>
      <c r="J4146" s="1" t="s">
        <v>290</v>
      </c>
      <c r="K4146" s="3">
        <v>6</v>
      </c>
    </row>
    <row r="4147" spans="1:11">
      <c r="A4147" s="1">
        <v>45679</v>
      </c>
      <c r="B4147" t="s">
        <v>1977</v>
      </c>
      <c r="C4147">
        <v>2.2469999999999999</v>
      </c>
      <c r="I4147" s="1">
        <v>45693</v>
      </c>
      <c r="J4147" s="1" t="s">
        <v>282</v>
      </c>
      <c r="K4147" s="3">
        <v>15000</v>
      </c>
    </row>
    <row r="4148" spans="1:11">
      <c r="A4148" s="1">
        <v>45679</v>
      </c>
      <c r="B4148" t="s">
        <v>1978</v>
      </c>
      <c r="C4148">
        <v>2.3730000000000002</v>
      </c>
      <c r="I4148" s="1">
        <v>45693</v>
      </c>
      <c r="J4148" s="1" t="s">
        <v>283</v>
      </c>
      <c r="K4148" s="3">
        <v>7</v>
      </c>
    </row>
    <row r="4149" spans="1:11">
      <c r="A4149" s="1">
        <v>45679</v>
      </c>
      <c r="B4149" t="s">
        <v>1979</v>
      </c>
      <c r="C4149">
        <v>2.5840000000000001</v>
      </c>
      <c r="I4149" s="1">
        <v>45693</v>
      </c>
      <c r="J4149" s="1" t="s">
        <v>284</v>
      </c>
      <c r="K4149" s="3">
        <v>14999.81</v>
      </c>
    </row>
    <row r="4150" spans="1:11">
      <c r="A4150" s="1">
        <v>45679</v>
      </c>
      <c r="B4150" t="s">
        <v>1980</v>
      </c>
      <c r="C4150">
        <v>3.0390000000000001</v>
      </c>
      <c r="I4150" s="1">
        <v>45693</v>
      </c>
      <c r="J4150" s="1" t="s">
        <v>285</v>
      </c>
      <c r="K4150" s="3">
        <v>4</v>
      </c>
    </row>
    <row r="4151" spans="1:11">
      <c r="A4151" s="1">
        <v>45679</v>
      </c>
      <c r="B4151" t="s">
        <v>1981</v>
      </c>
      <c r="C4151">
        <v>3.2389999999999999</v>
      </c>
      <c r="I4151" s="1">
        <v>45693</v>
      </c>
      <c r="J4151" s="1" t="s">
        <v>286</v>
      </c>
      <c r="K4151" s="3">
        <v>14601.2</v>
      </c>
    </row>
    <row r="4152" spans="1:11">
      <c r="A4152" s="1">
        <v>45679</v>
      </c>
      <c r="B4152" t="s">
        <v>1982</v>
      </c>
      <c r="C4152">
        <v>3.2789999999999999</v>
      </c>
      <c r="I4152" s="1">
        <v>45693</v>
      </c>
      <c r="J4152" s="1" t="s">
        <v>287</v>
      </c>
      <c r="K4152" s="3">
        <v>163899.5</v>
      </c>
    </row>
    <row r="4153" spans="1:11">
      <c r="A4153" s="1">
        <v>45679</v>
      </c>
      <c r="B4153" t="s">
        <v>1983</v>
      </c>
      <c r="C4153">
        <v>3.367</v>
      </c>
      <c r="I4153" s="1">
        <v>45693</v>
      </c>
      <c r="J4153" s="1" t="s">
        <v>288</v>
      </c>
      <c r="K4153" s="3">
        <v>-110030.8</v>
      </c>
    </row>
    <row r="4154" spans="1:11">
      <c r="A4154" s="1">
        <v>45678</v>
      </c>
      <c r="B4154" t="s">
        <v>1974</v>
      </c>
      <c r="C4154">
        <v>2.0289999999999999</v>
      </c>
      <c r="I4154" s="1">
        <v>45693</v>
      </c>
      <c r="J4154" s="1" t="s">
        <v>107</v>
      </c>
      <c r="K4154" s="3">
        <v>7739412716911</v>
      </c>
    </row>
    <row r="4155" spans="1:11">
      <c r="A4155" s="1">
        <v>45678</v>
      </c>
      <c r="B4155" t="s">
        <v>1975</v>
      </c>
      <c r="C4155">
        <v>2.0630000000000002</v>
      </c>
      <c r="I4155" s="1">
        <v>45693</v>
      </c>
      <c r="J4155" s="1" t="s">
        <v>289</v>
      </c>
      <c r="K4155" s="3">
        <v>10</v>
      </c>
    </row>
    <row r="4156" spans="1:11">
      <c r="A4156" s="1">
        <v>45678</v>
      </c>
      <c r="B4156" t="s">
        <v>1976</v>
      </c>
      <c r="C4156">
        <v>2.113</v>
      </c>
      <c r="I4156" s="1">
        <v>45693</v>
      </c>
      <c r="J4156" s="1" t="s">
        <v>290</v>
      </c>
      <c r="K4156" s="3">
        <v>10</v>
      </c>
    </row>
    <row r="4157" spans="1:11">
      <c r="A4157" s="1">
        <v>45678</v>
      </c>
      <c r="B4157" t="s">
        <v>1977</v>
      </c>
      <c r="C4157">
        <v>2.2429999999999999</v>
      </c>
      <c r="I4157" s="1">
        <v>45692</v>
      </c>
      <c r="J4157" s="1" t="s">
        <v>282</v>
      </c>
      <c r="K4157" s="3">
        <v>20000</v>
      </c>
    </row>
    <row r="4158" spans="1:11">
      <c r="A4158" s="1">
        <v>45678</v>
      </c>
      <c r="B4158" t="s">
        <v>1978</v>
      </c>
      <c r="C4158">
        <v>2.3730000000000002</v>
      </c>
      <c r="I4158" s="1">
        <v>45692</v>
      </c>
      <c r="J4158" s="1" t="s">
        <v>283</v>
      </c>
      <c r="K4158" s="3">
        <v>7</v>
      </c>
    </row>
    <row r="4159" spans="1:11">
      <c r="A4159" s="1">
        <v>45678</v>
      </c>
      <c r="B4159" t="s">
        <v>1979</v>
      </c>
      <c r="C4159">
        <v>2.5619999999999998</v>
      </c>
      <c r="I4159" s="1">
        <v>45692</v>
      </c>
      <c r="J4159" s="1" t="s">
        <v>284</v>
      </c>
      <c r="K4159" s="3">
        <v>30273.93</v>
      </c>
    </row>
    <row r="4160" spans="1:11">
      <c r="A4160" s="1">
        <v>45678</v>
      </c>
      <c r="B4160" t="s">
        <v>1980</v>
      </c>
      <c r="C4160">
        <v>3.0539999999999998</v>
      </c>
      <c r="I4160" s="1">
        <v>45692</v>
      </c>
      <c r="J4160" s="1" t="s">
        <v>285</v>
      </c>
      <c r="K4160" s="3">
        <v>4</v>
      </c>
    </row>
    <row r="4161" spans="1:11">
      <c r="A4161" s="1">
        <v>45678</v>
      </c>
      <c r="B4161" t="s">
        <v>1981</v>
      </c>
      <c r="C4161">
        <v>3.2469999999999999</v>
      </c>
      <c r="I4161" s="1">
        <v>45692</v>
      </c>
      <c r="J4161" s="1" t="s">
        <v>286</v>
      </c>
      <c r="K4161" s="3">
        <v>9255.19</v>
      </c>
    </row>
    <row r="4162" spans="1:11">
      <c r="A4162" s="1">
        <v>45678</v>
      </c>
      <c r="B4162" t="s">
        <v>1982</v>
      </c>
      <c r="C4162">
        <v>3.2789999999999999</v>
      </c>
      <c r="I4162" s="1">
        <v>45692</v>
      </c>
      <c r="J4162" s="1" t="s">
        <v>287</v>
      </c>
      <c r="K4162" s="3">
        <v>163500.70000000001</v>
      </c>
    </row>
    <row r="4163" spans="1:11">
      <c r="A4163" s="1">
        <v>45678</v>
      </c>
      <c r="B4163" t="s">
        <v>1983</v>
      </c>
      <c r="C4163">
        <v>3.371</v>
      </c>
      <c r="I4163" s="1">
        <v>45692</v>
      </c>
      <c r="J4163" s="1" t="s">
        <v>288</v>
      </c>
      <c r="K4163" s="3">
        <v>-89632</v>
      </c>
    </row>
    <row r="4164" spans="1:11">
      <c r="A4164" s="1">
        <v>45677</v>
      </c>
      <c r="B4164" t="s">
        <v>1974</v>
      </c>
      <c r="C4164">
        <v>2.0289999999999999</v>
      </c>
      <c r="I4164" s="1">
        <v>45692</v>
      </c>
      <c r="J4164" s="1" t="s">
        <v>289</v>
      </c>
      <c r="K4164" s="3">
        <v>6</v>
      </c>
    </row>
    <row r="4165" spans="1:11">
      <c r="A4165" s="1">
        <v>45677</v>
      </c>
      <c r="B4165" t="s">
        <v>1975</v>
      </c>
      <c r="C4165">
        <v>2.0750000000000002</v>
      </c>
      <c r="I4165" s="1">
        <v>45692</v>
      </c>
      <c r="J4165" s="1" t="s">
        <v>290</v>
      </c>
      <c r="K4165" s="3">
        <v>6</v>
      </c>
    </row>
    <row r="4166" spans="1:11">
      <c r="A4166" s="1">
        <v>45677</v>
      </c>
      <c r="B4166" t="s">
        <v>1976</v>
      </c>
      <c r="C4166">
        <v>2.121</v>
      </c>
      <c r="I4166" s="1">
        <v>45692</v>
      </c>
      <c r="J4166" s="1" t="s">
        <v>107</v>
      </c>
      <c r="K4166" s="3">
        <v>7147798176286</v>
      </c>
    </row>
    <row r="4167" spans="1:11">
      <c r="A4167" s="1">
        <v>45677</v>
      </c>
      <c r="B4167" t="s">
        <v>1977</v>
      </c>
      <c r="C4167">
        <v>2.2559999999999998</v>
      </c>
      <c r="I4167" s="1">
        <v>45691</v>
      </c>
      <c r="J4167" s="1" t="s">
        <v>288</v>
      </c>
      <c r="K4167" s="3">
        <v>-78613.259999999995</v>
      </c>
    </row>
    <row r="4168" spans="1:11">
      <c r="A4168" s="1">
        <v>45677</v>
      </c>
      <c r="B4168" t="s">
        <v>1978</v>
      </c>
      <c r="C4168">
        <v>2.3919999999999999</v>
      </c>
      <c r="I4168" s="1">
        <v>45691</v>
      </c>
      <c r="J4168" s="1" t="s">
        <v>289</v>
      </c>
      <c r="K4168" s="3">
        <v>6</v>
      </c>
    </row>
    <row r="4169" spans="1:11">
      <c r="A4169" s="1">
        <v>45677</v>
      </c>
      <c r="B4169" t="s">
        <v>1979</v>
      </c>
      <c r="C4169">
        <v>2.6349999999999998</v>
      </c>
      <c r="I4169" s="1">
        <v>45691</v>
      </c>
      <c r="J4169" s="1" t="s">
        <v>290</v>
      </c>
      <c r="K4169" s="3">
        <v>6</v>
      </c>
    </row>
    <row r="4170" spans="1:11">
      <c r="A4170" s="1">
        <v>45677</v>
      </c>
      <c r="B4170" t="s">
        <v>1980</v>
      </c>
      <c r="C4170">
        <v>3.069</v>
      </c>
      <c r="I4170" s="1">
        <v>45691</v>
      </c>
      <c r="J4170" s="1" t="s">
        <v>282</v>
      </c>
      <c r="K4170" s="3">
        <v>15000</v>
      </c>
    </row>
    <row r="4171" spans="1:11">
      <c r="A4171" s="1">
        <v>45677</v>
      </c>
      <c r="B4171" t="s">
        <v>1981</v>
      </c>
      <c r="C4171">
        <v>3.2589999999999999</v>
      </c>
      <c r="I4171" s="1">
        <v>45691</v>
      </c>
      <c r="J4171" s="1" t="s">
        <v>283</v>
      </c>
      <c r="K4171" s="3">
        <v>7</v>
      </c>
    </row>
    <row r="4172" spans="1:11">
      <c r="A4172" s="1">
        <v>45677</v>
      </c>
      <c r="B4172" t="s">
        <v>1982</v>
      </c>
      <c r="C4172">
        <v>3.2789999999999999</v>
      </c>
      <c r="I4172" s="1">
        <v>45691</v>
      </c>
      <c r="J4172" s="1" t="s">
        <v>284</v>
      </c>
      <c r="K4172" s="3">
        <v>28902</v>
      </c>
    </row>
    <row r="4173" spans="1:11">
      <c r="A4173" s="1">
        <v>45677</v>
      </c>
      <c r="B4173" t="s">
        <v>1983</v>
      </c>
      <c r="C4173">
        <v>3.371</v>
      </c>
      <c r="I4173" s="1">
        <v>45691</v>
      </c>
      <c r="J4173" s="1" t="s">
        <v>285</v>
      </c>
      <c r="K4173" s="3">
        <v>4</v>
      </c>
    </row>
    <row r="4174" spans="1:11">
      <c r="A4174" s="1">
        <v>45674</v>
      </c>
      <c r="B4174" t="s">
        <v>1974</v>
      </c>
      <c r="C4174">
        <v>2.0289999999999999</v>
      </c>
      <c r="I4174" s="1">
        <v>45691</v>
      </c>
      <c r="J4174" s="1" t="s">
        <v>286</v>
      </c>
      <c r="K4174" s="3">
        <v>20000</v>
      </c>
    </row>
    <row r="4175" spans="1:11">
      <c r="A4175" s="1">
        <v>45674</v>
      </c>
      <c r="B4175" t="s">
        <v>1975</v>
      </c>
      <c r="C4175">
        <v>2.0750000000000002</v>
      </c>
      <c r="I4175" s="1">
        <v>45691</v>
      </c>
      <c r="J4175" s="1" t="s">
        <v>287</v>
      </c>
      <c r="K4175" s="3">
        <v>142481.96</v>
      </c>
    </row>
    <row r="4176" spans="1:11">
      <c r="A4176" s="1">
        <v>45674</v>
      </c>
      <c r="B4176" t="s">
        <v>1976</v>
      </c>
      <c r="C4176">
        <v>2.121</v>
      </c>
      <c r="I4176" s="1">
        <v>45691</v>
      </c>
      <c r="J4176" s="1" t="s">
        <v>107</v>
      </c>
      <c r="K4176" s="3">
        <v>6651980560914</v>
      </c>
    </row>
    <row r="4177" spans="1:11">
      <c r="A4177" s="1">
        <v>45674</v>
      </c>
      <c r="B4177" t="s">
        <v>1977</v>
      </c>
      <c r="C4177">
        <v>2.2599999999999998</v>
      </c>
      <c r="I4177" s="1">
        <v>45690</v>
      </c>
      <c r="J4177" s="1" t="s">
        <v>107</v>
      </c>
      <c r="K4177" s="3">
        <v>5765895528749</v>
      </c>
    </row>
    <row r="4178" spans="1:11">
      <c r="A4178" s="1">
        <v>45674</v>
      </c>
      <c r="B4178" t="s">
        <v>1978</v>
      </c>
      <c r="C4178">
        <v>2.399</v>
      </c>
      <c r="I4178" s="1">
        <v>45688</v>
      </c>
      <c r="J4178" s="1" t="s">
        <v>107</v>
      </c>
      <c r="K4178" s="3">
        <v>5765895528749</v>
      </c>
    </row>
    <row r="4179" spans="1:11">
      <c r="A4179" s="1">
        <v>45674</v>
      </c>
      <c r="B4179" t="s">
        <v>1979</v>
      </c>
      <c r="C4179">
        <v>2.6309999999999998</v>
      </c>
      <c r="I4179" s="1">
        <v>45681</v>
      </c>
      <c r="J4179" s="1" t="s">
        <v>282</v>
      </c>
      <c r="K4179" s="3">
        <v>25000</v>
      </c>
    </row>
    <row r="4180" spans="1:11">
      <c r="A4180" s="1">
        <v>45674</v>
      </c>
      <c r="B4180" t="s">
        <v>1980</v>
      </c>
      <c r="C4180">
        <v>3.07</v>
      </c>
      <c r="I4180" s="1">
        <v>45681</v>
      </c>
      <c r="J4180" s="1" t="s">
        <v>283</v>
      </c>
      <c r="K4180" s="3">
        <v>14</v>
      </c>
    </row>
    <row r="4181" spans="1:11">
      <c r="A4181" s="1">
        <v>45674</v>
      </c>
      <c r="B4181" t="s">
        <v>1981</v>
      </c>
      <c r="C4181">
        <v>3.2450000000000001</v>
      </c>
      <c r="I4181" s="1">
        <v>45681</v>
      </c>
      <c r="J4181" s="1" t="s">
        <v>284</v>
      </c>
      <c r="K4181" s="3">
        <v>39723.57</v>
      </c>
    </row>
    <row r="4182" spans="1:11">
      <c r="A4182" s="1">
        <v>45674</v>
      </c>
      <c r="B4182" t="s">
        <v>1982</v>
      </c>
      <c r="C4182">
        <v>3.2789999999999999</v>
      </c>
      <c r="I4182" s="1">
        <v>45681</v>
      </c>
      <c r="J4182" s="1" t="s">
        <v>285</v>
      </c>
      <c r="K4182" s="3">
        <v>4</v>
      </c>
    </row>
    <row r="4183" spans="1:11">
      <c r="A4183" s="1">
        <v>45674</v>
      </c>
      <c r="B4183" t="s">
        <v>1983</v>
      </c>
      <c r="C4183">
        <v>3.371</v>
      </c>
      <c r="I4183" s="1">
        <v>45681</v>
      </c>
      <c r="J4183" s="1" t="s">
        <v>286</v>
      </c>
      <c r="K4183" s="3">
        <v>10000</v>
      </c>
    </row>
    <row r="4184" spans="1:11">
      <c r="A4184" s="1">
        <v>45673</v>
      </c>
      <c r="B4184" t="s">
        <v>1974</v>
      </c>
      <c r="C4184">
        <v>2.0289999999999999</v>
      </c>
      <c r="I4184" s="1">
        <v>45681</v>
      </c>
      <c r="J4184" s="1" t="s">
        <v>287</v>
      </c>
      <c r="K4184" s="3">
        <v>133579.96</v>
      </c>
    </row>
    <row r="4185" spans="1:11">
      <c r="A4185" s="1">
        <v>45673</v>
      </c>
      <c r="B4185" t="s">
        <v>1975</v>
      </c>
      <c r="C4185">
        <v>2.0750000000000002</v>
      </c>
      <c r="I4185" s="1">
        <v>45681</v>
      </c>
      <c r="J4185" s="1" t="s">
        <v>288</v>
      </c>
      <c r="K4185" s="3">
        <v>0</v>
      </c>
    </row>
    <row r="4186" spans="1:11">
      <c r="A4186" s="1">
        <v>45673</v>
      </c>
      <c r="B4186" t="s">
        <v>1976</v>
      </c>
      <c r="C4186">
        <v>2.121</v>
      </c>
      <c r="I4186" s="1">
        <v>45681</v>
      </c>
      <c r="J4186" s="1" t="s">
        <v>289</v>
      </c>
      <c r="K4186" s="3">
        <v>12</v>
      </c>
    </row>
    <row r="4187" spans="1:11">
      <c r="A4187" s="1">
        <v>45673</v>
      </c>
      <c r="B4187" t="s">
        <v>1977</v>
      </c>
      <c r="C4187">
        <v>2.258</v>
      </c>
      <c r="I4187" s="1">
        <v>45681</v>
      </c>
      <c r="J4187" s="1" t="s">
        <v>290</v>
      </c>
      <c r="K4187" s="3">
        <v>12</v>
      </c>
    </row>
    <row r="4188" spans="1:11">
      <c r="A4188" s="1">
        <v>45673</v>
      </c>
      <c r="B4188" t="s">
        <v>1978</v>
      </c>
      <c r="C4188">
        <v>2.395</v>
      </c>
      <c r="I4188" s="1">
        <v>45680</v>
      </c>
      <c r="J4188" s="1" t="s">
        <v>282</v>
      </c>
      <c r="K4188" s="3">
        <v>5000</v>
      </c>
    </row>
    <row r="4189" spans="1:11">
      <c r="A4189" s="1">
        <v>45673</v>
      </c>
      <c r="B4189" t="s">
        <v>1979</v>
      </c>
      <c r="C4189">
        <v>2.6349999999999998</v>
      </c>
      <c r="I4189" s="1">
        <v>45680</v>
      </c>
      <c r="J4189" s="1" t="s">
        <v>283</v>
      </c>
      <c r="K4189" s="3">
        <v>14</v>
      </c>
    </row>
    <row r="4190" spans="1:11">
      <c r="A4190" s="1">
        <v>45673</v>
      </c>
      <c r="B4190" t="s">
        <v>1980</v>
      </c>
      <c r="C4190">
        <v>3.0779999999999998</v>
      </c>
      <c r="I4190" s="1">
        <v>45680</v>
      </c>
      <c r="J4190" s="1" t="s">
        <v>284</v>
      </c>
      <c r="K4190" s="3">
        <v>10000</v>
      </c>
    </row>
    <row r="4191" spans="1:11">
      <c r="A4191" s="1">
        <v>45673</v>
      </c>
      <c r="B4191" t="s">
        <v>1981</v>
      </c>
      <c r="C4191">
        <v>3.2530000000000001</v>
      </c>
      <c r="I4191" s="1">
        <v>45680</v>
      </c>
      <c r="J4191" s="1" t="s">
        <v>285</v>
      </c>
      <c r="K4191" s="3">
        <v>4</v>
      </c>
    </row>
    <row r="4192" spans="1:11">
      <c r="A4192" s="1">
        <v>45673</v>
      </c>
      <c r="B4192" t="s">
        <v>1982</v>
      </c>
      <c r="C4192">
        <v>3.2789999999999999</v>
      </c>
      <c r="I4192" s="1">
        <v>45680</v>
      </c>
      <c r="J4192" s="1" t="s">
        <v>286</v>
      </c>
      <c r="K4192" s="3">
        <v>5000</v>
      </c>
    </row>
    <row r="4193" spans="1:11">
      <c r="A4193" s="1">
        <v>45673</v>
      </c>
      <c r="B4193" t="s">
        <v>1983</v>
      </c>
      <c r="C4193">
        <v>3.371</v>
      </c>
      <c r="I4193" s="1">
        <v>45680</v>
      </c>
      <c r="J4193" s="1" t="s">
        <v>287</v>
      </c>
      <c r="K4193" s="3">
        <v>103856.39</v>
      </c>
    </row>
    <row r="4194" spans="1:11">
      <c r="A4194" s="1">
        <v>45672</v>
      </c>
      <c r="B4194" t="s">
        <v>1974</v>
      </c>
      <c r="C4194">
        <v>2.0150000000000001</v>
      </c>
      <c r="I4194" s="1">
        <v>45680</v>
      </c>
      <c r="J4194" s="1" t="s">
        <v>288</v>
      </c>
      <c r="K4194" s="3">
        <v>-10000</v>
      </c>
    </row>
    <row r="4195" spans="1:11">
      <c r="A4195" s="1">
        <v>45672</v>
      </c>
      <c r="B4195" t="s">
        <v>1975</v>
      </c>
      <c r="C4195">
        <v>2.0649999999999999</v>
      </c>
      <c r="I4195" s="1">
        <v>45680</v>
      </c>
      <c r="J4195" s="1" t="s">
        <v>289</v>
      </c>
      <c r="K4195" s="3">
        <v>5</v>
      </c>
    </row>
    <row r="4196" spans="1:11">
      <c r="A4196" s="1">
        <v>45672</v>
      </c>
      <c r="B4196" t="s">
        <v>1976</v>
      </c>
      <c r="C4196">
        <v>2.1059999999999999</v>
      </c>
      <c r="I4196" s="1">
        <v>45680</v>
      </c>
      <c r="J4196" s="1" t="s">
        <v>290</v>
      </c>
      <c r="K4196" s="3">
        <v>5</v>
      </c>
    </row>
    <row r="4197" spans="1:11">
      <c r="A4197" s="1">
        <v>45672</v>
      </c>
      <c r="B4197" t="s">
        <v>1977</v>
      </c>
      <c r="C4197">
        <v>2.2559999999999998</v>
      </c>
      <c r="I4197" s="1">
        <v>45680</v>
      </c>
      <c r="J4197" s="1" t="s">
        <v>107</v>
      </c>
      <c r="K4197" s="3">
        <v>5502136529410</v>
      </c>
    </row>
    <row r="4198" spans="1:11">
      <c r="A4198" s="1">
        <v>45672</v>
      </c>
      <c r="B4198" t="s">
        <v>1978</v>
      </c>
      <c r="C4198">
        <v>2.4060000000000001</v>
      </c>
      <c r="I4198" s="1">
        <v>45679</v>
      </c>
      <c r="J4198" s="1" t="s">
        <v>107</v>
      </c>
      <c r="K4198" s="3">
        <v>5779213311370</v>
      </c>
    </row>
    <row r="4199" spans="1:11">
      <c r="A4199" s="1">
        <v>45672</v>
      </c>
      <c r="B4199" t="s">
        <v>1979</v>
      </c>
      <c r="C4199">
        <v>2.6389999999999998</v>
      </c>
      <c r="I4199" s="1">
        <v>45679</v>
      </c>
      <c r="J4199" s="1" t="s">
        <v>282</v>
      </c>
      <c r="K4199" s="3">
        <v>20000</v>
      </c>
    </row>
    <row r="4200" spans="1:11">
      <c r="A4200" s="1">
        <v>45672</v>
      </c>
      <c r="B4200" t="s">
        <v>1980</v>
      </c>
      <c r="C4200">
        <v>3.077</v>
      </c>
      <c r="I4200" s="1">
        <v>45679</v>
      </c>
      <c r="J4200" s="1" t="s">
        <v>283</v>
      </c>
      <c r="K4200" s="3">
        <v>14</v>
      </c>
    </row>
    <row r="4201" spans="1:11">
      <c r="A4201" s="1">
        <v>45672</v>
      </c>
      <c r="B4201" t="s">
        <v>1981</v>
      </c>
      <c r="C4201">
        <v>3.2490000000000001</v>
      </c>
      <c r="I4201" s="1">
        <v>45679</v>
      </c>
      <c r="J4201" s="1" t="s">
        <v>284</v>
      </c>
      <c r="K4201" s="3">
        <v>34601.199999999997</v>
      </c>
    </row>
    <row r="4202" spans="1:11">
      <c r="A4202" s="1">
        <v>45672</v>
      </c>
      <c r="B4202" t="s">
        <v>1982</v>
      </c>
      <c r="C4202">
        <v>3.2789999999999999</v>
      </c>
      <c r="I4202" s="1">
        <v>45679</v>
      </c>
      <c r="J4202" s="1" t="s">
        <v>285</v>
      </c>
      <c r="K4202" s="3">
        <v>4</v>
      </c>
    </row>
    <row r="4203" spans="1:11">
      <c r="A4203" s="1">
        <v>45672</v>
      </c>
      <c r="B4203" t="s">
        <v>1983</v>
      </c>
      <c r="C4203">
        <v>3.371</v>
      </c>
      <c r="I4203" s="1">
        <v>45679</v>
      </c>
      <c r="J4203" s="1" t="s">
        <v>286</v>
      </c>
      <c r="K4203" s="3">
        <v>5000</v>
      </c>
    </row>
    <row r="4204" spans="1:11">
      <c r="A4204" s="1">
        <v>45671</v>
      </c>
      <c r="B4204" t="s">
        <v>1975</v>
      </c>
      <c r="C4204">
        <v>2.052</v>
      </c>
      <c r="I4204" s="1">
        <v>45679</v>
      </c>
      <c r="J4204" s="1" t="s">
        <v>287</v>
      </c>
      <c r="K4204" s="3">
        <v>98856.39</v>
      </c>
    </row>
    <row r="4205" spans="1:11">
      <c r="A4205" s="1">
        <v>45671</v>
      </c>
      <c r="B4205" t="s">
        <v>1976</v>
      </c>
      <c r="C4205">
        <v>2.0939999999999999</v>
      </c>
      <c r="I4205" s="1">
        <v>45679</v>
      </c>
      <c r="J4205" s="1" t="s">
        <v>288</v>
      </c>
      <c r="K4205" s="3">
        <v>-15000</v>
      </c>
    </row>
    <row r="4206" spans="1:11">
      <c r="A4206" s="1">
        <v>45671</v>
      </c>
      <c r="B4206" t="s">
        <v>1977</v>
      </c>
      <c r="C4206">
        <v>2.2549999999999999</v>
      </c>
      <c r="I4206" s="1">
        <v>45679</v>
      </c>
      <c r="J4206" s="1" t="s">
        <v>289</v>
      </c>
      <c r="K4206" s="3">
        <v>7</v>
      </c>
    </row>
    <row r="4207" spans="1:11">
      <c r="A4207" s="1">
        <v>45671</v>
      </c>
      <c r="B4207" t="s">
        <v>1978</v>
      </c>
      <c r="C4207">
        <v>2.4159999999999999</v>
      </c>
      <c r="I4207" s="1">
        <v>45679</v>
      </c>
      <c r="J4207" s="1" t="s">
        <v>290</v>
      </c>
      <c r="K4207" s="3">
        <v>7</v>
      </c>
    </row>
    <row r="4208" spans="1:11">
      <c r="A4208" s="1">
        <v>45671</v>
      </c>
      <c r="B4208" t="s">
        <v>1979</v>
      </c>
      <c r="C4208">
        <v>2.64</v>
      </c>
      <c r="I4208" s="1">
        <v>45678</v>
      </c>
      <c r="J4208" s="1" t="s">
        <v>282</v>
      </c>
      <c r="K4208" s="3">
        <v>10000</v>
      </c>
    </row>
    <row r="4209" spans="1:11">
      <c r="A4209" s="1">
        <v>45671</v>
      </c>
      <c r="B4209" t="s">
        <v>1980</v>
      </c>
      <c r="C4209">
        <v>3.07</v>
      </c>
      <c r="I4209" s="1">
        <v>45678</v>
      </c>
      <c r="J4209" s="1" t="s">
        <v>283</v>
      </c>
      <c r="K4209" s="3">
        <v>14</v>
      </c>
    </row>
    <row r="4210" spans="1:11">
      <c r="A4210" s="1">
        <v>45671</v>
      </c>
      <c r="B4210" t="s">
        <v>1981</v>
      </c>
      <c r="C4210">
        <v>3.2450000000000001</v>
      </c>
      <c r="I4210" s="1">
        <v>45678</v>
      </c>
      <c r="J4210" s="1" t="s">
        <v>284</v>
      </c>
      <c r="K4210" s="3">
        <v>19255.189999999999</v>
      </c>
    </row>
    <row r="4211" spans="1:11">
      <c r="A4211" s="1">
        <v>45671</v>
      </c>
      <c r="B4211" t="s">
        <v>1982</v>
      </c>
      <c r="C4211">
        <v>3.2669999999999999</v>
      </c>
      <c r="I4211" s="1">
        <v>45678</v>
      </c>
      <c r="J4211" s="1" t="s">
        <v>285</v>
      </c>
      <c r="K4211" s="3">
        <v>4</v>
      </c>
    </row>
    <row r="4212" spans="1:11">
      <c r="A4212" s="1">
        <v>45671</v>
      </c>
      <c r="B4212" t="s">
        <v>1983</v>
      </c>
      <c r="C4212">
        <v>3.3580000000000001</v>
      </c>
      <c r="I4212" s="1">
        <v>45678</v>
      </c>
      <c r="J4212" s="1" t="s">
        <v>286</v>
      </c>
      <c r="K4212" s="3">
        <v>8000</v>
      </c>
    </row>
    <row r="4213" spans="1:11">
      <c r="A4213" s="1">
        <v>45671</v>
      </c>
      <c r="B4213" t="s">
        <v>1974</v>
      </c>
      <c r="C4213">
        <v>2.0019999999999998</v>
      </c>
      <c r="I4213" s="1">
        <v>45678</v>
      </c>
      <c r="J4213" s="1" t="s">
        <v>287</v>
      </c>
      <c r="K4213" s="3">
        <v>19255.189999999999</v>
      </c>
    </row>
    <row r="4214" spans="1:11">
      <c r="A4214" s="1">
        <v>45670</v>
      </c>
      <c r="B4214" t="s">
        <v>1974</v>
      </c>
      <c r="C4214">
        <v>2.0099999999999998</v>
      </c>
      <c r="I4214" s="1">
        <v>45678</v>
      </c>
      <c r="J4214" s="1" t="s">
        <v>288</v>
      </c>
      <c r="K4214" s="3">
        <v>-20000</v>
      </c>
    </row>
    <row r="4215" spans="1:11">
      <c r="A4215" s="1">
        <v>45670</v>
      </c>
      <c r="B4215" t="s">
        <v>1975</v>
      </c>
      <c r="C4215">
        <v>2.0649999999999999</v>
      </c>
      <c r="I4215" s="1">
        <v>45678</v>
      </c>
      <c r="J4215" s="1" t="s">
        <v>289</v>
      </c>
      <c r="K4215" s="3">
        <v>6</v>
      </c>
    </row>
    <row r="4216" spans="1:11">
      <c r="A4216" s="1">
        <v>45670</v>
      </c>
      <c r="B4216" t="s">
        <v>1976</v>
      </c>
      <c r="C4216">
        <v>2.0939999999999999</v>
      </c>
      <c r="I4216" s="1">
        <v>45678</v>
      </c>
      <c r="J4216" s="1" t="s">
        <v>290</v>
      </c>
      <c r="K4216" s="3">
        <v>6</v>
      </c>
    </row>
    <row r="4217" spans="1:11">
      <c r="A4217" s="1">
        <v>45670</v>
      </c>
      <c r="B4217" t="s">
        <v>1977</v>
      </c>
      <c r="C4217">
        <v>2.2549999999999999</v>
      </c>
      <c r="I4217" s="1">
        <v>45678</v>
      </c>
      <c r="J4217" s="1" t="s">
        <v>107</v>
      </c>
      <c r="K4217" s="3">
        <v>5423868142043</v>
      </c>
    </row>
    <row r="4218" spans="1:11">
      <c r="A4218" s="1">
        <v>45670</v>
      </c>
      <c r="B4218" t="s">
        <v>1978</v>
      </c>
      <c r="C4218">
        <v>2.4169999999999998</v>
      </c>
      <c r="I4218" s="1">
        <v>45677</v>
      </c>
      <c r="J4218" s="1" t="s">
        <v>282</v>
      </c>
      <c r="K4218" s="3">
        <v>20000</v>
      </c>
    </row>
    <row r="4219" spans="1:11">
      <c r="A4219" s="1">
        <v>45670</v>
      </c>
      <c r="B4219" t="s">
        <v>1979</v>
      </c>
      <c r="C4219">
        <v>2.6389999999999998</v>
      </c>
      <c r="I4219" s="1">
        <v>45677</v>
      </c>
      <c r="J4219" s="1" t="s">
        <v>283</v>
      </c>
      <c r="K4219" s="3">
        <v>14</v>
      </c>
    </row>
    <row r="4220" spans="1:11">
      <c r="A4220" s="1">
        <v>45670</v>
      </c>
      <c r="B4220" t="s">
        <v>1980</v>
      </c>
      <c r="C4220">
        <v>3.0640000000000001</v>
      </c>
      <c r="I4220" s="1">
        <v>45677</v>
      </c>
      <c r="J4220" s="1" t="s">
        <v>284</v>
      </c>
      <c r="K4220" s="3">
        <v>30000</v>
      </c>
    </row>
    <row r="4221" spans="1:11">
      <c r="A4221" s="1">
        <v>45670</v>
      </c>
      <c r="B4221" t="s">
        <v>1981</v>
      </c>
      <c r="C4221">
        <v>3.2389999999999999</v>
      </c>
      <c r="I4221" s="1">
        <v>45677</v>
      </c>
      <c r="J4221" s="1" t="s">
        <v>285</v>
      </c>
      <c r="K4221" s="3">
        <v>4</v>
      </c>
    </row>
    <row r="4222" spans="1:11">
      <c r="A4222" s="1">
        <v>45670</v>
      </c>
      <c r="B4222" t="s">
        <v>1982</v>
      </c>
      <c r="C4222">
        <v>3.258</v>
      </c>
      <c r="I4222" s="1">
        <v>45677</v>
      </c>
      <c r="J4222" s="1" t="s">
        <v>286</v>
      </c>
      <c r="K4222" s="3">
        <v>15000</v>
      </c>
    </row>
    <row r="4223" spans="1:11">
      <c r="A4223" s="1">
        <v>45670</v>
      </c>
      <c r="B4223" t="s">
        <v>1983</v>
      </c>
      <c r="C4223">
        <v>3.3460000000000001</v>
      </c>
      <c r="I4223" s="1">
        <v>45677</v>
      </c>
      <c r="J4223" s="1" t="s">
        <v>287</v>
      </c>
      <c r="K4223" s="3">
        <v>58000</v>
      </c>
    </row>
    <row r="4224" spans="1:11">
      <c r="A4224" s="1">
        <v>45667</v>
      </c>
      <c r="B4224" t="s">
        <v>1974</v>
      </c>
      <c r="C4224">
        <v>1.9770000000000001</v>
      </c>
      <c r="I4224" s="1">
        <v>45677</v>
      </c>
      <c r="J4224" s="1" t="s">
        <v>288</v>
      </c>
      <c r="K4224" s="3">
        <v>-28000</v>
      </c>
    </row>
    <row r="4225" spans="1:11">
      <c r="A4225" s="1">
        <v>45667</v>
      </c>
      <c r="B4225" t="s">
        <v>1975</v>
      </c>
      <c r="C4225">
        <v>2.0099999999999998</v>
      </c>
      <c r="I4225" s="1">
        <v>45677</v>
      </c>
      <c r="J4225" s="1" t="s">
        <v>289</v>
      </c>
      <c r="K4225" s="3">
        <v>10</v>
      </c>
    </row>
    <row r="4226" spans="1:11">
      <c r="A4226" s="1">
        <v>45667</v>
      </c>
      <c r="B4226" t="s">
        <v>1976</v>
      </c>
      <c r="C4226">
        <v>2.048</v>
      </c>
      <c r="I4226" s="1">
        <v>45677</v>
      </c>
      <c r="J4226" s="1" t="s">
        <v>290</v>
      </c>
      <c r="K4226" s="3">
        <v>10</v>
      </c>
    </row>
    <row r="4227" spans="1:11">
      <c r="A4227" s="1">
        <v>45667</v>
      </c>
      <c r="B4227" t="s">
        <v>1977</v>
      </c>
      <c r="C4227">
        <v>2.2040000000000002</v>
      </c>
      <c r="I4227" s="1">
        <v>45677</v>
      </c>
      <c r="J4227" s="1" t="s">
        <v>107</v>
      </c>
      <c r="K4227" s="3">
        <v>5194525515782</v>
      </c>
    </row>
    <row r="4228" spans="1:11">
      <c r="A4228" s="1">
        <v>45667</v>
      </c>
      <c r="B4228" t="s">
        <v>1978</v>
      </c>
      <c r="C4228">
        <v>2.3610000000000002</v>
      </c>
      <c r="I4228" s="1">
        <v>45676</v>
      </c>
      <c r="J4228" s="1" t="s">
        <v>107</v>
      </c>
      <c r="K4228" s="3">
        <v>5221828008476</v>
      </c>
    </row>
    <row r="4229" spans="1:11">
      <c r="A4229" s="1">
        <v>45667</v>
      </c>
      <c r="B4229" t="s">
        <v>1979</v>
      </c>
      <c r="C4229">
        <v>2.6360000000000001</v>
      </c>
      <c r="I4229" s="1">
        <v>45674</v>
      </c>
      <c r="J4229" s="1" t="s">
        <v>282</v>
      </c>
      <c r="K4229" s="3">
        <v>10000</v>
      </c>
    </row>
    <row r="4230" spans="1:11">
      <c r="A4230" s="1">
        <v>45667</v>
      </c>
      <c r="B4230" t="s">
        <v>1980</v>
      </c>
      <c r="C4230">
        <v>3.0329999999999999</v>
      </c>
      <c r="I4230" s="1">
        <v>45674</v>
      </c>
      <c r="J4230" s="1" t="s">
        <v>283</v>
      </c>
      <c r="K4230" s="3">
        <v>7</v>
      </c>
    </row>
    <row r="4231" spans="1:11">
      <c r="A4231" s="1">
        <v>45667</v>
      </c>
      <c r="B4231" t="s">
        <v>1981</v>
      </c>
      <c r="C4231">
        <v>3.1779999999999999</v>
      </c>
      <c r="I4231" s="1">
        <v>45674</v>
      </c>
      <c r="J4231" s="1" t="s">
        <v>284</v>
      </c>
      <c r="K4231" s="3">
        <v>10000</v>
      </c>
    </row>
    <row r="4232" spans="1:11">
      <c r="A4232" s="1">
        <v>45667</v>
      </c>
      <c r="B4232" t="s">
        <v>1982</v>
      </c>
      <c r="C4232">
        <v>3.1920000000000002</v>
      </c>
      <c r="I4232" s="1">
        <v>45674</v>
      </c>
      <c r="J4232" s="1" t="s">
        <v>285</v>
      </c>
      <c r="K4232" s="3">
        <v>4</v>
      </c>
    </row>
    <row r="4233" spans="1:11">
      <c r="A4233" s="1">
        <v>45667</v>
      </c>
      <c r="B4233" t="s">
        <v>1983</v>
      </c>
      <c r="C4233">
        <v>3.2879999999999998</v>
      </c>
      <c r="I4233" s="1">
        <v>45674</v>
      </c>
      <c r="J4233" s="1" t="s">
        <v>286</v>
      </c>
      <c r="K4233" s="3">
        <v>24999.9</v>
      </c>
    </row>
    <row r="4234" spans="1:11">
      <c r="A4234" s="1">
        <v>45666</v>
      </c>
      <c r="B4234" t="s">
        <v>1974</v>
      </c>
      <c r="C4234">
        <v>1.9790000000000001</v>
      </c>
      <c r="I4234" s="1">
        <v>45674</v>
      </c>
      <c r="J4234" s="1" t="s">
        <v>287</v>
      </c>
      <c r="K4234" s="3">
        <v>43000</v>
      </c>
    </row>
    <row r="4235" spans="1:11">
      <c r="A4235" s="1">
        <v>45666</v>
      </c>
      <c r="B4235" t="s">
        <v>1975</v>
      </c>
      <c r="C4235">
        <v>2.0129999999999999</v>
      </c>
      <c r="I4235" s="1">
        <v>45674</v>
      </c>
      <c r="J4235" s="1" t="s">
        <v>288</v>
      </c>
      <c r="K4235" s="3">
        <v>-43000</v>
      </c>
    </row>
    <row r="4236" spans="1:11">
      <c r="A4236" s="1">
        <v>45666</v>
      </c>
      <c r="B4236" t="s">
        <v>1976</v>
      </c>
      <c r="C4236">
        <v>2.0329999999999999</v>
      </c>
      <c r="I4236" s="1">
        <v>45674</v>
      </c>
      <c r="J4236" s="1" t="s">
        <v>289</v>
      </c>
      <c r="K4236" s="3">
        <v>6</v>
      </c>
    </row>
    <row r="4237" spans="1:11">
      <c r="A4237" s="1">
        <v>45666</v>
      </c>
      <c r="B4237" t="s">
        <v>1977</v>
      </c>
      <c r="C4237">
        <v>2.17</v>
      </c>
      <c r="I4237" s="1">
        <v>45674</v>
      </c>
      <c r="J4237" s="1" t="s">
        <v>290</v>
      </c>
      <c r="K4237" s="3">
        <v>6</v>
      </c>
    </row>
    <row r="4238" spans="1:11">
      <c r="A4238" s="1">
        <v>45666</v>
      </c>
      <c r="B4238" t="s">
        <v>1978</v>
      </c>
      <c r="C4238">
        <v>2.306</v>
      </c>
      <c r="I4238" s="1">
        <v>45673</v>
      </c>
      <c r="J4238" s="1" t="s">
        <v>288</v>
      </c>
      <c r="K4238" s="3">
        <v>-57999.9</v>
      </c>
    </row>
    <row r="4239" spans="1:11">
      <c r="A4239" s="1">
        <v>45666</v>
      </c>
      <c r="B4239" t="s">
        <v>1979</v>
      </c>
      <c r="C4239">
        <v>2.5750000000000002</v>
      </c>
      <c r="I4239" s="1">
        <v>45673</v>
      </c>
      <c r="J4239" s="1" t="s">
        <v>289</v>
      </c>
      <c r="K4239" s="3">
        <v>6</v>
      </c>
    </row>
    <row r="4240" spans="1:11">
      <c r="A4240" s="1">
        <v>45666</v>
      </c>
      <c r="B4240" t="s">
        <v>1980</v>
      </c>
      <c r="C4240">
        <v>2.988</v>
      </c>
      <c r="I4240" s="1">
        <v>45673</v>
      </c>
      <c r="J4240" s="1" t="s">
        <v>290</v>
      </c>
      <c r="K4240" s="3">
        <v>6</v>
      </c>
    </row>
    <row r="4241" spans="1:11">
      <c r="A4241" s="1">
        <v>45666</v>
      </c>
      <c r="B4241" t="s">
        <v>1981</v>
      </c>
      <c r="C4241">
        <v>3.1619999999999999</v>
      </c>
      <c r="I4241" s="1">
        <v>45673</v>
      </c>
      <c r="J4241" s="1" t="s">
        <v>282</v>
      </c>
      <c r="K4241" s="3">
        <v>5000</v>
      </c>
    </row>
    <row r="4242" spans="1:11">
      <c r="A4242" s="1">
        <v>45666</v>
      </c>
      <c r="B4242" t="s">
        <v>1982</v>
      </c>
      <c r="C4242">
        <v>3.1880000000000002</v>
      </c>
      <c r="I4242" s="1">
        <v>45673</v>
      </c>
      <c r="J4242" s="1" t="s">
        <v>283</v>
      </c>
      <c r="K4242" s="3">
        <v>7</v>
      </c>
    </row>
    <row r="4243" spans="1:11">
      <c r="A4243" s="1">
        <v>45666</v>
      </c>
      <c r="B4243" t="s">
        <v>1983</v>
      </c>
      <c r="C4243">
        <v>3.2879999999999998</v>
      </c>
      <c r="I4243" s="1">
        <v>45673</v>
      </c>
      <c r="J4243" s="1" t="s">
        <v>284</v>
      </c>
      <c r="K4243" s="3">
        <v>5000</v>
      </c>
    </row>
    <row r="4244" spans="1:11">
      <c r="A4244" s="1">
        <v>45665</v>
      </c>
      <c r="B4244" t="s">
        <v>1974</v>
      </c>
      <c r="C4244">
        <v>1.9790000000000001</v>
      </c>
      <c r="I4244" s="1">
        <v>45673</v>
      </c>
      <c r="J4244" s="1" t="s">
        <v>285</v>
      </c>
      <c r="K4244" s="3">
        <v>4</v>
      </c>
    </row>
    <row r="4245" spans="1:11">
      <c r="A4245" s="1">
        <v>45665</v>
      </c>
      <c r="B4245" t="s">
        <v>1975</v>
      </c>
      <c r="C4245">
        <v>2.0129999999999999</v>
      </c>
      <c r="I4245" s="1">
        <v>45673</v>
      </c>
      <c r="J4245" s="1" t="s">
        <v>286</v>
      </c>
      <c r="K4245" s="3">
        <v>12999.98</v>
      </c>
    </row>
    <row r="4246" spans="1:11">
      <c r="A4246" s="1">
        <v>45665</v>
      </c>
      <c r="B4246" t="s">
        <v>1976</v>
      </c>
      <c r="C4246">
        <v>2.0329999999999999</v>
      </c>
      <c r="I4246" s="1">
        <v>45673</v>
      </c>
      <c r="J4246" s="1" t="s">
        <v>287</v>
      </c>
      <c r="K4246" s="3">
        <v>57999.9</v>
      </c>
    </row>
    <row r="4247" spans="1:11">
      <c r="A4247" s="1">
        <v>45665</v>
      </c>
      <c r="B4247" t="s">
        <v>1977</v>
      </c>
      <c r="C4247">
        <v>2.1669999999999998</v>
      </c>
      <c r="I4247" s="1">
        <v>45673</v>
      </c>
      <c r="J4247" s="1" t="s">
        <v>107</v>
      </c>
      <c r="K4247" s="3">
        <v>5294547822437</v>
      </c>
    </row>
    <row r="4248" spans="1:11">
      <c r="A4248" s="1">
        <v>45665</v>
      </c>
      <c r="B4248" t="s">
        <v>1978</v>
      </c>
      <c r="C4248">
        <v>2.3010000000000002</v>
      </c>
      <c r="I4248" s="1">
        <v>45672</v>
      </c>
      <c r="J4248" s="1" t="s">
        <v>107</v>
      </c>
      <c r="K4248" s="3">
        <v>5280202021686</v>
      </c>
    </row>
    <row r="4249" spans="1:11">
      <c r="A4249" s="1">
        <v>45665</v>
      </c>
      <c r="B4249" t="s">
        <v>1979</v>
      </c>
      <c r="C4249">
        <v>2.556</v>
      </c>
      <c r="I4249" s="1">
        <v>45672</v>
      </c>
      <c r="J4249" s="1" t="s">
        <v>282</v>
      </c>
      <c r="K4249" s="3">
        <v>5000</v>
      </c>
    </row>
    <row r="4250" spans="1:11">
      <c r="A4250" s="1">
        <v>45665</v>
      </c>
      <c r="B4250" t="s">
        <v>1980</v>
      </c>
      <c r="C4250">
        <v>2.984</v>
      </c>
      <c r="I4250" s="1">
        <v>45672</v>
      </c>
      <c r="J4250" s="1" t="s">
        <v>283</v>
      </c>
      <c r="K4250" s="3">
        <v>7</v>
      </c>
    </row>
    <row r="4251" spans="1:11">
      <c r="A4251" s="1">
        <v>45665</v>
      </c>
      <c r="B4251" t="s">
        <v>1981</v>
      </c>
      <c r="C4251">
        <v>3.153</v>
      </c>
      <c r="I4251" s="1">
        <v>45672</v>
      </c>
      <c r="J4251" s="1" t="s">
        <v>284</v>
      </c>
      <c r="K4251" s="3">
        <v>5000</v>
      </c>
    </row>
    <row r="4252" spans="1:11">
      <c r="A4252" s="1">
        <v>45665</v>
      </c>
      <c r="B4252" t="s">
        <v>1982</v>
      </c>
      <c r="C4252">
        <v>3.1829999999999998</v>
      </c>
      <c r="I4252" s="1">
        <v>45672</v>
      </c>
      <c r="J4252" s="1" t="s">
        <v>285</v>
      </c>
      <c r="K4252" s="3">
        <v>4</v>
      </c>
    </row>
    <row r="4253" spans="1:11">
      <c r="A4253" s="1">
        <v>45665</v>
      </c>
      <c r="B4253" t="s">
        <v>1983</v>
      </c>
      <c r="C4253">
        <v>3.2789999999999999</v>
      </c>
      <c r="I4253" s="1">
        <v>45672</v>
      </c>
      <c r="J4253" s="1" t="s">
        <v>286</v>
      </c>
      <c r="K4253" s="3">
        <v>7000</v>
      </c>
    </row>
    <row r="4254" spans="1:11">
      <c r="A4254" s="1">
        <v>45664</v>
      </c>
      <c r="B4254" t="s">
        <v>1974</v>
      </c>
      <c r="C4254">
        <v>1.9750000000000001</v>
      </c>
      <c r="I4254" s="1">
        <v>45672</v>
      </c>
      <c r="J4254" s="1" t="s">
        <v>287</v>
      </c>
      <c r="K4254" s="3">
        <v>65999.88</v>
      </c>
    </row>
    <row r="4255" spans="1:11">
      <c r="A4255" s="1">
        <v>45664</v>
      </c>
      <c r="B4255" t="s">
        <v>1975</v>
      </c>
      <c r="C4255">
        <v>2.008</v>
      </c>
      <c r="I4255" s="1">
        <v>45672</v>
      </c>
      <c r="J4255" s="1" t="s">
        <v>288</v>
      </c>
      <c r="K4255" s="3">
        <v>-65999.88</v>
      </c>
    </row>
    <row r="4256" spans="1:11">
      <c r="A4256" s="1">
        <v>45664</v>
      </c>
      <c r="B4256" t="s">
        <v>1976</v>
      </c>
      <c r="C4256">
        <v>2.0289999999999999</v>
      </c>
      <c r="I4256" s="1">
        <v>45672</v>
      </c>
      <c r="J4256" s="1" t="s">
        <v>289</v>
      </c>
      <c r="K4256" s="3">
        <v>6</v>
      </c>
    </row>
    <row r="4257" spans="1:11">
      <c r="A4257" s="1">
        <v>45664</v>
      </c>
      <c r="B4257" t="s">
        <v>1977</v>
      </c>
      <c r="C4257">
        <v>2.1680000000000001</v>
      </c>
      <c r="I4257" s="1">
        <v>45672</v>
      </c>
      <c r="J4257" s="1" t="s">
        <v>290</v>
      </c>
      <c r="K4257" s="3">
        <v>6</v>
      </c>
    </row>
    <row r="4258" spans="1:11">
      <c r="A4258" s="1">
        <v>45664</v>
      </c>
      <c r="B4258" t="s">
        <v>1978</v>
      </c>
      <c r="C4258">
        <v>2.306</v>
      </c>
      <c r="I4258" s="1">
        <v>45671</v>
      </c>
      <c r="J4258" s="1" t="s">
        <v>282</v>
      </c>
      <c r="K4258" s="3">
        <v>8000</v>
      </c>
    </row>
    <row r="4259" spans="1:11">
      <c r="A4259" s="1">
        <v>45664</v>
      </c>
      <c r="B4259" t="s">
        <v>1979</v>
      </c>
      <c r="C4259">
        <v>2.5640000000000001</v>
      </c>
      <c r="I4259" s="1">
        <v>45671</v>
      </c>
      <c r="J4259" s="1" t="s">
        <v>283</v>
      </c>
      <c r="K4259" s="3">
        <v>7</v>
      </c>
    </row>
    <row r="4260" spans="1:11">
      <c r="A4260" s="1">
        <v>45664</v>
      </c>
      <c r="B4260" t="s">
        <v>1980</v>
      </c>
      <c r="C4260">
        <v>2.9820000000000002</v>
      </c>
      <c r="I4260" s="1">
        <v>45671</v>
      </c>
      <c r="J4260" s="1" t="s">
        <v>284</v>
      </c>
      <c r="K4260" s="3">
        <v>8000</v>
      </c>
    </row>
    <row r="4261" spans="1:11">
      <c r="A4261" s="1">
        <v>45664</v>
      </c>
      <c r="B4261" t="s">
        <v>1981</v>
      </c>
      <c r="C4261">
        <v>3.1549999999999998</v>
      </c>
      <c r="I4261" s="1">
        <v>45671</v>
      </c>
      <c r="J4261" s="1" t="s">
        <v>285</v>
      </c>
      <c r="K4261" s="3">
        <v>4</v>
      </c>
    </row>
    <row r="4262" spans="1:11">
      <c r="A4262" s="1">
        <v>45664</v>
      </c>
      <c r="B4262" t="s">
        <v>1982</v>
      </c>
      <c r="C4262">
        <v>3.1789999999999998</v>
      </c>
      <c r="I4262" s="1">
        <v>45671</v>
      </c>
      <c r="J4262" s="1" t="s">
        <v>286</v>
      </c>
      <c r="K4262" s="3">
        <v>5000</v>
      </c>
    </row>
    <row r="4263" spans="1:11">
      <c r="A4263" s="1">
        <v>45664</v>
      </c>
      <c r="B4263" t="s">
        <v>1983</v>
      </c>
      <c r="C4263">
        <v>3.2789999999999999</v>
      </c>
      <c r="I4263" s="1">
        <v>45671</v>
      </c>
      <c r="J4263" s="1" t="s">
        <v>287</v>
      </c>
      <c r="K4263" s="3">
        <v>67999.88</v>
      </c>
    </row>
    <row r="4264" spans="1:11">
      <c r="A4264" s="1">
        <v>45663</v>
      </c>
      <c r="B4264" t="s">
        <v>1974</v>
      </c>
      <c r="C4264">
        <v>1.9750000000000001</v>
      </c>
      <c r="I4264" s="1">
        <v>45671</v>
      </c>
      <c r="J4264" s="1" t="s">
        <v>288</v>
      </c>
      <c r="K4264" s="3">
        <v>-67999.88</v>
      </c>
    </row>
    <row r="4265" spans="1:11">
      <c r="A4265" s="1">
        <v>45663</v>
      </c>
      <c r="B4265" t="s">
        <v>1975</v>
      </c>
      <c r="C4265">
        <v>2.004</v>
      </c>
      <c r="I4265" s="1">
        <v>45671</v>
      </c>
      <c r="J4265" s="1" t="s">
        <v>289</v>
      </c>
      <c r="K4265" s="3">
        <v>7</v>
      </c>
    </row>
    <row r="4266" spans="1:11">
      <c r="A4266" s="1">
        <v>45663</v>
      </c>
      <c r="B4266" t="s">
        <v>1976</v>
      </c>
      <c r="C4266">
        <v>2.0289999999999999</v>
      </c>
      <c r="I4266" s="1">
        <v>45671</v>
      </c>
      <c r="J4266" s="1" t="s">
        <v>290</v>
      </c>
      <c r="K4266" s="3">
        <v>7</v>
      </c>
    </row>
    <row r="4267" spans="1:11">
      <c r="A4267" s="1">
        <v>45663</v>
      </c>
      <c r="B4267" t="s">
        <v>1977</v>
      </c>
      <c r="C4267">
        <v>2.1619999999999999</v>
      </c>
      <c r="I4267" s="1">
        <v>45671</v>
      </c>
      <c r="J4267" s="1" t="s">
        <v>107</v>
      </c>
      <c r="K4267" s="3">
        <v>5190375594388</v>
      </c>
    </row>
    <row r="4268" spans="1:11">
      <c r="A4268" s="1">
        <v>45663</v>
      </c>
      <c r="B4268" t="s">
        <v>1978</v>
      </c>
      <c r="C4268">
        <v>2.2949999999999999</v>
      </c>
      <c r="I4268" s="1">
        <v>45670</v>
      </c>
      <c r="J4268" s="1" t="s">
        <v>107</v>
      </c>
      <c r="K4268" s="3">
        <v>5341595480258</v>
      </c>
    </row>
    <row r="4269" spans="1:11">
      <c r="A4269" s="1">
        <v>45663</v>
      </c>
      <c r="B4269" t="s">
        <v>1979</v>
      </c>
      <c r="C4269">
        <v>2.552</v>
      </c>
      <c r="I4269" s="1">
        <v>45670</v>
      </c>
      <c r="J4269" s="1" t="s">
        <v>282</v>
      </c>
      <c r="K4269" s="3">
        <v>15000</v>
      </c>
    </row>
    <row r="4270" spans="1:11">
      <c r="A4270" s="1">
        <v>45663</v>
      </c>
      <c r="B4270" t="s">
        <v>1980</v>
      </c>
      <c r="C4270">
        <v>2.9780000000000002</v>
      </c>
      <c r="I4270" s="1">
        <v>45670</v>
      </c>
      <c r="J4270" s="1" t="s">
        <v>283</v>
      </c>
      <c r="K4270" s="3">
        <v>7</v>
      </c>
    </row>
    <row r="4271" spans="1:11">
      <c r="A4271" s="1">
        <v>45663</v>
      </c>
      <c r="B4271" t="s">
        <v>1981</v>
      </c>
      <c r="C4271">
        <v>3.1509999999999998</v>
      </c>
      <c r="I4271" s="1">
        <v>45670</v>
      </c>
      <c r="J4271" s="1" t="s">
        <v>284</v>
      </c>
      <c r="K4271" s="3">
        <v>15000</v>
      </c>
    </row>
    <row r="4272" spans="1:11">
      <c r="A4272" s="1">
        <v>45663</v>
      </c>
      <c r="B4272" t="s">
        <v>1982</v>
      </c>
      <c r="C4272">
        <v>3.1829999999999998</v>
      </c>
      <c r="I4272" s="1">
        <v>45670</v>
      </c>
      <c r="J4272" s="1" t="s">
        <v>285</v>
      </c>
      <c r="K4272" s="3">
        <v>4</v>
      </c>
    </row>
    <row r="4273" spans="1:11">
      <c r="A4273" s="1">
        <v>45663</v>
      </c>
      <c r="B4273" t="s">
        <v>1983</v>
      </c>
      <c r="C4273">
        <v>3.2789999999999999</v>
      </c>
      <c r="I4273" s="1">
        <v>45670</v>
      </c>
      <c r="J4273" s="1" t="s">
        <v>286</v>
      </c>
      <c r="K4273" s="3">
        <v>5000</v>
      </c>
    </row>
    <row r="4274" spans="1:11">
      <c r="A4274" s="1">
        <v>45660</v>
      </c>
      <c r="B4274" t="s">
        <v>1974</v>
      </c>
      <c r="C4274">
        <v>1.9750000000000001</v>
      </c>
      <c r="I4274" s="1">
        <v>45670</v>
      </c>
      <c r="J4274" s="1" t="s">
        <v>287</v>
      </c>
      <c r="K4274" s="3">
        <v>64999.88</v>
      </c>
    </row>
    <row r="4275" spans="1:11">
      <c r="A4275" s="1">
        <v>45660</v>
      </c>
      <c r="B4275" t="s">
        <v>1975</v>
      </c>
      <c r="C4275">
        <v>2</v>
      </c>
      <c r="I4275" s="1">
        <v>45670</v>
      </c>
      <c r="J4275" s="1" t="s">
        <v>288</v>
      </c>
      <c r="K4275" s="3">
        <v>-64999.88</v>
      </c>
    </row>
    <row r="4276" spans="1:11">
      <c r="A4276" s="1">
        <v>45660</v>
      </c>
      <c r="B4276" t="s">
        <v>1976</v>
      </c>
      <c r="C4276">
        <v>2.0289999999999999</v>
      </c>
      <c r="I4276" s="1">
        <v>45670</v>
      </c>
      <c r="J4276" s="1" t="s">
        <v>289</v>
      </c>
      <c r="K4276" s="3">
        <v>11</v>
      </c>
    </row>
    <row r="4277" spans="1:11">
      <c r="A4277" s="1">
        <v>45660</v>
      </c>
      <c r="B4277" t="s">
        <v>1977</v>
      </c>
      <c r="C4277">
        <v>2.1629999999999998</v>
      </c>
      <c r="I4277" s="1">
        <v>45670</v>
      </c>
      <c r="J4277" s="1" t="s">
        <v>290</v>
      </c>
      <c r="K4277" s="3">
        <v>11</v>
      </c>
    </row>
    <row r="4278" spans="1:11">
      <c r="A4278" s="1">
        <v>45660</v>
      </c>
      <c r="B4278" t="s">
        <v>1978</v>
      </c>
      <c r="C4278">
        <v>2.2970000000000002</v>
      </c>
      <c r="I4278" s="1">
        <v>45669</v>
      </c>
      <c r="J4278" s="1" t="s">
        <v>107</v>
      </c>
      <c r="K4278" s="3">
        <v>5306472098600</v>
      </c>
    </row>
    <row r="4279" spans="1:11">
      <c r="A4279" s="1">
        <v>45660</v>
      </c>
      <c r="B4279" t="s">
        <v>1979</v>
      </c>
      <c r="C4279">
        <v>2.5390000000000001</v>
      </c>
      <c r="I4279" s="1">
        <v>45667</v>
      </c>
      <c r="J4279" s="1" t="s">
        <v>282</v>
      </c>
      <c r="K4279" s="3">
        <v>25000</v>
      </c>
    </row>
    <row r="4280" spans="1:11">
      <c r="A4280" s="1">
        <v>45660</v>
      </c>
      <c r="B4280" t="s">
        <v>1980</v>
      </c>
      <c r="C4280">
        <v>2.9790000000000001</v>
      </c>
      <c r="I4280" s="1">
        <v>45667</v>
      </c>
      <c r="J4280" s="1" t="s">
        <v>283</v>
      </c>
      <c r="K4280" s="3">
        <v>7</v>
      </c>
    </row>
    <row r="4281" spans="1:11">
      <c r="A4281" s="1">
        <v>45660</v>
      </c>
      <c r="B4281" t="s">
        <v>1981</v>
      </c>
      <c r="C4281">
        <v>3.1440000000000001</v>
      </c>
      <c r="I4281" s="1">
        <v>45667</v>
      </c>
      <c r="J4281" s="1" t="s">
        <v>284</v>
      </c>
      <c r="K4281" s="3">
        <v>24999.9</v>
      </c>
    </row>
    <row r="4282" spans="1:11">
      <c r="A4282" s="1">
        <v>45660</v>
      </c>
      <c r="B4282" t="s">
        <v>1982</v>
      </c>
      <c r="C4282">
        <v>3.1749999999999998</v>
      </c>
      <c r="I4282" s="1">
        <v>45667</v>
      </c>
      <c r="J4282" s="1" t="s">
        <v>285</v>
      </c>
      <c r="K4282" s="3">
        <v>4</v>
      </c>
    </row>
    <row r="4283" spans="1:11">
      <c r="A4283" s="1">
        <v>45660</v>
      </c>
      <c r="B4283" t="s">
        <v>1983</v>
      </c>
      <c r="C4283">
        <v>3.2789999999999999</v>
      </c>
      <c r="I4283" s="1">
        <v>45667</v>
      </c>
      <c r="J4283" s="1" t="s">
        <v>286</v>
      </c>
      <c r="K4283" s="3">
        <v>6000</v>
      </c>
    </row>
    <row r="4284" spans="1:11">
      <c r="A4284" s="1">
        <v>45659</v>
      </c>
      <c r="B4284" t="s">
        <v>1974</v>
      </c>
      <c r="C4284">
        <v>1.9750000000000001</v>
      </c>
      <c r="I4284" s="1">
        <v>45667</v>
      </c>
      <c r="J4284" s="1" t="s">
        <v>287</v>
      </c>
      <c r="K4284" s="3">
        <v>54999.88</v>
      </c>
    </row>
    <row r="4285" spans="1:11">
      <c r="A4285" s="1">
        <v>45659</v>
      </c>
      <c r="B4285" t="s">
        <v>1975</v>
      </c>
      <c r="C4285">
        <v>1.992</v>
      </c>
      <c r="I4285" s="1">
        <v>45667</v>
      </c>
      <c r="J4285" s="1" t="s">
        <v>288</v>
      </c>
      <c r="K4285" s="3">
        <v>-54999.88</v>
      </c>
    </row>
    <row r="4286" spans="1:11">
      <c r="A4286" s="1">
        <v>45659</v>
      </c>
      <c r="B4286" t="s">
        <v>1976</v>
      </c>
      <c r="C4286">
        <v>2.0289999999999999</v>
      </c>
      <c r="I4286" s="1">
        <v>45667</v>
      </c>
      <c r="J4286" s="1" t="s">
        <v>289</v>
      </c>
      <c r="K4286" s="3">
        <v>13</v>
      </c>
    </row>
    <row r="4287" spans="1:11">
      <c r="A4287" s="1">
        <v>45659</v>
      </c>
      <c r="B4287" t="s">
        <v>1977</v>
      </c>
      <c r="C4287">
        <v>2.16</v>
      </c>
      <c r="I4287" s="1">
        <v>45667</v>
      </c>
      <c r="J4287" s="1" t="s">
        <v>290</v>
      </c>
      <c r="K4287" s="3">
        <v>13</v>
      </c>
    </row>
    <row r="4288" spans="1:11">
      <c r="A4288" s="1">
        <v>45659</v>
      </c>
      <c r="B4288" t="s">
        <v>1978</v>
      </c>
      <c r="C4288">
        <v>2.2919999999999998</v>
      </c>
      <c r="I4288" s="1">
        <v>45666</v>
      </c>
      <c r="J4288" s="1" t="s">
        <v>282</v>
      </c>
      <c r="K4288" s="3">
        <v>13000</v>
      </c>
    </row>
    <row r="4289" spans="1:11">
      <c r="A4289" s="1">
        <v>45659</v>
      </c>
      <c r="B4289" t="s">
        <v>1979</v>
      </c>
      <c r="C4289">
        <v>2.5369999999999999</v>
      </c>
      <c r="I4289" s="1">
        <v>45666</v>
      </c>
      <c r="J4289" s="1" t="s">
        <v>283</v>
      </c>
      <c r="K4289" s="3">
        <v>7</v>
      </c>
    </row>
    <row r="4290" spans="1:11">
      <c r="A4290" s="1">
        <v>45659</v>
      </c>
      <c r="B4290" t="s">
        <v>1980</v>
      </c>
      <c r="C4290">
        <v>2.984</v>
      </c>
      <c r="I4290" s="1">
        <v>45666</v>
      </c>
      <c r="J4290" s="1" t="s">
        <v>284</v>
      </c>
      <c r="K4290" s="3">
        <v>12999.98</v>
      </c>
    </row>
    <row r="4291" spans="1:11">
      <c r="A4291" s="1">
        <v>45659</v>
      </c>
      <c r="B4291" t="s">
        <v>1981</v>
      </c>
      <c r="C4291">
        <v>3.1309999999999998</v>
      </c>
      <c r="I4291" s="1">
        <v>45666</v>
      </c>
      <c r="J4291" s="1" t="s">
        <v>285</v>
      </c>
      <c r="K4291" s="3">
        <v>4</v>
      </c>
    </row>
    <row r="4292" spans="1:11">
      <c r="A4292" s="1">
        <v>45659</v>
      </c>
      <c r="B4292" t="s">
        <v>1982</v>
      </c>
      <c r="C4292">
        <v>3.1749999999999998</v>
      </c>
      <c r="I4292" s="1">
        <v>45666</v>
      </c>
      <c r="J4292" s="1" t="s">
        <v>286</v>
      </c>
      <c r="K4292" s="3">
        <v>15997.19</v>
      </c>
    </row>
    <row r="4293" spans="1:11">
      <c r="A4293" s="1">
        <v>45659</v>
      </c>
      <c r="B4293" t="s">
        <v>1983</v>
      </c>
      <c r="C4293">
        <v>3.2669999999999999</v>
      </c>
      <c r="I4293" s="1">
        <v>45666</v>
      </c>
      <c r="J4293" s="1" t="s">
        <v>287</v>
      </c>
      <c r="K4293" s="3">
        <v>35999.980000000003</v>
      </c>
    </row>
    <row r="4294" spans="1:11">
      <c r="A4294" s="1">
        <v>45657</v>
      </c>
      <c r="B4294" t="s">
        <v>1974</v>
      </c>
      <c r="C4294">
        <v>1.9710000000000001</v>
      </c>
      <c r="I4294" s="1">
        <v>45666</v>
      </c>
      <c r="J4294" s="1" t="s">
        <v>288</v>
      </c>
      <c r="K4294" s="3">
        <v>-35999.980000000003</v>
      </c>
    </row>
    <row r="4295" spans="1:11">
      <c r="A4295" s="1">
        <v>45657</v>
      </c>
      <c r="B4295" t="s">
        <v>1975</v>
      </c>
      <c r="C4295">
        <v>1.988</v>
      </c>
      <c r="I4295" s="1">
        <v>45666</v>
      </c>
      <c r="J4295" s="1" t="s">
        <v>289</v>
      </c>
      <c r="K4295" s="3">
        <v>14</v>
      </c>
    </row>
    <row r="4296" spans="1:11">
      <c r="A4296" s="1">
        <v>45657</v>
      </c>
      <c r="B4296" t="s">
        <v>1976</v>
      </c>
      <c r="C4296">
        <v>2.0249999999999999</v>
      </c>
      <c r="I4296" s="1">
        <v>45666</v>
      </c>
      <c r="J4296" s="1" t="s">
        <v>290</v>
      </c>
      <c r="K4296" s="3">
        <v>14</v>
      </c>
    </row>
    <row r="4297" spans="1:11">
      <c r="A4297" s="1">
        <v>45657</v>
      </c>
      <c r="B4297" t="s">
        <v>1977</v>
      </c>
      <c r="C4297">
        <v>2.1579999999999999</v>
      </c>
      <c r="I4297" s="1">
        <v>45666</v>
      </c>
      <c r="J4297" s="1" t="s">
        <v>107</v>
      </c>
      <c r="K4297" s="3">
        <v>4854525440819</v>
      </c>
    </row>
    <row r="4298" spans="1:11">
      <c r="A4298" s="1">
        <v>45657</v>
      </c>
      <c r="B4298" t="s">
        <v>1978</v>
      </c>
      <c r="C4298">
        <v>2.2909999999999999</v>
      </c>
      <c r="I4298" s="1">
        <v>45665</v>
      </c>
      <c r="J4298" s="1" t="s">
        <v>282</v>
      </c>
      <c r="K4298" s="3">
        <v>7000</v>
      </c>
    </row>
    <row r="4299" spans="1:11">
      <c r="A4299" s="1">
        <v>45657</v>
      </c>
      <c r="B4299" t="s">
        <v>1979</v>
      </c>
      <c r="C4299">
        <v>2.528</v>
      </c>
      <c r="I4299" s="1">
        <v>45665</v>
      </c>
      <c r="J4299" s="1" t="s">
        <v>283</v>
      </c>
      <c r="K4299" s="3">
        <v>7</v>
      </c>
    </row>
    <row r="4300" spans="1:11">
      <c r="A4300" s="1">
        <v>45657</v>
      </c>
      <c r="B4300" t="s">
        <v>1980</v>
      </c>
      <c r="C4300">
        <v>2.9689999999999999</v>
      </c>
      <c r="I4300" s="1">
        <v>45665</v>
      </c>
      <c r="J4300" s="1" t="s">
        <v>284</v>
      </c>
      <c r="K4300" s="3">
        <v>7000</v>
      </c>
    </row>
    <row r="4301" spans="1:11">
      <c r="A4301" s="1">
        <v>45657</v>
      </c>
      <c r="B4301" t="s">
        <v>1981</v>
      </c>
      <c r="C4301">
        <v>3.1219999999999999</v>
      </c>
      <c r="I4301" s="1">
        <v>45665</v>
      </c>
      <c r="J4301" s="1" t="s">
        <v>285</v>
      </c>
      <c r="K4301" s="3">
        <v>4</v>
      </c>
    </row>
    <row r="4302" spans="1:11">
      <c r="A4302" s="1">
        <v>45657</v>
      </c>
      <c r="B4302" t="s">
        <v>1982</v>
      </c>
      <c r="C4302">
        <v>3.1749999999999998</v>
      </c>
      <c r="I4302" s="1">
        <v>45665</v>
      </c>
      <c r="J4302" s="1" t="s">
        <v>286</v>
      </c>
      <c r="K4302" s="3">
        <v>14999.99</v>
      </c>
    </row>
    <row r="4303" spans="1:11">
      <c r="A4303" s="1">
        <v>45657</v>
      </c>
      <c r="B4303" t="s">
        <v>1983</v>
      </c>
      <c r="C4303">
        <v>3.2669999999999999</v>
      </c>
      <c r="I4303" s="1">
        <v>45665</v>
      </c>
      <c r="J4303" s="1" t="s">
        <v>287</v>
      </c>
      <c r="K4303" s="3">
        <v>38997.19</v>
      </c>
    </row>
    <row r="4304" spans="1:11">
      <c r="I4304" s="1">
        <v>45665</v>
      </c>
      <c r="J4304" s="1" t="s">
        <v>288</v>
      </c>
      <c r="K4304" s="3">
        <v>-38997.19</v>
      </c>
    </row>
    <row r="4305" spans="9:11">
      <c r="I4305" s="1">
        <v>45665</v>
      </c>
      <c r="J4305" s="1" t="s">
        <v>289</v>
      </c>
      <c r="K4305" s="3">
        <v>9</v>
      </c>
    </row>
    <row r="4306" spans="9:11">
      <c r="I4306" s="1">
        <v>45665</v>
      </c>
      <c r="J4306" s="1" t="s">
        <v>290</v>
      </c>
      <c r="K4306" s="3">
        <v>9</v>
      </c>
    </row>
    <row r="4307" spans="9:11">
      <c r="I4307" s="1">
        <v>45665</v>
      </c>
      <c r="J4307" s="1" t="s">
        <v>107</v>
      </c>
      <c r="K4307" s="3">
        <v>5504843264590</v>
      </c>
    </row>
    <row r="4308" spans="9:11">
      <c r="I4308" s="1">
        <v>45664</v>
      </c>
      <c r="J4308" s="1" t="s">
        <v>282</v>
      </c>
      <c r="K4308" s="3">
        <v>5000</v>
      </c>
    </row>
    <row r="4309" spans="9:11">
      <c r="I4309" s="1">
        <v>45664</v>
      </c>
      <c r="J4309" s="1" t="s">
        <v>283</v>
      </c>
      <c r="K4309" s="3">
        <v>7</v>
      </c>
    </row>
    <row r="4310" spans="9:11">
      <c r="I4310" s="1">
        <v>45664</v>
      </c>
      <c r="J4310" s="1" t="s">
        <v>284</v>
      </c>
      <c r="K4310" s="3">
        <v>5000</v>
      </c>
    </row>
    <row r="4311" spans="9:11">
      <c r="I4311" s="1">
        <v>45664</v>
      </c>
      <c r="J4311" s="1" t="s">
        <v>285</v>
      </c>
      <c r="K4311" s="3">
        <v>4</v>
      </c>
    </row>
    <row r="4312" spans="9:11">
      <c r="I4312" s="1">
        <v>45664</v>
      </c>
      <c r="J4312" s="1" t="s">
        <v>286</v>
      </c>
      <c r="K4312" s="3">
        <v>16989</v>
      </c>
    </row>
    <row r="4313" spans="9:11">
      <c r="I4313" s="1">
        <v>45664</v>
      </c>
      <c r="J4313" s="1" t="s">
        <v>287</v>
      </c>
      <c r="K4313" s="3">
        <v>46997.18</v>
      </c>
    </row>
    <row r="4314" spans="9:11">
      <c r="I4314" s="1">
        <v>45664</v>
      </c>
      <c r="J4314" s="1" t="s">
        <v>288</v>
      </c>
      <c r="K4314" s="3">
        <v>-46997.18</v>
      </c>
    </row>
    <row r="4315" spans="9:11">
      <c r="I4315" s="1">
        <v>45664</v>
      </c>
      <c r="J4315" s="1" t="s">
        <v>289</v>
      </c>
      <c r="K4315" s="3">
        <v>5</v>
      </c>
    </row>
    <row r="4316" spans="9:11">
      <c r="I4316" s="1">
        <v>45664</v>
      </c>
      <c r="J4316" s="1" t="s">
        <v>290</v>
      </c>
      <c r="K4316" s="3">
        <v>5</v>
      </c>
    </row>
    <row r="4317" spans="9:11">
      <c r="I4317" s="1">
        <v>45664</v>
      </c>
      <c r="J4317" s="1" t="s">
        <v>107</v>
      </c>
      <c r="K4317" s="3">
        <v>5860322962536</v>
      </c>
    </row>
    <row r="4318" spans="9:11">
      <c r="I4318" s="1">
        <v>45663</v>
      </c>
      <c r="J4318" s="1" t="s">
        <v>288</v>
      </c>
      <c r="K4318" s="3">
        <v>-58986.18</v>
      </c>
    </row>
    <row r="4319" spans="9:11">
      <c r="I4319" s="1">
        <v>45663</v>
      </c>
      <c r="J4319" s="1" t="s">
        <v>289</v>
      </c>
      <c r="K4319" s="3">
        <v>5</v>
      </c>
    </row>
    <row r="4320" spans="9:11">
      <c r="I4320" s="1">
        <v>45663</v>
      </c>
      <c r="J4320" s="1" t="s">
        <v>290</v>
      </c>
      <c r="K4320" s="3">
        <v>5</v>
      </c>
    </row>
    <row r="4321" spans="9:11">
      <c r="I4321" s="1">
        <v>45663</v>
      </c>
      <c r="J4321" s="1" t="s">
        <v>107</v>
      </c>
      <c r="K4321" s="3">
        <v>6556271590318</v>
      </c>
    </row>
    <row r="4322" spans="9:11">
      <c r="I4322" s="1">
        <v>45663</v>
      </c>
      <c r="J4322" s="1" t="s">
        <v>282</v>
      </c>
      <c r="K4322" s="3">
        <v>5000</v>
      </c>
    </row>
    <row r="4323" spans="9:11">
      <c r="I4323" s="1">
        <v>45663</v>
      </c>
      <c r="J4323" s="1" t="s">
        <v>283</v>
      </c>
      <c r="K4323" s="3">
        <v>7</v>
      </c>
    </row>
    <row r="4324" spans="9:11">
      <c r="I4324" s="1">
        <v>45663</v>
      </c>
      <c r="J4324" s="1" t="s">
        <v>284</v>
      </c>
      <c r="K4324" s="3">
        <v>5000</v>
      </c>
    </row>
    <row r="4325" spans="9:11">
      <c r="I4325" s="1">
        <v>45663</v>
      </c>
      <c r="J4325" s="1" t="s">
        <v>285</v>
      </c>
      <c r="K4325" s="3">
        <v>4</v>
      </c>
    </row>
    <row r="4326" spans="9:11">
      <c r="I4326" s="1">
        <v>45663</v>
      </c>
      <c r="J4326" s="1" t="s">
        <v>286</v>
      </c>
      <c r="K4326" s="3">
        <v>15000</v>
      </c>
    </row>
    <row r="4327" spans="9:11">
      <c r="I4327" s="1">
        <v>45663</v>
      </c>
      <c r="J4327" s="1" t="s">
        <v>287</v>
      </c>
      <c r="K4327" s="3">
        <v>58986.18</v>
      </c>
    </row>
    <row r="4328" spans="9:11">
      <c r="I4328" s="1">
        <v>45662</v>
      </c>
      <c r="J4328" s="1" t="s">
        <v>107</v>
      </c>
      <c r="K4328" s="3">
        <v>7505192104005</v>
      </c>
    </row>
    <row r="4329" spans="9:11">
      <c r="I4329" s="1">
        <v>45660</v>
      </c>
      <c r="J4329" s="1" t="s">
        <v>282</v>
      </c>
      <c r="K4329" s="3">
        <v>1000</v>
      </c>
    </row>
    <row r="4330" spans="9:11">
      <c r="I4330" s="1">
        <v>45660</v>
      </c>
      <c r="J4330" s="1" t="s">
        <v>283</v>
      </c>
      <c r="K4330" s="3">
        <v>7</v>
      </c>
    </row>
    <row r="4331" spans="9:11">
      <c r="I4331" s="1">
        <v>45660</v>
      </c>
      <c r="J4331" s="1" t="s">
        <v>284</v>
      </c>
      <c r="K4331" s="3">
        <v>1000</v>
      </c>
    </row>
    <row r="4332" spans="9:11">
      <c r="I4332" s="1">
        <v>45660</v>
      </c>
      <c r="J4332" s="1" t="s">
        <v>285</v>
      </c>
      <c r="K4332" s="3">
        <v>4</v>
      </c>
    </row>
    <row r="4333" spans="9:11">
      <c r="I4333" s="1">
        <v>45660</v>
      </c>
      <c r="J4333" s="1" t="s">
        <v>286</v>
      </c>
      <c r="K4333" s="3">
        <v>10000</v>
      </c>
    </row>
    <row r="4334" spans="9:11">
      <c r="I4334" s="1">
        <v>45660</v>
      </c>
      <c r="J4334" s="1" t="s">
        <v>287</v>
      </c>
      <c r="K4334" s="3">
        <v>68986.179999999993</v>
      </c>
    </row>
    <row r="4335" spans="9:11">
      <c r="I4335" s="1">
        <v>45660</v>
      </c>
      <c r="J4335" s="1" t="s">
        <v>288</v>
      </c>
      <c r="K4335" s="3">
        <v>-68986.179999999993</v>
      </c>
    </row>
    <row r="4336" spans="9:11">
      <c r="I4336" s="1">
        <v>45660</v>
      </c>
      <c r="J4336" s="1" t="s">
        <v>289</v>
      </c>
      <c r="K4336" s="3">
        <v>3</v>
      </c>
    </row>
    <row r="4337" spans="9:11">
      <c r="I4337" s="1">
        <v>45660</v>
      </c>
      <c r="J4337" s="1" t="s">
        <v>290</v>
      </c>
      <c r="K4337" s="3">
        <v>3</v>
      </c>
    </row>
    <row r="4338" spans="9:11">
      <c r="I4338" s="1">
        <v>45659</v>
      </c>
      <c r="J4338" s="1" t="s">
        <v>107</v>
      </c>
      <c r="K4338" s="3">
        <v>8194415088942</v>
      </c>
    </row>
    <row r="4339" spans="9:11">
      <c r="I4339" s="1">
        <v>45659</v>
      </c>
      <c r="J4339" s="1" t="s">
        <v>282</v>
      </c>
      <c r="K4339" s="3">
        <v>1000</v>
      </c>
    </row>
    <row r="4340" spans="9:11">
      <c r="I4340" s="1">
        <v>45659</v>
      </c>
      <c r="J4340" s="1" t="s">
        <v>283</v>
      </c>
      <c r="K4340" s="3">
        <v>7</v>
      </c>
    </row>
    <row r="4341" spans="9:11">
      <c r="I4341" s="1">
        <v>45659</v>
      </c>
      <c r="J4341" s="1" t="s">
        <v>284</v>
      </c>
      <c r="K4341" s="3">
        <v>997.2</v>
      </c>
    </row>
    <row r="4342" spans="9:11">
      <c r="I4342" s="1">
        <v>45659</v>
      </c>
      <c r="J4342" s="1" t="s">
        <v>285</v>
      </c>
      <c r="K4342" s="3">
        <v>4</v>
      </c>
    </row>
    <row r="4343" spans="9:11">
      <c r="I4343" s="1">
        <v>45659</v>
      </c>
      <c r="J4343" s="1" t="s">
        <v>286</v>
      </c>
      <c r="K4343" s="3">
        <v>0</v>
      </c>
    </row>
    <row r="4344" spans="9:11">
      <c r="I4344" s="1">
        <v>45659</v>
      </c>
      <c r="J4344" s="1" t="s">
        <v>287</v>
      </c>
      <c r="K4344" s="3">
        <v>77986.179999999993</v>
      </c>
    </row>
    <row r="4345" spans="9:11">
      <c r="I4345" s="1">
        <v>45659</v>
      </c>
      <c r="J4345" s="1" t="s">
        <v>288</v>
      </c>
      <c r="K4345" s="3">
        <v>-72986.179999999993</v>
      </c>
    </row>
    <row r="4346" spans="9:11">
      <c r="I4346" s="1">
        <v>45659</v>
      </c>
      <c r="J4346" s="1" t="s">
        <v>289</v>
      </c>
      <c r="K4346" s="3">
        <v>1</v>
      </c>
    </row>
    <row r="4347" spans="9:11">
      <c r="I4347" s="1">
        <v>45659</v>
      </c>
      <c r="J4347" s="1" t="s">
        <v>290</v>
      </c>
      <c r="K4347" s="3">
        <v>1</v>
      </c>
    </row>
    <row r="4348" spans="9:11">
      <c r="I4348" s="1">
        <v>45658</v>
      </c>
      <c r="J4348" s="1" t="s">
        <v>107</v>
      </c>
      <c r="K4348" s="3">
        <v>8194415088942</v>
      </c>
    </row>
    <row r="4349" spans="9:11">
      <c r="I4349" s="1">
        <v>45657</v>
      </c>
      <c r="J4349" s="1" t="s">
        <v>282</v>
      </c>
      <c r="K4349" s="3">
        <v>2000</v>
      </c>
    </row>
    <row r="4350" spans="9:11">
      <c r="I4350" s="1">
        <v>45657</v>
      </c>
      <c r="J4350" s="1" t="s">
        <v>283</v>
      </c>
      <c r="K4350" s="3">
        <v>7</v>
      </c>
    </row>
    <row r="4351" spans="9:11">
      <c r="I4351" s="1">
        <v>45657</v>
      </c>
      <c r="J4351" s="1" t="s">
        <v>284</v>
      </c>
      <c r="K4351" s="3">
        <v>1989.01</v>
      </c>
    </row>
    <row r="4352" spans="9:11">
      <c r="I4352" s="1">
        <v>45657</v>
      </c>
      <c r="J4352" s="1" t="s">
        <v>285</v>
      </c>
      <c r="K4352" s="3">
        <v>4</v>
      </c>
    </row>
    <row r="4353" spans="9:11">
      <c r="I4353" s="1">
        <v>45657</v>
      </c>
      <c r="J4353" s="1" t="s">
        <v>286</v>
      </c>
      <c r="K4353" s="3">
        <v>0</v>
      </c>
    </row>
    <row r="4354" spans="9:11">
      <c r="I4354" s="1">
        <v>45657</v>
      </c>
      <c r="J4354" s="1" t="s">
        <v>287</v>
      </c>
      <c r="K4354" s="3">
        <v>76988.98</v>
      </c>
    </row>
    <row r="4355" spans="9:11">
      <c r="I4355" s="1">
        <v>45657</v>
      </c>
      <c r="J4355" s="1" t="s">
        <v>288</v>
      </c>
      <c r="K4355" s="3">
        <v>-41989</v>
      </c>
    </row>
    <row r="4356" spans="9:11">
      <c r="I4356" s="1">
        <v>45657</v>
      </c>
      <c r="J4356" s="1" t="s">
        <v>289</v>
      </c>
      <c r="K4356" s="3">
        <v>3</v>
      </c>
    </row>
    <row r="4357" spans="9:11">
      <c r="I4357" s="1">
        <v>45657</v>
      </c>
      <c r="J4357" s="1" t="s">
        <v>290</v>
      </c>
      <c r="K4357" s="3">
        <v>3</v>
      </c>
    </row>
    <row r="4358" spans="9:11">
      <c r="I4358" s="1">
        <v>45657</v>
      </c>
      <c r="J4358" s="1" t="s">
        <v>107</v>
      </c>
      <c r="K4358" s="3">
        <v>8194415088942</v>
      </c>
    </row>
    <row r="4359" spans="9:11">
      <c r="I4359" s="1"/>
      <c r="J4359" s="1"/>
      <c r="K4359" s="3"/>
    </row>
    <row r="4360" spans="9:11">
      <c r="I4360" s="1"/>
      <c r="J4360" s="1"/>
      <c r="K4360" s="3"/>
    </row>
    <row r="4361" spans="9:11">
      <c r="I4361" s="1"/>
      <c r="J4361" s="1"/>
      <c r="K4361" s="3"/>
    </row>
    <row r="4362" spans="9:11">
      <c r="I4362" s="1"/>
      <c r="J4362" s="1"/>
      <c r="K4362" s="3"/>
    </row>
    <row r="4363" spans="9:11">
      <c r="I4363" s="1"/>
      <c r="J4363" s="1"/>
      <c r="K4363" s="3"/>
    </row>
    <row r="4364" spans="9:11">
      <c r="I4364" s="1"/>
      <c r="J4364" s="1"/>
      <c r="K4364" s="3"/>
    </row>
    <row r="4365" spans="9:11">
      <c r="I4365" s="1"/>
      <c r="J4365" s="1"/>
      <c r="K4365" s="3"/>
    </row>
    <row r="4366" spans="9:11">
      <c r="I4366" s="1"/>
      <c r="J4366" s="1"/>
      <c r="K4366" s="3"/>
    </row>
    <row r="4367" spans="9:11">
      <c r="I4367" s="1"/>
      <c r="J4367" s="1"/>
      <c r="K4367" s="3"/>
    </row>
    <row r="4368" spans="9:11">
      <c r="I4368" s="1"/>
      <c r="J4368" s="1"/>
      <c r="K4368" s="3"/>
    </row>
    <row r="4369" spans="9:11">
      <c r="I4369" s="1"/>
      <c r="J4369" s="1"/>
      <c r="K4369" s="3"/>
    </row>
    <row r="4370" spans="9:11">
      <c r="I4370" s="1"/>
      <c r="J4370" s="1"/>
      <c r="K4370" s="3"/>
    </row>
    <row r="4371" spans="9:11">
      <c r="I4371" s="1"/>
      <c r="J4371" s="1"/>
      <c r="K4371" s="3"/>
    </row>
    <row r="4372" spans="9:11">
      <c r="I4372" s="1"/>
      <c r="J4372" s="1"/>
      <c r="K4372" s="3"/>
    </row>
    <row r="4373" spans="9:11">
      <c r="I4373" s="1"/>
      <c r="J4373" s="1"/>
      <c r="K4373" s="3"/>
    </row>
    <row r="4374" spans="9:11">
      <c r="I4374" s="1"/>
      <c r="J4374" s="1"/>
      <c r="K4374" s="3"/>
    </row>
    <row r="4375" spans="9:11">
      <c r="I4375" s="1"/>
      <c r="J4375" s="1"/>
      <c r="K4375" s="3"/>
    </row>
    <row r="4376" spans="9:11">
      <c r="I4376" s="1"/>
      <c r="J4376" s="1"/>
      <c r="K4376" s="3"/>
    </row>
    <row r="4377" spans="9:11">
      <c r="I4377" s="1"/>
      <c r="J4377" s="1"/>
      <c r="K4377" s="3"/>
    </row>
    <row r="4378" spans="9:11">
      <c r="I4378" s="1"/>
      <c r="J4378" s="1"/>
      <c r="K4378" s="3"/>
    </row>
    <row r="4379" spans="9:11">
      <c r="I4379" s="1"/>
      <c r="J4379" s="1"/>
      <c r="K4379" s="3"/>
    </row>
    <row r="4380" spans="9:11">
      <c r="I4380" s="1"/>
      <c r="J4380" s="1"/>
      <c r="K4380" s="3"/>
    </row>
    <row r="4381" spans="9:11">
      <c r="I4381" s="1"/>
      <c r="J4381" s="1"/>
      <c r="K4381" s="3"/>
    </row>
    <row r="4382" spans="9:11">
      <c r="I4382" s="1"/>
      <c r="J4382" s="1"/>
      <c r="K4382" s="3"/>
    </row>
    <row r="4383" spans="9:11">
      <c r="I4383" s="1"/>
      <c r="J4383" s="1"/>
      <c r="K4383" s="3"/>
    </row>
    <row r="4384" spans="9:11">
      <c r="I4384" s="1"/>
      <c r="J4384" s="1"/>
      <c r="K4384" s="3"/>
    </row>
    <row r="4385" spans="9:11">
      <c r="I4385" s="1"/>
      <c r="J4385" s="1"/>
      <c r="K4385" s="3"/>
    </row>
    <row r="4386" spans="9:11">
      <c r="I4386" s="1"/>
      <c r="J4386" s="1"/>
      <c r="K4386" s="3"/>
    </row>
    <row r="4387" spans="9:11">
      <c r="I4387" s="1"/>
      <c r="J4387" s="1"/>
      <c r="K4387" s="3"/>
    </row>
    <row r="4388" spans="9:11">
      <c r="I4388" s="1"/>
      <c r="J4388" s="1"/>
      <c r="K4388" s="3"/>
    </row>
    <row r="4389" spans="9:11">
      <c r="I4389" s="1"/>
      <c r="J4389" s="1"/>
      <c r="K4389" s="3"/>
    </row>
    <row r="4390" spans="9:11">
      <c r="I4390" s="1"/>
      <c r="J4390" s="1"/>
      <c r="K4390" s="3"/>
    </row>
    <row r="4391" spans="9:11">
      <c r="I4391" s="1"/>
      <c r="J4391" s="1"/>
      <c r="K4391" s="3"/>
    </row>
    <row r="4392" spans="9:11">
      <c r="I4392" s="1"/>
      <c r="J4392" s="1"/>
      <c r="K4392" s="3"/>
    </row>
    <row r="4393" spans="9:11">
      <c r="I4393" s="1"/>
      <c r="J4393" s="1"/>
      <c r="K4393" s="3"/>
    </row>
    <row r="4394" spans="9:11">
      <c r="I4394" s="1"/>
      <c r="J4394" s="1"/>
      <c r="K4394" s="3"/>
    </row>
    <row r="4395" spans="9:11">
      <c r="I4395" s="1"/>
      <c r="J4395" s="1"/>
      <c r="K4395" s="3"/>
    </row>
    <row r="4396" spans="9:11">
      <c r="I4396" s="1"/>
      <c r="J4396" s="1"/>
      <c r="K4396" s="3"/>
    </row>
    <row r="4397" spans="9:11">
      <c r="I4397" s="1"/>
      <c r="J4397" s="1"/>
      <c r="K4397" s="3"/>
    </row>
    <row r="4398" spans="9:11">
      <c r="I4398" s="1"/>
      <c r="J4398" s="1"/>
      <c r="K4398" s="3"/>
    </row>
    <row r="4399" spans="9:11">
      <c r="I4399" s="1"/>
      <c r="J4399" s="1"/>
      <c r="K4399" s="3"/>
    </row>
    <row r="4400" spans="9:11">
      <c r="I4400" s="1"/>
      <c r="J4400" s="1"/>
      <c r="K4400" s="3"/>
    </row>
    <row r="4401" spans="9:11">
      <c r="I4401" s="1"/>
      <c r="J4401" s="1"/>
      <c r="K4401" s="3"/>
    </row>
    <row r="4402" spans="9:11">
      <c r="I4402" s="1"/>
      <c r="J4402" s="1"/>
      <c r="K4402" s="3"/>
    </row>
    <row r="4403" spans="9:11">
      <c r="I4403" s="1"/>
      <c r="J4403" s="1"/>
      <c r="K4403" s="3"/>
    </row>
    <row r="4404" spans="9:11">
      <c r="I4404" s="1"/>
      <c r="J4404" s="1"/>
      <c r="K4404" s="3"/>
    </row>
    <row r="4405" spans="9:11">
      <c r="I4405" s="1"/>
      <c r="J4405" s="1"/>
      <c r="K4405" s="3"/>
    </row>
    <row r="4406" spans="9:11">
      <c r="I4406" s="1"/>
      <c r="J4406" s="1"/>
      <c r="K4406" s="3"/>
    </row>
    <row r="4407" spans="9:11">
      <c r="I4407" s="1"/>
      <c r="J4407" s="1"/>
      <c r="K4407" s="3"/>
    </row>
    <row r="4408" spans="9:11">
      <c r="I4408" s="1"/>
      <c r="J4408" s="1"/>
      <c r="K4408" s="3"/>
    </row>
    <row r="4409" spans="9:11">
      <c r="I4409" s="1"/>
      <c r="J4409" s="1"/>
      <c r="K4409" s="3"/>
    </row>
    <row r="4410" spans="9:11">
      <c r="I4410" s="1"/>
      <c r="J4410" s="1"/>
      <c r="K4410" s="3"/>
    </row>
    <row r="4411" spans="9:11">
      <c r="I4411" s="1"/>
      <c r="J4411" s="1"/>
      <c r="K4411" s="3"/>
    </row>
    <row r="4412" spans="9:11">
      <c r="I4412" s="1"/>
      <c r="J4412" s="1"/>
      <c r="K4412" s="3"/>
    </row>
    <row r="4413" spans="9:11">
      <c r="I4413" s="1"/>
      <c r="J4413" s="1"/>
      <c r="K4413" s="3"/>
    </row>
    <row r="4414" spans="9:11">
      <c r="I4414" s="1"/>
      <c r="J4414" s="1"/>
      <c r="K4414" s="3"/>
    </row>
    <row r="4415" spans="9:11">
      <c r="I4415" s="1"/>
      <c r="J4415" s="1"/>
      <c r="K4415" s="3"/>
    </row>
    <row r="4416" spans="9:11">
      <c r="I4416" s="1"/>
      <c r="J4416" s="1"/>
      <c r="K4416" s="3"/>
    </row>
    <row r="4417" spans="9:11">
      <c r="I4417" s="1"/>
      <c r="J4417" s="1"/>
      <c r="K4417" s="3"/>
    </row>
    <row r="4418" spans="9:11">
      <c r="I4418" s="1"/>
      <c r="J4418" s="1"/>
      <c r="K4418" s="3"/>
    </row>
    <row r="4419" spans="9:11">
      <c r="I4419" s="1"/>
      <c r="J4419" s="1"/>
      <c r="K4419" s="3"/>
    </row>
    <row r="4420" spans="9:11">
      <c r="I4420" s="1"/>
      <c r="J4420" s="1"/>
      <c r="K4420" s="3"/>
    </row>
    <row r="4421" spans="9:11">
      <c r="I4421" s="1"/>
      <c r="J4421" s="1"/>
      <c r="K4421" s="3"/>
    </row>
    <row r="4422" spans="9:11">
      <c r="I4422" s="1"/>
      <c r="J4422" s="1"/>
      <c r="K4422" s="3"/>
    </row>
    <row r="4423" spans="9:11">
      <c r="I4423" s="1"/>
      <c r="J4423" s="1"/>
      <c r="K4423" s="3"/>
    </row>
    <row r="4424" spans="9:11">
      <c r="I4424" s="1"/>
      <c r="J4424" s="1"/>
      <c r="K4424" s="3"/>
    </row>
    <row r="4425" spans="9:11">
      <c r="I4425" s="1"/>
      <c r="J4425" s="1"/>
      <c r="K4425" s="3"/>
    </row>
    <row r="4426" spans="9:11">
      <c r="I4426" s="1"/>
      <c r="J4426" s="1"/>
      <c r="K4426" s="3"/>
    </row>
    <row r="4427" spans="9:11">
      <c r="I4427" s="1"/>
      <c r="J4427" s="1"/>
      <c r="K4427" s="3"/>
    </row>
    <row r="4428" spans="9:11">
      <c r="I4428" s="1"/>
      <c r="J4428" s="1"/>
      <c r="K4428" s="3"/>
    </row>
    <row r="4429" spans="9:11">
      <c r="I4429" s="1"/>
      <c r="J4429" s="1"/>
      <c r="K4429" s="3"/>
    </row>
    <row r="4430" spans="9:11">
      <c r="I4430" s="1"/>
      <c r="J4430" s="1"/>
      <c r="K4430" s="3"/>
    </row>
    <row r="4431" spans="9:11">
      <c r="I4431" s="1"/>
      <c r="J4431" s="1"/>
      <c r="K4431" s="3"/>
    </row>
    <row r="4432" spans="9:11">
      <c r="I4432" s="1"/>
      <c r="J4432" s="1"/>
      <c r="K4432" s="3"/>
    </row>
    <row r="4433" spans="9:11">
      <c r="I4433" s="1"/>
      <c r="J4433" s="1"/>
      <c r="K4433" s="3"/>
    </row>
    <row r="4434" spans="9:11">
      <c r="I4434" s="1"/>
      <c r="J4434" s="1"/>
      <c r="K4434" s="3"/>
    </row>
    <row r="4435" spans="9:11">
      <c r="I4435" s="1"/>
      <c r="J4435" s="1"/>
      <c r="K4435" s="3"/>
    </row>
    <row r="4436" spans="9:11">
      <c r="I4436" s="1"/>
      <c r="J4436" s="1"/>
      <c r="K4436" s="3"/>
    </row>
    <row r="4437" spans="9:11">
      <c r="I4437" s="1"/>
      <c r="J4437" s="1"/>
      <c r="K4437" s="3"/>
    </row>
    <row r="4438" spans="9:11">
      <c r="I4438" s="1"/>
      <c r="J4438" s="1"/>
      <c r="K4438" s="3"/>
    </row>
    <row r="4439" spans="9:11">
      <c r="I4439" s="1"/>
      <c r="J4439" s="1"/>
      <c r="K4439" s="3"/>
    </row>
    <row r="4440" spans="9:11">
      <c r="I4440" s="1"/>
      <c r="J4440" s="1"/>
      <c r="K4440" s="3"/>
    </row>
    <row r="4441" spans="9:11">
      <c r="I4441" s="1"/>
      <c r="J4441" s="1"/>
      <c r="K4441" s="3"/>
    </row>
    <row r="4442" spans="9:11">
      <c r="I4442" s="1"/>
      <c r="J4442" s="1"/>
      <c r="K4442" s="3"/>
    </row>
    <row r="4443" spans="9:11">
      <c r="I4443" s="1"/>
      <c r="J4443" s="1"/>
      <c r="K4443" s="3"/>
    </row>
    <row r="4444" spans="9:11">
      <c r="I4444" s="1"/>
      <c r="J4444" s="1"/>
      <c r="K4444" s="3"/>
    </row>
    <row r="4445" spans="9:11">
      <c r="I4445" s="1"/>
      <c r="J4445" s="1"/>
      <c r="K4445" s="3"/>
    </row>
    <row r="4446" spans="9:11">
      <c r="I4446" s="1"/>
      <c r="J4446" s="1"/>
      <c r="K4446" s="3"/>
    </row>
    <row r="4447" spans="9:11">
      <c r="I4447" s="1"/>
      <c r="J4447" s="1"/>
      <c r="K4447" s="3"/>
    </row>
    <row r="4448" spans="9:11">
      <c r="I4448" s="1"/>
      <c r="J4448" s="1"/>
      <c r="K4448" s="3"/>
    </row>
    <row r="4449" spans="9:11">
      <c r="I4449" s="1"/>
      <c r="J4449" s="1"/>
      <c r="K4449" s="3"/>
    </row>
    <row r="4450" spans="9:11">
      <c r="I4450" s="1"/>
      <c r="J4450" s="1"/>
      <c r="K4450" s="3"/>
    </row>
    <row r="4451" spans="9:11">
      <c r="I4451" s="1"/>
      <c r="J4451" s="1"/>
      <c r="K4451" s="3"/>
    </row>
    <row r="4452" spans="9:11">
      <c r="I4452" s="1"/>
      <c r="J4452" s="1"/>
      <c r="K4452" s="3"/>
    </row>
    <row r="4453" spans="9:11">
      <c r="I4453" s="1"/>
      <c r="J4453" s="1"/>
      <c r="K4453" s="3"/>
    </row>
    <row r="4454" spans="9:11">
      <c r="I4454" s="1"/>
      <c r="J4454" s="1"/>
      <c r="K4454" s="3"/>
    </row>
    <row r="4455" spans="9:11">
      <c r="I4455" s="1"/>
      <c r="J4455" s="1"/>
      <c r="K4455" s="3"/>
    </row>
    <row r="4456" spans="9:11">
      <c r="I4456" s="1"/>
      <c r="J4456" s="1"/>
      <c r="K4456" s="3"/>
    </row>
    <row r="4457" spans="9:11">
      <c r="I4457" s="1"/>
      <c r="J4457" s="1"/>
      <c r="K4457" s="3"/>
    </row>
    <row r="4458" spans="9:11">
      <c r="I4458" s="1"/>
      <c r="J4458" s="1"/>
      <c r="K4458" s="3"/>
    </row>
    <row r="4459" spans="9:11">
      <c r="I4459" s="1"/>
      <c r="J4459" s="1"/>
      <c r="K4459" s="3"/>
    </row>
    <row r="4460" spans="9:11">
      <c r="I4460" s="1"/>
      <c r="J4460" s="1"/>
      <c r="K4460" s="3"/>
    </row>
    <row r="4461" spans="9:11">
      <c r="I4461" s="1"/>
      <c r="J4461" s="1"/>
      <c r="K4461" s="3"/>
    </row>
    <row r="4462" spans="9:11">
      <c r="I4462" s="1"/>
      <c r="J4462" s="1"/>
      <c r="K4462" s="3"/>
    </row>
    <row r="4463" spans="9:11">
      <c r="I4463" s="1"/>
      <c r="J4463" s="1"/>
      <c r="K4463" s="3"/>
    </row>
    <row r="4464" spans="9:11">
      <c r="I4464" s="1"/>
      <c r="J4464" s="1"/>
      <c r="K4464" s="3"/>
    </row>
    <row r="4465" spans="9:11">
      <c r="I4465" s="1"/>
      <c r="J4465" s="1"/>
      <c r="K4465" s="3"/>
    </row>
    <row r="4466" spans="9:11">
      <c r="I4466" s="1"/>
      <c r="J4466" s="1"/>
      <c r="K4466" s="3"/>
    </row>
    <row r="4467" spans="9:11">
      <c r="I4467" s="1"/>
      <c r="J4467" s="1"/>
      <c r="K4467" s="3"/>
    </row>
    <row r="4468" spans="9:11">
      <c r="I4468" s="1"/>
      <c r="J4468" s="1"/>
      <c r="K4468" s="3"/>
    </row>
    <row r="4469" spans="9:11">
      <c r="I4469" s="1"/>
      <c r="J4469" s="1"/>
      <c r="K4469" s="3"/>
    </row>
    <row r="4470" spans="9:11">
      <c r="I4470" s="1"/>
      <c r="J4470" s="1"/>
      <c r="K4470" s="3"/>
    </row>
    <row r="4471" spans="9:11">
      <c r="I4471" s="1"/>
      <c r="J4471" s="1"/>
      <c r="K4471" s="3"/>
    </row>
    <row r="4472" spans="9:11">
      <c r="I4472" s="1"/>
      <c r="J4472" s="1"/>
      <c r="K4472" s="3"/>
    </row>
    <row r="4473" spans="9:11">
      <c r="I4473" s="1"/>
      <c r="J4473" s="1"/>
      <c r="K4473" s="3"/>
    </row>
    <row r="4474" spans="9:11">
      <c r="I4474" s="1"/>
      <c r="J4474" s="1"/>
      <c r="K4474" s="3"/>
    </row>
    <row r="4475" spans="9:11">
      <c r="I4475" s="1"/>
      <c r="J4475" s="1"/>
      <c r="K4475" s="3"/>
    </row>
    <row r="4476" spans="9:11">
      <c r="I4476" s="1"/>
      <c r="J4476" s="1"/>
      <c r="K4476" s="3"/>
    </row>
    <row r="4477" spans="9:11">
      <c r="I4477" s="1"/>
      <c r="J4477" s="1"/>
      <c r="K4477" s="3"/>
    </row>
    <row r="4478" spans="9:11">
      <c r="I4478" s="1"/>
      <c r="J4478" s="1"/>
      <c r="K4478" s="3"/>
    </row>
    <row r="4479" spans="9:11">
      <c r="I4479" s="1"/>
      <c r="J4479" s="1"/>
      <c r="K4479" s="3"/>
    </row>
    <row r="4480" spans="9:11">
      <c r="I4480" s="1"/>
      <c r="J4480" s="1"/>
      <c r="K4480" s="3"/>
    </row>
    <row r="4481" spans="9:11">
      <c r="I4481" s="1"/>
      <c r="J4481" s="1"/>
      <c r="K4481" s="3"/>
    </row>
    <row r="4482" spans="9:11">
      <c r="I4482" s="1"/>
      <c r="J4482" s="1"/>
      <c r="K4482" s="3"/>
    </row>
    <row r="4483" spans="9:11">
      <c r="I4483" s="1"/>
      <c r="J4483" s="1"/>
      <c r="K4483" s="3"/>
    </row>
    <row r="4484" spans="9:11">
      <c r="I4484" s="1"/>
      <c r="J4484" s="1"/>
      <c r="K4484" s="3"/>
    </row>
    <row r="4485" spans="9:11">
      <c r="I4485" s="1"/>
      <c r="J4485" s="1"/>
      <c r="K4485" s="3"/>
    </row>
    <row r="4486" spans="9:11">
      <c r="I4486" s="1"/>
      <c r="J4486" s="1"/>
      <c r="K4486" s="3"/>
    </row>
    <row r="4487" spans="9:11">
      <c r="I4487" s="1"/>
      <c r="J4487" s="1"/>
      <c r="K4487" s="3"/>
    </row>
    <row r="4488" spans="9:11">
      <c r="I4488" s="1"/>
      <c r="J4488" s="1"/>
      <c r="K4488" s="3"/>
    </row>
    <row r="4489" spans="9:11">
      <c r="I4489" s="1"/>
      <c r="J4489" s="1"/>
      <c r="K4489" s="3"/>
    </row>
    <row r="4490" spans="9:11">
      <c r="I4490" s="1"/>
      <c r="J4490" s="1"/>
      <c r="K4490" s="3"/>
    </row>
    <row r="4491" spans="9:11">
      <c r="I4491" s="1"/>
      <c r="J4491" s="1"/>
      <c r="K4491" s="3"/>
    </row>
    <row r="4492" spans="9:11">
      <c r="I4492" s="1"/>
      <c r="J4492" s="1"/>
      <c r="K4492" s="3"/>
    </row>
    <row r="4493" spans="9:11">
      <c r="I4493" s="1"/>
      <c r="J4493" s="1"/>
      <c r="K4493" s="3"/>
    </row>
    <row r="4494" spans="9:11">
      <c r="I4494" s="1"/>
      <c r="J4494" s="1"/>
      <c r="K4494" s="3"/>
    </row>
    <row r="4495" spans="9:11">
      <c r="I4495" s="1"/>
      <c r="J4495" s="1"/>
      <c r="K4495" s="3"/>
    </row>
    <row r="4496" spans="9:11">
      <c r="I4496" s="1"/>
      <c r="J4496" s="1"/>
      <c r="K4496" s="3"/>
    </row>
    <row r="4497" spans="9:11">
      <c r="I4497" s="1"/>
      <c r="J4497" s="1"/>
      <c r="K4497" s="3"/>
    </row>
    <row r="4498" spans="9:11">
      <c r="I4498" s="1"/>
      <c r="J4498" s="1"/>
      <c r="K4498" s="3"/>
    </row>
    <row r="4499" spans="9:11">
      <c r="I4499" s="1"/>
      <c r="J4499" s="1"/>
      <c r="K4499" s="3"/>
    </row>
    <row r="4500" spans="9:11">
      <c r="I4500" s="1"/>
      <c r="J4500" s="1"/>
      <c r="K4500" s="3"/>
    </row>
    <row r="4501" spans="9:11">
      <c r="I4501" s="1"/>
      <c r="J4501" s="1"/>
      <c r="K4501" s="3"/>
    </row>
    <row r="4502" spans="9:11">
      <c r="I4502" s="1"/>
      <c r="J4502" s="1"/>
      <c r="K4502" s="3"/>
    </row>
    <row r="4503" spans="9:11">
      <c r="I4503" s="1"/>
      <c r="J4503" s="1"/>
      <c r="K4503" s="3"/>
    </row>
    <row r="4504" spans="9:11">
      <c r="I4504" s="1"/>
      <c r="J4504" s="1"/>
      <c r="K4504" s="3"/>
    </row>
    <row r="4505" spans="9:11">
      <c r="I4505" s="1"/>
      <c r="J4505" s="1"/>
      <c r="K4505" s="3"/>
    </row>
    <row r="4506" spans="9:11">
      <c r="I4506" s="1"/>
      <c r="J4506" s="1"/>
      <c r="K4506" s="3"/>
    </row>
    <row r="4507" spans="9:11">
      <c r="I4507" s="1"/>
      <c r="J4507" s="1"/>
      <c r="K4507" s="3"/>
    </row>
    <row r="4508" spans="9:11">
      <c r="I4508" s="1"/>
      <c r="J4508" s="1"/>
      <c r="K4508" s="3"/>
    </row>
    <row r="4509" spans="9:11">
      <c r="I4509" s="1"/>
      <c r="J4509" s="1"/>
      <c r="K4509" s="3"/>
    </row>
    <row r="4510" spans="9:11">
      <c r="I4510" s="1"/>
      <c r="J4510" s="1"/>
      <c r="K4510" s="3"/>
    </row>
    <row r="4511" spans="9:11">
      <c r="I4511" s="1"/>
      <c r="J4511" s="1"/>
      <c r="K4511" s="3"/>
    </row>
    <row r="4512" spans="9:11">
      <c r="I4512" s="1"/>
      <c r="J4512" s="1"/>
      <c r="K4512" s="3"/>
    </row>
    <row r="4513" spans="9:11">
      <c r="I4513" s="1"/>
      <c r="J4513" s="1"/>
      <c r="K4513" s="3"/>
    </row>
    <row r="4514" spans="9:11">
      <c r="I4514" s="1"/>
      <c r="J4514" s="1"/>
      <c r="K4514" s="3"/>
    </row>
    <row r="4515" spans="9:11">
      <c r="I4515" s="1"/>
      <c r="J4515" s="1"/>
      <c r="K4515" s="3"/>
    </row>
    <row r="4516" spans="9:11">
      <c r="I4516" s="1"/>
      <c r="J4516" s="1"/>
      <c r="K4516" s="3"/>
    </row>
    <row r="4517" spans="9:11">
      <c r="I4517" s="1"/>
      <c r="J4517" s="1"/>
      <c r="K4517" s="3"/>
    </row>
    <row r="4518" spans="9:11">
      <c r="I4518" s="1"/>
      <c r="J4518" s="1"/>
      <c r="K4518" s="3"/>
    </row>
    <row r="4519" spans="9:11">
      <c r="I4519" s="1"/>
      <c r="J4519" s="1"/>
      <c r="K4519" s="3"/>
    </row>
    <row r="4520" spans="9:11">
      <c r="I4520" s="1"/>
      <c r="J4520" s="1"/>
      <c r="K4520" s="3"/>
    </row>
    <row r="4521" spans="9:11">
      <c r="I4521" s="1"/>
      <c r="J4521" s="1"/>
      <c r="K4521" s="3"/>
    </row>
    <row r="4522" spans="9:11">
      <c r="I4522" s="1"/>
      <c r="J4522" s="1"/>
      <c r="K4522" s="3"/>
    </row>
    <row r="4523" spans="9:11">
      <c r="I4523" s="1"/>
      <c r="J4523" s="1"/>
      <c r="K4523" s="3"/>
    </row>
    <row r="4524" spans="9:11">
      <c r="I4524" s="1"/>
      <c r="J4524" s="1"/>
      <c r="K4524" s="3"/>
    </row>
    <row r="4525" spans="9:11">
      <c r="I4525" s="1"/>
      <c r="J4525" s="1"/>
      <c r="K4525" s="3"/>
    </row>
    <row r="4526" spans="9:11">
      <c r="I4526" s="1"/>
      <c r="J4526" s="1"/>
      <c r="K4526" s="3"/>
    </row>
    <row r="4527" spans="9:11">
      <c r="I4527" s="1"/>
      <c r="J4527" s="1"/>
      <c r="K4527" s="3"/>
    </row>
    <row r="4528" spans="9:11">
      <c r="I4528" s="1"/>
      <c r="J4528" s="1"/>
      <c r="K4528" s="3"/>
    </row>
    <row r="4529" spans="9:11">
      <c r="I4529" s="1"/>
      <c r="J4529" s="1"/>
      <c r="K4529" s="3"/>
    </row>
    <row r="4530" spans="9:11">
      <c r="I4530" s="1"/>
      <c r="J4530" s="1"/>
      <c r="K4530" s="3"/>
    </row>
    <row r="4531" spans="9:11">
      <c r="I4531" s="1"/>
      <c r="J4531" s="1"/>
      <c r="K4531" s="3"/>
    </row>
    <row r="4532" spans="9:11">
      <c r="I4532" s="1"/>
      <c r="J4532" s="1"/>
      <c r="K4532" s="3"/>
    </row>
    <row r="4533" spans="9:11">
      <c r="I4533" s="1"/>
      <c r="J4533" s="1"/>
      <c r="K4533" s="3"/>
    </row>
    <row r="4534" spans="9:11">
      <c r="I4534" s="1"/>
      <c r="J4534" s="1"/>
      <c r="K4534" s="3"/>
    </row>
    <row r="4535" spans="9:11">
      <c r="I4535" s="1"/>
      <c r="J4535" s="1"/>
      <c r="K4535" s="3"/>
    </row>
    <row r="4536" spans="9:11">
      <c r="I4536" s="1"/>
      <c r="J4536" s="1"/>
      <c r="K4536" s="3"/>
    </row>
    <row r="4537" spans="9:11">
      <c r="I4537" s="1"/>
      <c r="J4537" s="1"/>
      <c r="K4537" s="3"/>
    </row>
    <row r="4538" spans="9:11">
      <c r="I4538" s="1"/>
      <c r="J4538" s="1"/>
      <c r="K4538" s="3"/>
    </row>
    <row r="4539" spans="9:11">
      <c r="I4539" s="1"/>
      <c r="J4539" s="1"/>
      <c r="K4539" s="3"/>
    </row>
    <row r="4540" spans="9:11">
      <c r="I4540" s="1"/>
      <c r="J4540" s="1"/>
      <c r="K4540" s="3"/>
    </row>
    <row r="4541" spans="9:11">
      <c r="I4541" s="1"/>
      <c r="J4541" s="1"/>
      <c r="K4541" s="3"/>
    </row>
    <row r="4542" spans="9:11">
      <c r="I4542" s="1"/>
      <c r="J4542" s="1"/>
      <c r="K4542" s="3"/>
    </row>
    <row r="4543" spans="9:11">
      <c r="I4543" s="1"/>
      <c r="J4543" s="1"/>
      <c r="K4543" s="3"/>
    </row>
    <row r="4544" spans="9:11">
      <c r="I4544" s="1"/>
      <c r="J4544" s="1"/>
      <c r="K4544" s="3"/>
    </row>
    <row r="4545" spans="9:11">
      <c r="I4545" s="1"/>
      <c r="J4545" s="1"/>
      <c r="K4545" s="3"/>
    </row>
    <row r="4546" spans="9:11">
      <c r="I4546" s="1"/>
      <c r="J4546" s="1"/>
      <c r="K4546" s="3"/>
    </row>
    <row r="4547" spans="9:11">
      <c r="I4547" s="1"/>
      <c r="J4547" s="1"/>
      <c r="K4547" s="3"/>
    </row>
    <row r="4548" spans="9:11">
      <c r="I4548" s="1"/>
      <c r="J4548" s="1"/>
      <c r="K4548" s="3"/>
    </row>
    <row r="4549" spans="9:11">
      <c r="I4549" s="1"/>
      <c r="J4549" s="1"/>
      <c r="K4549" s="3"/>
    </row>
    <row r="4550" spans="9:11">
      <c r="I4550" s="1"/>
      <c r="J4550" s="1"/>
      <c r="K4550" s="3"/>
    </row>
    <row r="4551" spans="9:11">
      <c r="I4551" s="1"/>
      <c r="J4551" s="1"/>
      <c r="K4551" s="3"/>
    </row>
    <row r="4552" spans="9:11">
      <c r="I4552" s="1"/>
      <c r="J4552" s="1"/>
      <c r="K4552" s="3"/>
    </row>
    <row r="4553" spans="9:11">
      <c r="I4553" s="1"/>
      <c r="J4553" s="1"/>
      <c r="K4553" s="3"/>
    </row>
    <row r="4554" spans="9:11">
      <c r="I4554" s="1"/>
      <c r="J4554" s="1"/>
      <c r="K4554" s="3"/>
    </row>
    <row r="4555" spans="9:11">
      <c r="I4555" s="1"/>
      <c r="J4555" s="1"/>
      <c r="K4555" s="3"/>
    </row>
    <row r="4556" spans="9:11">
      <c r="I4556" s="1"/>
      <c r="J4556" s="1"/>
      <c r="K4556" s="3"/>
    </row>
    <row r="4557" spans="9:11">
      <c r="I4557" s="1"/>
      <c r="J4557" s="1"/>
      <c r="K4557" s="3"/>
    </row>
    <row r="4558" spans="9:11">
      <c r="I4558" s="1"/>
      <c r="J4558" s="1"/>
      <c r="K4558" s="3"/>
    </row>
    <row r="4559" spans="9:11">
      <c r="I4559" s="1"/>
      <c r="J4559" s="1"/>
      <c r="K4559" s="3"/>
    </row>
    <row r="4560" spans="9:11">
      <c r="I4560" s="1"/>
      <c r="J4560" s="1"/>
      <c r="K4560" s="3"/>
    </row>
    <row r="4561" spans="9:11">
      <c r="I4561" s="1"/>
      <c r="J4561" s="1"/>
      <c r="K4561" s="3"/>
    </row>
    <row r="4562" spans="9:11">
      <c r="I4562" s="1"/>
      <c r="J4562" s="1"/>
      <c r="K4562" s="3"/>
    </row>
    <row r="4563" spans="9:11">
      <c r="I4563" s="1"/>
      <c r="J4563" s="1"/>
      <c r="K4563" s="3"/>
    </row>
    <row r="4564" spans="9:11">
      <c r="I4564" s="1"/>
      <c r="J4564" s="1"/>
      <c r="K4564" s="3"/>
    </row>
    <row r="4565" spans="9:11">
      <c r="I4565" s="1"/>
      <c r="J4565" s="1"/>
      <c r="K4565" s="3"/>
    </row>
    <row r="4566" spans="9:11">
      <c r="I4566" s="1"/>
      <c r="J4566" s="1"/>
      <c r="K4566" s="3"/>
    </row>
    <row r="4567" spans="9:11">
      <c r="I4567" s="1"/>
      <c r="J4567" s="1"/>
      <c r="K4567" s="3"/>
    </row>
    <row r="4568" spans="9:11">
      <c r="I4568" s="1"/>
      <c r="J4568" s="1"/>
      <c r="K4568" s="3"/>
    </row>
    <row r="4569" spans="9:11">
      <c r="I4569" s="1"/>
      <c r="J4569" s="1"/>
      <c r="K4569" s="3"/>
    </row>
    <row r="4570" spans="9:11">
      <c r="I4570" s="1"/>
      <c r="J4570" s="1"/>
      <c r="K4570" s="3"/>
    </row>
    <row r="4571" spans="9:11">
      <c r="I4571" s="1"/>
      <c r="J4571" s="1"/>
      <c r="K4571" s="3"/>
    </row>
    <row r="4572" spans="9:11">
      <c r="I4572" s="1"/>
      <c r="J4572" s="1"/>
      <c r="K4572" s="3"/>
    </row>
    <row r="4573" spans="9:11">
      <c r="I4573" s="1"/>
      <c r="J4573" s="1"/>
      <c r="K4573" s="3"/>
    </row>
    <row r="4574" spans="9:11">
      <c r="I4574" s="1"/>
      <c r="J4574" s="1"/>
      <c r="K4574" s="3"/>
    </row>
    <row r="4575" spans="9:11">
      <c r="I4575" s="1"/>
      <c r="J4575" s="1"/>
      <c r="K4575" s="3"/>
    </row>
    <row r="4576" spans="9:11">
      <c r="I4576" s="1"/>
      <c r="J4576" s="1"/>
      <c r="K4576" s="3"/>
    </row>
    <row r="4577" spans="9:11">
      <c r="I4577" s="1"/>
      <c r="J4577" s="1"/>
      <c r="K4577" s="3"/>
    </row>
    <row r="4578" spans="9:11">
      <c r="I4578" s="1"/>
      <c r="J4578" s="1"/>
      <c r="K4578" s="3"/>
    </row>
    <row r="4579" spans="9:11">
      <c r="I4579" s="1"/>
      <c r="J4579" s="1"/>
      <c r="K4579" s="3"/>
    </row>
    <row r="4580" spans="9:11">
      <c r="I4580" s="1"/>
      <c r="J4580" s="1"/>
      <c r="K4580" s="3"/>
    </row>
    <row r="4581" spans="9:11">
      <c r="I4581" s="1"/>
      <c r="J4581" s="1"/>
      <c r="K4581" s="3"/>
    </row>
    <row r="4582" spans="9:11">
      <c r="I4582" s="1"/>
      <c r="J4582" s="1"/>
      <c r="K4582" s="3"/>
    </row>
    <row r="4583" spans="9:11">
      <c r="I4583" s="1"/>
      <c r="J4583" s="1"/>
      <c r="K4583" s="3"/>
    </row>
    <row r="4584" spans="9:11">
      <c r="I4584" s="1"/>
      <c r="J4584" s="1"/>
      <c r="K4584" s="3"/>
    </row>
    <row r="4585" spans="9:11">
      <c r="I4585" s="1"/>
      <c r="J4585" s="1"/>
      <c r="K4585" s="3"/>
    </row>
    <row r="4586" spans="9:11">
      <c r="I4586" s="1"/>
      <c r="J4586" s="1"/>
      <c r="K4586" s="3"/>
    </row>
    <row r="4587" spans="9:11">
      <c r="I4587" s="1"/>
      <c r="J4587" s="1"/>
      <c r="K4587" s="3"/>
    </row>
    <row r="4588" spans="9:11">
      <c r="I4588" s="1"/>
      <c r="J4588" s="1"/>
      <c r="K4588" s="3"/>
    </row>
    <row r="4589" spans="9:11">
      <c r="I4589" s="1"/>
      <c r="J4589" s="1"/>
      <c r="K4589" s="3"/>
    </row>
    <row r="4590" spans="9:11">
      <c r="I4590" s="1"/>
      <c r="J4590" s="1"/>
      <c r="K4590" s="3"/>
    </row>
    <row r="4591" spans="9:11">
      <c r="I4591" s="1"/>
      <c r="J4591" s="1"/>
      <c r="K4591" s="3"/>
    </row>
    <row r="4592" spans="9:11">
      <c r="I4592" s="1"/>
      <c r="J4592" s="1"/>
      <c r="K4592" s="3"/>
    </row>
    <row r="4593" spans="9:11">
      <c r="I4593" s="1"/>
      <c r="J4593" s="1"/>
      <c r="K4593" s="3"/>
    </row>
    <row r="4594" spans="9:11">
      <c r="I4594" s="1"/>
      <c r="J4594" s="1"/>
      <c r="K4594" s="3"/>
    </row>
    <row r="4595" spans="9:11">
      <c r="I4595" s="1"/>
      <c r="J4595" s="1"/>
      <c r="K4595" s="3"/>
    </row>
    <row r="4596" spans="9:11">
      <c r="I4596" s="1"/>
      <c r="J4596" s="1"/>
      <c r="K4596" s="3"/>
    </row>
    <row r="4597" spans="9:11">
      <c r="I4597" s="1"/>
      <c r="J4597" s="1"/>
      <c r="K4597" s="3"/>
    </row>
    <row r="4598" spans="9:11">
      <c r="I4598" s="1"/>
      <c r="J4598" s="1"/>
      <c r="K4598" s="3"/>
    </row>
    <row r="4599" spans="9:11">
      <c r="I4599" s="1"/>
      <c r="J4599" s="1"/>
      <c r="K4599" s="3"/>
    </row>
    <row r="4600" spans="9:11">
      <c r="I4600" s="1"/>
      <c r="J4600" s="1"/>
      <c r="K4600" s="3"/>
    </row>
    <row r="4601" spans="9:11">
      <c r="I4601" s="1"/>
      <c r="J4601" s="1"/>
      <c r="K4601" s="3"/>
    </row>
    <row r="4602" spans="9:11">
      <c r="I4602" s="1"/>
      <c r="J4602" s="1"/>
      <c r="K4602" s="3"/>
    </row>
    <row r="4603" spans="9:11">
      <c r="I4603" s="1"/>
      <c r="J4603" s="1"/>
      <c r="K4603" s="3"/>
    </row>
    <row r="4604" spans="9:11">
      <c r="I4604" s="1"/>
      <c r="J4604" s="1"/>
      <c r="K4604" s="3"/>
    </row>
    <row r="4605" spans="9:11">
      <c r="I4605" s="1"/>
      <c r="J4605" s="1"/>
      <c r="K4605" s="3"/>
    </row>
    <row r="4606" spans="9:11">
      <c r="I4606" s="1"/>
      <c r="J4606" s="1"/>
      <c r="K4606" s="3"/>
    </row>
    <row r="4607" spans="9:11">
      <c r="I4607" s="1"/>
      <c r="J4607" s="1"/>
      <c r="K4607" s="3"/>
    </row>
    <row r="4608" spans="9:11">
      <c r="I4608" s="1"/>
      <c r="J4608" s="1"/>
      <c r="K4608" s="3"/>
    </row>
    <row r="4609" spans="9:11">
      <c r="I4609" s="1"/>
      <c r="J4609" s="1"/>
      <c r="K4609" s="3"/>
    </row>
    <row r="4610" spans="9:11">
      <c r="I4610" s="1"/>
      <c r="J4610" s="1"/>
      <c r="K4610" s="3"/>
    </row>
    <row r="4611" spans="9:11">
      <c r="I4611" s="1"/>
      <c r="J4611" s="1"/>
      <c r="K4611" s="3"/>
    </row>
    <row r="4612" spans="9:11">
      <c r="I4612" s="1"/>
      <c r="J4612" s="1"/>
      <c r="K4612" s="3"/>
    </row>
    <row r="4613" spans="9:11">
      <c r="I4613" s="1"/>
      <c r="J4613" s="1"/>
      <c r="K4613" s="3"/>
    </row>
    <row r="4614" spans="9:11">
      <c r="I4614" s="1"/>
      <c r="J4614" s="1"/>
      <c r="K4614" s="3"/>
    </row>
    <row r="4615" spans="9:11">
      <c r="I4615" s="1"/>
      <c r="J4615" s="1"/>
      <c r="K4615" s="3"/>
    </row>
    <row r="4616" spans="9:11">
      <c r="I4616" s="1"/>
      <c r="J4616" s="1"/>
      <c r="K4616" s="3"/>
    </row>
    <row r="4617" spans="9:11">
      <c r="I4617" s="1"/>
      <c r="J4617" s="1"/>
      <c r="K4617" s="3"/>
    </row>
    <row r="4618" spans="9:11">
      <c r="I4618" s="1"/>
      <c r="J4618" s="1"/>
      <c r="K4618" s="3"/>
    </row>
    <row r="4619" spans="9:11">
      <c r="I4619" s="1"/>
      <c r="J4619" s="1"/>
      <c r="K4619" s="3"/>
    </row>
    <row r="4620" spans="9:11">
      <c r="I4620" s="1"/>
      <c r="J4620" s="1"/>
      <c r="K4620" s="3"/>
    </row>
    <row r="4621" spans="9:11">
      <c r="I4621" s="1"/>
      <c r="J4621" s="1"/>
      <c r="K4621" s="3"/>
    </row>
    <row r="4622" spans="9:11">
      <c r="I4622" s="1"/>
      <c r="J4622" s="1"/>
      <c r="K4622" s="3"/>
    </row>
    <row r="4623" spans="9:11">
      <c r="I4623" s="1"/>
      <c r="J4623" s="1"/>
      <c r="K4623" s="3"/>
    </row>
    <row r="4624" spans="9:11">
      <c r="I4624" s="1"/>
      <c r="J4624" s="1"/>
      <c r="K4624" s="3"/>
    </row>
    <row r="4625" spans="9:11">
      <c r="I4625" s="1"/>
      <c r="J4625" s="1"/>
      <c r="K4625" s="3"/>
    </row>
    <row r="4626" spans="9:11">
      <c r="I4626" s="1"/>
      <c r="J4626" s="1"/>
      <c r="K4626" s="3"/>
    </row>
    <row r="4627" spans="9:11">
      <c r="I4627" s="1"/>
      <c r="J4627" s="1"/>
      <c r="K4627" s="3"/>
    </row>
    <row r="4628" spans="9:11">
      <c r="I4628" s="1"/>
      <c r="J4628" s="1"/>
      <c r="K4628" s="3"/>
    </row>
    <row r="4629" spans="9:11">
      <c r="I4629" s="1"/>
      <c r="J4629" s="1"/>
      <c r="K4629" s="3"/>
    </row>
    <row r="4630" spans="9:11">
      <c r="I4630" s="1"/>
      <c r="J4630" s="1"/>
      <c r="K4630" s="3"/>
    </row>
    <row r="4631" spans="9:11">
      <c r="I4631" s="1"/>
      <c r="J4631" s="1"/>
      <c r="K4631" s="3"/>
    </row>
    <row r="4632" spans="9:11">
      <c r="I4632" s="1"/>
      <c r="J4632" s="1"/>
      <c r="K4632" s="3"/>
    </row>
    <row r="4633" spans="9:11">
      <c r="I4633" s="1"/>
      <c r="J4633" s="1"/>
      <c r="K4633" s="3"/>
    </row>
    <row r="4634" spans="9:11">
      <c r="I4634" s="1"/>
      <c r="J4634" s="1"/>
      <c r="K4634" s="3"/>
    </row>
    <row r="4635" spans="9:11">
      <c r="I4635" s="1"/>
      <c r="J4635" s="1"/>
      <c r="K4635" s="3"/>
    </row>
    <row r="4636" spans="9:11">
      <c r="I4636" s="1"/>
      <c r="J4636" s="1"/>
      <c r="K4636" s="3"/>
    </row>
    <row r="4637" spans="9:11">
      <c r="I4637" s="1"/>
      <c r="J4637" s="1"/>
      <c r="K4637" s="3"/>
    </row>
    <row r="4638" spans="9:11">
      <c r="I4638" s="1"/>
      <c r="J4638" s="1"/>
      <c r="K4638" s="3"/>
    </row>
    <row r="4639" spans="9:11">
      <c r="I4639" s="1"/>
      <c r="J4639" s="1"/>
      <c r="K4639" s="3"/>
    </row>
    <row r="4640" spans="9:11">
      <c r="I4640" s="1"/>
      <c r="J4640" s="1"/>
      <c r="K4640" s="3"/>
    </row>
    <row r="4641" spans="9:11">
      <c r="I4641" s="1"/>
      <c r="J4641" s="1"/>
      <c r="K4641" s="3"/>
    </row>
    <row r="4642" spans="9:11">
      <c r="I4642" s="1"/>
      <c r="J4642" s="1"/>
      <c r="K4642" s="3"/>
    </row>
    <row r="4643" spans="9:11">
      <c r="I4643" s="1"/>
      <c r="J4643" s="1"/>
      <c r="K4643" s="3"/>
    </row>
    <row r="4644" spans="9:11">
      <c r="I4644" s="1"/>
      <c r="J4644" s="1"/>
      <c r="K4644" s="3"/>
    </row>
    <row r="4645" spans="9:11">
      <c r="I4645" s="1"/>
      <c r="J4645" s="1"/>
      <c r="K4645" s="3"/>
    </row>
    <row r="4646" spans="9:11">
      <c r="I4646" s="1"/>
      <c r="J4646" s="1"/>
      <c r="K4646" s="3"/>
    </row>
    <row r="4647" spans="9:11">
      <c r="I4647" s="1"/>
      <c r="J4647" s="1"/>
      <c r="K4647" s="3"/>
    </row>
    <row r="4648" spans="9:11">
      <c r="I4648" s="1"/>
      <c r="J4648" s="1"/>
      <c r="K4648" s="3"/>
    </row>
    <row r="4649" spans="9:11">
      <c r="I4649" s="1"/>
      <c r="J4649" s="1"/>
      <c r="K4649" s="3"/>
    </row>
    <row r="4650" spans="9:11">
      <c r="I4650" s="1"/>
      <c r="J4650" s="1"/>
      <c r="K4650" s="3"/>
    </row>
    <row r="4651" spans="9:11">
      <c r="I4651" s="1"/>
      <c r="J4651" s="1"/>
      <c r="K4651" s="3"/>
    </row>
    <row r="4652" spans="9:11">
      <c r="I4652" s="1"/>
      <c r="J4652" s="1"/>
      <c r="K4652" s="3"/>
    </row>
    <row r="4653" spans="9:11">
      <c r="I4653" s="1"/>
      <c r="J4653" s="1"/>
      <c r="K4653" s="3"/>
    </row>
    <row r="4654" spans="9:11">
      <c r="I4654" s="1"/>
      <c r="J4654" s="1"/>
      <c r="K4654" s="3"/>
    </row>
    <row r="4655" spans="9:11">
      <c r="I4655" s="1"/>
      <c r="J4655" s="1"/>
      <c r="K4655" s="3"/>
    </row>
    <row r="4656" spans="9:11">
      <c r="I4656" s="1"/>
      <c r="J4656" s="1"/>
      <c r="K4656" s="3"/>
    </row>
    <row r="4657" spans="9:11">
      <c r="I4657" s="1"/>
      <c r="J4657" s="1"/>
      <c r="K4657" s="3"/>
    </row>
    <row r="4658" spans="9:11">
      <c r="I4658" s="1"/>
      <c r="J4658" s="1"/>
      <c r="K4658" s="3"/>
    </row>
    <row r="4659" spans="9:11">
      <c r="I4659" s="1"/>
      <c r="J4659" s="1"/>
      <c r="K4659" s="3"/>
    </row>
    <row r="4660" spans="9:11">
      <c r="I4660" s="1"/>
      <c r="J4660" s="1"/>
      <c r="K4660" s="3"/>
    </row>
    <row r="4661" spans="9:11">
      <c r="I4661" s="1"/>
      <c r="J4661" s="1"/>
      <c r="K4661" s="3"/>
    </row>
    <row r="4662" spans="9:11">
      <c r="I4662" s="1"/>
      <c r="J4662" s="1"/>
      <c r="K4662" s="3"/>
    </row>
    <row r="4663" spans="9:11">
      <c r="I4663" s="1"/>
      <c r="J4663" s="1"/>
      <c r="K4663" s="3"/>
    </row>
    <row r="4664" spans="9:11">
      <c r="I4664" s="1"/>
      <c r="J4664" s="1"/>
      <c r="K4664" s="3"/>
    </row>
    <row r="4665" spans="9:11">
      <c r="I4665" s="1"/>
      <c r="J4665" s="1"/>
      <c r="K4665" s="3"/>
    </row>
    <row r="4666" spans="9:11">
      <c r="I4666" s="1"/>
      <c r="J4666" s="1"/>
      <c r="K4666" s="3"/>
    </row>
    <row r="4667" spans="9:11">
      <c r="I4667" s="1"/>
      <c r="J4667" s="1"/>
      <c r="K4667" s="3"/>
    </row>
    <row r="4668" spans="9:11">
      <c r="I4668" s="1"/>
      <c r="J4668" s="1"/>
      <c r="K4668" s="3"/>
    </row>
    <row r="4669" spans="9:11">
      <c r="I4669" s="1"/>
      <c r="J4669" s="1"/>
      <c r="K4669" s="3"/>
    </row>
    <row r="4670" spans="9:11">
      <c r="I4670" s="1"/>
      <c r="J4670" s="1"/>
      <c r="K4670" s="3"/>
    </row>
    <row r="4671" spans="9:11">
      <c r="I4671" s="1"/>
      <c r="J4671" s="1"/>
      <c r="K4671" s="3"/>
    </row>
    <row r="4672" spans="9:11">
      <c r="I4672" s="1"/>
      <c r="J4672" s="1"/>
      <c r="K4672" s="3"/>
    </row>
    <row r="4673" spans="9:11">
      <c r="I4673" s="1"/>
      <c r="J4673" s="1"/>
      <c r="K4673" s="3"/>
    </row>
    <row r="4674" spans="9:11">
      <c r="I4674" s="1"/>
      <c r="J4674" s="1"/>
      <c r="K4674" s="3"/>
    </row>
    <row r="4675" spans="9:11">
      <c r="I4675" s="1"/>
      <c r="J4675" s="1"/>
      <c r="K4675" s="3"/>
    </row>
    <row r="4676" spans="9:11">
      <c r="I4676" s="1"/>
      <c r="J4676" s="1"/>
      <c r="K4676" s="3"/>
    </row>
    <row r="4677" spans="9:11">
      <c r="I4677" s="1"/>
      <c r="J4677" s="1"/>
      <c r="K4677" s="3"/>
    </row>
    <row r="4678" spans="9:11">
      <c r="I4678" s="1"/>
      <c r="J4678" s="1"/>
      <c r="K4678" s="3"/>
    </row>
    <row r="4679" spans="9:11">
      <c r="I4679" s="1"/>
      <c r="J4679" s="1"/>
      <c r="K4679" s="3"/>
    </row>
    <row r="4680" spans="9:11">
      <c r="I4680" s="1"/>
      <c r="J4680" s="1"/>
      <c r="K4680" s="3"/>
    </row>
    <row r="4681" spans="9:11">
      <c r="I4681" s="1"/>
      <c r="J4681" s="1"/>
      <c r="K4681" s="3"/>
    </row>
    <row r="4682" spans="9:11">
      <c r="I4682" s="1"/>
      <c r="J4682" s="1"/>
      <c r="K4682" s="3"/>
    </row>
    <row r="4683" spans="9:11">
      <c r="I4683" s="1"/>
      <c r="J4683" s="1"/>
      <c r="K4683" s="3"/>
    </row>
    <row r="4684" spans="9:11">
      <c r="I4684" s="1"/>
      <c r="J4684" s="1"/>
      <c r="K4684" s="3"/>
    </row>
    <row r="4685" spans="9:11">
      <c r="I4685" s="1"/>
      <c r="J4685" s="1"/>
      <c r="K4685" s="3"/>
    </row>
    <row r="4686" spans="9:11">
      <c r="I4686" s="1"/>
      <c r="J4686" s="1"/>
      <c r="K4686" s="3"/>
    </row>
    <row r="4687" spans="9:11">
      <c r="I4687" s="1"/>
      <c r="J4687" s="1"/>
      <c r="K4687" s="3"/>
    </row>
    <row r="4688" spans="9:11">
      <c r="I4688" s="1"/>
      <c r="J4688" s="1"/>
      <c r="K4688" s="3"/>
    </row>
    <row r="4689" spans="9:11">
      <c r="I4689" s="1"/>
      <c r="J4689" s="1"/>
      <c r="K4689" s="3"/>
    </row>
    <row r="4690" spans="9:11">
      <c r="I4690" s="1"/>
      <c r="J4690" s="1"/>
      <c r="K4690" s="3"/>
    </row>
    <row r="4691" spans="9:11">
      <c r="I4691" s="1"/>
      <c r="J4691" s="1"/>
      <c r="K4691" s="3"/>
    </row>
    <row r="4692" spans="9:11">
      <c r="I4692" s="1"/>
      <c r="J4692" s="1"/>
      <c r="K4692" s="3"/>
    </row>
    <row r="4693" spans="9:11">
      <c r="I4693" s="1"/>
      <c r="J4693" s="1"/>
      <c r="K4693" s="3"/>
    </row>
    <row r="4694" spans="9:11">
      <c r="I4694" s="1"/>
      <c r="J4694" s="1"/>
      <c r="K4694" s="3"/>
    </row>
    <row r="4695" spans="9:11">
      <c r="I4695" s="1"/>
      <c r="J4695" s="1"/>
      <c r="K4695" s="3"/>
    </row>
    <row r="4696" spans="9:11">
      <c r="I4696" s="1"/>
      <c r="J4696" s="1"/>
      <c r="K4696" s="3"/>
    </row>
    <row r="4697" spans="9:11">
      <c r="I4697" s="1"/>
      <c r="J4697" s="1"/>
      <c r="K4697" s="3"/>
    </row>
    <row r="4698" spans="9:11">
      <c r="I4698" s="1"/>
      <c r="J4698" s="1"/>
      <c r="K4698" s="3"/>
    </row>
    <row r="4699" spans="9:11">
      <c r="I4699" s="1"/>
      <c r="J4699" s="1"/>
      <c r="K4699" s="3"/>
    </row>
    <row r="4700" spans="9:11">
      <c r="I4700" s="1"/>
      <c r="J4700" s="1"/>
      <c r="K4700" s="3"/>
    </row>
    <row r="4701" spans="9:11">
      <c r="I4701" s="1"/>
      <c r="J4701" s="1"/>
      <c r="K4701" s="3"/>
    </row>
    <row r="4702" spans="9:11">
      <c r="I4702" s="1"/>
      <c r="J4702" s="1"/>
      <c r="K4702" s="3"/>
    </row>
    <row r="4703" spans="9:11">
      <c r="I4703" s="1"/>
      <c r="J4703" s="1"/>
      <c r="K4703" s="3"/>
    </row>
    <row r="4704" spans="9:11">
      <c r="I4704" s="1"/>
      <c r="J4704" s="1"/>
      <c r="K4704" s="3"/>
    </row>
    <row r="4705" spans="9:11">
      <c r="I4705" s="1"/>
      <c r="J4705" s="1"/>
      <c r="K4705" s="3"/>
    </row>
    <row r="4706" spans="9:11">
      <c r="I4706" s="1"/>
      <c r="J4706" s="1"/>
      <c r="K4706" s="3"/>
    </row>
    <row r="4707" spans="9:11">
      <c r="I4707" s="1"/>
      <c r="J4707" s="1"/>
      <c r="K4707" s="3"/>
    </row>
    <row r="4708" spans="9:11">
      <c r="I4708" s="1"/>
      <c r="J4708" s="1"/>
      <c r="K4708" s="3"/>
    </row>
    <row r="4709" spans="9:11">
      <c r="I4709" s="1"/>
      <c r="J4709" s="1"/>
      <c r="K4709" s="3"/>
    </row>
    <row r="4710" spans="9:11">
      <c r="I4710" s="1"/>
      <c r="J4710" s="1"/>
      <c r="K4710" s="3"/>
    </row>
    <row r="4711" spans="9:11">
      <c r="I4711" s="1"/>
      <c r="J4711" s="1"/>
      <c r="K4711" s="3"/>
    </row>
    <row r="4712" spans="9:11">
      <c r="I4712" s="1"/>
      <c r="J4712" s="1"/>
      <c r="K4712" s="3"/>
    </row>
    <row r="4713" spans="9:11">
      <c r="I4713" s="1"/>
      <c r="J4713" s="1"/>
      <c r="K4713" s="3"/>
    </row>
    <row r="4714" spans="9:11">
      <c r="I4714" s="1"/>
      <c r="J4714" s="1"/>
      <c r="K4714" s="3"/>
    </row>
    <row r="4715" spans="9:11">
      <c r="I4715" s="1"/>
      <c r="J4715" s="1"/>
      <c r="K4715" s="3"/>
    </row>
    <row r="4716" spans="9:11">
      <c r="I4716" s="1"/>
      <c r="J4716" s="1"/>
      <c r="K4716" s="3"/>
    </row>
    <row r="4717" spans="9:11">
      <c r="I4717" s="1"/>
      <c r="J4717" s="1"/>
      <c r="K4717" s="3"/>
    </row>
    <row r="4718" spans="9:11">
      <c r="I4718" s="1"/>
      <c r="J4718" s="1"/>
      <c r="K4718" s="3"/>
    </row>
    <row r="4719" spans="9:11">
      <c r="I4719" s="1"/>
      <c r="J4719" s="1"/>
      <c r="K4719" s="3"/>
    </row>
    <row r="4720" spans="9:11">
      <c r="I4720" s="1"/>
      <c r="J4720" s="1"/>
      <c r="K4720" s="3"/>
    </row>
    <row r="4721" spans="9:11">
      <c r="I4721" s="1"/>
      <c r="J4721" s="1"/>
      <c r="K4721" s="3"/>
    </row>
    <row r="4722" spans="9:11">
      <c r="I4722" s="1"/>
      <c r="J4722" s="1"/>
      <c r="K4722" s="3"/>
    </row>
    <row r="4723" spans="9:11">
      <c r="I4723" s="1"/>
      <c r="J4723" s="1"/>
      <c r="K4723" s="3"/>
    </row>
    <row r="4724" spans="9:11">
      <c r="I4724" s="1"/>
      <c r="J4724" s="1"/>
      <c r="K4724" s="3"/>
    </row>
    <row r="4725" spans="9:11">
      <c r="I4725" s="1"/>
      <c r="J4725" s="1"/>
      <c r="K4725" s="3"/>
    </row>
    <row r="4726" spans="9:11">
      <c r="I4726" s="1"/>
      <c r="J4726" s="1"/>
      <c r="K4726" s="3"/>
    </row>
    <row r="4727" spans="9:11">
      <c r="I4727" s="1"/>
      <c r="J4727" s="1"/>
      <c r="K4727" s="3"/>
    </row>
    <row r="4728" spans="9:11">
      <c r="I4728" s="1"/>
      <c r="J4728" s="1"/>
      <c r="K4728" s="3"/>
    </row>
    <row r="4729" spans="9:11">
      <c r="I4729" s="1"/>
      <c r="J4729" s="1"/>
      <c r="K4729" s="3"/>
    </row>
    <row r="4730" spans="9:11">
      <c r="I4730" s="1"/>
      <c r="J4730" s="1"/>
      <c r="K4730" s="3"/>
    </row>
    <row r="4731" spans="9:11">
      <c r="I4731" s="1"/>
      <c r="J4731" s="1"/>
      <c r="K4731" s="3"/>
    </row>
    <row r="4732" spans="9:11">
      <c r="I4732" s="1"/>
      <c r="J4732" s="1"/>
      <c r="K4732" s="3"/>
    </row>
    <row r="4733" spans="9:11">
      <c r="I4733" s="1"/>
      <c r="J4733" s="1"/>
      <c r="K4733" s="3"/>
    </row>
    <row r="4734" spans="9:11">
      <c r="I4734" s="1"/>
      <c r="J4734" s="1"/>
      <c r="K4734" s="3"/>
    </row>
    <row r="4735" spans="9:11">
      <c r="I4735" s="1"/>
      <c r="J4735" s="1"/>
      <c r="K4735" s="3"/>
    </row>
    <row r="4736" spans="9:11">
      <c r="I4736" s="1"/>
      <c r="J4736" s="1"/>
      <c r="K4736" s="3"/>
    </row>
    <row r="4737" spans="9:11">
      <c r="I4737" s="1"/>
      <c r="J4737" s="1"/>
      <c r="K4737" s="3"/>
    </row>
    <row r="4738" spans="9:11">
      <c r="I4738" s="1"/>
      <c r="J4738" s="1"/>
      <c r="K4738" s="3"/>
    </row>
    <row r="4739" spans="9:11">
      <c r="I4739" s="1"/>
      <c r="J4739" s="1"/>
      <c r="K4739" s="3"/>
    </row>
    <row r="4740" spans="9:11">
      <c r="I4740" s="1"/>
      <c r="J4740" s="1"/>
      <c r="K4740" s="3"/>
    </row>
    <row r="4741" spans="9:11">
      <c r="I4741" s="1"/>
      <c r="J4741" s="1"/>
      <c r="K4741" s="3"/>
    </row>
    <row r="4742" spans="9:11">
      <c r="I4742" s="1"/>
      <c r="J4742" s="1"/>
      <c r="K4742" s="3"/>
    </row>
    <row r="4743" spans="9:11">
      <c r="I4743" s="1"/>
      <c r="J4743" s="1"/>
      <c r="K4743" s="3"/>
    </row>
    <row r="4744" spans="9:11">
      <c r="I4744" s="1"/>
      <c r="J4744" s="1"/>
      <c r="K4744" s="3"/>
    </row>
    <row r="4745" spans="9:11">
      <c r="I4745" s="1"/>
      <c r="J4745" s="1"/>
      <c r="K4745" s="3"/>
    </row>
    <row r="4746" spans="9:11">
      <c r="I4746" s="1"/>
      <c r="J4746" s="1"/>
      <c r="K4746" s="3"/>
    </row>
    <row r="4747" spans="9:11">
      <c r="I4747" s="1"/>
      <c r="J4747" s="1"/>
      <c r="K4747" s="3"/>
    </row>
    <row r="4748" spans="9:11">
      <c r="I4748" s="1"/>
      <c r="J4748" s="1"/>
      <c r="K4748" s="3"/>
    </row>
    <row r="4749" spans="9:11">
      <c r="I4749" s="1"/>
      <c r="J4749" s="1"/>
      <c r="K4749" s="3"/>
    </row>
    <row r="4750" spans="9:11">
      <c r="I4750" s="1"/>
      <c r="J4750" s="1"/>
      <c r="K4750" s="3"/>
    </row>
    <row r="4751" spans="9:11">
      <c r="I4751" s="1"/>
      <c r="J4751" s="1"/>
      <c r="K4751" s="3"/>
    </row>
    <row r="4752" spans="9:11">
      <c r="I4752" s="1"/>
      <c r="J4752" s="1"/>
      <c r="K4752" s="3"/>
    </row>
    <row r="4753" spans="9:11">
      <c r="I4753" s="1"/>
      <c r="J4753" s="1"/>
      <c r="K4753" s="3"/>
    </row>
    <row r="4754" spans="9:11">
      <c r="I4754" s="1"/>
      <c r="J4754" s="1"/>
      <c r="K4754" s="3"/>
    </row>
    <row r="4755" spans="9:11">
      <c r="I4755" s="1"/>
      <c r="J4755" s="1"/>
      <c r="K4755" s="3"/>
    </row>
    <row r="4756" spans="9:11">
      <c r="I4756" s="1"/>
      <c r="J4756" s="1"/>
      <c r="K4756" s="3"/>
    </row>
    <row r="4757" spans="9:11">
      <c r="I4757" s="1"/>
      <c r="J4757" s="1"/>
      <c r="K4757" s="3"/>
    </row>
    <row r="4758" spans="9:11">
      <c r="I4758" s="1"/>
      <c r="J4758" s="1"/>
      <c r="K4758" s="3"/>
    </row>
    <row r="4759" spans="9:11">
      <c r="I4759" s="1"/>
      <c r="J4759" s="1"/>
      <c r="K4759" s="3"/>
    </row>
    <row r="4760" spans="9:11">
      <c r="I4760" s="1"/>
      <c r="J4760" s="1"/>
      <c r="K4760" s="3"/>
    </row>
    <row r="4761" spans="9:11">
      <c r="I4761" s="1"/>
      <c r="J4761" s="1"/>
      <c r="K4761" s="3"/>
    </row>
    <row r="4762" spans="9:11">
      <c r="I4762" s="1"/>
      <c r="J4762" s="1"/>
      <c r="K4762" s="3"/>
    </row>
    <row r="4763" spans="9:11">
      <c r="I4763" s="1"/>
      <c r="J4763" s="1"/>
      <c r="K4763" s="3"/>
    </row>
    <row r="4764" spans="9:11">
      <c r="I4764" s="1"/>
      <c r="J4764" s="1"/>
      <c r="K4764" s="3"/>
    </row>
    <row r="4765" spans="9:11">
      <c r="I4765" s="1"/>
      <c r="J4765" s="1"/>
      <c r="K4765" s="3"/>
    </row>
    <row r="4766" spans="9:11">
      <c r="I4766" s="1"/>
      <c r="J4766" s="1"/>
      <c r="K4766" s="3"/>
    </row>
    <row r="4767" spans="9:11">
      <c r="I4767" s="1"/>
      <c r="J4767" s="1"/>
      <c r="K4767" s="3"/>
    </row>
    <row r="4768" spans="9:11">
      <c r="I4768" s="1"/>
      <c r="J4768" s="1"/>
      <c r="K4768" s="3"/>
    </row>
    <row r="4769" spans="9:11">
      <c r="I4769" s="1"/>
      <c r="J4769" s="1"/>
      <c r="K4769" s="3"/>
    </row>
    <row r="4770" spans="9:11">
      <c r="I4770" s="1"/>
      <c r="J4770" s="1"/>
      <c r="K4770" s="3"/>
    </row>
    <row r="4771" spans="9:11">
      <c r="I4771" s="1"/>
      <c r="J4771" s="1"/>
      <c r="K4771" s="3"/>
    </row>
    <row r="4772" spans="9:11">
      <c r="I4772" s="1"/>
      <c r="J4772" s="1"/>
      <c r="K4772" s="3"/>
    </row>
    <row r="4773" spans="9:11">
      <c r="I4773" s="1"/>
      <c r="J4773" s="1"/>
      <c r="K4773" s="3"/>
    </row>
    <row r="4774" spans="9:11">
      <c r="I4774" s="1"/>
      <c r="J4774" s="1"/>
      <c r="K4774" s="3"/>
    </row>
    <row r="4775" spans="9:11">
      <c r="I4775" s="1"/>
      <c r="J4775" s="1"/>
      <c r="K4775" s="3"/>
    </row>
    <row r="4776" spans="9:11">
      <c r="I4776" s="1"/>
      <c r="J4776" s="1"/>
      <c r="K4776" s="3"/>
    </row>
    <row r="4777" spans="9:11">
      <c r="I4777" s="1"/>
      <c r="J4777" s="1"/>
      <c r="K4777" s="3"/>
    </row>
    <row r="4778" spans="9:11">
      <c r="I4778" s="1"/>
      <c r="J4778" s="1"/>
      <c r="K4778" s="3"/>
    </row>
    <row r="4779" spans="9:11">
      <c r="I4779" s="1"/>
      <c r="J4779" s="1"/>
      <c r="K4779" s="3"/>
    </row>
    <row r="4780" spans="9:11">
      <c r="I4780" s="1"/>
      <c r="J4780" s="1"/>
      <c r="K4780" s="3"/>
    </row>
    <row r="4781" spans="9:11">
      <c r="I4781" s="1"/>
      <c r="J4781" s="1"/>
      <c r="K4781" s="3"/>
    </row>
    <row r="4782" spans="9:11">
      <c r="I4782" s="1"/>
      <c r="J4782" s="1"/>
      <c r="K4782" s="3"/>
    </row>
    <row r="4783" spans="9:11">
      <c r="I4783" s="1"/>
      <c r="J4783" s="1"/>
      <c r="K4783" s="3"/>
    </row>
    <row r="4784" spans="9:11">
      <c r="I4784" s="1"/>
      <c r="J4784" s="1"/>
      <c r="K4784" s="3"/>
    </row>
    <row r="4785" spans="9:11">
      <c r="I4785" s="1"/>
      <c r="J4785" s="1"/>
      <c r="K4785" s="3"/>
    </row>
    <row r="4786" spans="9:11">
      <c r="I4786" s="1"/>
      <c r="J4786" s="1"/>
      <c r="K4786" s="3"/>
    </row>
    <row r="4787" spans="9:11">
      <c r="I4787" s="1"/>
      <c r="J4787" s="1"/>
      <c r="K4787" s="3"/>
    </row>
    <row r="4788" spans="9:11">
      <c r="I4788" s="1"/>
      <c r="J4788" s="1"/>
      <c r="K4788" s="3"/>
    </row>
    <row r="4789" spans="9:11">
      <c r="I4789" s="1"/>
      <c r="J4789" s="1"/>
      <c r="K4789" s="3"/>
    </row>
    <row r="4790" spans="9:11">
      <c r="I4790" s="1"/>
      <c r="J4790" s="1"/>
      <c r="K4790" s="3"/>
    </row>
    <row r="4791" spans="9:11">
      <c r="I4791" s="1"/>
      <c r="J4791" s="1"/>
      <c r="K4791" s="3"/>
    </row>
    <row r="4792" spans="9:11">
      <c r="I4792" s="1"/>
      <c r="J4792" s="1"/>
      <c r="K4792" s="3"/>
    </row>
    <row r="4793" spans="9:11">
      <c r="I4793" s="1"/>
      <c r="J4793" s="1"/>
      <c r="K4793" s="3"/>
    </row>
    <row r="4794" spans="9:11">
      <c r="I4794" s="1"/>
      <c r="J4794" s="1"/>
      <c r="K4794" s="3"/>
    </row>
    <row r="4795" spans="9:11">
      <c r="I4795" s="1"/>
      <c r="J4795" s="1"/>
      <c r="K4795" s="3"/>
    </row>
    <row r="4796" spans="9:11">
      <c r="I4796" s="1"/>
      <c r="J4796" s="1"/>
      <c r="K4796" s="3"/>
    </row>
    <row r="4797" spans="9:11">
      <c r="I4797" s="1"/>
      <c r="J4797" s="1"/>
      <c r="K4797" s="3"/>
    </row>
    <row r="4798" spans="9:11">
      <c r="I4798" s="1"/>
      <c r="J4798" s="1"/>
      <c r="K4798" s="3"/>
    </row>
    <row r="4799" spans="9:11">
      <c r="I4799" s="1"/>
      <c r="J4799" s="1"/>
      <c r="K4799" s="3"/>
    </row>
    <row r="4800" spans="9:11">
      <c r="I4800" s="1"/>
      <c r="J4800" s="1"/>
      <c r="K4800" s="3"/>
    </row>
    <row r="4801" spans="9:11">
      <c r="I4801" s="1"/>
      <c r="J4801" s="1"/>
      <c r="K4801" s="3"/>
    </row>
    <row r="4802" spans="9:11">
      <c r="I4802" s="1"/>
      <c r="J4802" s="1"/>
      <c r="K4802" s="3"/>
    </row>
    <row r="4803" spans="9:11">
      <c r="I4803" s="1"/>
      <c r="J4803" s="1"/>
      <c r="K4803" s="3"/>
    </row>
    <row r="4804" spans="9:11">
      <c r="I4804" s="1"/>
      <c r="J4804" s="1"/>
      <c r="K4804" s="3"/>
    </row>
    <row r="4805" spans="9:11">
      <c r="I4805" s="1"/>
      <c r="J4805" s="1"/>
      <c r="K4805" s="3"/>
    </row>
    <row r="4806" spans="9:11">
      <c r="I4806" s="1"/>
      <c r="J4806" s="1"/>
      <c r="K4806" s="3"/>
    </row>
    <row r="4807" spans="9:11">
      <c r="I4807" s="1"/>
      <c r="J4807" s="1"/>
      <c r="K4807" s="3"/>
    </row>
    <row r="4808" spans="9:11">
      <c r="I4808" s="1"/>
      <c r="J4808" s="1"/>
      <c r="K4808" s="3"/>
    </row>
    <row r="4809" spans="9:11">
      <c r="I4809" s="1"/>
      <c r="J4809" s="1"/>
      <c r="K4809" s="3"/>
    </row>
    <row r="4810" spans="9:11">
      <c r="I4810" s="1"/>
      <c r="J4810" s="1"/>
      <c r="K4810" s="3"/>
    </row>
    <row r="4811" spans="9:11">
      <c r="I4811" s="1"/>
      <c r="J4811" s="1"/>
      <c r="K4811" s="3"/>
    </row>
    <row r="4812" spans="9:11">
      <c r="I4812" s="1"/>
      <c r="J4812" s="1"/>
      <c r="K4812" s="3"/>
    </row>
    <row r="4813" spans="9:11">
      <c r="I4813" s="1"/>
      <c r="J4813" s="1"/>
      <c r="K4813" s="3"/>
    </row>
    <row r="4814" spans="9:11">
      <c r="I4814" s="1"/>
      <c r="J4814" s="1"/>
      <c r="K4814" s="3"/>
    </row>
    <row r="4815" spans="9:11">
      <c r="I4815" s="1"/>
      <c r="J4815" s="1"/>
      <c r="K4815" s="3"/>
    </row>
    <row r="4816" spans="9:11">
      <c r="I4816" s="1"/>
      <c r="J4816" s="1"/>
      <c r="K4816" s="3"/>
    </row>
    <row r="4817" spans="9:11">
      <c r="I4817" s="1"/>
      <c r="J4817" s="1"/>
      <c r="K4817" s="3"/>
    </row>
    <row r="4818" spans="9:11">
      <c r="I4818" s="1"/>
      <c r="J4818" s="1"/>
      <c r="K4818" s="3"/>
    </row>
    <row r="4819" spans="9:11">
      <c r="I4819" s="1"/>
      <c r="J4819" s="1"/>
      <c r="K4819" s="3"/>
    </row>
    <row r="4820" spans="9:11">
      <c r="I4820" s="1"/>
      <c r="J4820" s="1"/>
      <c r="K4820" s="3"/>
    </row>
    <row r="4821" spans="9:11">
      <c r="I4821" s="1"/>
      <c r="J4821" s="1"/>
      <c r="K4821" s="3"/>
    </row>
    <row r="4822" spans="9:11">
      <c r="I4822" s="1"/>
      <c r="J4822" s="1"/>
      <c r="K4822" s="3"/>
    </row>
    <row r="4823" spans="9:11">
      <c r="I4823" s="1"/>
      <c r="J4823" s="1"/>
      <c r="K4823" s="3"/>
    </row>
    <row r="4824" spans="9:11">
      <c r="I4824" s="1"/>
      <c r="J4824" s="1"/>
      <c r="K4824" s="3"/>
    </row>
    <row r="4825" spans="9:11">
      <c r="I4825" s="1"/>
      <c r="J4825" s="1"/>
      <c r="K4825" s="3"/>
    </row>
    <row r="4826" spans="9:11">
      <c r="I4826" s="1"/>
      <c r="J4826" s="1"/>
      <c r="K4826" s="3"/>
    </row>
    <row r="4827" spans="9:11">
      <c r="I4827" s="1"/>
      <c r="J4827" s="1"/>
      <c r="K4827" s="3"/>
    </row>
    <row r="4828" spans="9:11">
      <c r="I4828" s="1"/>
      <c r="J4828" s="1"/>
      <c r="K4828" s="3"/>
    </row>
    <row r="4829" spans="9:11">
      <c r="I4829" s="1"/>
      <c r="J4829" s="1"/>
      <c r="K4829" s="3"/>
    </row>
    <row r="4830" spans="9:11">
      <c r="I4830" s="1"/>
      <c r="J4830" s="1"/>
      <c r="K4830" s="3"/>
    </row>
    <row r="4831" spans="9:11">
      <c r="I4831" s="1"/>
      <c r="J4831" s="1"/>
      <c r="K4831" s="3"/>
    </row>
    <row r="4832" spans="9:11">
      <c r="I4832" s="1"/>
      <c r="J4832" s="1"/>
      <c r="K4832" s="3"/>
    </row>
    <row r="4833" spans="9:11">
      <c r="I4833" s="1"/>
      <c r="J4833" s="1"/>
      <c r="K4833" s="3"/>
    </row>
    <row r="4834" spans="9:11">
      <c r="I4834" s="1"/>
      <c r="J4834" s="1"/>
      <c r="K4834" s="3"/>
    </row>
    <row r="4835" spans="9:11">
      <c r="I4835" s="1"/>
      <c r="J4835" s="1"/>
      <c r="K4835" s="3"/>
    </row>
    <row r="4836" spans="9:11">
      <c r="I4836" s="1"/>
      <c r="J4836" s="1"/>
      <c r="K4836" s="3"/>
    </row>
    <row r="4837" spans="9:11">
      <c r="I4837" s="1"/>
      <c r="J4837" s="1"/>
      <c r="K4837" s="3"/>
    </row>
    <row r="4838" spans="9:11">
      <c r="I4838" s="1"/>
      <c r="J4838" s="1"/>
      <c r="K4838" s="3"/>
    </row>
    <row r="4839" spans="9:11">
      <c r="I4839" s="1"/>
      <c r="J4839" s="1"/>
      <c r="K4839" s="3"/>
    </row>
    <row r="4840" spans="9:11">
      <c r="I4840" s="1"/>
      <c r="J4840" s="1"/>
      <c r="K4840" s="3"/>
    </row>
    <row r="4841" spans="9:11">
      <c r="I4841" s="1"/>
      <c r="J4841" s="1"/>
      <c r="K4841" s="3"/>
    </row>
    <row r="4842" spans="9:11">
      <c r="I4842" s="1"/>
      <c r="J4842" s="1"/>
      <c r="K4842" s="3"/>
    </row>
    <row r="4843" spans="9:11">
      <c r="I4843" s="1"/>
      <c r="J4843" s="1"/>
      <c r="K4843" s="3"/>
    </row>
    <row r="4844" spans="9:11">
      <c r="I4844" s="1"/>
      <c r="J4844" s="1"/>
      <c r="K4844" s="3"/>
    </row>
    <row r="4845" spans="9:11">
      <c r="I4845" s="1"/>
      <c r="J4845" s="1"/>
      <c r="K4845" s="3"/>
    </row>
    <row r="4846" spans="9:11">
      <c r="I4846" s="1"/>
      <c r="J4846" s="1"/>
      <c r="K4846" s="3"/>
    </row>
    <row r="4847" spans="9:11">
      <c r="I4847" s="1"/>
      <c r="J4847" s="1"/>
      <c r="K4847" s="3"/>
    </row>
    <row r="4848" spans="9:11">
      <c r="I4848" s="1"/>
      <c r="J4848" s="1"/>
      <c r="K4848" s="3"/>
    </row>
    <row r="4849" spans="9:11">
      <c r="I4849" s="1"/>
      <c r="J4849" s="1"/>
      <c r="K4849" s="3"/>
    </row>
    <row r="4850" spans="9:11">
      <c r="I4850" s="1"/>
      <c r="J4850" s="1"/>
      <c r="K4850" s="3"/>
    </row>
    <row r="4851" spans="9:11">
      <c r="I4851" s="1"/>
      <c r="J4851" s="1"/>
      <c r="K4851" s="3"/>
    </row>
    <row r="4852" spans="9:11">
      <c r="I4852" s="1"/>
      <c r="J4852" s="1"/>
      <c r="K4852" s="3"/>
    </row>
    <row r="4853" spans="9:11">
      <c r="I4853" s="1"/>
      <c r="J4853" s="1"/>
      <c r="K4853" s="3"/>
    </row>
    <row r="4854" spans="9:11">
      <c r="I4854" s="1"/>
      <c r="J4854" s="1"/>
      <c r="K4854" s="3"/>
    </row>
    <row r="4855" spans="9:11">
      <c r="I4855" s="1"/>
      <c r="J4855" s="1"/>
      <c r="K4855" s="3"/>
    </row>
    <row r="4856" spans="9:11">
      <c r="I4856" s="1"/>
      <c r="J4856" s="1"/>
      <c r="K4856" s="3"/>
    </row>
    <row r="4857" spans="9:11">
      <c r="I4857" s="1"/>
      <c r="J4857" s="1"/>
      <c r="K4857" s="3"/>
    </row>
    <row r="4858" spans="9:11">
      <c r="I4858" s="1"/>
      <c r="J4858" s="1"/>
      <c r="K4858" s="3"/>
    </row>
    <row r="4859" spans="9:11">
      <c r="I4859" s="1"/>
      <c r="J4859" s="1"/>
      <c r="K4859" s="3"/>
    </row>
    <row r="4860" spans="9:11">
      <c r="I4860" s="1"/>
      <c r="J4860" s="1"/>
      <c r="K4860" s="3"/>
    </row>
    <row r="4861" spans="9:11">
      <c r="I4861" s="1"/>
      <c r="J4861" s="1"/>
      <c r="K4861" s="3"/>
    </row>
    <row r="4862" spans="9:11">
      <c r="I4862" s="1"/>
      <c r="J4862" s="1"/>
      <c r="K4862" s="3"/>
    </row>
    <row r="4863" spans="9:11">
      <c r="I4863" s="1"/>
      <c r="J4863" s="1"/>
      <c r="K4863" s="3"/>
    </row>
    <row r="4864" spans="9:11">
      <c r="I4864" s="1"/>
      <c r="J4864" s="1"/>
      <c r="K4864" s="3"/>
    </row>
    <row r="4865" spans="9:11">
      <c r="I4865" s="1"/>
      <c r="J4865" s="1"/>
      <c r="K4865" s="3"/>
    </row>
    <row r="4866" spans="9:11">
      <c r="I4866" s="1"/>
      <c r="J4866" s="1"/>
      <c r="K4866" s="3"/>
    </row>
    <row r="4867" spans="9:11">
      <c r="I4867" s="1"/>
      <c r="J4867" s="1"/>
      <c r="K4867" s="3"/>
    </row>
    <row r="4868" spans="9:11">
      <c r="I4868" s="1"/>
      <c r="J4868" s="1"/>
      <c r="K4868" s="3"/>
    </row>
    <row r="4869" spans="9:11">
      <c r="I4869" s="1"/>
      <c r="J4869" s="1"/>
      <c r="K4869" s="3"/>
    </row>
    <row r="4870" spans="9:11">
      <c r="I4870" s="1"/>
      <c r="J4870" s="1"/>
      <c r="K4870" s="3"/>
    </row>
    <row r="4871" spans="9:11">
      <c r="I4871" s="1"/>
      <c r="J4871" s="1"/>
      <c r="K4871" s="3"/>
    </row>
    <row r="4872" spans="9:11">
      <c r="I4872" s="1"/>
      <c r="J4872" s="1"/>
      <c r="K4872" s="3"/>
    </row>
    <row r="4873" spans="9:11">
      <c r="I4873" s="1"/>
      <c r="J4873" s="1"/>
      <c r="K4873" s="3"/>
    </row>
    <row r="4874" spans="9:11">
      <c r="I4874" s="1"/>
      <c r="J4874" s="1"/>
      <c r="K4874" s="3"/>
    </row>
    <row r="4875" spans="9:11">
      <c r="I4875" s="1"/>
      <c r="J4875" s="1"/>
      <c r="K4875" s="3"/>
    </row>
    <row r="4876" spans="9:11">
      <c r="I4876" s="1"/>
      <c r="J4876" s="1"/>
      <c r="K4876" s="3"/>
    </row>
    <row r="4877" spans="9:11">
      <c r="I4877" s="1"/>
      <c r="J4877" s="1"/>
      <c r="K4877" s="3"/>
    </row>
    <row r="4878" spans="9:11">
      <c r="I4878" s="1"/>
      <c r="J4878" s="1"/>
      <c r="K4878" s="3"/>
    </row>
    <row r="4879" spans="9:11">
      <c r="I4879" s="1"/>
      <c r="J4879" s="1"/>
      <c r="K4879" s="3"/>
    </row>
    <row r="4880" spans="9:11">
      <c r="I4880" s="1"/>
      <c r="J4880" s="1"/>
      <c r="K4880" s="3"/>
    </row>
    <row r="4881" spans="9:11">
      <c r="I4881" s="1"/>
      <c r="J4881" s="1"/>
      <c r="K4881" s="3"/>
    </row>
    <row r="4882" spans="9:11">
      <c r="I4882" s="1"/>
      <c r="J4882" s="1"/>
      <c r="K4882" s="3"/>
    </row>
    <row r="4883" spans="9:11">
      <c r="I4883" s="1"/>
      <c r="J4883" s="1"/>
      <c r="K4883" s="3"/>
    </row>
    <row r="4884" spans="9:11">
      <c r="I4884" s="1"/>
      <c r="J4884" s="1"/>
      <c r="K4884" s="3"/>
    </row>
    <row r="4885" spans="9:11">
      <c r="I4885" s="1"/>
      <c r="J4885" s="1"/>
      <c r="K4885" s="3"/>
    </row>
    <row r="4886" spans="9:11">
      <c r="I4886" s="1"/>
      <c r="J4886" s="1"/>
      <c r="K4886" s="3"/>
    </row>
    <row r="4887" spans="9:11">
      <c r="I4887" s="1"/>
      <c r="J4887" s="1"/>
      <c r="K4887" s="3"/>
    </row>
    <row r="4888" spans="9:11">
      <c r="I4888" s="1"/>
      <c r="J4888" s="1"/>
      <c r="K4888" s="3"/>
    </row>
    <row r="4889" spans="9:11">
      <c r="I4889" s="1"/>
      <c r="J4889" s="1"/>
      <c r="K4889" s="3"/>
    </row>
    <row r="4890" spans="9:11">
      <c r="I4890" s="1"/>
      <c r="J4890" s="1"/>
      <c r="K4890" s="3"/>
    </row>
    <row r="4891" spans="9:11">
      <c r="I4891" s="1"/>
      <c r="J4891" s="1"/>
      <c r="K4891" s="3"/>
    </row>
    <row r="4892" spans="9:11">
      <c r="I4892" s="1"/>
      <c r="J4892" s="1"/>
      <c r="K4892" s="3"/>
    </row>
    <row r="4893" spans="9:11">
      <c r="I4893" s="1"/>
      <c r="J4893" s="1"/>
      <c r="K4893" s="3"/>
    </row>
    <row r="4894" spans="9:11">
      <c r="I4894" s="1"/>
      <c r="J4894" s="1"/>
      <c r="K4894" s="3"/>
    </row>
    <row r="4895" spans="9:11">
      <c r="I4895" s="1"/>
      <c r="J4895" s="1"/>
      <c r="K4895" s="3"/>
    </row>
    <row r="4896" spans="9:11">
      <c r="I4896" s="1"/>
      <c r="J4896" s="1"/>
      <c r="K4896" s="3"/>
    </row>
    <row r="4897" spans="9:11">
      <c r="I4897" s="1"/>
      <c r="J4897" s="1"/>
      <c r="K4897" s="3"/>
    </row>
    <row r="4898" spans="9:11">
      <c r="I4898" s="1"/>
      <c r="J4898" s="1"/>
      <c r="K4898" s="3"/>
    </row>
    <row r="4899" spans="9:11">
      <c r="I4899" s="1"/>
      <c r="J4899" s="1"/>
      <c r="K4899" s="3"/>
    </row>
    <row r="4900" spans="9:11">
      <c r="I4900" s="1"/>
      <c r="J4900" s="1"/>
      <c r="K4900" s="3"/>
    </row>
    <row r="4901" spans="9:11">
      <c r="I4901" s="1"/>
      <c r="J4901" s="1"/>
      <c r="K4901" s="3"/>
    </row>
    <row r="4902" spans="9:11">
      <c r="I4902" s="1"/>
      <c r="J4902" s="1"/>
      <c r="K4902" s="3"/>
    </row>
    <row r="4903" spans="9:11">
      <c r="I4903" s="1"/>
      <c r="J4903" s="1"/>
      <c r="K4903" s="3"/>
    </row>
    <row r="4904" spans="9:11">
      <c r="I4904" s="1"/>
      <c r="J4904" s="1"/>
      <c r="K4904" s="3"/>
    </row>
    <row r="4905" spans="9:11">
      <c r="I4905" s="1"/>
      <c r="J4905" s="1"/>
      <c r="K4905" s="3"/>
    </row>
    <row r="4906" spans="9:11">
      <c r="I4906" s="1"/>
      <c r="J4906" s="1"/>
      <c r="K4906" s="3"/>
    </row>
    <row r="4907" spans="9:11">
      <c r="I4907" s="1"/>
      <c r="J4907" s="1"/>
      <c r="K4907" s="3"/>
    </row>
    <row r="4908" spans="9:11">
      <c r="I4908" s="1"/>
      <c r="J4908" s="1"/>
      <c r="K4908" s="3"/>
    </row>
    <row r="4909" spans="9:11">
      <c r="I4909" s="1"/>
      <c r="J4909" s="1"/>
      <c r="K4909" s="3"/>
    </row>
    <row r="4910" spans="9:11">
      <c r="I4910" s="1"/>
      <c r="J4910" s="1"/>
      <c r="K4910" s="3"/>
    </row>
    <row r="4911" spans="9:11">
      <c r="I4911" s="1"/>
      <c r="J4911" s="1"/>
      <c r="K4911" s="3"/>
    </row>
    <row r="4912" spans="9:11">
      <c r="I4912" s="1"/>
      <c r="J4912" s="1"/>
      <c r="K4912" s="3"/>
    </row>
    <row r="4913" spans="9:11">
      <c r="I4913" s="1"/>
      <c r="J4913" s="1"/>
      <c r="K4913" s="3"/>
    </row>
    <row r="4914" spans="9:11">
      <c r="I4914" s="1"/>
      <c r="J4914" s="1"/>
      <c r="K4914" s="3"/>
    </row>
    <row r="4915" spans="9:11">
      <c r="I4915" s="1"/>
      <c r="J4915" s="1"/>
      <c r="K4915" s="3"/>
    </row>
    <row r="4916" spans="9:11">
      <c r="I4916" s="1"/>
      <c r="J4916" s="1"/>
      <c r="K4916" s="3"/>
    </row>
    <row r="4917" spans="9:11">
      <c r="I4917" s="1"/>
      <c r="J4917" s="1"/>
      <c r="K4917" s="3"/>
    </row>
    <row r="4918" spans="9:11">
      <c r="I4918" s="1"/>
      <c r="J4918" s="1"/>
      <c r="K4918" s="3"/>
    </row>
    <row r="4919" spans="9:11">
      <c r="I4919" s="1"/>
      <c r="J4919" s="1"/>
      <c r="K4919" s="3"/>
    </row>
    <row r="4920" spans="9:11">
      <c r="I4920" s="1"/>
      <c r="J4920" s="1"/>
      <c r="K4920" s="3"/>
    </row>
    <row r="4921" spans="9:11">
      <c r="I4921" s="1"/>
      <c r="J4921" s="1"/>
      <c r="K4921" s="3"/>
    </row>
    <row r="4922" spans="9:11">
      <c r="I4922" s="1"/>
      <c r="J4922" s="1"/>
      <c r="K4922" s="3"/>
    </row>
    <row r="4923" spans="9:11">
      <c r="I4923" s="1"/>
      <c r="J4923" s="1"/>
      <c r="K4923" s="3"/>
    </row>
    <row r="4924" spans="9:11">
      <c r="I4924" s="1"/>
      <c r="J4924" s="1"/>
      <c r="K4924" s="3"/>
    </row>
    <row r="4925" spans="9:11">
      <c r="I4925" s="1"/>
      <c r="J4925" s="1"/>
      <c r="K4925" s="3"/>
    </row>
    <row r="4926" spans="9:11">
      <c r="I4926" s="1"/>
      <c r="J4926" s="1"/>
      <c r="K4926" s="3"/>
    </row>
    <row r="4927" spans="9:11">
      <c r="I4927" s="1"/>
      <c r="J4927" s="1"/>
      <c r="K4927" s="3"/>
    </row>
    <row r="4928" spans="9:11">
      <c r="I4928" s="1"/>
      <c r="J4928" s="1"/>
      <c r="K4928" s="3"/>
    </row>
    <row r="4929" spans="9:11">
      <c r="I4929" s="1"/>
      <c r="J4929" s="1"/>
      <c r="K4929" s="3"/>
    </row>
    <row r="4930" spans="9:11">
      <c r="I4930" s="1"/>
      <c r="J4930" s="1"/>
      <c r="K4930" s="3"/>
    </row>
    <row r="4931" spans="9:11">
      <c r="I4931" s="1"/>
      <c r="J4931" s="1"/>
      <c r="K4931" s="3"/>
    </row>
    <row r="4932" spans="9:11">
      <c r="I4932" s="1"/>
      <c r="J4932" s="1"/>
      <c r="K4932" s="3"/>
    </row>
    <row r="4933" spans="9:11">
      <c r="I4933" s="1"/>
      <c r="J4933" s="1"/>
      <c r="K4933" s="3"/>
    </row>
    <row r="4934" spans="9:11">
      <c r="I4934" s="1"/>
      <c r="J4934" s="1"/>
      <c r="K4934" s="3"/>
    </row>
    <row r="4935" spans="9:11">
      <c r="I4935" s="1"/>
      <c r="J4935" s="1"/>
      <c r="K4935" s="3"/>
    </row>
    <row r="4936" spans="9:11">
      <c r="I4936" s="1"/>
      <c r="J4936" s="1"/>
      <c r="K4936" s="3"/>
    </row>
    <row r="4937" spans="9:11">
      <c r="I4937" s="1"/>
      <c r="J4937" s="1"/>
      <c r="K4937" s="3"/>
    </row>
    <row r="4938" spans="9:11">
      <c r="I4938" s="1"/>
      <c r="J4938" s="1"/>
      <c r="K4938" s="3"/>
    </row>
    <row r="4939" spans="9:11">
      <c r="I4939" s="1"/>
      <c r="J4939" s="1"/>
      <c r="K4939" s="3"/>
    </row>
    <row r="4940" spans="9:11">
      <c r="I4940" s="1"/>
      <c r="J4940" s="1"/>
      <c r="K4940" s="3"/>
    </row>
    <row r="4941" spans="9:11">
      <c r="I4941" s="1"/>
      <c r="J4941" s="1"/>
      <c r="K4941" s="3"/>
    </row>
    <row r="4942" spans="9:11">
      <c r="I4942" s="1"/>
      <c r="J4942" s="1"/>
      <c r="K4942" s="3"/>
    </row>
    <row r="4943" spans="9:11">
      <c r="I4943" s="1"/>
      <c r="J4943" s="1"/>
      <c r="K4943" s="3"/>
    </row>
    <row r="4944" spans="9:11">
      <c r="I4944" s="1"/>
      <c r="J4944" s="1"/>
      <c r="K4944" s="3"/>
    </row>
    <row r="4945" spans="9:11">
      <c r="I4945" s="1"/>
      <c r="J4945" s="1"/>
      <c r="K4945" s="3"/>
    </row>
    <row r="4946" spans="9:11">
      <c r="I4946" s="1"/>
      <c r="J4946" s="1"/>
      <c r="K4946" s="3"/>
    </row>
    <row r="4947" spans="9:11">
      <c r="I4947" s="1"/>
      <c r="J4947" s="1"/>
      <c r="K4947" s="3"/>
    </row>
    <row r="4948" spans="9:11">
      <c r="I4948" s="1"/>
      <c r="J4948" s="1"/>
      <c r="K4948" s="3"/>
    </row>
    <row r="4949" spans="9:11">
      <c r="I4949" s="1"/>
      <c r="J4949" s="1"/>
      <c r="K4949" s="3"/>
    </row>
    <row r="4950" spans="9:11">
      <c r="I4950" s="1"/>
      <c r="J4950" s="1"/>
      <c r="K4950" s="3"/>
    </row>
    <row r="4951" spans="9:11">
      <c r="I4951" s="1"/>
      <c r="J4951" s="1"/>
      <c r="K4951" s="3"/>
    </row>
    <row r="4952" spans="9:11">
      <c r="I4952" s="1"/>
      <c r="J4952" s="1"/>
      <c r="K4952" s="3"/>
    </row>
    <row r="4953" spans="9:11">
      <c r="I4953" s="1"/>
      <c r="J4953" s="1"/>
      <c r="K4953" s="3"/>
    </row>
    <row r="4954" spans="9:11">
      <c r="I4954" s="1"/>
      <c r="J4954" s="1"/>
      <c r="K4954" s="3"/>
    </row>
    <row r="4955" spans="9:11">
      <c r="I4955" s="1"/>
      <c r="J4955" s="1"/>
      <c r="K4955" s="3"/>
    </row>
    <row r="4956" spans="9:11">
      <c r="I4956" s="1"/>
      <c r="J4956" s="1"/>
      <c r="K4956" s="3"/>
    </row>
    <row r="4957" spans="9:11">
      <c r="I4957" s="1"/>
      <c r="J4957" s="1"/>
      <c r="K4957" s="3"/>
    </row>
    <row r="4958" spans="9:11">
      <c r="I4958" s="1"/>
      <c r="J4958" s="1"/>
      <c r="K4958" s="3"/>
    </row>
    <row r="4959" spans="9:11">
      <c r="I4959" s="1"/>
      <c r="J4959" s="1"/>
      <c r="K4959" s="3"/>
    </row>
    <row r="4960" spans="9:11">
      <c r="I4960" s="1"/>
      <c r="J4960" s="1"/>
      <c r="K4960" s="3"/>
    </row>
    <row r="4961" spans="9:11">
      <c r="I4961" s="1"/>
      <c r="J4961" s="1"/>
      <c r="K4961" s="3"/>
    </row>
    <row r="4962" spans="9:11">
      <c r="I4962" s="1"/>
      <c r="J4962" s="1"/>
      <c r="K4962" s="3"/>
    </row>
    <row r="4963" spans="9:11">
      <c r="I4963" s="1"/>
      <c r="J4963" s="1"/>
      <c r="K4963" s="3"/>
    </row>
    <row r="4964" spans="9:11">
      <c r="I4964" s="1"/>
      <c r="J4964" s="1"/>
      <c r="K4964" s="3"/>
    </row>
    <row r="4965" spans="9:11">
      <c r="I4965" s="1"/>
      <c r="J4965" s="1"/>
      <c r="K4965" s="3"/>
    </row>
    <row r="4966" spans="9:11">
      <c r="I4966" s="1"/>
      <c r="J4966" s="1"/>
      <c r="K4966" s="3"/>
    </row>
    <row r="4967" spans="9:11">
      <c r="I4967" s="1"/>
      <c r="J4967" s="1"/>
      <c r="K4967" s="3"/>
    </row>
    <row r="4968" spans="9:11">
      <c r="I4968" s="1"/>
      <c r="J4968" s="1"/>
      <c r="K4968" s="3"/>
    </row>
    <row r="4969" spans="9:11">
      <c r="I4969" s="1"/>
      <c r="J4969" s="1"/>
      <c r="K4969" s="3"/>
    </row>
    <row r="4970" spans="9:11">
      <c r="I4970" s="1"/>
      <c r="J4970" s="1"/>
      <c r="K4970" s="3"/>
    </row>
    <row r="4971" spans="9:11">
      <c r="I4971" s="1"/>
      <c r="J4971" s="1"/>
      <c r="K4971" s="3"/>
    </row>
    <row r="4972" spans="9:11">
      <c r="I4972" s="1"/>
      <c r="J4972" s="1"/>
      <c r="K4972" s="3"/>
    </row>
    <row r="4973" spans="9:11">
      <c r="I4973" s="1"/>
      <c r="J4973" s="1"/>
      <c r="K4973" s="3"/>
    </row>
    <row r="4974" spans="9:11">
      <c r="I4974" s="1"/>
      <c r="J4974" s="1"/>
      <c r="K4974" s="3"/>
    </row>
    <row r="4975" spans="9:11">
      <c r="I4975" s="1"/>
      <c r="J4975" s="1"/>
      <c r="K4975" s="3"/>
    </row>
    <row r="4976" spans="9:11">
      <c r="I4976" s="1"/>
      <c r="J4976" s="1"/>
      <c r="K4976" s="3"/>
    </row>
    <row r="4977" spans="9:11">
      <c r="I4977" s="1"/>
      <c r="J4977" s="1"/>
      <c r="K4977" s="3"/>
    </row>
    <row r="4978" spans="9:11">
      <c r="I4978" s="1"/>
      <c r="J4978" s="1"/>
      <c r="K4978" s="3"/>
    </row>
    <row r="4979" spans="9:11">
      <c r="I4979" s="1"/>
      <c r="J4979" s="1"/>
      <c r="K4979" s="3"/>
    </row>
    <row r="4980" spans="9:11">
      <c r="I4980" s="1"/>
      <c r="J4980" s="1"/>
      <c r="K4980" s="3"/>
    </row>
    <row r="4981" spans="9:11">
      <c r="I4981" s="1"/>
      <c r="J4981" s="1"/>
      <c r="K4981" s="3"/>
    </row>
    <row r="4982" spans="9:11">
      <c r="I4982" s="1"/>
      <c r="J4982" s="1"/>
      <c r="K4982" s="3"/>
    </row>
    <row r="4983" spans="9:11">
      <c r="I4983" s="1"/>
      <c r="J4983" s="1"/>
      <c r="K4983" s="3"/>
    </row>
    <row r="4984" spans="9:11">
      <c r="I4984" s="1"/>
      <c r="J4984" s="1"/>
      <c r="K4984" s="3"/>
    </row>
    <row r="4985" spans="9:11">
      <c r="I4985" s="1"/>
      <c r="J4985" s="1"/>
      <c r="K4985" s="3"/>
    </row>
    <row r="4986" spans="9:11">
      <c r="I4986" s="1"/>
      <c r="J4986" s="1"/>
      <c r="K4986" s="3"/>
    </row>
    <row r="4987" spans="9:11">
      <c r="I4987" s="1"/>
      <c r="J4987" s="1"/>
      <c r="K4987" s="3"/>
    </row>
    <row r="4988" spans="9:11">
      <c r="I4988" s="1"/>
      <c r="J4988" s="1"/>
      <c r="K4988" s="3"/>
    </row>
    <row r="4989" spans="9:11">
      <c r="I4989" s="1"/>
      <c r="J4989" s="1"/>
      <c r="K4989" s="3"/>
    </row>
    <row r="4990" spans="9:11">
      <c r="I4990" s="1"/>
      <c r="J4990" s="1"/>
      <c r="K4990" s="3"/>
    </row>
    <row r="4991" spans="9:11">
      <c r="I4991" s="1"/>
      <c r="J4991" s="1"/>
      <c r="K4991" s="3"/>
    </row>
    <row r="4992" spans="9:11">
      <c r="I4992" s="1"/>
      <c r="J4992" s="1"/>
      <c r="K4992" s="3"/>
    </row>
    <row r="4993" spans="9:11">
      <c r="I4993" s="1"/>
      <c r="J4993" s="1"/>
      <c r="K4993" s="3"/>
    </row>
    <row r="4994" spans="9:11">
      <c r="I4994" s="1"/>
      <c r="J4994" s="1"/>
      <c r="K4994" s="3"/>
    </row>
    <row r="4995" spans="9:11">
      <c r="I4995" s="1"/>
      <c r="J4995" s="1"/>
      <c r="K4995" s="3"/>
    </row>
    <row r="4996" spans="9:11">
      <c r="I4996" s="1"/>
      <c r="J4996" s="1"/>
      <c r="K4996" s="3"/>
    </row>
    <row r="4997" spans="9:11">
      <c r="I4997" s="1"/>
      <c r="J4997" s="1"/>
      <c r="K4997" s="3"/>
    </row>
    <row r="4998" spans="9:11">
      <c r="I4998" s="1"/>
      <c r="J4998" s="1"/>
      <c r="K4998" s="3"/>
    </row>
    <row r="4999" spans="9:11">
      <c r="I4999" s="1"/>
      <c r="J4999" s="1"/>
      <c r="K4999" s="3"/>
    </row>
    <row r="5000" spans="9:11">
      <c r="I5000" s="1"/>
      <c r="J5000" s="1"/>
      <c r="K5000" s="3"/>
    </row>
    <row r="5001" spans="9:11">
      <c r="I5001" s="1"/>
      <c r="J5001" s="1"/>
      <c r="K5001" s="3"/>
    </row>
    <row r="5002" spans="9:11">
      <c r="I5002" s="1"/>
      <c r="J5002" s="1"/>
      <c r="K5002" s="3"/>
    </row>
    <row r="5003" spans="9:11">
      <c r="I5003" s="1"/>
      <c r="J5003" s="1"/>
      <c r="K5003" s="3"/>
    </row>
    <row r="5004" spans="9:11">
      <c r="I5004" s="1"/>
      <c r="J5004" s="1"/>
      <c r="K5004" s="3"/>
    </row>
    <row r="5005" spans="9:11">
      <c r="I5005" s="1"/>
      <c r="J5005" s="1"/>
      <c r="K5005" s="3"/>
    </row>
    <row r="5006" spans="9:11">
      <c r="I5006" s="1"/>
      <c r="J5006" s="1"/>
      <c r="K5006" s="3"/>
    </row>
    <row r="5007" spans="9:11">
      <c r="I5007" s="1"/>
      <c r="J5007" s="1"/>
      <c r="K5007" s="3"/>
    </row>
    <row r="5008" spans="9:11">
      <c r="I5008" s="1"/>
      <c r="J5008" s="1"/>
      <c r="K5008" s="3"/>
    </row>
    <row r="5009" spans="9:11">
      <c r="I5009" s="1"/>
      <c r="J5009" s="1"/>
      <c r="K5009" s="3"/>
    </row>
    <row r="5010" spans="9:11">
      <c r="I5010" s="1"/>
      <c r="J5010" s="1"/>
      <c r="K5010" s="3"/>
    </row>
    <row r="5011" spans="9:11">
      <c r="I5011" s="1"/>
      <c r="J5011" s="1"/>
      <c r="K5011" s="3"/>
    </row>
    <row r="5012" spans="9:11">
      <c r="I5012" s="1"/>
      <c r="J5012" s="1"/>
      <c r="K5012" s="3"/>
    </row>
    <row r="5013" spans="9:11">
      <c r="I5013" s="1"/>
      <c r="J5013" s="1"/>
      <c r="K5013" s="3"/>
    </row>
    <row r="5014" spans="9:11">
      <c r="I5014" s="1"/>
      <c r="J5014" s="1"/>
      <c r="K5014" s="3"/>
    </row>
    <row r="5015" spans="9:11">
      <c r="I5015" s="1"/>
      <c r="J5015" s="1"/>
      <c r="K5015" s="3"/>
    </row>
    <row r="5016" spans="9:11">
      <c r="I5016" s="1"/>
      <c r="J5016" s="1"/>
      <c r="K5016" s="3"/>
    </row>
    <row r="5017" spans="9:11">
      <c r="I5017" s="1"/>
      <c r="J5017" s="1"/>
      <c r="K5017" s="3"/>
    </row>
    <row r="5018" spans="9:11">
      <c r="I5018" s="1"/>
      <c r="J5018" s="1"/>
      <c r="K5018" s="3"/>
    </row>
    <row r="5019" spans="9:11">
      <c r="I5019" s="1"/>
      <c r="J5019" s="1"/>
      <c r="K5019" s="3"/>
    </row>
    <row r="5020" spans="9:11">
      <c r="I5020" s="1"/>
      <c r="J5020" s="1"/>
      <c r="K5020" s="3"/>
    </row>
    <row r="5021" spans="9:11">
      <c r="I5021" s="1"/>
      <c r="J5021" s="1"/>
      <c r="K5021" s="3"/>
    </row>
    <row r="5022" spans="9:11">
      <c r="I5022" s="1"/>
      <c r="J5022" s="1"/>
      <c r="K5022" s="3"/>
    </row>
    <row r="5023" spans="9:11">
      <c r="I5023" s="1"/>
      <c r="J5023" s="1"/>
      <c r="K5023" s="3"/>
    </row>
    <row r="5024" spans="9:11">
      <c r="I5024" s="1"/>
      <c r="J5024" s="1"/>
      <c r="K5024" s="3"/>
    </row>
    <row r="5025" spans="9:11">
      <c r="I5025" s="1"/>
      <c r="J5025" s="1"/>
      <c r="K5025" s="3"/>
    </row>
    <row r="5026" spans="9:11">
      <c r="I5026" s="1"/>
      <c r="J5026" s="1"/>
      <c r="K5026" s="3"/>
    </row>
    <row r="5027" spans="9:11">
      <c r="I5027" s="1"/>
      <c r="J5027" s="1"/>
      <c r="K5027" s="3"/>
    </row>
    <row r="5028" spans="9:11">
      <c r="I5028" s="1"/>
      <c r="J5028" s="1"/>
      <c r="K5028" s="3"/>
    </row>
    <row r="5029" spans="9:11">
      <c r="I5029" s="1"/>
      <c r="J5029" s="1"/>
      <c r="K5029" s="3"/>
    </row>
    <row r="5030" spans="9:11">
      <c r="I5030" s="1"/>
      <c r="J5030" s="1"/>
      <c r="K5030" s="3"/>
    </row>
    <row r="5031" spans="9:11">
      <c r="I5031" s="1"/>
      <c r="J5031" s="1"/>
      <c r="K5031" s="3"/>
    </row>
    <row r="5032" spans="9:11">
      <c r="I5032" s="1"/>
      <c r="J5032" s="1"/>
      <c r="K5032" s="3"/>
    </row>
    <row r="5033" spans="9:11">
      <c r="I5033" s="1"/>
      <c r="J5033" s="1"/>
      <c r="K5033" s="3"/>
    </row>
    <row r="5034" spans="9:11">
      <c r="I5034" s="1"/>
      <c r="J5034" s="1"/>
      <c r="K5034" s="3"/>
    </row>
    <row r="5035" spans="9:11">
      <c r="I5035" s="1"/>
      <c r="J5035" s="1"/>
      <c r="K5035" s="3"/>
    </row>
    <row r="5036" spans="9:11">
      <c r="I5036" s="1"/>
      <c r="J5036" s="1"/>
      <c r="K5036" s="3"/>
    </row>
    <row r="5037" spans="9:11">
      <c r="I5037" s="1"/>
      <c r="J5037" s="1"/>
      <c r="K5037" s="3"/>
    </row>
    <row r="5038" spans="9:11">
      <c r="I5038" s="1"/>
      <c r="J5038" s="1"/>
      <c r="K5038" s="3"/>
    </row>
    <row r="5039" spans="9:11">
      <c r="I5039" s="1"/>
      <c r="J5039" s="1"/>
      <c r="K5039" s="3"/>
    </row>
    <row r="5040" spans="9:11">
      <c r="I5040" s="1"/>
      <c r="J5040" s="1"/>
      <c r="K5040" s="3"/>
    </row>
    <row r="5041" spans="9:11">
      <c r="I5041" s="1"/>
      <c r="J5041" s="1"/>
      <c r="K5041" s="3"/>
    </row>
    <row r="5042" spans="9:11">
      <c r="I5042" s="1"/>
      <c r="J5042" s="1"/>
      <c r="K5042" s="3"/>
    </row>
    <row r="5043" spans="9:11">
      <c r="I5043" s="1"/>
      <c r="J5043" s="1"/>
      <c r="K5043" s="3"/>
    </row>
    <row r="5044" spans="9:11">
      <c r="I5044" s="1"/>
      <c r="J5044" s="1"/>
      <c r="K5044" s="3"/>
    </row>
    <row r="5045" spans="9:11">
      <c r="I5045" s="1"/>
      <c r="J5045" s="1"/>
      <c r="K5045" s="3"/>
    </row>
    <row r="5046" spans="9:11">
      <c r="I5046" s="1"/>
      <c r="J5046" s="1"/>
      <c r="K5046" s="3"/>
    </row>
    <row r="5047" spans="9:11">
      <c r="I5047" s="1"/>
      <c r="J5047" s="1"/>
      <c r="K5047" s="3"/>
    </row>
    <row r="5048" spans="9:11">
      <c r="I5048" s="1"/>
      <c r="J5048" s="1"/>
      <c r="K5048" s="3"/>
    </row>
    <row r="5049" spans="9:11">
      <c r="I5049" s="1"/>
      <c r="J5049" s="1"/>
      <c r="K5049" s="3"/>
    </row>
    <row r="5050" spans="9:11">
      <c r="I5050" s="1"/>
      <c r="J5050" s="1"/>
      <c r="K5050" s="3"/>
    </row>
    <row r="5051" spans="9:11">
      <c r="I5051" s="1"/>
      <c r="J5051" s="1"/>
      <c r="K5051" s="3"/>
    </row>
    <row r="5052" spans="9:11">
      <c r="I5052" s="1"/>
      <c r="J5052" s="1"/>
      <c r="K5052" s="3"/>
    </row>
    <row r="5053" spans="9:11">
      <c r="I5053" s="1"/>
      <c r="J5053" s="1"/>
      <c r="K5053" s="3"/>
    </row>
    <row r="5054" spans="9:11">
      <c r="I5054" s="1"/>
      <c r="J5054" s="1"/>
      <c r="K5054" s="3"/>
    </row>
    <row r="5055" spans="9:11">
      <c r="I5055" s="1"/>
      <c r="J5055" s="1"/>
      <c r="K5055" s="3"/>
    </row>
    <row r="5056" spans="9:11">
      <c r="I5056" s="1"/>
      <c r="J5056" s="1"/>
      <c r="K5056" s="3"/>
    </row>
    <row r="5057" spans="9:11">
      <c r="I5057" s="1"/>
      <c r="J5057" s="1"/>
      <c r="K5057" s="3"/>
    </row>
    <row r="5058" spans="9:11">
      <c r="I5058" s="1"/>
      <c r="J5058" s="1"/>
      <c r="K5058" s="3"/>
    </row>
    <row r="5059" spans="9:11">
      <c r="I5059" s="1"/>
      <c r="J5059" s="1"/>
      <c r="K5059" s="3"/>
    </row>
    <row r="5060" spans="9:11">
      <c r="I5060" s="1"/>
      <c r="J5060" s="1"/>
      <c r="K5060" s="3"/>
    </row>
    <row r="5061" spans="9:11">
      <c r="I5061" s="1"/>
      <c r="J5061" s="1"/>
      <c r="K5061" s="3"/>
    </row>
    <row r="5062" spans="9:11">
      <c r="I5062" s="1"/>
      <c r="J5062" s="1"/>
      <c r="K5062" s="3"/>
    </row>
    <row r="5063" spans="9:11">
      <c r="I5063" s="1"/>
      <c r="J5063" s="1"/>
      <c r="K5063" s="3"/>
    </row>
    <row r="5064" spans="9:11">
      <c r="I5064" s="1"/>
      <c r="J5064" s="1"/>
      <c r="K5064" s="3"/>
    </row>
    <row r="5065" spans="9:11">
      <c r="I5065" s="1"/>
      <c r="J5065" s="1"/>
      <c r="K5065" s="3"/>
    </row>
    <row r="5066" spans="9:11">
      <c r="I5066" s="1"/>
      <c r="J5066" s="1"/>
      <c r="K5066" s="3"/>
    </row>
    <row r="5067" spans="9:11">
      <c r="I5067" s="1"/>
      <c r="J5067" s="1"/>
      <c r="K5067" s="3"/>
    </row>
    <row r="5068" spans="9:11">
      <c r="I5068" s="1"/>
      <c r="J5068" s="1"/>
      <c r="K5068" s="3"/>
    </row>
    <row r="5069" spans="9:11">
      <c r="I5069" s="1"/>
      <c r="J5069" s="1"/>
      <c r="K5069" s="3"/>
    </row>
    <row r="5070" spans="9:11">
      <c r="I5070" s="1"/>
      <c r="J5070" s="1"/>
      <c r="K5070" s="3"/>
    </row>
    <row r="5071" spans="9:11">
      <c r="I5071" s="1"/>
      <c r="J5071" s="1"/>
      <c r="K5071" s="3"/>
    </row>
    <row r="5072" spans="9:11">
      <c r="I5072" s="1"/>
      <c r="J5072" s="1"/>
      <c r="K5072" s="3"/>
    </row>
    <row r="5073" spans="9:11">
      <c r="I5073" s="1"/>
      <c r="J5073" s="1"/>
      <c r="K5073" s="3"/>
    </row>
    <row r="5074" spans="9:11">
      <c r="I5074" s="1"/>
      <c r="J5074" s="1"/>
      <c r="K5074" s="3"/>
    </row>
    <row r="5075" spans="9:11">
      <c r="I5075" s="1"/>
      <c r="J5075" s="1"/>
      <c r="K5075" s="3"/>
    </row>
    <row r="5076" spans="9:11">
      <c r="I5076" s="1"/>
      <c r="J5076" s="1"/>
      <c r="K5076" s="3"/>
    </row>
    <row r="5077" spans="9:11">
      <c r="I5077" s="1"/>
      <c r="J5077" s="1"/>
      <c r="K5077" s="3"/>
    </row>
    <row r="5078" spans="9:11">
      <c r="I5078" s="1"/>
      <c r="J5078" s="1"/>
      <c r="K5078" s="3"/>
    </row>
    <row r="5079" spans="9:11">
      <c r="I5079" s="1"/>
      <c r="J5079" s="1"/>
      <c r="K5079" s="3"/>
    </row>
    <row r="5080" spans="9:11">
      <c r="I5080" s="1"/>
      <c r="J5080" s="1"/>
      <c r="K5080" s="3"/>
    </row>
    <row r="5081" spans="9:11">
      <c r="I5081" s="1"/>
      <c r="J5081" s="1"/>
      <c r="K5081" s="3"/>
    </row>
    <row r="5082" spans="9:11">
      <c r="I5082" s="1"/>
      <c r="J5082" s="1"/>
      <c r="K5082" s="3"/>
    </row>
    <row r="5083" spans="9:11">
      <c r="I5083" s="1"/>
      <c r="J5083" s="1"/>
      <c r="K5083" s="3"/>
    </row>
    <row r="5084" spans="9:11">
      <c r="I5084" s="1"/>
      <c r="J5084" s="1"/>
      <c r="K5084" s="3"/>
    </row>
    <row r="5085" spans="9:11">
      <c r="I5085" s="1"/>
      <c r="J5085" s="1"/>
      <c r="K5085" s="3"/>
    </row>
    <row r="5086" spans="9:11">
      <c r="I5086" s="1"/>
      <c r="J5086" s="1"/>
      <c r="K5086" s="3"/>
    </row>
    <row r="5087" spans="9:11">
      <c r="I5087" s="1"/>
      <c r="J5087" s="1"/>
      <c r="K5087" s="3"/>
    </row>
    <row r="5088" spans="9:11">
      <c r="I5088" s="1"/>
      <c r="J5088" s="1"/>
      <c r="K5088" s="3"/>
    </row>
    <row r="5089" spans="9:11">
      <c r="I5089" s="1"/>
      <c r="J5089" s="1"/>
      <c r="K5089" s="3"/>
    </row>
    <row r="5090" spans="9:11">
      <c r="I5090" s="1"/>
      <c r="J5090" s="1"/>
      <c r="K5090" s="3"/>
    </row>
    <row r="5091" spans="9:11">
      <c r="I5091" s="1"/>
      <c r="J5091" s="1"/>
      <c r="K5091" s="3"/>
    </row>
    <row r="5092" spans="9:11">
      <c r="I5092" s="1"/>
      <c r="J5092" s="1"/>
      <c r="K5092" s="3"/>
    </row>
    <row r="5093" spans="9:11">
      <c r="I5093" s="1"/>
      <c r="J5093" s="1"/>
      <c r="K5093" s="3"/>
    </row>
    <row r="5094" spans="9:11">
      <c r="I5094" s="1"/>
      <c r="J5094" s="1"/>
      <c r="K5094" s="3"/>
    </row>
    <row r="5095" spans="9:11">
      <c r="I5095" s="1"/>
      <c r="J5095" s="1"/>
      <c r="K5095" s="3"/>
    </row>
    <row r="5096" spans="9:11">
      <c r="I5096" s="1"/>
      <c r="J5096" s="1"/>
      <c r="K5096" s="3"/>
    </row>
    <row r="5097" spans="9:11">
      <c r="I5097" s="1"/>
      <c r="J5097" s="1"/>
      <c r="K5097" s="3"/>
    </row>
    <row r="5098" spans="9:11">
      <c r="I5098" s="1"/>
      <c r="J5098" s="1"/>
      <c r="K5098" s="3"/>
    </row>
    <row r="5099" spans="9:11">
      <c r="I5099" s="1"/>
      <c r="J5099" s="1"/>
      <c r="K5099" s="3"/>
    </row>
    <row r="5100" spans="9:11">
      <c r="I5100" s="1"/>
      <c r="J5100" s="1"/>
      <c r="K5100" s="3"/>
    </row>
    <row r="5101" spans="9:11">
      <c r="I5101" s="1"/>
      <c r="J5101" s="1"/>
      <c r="K5101" s="3"/>
    </row>
    <row r="5102" spans="9:11">
      <c r="I5102" s="1"/>
      <c r="J5102" s="1"/>
      <c r="K5102" s="3"/>
    </row>
    <row r="5103" spans="9:11">
      <c r="I5103" s="1"/>
      <c r="J5103" s="1"/>
      <c r="K5103" s="3"/>
    </row>
    <row r="5104" spans="9:11">
      <c r="I5104" s="1"/>
      <c r="J5104" s="1"/>
      <c r="K5104" s="3"/>
    </row>
    <row r="5105" spans="9:11">
      <c r="I5105" s="1"/>
      <c r="J5105" s="1"/>
      <c r="K5105" s="3"/>
    </row>
    <row r="5106" spans="9:11">
      <c r="I5106" s="1"/>
      <c r="J5106" s="1"/>
      <c r="K5106" s="3"/>
    </row>
    <row r="5107" spans="9:11">
      <c r="I5107" s="1"/>
      <c r="J5107" s="1"/>
      <c r="K5107" s="3"/>
    </row>
    <row r="5108" spans="9:11">
      <c r="I5108" s="1"/>
      <c r="J5108" s="1"/>
      <c r="K5108" s="3"/>
    </row>
    <row r="5109" spans="9:11">
      <c r="I5109" s="1"/>
      <c r="J5109" s="1"/>
      <c r="K5109" s="3"/>
    </row>
    <row r="5110" spans="9:11">
      <c r="I5110" s="1"/>
      <c r="J5110" s="1"/>
      <c r="K5110" s="3"/>
    </row>
    <row r="5111" spans="9:11">
      <c r="I5111" s="1"/>
      <c r="J5111" s="1"/>
      <c r="K5111" s="3"/>
    </row>
    <row r="5112" spans="9:11">
      <c r="I5112" s="1"/>
      <c r="J5112" s="1"/>
      <c r="K5112" s="3"/>
    </row>
    <row r="5113" spans="9:11">
      <c r="I5113" s="1"/>
      <c r="J5113" s="1"/>
      <c r="K5113" s="3"/>
    </row>
    <row r="5114" spans="9:11">
      <c r="I5114" s="1"/>
      <c r="J5114" s="1"/>
      <c r="K5114" s="3"/>
    </row>
    <row r="5115" spans="9:11">
      <c r="I5115" s="1"/>
      <c r="J5115" s="1"/>
      <c r="K5115" s="3"/>
    </row>
    <row r="5116" spans="9:11">
      <c r="I5116" s="1"/>
      <c r="J5116" s="1"/>
      <c r="K5116" s="3"/>
    </row>
    <row r="5117" spans="9:11">
      <c r="I5117" s="1"/>
      <c r="J5117" s="1"/>
      <c r="K5117" s="3"/>
    </row>
    <row r="5118" spans="9:11">
      <c r="I5118" s="1"/>
      <c r="J5118" s="1"/>
      <c r="K5118" s="3"/>
    </row>
    <row r="5119" spans="9:11">
      <c r="I5119" s="1"/>
      <c r="J5119" s="1"/>
      <c r="K5119" s="3"/>
    </row>
    <row r="5120" spans="9:11">
      <c r="I5120" s="1"/>
      <c r="J5120" s="1"/>
      <c r="K5120" s="3"/>
    </row>
    <row r="5121" spans="9:11">
      <c r="I5121" s="1"/>
      <c r="J5121" s="1"/>
      <c r="K5121" s="3"/>
    </row>
    <row r="5122" spans="9:11">
      <c r="I5122" s="1"/>
      <c r="J5122" s="1"/>
      <c r="K5122" s="3"/>
    </row>
    <row r="5123" spans="9:11">
      <c r="I5123" s="1"/>
      <c r="J5123" s="1"/>
      <c r="K5123" s="3"/>
    </row>
    <row r="5124" spans="9:11">
      <c r="I5124" s="1"/>
      <c r="J5124" s="1"/>
      <c r="K5124" s="3"/>
    </row>
    <row r="5125" spans="9:11">
      <c r="I5125" s="1"/>
      <c r="J5125" s="1"/>
      <c r="K5125" s="3"/>
    </row>
    <row r="5126" spans="9:11">
      <c r="I5126" s="1"/>
      <c r="J5126" s="1"/>
      <c r="K5126" s="3"/>
    </row>
    <row r="5127" spans="9:11">
      <c r="I5127" s="1"/>
      <c r="J5127" s="1"/>
      <c r="K5127" s="3"/>
    </row>
    <row r="5128" spans="9:11">
      <c r="I5128" s="1"/>
      <c r="J5128" s="1"/>
      <c r="K5128" s="3"/>
    </row>
    <row r="5129" spans="9:11">
      <c r="I5129" s="1"/>
      <c r="J5129" s="1"/>
      <c r="K5129" s="3"/>
    </row>
    <row r="5130" spans="9:11">
      <c r="I5130" s="1"/>
      <c r="J5130" s="1"/>
      <c r="K5130" s="3"/>
    </row>
    <row r="5131" spans="9:11">
      <c r="I5131" s="1"/>
      <c r="J5131" s="1"/>
      <c r="K5131" s="3"/>
    </row>
    <row r="5132" spans="9:11">
      <c r="I5132" s="1"/>
      <c r="J5132" s="1"/>
      <c r="K5132" s="3"/>
    </row>
    <row r="5133" spans="9:11">
      <c r="I5133" s="1"/>
      <c r="J5133" s="1"/>
      <c r="K5133" s="3"/>
    </row>
    <row r="5134" spans="9:11">
      <c r="I5134" s="1"/>
      <c r="J5134" s="1"/>
      <c r="K5134" s="3"/>
    </row>
    <row r="5135" spans="9:11">
      <c r="I5135" s="1"/>
      <c r="J5135" s="1"/>
      <c r="K5135" s="3"/>
    </row>
    <row r="5136" spans="9:11">
      <c r="I5136" s="1"/>
      <c r="J5136" s="1"/>
      <c r="K5136" s="3"/>
    </row>
    <row r="5137" spans="9:11">
      <c r="I5137" s="1"/>
      <c r="J5137" s="1"/>
      <c r="K5137" s="3"/>
    </row>
    <row r="5138" spans="9:11">
      <c r="I5138" s="1"/>
      <c r="J5138" s="1"/>
      <c r="K5138" s="3"/>
    </row>
    <row r="5139" spans="9:11">
      <c r="I5139" s="1"/>
      <c r="J5139" s="1"/>
      <c r="K5139" s="3"/>
    </row>
    <row r="5140" spans="9:11">
      <c r="I5140" s="1"/>
      <c r="J5140" s="1"/>
      <c r="K5140" s="3"/>
    </row>
    <row r="5141" spans="9:11">
      <c r="I5141" s="1"/>
      <c r="J5141" s="1"/>
      <c r="K5141" s="3"/>
    </row>
    <row r="5142" spans="9:11">
      <c r="I5142" s="1"/>
      <c r="J5142" s="1"/>
      <c r="K5142" s="3"/>
    </row>
    <row r="5143" spans="9:11">
      <c r="I5143" s="1"/>
      <c r="J5143" s="1"/>
      <c r="K5143" s="3"/>
    </row>
    <row r="5144" spans="9:11">
      <c r="I5144" s="1"/>
      <c r="J5144" s="1"/>
      <c r="K5144" s="3"/>
    </row>
    <row r="5145" spans="9:11">
      <c r="I5145" s="1"/>
      <c r="J5145" s="1"/>
      <c r="K5145" s="3"/>
    </row>
    <row r="5146" spans="9:11">
      <c r="I5146" s="1"/>
      <c r="J5146" s="1"/>
      <c r="K5146" s="3"/>
    </row>
    <row r="5147" spans="9:11">
      <c r="I5147" s="1"/>
      <c r="J5147" s="1"/>
      <c r="K5147" s="3"/>
    </row>
    <row r="5148" spans="9:11">
      <c r="I5148" s="1"/>
      <c r="J5148" s="1"/>
      <c r="K5148" s="3"/>
    </row>
    <row r="5149" spans="9:11">
      <c r="I5149" s="1"/>
      <c r="J5149" s="1"/>
      <c r="K5149" s="3"/>
    </row>
    <row r="5150" spans="9:11">
      <c r="I5150" s="1"/>
      <c r="J5150" s="1"/>
      <c r="K5150" s="3"/>
    </row>
    <row r="5151" spans="9:11">
      <c r="I5151" s="1"/>
      <c r="J5151" s="1"/>
      <c r="K5151" s="3"/>
    </row>
    <row r="5152" spans="9:11">
      <c r="I5152" s="1"/>
      <c r="J5152" s="1"/>
      <c r="K5152" s="3"/>
    </row>
    <row r="5153" spans="9:11">
      <c r="I5153" s="1"/>
      <c r="J5153" s="1"/>
      <c r="K5153" s="3"/>
    </row>
    <row r="5154" spans="9:11">
      <c r="I5154" s="1"/>
      <c r="J5154" s="1"/>
      <c r="K5154" s="3"/>
    </row>
    <row r="5155" spans="9:11">
      <c r="I5155" s="1"/>
      <c r="J5155" s="1"/>
      <c r="K5155" s="3"/>
    </row>
    <row r="5156" spans="9:11">
      <c r="I5156" s="1"/>
      <c r="J5156" s="1"/>
      <c r="K5156" s="3"/>
    </row>
    <row r="5157" spans="9:11">
      <c r="I5157" s="1"/>
      <c r="J5157" s="1"/>
      <c r="K5157" s="3"/>
    </row>
    <row r="5158" spans="9:11">
      <c r="I5158" s="1"/>
      <c r="J5158" s="1"/>
      <c r="K5158" s="3"/>
    </row>
    <row r="5159" spans="9:11">
      <c r="I5159" s="1"/>
      <c r="J5159" s="1"/>
      <c r="K5159" s="3"/>
    </row>
    <row r="5160" spans="9:11">
      <c r="I5160" s="1"/>
      <c r="J5160" s="1"/>
      <c r="K5160" s="3"/>
    </row>
    <row r="5161" spans="9:11">
      <c r="I5161" s="1"/>
      <c r="J5161" s="1"/>
      <c r="K5161" s="3"/>
    </row>
    <row r="5162" spans="9:11">
      <c r="I5162" s="1"/>
      <c r="J5162" s="1"/>
      <c r="K5162" s="3"/>
    </row>
    <row r="5163" spans="9:11">
      <c r="I5163" s="1"/>
      <c r="J5163" s="1"/>
      <c r="K5163" s="3"/>
    </row>
    <row r="5164" spans="9:11">
      <c r="I5164" s="1"/>
      <c r="J5164" s="1"/>
      <c r="K5164" s="3"/>
    </row>
    <row r="5165" spans="9:11">
      <c r="I5165" s="1"/>
      <c r="J5165" s="1"/>
      <c r="K5165" s="3"/>
    </row>
    <row r="5166" spans="9:11">
      <c r="I5166" s="1"/>
      <c r="J5166" s="1"/>
      <c r="K5166" s="3"/>
    </row>
    <row r="5167" spans="9:11">
      <c r="I5167" s="1"/>
      <c r="J5167" s="1"/>
      <c r="K5167" s="3"/>
    </row>
    <row r="5168" spans="9:11">
      <c r="I5168" s="1"/>
      <c r="J5168" s="1"/>
      <c r="K5168" s="3"/>
    </row>
    <row r="5169" spans="9:11">
      <c r="I5169" s="1"/>
      <c r="J5169" s="1"/>
      <c r="K5169" s="3"/>
    </row>
    <row r="5170" spans="9:11">
      <c r="I5170" s="1"/>
      <c r="J5170" s="1"/>
      <c r="K5170" s="3"/>
    </row>
    <row r="5171" spans="9:11">
      <c r="I5171" s="1"/>
      <c r="J5171" s="1"/>
      <c r="K5171" s="3"/>
    </row>
    <row r="5172" spans="9:11">
      <c r="I5172" s="1"/>
      <c r="J5172" s="1"/>
      <c r="K5172" s="3"/>
    </row>
    <row r="5173" spans="9:11">
      <c r="I5173" s="1"/>
      <c r="J5173" s="1"/>
      <c r="K5173" s="3"/>
    </row>
    <row r="5174" spans="9:11">
      <c r="I5174" s="1"/>
      <c r="J5174" s="1"/>
      <c r="K5174" s="3"/>
    </row>
    <row r="5175" spans="9:11">
      <c r="I5175" s="1"/>
      <c r="J5175" s="1"/>
      <c r="K5175" s="3"/>
    </row>
    <row r="5176" spans="9:11">
      <c r="I5176" s="1"/>
      <c r="J5176" s="1"/>
      <c r="K5176" s="3"/>
    </row>
    <row r="5177" spans="9:11">
      <c r="I5177" s="1"/>
      <c r="J5177" s="1"/>
      <c r="K5177" s="3"/>
    </row>
    <row r="5178" spans="9:11">
      <c r="I5178" s="1"/>
      <c r="J5178" s="1"/>
      <c r="K5178" s="3"/>
    </row>
    <row r="5179" spans="9:11">
      <c r="I5179" s="1"/>
      <c r="J5179" s="1"/>
      <c r="K5179" s="3"/>
    </row>
    <row r="5180" spans="9:11">
      <c r="I5180" s="1"/>
      <c r="J5180" s="1"/>
      <c r="K5180" s="3"/>
    </row>
    <row r="5181" spans="9:11">
      <c r="I5181" s="1"/>
      <c r="J5181" s="1"/>
      <c r="K5181" s="3"/>
    </row>
    <row r="5182" spans="9:11">
      <c r="I5182" s="1"/>
      <c r="J5182" s="1"/>
      <c r="K5182" s="3"/>
    </row>
    <row r="5183" spans="9:11">
      <c r="I5183" s="1"/>
      <c r="J5183" s="1"/>
      <c r="K5183" s="3"/>
    </row>
    <row r="5184" spans="9:11">
      <c r="I5184" s="1"/>
      <c r="J5184" s="1"/>
      <c r="K5184" s="3"/>
    </row>
    <row r="5185" spans="9:11">
      <c r="I5185" s="1"/>
      <c r="J5185" s="1"/>
      <c r="K5185" s="3"/>
    </row>
    <row r="5186" spans="9:11">
      <c r="I5186" s="1"/>
      <c r="J5186" s="1"/>
      <c r="K5186" s="3"/>
    </row>
    <row r="5187" spans="9:11">
      <c r="I5187" s="1"/>
      <c r="J5187" s="1"/>
      <c r="K5187" s="3"/>
    </row>
    <row r="5188" spans="9:11">
      <c r="I5188" s="1"/>
      <c r="J5188" s="1"/>
      <c r="K5188" s="3"/>
    </row>
    <row r="5189" spans="9:11">
      <c r="I5189" s="1"/>
      <c r="J5189" s="1"/>
      <c r="K5189" s="3"/>
    </row>
    <row r="5190" spans="9:11">
      <c r="I5190" s="1"/>
      <c r="J5190" s="1"/>
      <c r="K5190" s="3"/>
    </row>
    <row r="5191" spans="9:11">
      <c r="I5191" s="1"/>
      <c r="J5191" s="1"/>
      <c r="K5191" s="3"/>
    </row>
    <row r="5192" spans="9:11">
      <c r="I5192" s="1"/>
      <c r="J5192" s="1"/>
      <c r="K5192" s="3"/>
    </row>
    <row r="5193" spans="9:11">
      <c r="I5193" s="1"/>
      <c r="J5193" s="1"/>
      <c r="K5193" s="3"/>
    </row>
    <row r="5194" spans="9:11">
      <c r="I5194" s="1"/>
      <c r="J5194" s="1"/>
      <c r="K5194" s="3"/>
    </row>
    <row r="5195" spans="9:11">
      <c r="I5195" s="1"/>
      <c r="J5195" s="1"/>
      <c r="K5195" s="3"/>
    </row>
    <row r="5196" spans="9:11">
      <c r="I5196" s="1"/>
      <c r="J5196" s="1"/>
      <c r="K5196" s="3"/>
    </row>
    <row r="5197" spans="9:11">
      <c r="I5197" s="1"/>
      <c r="J5197" s="1"/>
      <c r="K5197" s="3"/>
    </row>
    <row r="5198" spans="9:11">
      <c r="I5198" s="1"/>
      <c r="J5198" s="1"/>
      <c r="K5198" s="3"/>
    </row>
    <row r="5199" spans="9:11">
      <c r="I5199" s="1"/>
      <c r="J5199" s="1"/>
      <c r="K5199" s="3"/>
    </row>
    <row r="5200" spans="9:11">
      <c r="I5200" s="1"/>
      <c r="J5200" s="1"/>
      <c r="K5200" s="3"/>
    </row>
    <row r="5201" spans="9:11">
      <c r="I5201" s="1"/>
      <c r="J5201" s="1"/>
      <c r="K5201" s="3"/>
    </row>
    <row r="5202" spans="9:11">
      <c r="I5202" s="1"/>
      <c r="J5202" s="1"/>
      <c r="K5202" s="3"/>
    </row>
    <row r="5203" spans="9:11">
      <c r="I5203" s="1"/>
      <c r="J5203" s="1"/>
      <c r="K5203" s="3"/>
    </row>
    <row r="5204" spans="9:11">
      <c r="I5204" s="1"/>
      <c r="J5204" s="1"/>
      <c r="K5204" s="3"/>
    </row>
    <row r="5205" spans="9:11">
      <c r="I5205" s="1"/>
      <c r="J5205" s="1"/>
      <c r="K5205" s="3"/>
    </row>
    <row r="5206" spans="9:11">
      <c r="I5206" s="1"/>
      <c r="J5206" s="1"/>
      <c r="K5206" s="3"/>
    </row>
    <row r="5207" spans="9:11">
      <c r="I5207" s="1"/>
      <c r="J5207" s="1"/>
      <c r="K5207" s="3"/>
    </row>
    <row r="5208" spans="9:11">
      <c r="I5208" s="1"/>
      <c r="J5208" s="1"/>
      <c r="K5208" s="3"/>
    </row>
    <row r="5209" spans="9:11">
      <c r="I5209" s="1"/>
      <c r="J5209" s="1"/>
      <c r="K5209" s="3"/>
    </row>
    <row r="5210" spans="9:11">
      <c r="I5210" s="1"/>
      <c r="J5210" s="1"/>
      <c r="K5210" s="3"/>
    </row>
    <row r="5211" spans="9:11">
      <c r="I5211" s="1"/>
      <c r="J5211" s="1"/>
      <c r="K5211" s="3"/>
    </row>
    <row r="5212" spans="9:11">
      <c r="I5212" s="1"/>
      <c r="J5212" s="1"/>
      <c r="K5212" s="3"/>
    </row>
    <row r="5213" spans="9:11">
      <c r="I5213" s="1"/>
      <c r="J5213" s="1"/>
      <c r="K5213" s="3"/>
    </row>
    <row r="5214" spans="9:11">
      <c r="I5214" s="1"/>
      <c r="J5214" s="1"/>
      <c r="K5214" s="3"/>
    </row>
    <row r="5215" spans="9:11">
      <c r="I5215" s="1"/>
      <c r="J5215" s="1"/>
      <c r="K5215" s="3"/>
    </row>
    <row r="5216" spans="9:11">
      <c r="I5216" s="1"/>
      <c r="J5216" s="1"/>
      <c r="K5216" s="3"/>
    </row>
    <row r="5217" spans="9:11">
      <c r="I5217" s="1"/>
      <c r="J5217" s="1"/>
      <c r="K5217" s="3"/>
    </row>
    <row r="5218" spans="9:11">
      <c r="I5218" s="1"/>
      <c r="J5218" s="1"/>
      <c r="K5218" s="3"/>
    </row>
    <row r="5219" spans="9:11">
      <c r="I5219" s="1"/>
      <c r="J5219" s="1"/>
      <c r="K5219" s="3"/>
    </row>
    <row r="5220" spans="9:11">
      <c r="I5220" s="1"/>
      <c r="J5220" s="1"/>
      <c r="K5220" s="3"/>
    </row>
    <row r="5221" spans="9:11">
      <c r="I5221" s="1"/>
      <c r="J5221" s="1"/>
      <c r="K5221" s="3"/>
    </row>
    <row r="5222" spans="9:11">
      <c r="I5222" s="1"/>
      <c r="J5222" s="1"/>
      <c r="K5222" s="3"/>
    </row>
    <row r="5223" spans="9:11">
      <c r="I5223" s="1"/>
      <c r="J5223" s="1"/>
      <c r="K5223" s="3"/>
    </row>
    <row r="5224" spans="9:11">
      <c r="I5224" s="1"/>
      <c r="J5224" s="1"/>
      <c r="K5224" s="3"/>
    </row>
    <row r="5225" spans="9:11">
      <c r="I5225" s="1"/>
      <c r="J5225" s="1"/>
      <c r="K5225" s="3"/>
    </row>
    <row r="5226" spans="9:11">
      <c r="I5226" s="1"/>
      <c r="J5226" s="1"/>
      <c r="K5226" s="3"/>
    </row>
    <row r="5227" spans="9:11">
      <c r="I5227" s="1"/>
      <c r="J5227" s="1"/>
      <c r="K5227" s="3"/>
    </row>
    <row r="5228" spans="9:11">
      <c r="I5228" s="1"/>
      <c r="J5228" s="1"/>
      <c r="K5228" s="3"/>
    </row>
    <row r="5229" spans="9:11">
      <c r="I5229" s="1"/>
      <c r="J5229" s="1"/>
      <c r="K5229" s="3"/>
    </row>
    <row r="5230" spans="9:11">
      <c r="I5230" s="1"/>
      <c r="J5230" s="1"/>
      <c r="K5230" s="3"/>
    </row>
    <row r="5231" spans="9:11">
      <c r="I5231" s="1"/>
      <c r="J5231" s="1"/>
      <c r="K5231" s="3"/>
    </row>
    <row r="5232" spans="9:11">
      <c r="I5232" s="1"/>
      <c r="J5232" s="1"/>
      <c r="K5232" s="3"/>
    </row>
    <row r="5233" spans="9:11">
      <c r="I5233" s="1"/>
      <c r="J5233" s="1"/>
      <c r="K5233" s="3"/>
    </row>
    <row r="5234" spans="9:11">
      <c r="I5234" s="1"/>
      <c r="J5234" s="1"/>
      <c r="K5234" s="3"/>
    </row>
    <row r="5235" spans="9:11">
      <c r="I5235" s="1"/>
      <c r="J5235" s="1"/>
      <c r="K5235" s="3"/>
    </row>
    <row r="5236" spans="9:11">
      <c r="I5236" s="1"/>
      <c r="J5236" s="1"/>
      <c r="K5236" s="3"/>
    </row>
    <row r="5237" spans="9:11">
      <c r="I5237" s="1"/>
      <c r="J5237" s="1"/>
      <c r="K5237" s="3"/>
    </row>
    <row r="5238" spans="9:11">
      <c r="I5238" s="1"/>
      <c r="J5238" s="1"/>
      <c r="K5238" s="3"/>
    </row>
    <row r="5239" spans="9:11">
      <c r="I5239" s="1"/>
      <c r="J5239" s="1"/>
      <c r="K5239" s="3"/>
    </row>
    <row r="5240" spans="9:11">
      <c r="I5240" s="1"/>
      <c r="J5240" s="1"/>
      <c r="K5240" s="3"/>
    </row>
    <row r="5241" spans="9:11">
      <c r="I5241" s="1"/>
      <c r="J5241" s="1"/>
      <c r="K5241" s="3"/>
    </row>
    <row r="5242" spans="9:11">
      <c r="I5242" s="1"/>
      <c r="J5242" s="1"/>
      <c r="K5242" s="3"/>
    </row>
    <row r="5243" spans="9:11">
      <c r="I5243" s="1"/>
      <c r="J5243" s="1"/>
      <c r="K5243" s="3"/>
    </row>
    <row r="5244" spans="9:11">
      <c r="I5244" s="1"/>
      <c r="J5244" s="1"/>
      <c r="K5244" s="3"/>
    </row>
    <row r="5245" spans="9:11">
      <c r="I5245" s="1"/>
      <c r="J5245" s="1"/>
      <c r="K5245" s="3"/>
    </row>
    <row r="5246" spans="9:11">
      <c r="I5246" s="1"/>
      <c r="J5246" s="1"/>
      <c r="K5246" s="3"/>
    </row>
    <row r="5247" spans="9:11">
      <c r="I5247" s="1"/>
      <c r="J5247" s="1"/>
      <c r="K5247" s="3"/>
    </row>
    <row r="5248" spans="9:11">
      <c r="I5248" s="1"/>
      <c r="J5248" s="1"/>
      <c r="K5248" s="3"/>
    </row>
    <row r="5249" spans="9:11">
      <c r="I5249" s="1"/>
      <c r="J5249" s="1"/>
      <c r="K5249" s="3"/>
    </row>
    <row r="5250" spans="9:11">
      <c r="I5250" s="1"/>
      <c r="J5250" s="1"/>
      <c r="K5250" s="3"/>
    </row>
    <row r="5251" spans="9:11">
      <c r="I5251" s="1"/>
      <c r="J5251" s="1"/>
      <c r="K5251" s="3"/>
    </row>
    <row r="5252" spans="9:11">
      <c r="I5252" s="1"/>
      <c r="J5252" s="1"/>
      <c r="K5252" s="3"/>
    </row>
    <row r="5253" spans="9:11">
      <c r="I5253" s="1"/>
      <c r="J5253" s="1"/>
      <c r="K5253" s="3"/>
    </row>
    <row r="5254" spans="9:11">
      <c r="I5254" s="1"/>
      <c r="J5254" s="1"/>
      <c r="K5254" s="3"/>
    </row>
    <row r="5255" spans="9:11">
      <c r="I5255" s="1"/>
      <c r="J5255" s="1"/>
      <c r="K5255" s="3"/>
    </row>
    <row r="5256" spans="9:11">
      <c r="I5256" s="1"/>
      <c r="J5256" s="1"/>
      <c r="K5256" s="3"/>
    </row>
    <row r="5257" spans="9:11">
      <c r="I5257" s="1"/>
      <c r="J5257" s="1"/>
      <c r="K5257" s="3"/>
    </row>
    <row r="5258" spans="9:11">
      <c r="I5258" s="1"/>
      <c r="J5258" s="1"/>
      <c r="K5258" s="3"/>
    </row>
    <row r="5259" spans="9:11">
      <c r="I5259" s="1"/>
      <c r="J5259" s="1"/>
      <c r="K5259" s="3"/>
    </row>
    <row r="5260" spans="9:11">
      <c r="I5260" s="1"/>
      <c r="J5260" s="1"/>
      <c r="K5260" s="3"/>
    </row>
    <row r="5261" spans="9:11">
      <c r="I5261" s="1"/>
      <c r="J5261" s="1"/>
      <c r="K5261" s="3"/>
    </row>
    <row r="5262" spans="9:11">
      <c r="I5262" s="1"/>
      <c r="J5262" s="1"/>
      <c r="K5262" s="3"/>
    </row>
    <row r="5263" spans="9:11">
      <c r="I5263" s="1"/>
      <c r="J5263" s="1"/>
      <c r="K5263" s="3"/>
    </row>
    <row r="5264" spans="9:11">
      <c r="I5264" s="1"/>
      <c r="J5264" s="1"/>
      <c r="K5264" s="3"/>
    </row>
    <row r="5265" spans="9:11">
      <c r="I5265" s="1"/>
      <c r="J5265" s="1"/>
      <c r="K5265" s="3"/>
    </row>
    <row r="5266" spans="9:11">
      <c r="I5266" s="1"/>
      <c r="J5266" s="1"/>
      <c r="K5266" s="3"/>
    </row>
    <row r="5267" spans="9:11">
      <c r="I5267" s="1"/>
      <c r="J5267" s="1"/>
      <c r="K5267" s="3"/>
    </row>
    <row r="5268" spans="9:11">
      <c r="I5268" s="1"/>
      <c r="J5268" s="1"/>
      <c r="K5268" s="3"/>
    </row>
    <row r="5269" spans="9:11">
      <c r="I5269" s="1"/>
      <c r="J5269" s="1"/>
      <c r="K5269" s="3"/>
    </row>
    <row r="5270" spans="9:11">
      <c r="I5270" s="1"/>
      <c r="J5270" s="1"/>
      <c r="K5270" s="3"/>
    </row>
    <row r="5271" spans="9:11">
      <c r="I5271" s="1"/>
      <c r="J5271" s="1"/>
      <c r="K5271" s="3"/>
    </row>
    <row r="5272" spans="9:11">
      <c r="I5272" s="1"/>
      <c r="J5272" s="1"/>
      <c r="K5272" s="3"/>
    </row>
    <row r="5273" spans="9:11">
      <c r="I5273" s="1"/>
      <c r="J5273" s="1"/>
      <c r="K5273" s="3"/>
    </row>
    <row r="5274" spans="9:11">
      <c r="I5274" s="1"/>
      <c r="J5274" s="1"/>
      <c r="K5274" s="3"/>
    </row>
    <row r="5275" spans="9:11">
      <c r="I5275" s="1"/>
      <c r="J5275" s="1"/>
      <c r="K5275" s="3"/>
    </row>
    <row r="5276" spans="9:11">
      <c r="I5276" s="1"/>
      <c r="J5276" s="1"/>
      <c r="K5276" s="3"/>
    </row>
    <row r="5277" spans="9:11">
      <c r="I5277" s="1"/>
      <c r="J5277" s="1"/>
      <c r="K5277" s="3"/>
    </row>
    <row r="5278" spans="9:11">
      <c r="I5278" s="1"/>
      <c r="J5278" s="1"/>
      <c r="K5278" s="3"/>
    </row>
    <row r="5279" spans="9:11">
      <c r="I5279" s="1"/>
      <c r="J5279" s="1"/>
      <c r="K5279" s="3"/>
    </row>
    <row r="5280" spans="9:11">
      <c r="I5280" s="1"/>
      <c r="J5280" s="1"/>
      <c r="K5280" s="3"/>
    </row>
    <row r="5281" spans="9:11">
      <c r="I5281" s="1"/>
      <c r="J5281" s="1"/>
      <c r="K5281" s="3"/>
    </row>
    <row r="5282" spans="9:11">
      <c r="I5282" s="1"/>
      <c r="J5282" s="1"/>
      <c r="K5282" s="3"/>
    </row>
    <row r="5283" spans="9:11">
      <c r="I5283" s="1"/>
      <c r="J5283" s="1"/>
      <c r="K5283" s="3"/>
    </row>
    <row r="5284" spans="9:11">
      <c r="I5284" s="1"/>
      <c r="J5284" s="1"/>
      <c r="K5284" s="3"/>
    </row>
    <row r="5285" spans="9:11">
      <c r="I5285" s="1"/>
      <c r="J5285" s="1"/>
      <c r="K5285" s="3"/>
    </row>
    <row r="5286" spans="9:11">
      <c r="I5286" s="1"/>
      <c r="J5286" s="1"/>
      <c r="K5286" s="3"/>
    </row>
    <row r="5287" spans="9:11">
      <c r="I5287" s="1"/>
      <c r="J5287" s="1"/>
      <c r="K5287" s="3"/>
    </row>
    <row r="5288" spans="9:11">
      <c r="I5288" s="1"/>
      <c r="J5288" s="1"/>
      <c r="K5288" s="3"/>
    </row>
    <row r="5289" spans="9:11">
      <c r="I5289" s="1"/>
      <c r="J5289" s="1"/>
      <c r="K5289" s="3"/>
    </row>
    <row r="5290" spans="9:11">
      <c r="I5290" s="1"/>
      <c r="J5290" s="1"/>
      <c r="K5290" s="3"/>
    </row>
    <row r="5291" spans="9:11">
      <c r="I5291" s="1"/>
      <c r="J5291" s="1"/>
      <c r="K5291" s="3"/>
    </row>
    <row r="5292" spans="9:11">
      <c r="I5292" s="1"/>
      <c r="J5292" s="1"/>
      <c r="K5292" s="3"/>
    </row>
    <row r="5293" spans="9:11">
      <c r="I5293" s="1"/>
      <c r="J5293" s="1"/>
      <c r="K5293" s="3"/>
    </row>
    <row r="5294" spans="9:11">
      <c r="I5294" s="1"/>
      <c r="J5294" s="1"/>
      <c r="K5294" s="3"/>
    </row>
    <row r="5295" spans="9:11">
      <c r="I5295" s="1"/>
      <c r="J5295" s="1"/>
      <c r="K5295" s="3"/>
    </row>
    <row r="5296" spans="9:11">
      <c r="I5296" s="1"/>
      <c r="J5296" s="1"/>
      <c r="K5296" s="3"/>
    </row>
    <row r="5297" spans="9:11">
      <c r="I5297" s="1"/>
      <c r="J5297" s="1"/>
      <c r="K5297" s="3"/>
    </row>
    <row r="5298" spans="9:11">
      <c r="I5298" s="1"/>
      <c r="J5298" s="1"/>
      <c r="K5298" s="3"/>
    </row>
    <row r="5299" spans="9:11">
      <c r="I5299" s="1"/>
      <c r="J5299" s="1"/>
      <c r="K5299" s="3"/>
    </row>
    <row r="5300" spans="9:11">
      <c r="I5300" s="1"/>
      <c r="J5300" s="1"/>
      <c r="K5300" s="3"/>
    </row>
    <row r="5301" spans="9:11">
      <c r="I5301" s="1"/>
      <c r="J5301" s="1"/>
      <c r="K5301" s="3"/>
    </row>
    <row r="5302" spans="9:11">
      <c r="I5302" s="1"/>
      <c r="J5302" s="1"/>
      <c r="K5302" s="3"/>
    </row>
    <row r="5303" spans="9:11">
      <c r="I5303" s="1"/>
      <c r="J5303" s="1"/>
      <c r="K5303" s="3"/>
    </row>
    <row r="5304" spans="9:11">
      <c r="I5304" s="1"/>
      <c r="J5304" s="1"/>
      <c r="K5304" s="3"/>
    </row>
    <row r="5305" spans="9:11">
      <c r="I5305" s="1"/>
      <c r="J5305" s="1"/>
      <c r="K5305" s="3"/>
    </row>
    <row r="5306" spans="9:11">
      <c r="I5306" s="1"/>
      <c r="J5306" s="1"/>
      <c r="K5306" s="3"/>
    </row>
    <row r="5307" spans="9:11">
      <c r="I5307" s="1"/>
      <c r="J5307" s="1"/>
      <c r="K5307" s="3"/>
    </row>
    <row r="5308" spans="9:11">
      <c r="I5308" s="1"/>
      <c r="J5308" s="1"/>
      <c r="K5308" s="3"/>
    </row>
    <row r="5309" spans="9:11">
      <c r="I5309" s="1"/>
      <c r="J5309" s="1"/>
      <c r="K5309" s="3"/>
    </row>
    <row r="5310" spans="9:11">
      <c r="I5310" s="1"/>
      <c r="J5310" s="1"/>
      <c r="K5310" s="3"/>
    </row>
    <row r="5311" spans="9:11">
      <c r="I5311" s="1"/>
      <c r="J5311" s="1"/>
      <c r="K5311" s="3"/>
    </row>
    <row r="5312" spans="9:11">
      <c r="I5312" s="1"/>
      <c r="J5312" s="1"/>
      <c r="K5312" s="3"/>
    </row>
    <row r="5313" spans="9:11">
      <c r="I5313" s="1"/>
      <c r="J5313" s="1"/>
      <c r="K5313" s="3"/>
    </row>
    <row r="5314" spans="9:11">
      <c r="I5314" s="1"/>
      <c r="J5314" s="1"/>
      <c r="K5314" s="3"/>
    </row>
    <row r="5315" spans="9:11">
      <c r="I5315" s="1"/>
      <c r="J5315" s="1"/>
      <c r="K5315" s="3"/>
    </row>
    <row r="5316" spans="9:11">
      <c r="I5316" s="1"/>
      <c r="J5316" s="1"/>
      <c r="K5316" s="3"/>
    </row>
    <row r="5317" spans="9:11">
      <c r="I5317" s="1"/>
      <c r="J5317" s="1"/>
      <c r="K5317" s="3"/>
    </row>
    <row r="5318" spans="9:11">
      <c r="I5318" s="1"/>
      <c r="J5318" s="1"/>
      <c r="K5318" s="3"/>
    </row>
    <row r="5319" spans="9:11">
      <c r="I5319" s="1"/>
      <c r="J5319" s="1"/>
      <c r="K5319" s="3"/>
    </row>
    <row r="5320" spans="9:11">
      <c r="I5320" s="1"/>
      <c r="J5320" s="1"/>
      <c r="K5320" s="3"/>
    </row>
    <row r="5321" spans="9:11">
      <c r="I5321" s="1"/>
      <c r="J5321" s="1"/>
      <c r="K5321" s="3"/>
    </row>
    <row r="5322" spans="9:11">
      <c r="I5322" s="1"/>
      <c r="J5322" s="1"/>
      <c r="K5322" s="3"/>
    </row>
    <row r="5323" spans="9:11">
      <c r="I5323" s="1"/>
      <c r="J5323" s="1"/>
      <c r="K5323" s="3"/>
    </row>
    <row r="5324" spans="9:11">
      <c r="I5324" s="1"/>
      <c r="J5324" s="1"/>
      <c r="K5324" s="3"/>
    </row>
    <row r="5325" spans="9:11">
      <c r="I5325" s="1"/>
      <c r="J5325" s="1"/>
      <c r="K5325" s="3"/>
    </row>
    <row r="5326" spans="9:11">
      <c r="I5326" s="1"/>
      <c r="J5326" s="1"/>
      <c r="K5326" s="3"/>
    </row>
    <row r="5327" spans="9:11">
      <c r="I5327" s="1"/>
      <c r="J5327" s="1"/>
      <c r="K5327" s="3"/>
    </row>
    <row r="5328" spans="9:11">
      <c r="I5328" s="1"/>
      <c r="J5328" s="1"/>
      <c r="K5328" s="3"/>
    </row>
    <row r="5329" spans="9:11">
      <c r="I5329" s="1"/>
      <c r="J5329" s="1"/>
      <c r="K5329" s="3"/>
    </row>
    <row r="5330" spans="9:11">
      <c r="I5330" s="1"/>
      <c r="J5330" s="1"/>
      <c r="K5330" s="3"/>
    </row>
    <row r="5331" spans="9:11">
      <c r="I5331" s="1"/>
      <c r="J5331" s="1"/>
      <c r="K5331" s="3"/>
    </row>
    <row r="5332" spans="9:11">
      <c r="I5332" s="1"/>
      <c r="J5332" s="1"/>
      <c r="K5332" s="3"/>
    </row>
    <row r="5333" spans="9:11">
      <c r="I5333" s="1"/>
      <c r="J5333" s="1"/>
      <c r="K5333" s="3"/>
    </row>
    <row r="5334" spans="9:11">
      <c r="I5334" s="1"/>
      <c r="J5334" s="1"/>
      <c r="K5334" s="3"/>
    </row>
    <row r="5335" spans="9:11">
      <c r="I5335" s="1"/>
      <c r="J5335" s="1"/>
      <c r="K5335" s="3"/>
    </row>
    <row r="5336" spans="9:11">
      <c r="I5336" s="1"/>
      <c r="J5336" s="1"/>
      <c r="K5336" s="3"/>
    </row>
    <row r="5337" spans="9:11">
      <c r="I5337" s="1"/>
      <c r="J5337" s="1"/>
      <c r="K5337" s="3"/>
    </row>
    <row r="5338" spans="9:11">
      <c r="I5338" s="1"/>
      <c r="J5338" s="1"/>
      <c r="K5338" s="3"/>
    </row>
    <row r="5339" spans="9:11">
      <c r="I5339" s="1"/>
      <c r="J5339" s="1"/>
      <c r="K5339" s="3"/>
    </row>
    <row r="5340" spans="9:11">
      <c r="I5340" s="1"/>
      <c r="J5340" s="1"/>
      <c r="K5340" s="3"/>
    </row>
    <row r="5341" spans="9:11">
      <c r="I5341" s="1"/>
      <c r="J5341" s="1"/>
      <c r="K5341" s="3"/>
    </row>
    <row r="5342" spans="9:11">
      <c r="I5342" s="1"/>
      <c r="J5342" s="1"/>
      <c r="K5342" s="3"/>
    </row>
    <row r="5343" spans="9:11">
      <c r="I5343" s="1"/>
      <c r="J5343" s="1"/>
      <c r="K5343" s="3"/>
    </row>
    <row r="5344" spans="9:11">
      <c r="I5344" s="1"/>
      <c r="J5344" s="1"/>
      <c r="K5344" s="3"/>
    </row>
    <row r="5345" spans="9:11">
      <c r="I5345" s="1"/>
      <c r="J5345" s="1"/>
      <c r="K5345" s="3"/>
    </row>
    <row r="5346" spans="9:11">
      <c r="I5346" s="1"/>
      <c r="J5346" s="1"/>
      <c r="K5346" s="3"/>
    </row>
    <row r="5347" spans="9:11">
      <c r="I5347" s="1"/>
      <c r="J5347" s="1"/>
      <c r="K5347" s="3"/>
    </row>
    <row r="5348" spans="9:11">
      <c r="I5348" s="1"/>
      <c r="J5348" s="1"/>
      <c r="K5348" s="3"/>
    </row>
    <row r="5349" spans="9:11">
      <c r="I5349" s="1"/>
      <c r="J5349" s="1"/>
      <c r="K5349" s="3"/>
    </row>
    <row r="5350" spans="9:11">
      <c r="I5350" s="1"/>
      <c r="J5350" s="1"/>
      <c r="K5350" s="3"/>
    </row>
    <row r="5351" spans="9:11">
      <c r="I5351" s="1"/>
      <c r="J5351" s="1"/>
      <c r="K5351" s="3"/>
    </row>
    <row r="5352" spans="9:11">
      <c r="I5352" s="1"/>
      <c r="J5352" s="1"/>
      <c r="K5352" s="3"/>
    </row>
    <row r="5353" spans="9:11">
      <c r="I5353" s="1"/>
      <c r="J5353" s="1"/>
      <c r="K5353" s="3"/>
    </row>
    <row r="5354" spans="9:11">
      <c r="I5354" s="1"/>
      <c r="J5354" s="1"/>
      <c r="K5354" s="3"/>
    </row>
    <row r="5355" spans="9:11">
      <c r="I5355" s="1"/>
      <c r="J5355" s="1"/>
      <c r="K5355" s="3"/>
    </row>
    <row r="5356" spans="9:11">
      <c r="I5356" s="1"/>
      <c r="J5356" s="1"/>
      <c r="K5356" s="3"/>
    </row>
    <row r="5357" spans="9:11">
      <c r="I5357" s="1"/>
      <c r="J5357" s="1"/>
      <c r="K5357" s="3"/>
    </row>
    <row r="5358" spans="9:11">
      <c r="I5358" s="1"/>
      <c r="J5358" s="1"/>
      <c r="K5358" s="3"/>
    </row>
    <row r="5359" spans="9:11">
      <c r="I5359" s="1"/>
      <c r="J5359" s="1"/>
      <c r="K5359" s="3"/>
    </row>
    <row r="5360" spans="9:11">
      <c r="I5360" s="1"/>
      <c r="J5360" s="1"/>
      <c r="K5360" s="3"/>
    </row>
    <row r="5361" spans="9:11">
      <c r="I5361" s="1"/>
      <c r="J5361" s="1"/>
      <c r="K5361" s="3"/>
    </row>
    <row r="5362" spans="9:11">
      <c r="I5362" s="1"/>
      <c r="J5362" s="1"/>
      <c r="K5362" s="3"/>
    </row>
    <row r="5363" spans="9:11">
      <c r="I5363" s="1"/>
      <c r="J5363" s="1"/>
      <c r="K5363" s="3"/>
    </row>
    <row r="5364" spans="9:11">
      <c r="I5364" s="1"/>
      <c r="J5364" s="1"/>
      <c r="K5364" s="3"/>
    </row>
    <row r="5365" spans="9:11">
      <c r="I5365" s="1"/>
      <c r="J5365" s="1"/>
      <c r="K5365" s="3"/>
    </row>
    <row r="5366" spans="9:11">
      <c r="I5366" s="1"/>
      <c r="J5366" s="1"/>
      <c r="K5366" s="3"/>
    </row>
    <row r="5367" spans="9:11">
      <c r="I5367" s="1"/>
      <c r="J5367" s="1"/>
      <c r="K5367" s="3"/>
    </row>
    <row r="5368" spans="9:11">
      <c r="I5368" s="1"/>
      <c r="J5368" s="1"/>
      <c r="K5368" s="3"/>
    </row>
    <row r="5369" spans="9:11">
      <c r="I5369" s="1"/>
      <c r="J5369" s="1"/>
      <c r="K5369" s="3"/>
    </row>
    <row r="5370" spans="9:11">
      <c r="I5370" s="1"/>
      <c r="J5370" s="1"/>
      <c r="K5370" s="3"/>
    </row>
    <row r="5371" spans="9:11">
      <c r="I5371" s="1"/>
      <c r="J5371" s="1"/>
      <c r="K5371" s="3"/>
    </row>
    <row r="5372" spans="9:11">
      <c r="I5372" s="1"/>
      <c r="J5372" s="1"/>
      <c r="K5372" s="3"/>
    </row>
    <row r="5373" spans="9:11">
      <c r="I5373" s="1"/>
      <c r="J5373" s="1"/>
      <c r="K5373" s="3"/>
    </row>
    <row r="5374" spans="9:11">
      <c r="I5374" s="1"/>
      <c r="J5374" s="1"/>
      <c r="K5374" s="3"/>
    </row>
    <row r="5375" spans="9:11">
      <c r="I5375" s="1"/>
      <c r="J5375" s="1"/>
      <c r="K5375" s="3"/>
    </row>
    <row r="5376" spans="9:11">
      <c r="I5376" s="1"/>
      <c r="J5376" s="1"/>
      <c r="K5376" s="3"/>
    </row>
    <row r="5377" spans="9:11">
      <c r="I5377" s="1"/>
      <c r="J5377" s="1"/>
      <c r="K5377" s="3"/>
    </row>
    <row r="5378" spans="9:11">
      <c r="I5378" s="1"/>
      <c r="J5378" s="1"/>
      <c r="K5378" s="3"/>
    </row>
    <row r="5379" spans="9:11">
      <c r="I5379" s="1"/>
      <c r="J5379" s="1"/>
      <c r="K5379" s="3"/>
    </row>
    <row r="5380" spans="9:11">
      <c r="I5380" s="1"/>
      <c r="J5380" s="1"/>
      <c r="K5380" s="3"/>
    </row>
    <row r="5381" spans="9:11">
      <c r="I5381" s="1"/>
      <c r="J5381" s="1"/>
      <c r="K5381" s="3"/>
    </row>
    <row r="5382" spans="9:11">
      <c r="I5382" s="1"/>
      <c r="J5382" s="1"/>
      <c r="K5382" s="3"/>
    </row>
    <row r="5383" spans="9:11">
      <c r="I5383" s="1"/>
      <c r="J5383" s="1"/>
      <c r="K5383" s="3"/>
    </row>
    <row r="5384" spans="9:11">
      <c r="I5384" s="1"/>
      <c r="J5384" s="1"/>
      <c r="K5384" s="3"/>
    </row>
    <row r="5385" spans="9:11">
      <c r="I5385" s="1"/>
      <c r="J5385" s="1"/>
      <c r="K5385" s="3"/>
    </row>
    <row r="5386" spans="9:11">
      <c r="I5386" s="1"/>
      <c r="J5386" s="1"/>
      <c r="K5386" s="3"/>
    </row>
    <row r="5387" spans="9:11">
      <c r="I5387" s="1"/>
      <c r="J5387" s="1"/>
      <c r="K5387" s="3"/>
    </row>
    <row r="5388" spans="9:11">
      <c r="I5388" s="1"/>
      <c r="J5388" s="1"/>
      <c r="K5388" s="3"/>
    </row>
    <row r="5389" spans="9:11">
      <c r="I5389" s="1"/>
      <c r="J5389" s="1"/>
      <c r="K5389" s="3"/>
    </row>
    <row r="5390" spans="9:11">
      <c r="I5390" s="1"/>
      <c r="J5390" s="1"/>
      <c r="K5390" s="3"/>
    </row>
    <row r="5391" spans="9:11">
      <c r="I5391" s="1"/>
      <c r="J5391" s="1"/>
      <c r="K5391" s="3"/>
    </row>
    <row r="5392" spans="9:11">
      <c r="I5392" s="1"/>
      <c r="J5392" s="1"/>
      <c r="K5392" s="3"/>
    </row>
    <row r="5393" spans="9:11">
      <c r="I5393" s="1"/>
      <c r="J5393" s="1"/>
      <c r="K5393" s="3"/>
    </row>
    <row r="5394" spans="9:11">
      <c r="I5394" s="1"/>
      <c r="J5394" s="1"/>
      <c r="K5394" s="3"/>
    </row>
    <row r="5395" spans="9:11">
      <c r="I5395" s="1"/>
      <c r="J5395" s="1"/>
      <c r="K5395" s="3"/>
    </row>
    <row r="5396" spans="9:11">
      <c r="I5396" s="1"/>
      <c r="J5396" s="1"/>
      <c r="K5396" s="3"/>
    </row>
    <row r="5397" spans="9:11">
      <c r="I5397" s="1"/>
      <c r="J5397" s="1"/>
      <c r="K5397" s="3"/>
    </row>
    <row r="5398" spans="9:11">
      <c r="I5398" s="1"/>
      <c r="J5398" s="1"/>
      <c r="K5398" s="3"/>
    </row>
    <row r="5399" spans="9:11">
      <c r="I5399" s="1"/>
      <c r="J5399" s="1"/>
      <c r="K5399" s="3"/>
    </row>
    <row r="5400" spans="9:11">
      <c r="I5400" s="1"/>
      <c r="J5400" s="1"/>
      <c r="K5400" s="3"/>
    </row>
    <row r="5401" spans="9:11">
      <c r="I5401" s="1"/>
      <c r="J5401" s="1"/>
      <c r="K5401" s="3"/>
    </row>
    <row r="5402" spans="9:11">
      <c r="I5402" s="1"/>
      <c r="J5402" s="1"/>
      <c r="K5402" s="3"/>
    </row>
    <row r="5403" spans="9:11">
      <c r="I5403" s="1"/>
      <c r="J5403" s="1"/>
      <c r="K5403" s="3"/>
    </row>
    <row r="5404" spans="9:11">
      <c r="I5404" s="1"/>
      <c r="J5404" s="1"/>
      <c r="K5404" s="3"/>
    </row>
    <row r="5405" spans="9:11">
      <c r="I5405" s="1"/>
      <c r="J5405" s="1"/>
      <c r="K5405" s="3"/>
    </row>
    <row r="5406" spans="9:11">
      <c r="I5406" s="1"/>
      <c r="J5406" s="1"/>
      <c r="K5406" s="3"/>
    </row>
    <row r="5407" spans="9:11">
      <c r="I5407" s="1"/>
      <c r="J5407" s="1"/>
      <c r="K5407" s="3"/>
    </row>
    <row r="5408" spans="9:11">
      <c r="I5408" s="1"/>
      <c r="J5408" s="1"/>
      <c r="K5408" s="3"/>
    </row>
    <row r="5409" spans="9:11">
      <c r="I5409" s="1"/>
      <c r="J5409" s="1"/>
      <c r="K5409" s="3"/>
    </row>
    <row r="5410" spans="9:11">
      <c r="I5410" s="1"/>
      <c r="J5410" s="1"/>
      <c r="K5410" s="3"/>
    </row>
    <row r="5411" spans="9:11">
      <c r="I5411" s="1"/>
      <c r="J5411" s="1"/>
      <c r="K5411" s="3"/>
    </row>
    <row r="5412" spans="9:11">
      <c r="I5412" s="1"/>
      <c r="J5412" s="1"/>
      <c r="K5412" s="3"/>
    </row>
    <row r="5413" spans="9:11">
      <c r="I5413" s="1"/>
      <c r="J5413" s="1"/>
      <c r="K5413" s="3"/>
    </row>
    <row r="5414" spans="9:11">
      <c r="I5414" s="1"/>
      <c r="J5414" s="1"/>
      <c r="K5414" s="3"/>
    </row>
    <row r="5415" spans="9:11">
      <c r="I5415" s="1"/>
      <c r="J5415" s="1"/>
      <c r="K5415" s="3"/>
    </row>
    <row r="5416" spans="9:11">
      <c r="I5416" s="1"/>
      <c r="J5416" s="1"/>
      <c r="K5416" s="3"/>
    </row>
    <row r="5417" spans="9:11">
      <c r="I5417" s="1"/>
      <c r="J5417" s="1"/>
      <c r="K5417" s="3"/>
    </row>
    <row r="5418" spans="9:11">
      <c r="I5418" s="1"/>
      <c r="J5418" s="1"/>
      <c r="K5418" s="3"/>
    </row>
    <row r="5419" spans="9:11">
      <c r="I5419" s="1"/>
      <c r="J5419" s="1"/>
      <c r="K5419" s="3"/>
    </row>
    <row r="5420" spans="9:11">
      <c r="I5420" s="1"/>
      <c r="J5420" s="1"/>
      <c r="K5420" s="3"/>
    </row>
    <row r="5421" spans="9:11">
      <c r="I5421" s="1"/>
      <c r="J5421" s="1"/>
      <c r="K5421" s="3"/>
    </row>
    <row r="5422" spans="9:11">
      <c r="I5422" s="1"/>
      <c r="J5422" s="1"/>
      <c r="K5422" s="3"/>
    </row>
    <row r="5423" spans="9:11">
      <c r="I5423" s="1"/>
      <c r="J5423" s="1"/>
      <c r="K5423" s="3"/>
    </row>
    <row r="5424" spans="9:11">
      <c r="I5424" s="1"/>
      <c r="J5424" s="1"/>
      <c r="K5424" s="3"/>
    </row>
    <row r="5425" spans="9:11">
      <c r="I5425" s="1"/>
      <c r="J5425" s="1"/>
      <c r="K5425" s="3"/>
    </row>
    <row r="5426" spans="9:11">
      <c r="I5426" s="1"/>
      <c r="J5426" s="1"/>
      <c r="K5426" s="3"/>
    </row>
    <row r="5427" spans="9:11">
      <c r="I5427" s="1"/>
      <c r="J5427" s="1"/>
      <c r="K5427" s="3"/>
    </row>
    <row r="5428" spans="9:11">
      <c r="I5428" s="1"/>
      <c r="J5428" s="1"/>
      <c r="K5428" s="3"/>
    </row>
    <row r="5429" spans="9:11">
      <c r="I5429" s="1"/>
      <c r="J5429" s="1"/>
      <c r="K5429" s="3"/>
    </row>
    <row r="5430" spans="9:11">
      <c r="I5430" s="1"/>
      <c r="J5430" s="1"/>
      <c r="K5430" s="3"/>
    </row>
    <row r="5431" spans="9:11">
      <c r="I5431" s="1"/>
      <c r="J5431" s="1"/>
      <c r="K5431" s="3"/>
    </row>
    <row r="5432" spans="9:11">
      <c r="I5432" s="1"/>
      <c r="J5432" s="1"/>
      <c r="K5432" s="3"/>
    </row>
    <row r="5433" spans="9:11">
      <c r="I5433" s="1"/>
      <c r="J5433" s="1"/>
      <c r="K5433" s="3"/>
    </row>
    <row r="5434" spans="9:11">
      <c r="I5434" s="1"/>
      <c r="J5434" s="1"/>
      <c r="K5434" s="3"/>
    </row>
    <row r="5435" spans="9:11">
      <c r="I5435" s="1"/>
      <c r="J5435" s="1"/>
      <c r="K5435" s="3"/>
    </row>
    <row r="5436" spans="9:11">
      <c r="I5436" s="1"/>
      <c r="J5436" s="1"/>
      <c r="K5436" s="3"/>
    </row>
    <row r="5437" spans="9:11">
      <c r="I5437" s="1"/>
      <c r="J5437" s="1"/>
      <c r="K5437" s="3"/>
    </row>
    <row r="5438" spans="9:11">
      <c r="I5438" s="1"/>
      <c r="J5438" s="1"/>
      <c r="K5438" s="3"/>
    </row>
    <row r="5439" spans="9:11">
      <c r="I5439" s="1"/>
      <c r="J5439" s="1"/>
      <c r="K5439" s="3"/>
    </row>
    <row r="5440" spans="9:11">
      <c r="I5440" s="1"/>
      <c r="J5440" s="1"/>
      <c r="K5440" s="3"/>
    </row>
    <row r="5441" spans="9:11">
      <c r="I5441" s="1"/>
      <c r="J5441" s="1"/>
      <c r="K5441" s="3"/>
    </row>
    <row r="5442" spans="9:11">
      <c r="I5442" s="1"/>
      <c r="J5442" s="1"/>
      <c r="K5442" s="3"/>
    </row>
    <row r="5443" spans="9:11">
      <c r="I5443" s="1"/>
      <c r="J5443" s="1"/>
      <c r="K5443" s="3"/>
    </row>
    <row r="5444" spans="9:11">
      <c r="I5444" s="1"/>
      <c r="J5444" s="1"/>
      <c r="K5444" s="3"/>
    </row>
    <row r="5445" spans="9:11">
      <c r="I5445" s="1"/>
      <c r="J5445" s="1"/>
      <c r="K5445" s="3"/>
    </row>
    <row r="5446" spans="9:11">
      <c r="I5446" s="1"/>
      <c r="J5446" s="1"/>
      <c r="K5446" s="3"/>
    </row>
    <row r="5447" spans="9:11">
      <c r="I5447" s="1"/>
      <c r="J5447" s="1"/>
      <c r="K5447" s="3"/>
    </row>
    <row r="5448" spans="9:11">
      <c r="I5448" s="1"/>
      <c r="J5448" s="1"/>
      <c r="K5448" s="3"/>
    </row>
    <row r="5449" spans="9:11">
      <c r="I5449" s="1"/>
      <c r="J5449" s="1"/>
      <c r="K5449" s="3"/>
    </row>
    <row r="5450" spans="9:11">
      <c r="I5450" s="1"/>
      <c r="J5450" s="1"/>
      <c r="K5450" s="3"/>
    </row>
    <row r="5451" spans="9:11">
      <c r="I5451" s="1"/>
      <c r="J5451" s="1"/>
      <c r="K5451" s="3"/>
    </row>
    <row r="5452" spans="9:11">
      <c r="I5452" s="1"/>
      <c r="J5452" s="1"/>
      <c r="K5452" s="3"/>
    </row>
    <row r="5453" spans="9:11">
      <c r="I5453" s="1"/>
      <c r="J5453" s="1"/>
      <c r="K5453" s="3"/>
    </row>
    <row r="5454" spans="9:11">
      <c r="I5454" s="1"/>
      <c r="J5454" s="1"/>
      <c r="K5454" s="3"/>
    </row>
    <row r="5455" spans="9:11">
      <c r="I5455" s="1"/>
      <c r="J5455" s="1"/>
      <c r="K5455" s="3"/>
    </row>
    <row r="5456" spans="9:11">
      <c r="I5456" s="1"/>
      <c r="J5456" s="1"/>
      <c r="K5456" s="3"/>
    </row>
    <row r="5457" spans="9:11">
      <c r="I5457" s="1"/>
      <c r="J5457" s="1"/>
      <c r="K5457" s="3"/>
    </row>
    <row r="5458" spans="9:11">
      <c r="I5458" s="1"/>
      <c r="J5458" s="1"/>
      <c r="K5458" s="3"/>
    </row>
    <row r="5459" spans="9:11">
      <c r="I5459" s="1"/>
      <c r="J5459" s="1"/>
      <c r="K5459" s="3"/>
    </row>
    <row r="5460" spans="9:11">
      <c r="I5460" s="1"/>
      <c r="J5460" s="1"/>
      <c r="K5460" s="3"/>
    </row>
    <row r="5461" spans="9:11">
      <c r="I5461" s="1"/>
      <c r="J5461" s="1"/>
      <c r="K5461" s="3"/>
    </row>
    <row r="5462" spans="9:11">
      <c r="I5462" s="1"/>
      <c r="J5462" s="1"/>
      <c r="K5462" s="3"/>
    </row>
    <row r="5463" spans="9:11">
      <c r="I5463" s="1"/>
      <c r="J5463" s="1"/>
      <c r="K5463" s="3"/>
    </row>
    <row r="5464" spans="9:11">
      <c r="I5464" s="1"/>
      <c r="J5464" s="1"/>
      <c r="K5464" s="3"/>
    </row>
    <row r="5465" spans="9:11">
      <c r="I5465" s="1"/>
      <c r="J5465" s="1"/>
      <c r="K5465" s="3"/>
    </row>
    <row r="5466" spans="9:11">
      <c r="I5466" s="1"/>
      <c r="J5466" s="1"/>
      <c r="K5466" s="3"/>
    </row>
    <row r="5467" spans="9:11">
      <c r="I5467" s="1"/>
      <c r="J5467" s="1"/>
      <c r="K5467" s="3"/>
    </row>
    <row r="5468" spans="9:11">
      <c r="I5468" s="1"/>
      <c r="J5468" s="1"/>
      <c r="K5468" s="3"/>
    </row>
    <row r="5469" spans="9:11">
      <c r="I5469" s="1"/>
      <c r="J5469" s="1"/>
      <c r="K5469" s="3"/>
    </row>
    <row r="5470" spans="9:11">
      <c r="I5470" s="1"/>
      <c r="J5470" s="1"/>
      <c r="K5470" s="3"/>
    </row>
    <row r="5471" spans="9:11">
      <c r="I5471" s="1"/>
      <c r="J5471" s="1"/>
      <c r="K5471" s="3"/>
    </row>
    <row r="5472" spans="9:11">
      <c r="I5472" s="1"/>
      <c r="J5472" s="1"/>
      <c r="K5472" s="3"/>
    </row>
    <row r="5473" spans="9:11">
      <c r="I5473" s="1"/>
      <c r="J5473" s="1"/>
      <c r="K5473" s="3"/>
    </row>
    <row r="5474" spans="9:11">
      <c r="I5474" s="1"/>
      <c r="J5474" s="1"/>
      <c r="K5474" s="3"/>
    </row>
    <row r="5475" spans="9:11">
      <c r="I5475" s="1"/>
      <c r="J5475" s="1"/>
      <c r="K5475" s="3"/>
    </row>
    <row r="5476" spans="9:11">
      <c r="I5476" s="1"/>
      <c r="J5476" s="1"/>
      <c r="K5476" s="3"/>
    </row>
    <row r="5477" spans="9:11">
      <c r="I5477" s="1"/>
      <c r="J5477" s="1"/>
      <c r="K5477" s="3"/>
    </row>
    <row r="5478" spans="9:11">
      <c r="I5478" s="1"/>
      <c r="J5478" s="1"/>
      <c r="K5478" s="3"/>
    </row>
    <row r="5479" spans="9:11">
      <c r="I5479" s="1"/>
      <c r="J5479" s="1"/>
      <c r="K5479" s="3"/>
    </row>
    <row r="5480" spans="9:11">
      <c r="I5480" s="1"/>
      <c r="J5480" s="1"/>
      <c r="K5480" s="3"/>
    </row>
    <row r="5481" spans="9:11">
      <c r="I5481" s="1"/>
      <c r="J5481" s="1"/>
      <c r="K5481" s="3"/>
    </row>
    <row r="5482" spans="9:11">
      <c r="I5482" s="1"/>
      <c r="J5482" s="1"/>
      <c r="K5482" s="3"/>
    </row>
    <row r="5483" spans="9:11">
      <c r="I5483" s="1"/>
      <c r="J5483" s="1"/>
      <c r="K5483" s="3"/>
    </row>
    <row r="5484" spans="9:11">
      <c r="I5484" s="1"/>
      <c r="J5484" s="1"/>
      <c r="K5484" s="3"/>
    </row>
    <row r="5485" spans="9:11">
      <c r="I5485" s="1"/>
      <c r="J5485" s="1"/>
      <c r="K5485" s="3"/>
    </row>
    <row r="5486" spans="9:11">
      <c r="I5486" s="1"/>
      <c r="J5486" s="1"/>
      <c r="K5486" s="3"/>
    </row>
    <row r="5487" spans="9:11">
      <c r="I5487" s="1"/>
      <c r="J5487" s="1"/>
      <c r="K5487" s="3"/>
    </row>
    <row r="5488" spans="9:11">
      <c r="I5488" s="1"/>
      <c r="J5488" s="1"/>
      <c r="K5488" s="3"/>
    </row>
    <row r="5489" spans="9:11">
      <c r="I5489" s="1"/>
      <c r="J5489" s="1"/>
      <c r="K5489" s="3"/>
    </row>
    <row r="5490" spans="9:11">
      <c r="I5490" s="1"/>
      <c r="J5490" s="1"/>
      <c r="K5490" s="3"/>
    </row>
    <row r="5491" spans="9:11">
      <c r="I5491" s="1"/>
      <c r="J5491" s="1"/>
      <c r="K5491" s="3"/>
    </row>
    <row r="5492" spans="9:11">
      <c r="I5492" s="1"/>
      <c r="J5492" s="1"/>
      <c r="K5492" s="3"/>
    </row>
    <row r="5493" spans="9:11">
      <c r="I5493" s="1"/>
      <c r="J5493" s="1"/>
      <c r="K5493" s="3"/>
    </row>
    <row r="5494" spans="9:11">
      <c r="I5494" s="1"/>
      <c r="J5494" s="1"/>
      <c r="K5494" s="3"/>
    </row>
    <row r="5495" spans="9:11">
      <c r="I5495" s="1"/>
      <c r="J5495" s="1"/>
      <c r="K5495" s="3"/>
    </row>
    <row r="5496" spans="9:11">
      <c r="I5496" s="1"/>
      <c r="J5496" s="1"/>
      <c r="K5496" s="3"/>
    </row>
    <row r="5497" spans="9:11">
      <c r="I5497" s="1"/>
      <c r="J5497" s="1"/>
      <c r="K5497" s="3"/>
    </row>
    <row r="5498" spans="9:11">
      <c r="I5498" s="1"/>
      <c r="J5498" s="1"/>
      <c r="K5498" s="3"/>
    </row>
    <row r="5499" spans="9:11">
      <c r="I5499" s="1"/>
      <c r="J5499" s="1"/>
      <c r="K5499" s="3"/>
    </row>
    <row r="5500" spans="9:11">
      <c r="I5500" s="1"/>
      <c r="J5500" s="1"/>
      <c r="K5500" s="3"/>
    </row>
    <row r="5501" spans="9:11">
      <c r="I5501" s="1"/>
      <c r="J5501" s="1"/>
      <c r="K5501" s="3"/>
    </row>
    <row r="5502" spans="9:11">
      <c r="I5502" s="1"/>
      <c r="J5502" s="1"/>
      <c r="K5502" s="3"/>
    </row>
    <row r="5503" spans="9:11">
      <c r="I5503" s="1"/>
      <c r="J5503" s="1"/>
      <c r="K5503" s="3"/>
    </row>
    <row r="5504" spans="9:11">
      <c r="I5504" s="1"/>
      <c r="J5504" s="1"/>
      <c r="K5504" s="3"/>
    </row>
    <row r="5505" spans="9:11">
      <c r="I5505" s="1"/>
      <c r="J5505" s="1"/>
      <c r="K5505" s="3"/>
    </row>
    <row r="5506" spans="9:11">
      <c r="I5506" s="1"/>
      <c r="J5506" s="1"/>
      <c r="K5506" s="3"/>
    </row>
    <row r="5507" spans="9:11">
      <c r="I5507" s="1"/>
      <c r="J5507" s="1"/>
      <c r="K5507" s="3"/>
    </row>
    <row r="5508" spans="9:11">
      <c r="I5508" s="1"/>
      <c r="J5508" s="1"/>
      <c r="K5508" s="3"/>
    </row>
    <row r="5509" spans="9:11">
      <c r="I5509" s="1"/>
      <c r="J5509" s="1"/>
      <c r="K5509" s="3"/>
    </row>
    <row r="5510" spans="9:11">
      <c r="I5510" s="1"/>
      <c r="J5510" s="1"/>
      <c r="K5510" s="3"/>
    </row>
    <row r="5511" spans="9:11">
      <c r="I5511" s="1"/>
      <c r="J5511" s="1"/>
      <c r="K5511" s="3"/>
    </row>
    <row r="5512" spans="9:11">
      <c r="I5512" s="1"/>
      <c r="J5512" s="1"/>
      <c r="K5512" s="3"/>
    </row>
    <row r="5513" spans="9:11">
      <c r="I5513" s="1"/>
      <c r="J5513" s="1"/>
      <c r="K5513" s="3"/>
    </row>
    <row r="5514" spans="9:11">
      <c r="I5514" s="1"/>
      <c r="J5514" s="1"/>
      <c r="K5514" s="3"/>
    </row>
    <row r="5515" spans="9:11">
      <c r="I5515" s="1"/>
      <c r="J5515" s="1"/>
      <c r="K5515" s="3"/>
    </row>
    <row r="5516" spans="9:11">
      <c r="I5516" s="1"/>
      <c r="J5516" s="1"/>
      <c r="K5516" s="3"/>
    </row>
    <row r="5517" spans="9:11">
      <c r="I5517" s="1"/>
      <c r="J5517" s="1"/>
      <c r="K5517" s="3"/>
    </row>
    <row r="5518" spans="9:11">
      <c r="I5518" s="1"/>
      <c r="J5518" s="1"/>
      <c r="K5518" s="3"/>
    </row>
    <row r="5519" spans="9:11">
      <c r="I5519" s="1"/>
      <c r="J5519" s="1"/>
      <c r="K5519" s="3"/>
    </row>
    <row r="5520" spans="9:11">
      <c r="I5520" s="1"/>
      <c r="J5520" s="1"/>
      <c r="K5520" s="3"/>
    </row>
    <row r="5521" spans="9:11">
      <c r="I5521" s="1"/>
      <c r="J5521" s="1"/>
      <c r="K5521" s="3"/>
    </row>
    <row r="5522" spans="9:11">
      <c r="I5522" s="1"/>
      <c r="J5522" s="1"/>
      <c r="K5522" s="3"/>
    </row>
    <row r="5523" spans="9:11">
      <c r="I5523" s="1"/>
      <c r="J5523" s="1"/>
      <c r="K5523" s="3"/>
    </row>
    <row r="5524" spans="9:11">
      <c r="I5524" s="1"/>
      <c r="J5524" s="1"/>
      <c r="K5524" s="3"/>
    </row>
    <row r="5525" spans="9:11">
      <c r="I5525" s="1"/>
      <c r="J5525" s="1"/>
      <c r="K5525" s="3"/>
    </row>
    <row r="5526" spans="9:11">
      <c r="I5526" s="1"/>
      <c r="J5526" s="1"/>
      <c r="K5526" s="3"/>
    </row>
    <row r="5527" spans="9:11">
      <c r="I5527" s="1"/>
      <c r="J5527" s="1"/>
      <c r="K5527" s="3"/>
    </row>
    <row r="5528" spans="9:11">
      <c r="I5528" s="1"/>
      <c r="J5528" s="1"/>
      <c r="K5528" s="3"/>
    </row>
    <row r="5529" spans="9:11">
      <c r="I5529" s="1"/>
      <c r="J5529" s="1"/>
      <c r="K5529" s="3"/>
    </row>
    <row r="5530" spans="9:11">
      <c r="I5530" s="1"/>
      <c r="J5530" s="1"/>
      <c r="K5530" s="3"/>
    </row>
    <row r="5531" spans="9:11">
      <c r="I5531" s="1"/>
      <c r="J5531" s="1"/>
      <c r="K5531" s="3"/>
    </row>
    <row r="5532" spans="9:11">
      <c r="I5532" s="1"/>
      <c r="J5532" s="1"/>
      <c r="K5532" s="3"/>
    </row>
    <row r="5533" spans="9:11">
      <c r="I5533" s="1"/>
      <c r="J5533" s="1"/>
      <c r="K5533" s="3"/>
    </row>
    <row r="5534" spans="9:11">
      <c r="I5534" s="1"/>
      <c r="J5534" s="1"/>
      <c r="K5534" s="3"/>
    </row>
    <row r="5535" spans="9:11">
      <c r="I5535" s="1"/>
      <c r="J5535" s="1"/>
      <c r="K5535" s="3"/>
    </row>
    <row r="5536" spans="9:11">
      <c r="I5536" s="1"/>
      <c r="J5536" s="1"/>
      <c r="K5536" s="3"/>
    </row>
    <row r="5537" spans="9:11">
      <c r="I5537" s="1"/>
      <c r="J5537" s="1"/>
      <c r="K5537" s="3"/>
    </row>
    <row r="5538" spans="9:11">
      <c r="I5538" s="1"/>
      <c r="J5538" s="1"/>
      <c r="K5538" s="3"/>
    </row>
    <row r="5539" spans="9:11">
      <c r="I5539" s="1"/>
      <c r="J5539" s="1"/>
      <c r="K5539" s="3"/>
    </row>
    <row r="5540" spans="9:11">
      <c r="I5540" s="1"/>
      <c r="J5540" s="1"/>
      <c r="K5540" s="3"/>
    </row>
    <row r="5541" spans="9:11">
      <c r="I5541" s="1"/>
      <c r="J5541" s="1"/>
      <c r="K5541" s="3"/>
    </row>
    <row r="5542" spans="9:11">
      <c r="I5542" s="1"/>
      <c r="J5542" s="1"/>
      <c r="K5542" s="3"/>
    </row>
    <row r="5543" spans="9:11">
      <c r="I5543" s="1"/>
      <c r="J5543" s="1"/>
      <c r="K5543" s="3"/>
    </row>
    <row r="5544" spans="9:11">
      <c r="I5544" s="1"/>
      <c r="J5544" s="1"/>
      <c r="K5544" s="3"/>
    </row>
    <row r="5545" spans="9:11">
      <c r="I5545" s="1"/>
      <c r="J5545" s="1"/>
      <c r="K5545" s="3"/>
    </row>
    <row r="5546" spans="9:11">
      <c r="I5546" s="1"/>
      <c r="J5546" s="1"/>
      <c r="K5546" s="3"/>
    </row>
    <row r="5547" spans="9:11">
      <c r="I5547" s="1"/>
      <c r="J5547" s="1"/>
      <c r="K5547" s="3"/>
    </row>
    <row r="5548" spans="9:11">
      <c r="I5548" s="1"/>
      <c r="J5548" s="1"/>
      <c r="K5548" s="3"/>
    </row>
    <row r="5549" spans="9:11">
      <c r="I5549" s="1"/>
      <c r="J5549" s="1"/>
      <c r="K5549" s="3"/>
    </row>
    <row r="5550" spans="9:11">
      <c r="I5550" s="1"/>
      <c r="J5550" s="1"/>
      <c r="K5550" s="3"/>
    </row>
    <row r="5551" spans="9:11">
      <c r="I5551" s="1"/>
      <c r="J5551" s="1"/>
      <c r="K5551" s="3"/>
    </row>
    <row r="5552" spans="9:11">
      <c r="I5552" s="1"/>
      <c r="J5552" s="1"/>
      <c r="K5552" s="3"/>
    </row>
    <row r="5553" spans="9:11">
      <c r="I5553" s="1"/>
      <c r="J5553" s="1"/>
      <c r="K5553" s="3"/>
    </row>
    <row r="5554" spans="9:11">
      <c r="I5554" s="1"/>
      <c r="J5554" s="1"/>
      <c r="K5554" s="3"/>
    </row>
    <row r="5555" spans="9:11">
      <c r="I5555" s="1"/>
      <c r="J5555" s="1"/>
      <c r="K5555" s="3"/>
    </row>
    <row r="5556" spans="9:11">
      <c r="I5556" s="1"/>
      <c r="J5556" s="1"/>
      <c r="K5556" s="3"/>
    </row>
    <row r="5557" spans="9:11">
      <c r="I5557" s="1"/>
      <c r="J5557" s="1"/>
      <c r="K5557" s="3"/>
    </row>
    <row r="5558" spans="9:11">
      <c r="I5558" s="1"/>
      <c r="J5558" s="1"/>
      <c r="K5558" s="3"/>
    </row>
    <row r="5559" spans="9:11">
      <c r="I5559" s="1"/>
      <c r="J5559" s="1"/>
      <c r="K5559" s="3"/>
    </row>
    <row r="5560" spans="9:11">
      <c r="I5560" s="1"/>
      <c r="J5560" s="1"/>
      <c r="K5560" s="3"/>
    </row>
    <row r="5561" spans="9:11">
      <c r="I5561" s="1"/>
      <c r="J5561" s="1"/>
      <c r="K5561" s="3"/>
    </row>
    <row r="5562" spans="9:11">
      <c r="I5562" s="1"/>
      <c r="J5562" s="1"/>
      <c r="K5562" s="3"/>
    </row>
    <row r="5563" spans="9:11">
      <c r="I5563" s="1"/>
      <c r="J5563" s="1"/>
      <c r="K5563" s="3"/>
    </row>
    <row r="5564" spans="9:11">
      <c r="I5564" s="1"/>
      <c r="J5564" s="1"/>
      <c r="K5564" s="3"/>
    </row>
    <row r="5565" spans="9:11">
      <c r="I5565" s="1"/>
      <c r="J5565" s="1"/>
      <c r="K5565" s="3"/>
    </row>
    <row r="5566" spans="9:11">
      <c r="I5566" s="1"/>
      <c r="J5566" s="1"/>
      <c r="K5566" s="3"/>
    </row>
    <row r="5567" spans="9:11">
      <c r="I5567" s="1"/>
      <c r="J5567" s="1"/>
      <c r="K5567" s="3"/>
    </row>
    <row r="5568" spans="9:11">
      <c r="I5568" s="1"/>
      <c r="J5568" s="1"/>
      <c r="K5568" s="3"/>
    </row>
    <row r="5569" spans="9:11">
      <c r="I5569" s="1"/>
      <c r="J5569" s="1"/>
      <c r="K5569" s="3"/>
    </row>
    <row r="5570" spans="9:11">
      <c r="I5570" s="1"/>
      <c r="J5570" s="1"/>
      <c r="K5570" s="3"/>
    </row>
    <row r="5571" spans="9:11">
      <c r="I5571" s="1"/>
      <c r="J5571" s="1"/>
      <c r="K5571" s="3"/>
    </row>
    <row r="5572" spans="9:11">
      <c r="I5572" s="1"/>
      <c r="J5572" s="1"/>
      <c r="K5572" s="3"/>
    </row>
    <row r="5573" spans="9:11">
      <c r="I5573" s="1"/>
      <c r="J5573" s="1"/>
      <c r="K5573" s="3"/>
    </row>
    <row r="5574" spans="9:11">
      <c r="I5574" s="1"/>
      <c r="J5574" s="1"/>
      <c r="K5574" s="3"/>
    </row>
    <row r="5575" spans="9:11">
      <c r="I5575" s="1"/>
      <c r="J5575" s="1"/>
      <c r="K5575" s="3"/>
    </row>
    <row r="5576" spans="9:11">
      <c r="I5576" s="1"/>
      <c r="J5576" s="1"/>
      <c r="K5576" s="3"/>
    </row>
    <row r="5577" spans="9:11">
      <c r="I5577" s="1"/>
      <c r="J5577" s="1"/>
      <c r="K5577" s="3"/>
    </row>
    <row r="5578" spans="9:11">
      <c r="I5578" s="1"/>
      <c r="J5578" s="1"/>
      <c r="K5578" s="3"/>
    </row>
    <row r="5579" spans="9:11">
      <c r="I5579" s="1"/>
      <c r="J5579" s="1"/>
      <c r="K5579" s="3"/>
    </row>
    <row r="5580" spans="9:11">
      <c r="I5580" s="1"/>
      <c r="J5580" s="1"/>
      <c r="K5580" s="3"/>
    </row>
    <row r="5581" spans="9:11">
      <c r="I5581" s="1"/>
      <c r="J5581" s="1"/>
      <c r="K5581" s="3"/>
    </row>
    <row r="5582" spans="9:11">
      <c r="I5582" s="1"/>
      <c r="J5582" s="1"/>
      <c r="K5582" s="3"/>
    </row>
    <row r="5583" spans="9:11">
      <c r="I5583" s="1"/>
      <c r="J5583" s="1"/>
      <c r="K5583" s="3"/>
    </row>
    <row r="5584" spans="9:11">
      <c r="I5584" s="1"/>
      <c r="J5584" s="1"/>
      <c r="K5584" s="3"/>
    </row>
    <row r="5585" spans="9:11">
      <c r="I5585" s="1"/>
      <c r="J5585" s="1"/>
      <c r="K5585" s="3"/>
    </row>
    <row r="5586" spans="9:11">
      <c r="I5586" s="1"/>
      <c r="J5586" s="1"/>
      <c r="K5586" s="3"/>
    </row>
    <row r="5587" spans="9:11">
      <c r="I5587" s="1"/>
      <c r="J5587" s="1"/>
      <c r="K5587" s="3"/>
    </row>
    <row r="5588" spans="9:11">
      <c r="I5588" s="1"/>
      <c r="J5588" s="1"/>
      <c r="K5588" s="3"/>
    </row>
    <row r="5589" spans="9:11">
      <c r="I5589" s="1"/>
      <c r="J5589" s="1"/>
      <c r="K5589" s="3"/>
    </row>
    <row r="5590" spans="9:11">
      <c r="I5590" s="1"/>
      <c r="J5590" s="1"/>
      <c r="K5590" s="3"/>
    </row>
    <row r="5591" spans="9:11">
      <c r="I5591" s="1"/>
      <c r="J5591" s="1"/>
      <c r="K5591" s="3"/>
    </row>
    <row r="5592" spans="9:11">
      <c r="I5592" s="1"/>
      <c r="J5592" s="1"/>
      <c r="K5592" s="3"/>
    </row>
    <row r="5593" spans="9:11">
      <c r="I5593" s="1"/>
      <c r="J5593" s="1"/>
      <c r="K5593" s="3"/>
    </row>
    <row r="5594" spans="9:11">
      <c r="I5594" s="1"/>
      <c r="J5594" s="1"/>
      <c r="K5594" s="3"/>
    </row>
    <row r="5595" spans="9:11">
      <c r="I5595" s="1"/>
      <c r="J5595" s="1"/>
      <c r="K5595" s="3"/>
    </row>
    <row r="5596" spans="9:11">
      <c r="I5596" s="1"/>
      <c r="J5596" s="1"/>
      <c r="K5596" s="3"/>
    </row>
    <row r="5597" spans="9:11">
      <c r="I5597" s="1"/>
      <c r="J5597" s="1"/>
      <c r="K5597" s="3"/>
    </row>
    <row r="5598" spans="9:11">
      <c r="I5598" s="1"/>
      <c r="J5598" s="1"/>
      <c r="K5598" s="3"/>
    </row>
    <row r="5599" spans="9:11">
      <c r="I5599" s="1"/>
      <c r="J5599" s="1"/>
      <c r="K5599" s="3"/>
    </row>
    <row r="5600" spans="9:11">
      <c r="I5600" s="1"/>
      <c r="J5600" s="1"/>
      <c r="K5600" s="3"/>
    </row>
    <row r="5601" spans="9:11">
      <c r="I5601" s="1"/>
      <c r="J5601" s="1"/>
      <c r="K5601" s="3"/>
    </row>
    <row r="5602" spans="9:11">
      <c r="I5602" s="1"/>
      <c r="J5602" s="1"/>
      <c r="K5602" s="3"/>
    </row>
    <row r="5603" spans="9:11">
      <c r="I5603" s="1"/>
      <c r="J5603" s="1"/>
      <c r="K5603" s="3"/>
    </row>
    <row r="5604" spans="9:11">
      <c r="I5604" s="1"/>
      <c r="J5604" s="1"/>
      <c r="K5604" s="3"/>
    </row>
    <row r="5605" spans="9:11">
      <c r="I5605" s="1"/>
      <c r="J5605" s="1"/>
      <c r="K5605" s="3"/>
    </row>
    <row r="5606" spans="9:11">
      <c r="I5606" s="1"/>
      <c r="J5606" s="1"/>
      <c r="K5606" s="3"/>
    </row>
    <row r="5607" spans="9:11">
      <c r="I5607" s="1"/>
      <c r="J5607" s="1"/>
      <c r="K5607" s="3"/>
    </row>
    <row r="5608" spans="9:11">
      <c r="I5608" s="1"/>
      <c r="J5608" s="1"/>
      <c r="K5608" s="3"/>
    </row>
    <row r="5609" spans="9:11">
      <c r="I5609" s="1"/>
      <c r="J5609" s="1"/>
      <c r="K5609" s="3"/>
    </row>
    <row r="5610" spans="9:11">
      <c r="I5610" s="1"/>
      <c r="J5610" s="1"/>
      <c r="K5610" s="3"/>
    </row>
    <row r="5611" spans="9:11">
      <c r="I5611" s="1"/>
      <c r="J5611" s="1"/>
      <c r="K5611" s="3"/>
    </row>
    <row r="5612" spans="9:11">
      <c r="I5612" s="1"/>
      <c r="J5612" s="1"/>
      <c r="K5612" s="3"/>
    </row>
    <row r="5613" spans="9:11">
      <c r="I5613" s="1"/>
      <c r="J5613" s="1"/>
      <c r="K5613" s="3"/>
    </row>
    <row r="5614" spans="9:11">
      <c r="I5614" s="1"/>
      <c r="J5614" s="1"/>
      <c r="K5614" s="3"/>
    </row>
    <row r="5615" spans="9:11">
      <c r="I5615" s="1"/>
      <c r="J5615" s="1"/>
      <c r="K5615" s="3"/>
    </row>
    <row r="5616" spans="9:11">
      <c r="I5616" s="1"/>
      <c r="J5616" s="1"/>
      <c r="K5616" s="3"/>
    </row>
    <row r="5617" spans="9:11">
      <c r="I5617" s="1"/>
      <c r="J5617" s="1"/>
      <c r="K5617" s="3"/>
    </row>
    <row r="5618" spans="9:11">
      <c r="I5618" s="1"/>
      <c r="J5618" s="1"/>
      <c r="K5618" s="3"/>
    </row>
    <row r="5619" spans="9:11">
      <c r="I5619" s="1"/>
      <c r="J5619" s="1"/>
      <c r="K5619" s="3"/>
    </row>
    <row r="5620" spans="9:11">
      <c r="I5620" s="1"/>
      <c r="J5620" s="1"/>
      <c r="K5620" s="3"/>
    </row>
    <row r="5621" spans="9:11">
      <c r="I5621" s="1"/>
      <c r="J5621" s="1"/>
      <c r="K5621" s="3"/>
    </row>
    <row r="5622" spans="9:11">
      <c r="I5622" s="1"/>
      <c r="J5622" s="1"/>
      <c r="K5622" s="3"/>
    </row>
    <row r="5623" spans="9:11">
      <c r="I5623" s="1"/>
      <c r="J5623" s="1"/>
      <c r="K5623" s="3"/>
    </row>
    <row r="5624" spans="9:11">
      <c r="I5624" s="1"/>
      <c r="J5624" s="1"/>
      <c r="K5624" s="3"/>
    </row>
    <row r="5625" spans="9:11">
      <c r="I5625" s="1"/>
      <c r="J5625" s="1"/>
      <c r="K5625" s="3"/>
    </row>
    <row r="5626" spans="9:11">
      <c r="I5626" s="1"/>
      <c r="J5626" s="1"/>
      <c r="K5626" s="3"/>
    </row>
    <row r="5627" spans="9:11">
      <c r="I5627" s="1"/>
      <c r="J5627" s="1"/>
      <c r="K5627" s="3"/>
    </row>
    <row r="5628" spans="9:11">
      <c r="I5628" s="1"/>
      <c r="J5628" s="1"/>
      <c r="K5628" s="3"/>
    </row>
    <row r="5629" spans="9:11">
      <c r="I5629" s="1"/>
      <c r="J5629" s="1"/>
      <c r="K5629" s="3"/>
    </row>
    <row r="5630" spans="9:11">
      <c r="I5630" s="1"/>
      <c r="J5630" s="1"/>
      <c r="K5630" s="3"/>
    </row>
    <row r="5631" spans="9:11">
      <c r="I5631" s="1"/>
      <c r="J5631" s="1"/>
      <c r="K5631" s="3"/>
    </row>
    <row r="5632" spans="9:11">
      <c r="I5632" s="1"/>
      <c r="J5632" s="1"/>
      <c r="K5632" s="3"/>
    </row>
    <row r="5633" spans="9:11">
      <c r="I5633" s="1"/>
      <c r="J5633" s="1"/>
      <c r="K5633" s="3"/>
    </row>
    <row r="5634" spans="9:11">
      <c r="I5634" s="1"/>
      <c r="J5634" s="1"/>
      <c r="K5634" s="3"/>
    </row>
    <row r="5635" spans="9:11">
      <c r="I5635" s="1"/>
      <c r="J5635" s="1"/>
      <c r="K5635" s="3"/>
    </row>
    <row r="5636" spans="9:11">
      <c r="I5636" s="1"/>
      <c r="J5636" s="1"/>
      <c r="K5636" s="3"/>
    </row>
    <row r="5637" spans="9:11">
      <c r="I5637" s="1"/>
      <c r="J5637" s="1"/>
      <c r="K5637" s="3"/>
    </row>
  </sheetData>
  <phoneticPr fontId="13" type="noConversion"/>
  <pageMargins left="0.7" right="0.7" top="0.75" bottom="0.75" header="0.3" footer="0.3"/>
  <pageSetup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0D42-814D-4D11-8EAA-6D36DD2BC096}">
  <sheetPr codeName="Sheet23" filterMode="1">
    <tabColor theme="8" tint="0.39997558519241921"/>
  </sheetPr>
  <dimension ref="A1:I190"/>
  <sheetViews>
    <sheetView tabSelected="1" topLeftCell="B1" workbookViewId="0">
      <pane ySplit="1" topLeftCell="A42" activePane="bottomLeft" state="frozen"/>
      <selection pane="bottomLeft" activeCell="D204" sqref="D204"/>
    </sheetView>
  </sheetViews>
  <sheetFormatPr defaultColWidth="9.09765625" defaultRowHeight="14.4"/>
  <cols>
    <col min="1" max="1" width="18.8984375" style="7" bestFit="1" customWidth="1"/>
    <col min="2" max="2" width="39.09765625" style="7" bestFit="1" customWidth="1"/>
    <col min="3" max="3" width="39.296875" style="7" bestFit="1" customWidth="1"/>
    <col min="4" max="4" width="105.3984375" style="7" customWidth="1"/>
    <col min="5" max="16384" width="9.09765625" style="7"/>
  </cols>
  <sheetData>
    <row r="1" spans="1:4">
      <c r="A1" s="76" t="s">
        <v>165</v>
      </c>
      <c r="B1" s="76" t="s">
        <v>124</v>
      </c>
      <c r="C1" s="76" t="s">
        <v>294</v>
      </c>
      <c r="D1" s="76" t="s">
        <v>295</v>
      </c>
    </row>
    <row r="2" spans="1:4" hidden="1">
      <c r="A2" s="77" t="s">
        <v>125</v>
      </c>
      <c r="B2" s="77" t="s">
        <v>296</v>
      </c>
      <c r="C2" s="77" t="s">
        <v>297</v>
      </c>
      <c r="D2" s="78" t="s">
        <v>298</v>
      </c>
    </row>
    <row r="3" spans="1:4" hidden="1">
      <c r="A3" s="77" t="s">
        <v>125</v>
      </c>
      <c r="B3" s="77" t="s">
        <v>299</v>
      </c>
      <c r="C3" s="77" t="s">
        <v>297</v>
      </c>
      <c r="D3" s="78" t="s">
        <v>300</v>
      </c>
    </row>
    <row r="4" spans="1:4" hidden="1">
      <c r="A4" s="77" t="s">
        <v>301</v>
      </c>
      <c r="B4" s="77" t="s">
        <v>126</v>
      </c>
      <c r="C4" s="77" t="s">
        <v>167</v>
      </c>
      <c r="D4" s="79">
        <f>RPT</f>
        <v>46290</v>
      </c>
    </row>
    <row r="5" spans="1:4" ht="106.35" hidden="1">
      <c r="A5" s="77" t="s">
        <v>301</v>
      </c>
      <c r="B5" s="77" t="s">
        <v>166</v>
      </c>
      <c r="C5" s="77" t="s">
        <v>167</v>
      </c>
      <c r="D5" s="306" t="str">
        <f>'Run Tool'!H2</f>
        <v>Executive Messages: (1) Chỉ số lỗ MtM của danh mục Bond Trading giữ mức 1.634 tỷ. Nếu yield tăng thêm 1 bps (~0.01%) ở tất cả các kỳ hạn, mức lỗ sẽ gia tăng thêm 11 tỷ.
(2) Trạng thái danh mục GBond duy trì mức 17.513 tỷ - 88% hạn mức; Trạng thái danh mục FIBond &amp; CD (bao gồm cả TPCP nước ngoài Kyrgyzstan) duy trì mức 39.414 tỷ - 88% hạn mức.
(3) Lãi suất LNH kỳ ON tiếp tục giảm xuống 0.7% trong khi các kỳ dài hơn từ 1W-1M vẫn quanh mức 5-6%. Lưu ý rủi ro lỗ NIM vẫn tiềm ẩn do lãi suất có khả năng biến động mạnh.
(4) Khe hở thanh khoản lũy kế - Gap 3M đang ở mức -25,2k tỷ, có xu hướng tăng chiều âm trong tháng 9, chủ yếu do giảm cho vay LNH kì 1-3M trong khi tăng huy động LNH kì dưới 3M</v>
      </c>
    </row>
    <row r="6" spans="1:4" hidden="1">
      <c r="A6" s="77" t="s">
        <v>301</v>
      </c>
      <c r="B6" s="77" t="s">
        <v>168</v>
      </c>
      <c r="C6" s="77" t="s">
        <v>302</v>
      </c>
      <c r="D6" s="78" t="s">
        <v>303</v>
      </c>
    </row>
    <row r="7" spans="1:4" hidden="1">
      <c r="A7" s="77" t="s">
        <v>170</v>
      </c>
      <c r="B7" s="77" t="s">
        <v>304</v>
      </c>
      <c r="C7" s="77" t="s">
        <v>305</v>
      </c>
      <c r="D7" s="78" t="s">
        <v>306</v>
      </c>
    </row>
    <row r="8" spans="1:4" hidden="1">
      <c r="A8" s="77" t="s">
        <v>170</v>
      </c>
      <c r="B8" s="77" t="s">
        <v>169</v>
      </c>
      <c r="C8" s="77" t="s">
        <v>307</v>
      </c>
      <c r="D8" s="306" t="str">
        <f>'Run Tool'!H3</f>
        <v>Phân tách lại danh mục TD và BK GovBond</v>
      </c>
    </row>
    <row r="9" spans="1:4" ht="53.2" hidden="1">
      <c r="A9" s="77" t="s">
        <v>170</v>
      </c>
      <c r="B9" s="77" t="s">
        <v>171</v>
      </c>
      <c r="C9" s="77" t="s">
        <v>308</v>
      </c>
      <c r="D9" s="306" t="str">
        <f>'Run Tool'!H4</f>
        <v>Kể từ ngày báo cáo 10/08/2026, QLRR đã điều chỉnh danh mục Trading và Banking book theo bóc tách lại phần Danh mục Banking Gbond phù hợp với số vốn được Pool tài trợ 12k tỷ) từ DCM. Theo đó:
(1) Danh mục theo mệnh giá của Trading book và Banking book tương ứng là: 17.413 tỷ và 10.848 tỷ.
(2) Ngay tại thời điểm bóc tách lại (10/08), Lỗ MtM của danh mục Trading điều chỉnh tăng thêm 23 tỷ.</v>
      </c>
    </row>
    <row r="10" spans="1:4" hidden="1">
      <c r="A10" s="77" t="s">
        <v>170</v>
      </c>
      <c r="B10" s="77" t="s">
        <v>172</v>
      </c>
      <c r="C10" s="77" t="s">
        <v>309</v>
      </c>
      <c r="D10" s="306" t="str">
        <f>'Run Tool'!H5</f>
        <v>Thay đổi ngưỡng mục tiêu bộ đệm thanh khoản</v>
      </c>
    </row>
    <row r="11" spans="1:4" ht="39.9" hidden="1">
      <c r="A11" s="77" t="s">
        <v>170</v>
      </c>
      <c r="B11" s="77" t="s">
        <v>173</v>
      </c>
      <c r="C11" s="77" t="s">
        <v>310</v>
      </c>
      <c r="D11" s="306" t="str">
        <f>'Run Tool'!H6</f>
        <v>Sau bóc tách lại danh mục TD &amp; BK, ngưỡng mục tiêu bộ đệm thanh khoản điều chỉnh từ 11.440 tỷ về 10.400 tỷ. QLRR lưu ý:
(1) Banking Gbond dự phòng cần được sử dụng/tối ưu có chọn lọc trong điều kiện bình thường, nhằm tránh làm suy giảm năng lực ứng phó khi thị trường xuất hiện cú sốc nguồn vốn.</v>
      </c>
    </row>
    <row r="12" spans="1:4" hidden="1">
      <c r="A12" s="77" t="s">
        <v>170</v>
      </c>
      <c r="B12" s="77" t="s">
        <v>174</v>
      </c>
      <c r="C12" s="77" t="s">
        <v>311</v>
      </c>
      <c r="D12" s="306" t="str">
        <f>'Run Tool'!H7</f>
        <v>Giám sát tình trạng NGOẠI LỆ vượt hạn mức lỗ mtm</v>
      </c>
    </row>
    <row r="13" spans="1:4" ht="66.5" hidden="1">
      <c r="A13" s="77" t="s">
        <v>170</v>
      </c>
      <c r="B13" s="77" t="s">
        <v>175</v>
      </c>
      <c r="C13" s="77" t="s">
        <v>312</v>
      </c>
      <c r="D13" s="306" t="str">
        <f>'Run Tool'!H8</f>
        <v>Danh mục Trading Gbond hiện ghi nhận lỗ MtM quanh 1.640 tỷ đồng (xu hướng tăng gần đây do yield tăng liên tục tuần qua) trên quy mô trạng thái rủi ro 17.413 tỷ đồng, vượt hạn mức 400 tỷ đồng và đang trong quá trình phê duyệt ngoại lệ.
=&gt; QLRR khuyến nghị FI/DCM duy trì báo cáo định kỳ cấp có thẩm quyền, vẫn tiếp tục tìm kiếm các biện pháp giảm thiểu/xử lý lỗ và kiểm soát không để rủi ro tiếp tục gia tăng; báo cáo xin ý kiến cấp có thẩm quyền trong t/h phát sinh các nhân tố có thể làm leo thang đáng kể tình trạng lỗ mtm.</v>
      </c>
    </row>
    <row r="14" spans="1:4" hidden="1">
      <c r="A14" s="77" t="s">
        <v>170</v>
      </c>
      <c r="B14" s="77" t="s">
        <v>176</v>
      </c>
      <c r="C14" s="77" t="s">
        <v>313</v>
      </c>
      <c r="D14" s="306" t="str">
        <f>'Run Tool'!H9</f>
        <v>Rủi ro LỖ KÉP tiếp tục là ÁP LỰC CHÍNH</v>
      </c>
    </row>
    <row r="15" spans="1:4" ht="53.2" hidden="1">
      <c r="A15" s="77" t="s">
        <v>170</v>
      </c>
      <c r="B15" s="77" t="s">
        <v>177</v>
      </c>
      <c r="C15" s="77" t="s">
        <v>314</v>
      </c>
      <c r="D15" s="306" t="str">
        <f>'Run Tool'!H10</f>
        <v>Trong bối cảnh lợi suất trái phiếu tăng từ đầu tháng và chi phí vốn duy trì ở mức cao, các danh mục Banking Gbond, FIBond và Trading Gbond đang chịu đồng thời hai áp lực: lỗ đánh giá lại MtM và suy giảm NIM
=&gt; Đây không chỉ là rủi ro thị trường ngắn hạn, mà là vấn đề cần được cân nhắc trong chiến lược phân bổ bảng cân đối (danh quy mô DM đầu tư) và tối ưu hiệu quả vốn.</v>
      </c>
    </row>
    <row r="16" spans="1:4" hidden="1">
      <c r="A16" s="77" t="s">
        <v>315</v>
      </c>
      <c r="B16" s="77" t="s">
        <v>316</v>
      </c>
      <c r="C16" s="77" t="s">
        <v>317</v>
      </c>
      <c r="D16" s="78" t="s">
        <v>318</v>
      </c>
    </row>
    <row r="17" spans="1:5" hidden="1">
      <c r="A17" s="77" t="s">
        <v>127</v>
      </c>
      <c r="B17" s="77" t="s">
        <v>319</v>
      </c>
      <c r="C17" s="77" t="s">
        <v>320</v>
      </c>
      <c r="D17" s="78" t="s">
        <v>321</v>
      </c>
    </row>
    <row r="18" spans="1:5" hidden="1">
      <c r="A18" s="77" t="s">
        <v>127</v>
      </c>
      <c r="B18" s="77" t="s">
        <v>322</v>
      </c>
      <c r="C18" s="77" t="s">
        <v>323</v>
      </c>
      <c r="D18" s="78"/>
    </row>
    <row r="19" spans="1:5" hidden="1">
      <c r="A19" s="77" t="s">
        <v>127</v>
      </c>
      <c r="B19" s="77" t="s">
        <v>128</v>
      </c>
      <c r="C19" s="77" t="s">
        <v>324</v>
      </c>
      <c r="D19" s="80">
        <f>SUMIFS(BOND!$E:$E,BOND!$C:$C,"All",BOND!$A:$A,RPT)</f>
        <v>17513</v>
      </c>
    </row>
    <row r="20" spans="1:5" hidden="1">
      <c r="A20" s="77" t="s">
        <v>127</v>
      </c>
      <c r="B20" s="77" t="s">
        <v>130</v>
      </c>
      <c r="C20" s="77" t="s">
        <v>32</v>
      </c>
      <c r="D20" s="78">
        <v>0</v>
      </c>
      <c r="E20" s="7" t="s">
        <v>810</v>
      </c>
    </row>
    <row r="21" spans="1:5" hidden="1">
      <c r="A21" s="77" t="s">
        <v>127</v>
      </c>
      <c r="B21" s="77" t="s">
        <v>325</v>
      </c>
      <c r="C21" s="77" t="s">
        <v>326</v>
      </c>
      <c r="D21" s="78" t="s">
        <v>327</v>
      </c>
    </row>
    <row r="22" spans="1:5" hidden="1">
      <c r="A22" s="77" t="s">
        <v>127</v>
      </c>
      <c r="B22" s="77" t="s">
        <v>328</v>
      </c>
      <c r="C22" s="77" t="s">
        <v>329</v>
      </c>
      <c r="D22" s="372">
        <f>SUMIFS(BOND!BL:BL,BOND!BJ:BJ,RPT)/100</f>
        <v>3.0511557129E-2</v>
      </c>
    </row>
    <row r="23" spans="1:5" hidden="1">
      <c r="A23" s="77" t="s">
        <v>127</v>
      </c>
      <c r="B23" s="77" t="s">
        <v>178</v>
      </c>
      <c r="C23" s="77" t="s">
        <v>330</v>
      </c>
      <c r="D23" s="81">
        <f>ROUND(SUMIFS(BOND!$AL:$AL,BOND!$AJ:$AJ,"Face",BOND!$AI:$AI,"NGOAI BS",BOND!$AK:$AK,"Deal sell",BOND!$AH:$AH,RPT),0)</f>
        <v>5916</v>
      </c>
    </row>
    <row r="24" spans="1:5" hidden="1">
      <c r="A24" s="77" t="s">
        <v>127</v>
      </c>
      <c r="B24" s="77" t="s">
        <v>331</v>
      </c>
      <c r="C24" s="77" t="s">
        <v>332</v>
      </c>
      <c r="D24" s="78" t="s">
        <v>333</v>
      </c>
    </row>
    <row r="25" spans="1:5" hidden="1">
      <c r="A25" s="77" t="s">
        <v>127</v>
      </c>
      <c r="B25" s="77" t="s">
        <v>334</v>
      </c>
      <c r="C25" s="77" t="s">
        <v>335</v>
      </c>
      <c r="D25" s="78" t="s">
        <v>336</v>
      </c>
    </row>
    <row r="26" spans="1:5" hidden="1">
      <c r="A26" s="77" t="s">
        <v>127</v>
      </c>
      <c r="B26" s="77" t="s">
        <v>337</v>
      </c>
      <c r="C26" s="77" t="s">
        <v>338</v>
      </c>
      <c r="D26" s="78" t="s">
        <v>339</v>
      </c>
    </row>
    <row r="27" spans="1:5" hidden="1">
      <c r="A27" s="77" t="s">
        <v>127</v>
      </c>
      <c r="B27" s="77" t="s">
        <v>340</v>
      </c>
      <c r="C27" s="77" t="s">
        <v>340</v>
      </c>
      <c r="D27" s="78" t="s">
        <v>341</v>
      </c>
    </row>
    <row r="28" spans="1:5" hidden="1">
      <c r="A28" s="77" t="s">
        <v>127</v>
      </c>
      <c r="B28" s="77" t="s">
        <v>342</v>
      </c>
      <c r="C28" s="77" t="s">
        <v>342</v>
      </c>
      <c r="D28" s="78" t="s">
        <v>343</v>
      </c>
    </row>
    <row r="29" spans="1:5" hidden="1">
      <c r="A29" s="77" t="s">
        <v>127</v>
      </c>
      <c r="B29" s="77" t="s">
        <v>131</v>
      </c>
      <c r="C29" s="77" t="s">
        <v>341</v>
      </c>
      <c r="D29" s="98">
        <v>20000</v>
      </c>
    </row>
    <row r="30" spans="1:5" hidden="1">
      <c r="A30" s="77" t="s">
        <v>127</v>
      </c>
      <c r="B30" s="77" t="s">
        <v>132</v>
      </c>
      <c r="C30" s="77" t="s">
        <v>343</v>
      </c>
      <c r="D30" s="82">
        <f>D19/D29</f>
        <v>0.87565000000000004</v>
      </c>
    </row>
    <row r="31" spans="1:5" hidden="1">
      <c r="A31" s="77" t="s">
        <v>127</v>
      </c>
      <c r="B31" s="77" t="s">
        <v>203</v>
      </c>
      <c r="C31" s="77" t="s">
        <v>203</v>
      </c>
      <c r="D31" s="78"/>
    </row>
    <row r="32" spans="1:5" hidden="1">
      <c r="A32" s="77" t="s">
        <v>72</v>
      </c>
      <c r="B32" s="77" t="s">
        <v>344</v>
      </c>
      <c r="C32" s="77" t="s">
        <v>320</v>
      </c>
      <c r="D32" s="78" t="s">
        <v>180</v>
      </c>
    </row>
    <row r="33" spans="1:4" hidden="1">
      <c r="A33" s="77" t="s">
        <v>72</v>
      </c>
      <c r="B33" s="77" t="s">
        <v>345</v>
      </c>
      <c r="C33" s="77" t="s">
        <v>323</v>
      </c>
      <c r="D33" s="78"/>
    </row>
    <row r="34" spans="1:4" hidden="1">
      <c r="A34" s="77" t="s">
        <v>72</v>
      </c>
      <c r="B34" s="77" t="s">
        <v>204</v>
      </c>
      <c r="C34" s="77" t="s">
        <v>346</v>
      </c>
      <c r="D34" s="78" t="s">
        <v>291</v>
      </c>
    </row>
    <row r="35" spans="1:4" hidden="1">
      <c r="A35" s="77" t="s">
        <v>72</v>
      </c>
      <c r="B35" s="77" t="s">
        <v>143</v>
      </c>
      <c r="C35" s="77" t="s">
        <v>324</v>
      </c>
      <c r="D35" s="96">
        <f>ROUND(-SUMIFS(BOND!$AA:$AA,BOND!$Z:$Z,"",BOND!$X:$X,RPT),0)</f>
        <v>1634</v>
      </c>
    </row>
    <row r="36" spans="1:4" hidden="1">
      <c r="A36" s="77" t="s">
        <v>72</v>
      </c>
      <c r="B36" s="77" t="s">
        <v>144</v>
      </c>
      <c r="C36" s="77" t="s">
        <v>32</v>
      </c>
      <c r="D36" s="97">
        <f>ROUND(SUMIFS(BOND!$AA:$AA,BOND!$Z:$Z,"",BOND!$X:$X,RPT)-SUMIFS(BOND!$AA:$AA,BOND!$Z:$Z,"",BOND!$X:$X,Yesterday),0)</f>
        <v>0</v>
      </c>
    </row>
    <row r="37" spans="1:4" hidden="1">
      <c r="A37" s="77" t="s">
        <v>72</v>
      </c>
      <c r="B37" s="77" t="s">
        <v>347</v>
      </c>
      <c r="C37" s="77" t="s">
        <v>164</v>
      </c>
      <c r="D37" s="78" t="s">
        <v>348</v>
      </c>
    </row>
    <row r="38" spans="1:4" hidden="1">
      <c r="A38" s="77" t="s">
        <v>72</v>
      </c>
      <c r="B38" s="77" t="s">
        <v>349</v>
      </c>
      <c r="C38" s="77" t="s">
        <v>338</v>
      </c>
      <c r="D38" s="78" t="s">
        <v>350</v>
      </c>
    </row>
    <row r="39" spans="1:4" hidden="1">
      <c r="A39" s="77" t="s">
        <v>72</v>
      </c>
      <c r="B39" s="77" t="s">
        <v>145</v>
      </c>
      <c r="C39" s="77" t="s">
        <v>341</v>
      </c>
      <c r="D39" s="99">
        <v>500</v>
      </c>
    </row>
    <row r="40" spans="1:4" hidden="1">
      <c r="A40" s="77" t="s">
        <v>72</v>
      </c>
      <c r="B40" s="77" t="s">
        <v>146</v>
      </c>
      <c r="C40" s="77" t="s">
        <v>343</v>
      </c>
      <c r="D40" s="100">
        <f>D35/D39</f>
        <v>3.2679999999999998</v>
      </c>
    </row>
    <row r="41" spans="1:4" hidden="1">
      <c r="A41" s="77" t="s">
        <v>351</v>
      </c>
      <c r="B41" s="77" t="s">
        <v>352</v>
      </c>
      <c r="C41" s="77" t="s">
        <v>320</v>
      </c>
      <c r="D41" s="78" t="s">
        <v>353</v>
      </c>
    </row>
    <row r="42" spans="1:4">
      <c r="A42" s="77" t="s">
        <v>351</v>
      </c>
      <c r="B42" s="77" t="s">
        <v>354</v>
      </c>
      <c r="C42" s="77" t="s">
        <v>323</v>
      </c>
      <c r="D42" s="78" t="s">
        <v>355</v>
      </c>
    </row>
    <row r="43" spans="1:4">
      <c r="A43" s="77" t="s">
        <v>351</v>
      </c>
      <c r="B43" s="77" t="s">
        <v>147</v>
      </c>
      <c r="C43" s="77" t="s">
        <v>324</v>
      </c>
      <c r="D43" s="81">
        <f>ROUND(ABS(SUMIFS(BOND!$AL:$AL,BOND!$AJ:$AJ,"ItD",BOND!$AK:$AK,"All",BOND!$AI:$AI,"ON BS",BOND!$AH:$AH,RPT)
+SUMIFS(BOND!AL:AL,BOND!AH:AH,RPT,BOND!AJ:AJ,"ItD",BOND!AK:AK,"Deal buy")
-SUMIFS(BOND!AL:AL,BOND!AH:AH,RPT,BOND!AJ:AJ,"ItD",BOND!AK:AK,"Deal sell",BOND!AI:AI,"OFF BS")),0)</f>
        <v>2016</v>
      </c>
    </row>
    <row r="44" spans="1:4">
      <c r="A44" s="77" t="s">
        <v>351</v>
      </c>
      <c r="B44" s="77" t="s">
        <v>148</v>
      </c>
      <c r="C44" s="77" t="s">
        <v>32</v>
      </c>
      <c r="D44" s="81">
        <f>D43-
ABS(SUMIFS(BOND!$AL:$AL,BOND!$AJ:$AJ,"ItD",BOND!$AK:$AK,"All",BOND!$AI:$AI,"ON BS",BOND!$AH:$AH,RPT)
+SUMIFS(BOND!$BH:$BH,BOND!$BF:$BF,Yesterday,BOND!$BG:$BG,"Itd_Unrealized Book DCM tu fund")
+SUMIFS(BOND!AL:AL,BOND!AH:AH,Yesterday,BOND!AJ:AJ,"ItD",BOND!AK:AK,"Deal buy")
-SUMIFS(BOND!AL:AL,BOND!AH:AH,Yesterday,BOND!AJ:AJ,"ItD",BOND!AK:AK,"Deal sell",BOND!AI:AI,"OFF BS"))</f>
        <v>-287.58941675390042</v>
      </c>
    </row>
    <row r="45" spans="1:4">
      <c r="A45" s="77" t="s">
        <v>351</v>
      </c>
      <c r="B45" s="77" t="s">
        <v>356</v>
      </c>
      <c r="C45" s="77" t="s">
        <v>164</v>
      </c>
      <c r="D45" s="78" t="s">
        <v>357</v>
      </c>
    </row>
    <row r="46" spans="1:4" hidden="1">
      <c r="A46" s="77" t="s">
        <v>351</v>
      </c>
      <c r="B46" s="77" t="s">
        <v>358</v>
      </c>
      <c r="C46" s="77" t="s">
        <v>359</v>
      </c>
      <c r="D46" s="78" t="s">
        <v>360</v>
      </c>
    </row>
    <row r="47" spans="1:4" hidden="1">
      <c r="A47" s="77" t="s">
        <v>351</v>
      </c>
      <c r="B47" s="77" t="s">
        <v>194</v>
      </c>
      <c r="C47" s="77" t="s">
        <v>100</v>
      </c>
      <c r="D47" s="96">
        <f>SUMIFS(BOND!BH:BH,BOND!BF:BF,RPT)</f>
        <v>-36.107355439899997</v>
      </c>
    </row>
    <row r="48" spans="1:4" hidden="1">
      <c r="A48" s="77" t="s">
        <v>351</v>
      </c>
      <c r="B48" s="77" t="s">
        <v>361</v>
      </c>
      <c r="C48" s="77" t="s">
        <v>362</v>
      </c>
      <c r="D48" s="78" t="s">
        <v>363</v>
      </c>
    </row>
    <row r="49" spans="1:4" hidden="1">
      <c r="A49" s="77" t="s">
        <v>81</v>
      </c>
      <c r="B49" s="77" t="s">
        <v>364</v>
      </c>
      <c r="C49" s="77" t="s">
        <v>320</v>
      </c>
      <c r="D49" s="78" t="s">
        <v>365</v>
      </c>
    </row>
    <row r="50" spans="1:4" hidden="1">
      <c r="A50" s="77" t="s">
        <v>81</v>
      </c>
      <c r="B50" s="77" t="s">
        <v>366</v>
      </c>
      <c r="C50" s="77" t="s">
        <v>323</v>
      </c>
      <c r="D50" s="78" t="s">
        <v>2028</v>
      </c>
    </row>
    <row r="51" spans="1:4" hidden="1">
      <c r="A51" s="77" t="s">
        <v>81</v>
      </c>
      <c r="B51" s="77" t="s">
        <v>151</v>
      </c>
      <c r="C51" s="77" t="s">
        <v>324</v>
      </c>
      <c r="D51" s="85">
        <f>SUM(NIM!J14:M14)</f>
        <v>109.26200000000001</v>
      </c>
    </row>
    <row r="52" spans="1:4" hidden="1">
      <c r="A52" s="77" t="s">
        <v>81</v>
      </c>
      <c r="B52" s="77" t="s">
        <v>152</v>
      </c>
      <c r="C52" s="77" t="s">
        <v>32</v>
      </c>
      <c r="D52" s="85"/>
    </row>
    <row r="53" spans="1:4" hidden="1">
      <c r="A53" s="77" t="s">
        <v>81</v>
      </c>
      <c r="B53" s="77" t="s">
        <v>367</v>
      </c>
      <c r="C53" s="77" t="s">
        <v>332</v>
      </c>
      <c r="D53" s="78" t="s">
        <v>2031</v>
      </c>
    </row>
    <row r="54" spans="1:4" hidden="1">
      <c r="A54" s="77" t="s">
        <v>81</v>
      </c>
      <c r="B54" s="77" t="s">
        <v>149</v>
      </c>
      <c r="C54" s="77" t="s">
        <v>181</v>
      </c>
      <c r="D54" s="373"/>
    </row>
    <row r="55" spans="1:4" ht="26.6" hidden="1">
      <c r="A55" s="77" t="s">
        <v>81</v>
      </c>
      <c r="B55" s="77" t="s">
        <v>368</v>
      </c>
      <c r="C55" s="77" t="s">
        <v>369</v>
      </c>
      <c r="D55" s="78" t="s">
        <v>2318</v>
      </c>
    </row>
    <row r="56" spans="1:4" hidden="1">
      <c r="A56" s="77" t="s">
        <v>81</v>
      </c>
      <c r="B56" s="77" t="s">
        <v>182</v>
      </c>
      <c r="C56" s="77" t="s">
        <v>370</v>
      </c>
      <c r="D56" s="65" t="s">
        <v>371</v>
      </c>
    </row>
    <row r="57" spans="1:4" hidden="1">
      <c r="A57" s="77" t="s">
        <v>81</v>
      </c>
      <c r="B57" s="77" t="s">
        <v>372</v>
      </c>
      <c r="C57" s="77" t="s">
        <v>335</v>
      </c>
      <c r="D57" s="78" t="s">
        <v>2030</v>
      </c>
    </row>
    <row r="58" spans="1:4" hidden="1">
      <c r="A58" s="77" t="s">
        <v>81</v>
      </c>
      <c r="B58" s="77" t="s">
        <v>183</v>
      </c>
      <c r="C58" s="77" t="s">
        <v>373</v>
      </c>
      <c r="D58" s="85">
        <f>ROUND(AVERAGE(NIM!I14:M14),0)</f>
        <v>26</v>
      </c>
    </row>
    <row r="59" spans="1:4" hidden="1">
      <c r="A59" s="77" t="s">
        <v>81</v>
      </c>
      <c r="B59" s="77" t="s">
        <v>374</v>
      </c>
      <c r="C59" s="77" t="s">
        <v>375</v>
      </c>
      <c r="D59" s="78" t="s">
        <v>2029</v>
      </c>
    </row>
    <row r="60" spans="1:4" hidden="1">
      <c r="A60" s="77" t="s">
        <v>376</v>
      </c>
      <c r="B60" s="77" t="s">
        <v>377</v>
      </c>
      <c r="C60" s="77" t="s">
        <v>320</v>
      </c>
      <c r="D60" s="78" t="s">
        <v>378</v>
      </c>
    </row>
    <row r="61" spans="1:4" hidden="1">
      <c r="A61" s="77" t="s">
        <v>376</v>
      </c>
      <c r="B61" s="77" t="s">
        <v>379</v>
      </c>
      <c r="C61" s="77" t="s">
        <v>323</v>
      </c>
      <c r="D61" s="78"/>
    </row>
    <row r="62" spans="1:4" hidden="1">
      <c r="A62" s="77" t="s">
        <v>376</v>
      </c>
      <c r="B62" s="77" t="s">
        <v>133</v>
      </c>
      <c r="C62" s="77" t="s">
        <v>324</v>
      </c>
      <c r="D62" s="86" t="s">
        <v>380</v>
      </c>
    </row>
    <row r="63" spans="1:4" hidden="1">
      <c r="A63" s="77" t="s">
        <v>376</v>
      </c>
      <c r="B63" s="77" t="s">
        <v>134</v>
      </c>
      <c r="C63" s="77" t="s">
        <v>32</v>
      </c>
      <c r="D63" s="65">
        <v>0</v>
      </c>
    </row>
    <row r="64" spans="1:4" hidden="1">
      <c r="A64" s="77" t="s">
        <v>376</v>
      </c>
      <c r="B64" s="77" t="s">
        <v>381</v>
      </c>
      <c r="C64" s="77" t="s">
        <v>164</v>
      </c>
      <c r="D64" s="306" t="str">
        <f>'Run Tool'!H11</f>
        <v>Hệ thống tài trợ 12k tỷ để dự phòng thanh khoản cho kịch bản rút tiền gửi, tương ứng 10.848 tỷ theo mệnh giá.</v>
      </c>
    </row>
    <row r="65" spans="1:9" hidden="1">
      <c r="A65" s="77" t="s">
        <v>376</v>
      </c>
      <c r="B65" s="77" t="s">
        <v>382</v>
      </c>
      <c r="C65" s="77" t="s">
        <v>383</v>
      </c>
      <c r="D65" s="78" t="s">
        <v>384</v>
      </c>
    </row>
    <row r="66" spans="1:9" ht="53.2" hidden="1">
      <c r="A66" s="77" t="s">
        <v>376</v>
      </c>
      <c r="B66" s="77" t="s">
        <v>279</v>
      </c>
      <c r="C66" s="77" t="s">
        <v>385</v>
      </c>
      <c r="D66" s="65" t="s">
        <v>386</v>
      </c>
    </row>
    <row r="67" spans="1:9" hidden="1">
      <c r="A67" s="77" t="s">
        <v>376</v>
      </c>
      <c r="B67" s="77" t="s">
        <v>387</v>
      </c>
      <c r="C67" s="77" t="s">
        <v>388</v>
      </c>
      <c r="D67" s="78" t="s">
        <v>389</v>
      </c>
    </row>
    <row r="68" spans="1:9" hidden="1">
      <c r="A68" s="77" t="s">
        <v>376</v>
      </c>
      <c r="B68" s="77" t="s">
        <v>135</v>
      </c>
      <c r="C68" s="77" t="s">
        <v>341</v>
      </c>
      <c r="D68" s="86" t="s">
        <v>380</v>
      </c>
    </row>
    <row r="69" spans="1:9" hidden="1">
      <c r="A69" s="77" t="s">
        <v>376</v>
      </c>
      <c r="B69" s="77" t="s">
        <v>136</v>
      </c>
      <c r="C69" s="77" t="s">
        <v>343</v>
      </c>
      <c r="D69" s="380">
        <f>D62/D68</f>
        <v>1</v>
      </c>
    </row>
    <row r="70" spans="1:9" hidden="1">
      <c r="A70" s="77" t="s">
        <v>376</v>
      </c>
      <c r="B70" s="77" t="s">
        <v>205</v>
      </c>
      <c r="C70" s="77" t="s">
        <v>390</v>
      </c>
      <c r="D70" s="78"/>
    </row>
    <row r="71" spans="1:9" hidden="1">
      <c r="A71" s="77" t="s">
        <v>391</v>
      </c>
      <c r="B71" s="77" t="s">
        <v>392</v>
      </c>
      <c r="C71" s="77" t="s">
        <v>320</v>
      </c>
      <c r="D71" s="78" t="s">
        <v>393</v>
      </c>
    </row>
    <row r="72" spans="1:9" hidden="1">
      <c r="A72" s="77" t="s">
        <v>391</v>
      </c>
      <c r="B72" s="77" t="s">
        <v>394</v>
      </c>
      <c r="C72" s="77" t="s">
        <v>323</v>
      </c>
      <c r="D72" s="78"/>
    </row>
    <row r="73" spans="1:9" hidden="1">
      <c r="A73" s="77" t="s">
        <v>391</v>
      </c>
      <c r="B73" s="77" t="s">
        <v>137</v>
      </c>
      <c r="C73" s="77" t="s">
        <v>324</v>
      </c>
      <c r="D73" s="81">
        <f ca="1">ROUND(SUMIFS(BOND!$AZ:$AZ,BOND!$AY:$AY,"Face_HLA",BOND!$AX:$AX,RPT_LR),0)</f>
        <v>10769</v>
      </c>
    </row>
    <row r="74" spans="1:9" hidden="1">
      <c r="A74" s="77" t="s">
        <v>391</v>
      </c>
      <c r="B74" s="77" t="s">
        <v>138</v>
      </c>
      <c r="C74" s="77" t="s">
        <v>32</v>
      </c>
      <c r="D74" s="81">
        <f ca="1">ROUND(SUMIFS(BOND!$AZ:$AZ,BOND!$AY:$AY,"Face_HLA",BOND!$AX:$AX,RPT_LR)-SUMIFS(BOND!$AZ:$AZ,BOND!$AY:$AY,"Face_HLA",BOND!$AX:$AX,RPT_LR1),0)</f>
        <v>-4560</v>
      </c>
    </row>
    <row r="75" spans="1:9" hidden="1">
      <c r="A75" s="77" t="s">
        <v>391</v>
      </c>
      <c r="B75" s="77" t="s">
        <v>395</v>
      </c>
      <c r="C75" s="77" t="s">
        <v>164</v>
      </c>
      <c r="D75" s="78" t="s">
        <v>396</v>
      </c>
    </row>
    <row r="76" spans="1:9" hidden="1">
      <c r="A76" s="77" t="s">
        <v>391</v>
      </c>
      <c r="B76" s="77" t="s">
        <v>397</v>
      </c>
      <c r="C76" s="77" t="s">
        <v>388</v>
      </c>
      <c r="D76" s="78" t="s">
        <v>398</v>
      </c>
    </row>
    <row r="77" spans="1:9" hidden="1">
      <c r="A77" s="77" t="s">
        <v>391</v>
      </c>
      <c r="B77" s="77" t="s">
        <v>399</v>
      </c>
      <c r="C77" s="77" t="s">
        <v>400</v>
      </c>
      <c r="D77" s="78" t="s">
        <v>401</v>
      </c>
    </row>
    <row r="78" spans="1:9" hidden="1">
      <c r="A78" s="77" t="s">
        <v>391</v>
      </c>
      <c r="B78" s="77" t="s">
        <v>139</v>
      </c>
      <c r="C78" s="77" t="s">
        <v>401</v>
      </c>
      <c r="D78" s="80">
        <f ca="1">ROUND(SUMIFS(BOND!K:K,BOND!G:G,RPT)-(-SUMIFS(BOND!$AZ:$AZ,BOND!$AY:$AY,"Face_HMNR_NAPAS",BOND!$AX:$AX,RPT_LR)),-2)</f>
        <v>10300</v>
      </c>
    </row>
    <row r="79" spans="1:9" s="12" customFormat="1" hidden="1">
      <c r="A79" s="78" t="s">
        <v>391</v>
      </c>
      <c r="B79" s="78" t="s">
        <v>668</v>
      </c>
      <c r="C79" s="78" t="s">
        <v>669</v>
      </c>
      <c r="D79" s="87" t="s">
        <v>802</v>
      </c>
      <c r="E79" s="78"/>
      <c r="F79" s="78"/>
      <c r="G79" s="77"/>
      <c r="I79" s="88"/>
    </row>
    <row r="80" spans="1:9" s="12" customFormat="1" hidden="1">
      <c r="A80" s="78" t="s">
        <v>391</v>
      </c>
      <c r="B80" s="78" t="s">
        <v>671</v>
      </c>
      <c r="C80" s="78" t="s">
        <v>672</v>
      </c>
      <c r="D80" s="89">
        <v>8000</v>
      </c>
      <c r="E80" s="78"/>
      <c r="F80" s="78"/>
      <c r="G80" s="77"/>
      <c r="I80" s="88"/>
    </row>
    <row r="81" spans="1:9" s="12" customFormat="1" hidden="1">
      <c r="A81" s="78" t="s">
        <v>391</v>
      </c>
      <c r="B81" s="78" t="s">
        <v>402</v>
      </c>
      <c r="C81" s="78" t="s">
        <v>403</v>
      </c>
      <c r="D81" s="78" t="s">
        <v>803</v>
      </c>
      <c r="E81" s="78"/>
      <c r="F81" s="78"/>
      <c r="G81" s="78"/>
      <c r="I81" s="88"/>
    </row>
    <row r="82" spans="1:9" s="12" customFormat="1" hidden="1">
      <c r="A82" s="78" t="s">
        <v>391</v>
      </c>
      <c r="B82" s="78" t="s">
        <v>140</v>
      </c>
      <c r="C82" s="78" t="s">
        <v>404</v>
      </c>
      <c r="D82" s="90">
        <f ca="1">D73/D78</f>
        <v>1.0455339805825243</v>
      </c>
      <c r="E82" s="78"/>
      <c r="F82" s="78"/>
      <c r="G82" s="77"/>
      <c r="I82" s="88"/>
    </row>
    <row r="83" spans="1:9" hidden="1">
      <c r="A83" s="77" t="s">
        <v>391</v>
      </c>
      <c r="B83" s="77" t="s">
        <v>405</v>
      </c>
      <c r="C83" s="77" t="s">
        <v>406</v>
      </c>
      <c r="D83" s="78" t="s">
        <v>407</v>
      </c>
    </row>
    <row r="84" spans="1:9" hidden="1">
      <c r="A84" s="77" t="s">
        <v>391</v>
      </c>
      <c r="B84" s="77" t="s">
        <v>408</v>
      </c>
      <c r="C84" s="77" t="s">
        <v>409</v>
      </c>
      <c r="D84" s="78" t="s">
        <v>665</v>
      </c>
    </row>
    <row r="85" spans="1:9" ht="26.6" hidden="1">
      <c r="A85" s="77" t="s">
        <v>391</v>
      </c>
      <c r="B85" s="77" t="s">
        <v>410</v>
      </c>
      <c r="C85" s="77" t="s">
        <v>411</v>
      </c>
      <c r="D85" s="78" t="s">
        <v>666</v>
      </c>
    </row>
    <row r="86" spans="1:9" ht="53.2" hidden="1">
      <c r="A86" s="77" t="s">
        <v>391</v>
      </c>
      <c r="B86" s="77" t="s">
        <v>412</v>
      </c>
      <c r="C86" s="77" t="s">
        <v>413</v>
      </c>
      <c r="D86" s="65" t="s">
        <v>667</v>
      </c>
    </row>
    <row r="87" spans="1:9" hidden="1">
      <c r="A87" s="77" t="s">
        <v>391</v>
      </c>
      <c r="B87" s="77" t="s">
        <v>206</v>
      </c>
      <c r="C87" s="77" t="s">
        <v>414</v>
      </c>
      <c r="D87" s="78"/>
    </row>
    <row r="88" spans="1:9" hidden="1">
      <c r="A88" s="77" t="s">
        <v>415</v>
      </c>
      <c r="B88" s="77" t="s">
        <v>416</v>
      </c>
      <c r="C88" s="77" t="s">
        <v>320</v>
      </c>
      <c r="D88" s="78" t="s">
        <v>179</v>
      </c>
    </row>
    <row r="89" spans="1:9" hidden="1">
      <c r="A89" s="77" t="s">
        <v>415</v>
      </c>
      <c r="B89" s="77" t="s">
        <v>417</v>
      </c>
      <c r="C89" s="77" t="s">
        <v>323</v>
      </c>
      <c r="D89" s="78" t="s">
        <v>418</v>
      </c>
    </row>
    <row r="90" spans="1:9" hidden="1">
      <c r="A90" s="77" t="s">
        <v>415</v>
      </c>
      <c r="B90" s="77" t="s">
        <v>141</v>
      </c>
      <c r="C90" s="77" t="s">
        <v>324</v>
      </c>
      <c r="D90" s="84">
        <f>-SUMIFS(BOND!AF:AF,BOND!AC:AC,RPT)</f>
        <v>1740.2885239605</v>
      </c>
    </row>
    <row r="91" spans="1:9" hidden="1">
      <c r="A91" s="77" t="s">
        <v>415</v>
      </c>
      <c r="B91" s="77" t="s">
        <v>142</v>
      </c>
      <c r="C91" s="77" t="s">
        <v>32</v>
      </c>
      <c r="D91" s="101">
        <v>0</v>
      </c>
    </row>
    <row r="92" spans="1:9" hidden="1">
      <c r="A92" s="77" t="s">
        <v>415</v>
      </c>
      <c r="B92" s="77" t="s">
        <v>419</v>
      </c>
      <c r="C92" s="77" t="s">
        <v>164</v>
      </c>
      <c r="D92" s="78" t="s">
        <v>420</v>
      </c>
    </row>
    <row r="93" spans="1:9" ht="26.6" hidden="1">
      <c r="A93" s="77" t="s">
        <v>415</v>
      </c>
      <c r="B93" s="77" t="s">
        <v>421</v>
      </c>
      <c r="C93" s="77" t="s">
        <v>422</v>
      </c>
      <c r="D93" s="65" t="s">
        <v>423</v>
      </c>
    </row>
    <row r="94" spans="1:9" hidden="1">
      <c r="A94" s="77" t="s">
        <v>415</v>
      </c>
      <c r="B94" s="77" t="s">
        <v>424</v>
      </c>
      <c r="C94" s="77" t="s">
        <v>425</v>
      </c>
      <c r="D94" s="78" t="s">
        <v>426</v>
      </c>
    </row>
    <row r="95" spans="1:9" hidden="1">
      <c r="A95" s="77" t="s">
        <v>415</v>
      </c>
      <c r="B95" s="77" t="s">
        <v>427</v>
      </c>
      <c r="C95" s="77" t="s">
        <v>428</v>
      </c>
      <c r="D95" s="78" t="s">
        <v>429</v>
      </c>
    </row>
    <row r="96" spans="1:9" ht="26.6" hidden="1">
      <c r="A96" s="77" t="s">
        <v>415</v>
      </c>
      <c r="B96" s="77" t="s">
        <v>430</v>
      </c>
      <c r="C96" s="77" t="s">
        <v>431</v>
      </c>
      <c r="D96" s="78" t="s">
        <v>432</v>
      </c>
    </row>
    <row r="97" spans="1:4" hidden="1">
      <c r="A97" s="77" t="s">
        <v>433</v>
      </c>
      <c r="B97" s="77" t="s">
        <v>434</v>
      </c>
      <c r="C97" s="77" t="s">
        <v>317</v>
      </c>
      <c r="D97" s="78" t="s">
        <v>435</v>
      </c>
    </row>
    <row r="98" spans="1:4" hidden="1">
      <c r="A98" s="77" t="s">
        <v>433</v>
      </c>
      <c r="B98" s="77" t="s">
        <v>436</v>
      </c>
      <c r="C98" s="77" t="s">
        <v>320</v>
      </c>
      <c r="D98" s="78" t="s">
        <v>187</v>
      </c>
    </row>
    <row r="99" spans="1:4" hidden="1">
      <c r="A99" s="77" t="s">
        <v>433</v>
      </c>
      <c r="B99" s="77" t="s">
        <v>437</v>
      </c>
      <c r="C99" s="77" t="s">
        <v>323</v>
      </c>
      <c r="D99" s="78"/>
    </row>
    <row r="100" spans="1:4" hidden="1">
      <c r="A100" s="77" t="s">
        <v>433</v>
      </c>
      <c r="B100" s="77" t="s">
        <v>186</v>
      </c>
      <c r="C100" s="77" t="s">
        <v>324</v>
      </c>
      <c r="D100" s="80">
        <f>ROUND(SUMIFS(BOND!$AQ:$AQ,BOND!$AN:$AN,RPT),0)</f>
        <v>39414</v>
      </c>
    </row>
    <row r="101" spans="1:4" hidden="1">
      <c r="A101" s="77" t="s">
        <v>433</v>
      </c>
      <c r="B101" s="77" t="s">
        <v>438</v>
      </c>
      <c r="C101" s="77" t="s">
        <v>439</v>
      </c>
      <c r="D101" s="78" t="s">
        <v>440</v>
      </c>
    </row>
    <row r="102" spans="1:4" hidden="1">
      <c r="A102" s="77" t="s">
        <v>433</v>
      </c>
      <c r="B102" s="77" t="s">
        <v>188</v>
      </c>
      <c r="C102" s="77" t="s">
        <v>441</v>
      </c>
      <c r="D102" s="91">
        <f>SUMIFS(BOND!$AV:$AV,BOND!$AT:$AT,"YTM binh quan",BOND!$AU:$AU,"Total On BS",BOND!$AS:$AS,RPT)/100</f>
        <v>7.6020316335849297E-2</v>
      </c>
    </row>
    <row r="103" spans="1:4" ht="39.9" hidden="1">
      <c r="A103" s="77" t="s">
        <v>433</v>
      </c>
      <c r="B103" s="77" t="s">
        <v>207</v>
      </c>
      <c r="C103" s="77" t="s">
        <v>346</v>
      </c>
      <c r="D103" s="65" t="s">
        <v>804</v>
      </c>
    </row>
    <row r="104" spans="1:4" hidden="1">
      <c r="A104" s="77" t="s">
        <v>433</v>
      </c>
      <c r="B104" s="77" t="s">
        <v>442</v>
      </c>
      <c r="C104" s="77" t="s">
        <v>388</v>
      </c>
      <c r="D104" s="78" t="s">
        <v>443</v>
      </c>
    </row>
    <row r="105" spans="1:4" hidden="1">
      <c r="A105" s="77" t="s">
        <v>433</v>
      </c>
      <c r="B105" s="77" t="s">
        <v>192</v>
      </c>
      <c r="C105" s="77" t="s">
        <v>341</v>
      </c>
      <c r="D105" s="98">
        <v>45000</v>
      </c>
    </row>
    <row r="106" spans="1:4" hidden="1">
      <c r="A106" s="77" t="s">
        <v>433</v>
      </c>
      <c r="B106" s="77" t="s">
        <v>193</v>
      </c>
      <c r="C106" s="77" t="s">
        <v>343</v>
      </c>
      <c r="D106" s="90">
        <f>ROUND(D100/D105,4)</f>
        <v>0.87590000000000001</v>
      </c>
    </row>
    <row r="107" spans="1:4" hidden="1">
      <c r="A107" s="77" t="s">
        <v>444</v>
      </c>
      <c r="B107" s="77" t="s">
        <v>445</v>
      </c>
      <c r="C107" s="77" t="s">
        <v>320</v>
      </c>
      <c r="D107" s="78" t="s">
        <v>446</v>
      </c>
    </row>
    <row r="108" spans="1:4" hidden="1">
      <c r="A108" s="77" t="s">
        <v>444</v>
      </c>
      <c r="B108" s="77" t="s">
        <v>447</v>
      </c>
      <c r="C108" s="77" t="s">
        <v>323</v>
      </c>
      <c r="D108" s="78" t="s">
        <v>448</v>
      </c>
    </row>
    <row r="109" spans="1:4" hidden="1">
      <c r="A109" s="77" t="s">
        <v>444</v>
      </c>
      <c r="B109" s="77" t="s">
        <v>449</v>
      </c>
      <c r="C109" s="77" t="s">
        <v>450</v>
      </c>
      <c r="D109" s="78" t="s">
        <v>451</v>
      </c>
    </row>
    <row r="110" spans="1:4" hidden="1">
      <c r="A110" s="77" t="s">
        <v>444</v>
      </c>
      <c r="B110" s="77" t="s">
        <v>452</v>
      </c>
      <c r="C110" s="77" t="s">
        <v>453</v>
      </c>
      <c r="D110" s="78" t="s">
        <v>454</v>
      </c>
    </row>
    <row r="111" spans="1:4" hidden="1">
      <c r="A111" s="77" t="s">
        <v>444</v>
      </c>
      <c r="B111" s="77" t="s">
        <v>455</v>
      </c>
      <c r="C111" s="77" t="s">
        <v>456</v>
      </c>
      <c r="D111" s="78" t="s">
        <v>456</v>
      </c>
    </row>
    <row r="112" spans="1:4" hidden="1">
      <c r="A112" s="77" t="s">
        <v>444</v>
      </c>
      <c r="B112" s="77" t="s">
        <v>457</v>
      </c>
      <c r="C112" s="77" t="s">
        <v>458</v>
      </c>
      <c r="D112" s="78" t="s">
        <v>459</v>
      </c>
    </row>
    <row r="113" spans="1:4" hidden="1">
      <c r="A113" s="77" t="s">
        <v>444</v>
      </c>
      <c r="B113" s="77" t="s">
        <v>460</v>
      </c>
      <c r="C113" s="77" t="s">
        <v>461</v>
      </c>
      <c r="D113" s="78" t="s">
        <v>461</v>
      </c>
    </row>
    <row r="114" spans="1:4" hidden="1">
      <c r="A114" s="77" t="s">
        <v>444</v>
      </c>
      <c r="B114" s="77" t="s">
        <v>462</v>
      </c>
      <c r="C114" s="77" t="s">
        <v>463</v>
      </c>
      <c r="D114" s="78" t="s">
        <v>464</v>
      </c>
    </row>
    <row r="115" spans="1:4" hidden="1">
      <c r="A115" s="77" t="s">
        <v>444</v>
      </c>
      <c r="B115" s="77" t="s">
        <v>189</v>
      </c>
      <c r="C115" s="77" t="s">
        <v>465</v>
      </c>
      <c r="D115" s="65" t="s">
        <v>371</v>
      </c>
    </row>
    <row r="116" spans="1:4" hidden="1">
      <c r="A116" s="77" t="s">
        <v>444</v>
      </c>
      <c r="B116" s="77" t="s">
        <v>466</v>
      </c>
      <c r="C116" s="77" t="s">
        <v>467</v>
      </c>
      <c r="D116" s="78" t="s">
        <v>468</v>
      </c>
    </row>
    <row r="117" spans="1:4" hidden="1">
      <c r="A117" s="77" t="s">
        <v>444</v>
      </c>
      <c r="B117" s="77" t="s">
        <v>190</v>
      </c>
      <c r="C117" s="77" t="s">
        <v>469</v>
      </c>
      <c r="D117" s="83" cm="1">
        <f t="array" ref="D117">ROUND(SUM(SUMIFS(BOND!$AV:$AV,BOND!$AU:$AU,{"CD On BS","FI Bond Listed On BS","FI Bond Unlisted On BS"},BOND!$AS:$AS,RPT))*D115/12,0)</f>
        <v>25</v>
      </c>
    </row>
    <row r="118" spans="1:4" hidden="1">
      <c r="A118" s="77" t="s">
        <v>444</v>
      </c>
      <c r="B118" s="77" t="s">
        <v>470</v>
      </c>
      <c r="C118" s="77" t="s">
        <v>471</v>
      </c>
      <c r="D118" s="78" t="s">
        <v>191</v>
      </c>
    </row>
    <row r="119" spans="1:4" hidden="1">
      <c r="A119" s="77" t="s">
        <v>472</v>
      </c>
      <c r="B119" s="77" t="s">
        <v>473</v>
      </c>
      <c r="C119" s="77" t="s">
        <v>474</v>
      </c>
      <c r="D119" s="92"/>
    </row>
    <row r="120" spans="1:4" hidden="1">
      <c r="A120" s="77" t="s">
        <v>472</v>
      </c>
      <c r="B120" s="77" t="s">
        <v>475</v>
      </c>
      <c r="C120" s="77" t="s">
        <v>476</v>
      </c>
      <c r="D120" s="92"/>
    </row>
    <row r="121" spans="1:4" hidden="1">
      <c r="A121" s="77" t="s">
        <v>477</v>
      </c>
      <c r="B121" s="77" t="s">
        <v>478</v>
      </c>
      <c r="C121" s="77" t="s">
        <v>305</v>
      </c>
      <c r="D121" s="78" t="s">
        <v>479</v>
      </c>
    </row>
    <row r="122" spans="1:4" hidden="1">
      <c r="A122" s="77" t="s">
        <v>477</v>
      </c>
      <c r="B122" s="77" t="s">
        <v>480</v>
      </c>
      <c r="C122" s="77" t="s">
        <v>481</v>
      </c>
      <c r="D122" s="78" t="s">
        <v>482</v>
      </c>
    </row>
    <row r="123" spans="1:4" hidden="1">
      <c r="A123" s="77" t="s">
        <v>477</v>
      </c>
      <c r="B123" s="77" t="s">
        <v>483</v>
      </c>
      <c r="C123" s="77" t="s">
        <v>484</v>
      </c>
      <c r="D123" s="78" t="s">
        <v>485</v>
      </c>
    </row>
    <row r="124" spans="1:4" hidden="1">
      <c r="A124" s="77" t="s">
        <v>477</v>
      </c>
      <c r="B124" s="77" t="s">
        <v>486</v>
      </c>
      <c r="C124" s="77" t="s">
        <v>487</v>
      </c>
      <c r="D124" s="78" t="s">
        <v>488</v>
      </c>
    </row>
    <row r="125" spans="1:4" ht="66.5" hidden="1">
      <c r="A125" s="77" t="s">
        <v>477</v>
      </c>
      <c r="B125" s="77" t="s">
        <v>489</v>
      </c>
      <c r="C125" s="77" t="s">
        <v>490</v>
      </c>
      <c r="D125" s="78" t="s">
        <v>491</v>
      </c>
    </row>
    <row r="126" spans="1:4" hidden="1">
      <c r="A126" s="77" t="s">
        <v>477</v>
      </c>
      <c r="B126" s="77" t="s">
        <v>492</v>
      </c>
      <c r="C126" s="77" t="s">
        <v>493</v>
      </c>
      <c r="D126" s="78" t="s">
        <v>494</v>
      </c>
    </row>
    <row r="127" spans="1:4" ht="39.9" hidden="1">
      <c r="A127" s="77" t="s">
        <v>477</v>
      </c>
      <c r="B127" s="77" t="s">
        <v>495</v>
      </c>
      <c r="C127" s="77" t="s">
        <v>496</v>
      </c>
      <c r="D127" s="78" t="s">
        <v>497</v>
      </c>
    </row>
    <row r="128" spans="1:4" hidden="1">
      <c r="A128" s="77" t="s">
        <v>477</v>
      </c>
      <c r="B128" s="77" t="s">
        <v>498</v>
      </c>
      <c r="C128" s="77" t="s">
        <v>499</v>
      </c>
      <c r="D128" s="78" t="s">
        <v>500</v>
      </c>
    </row>
    <row r="129" spans="1:4" ht="26.6" hidden="1">
      <c r="A129" s="77" t="s">
        <v>477</v>
      </c>
      <c r="B129" s="77" t="s">
        <v>501</v>
      </c>
      <c r="C129" s="77" t="s">
        <v>502</v>
      </c>
      <c r="D129" s="78" t="s">
        <v>503</v>
      </c>
    </row>
    <row r="130" spans="1:4" hidden="1">
      <c r="A130" s="77" t="s">
        <v>504</v>
      </c>
      <c r="B130" s="77" t="s">
        <v>505</v>
      </c>
      <c r="C130" s="77" t="s">
        <v>506</v>
      </c>
      <c r="D130" s="92" t="s">
        <v>507</v>
      </c>
    </row>
    <row r="131" spans="1:4" hidden="1">
      <c r="A131" s="77" t="s">
        <v>504</v>
      </c>
      <c r="B131" s="77" t="s">
        <v>508</v>
      </c>
      <c r="C131" s="77" t="s">
        <v>509</v>
      </c>
      <c r="D131" s="92"/>
    </row>
    <row r="132" spans="1:4" hidden="1">
      <c r="A132" s="77" t="s">
        <v>504</v>
      </c>
      <c r="B132" s="77" t="s">
        <v>510</v>
      </c>
      <c r="C132" s="77" t="s">
        <v>511</v>
      </c>
      <c r="D132" s="92" t="s">
        <v>512</v>
      </c>
    </row>
    <row r="133" spans="1:4" hidden="1">
      <c r="A133" s="77" t="s">
        <v>504</v>
      </c>
      <c r="B133" s="77" t="s">
        <v>513</v>
      </c>
      <c r="C133" s="77" t="s">
        <v>514</v>
      </c>
      <c r="D133" s="92" t="s">
        <v>515</v>
      </c>
    </row>
    <row r="134" spans="1:4" hidden="1">
      <c r="A134" s="77" t="s">
        <v>504</v>
      </c>
      <c r="B134" s="77" t="s">
        <v>516</v>
      </c>
      <c r="C134" s="77" t="s">
        <v>517</v>
      </c>
      <c r="D134" s="92" t="s">
        <v>518</v>
      </c>
    </row>
    <row r="135" spans="1:4" hidden="1">
      <c r="A135" s="77" t="s">
        <v>504</v>
      </c>
      <c r="B135" s="77" t="s">
        <v>519</v>
      </c>
      <c r="C135" s="77" t="s">
        <v>520</v>
      </c>
      <c r="D135" s="92" t="s">
        <v>521</v>
      </c>
    </row>
    <row r="136" spans="1:4" hidden="1">
      <c r="A136" s="77" t="s">
        <v>504</v>
      </c>
      <c r="B136" s="77" t="s">
        <v>522</v>
      </c>
      <c r="C136" s="77" t="s">
        <v>523</v>
      </c>
      <c r="D136" s="92" t="s">
        <v>524</v>
      </c>
    </row>
    <row r="137" spans="1:4" hidden="1">
      <c r="A137" s="77" t="s">
        <v>504</v>
      </c>
      <c r="B137" s="77" t="s">
        <v>525</v>
      </c>
      <c r="C137" s="77" t="s">
        <v>526</v>
      </c>
      <c r="D137" s="92"/>
    </row>
    <row r="138" spans="1:4" hidden="1">
      <c r="A138" s="77" t="s">
        <v>504</v>
      </c>
      <c r="B138" s="77" t="s">
        <v>527</v>
      </c>
      <c r="C138" s="77" t="s">
        <v>528</v>
      </c>
      <c r="D138" s="92" t="s">
        <v>529</v>
      </c>
    </row>
    <row r="139" spans="1:4" hidden="1">
      <c r="A139" s="77" t="s">
        <v>504</v>
      </c>
      <c r="B139" s="77" t="s">
        <v>530</v>
      </c>
      <c r="C139" s="77" t="s">
        <v>531</v>
      </c>
      <c r="D139" s="92"/>
    </row>
    <row r="140" spans="1:4" hidden="1">
      <c r="A140" s="77" t="s">
        <v>504</v>
      </c>
      <c r="B140" s="77" t="s">
        <v>532</v>
      </c>
      <c r="C140" s="77" t="s">
        <v>533</v>
      </c>
      <c r="D140" s="92"/>
    </row>
    <row r="141" spans="1:4" hidden="1">
      <c r="A141" s="77" t="s">
        <v>504</v>
      </c>
      <c r="B141" s="77" t="s">
        <v>534</v>
      </c>
      <c r="C141" s="77" t="s">
        <v>535</v>
      </c>
      <c r="D141" s="92" t="s">
        <v>536</v>
      </c>
    </row>
    <row r="142" spans="1:4" hidden="1">
      <c r="A142" s="77" t="s">
        <v>504</v>
      </c>
      <c r="B142" s="77" t="s">
        <v>537</v>
      </c>
      <c r="C142" s="77" t="s">
        <v>538</v>
      </c>
      <c r="D142" s="92"/>
    </row>
    <row r="143" spans="1:4" hidden="1">
      <c r="A143" s="77" t="s">
        <v>504</v>
      </c>
      <c r="B143" s="77" t="s">
        <v>539</v>
      </c>
      <c r="C143" s="77" t="s">
        <v>540</v>
      </c>
      <c r="D143" s="92" t="s">
        <v>541</v>
      </c>
    </row>
    <row r="144" spans="1:4" hidden="1">
      <c r="A144" s="77" t="s">
        <v>504</v>
      </c>
      <c r="B144" s="77" t="s">
        <v>542</v>
      </c>
      <c r="C144" s="77" t="s">
        <v>543</v>
      </c>
      <c r="D144" s="92" t="s">
        <v>515</v>
      </c>
    </row>
    <row r="145" spans="1:4" hidden="1">
      <c r="A145" s="77" t="s">
        <v>504</v>
      </c>
      <c r="B145" s="77" t="s">
        <v>544</v>
      </c>
      <c r="C145" s="77" t="s">
        <v>545</v>
      </c>
      <c r="D145" s="92" t="s">
        <v>546</v>
      </c>
    </row>
    <row r="146" spans="1:4" hidden="1">
      <c r="A146" s="77" t="s">
        <v>504</v>
      </c>
      <c r="B146" s="77" t="s">
        <v>547</v>
      </c>
      <c r="C146" s="77" t="s">
        <v>548</v>
      </c>
      <c r="D146" s="92" t="s">
        <v>521</v>
      </c>
    </row>
    <row r="147" spans="1:4" hidden="1">
      <c r="A147" s="77" t="s">
        <v>504</v>
      </c>
      <c r="B147" s="77" t="s">
        <v>549</v>
      </c>
      <c r="C147" s="77" t="s">
        <v>550</v>
      </c>
      <c r="D147" s="92" t="s">
        <v>524</v>
      </c>
    </row>
    <row r="148" spans="1:4" hidden="1">
      <c r="A148" s="77" t="s">
        <v>504</v>
      </c>
      <c r="B148" s="77" t="s">
        <v>551</v>
      </c>
      <c r="C148" s="77" t="s">
        <v>552</v>
      </c>
      <c r="D148" s="92"/>
    </row>
    <row r="149" spans="1:4" hidden="1">
      <c r="A149" s="77" t="s">
        <v>504</v>
      </c>
      <c r="B149" s="77" t="s">
        <v>553</v>
      </c>
      <c r="C149" s="77" t="s">
        <v>554</v>
      </c>
      <c r="D149" s="92" t="s">
        <v>529</v>
      </c>
    </row>
    <row r="150" spans="1:4" hidden="1">
      <c r="A150" s="77" t="s">
        <v>504</v>
      </c>
      <c r="B150" s="77" t="s">
        <v>555</v>
      </c>
      <c r="C150" s="77" t="s">
        <v>556</v>
      </c>
      <c r="D150" s="92"/>
    </row>
    <row r="151" spans="1:4" hidden="1">
      <c r="A151" s="77" t="s">
        <v>504</v>
      </c>
      <c r="B151" s="77" t="s">
        <v>557</v>
      </c>
      <c r="C151" s="77" t="s">
        <v>558</v>
      </c>
      <c r="D151" s="92"/>
    </row>
    <row r="152" spans="1:4" hidden="1">
      <c r="A152" s="77" t="s">
        <v>504</v>
      </c>
      <c r="B152" s="77" t="s">
        <v>559</v>
      </c>
      <c r="C152" s="77" t="s">
        <v>560</v>
      </c>
      <c r="D152" s="92" t="s">
        <v>561</v>
      </c>
    </row>
    <row r="153" spans="1:4" hidden="1">
      <c r="A153" s="77" t="s">
        <v>504</v>
      </c>
      <c r="B153" s="77" t="s">
        <v>562</v>
      </c>
      <c r="C153" s="77" t="s">
        <v>563</v>
      </c>
      <c r="D153" s="92"/>
    </row>
    <row r="154" spans="1:4" hidden="1">
      <c r="A154" s="77" t="s">
        <v>504</v>
      </c>
      <c r="B154" s="77" t="s">
        <v>564</v>
      </c>
      <c r="C154" s="77" t="s">
        <v>565</v>
      </c>
      <c r="D154" s="92" t="s">
        <v>566</v>
      </c>
    </row>
    <row r="155" spans="1:4" hidden="1">
      <c r="A155" s="77" t="s">
        <v>504</v>
      </c>
      <c r="B155" s="77" t="s">
        <v>567</v>
      </c>
      <c r="C155" s="77" t="s">
        <v>568</v>
      </c>
      <c r="D155" s="92" t="s">
        <v>515</v>
      </c>
    </row>
    <row r="156" spans="1:4" hidden="1">
      <c r="A156" s="77" t="s">
        <v>504</v>
      </c>
      <c r="B156" s="77" t="s">
        <v>569</v>
      </c>
      <c r="C156" s="77" t="s">
        <v>570</v>
      </c>
      <c r="D156" s="92"/>
    </row>
    <row r="157" spans="1:4" hidden="1">
      <c r="A157" s="77" t="s">
        <v>504</v>
      </c>
      <c r="B157" s="77" t="s">
        <v>571</v>
      </c>
      <c r="C157" s="77" t="s">
        <v>572</v>
      </c>
      <c r="D157" s="92"/>
    </row>
    <row r="158" spans="1:4" hidden="1">
      <c r="A158" s="77" t="s">
        <v>504</v>
      </c>
      <c r="B158" s="77" t="s">
        <v>573</v>
      </c>
      <c r="C158" s="77" t="s">
        <v>574</v>
      </c>
      <c r="D158" s="92"/>
    </row>
    <row r="159" spans="1:4" hidden="1">
      <c r="A159" s="77" t="s">
        <v>504</v>
      </c>
      <c r="B159" s="77" t="s">
        <v>575</v>
      </c>
      <c r="C159" s="77" t="s">
        <v>576</v>
      </c>
      <c r="D159" s="92" t="s">
        <v>577</v>
      </c>
    </row>
    <row r="160" spans="1:4" hidden="1">
      <c r="A160" s="77" t="s">
        <v>504</v>
      </c>
      <c r="B160" s="77" t="s">
        <v>578</v>
      </c>
      <c r="C160" s="77" t="s">
        <v>579</v>
      </c>
      <c r="D160" s="92" t="s">
        <v>580</v>
      </c>
    </row>
    <row r="161" spans="1:4" hidden="1">
      <c r="A161" s="77" t="s">
        <v>504</v>
      </c>
      <c r="B161" s="77" t="s">
        <v>581</v>
      </c>
      <c r="C161" s="77" t="s">
        <v>582</v>
      </c>
      <c r="D161" s="92"/>
    </row>
    <row r="162" spans="1:4" hidden="1">
      <c r="A162" s="77" t="s">
        <v>504</v>
      </c>
      <c r="B162" s="77" t="s">
        <v>583</v>
      </c>
      <c r="C162" s="77" t="s">
        <v>584</v>
      </c>
      <c r="D162" s="92"/>
    </row>
    <row r="163" spans="1:4" hidden="1">
      <c r="A163" s="77" t="s">
        <v>504</v>
      </c>
      <c r="B163" s="77" t="s">
        <v>585</v>
      </c>
      <c r="C163" s="77" t="s">
        <v>586</v>
      </c>
      <c r="D163" s="92" t="s">
        <v>587</v>
      </c>
    </row>
    <row r="164" spans="1:4" hidden="1">
      <c r="A164" s="77" t="s">
        <v>504</v>
      </c>
      <c r="B164" s="77" t="s">
        <v>588</v>
      </c>
      <c r="C164" s="77" t="s">
        <v>589</v>
      </c>
      <c r="D164" s="92"/>
    </row>
    <row r="165" spans="1:4" hidden="1">
      <c r="A165" s="77" t="s">
        <v>504</v>
      </c>
      <c r="B165" s="77" t="s">
        <v>590</v>
      </c>
      <c r="C165" s="77" t="s">
        <v>591</v>
      </c>
      <c r="D165" s="92" t="s">
        <v>592</v>
      </c>
    </row>
    <row r="166" spans="1:4" hidden="1">
      <c r="A166" s="77" t="s">
        <v>504</v>
      </c>
      <c r="B166" s="77" t="s">
        <v>593</v>
      </c>
      <c r="C166" s="77" t="s">
        <v>594</v>
      </c>
      <c r="D166" s="92" t="s">
        <v>515</v>
      </c>
    </row>
    <row r="167" spans="1:4" hidden="1">
      <c r="A167" s="77" t="s">
        <v>504</v>
      </c>
      <c r="B167" s="77" t="s">
        <v>595</v>
      </c>
      <c r="C167" s="77" t="s">
        <v>596</v>
      </c>
      <c r="D167" s="92"/>
    </row>
    <row r="168" spans="1:4" hidden="1">
      <c r="A168" s="77" t="s">
        <v>504</v>
      </c>
      <c r="B168" s="77" t="s">
        <v>597</v>
      </c>
      <c r="C168" s="77" t="s">
        <v>598</v>
      </c>
      <c r="D168" s="92"/>
    </row>
    <row r="169" spans="1:4" hidden="1">
      <c r="A169" s="77" t="s">
        <v>504</v>
      </c>
      <c r="B169" s="77" t="s">
        <v>599</v>
      </c>
      <c r="C169" s="77" t="s">
        <v>600</v>
      </c>
      <c r="D169" s="92"/>
    </row>
    <row r="170" spans="1:4" hidden="1">
      <c r="A170" s="77" t="s">
        <v>504</v>
      </c>
      <c r="B170" s="77" t="s">
        <v>601</v>
      </c>
      <c r="C170" s="77" t="s">
        <v>602</v>
      </c>
      <c r="D170" s="92" t="s">
        <v>577</v>
      </c>
    </row>
    <row r="171" spans="1:4" hidden="1">
      <c r="A171" s="77" t="s">
        <v>504</v>
      </c>
      <c r="B171" s="77" t="s">
        <v>603</v>
      </c>
      <c r="C171" s="77" t="s">
        <v>604</v>
      </c>
      <c r="D171" s="92" t="s">
        <v>580</v>
      </c>
    </row>
    <row r="172" spans="1:4" hidden="1">
      <c r="A172" s="77" t="s">
        <v>504</v>
      </c>
      <c r="B172" s="77" t="s">
        <v>605</v>
      </c>
      <c r="C172" s="77" t="s">
        <v>606</v>
      </c>
      <c r="D172" s="92"/>
    </row>
    <row r="173" spans="1:4" hidden="1">
      <c r="A173" s="77" t="s">
        <v>504</v>
      </c>
      <c r="B173" s="77" t="s">
        <v>607</v>
      </c>
      <c r="C173" s="77" t="s">
        <v>608</v>
      </c>
      <c r="D173" s="92"/>
    </row>
    <row r="174" spans="1:4" hidden="1">
      <c r="A174" s="77" t="s">
        <v>504</v>
      </c>
      <c r="B174" s="77" t="s">
        <v>609</v>
      </c>
      <c r="C174" s="77" t="s">
        <v>610</v>
      </c>
      <c r="D174" s="92" t="s">
        <v>611</v>
      </c>
    </row>
    <row r="175" spans="1:4" hidden="1">
      <c r="A175" s="77" t="s">
        <v>504</v>
      </c>
      <c r="B175" s="77" t="s">
        <v>612</v>
      </c>
      <c r="C175" s="77" t="s">
        <v>613</v>
      </c>
      <c r="D175" s="92" t="s">
        <v>614</v>
      </c>
    </row>
    <row r="176" spans="1:4" hidden="1">
      <c r="A176" s="77" t="s">
        <v>504</v>
      </c>
      <c r="B176" s="77" t="s">
        <v>615</v>
      </c>
      <c r="C176" s="77" t="s">
        <v>616</v>
      </c>
      <c r="D176" s="92" t="s">
        <v>617</v>
      </c>
    </row>
    <row r="177" spans="1:4" hidden="1">
      <c r="A177" s="77" t="s">
        <v>504</v>
      </c>
      <c r="B177" s="77" t="s">
        <v>618</v>
      </c>
      <c r="C177" s="77" t="s">
        <v>619</v>
      </c>
      <c r="D177" s="92" t="s">
        <v>620</v>
      </c>
    </row>
    <row r="178" spans="1:4" hidden="1">
      <c r="A178" s="77" t="s">
        <v>504</v>
      </c>
      <c r="B178" s="77" t="s">
        <v>621</v>
      </c>
      <c r="C178" s="77" t="s">
        <v>622</v>
      </c>
      <c r="D178" s="92" t="s">
        <v>623</v>
      </c>
    </row>
    <row r="179" spans="1:4" hidden="1">
      <c r="A179" s="77" t="s">
        <v>504</v>
      </c>
      <c r="B179" s="77" t="s">
        <v>624</v>
      </c>
      <c r="C179" s="77" t="s">
        <v>625</v>
      </c>
      <c r="D179" s="92" t="s">
        <v>521</v>
      </c>
    </row>
    <row r="180" spans="1:4" hidden="1">
      <c r="A180" s="77" t="s">
        <v>504</v>
      </c>
      <c r="B180" s="77" t="s">
        <v>626</v>
      </c>
      <c r="C180" s="77" t="s">
        <v>627</v>
      </c>
      <c r="D180" s="92" t="s">
        <v>628</v>
      </c>
    </row>
    <row r="181" spans="1:4" hidden="1">
      <c r="A181" s="77" t="s">
        <v>504</v>
      </c>
      <c r="B181" s="77" t="s">
        <v>629</v>
      </c>
      <c r="C181" s="77" t="s">
        <v>630</v>
      </c>
      <c r="D181" s="92"/>
    </row>
    <row r="182" spans="1:4" hidden="1">
      <c r="A182" s="77" t="s">
        <v>504</v>
      </c>
      <c r="B182" s="77" t="s">
        <v>631</v>
      </c>
      <c r="C182" s="77" t="s">
        <v>632</v>
      </c>
      <c r="D182" s="92" t="s">
        <v>529</v>
      </c>
    </row>
    <row r="183" spans="1:4" hidden="1">
      <c r="A183" s="77" t="s">
        <v>504</v>
      </c>
      <c r="B183" s="77" t="s">
        <v>633</v>
      </c>
      <c r="C183" s="77" t="s">
        <v>634</v>
      </c>
      <c r="D183" s="92"/>
    </row>
    <row r="184" spans="1:4" hidden="1">
      <c r="A184" s="77" t="s">
        <v>504</v>
      </c>
      <c r="B184" s="77" t="s">
        <v>635</v>
      </c>
      <c r="C184" s="77" t="s">
        <v>636</v>
      </c>
      <c r="D184" s="92"/>
    </row>
    <row r="185" spans="1:4" hidden="1">
      <c r="A185" s="77" t="s">
        <v>637</v>
      </c>
      <c r="B185" s="77" t="s">
        <v>638</v>
      </c>
      <c r="C185" s="77" t="s">
        <v>639</v>
      </c>
      <c r="D185" s="92" t="s">
        <v>640</v>
      </c>
    </row>
    <row r="186" spans="1:4" ht="39.9" hidden="1">
      <c r="A186" s="77" t="s">
        <v>637</v>
      </c>
      <c r="B186" s="77" t="s">
        <v>641</v>
      </c>
      <c r="C186" s="77" t="s">
        <v>642</v>
      </c>
      <c r="D186" s="92" t="s">
        <v>643</v>
      </c>
    </row>
    <row r="187" spans="1:4" hidden="1">
      <c r="A187" s="77" t="s">
        <v>637</v>
      </c>
      <c r="B187" s="77" t="s">
        <v>644</v>
      </c>
      <c r="C187" s="77" t="s">
        <v>645</v>
      </c>
      <c r="D187" s="92" t="s">
        <v>646</v>
      </c>
    </row>
    <row r="188" spans="1:4" hidden="1">
      <c r="A188" s="77" t="s">
        <v>637</v>
      </c>
      <c r="B188" s="77" t="s">
        <v>647</v>
      </c>
      <c r="C188" s="77" t="s">
        <v>648</v>
      </c>
      <c r="D188" s="92" t="s">
        <v>649</v>
      </c>
    </row>
    <row r="189" spans="1:4" hidden="1">
      <c r="A189" s="77" t="s">
        <v>637</v>
      </c>
      <c r="B189" s="77" t="s">
        <v>650</v>
      </c>
      <c r="C189" s="77" t="s">
        <v>651</v>
      </c>
      <c r="D189" s="92" t="s">
        <v>652</v>
      </c>
    </row>
    <row r="190" spans="1:4" ht="26.6" hidden="1">
      <c r="A190" s="77" t="s">
        <v>637</v>
      </c>
      <c r="B190" s="77" t="s">
        <v>653</v>
      </c>
      <c r="C190" s="77" t="s">
        <v>654</v>
      </c>
      <c r="D190" s="92" t="s">
        <v>655</v>
      </c>
    </row>
  </sheetData>
  <autoFilter ref="A1:E190" xr:uid="{1D770D42-814D-4D11-8EAA-6D36DD2BC096}">
    <filterColumn colId="1">
      <filters>
        <filter val="worstCaseMtM"/>
        <filter val="worstCaseMtMChange"/>
        <filter val="worstCaseMtMNote"/>
        <filter val="worstCaseMtMStatu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F34A-0B01-460D-BC38-3287C986E582}">
  <sheetPr codeName="Sheet5">
    <tabColor theme="8" tint="0.39997558519241921"/>
  </sheetPr>
  <dimension ref="A1:C55"/>
  <sheetViews>
    <sheetView showGridLines="0" workbookViewId="0">
      <pane ySplit="2" topLeftCell="A3" activePane="bottomLeft" state="frozen"/>
      <selection pane="bottomLeft" activeCell="C11" sqref="C11"/>
    </sheetView>
  </sheetViews>
  <sheetFormatPr defaultColWidth="9.09765625" defaultRowHeight="13.85"/>
  <cols>
    <col min="1" max="1" width="27.3984375" style="28" customWidth="1"/>
    <col min="2" max="2" width="28.296875" style="28" bestFit="1" customWidth="1"/>
    <col min="3" max="3" width="18.296875" style="28" customWidth="1"/>
    <col min="4" max="16384" width="9.09765625" style="28"/>
  </cols>
  <sheetData>
    <row r="1" spans="1:3" ht="14.4">
      <c r="A1" s="73" t="s">
        <v>1747</v>
      </c>
      <c r="B1" s="73"/>
      <c r="C1" s="73"/>
    </row>
    <row r="2" spans="1:3" ht="14.4">
      <c r="A2" s="67" t="s">
        <v>165</v>
      </c>
      <c r="B2" s="67" t="s">
        <v>124</v>
      </c>
      <c r="C2" s="67" t="s">
        <v>295</v>
      </c>
    </row>
    <row r="3" spans="1:3" ht="14.4">
      <c r="A3" s="68" t="s">
        <v>1089</v>
      </c>
      <c r="B3" s="68" t="s">
        <v>1095</v>
      </c>
      <c r="C3" s="126">
        <f>Executive!D4</f>
        <v>46290</v>
      </c>
    </row>
    <row r="4" spans="1:3" ht="14.4">
      <c r="A4" s="68" t="s">
        <v>1089</v>
      </c>
      <c r="B4" s="68" t="s">
        <v>1088</v>
      </c>
      <c r="C4" s="68" t="s">
        <v>1089</v>
      </c>
    </row>
    <row r="5" spans="1:3" ht="14.4">
      <c r="A5" s="68" t="s">
        <v>1089</v>
      </c>
      <c r="B5" s="68" t="s">
        <v>1091</v>
      </c>
      <c r="C5" s="68" t="s">
        <v>1748</v>
      </c>
    </row>
    <row r="6" spans="1:3" ht="14.4">
      <c r="A6" s="68" t="s">
        <v>1089</v>
      </c>
      <c r="B6" s="68" t="s">
        <v>1093</v>
      </c>
      <c r="C6" s="68" t="s">
        <v>1749</v>
      </c>
    </row>
    <row r="7" spans="1:3" ht="14.4">
      <c r="A7" s="68" t="s">
        <v>1089</v>
      </c>
      <c r="B7" s="68" t="s">
        <v>1097</v>
      </c>
      <c r="C7" s="68" t="s">
        <v>1750</v>
      </c>
    </row>
    <row r="8" spans="1:3" ht="14.4">
      <c r="A8" s="68" t="s">
        <v>1089</v>
      </c>
      <c r="B8" s="68" t="s">
        <v>1099</v>
      </c>
      <c r="C8" s="68" t="s">
        <v>1751</v>
      </c>
    </row>
    <row r="9" spans="1:3" ht="14.4">
      <c r="A9" s="68" t="s">
        <v>1089</v>
      </c>
      <c r="B9" s="68" t="s">
        <v>1101</v>
      </c>
      <c r="C9" s="339">
        <f>SUMIFS(Market!C:C,Market!B:B,"2Y",Market!A:A,RPT)/100</f>
        <v>3.6379999999999996E-2</v>
      </c>
    </row>
    <row r="10" spans="1:3" ht="14.4">
      <c r="A10" s="68" t="s">
        <v>1089</v>
      </c>
      <c r="B10" s="68" t="s">
        <v>1103</v>
      </c>
      <c r="C10" s="340">
        <f>10000*(C9-SUMIFS(Market!C:C,Market!B:B,"2Y",Market!A:A,Yesterday)/100)</f>
        <v>0</v>
      </c>
    </row>
    <row r="11" spans="1:3" ht="14.4">
      <c r="A11" s="68" t="s">
        <v>1089</v>
      </c>
      <c r="B11" s="68" t="s">
        <v>1105</v>
      </c>
      <c r="C11" s="340">
        <f>10000*(C9-SUMIFS(Market!C:C,Market!B:B,"2Y",Market!A:A,Lastweek)/100)</f>
        <v>0</v>
      </c>
    </row>
    <row r="12" spans="1:3" ht="14.4">
      <c r="A12" s="68" t="s">
        <v>1089</v>
      </c>
      <c r="B12" s="68" t="s">
        <v>1107</v>
      </c>
      <c r="C12" s="340">
        <f>10000*(C9-SUMIFS(Market!C:C,Market!B:B,"2Y",Market!A:A,Lastmonth)/100)</f>
        <v>0</v>
      </c>
    </row>
    <row r="13" spans="1:3" ht="14.4">
      <c r="A13" s="68" t="s">
        <v>1089</v>
      </c>
      <c r="B13" s="68" t="s">
        <v>1109</v>
      </c>
      <c r="C13" s="340">
        <f>10000*(C9-SUMIFS(Market!C:C,Market!B:B,"2Y",Market!A:A,Lastyear)/100)</f>
        <v>164.99999999999997</v>
      </c>
    </row>
    <row r="14" spans="1:3" ht="14.4">
      <c r="A14" s="68" t="s">
        <v>1089</v>
      </c>
      <c r="B14" s="68" t="s">
        <v>1111</v>
      </c>
      <c r="C14" s="339">
        <f>SUMIFS(Market!C:C,Market!B:B,"5Y",Market!A:A,RPT)/100</f>
        <v>4.2960000000000005E-2</v>
      </c>
    </row>
    <row r="15" spans="1:3" ht="14.4">
      <c r="A15" s="68" t="s">
        <v>1089</v>
      </c>
      <c r="B15" s="68" t="s">
        <v>1113</v>
      </c>
      <c r="C15" s="340">
        <f>10000*(C14-SUMIFS(Market!C:C,Market!B:B,"5Y",Market!A:A,Yesterday)/100)</f>
        <v>0.40000000000005309</v>
      </c>
    </row>
    <row r="16" spans="1:3" ht="14.4">
      <c r="A16" s="68" t="s">
        <v>1089</v>
      </c>
      <c r="B16" s="68" t="s">
        <v>1115</v>
      </c>
      <c r="C16" s="340">
        <f>10000*(C14-SUMIFS(Market!C:C,Market!B:B,"5Y",Market!A:A,Lastweek)/100)</f>
        <v>-0.29999999999995308</v>
      </c>
    </row>
    <row r="17" spans="1:3" ht="14.4">
      <c r="A17" s="68" t="s">
        <v>1089</v>
      </c>
      <c r="B17" s="68" t="s">
        <v>1117</v>
      </c>
      <c r="C17" s="340">
        <f>10000*(C14-SUMIFS(Market!C:C,Market!B:B,"5Y",Market!A:A,Lastmonth)/100)</f>
        <v>-0.59999999999990616</v>
      </c>
    </row>
    <row r="18" spans="1:3" ht="14.4">
      <c r="A18" s="68" t="s">
        <v>1089</v>
      </c>
      <c r="B18" s="68" t="s">
        <v>1119</v>
      </c>
      <c r="C18" s="340">
        <f>10000*(C14-SUMIFS(Market!C:C,Market!B:B,"5Y",Market!A:A,Lastyear)/100)</f>
        <v>200.50000000000006</v>
      </c>
    </row>
    <row r="19" spans="1:3" ht="14.4">
      <c r="A19" s="68" t="s">
        <v>1089</v>
      </c>
      <c r="B19" s="68" t="s">
        <v>1121</v>
      </c>
      <c r="C19" s="339">
        <f>SUMIFS(Market!C:C,Market!B:B,"10Y",Market!A:A,RPT)/100</f>
        <v>4.4669999999999994E-2</v>
      </c>
    </row>
    <row r="20" spans="1:3" ht="14.4">
      <c r="A20" s="68" t="s">
        <v>1089</v>
      </c>
      <c r="B20" s="68" t="s">
        <v>1123</v>
      </c>
      <c r="C20" s="340">
        <f>10000*(C19-SUMIFS(Market!C:C,Market!B:B,"10Y",Market!A:A,Yesterday)/100)</f>
        <v>0</v>
      </c>
    </row>
    <row r="21" spans="1:3" ht="14.4">
      <c r="A21" s="68" t="s">
        <v>1089</v>
      </c>
      <c r="B21" s="68" t="s">
        <v>1125</v>
      </c>
      <c r="C21" s="340">
        <f>10000*(C19-SUMIFS(Market!C:C,Market!B:B,"10Y",Market!A:A,Lastweek)/100)</f>
        <v>0.49999999999994493</v>
      </c>
    </row>
    <row r="22" spans="1:3" ht="14.4">
      <c r="A22" s="68" t="s">
        <v>1089</v>
      </c>
      <c r="B22" s="68" t="s">
        <v>1127</v>
      </c>
      <c r="C22" s="340">
        <f>10000*(C19-SUMIFS(Market!C:C,Market!B:B,"10Y",Market!A:A,Lastmonth)/100)</f>
        <v>1.7999999999999265</v>
      </c>
    </row>
    <row r="23" spans="1:3" ht="14.4">
      <c r="A23" s="68" t="s">
        <v>1089</v>
      </c>
      <c r="B23" s="68" t="s">
        <v>1129</v>
      </c>
      <c r="C23" s="340">
        <f>10000*(C19-SUMIFS(Market!C:C,Market!B:B,"10Y",Market!A:A,Lastyear)/100)</f>
        <v>149.79999999999995</v>
      </c>
    </row>
    <row r="24" spans="1:3" ht="14.4">
      <c r="A24" s="68" t="s">
        <v>1089</v>
      </c>
      <c r="B24" s="68" t="s">
        <v>1131</v>
      </c>
      <c r="C24" s="339">
        <f>SUMIFS(Market!G:G,Market!F:F,"O/N_VND",Market!E:E,RPT)/100</f>
        <v>6.9999999999999993E-3</v>
      </c>
    </row>
    <row r="25" spans="1:3" ht="14.4">
      <c r="A25" s="68" t="s">
        <v>1089</v>
      </c>
      <c r="B25" s="68" t="s">
        <v>1133</v>
      </c>
      <c r="C25" s="340">
        <f>10000*(C24-SUMIFS(Market!G:G,Market!F:F,"O/N_VND",Market!E:E,Yesterday)/100)</f>
        <v>-30.000000000000011</v>
      </c>
    </row>
    <row r="26" spans="1:3" ht="14.4">
      <c r="A26" s="68" t="s">
        <v>1089</v>
      </c>
      <c r="B26" s="68" t="s">
        <v>1135</v>
      </c>
      <c r="C26" s="340">
        <f>10000*(C24-SUMIFS(Market!G:G,Market!F:F,"O/N_VND",Market!E:E,Lastweek)/100)</f>
        <v>-380</v>
      </c>
    </row>
    <row r="27" spans="1:3" ht="14.4">
      <c r="A27" s="68" t="s">
        <v>1089</v>
      </c>
      <c r="B27" s="68" t="s">
        <v>1137</v>
      </c>
      <c r="C27" s="340">
        <f>10000*(C24-SUMIFS(Market!G:G,Market!F:F,"O/N_VND",Market!E:E,Lastmonth)/100)</f>
        <v>-680</v>
      </c>
    </row>
    <row r="28" spans="1:3" ht="14.4">
      <c r="A28" s="68" t="s">
        <v>1089</v>
      </c>
      <c r="B28" s="68" t="s">
        <v>1139</v>
      </c>
      <c r="C28" s="340">
        <f>10000*(C24-SUMIFS(Market!G:G,Market!F:F,"O/N_VND",Market!E:E,Lastyear)/100)</f>
        <v>-327</v>
      </c>
    </row>
    <row r="29" spans="1:3" ht="14.4">
      <c r="A29" s="68" t="s">
        <v>1089</v>
      </c>
      <c r="B29" s="68" t="s">
        <v>158</v>
      </c>
      <c r="C29" s="339">
        <f>SUMIFS(Market!G:G,Market!F:F,"1W_VND",Market!E:E,RPT)/100</f>
        <v>5.5999999999999994E-2</v>
      </c>
    </row>
    <row r="30" spans="1:3" ht="14.4">
      <c r="A30" s="68" t="s">
        <v>1089</v>
      </c>
      <c r="B30" s="68" t="s">
        <v>1142</v>
      </c>
      <c r="C30" s="340">
        <f>10000*(C29-SUMIFS(Market!G:G,Market!F:F,"1W_VND",Market!E:E,Yesterday)/100)</f>
        <v>49.999999999999972</v>
      </c>
    </row>
    <row r="31" spans="1:3" ht="14.4">
      <c r="A31" s="68" t="s">
        <v>1089</v>
      </c>
      <c r="B31" s="68" t="s">
        <v>1144</v>
      </c>
      <c r="C31" s="340">
        <f>10000*(C29-SUMIFS(Market!G:G,Market!F:F,"1W_VND",Market!E:E,Lastweek)/100)</f>
        <v>79.999999999999929</v>
      </c>
    </row>
    <row r="32" spans="1:3" ht="14.4">
      <c r="A32" s="68" t="s">
        <v>1089</v>
      </c>
      <c r="B32" s="68" t="s">
        <v>1146</v>
      </c>
      <c r="C32" s="340">
        <f>10000*(C29-SUMIFS(Market!G:G,Market!F:F,"1W_VND",Market!E:E,Lastmonth)/100)</f>
        <v>-165</v>
      </c>
    </row>
    <row r="33" spans="1:3" ht="14.4">
      <c r="A33" s="68" t="s">
        <v>1089</v>
      </c>
      <c r="B33" s="68" t="s">
        <v>1148</v>
      </c>
      <c r="C33" s="340">
        <f>10000*(C29-SUMIFS(Market!G:G,Market!F:F,"1W_VND",Market!E:E,Lastyear)/100)</f>
        <v>63</v>
      </c>
    </row>
    <row r="34" spans="1:3" ht="14.4">
      <c r="A34" s="68" t="s">
        <v>1089</v>
      </c>
      <c r="B34" s="68" t="s">
        <v>292</v>
      </c>
      <c r="C34" s="339">
        <f>SUMIFS(Market!G:G,Market!F:F,"2W_VND",Market!E:E,RPT)/100</f>
        <v>5.7500000000000002E-2</v>
      </c>
    </row>
    <row r="35" spans="1:3" ht="14.4">
      <c r="A35" s="68" t="s">
        <v>1089</v>
      </c>
      <c r="B35" s="68" t="s">
        <v>1151</v>
      </c>
      <c r="C35" s="340">
        <f>10000*(C34-SUMIFS(Market!G:G,Market!F:F,"2W_VND",Market!E:E,Yesterday)/100)</f>
        <v>54.999999999999979</v>
      </c>
    </row>
    <row r="36" spans="1:3" ht="14.4">
      <c r="A36" s="68" t="s">
        <v>1089</v>
      </c>
      <c r="B36" s="68" t="s">
        <v>1153</v>
      </c>
      <c r="C36" s="340">
        <f>10000*(C34-SUMIFS(Market!G:G,Market!F:F,"2W_VND",Market!E:E,Lastweek)/100)</f>
        <v>-24.999999999999954</v>
      </c>
    </row>
    <row r="37" spans="1:3" ht="14.4">
      <c r="A37" s="68" t="s">
        <v>1089</v>
      </c>
      <c r="B37" s="68" t="s">
        <v>1155</v>
      </c>
      <c r="C37" s="340">
        <f>10000*(C34-SUMIFS(Market!G:G,Market!F:F,"2W_VND",Market!E:E,Lastmonth)/100)</f>
        <v>-85</v>
      </c>
    </row>
    <row r="38" spans="1:3" ht="14.4">
      <c r="A38" s="68" t="s">
        <v>1089</v>
      </c>
      <c r="B38" s="68" t="s">
        <v>1157</v>
      </c>
      <c r="C38" s="340">
        <f>10000*(C34-SUMIFS(Market!G:G,Market!F:F,"2W_VND",Market!E:E,Lastyear)/100)</f>
        <v>57.000000000000036</v>
      </c>
    </row>
    <row r="39" spans="1:3" ht="14.4">
      <c r="A39" s="68" t="s">
        <v>1089</v>
      </c>
      <c r="B39" s="68" t="s">
        <v>656</v>
      </c>
      <c r="C39" s="339">
        <f>SUMIFS(Market!G:G,Market!F:F,"1M_VND",Market!E:E,RPT)/100</f>
        <v>6.2E-2</v>
      </c>
    </row>
    <row r="40" spans="1:3" ht="14.4">
      <c r="A40" s="68" t="s">
        <v>1089</v>
      </c>
      <c r="B40" s="68" t="s">
        <v>1160</v>
      </c>
      <c r="C40" s="340">
        <f>10000*(C39-SUMIFS(Market!G:G,Market!F:F,"1M_VND",Market!E:E,Yesterday)/100)</f>
        <v>4.9999999999999352</v>
      </c>
    </row>
    <row r="41" spans="1:3" ht="14.4">
      <c r="A41" s="68" t="s">
        <v>1089</v>
      </c>
      <c r="B41" s="68" t="s">
        <v>1162</v>
      </c>
      <c r="C41" s="340">
        <f>10000*(C39-SUMIFS(Market!G:G,Market!F:F,"1M_VND",Market!E:E,Lastweek)/100)</f>
        <v>20.000000000000018</v>
      </c>
    </row>
    <row r="42" spans="1:3" ht="14.4">
      <c r="A42" s="68" t="s">
        <v>1089</v>
      </c>
      <c r="B42" s="68" t="s">
        <v>1164</v>
      </c>
      <c r="C42" s="340">
        <f>10000*(C39-SUMIFS(Market!G:G,Market!F:F,"1M_VND",Market!E:E,Lastmonth)/100)</f>
        <v>-35.000000000000028</v>
      </c>
    </row>
    <row r="43" spans="1:3" ht="14.4">
      <c r="A43" s="68" t="s">
        <v>1089</v>
      </c>
      <c r="B43" s="68" t="s">
        <v>1166</v>
      </c>
      <c r="C43" s="340">
        <f>10000*(C39-SUMIFS(Market!G:G,Market!F:F,"1M_VND",Market!E:E,Lastyear)/100)</f>
        <v>90.000000000000014</v>
      </c>
    </row>
    <row r="44" spans="1:3" ht="14.4">
      <c r="A44" s="68" t="s">
        <v>1089</v>
      </c>
      <c r="B44" s="68" t="s">
        <v>1168</v>
      </c>
      <c r="C44" s="341">
        <f>ROUND(SUMIFS(Market!N:N,Market!M:M,RPT),0)</f>
        <v>25976</v>
      </c>
    </row>
    <row r="45" spans="1:3" ht="14.4">
      <c r="A45" s="68" t="s">
        <v>1089</v>
      </c>
      <c r="B45" s="68" t="s">
        <v>1169</v>
      </c>
      <c r="C45" s="342">
        <f>C44-SUMIFS(Market!N:N,Market!M:M,Yesterday)</f>
        <v>-20.400000000001455</v>
      </c>
    </row>
    <row r="46" spans="1:3" ht="14.4">
      <c r="A46" s="68" t="s">
        <v>1089</v>
      </c>
      <c r="B46" s="68" t="s">
        <v>1171</v>
      </c>
      <c r="C46" s="342">
        <f>C44-SUMIFS(Market!N:N,Market!M:M,Lastweek)</f>
        <v>-41.200000000000728</v>
      </c>
    </row>
    <row r="47" spans="1:3" ht="14.4">
      <c r="A47" s="68" t="s">
        <v>1089</v>
      </c>
      <c r="B47" s="68" t="s">
        <v>1173</v>
      </c>
      <c r="C47" s="342">
        <f>C44-SUMIFS(Market!N:N,Market!M:M,Lastmonth)</f>
        <v>-97</v>
      </c>
    </row>
    <row r="48" spans="1:3" ht="14.4">
      <c r="A48" s="68" t="s">
        <v>1089</v>
      </c>
      <c r="B48" s="68" t="s">
        <v>1175</v>
      </c>
      <c r="C48" s="342">
        <f>C44-SUMIFS(Market!N:N,Market!M:M,Lastyear)</f>
        <v>487.33333333329938</v>
      </c>
    </row>
    <row r="49" spans="1:3" ht="14.4">
      <c r="A49" s="68" t="s">
        <v>1089</v>
      </c>
      <c r="B49" s="68" t="s">
        <v>1177</v>
      </c>
      <c r="C49" s="343">
        <f>ROUND(SUMIFS(Market!K:K,Market!J:J,"OMO_Outstanding",Market!I:I,RPT),0)</f>
        <v>186816</v>
      </c>
    </row>
    <row r="50" spans="1:3" ht="14.4">
      <c r="A50" s="68" t="s">
        <v>1089</v>
      </c>
      <c r="B50" s="68" t="s">
        <v>1178</v>
      </c>
      <c r="C50" s="341">
        <f>ROUND(C49-SUMIFS(Market!K:K,Market!J:J,"OMO_Outstanding",Market!I:I,Yesterday),0)</f>
        <v>-5301</v>
      </c>
    </row>
    <row r="51" spans="1:3" ht="14.4">
      <c r="A51" s="68" t="s">
        <v>1089</v>
      </c>
      <c r="B51" s="68" t="s">
        <v>1179</v>
      </c>
      <c r="C51" s="341">
        <f>ROUND(C49-SUMIFS(Market!K:K,Market!J:J,"OMO_Outstanding",Market!I:I,Yesterday),0)</f>
        <v>-5301</v>
      </c>
    </row>
    <row r="52" spans="1:3" ht="14.4">
      <c r="A52" s="68" t="s">
        <v>1089</v>
      </c>
      <c r="B52" s="68" t="s">
        <v>1180</v>
      </c>
      <c r="C52" s="341">
        <f>ROUND(C49-SUMIFS(Market!K:K,Market!J:J,"OMO_Outstanding",Market!I:I,Lastweek),0)</f>
        <v>34330</v>
      </c>
    </row>
    <row r="53" spans="1:3" ht="14.4">
      <c r="A53" s="68" t="s">
        <v>1089</v>
      </c>
      <c r="B53" s="68" t="s">
        <v>1181</v>
      </c>
      <c r="C53" s="341">
        <f>ROUND(C49-SUMIFS(Market!K:K,Market!J:J,"OMO_Outstanding",Market!I:I,Lastmonth),0)</f>
        <v>-50430</v>
      </c>
    </row>
    <row r="54" spans="1:3" ht="14.4">
      <c r="A54" s="68" t="s">
        <v>1089</v>
      </c>
      <c r="B54" s="68" t="s">
        <v>1182</v>
      </c>
      <c r="C54" s="341">
        <f>ROUND(C49-SUMIFS(Market!K:K,Market!J:J,"OMO_Outstanding",Market!I:I,Lastyear),0)</f>
        <v>109827</v>
      </c>
    </row>
    <row r="55" spans="1:3" ht="14.4">
      <c r="A55" s="68" t="s">
        <v>1089</v>
      </c>
      <c r="B55" s="68" t="s">
        <v>1183</v>
      </c>
      <c r="C55" s="341">
        <f>ROUND(-SUMIFS(Market!K:K,Market!J:J,"Mature_next_week_OMO",Market!I:I,RPT),0)</f>
        <v>78615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5D034-7AD8-4A83-89AB-EEB4366384AA}">
  <sheetPr codeName="Sheet25">
    <tabColor theme="8" tint="0.39997558519241921"/>
  </sheetPr>
  <dimension ref="A1:C51"/>
  <sheetViews>
    <sheetView showGridLines="0" workbookViewId="0">
      <pane ySplit="2" topLeftCell="A18" activePane="bottomLeft" state="frozen"/>
      <selection pane="bottomLeft" activeCell="C20" sqref="C20"/>
    </sheetView>
  </sheetViews>
  <sheetFormatPr defaultColWidth="8.69921875" defaultRowHeight="13.85"/>
  <cols>
    <col min="1" max="1" width="28.59765625" style="28" customWidth="1"/>
    <col min="2" max="2" width="37.09765625" style="28" customWidth="1"/>
    <col min="3" max="3" width="48" style="28" customWidth="1"/>
    <col min="4" max="16384" width="8.69921875" style="28"/>
  </cols>
  <sheetData>
    <row r="1" spans="1:3" ht="14.4">
      <c r="A1" s="73" t="s">
        <v>673</v>
      </c>
      <c r="B1" s="66"/>
      <c r="C1" s="66"/>
    </row>
    <row r="2" spans="1:3" ht="14.4">
      <c r="A2" s="67" t="s">
        <v>165</v>
      </c>
      <c r="B2" s="67" t="s">
        <v>124</v>
      </c>
      <c r="C2" s="67" t="s">
        <v>295</v>
      </c>
    </row>
    <row r="3" spans="1:3" ht="14.4">
      <c r="A3" s="68" t="s">
        <v>676</v>
      </c>
      <c r="B3" s="68" t="s">
        <v>677</v>
      </c>
      <c r="C3" s="69" t="s">
        <v>679</v>
      </c>
    </row>
    <row r="4" spans="1:3" ht="14.4">
      <c r="A4" s="68" t="s">
        <v>676</v>
      </c>
      <c r="B4" s="68" t="s">
        <v>680</v>
      </c>
      <c r="C4" s="69" t="s">
        <v>682</v>
      </c>
    </row>
    <row r="5" spans="1:3" ht="14.4">
      <c r="A5" s="68" t="s">
        <v>676</v>
      </c>
      <c r="B5" s="68" t="s">
        <v>683</v>
      </c>
      <c r="C5" s="69" t="s">
        <v>30</v>
      </c>
    </row>
    <row r="6" spans="1:3" ht="14.4">
      <c r="A6" s="68" t="s">
        <v>676</v>
      </c>
      <c r="B6" s="68" t="s">
        <v>685</v>
      </c>
      <c r="C6" s="69" t="s">
        <v>687</v>
      </c>
    </row>
    <row r="7" spans="1:3" ht="14.4">
      <c r="A7" s="68" t="s">
        <v>676</v>
      </c>
      <c r="B7" s="68" t="s">
        <v>688</v>
      </c>
      <c r="C7" s="69" t="s">
        <v>690</v>
      </c>
    </row>
    <row r="8" spans="1:3" ht="14.4">
      <c r="A8" s="68" t="s">
        <v>676</v>
      </c>
      <c r="B8" s="68" t="s">
        <v>691</v>
      </c>
      <c r="C8" s="69" t="s">
        <v>693</v>
      </c>
    </row>
    <row r="9" spans="1:3" ht="39.9">
      <c r="A9" s="68" t="s">
        <v>676</v>
      </c>
      <c r="B9" s="68" t="s">
        <v>694</v>
      </c>
      <c r="C9" s="69" t="s">
        <v>696</v>
      </c>
    </row>
    <row r="10" spans="1:3" ht="14.4">
      <c r="A10" s="68" t="s">
        <v>676</v>
      </c>
      <c r="B10" s="68" t="s">
        <v>697</v>
      </c>
      <c r="C10" s="69" t="s">
        <v>699</v>
      </c>
    </row>
    <row r="11" spans="1:3" ht="14.4">
      <c r="A11" s="68" t="s">
        <v>676</v>
      </c>
      <c r="B11" s="68" t="s">
        <v>700</v>
      </c>
      <c r="C11" s="69" t="s">
        <v>693</v>
      </c>
    </row>
    <row r="12" spans="1:3" ht="39.9">
      <c r="A12" s="68" t="s">
        <v>676</v>
      </c>
      <c r="B12" s="68" t="s">
        <v>702</v>
      </c>
      <c r="C12" s="71" t="str">
        <f>"Lỗ MtM còn lại khoảng "&amp;ROUND(Executive!D35,0)&amp;" tỷ; trong kịch bản bất lợi có thể lên khoảng "&amp;Executive!D43&amp;" nếu phần giao dịch chưa valid quay lại danh mục."</f>
        <v>Lỗ MtM còn lại khoảng 1634 tỷ; trong kịch bản bất lợi có thể lên khoảng 2016 nếu phần giao dịch chưa valid quay lại danh mục.</v>
      </c>
    </row>
    <row r="13" spans="1:3" ht="14.4">
      <c r="A13" s="68" t="s">
        <v>676</v>
      </c>
      <c r="B13" s="68" t="s">
        <v>704</v>
      </c>
      <c r="C13" s="69" t="s">
        <v>706</v>
      </c>
    </row>
    <row r="14" spans="1:3" ht="14.4">
      <c r="A14" s="68" t="s">
        <v>676</v>
      </c>
      <c r="B14" s="68" t="s">
        <v>707</v>
      </c>
      <c r="C14" s="69" t="s">
        <v>709</v>
      </c>
    </row>
    <row r="15" spans="1:3" ht="39.9">
      <c r="A15" s="68" t="s">
        <v>676</v>
      </c>
      <c r="B15" s="68" t="s">
        <v>710</v>
      </c>
      <c r="C15" s="69" t="s">
        <v>712</v>
      </c>
    </row>
    <row r="16" spans="1:3" ht="14.4">
      <c r="A16" s="68" t="s">
        <v>676</v>
      </c>
      <c r="B16" s="68" t="s">
        <v>713</v>
      </c>
      <c r="C16" s="69" t="s">
        <v>715</v>
      </c>
    </row>
    <row r="17" spans="1:3" ht="14.4">
      <c r="A17" s="68" t="s">
        <v>676</v>
      </c>
      <c r="B17" s="68" t="s">
        <v>716</v>
      </c>
      <c r="C17" s="69" t="s">
        <v>693</v>
      </c>
    </row>
    <row r="18" spans="1:3" ht="53.2">
      <c r="A18" s="68" t="s">
        <v>676</v>
      </c>
      <c r="B18" s="68" t="s">
        <v>718</v>
      </c>
      <c r="C18" s="69" t="s">
        <v>720</v>
      </c>
    </row>
    <row r="19" spans="1:3" ht="14.4">
      <c r="A19" s="68" t="s">
        <v>676</v>
      </c>
      <c r="B19" s="68" t="s">
        <v>721</v>
      </c>
      <c r="C19" s="69" t="s">
        <v>723</v>
      </c>
    </row>
    <row r="20" spans="1:3" ht="14.4">
      <c r="A20" s="68" t="s">
        <v>676</v>
      </c>
      <c r="B20" s="68" t="s">
        <v>724</v>
      </c>
      <c r="C20" s="69" t="s">
        <v>693</v>
      </c>
    </row>
    <row r="21" spans="1:3" ht="39.9">
      <c r="A21" s="68" t="s">
        <v>676</v>
      </c>
      <c r="B21" s="68" t="s">
        <v>726</v>
      </c>
      <c r="C21" s="69" t="s">
        <v>728</v>
      </c>
    </row>
    <row r="22" spans="1:3" ht="14.4">
      <c r="A22" s="68" t="s">
        <v>729</v>
      </c>
      <c r="B22" s="68" t="s">
        <v>730</v>
      </c>
      <c r="C22" s="69" t="s">
        <v>732</v>
      </c>
    </row>
    <row r="23" spans="1:3" ht="14.4">
      <c r="A23" s="68" t="s">
        <v>729</v>
      </c>
      <c r="B23" s="68" t="s">
        <v>733</v>
      </c>
      <c r="C23" s="69" t="s">
        <v>735</v>
      </c>
    </row>
    <row r="24" spans="1:3" ht="14.4">
      <c r="A24" s="68" t="s">
        <v>729</v>
      </c>
      <c r="B24" s="68" t="s">
        <v>736</v>
      </c>
      <c r="C24" s="69" t="s">
        <v>738</v>
      </c>
    </row>
    <row r="25" spans="1:3" ht="14.4">
      <c r="A25" s="68" t="s">
        <v>729</v>
      </c>
      <c r="B25" s="68" t="s">
        <v>739</v>
      </c>
      <c r="C25" s="69" t="s">
        <v>741</v>
      </c>
    </row>
    <row r="26" spans="1:3" ht="14.4">
      <c r="A26" s="68" t="s">
        <v>729</v>
      </c>
      <c r="B26" s="68" t="s">
        <v>742</v>
      </c>
      <c r="C26" s="69" t="s">
        <v>18</v>
      </c>
    </row>
    <row r="27" spans="1:3" ht="14.4">
      <c r="A27" s="68" t="s">
        <v>729</v>
      </c>
      <c r="B27" s="68" t="s">
        <v>744</v>
      </c>
      <c r="C27" s="69" t="s">
        <v>746</v>
      </c>
    </row>
    <row r="28" spans="1:3" ht="14.4">
      <c r="A28" s="68" t="s">
        <v>729</v>
      </c>
      <c r="B28" s="68" t="s">
        <v>153</v>
      </c>
      <c r="C28" s="72">
        <f>ROUND(SUMIFS(BOND!$P:$P,BOND!$M:$M,RPT),1)</f>
        <v>-10.6</v>
      </c>
    </row>
    <row r="29" spans="1:3" ht="14.4">
      <c r="A29" s="68" t="s">
        <v>729</v>
      </c>
      <c r="B29" s="68" t="s">
        <v>748</v>
      </c>
      <c r="C29" s="69" t="s">
        <v>750</v>
      </c>
    </row>
    <row r="30" spans="1:3" ht="14.4">
      <c r="A30" s="68" t="s">
        <v>729</v>
      </c>
      <c r="B30" s="68" t="s">
        <v>154</v>
      </c>
      <c r="C30" s="72">
        <f>ROUND(SUMIFS(BOND!U:U,BOND!R:R,RPT),1)</f>
        <v>-8.4</v>
      </c>
    </row>
    <row r="31" spans="1:3" ht="14.4">
      <c r="A31" s="68" t="s">
        <v>729</v>
      </c>
      <c r="B31" s="68" t="s">
        <v>752</v>
      </c>
      <c r="C31" s="63" t="s">
        <v>2307</v>
      </c>
    </row>
    <row r="32" spans="1:3" ht="14.4">
      <c r="A32" s="68" t="s">
        <v>729</v>
      </c>
      <c r="B32" s="68" t="s">
        <v>155</v>
      </c>
      <c r="C32" s="367">
        <v>2.5999999999999999E-3</v>
      </c>
    </row>
    <row r="33" spans="1:3" ht="14.4">
      <c r="A33" s="68" t="s">
        <v>729</v>
      </c>
      <c r="B33" s="68" t="s">
        <v>755</v>
      </c>
      <c r="C33" s="63" t="s">
        <v>805</v>
      </c>
    </row>
    <row r="34" spans="1:3" ht="14.4">
      <c r="A34" s="68" t="s">
        <v>729</v>
      </c>
      <c r="B34" s="68" t="s">
        <v>156</v>
      </c>
      <c r="C34" s="72">
        <f>ROUND(C28*C32*10^4,0)</f>
        <v>-276</v>
      </c>
    </row>
    <row r="35" spans="1:3" ht="14.4">
      <c r="A35" s="68" t="s">
        <v>729</v>
      </c>
      <c r="B35" s="68" t="s">
        <v>758</v>
      </c>
      <c r="C35" s="63" t="s">
        <v>129</v>
      </c>
    </row>
    <row r="36" spans="1:3" ht="14.4">
      <c r="A36" s="68" t="s">
        <v>729</v>
      </c>
      <c r="B36" s="68" t="s">
        <v>157</v>
      </c>
      <c r="C36" s="64" t="s">
        <v>2306</v>
      </c>
    </row>
    <row r="37" spans="1:3" ht="14.4">
      <c r="A37" s="68" t="s">
        <v>729</v>
      </c>
      <c r="B37" s="68" t="s">
        <v>761</v>
      </c>
      <c r="C37" s="384" t="str">
        <f xml:space="preserve"> ROUND(C30*C32*10^4,0) &amp;" tỷ."</f>
        <v>-218 tỷ.</v>
      </c>
    </row>
    <row r="38" spans="1:3" ht="14.4">
      <c r="A38" s="68" t="s">
        <v>729</v>
      </c>
      <c r="B38" s="68" t="s">
        <v>763</v>
      </c>
      <c r="C38" s="69" t="s">
        <v>765</v>
      </c>
    </row>
    <row r="39" spans="1:3" ht="14.4">
      <c r="A39" s="68" t="s">
        <v>729</v>
      </c>
      <c r="B39" s="68" t="s">
        <v>766</v>
      </c>
      <c r="C39" s="69" t="s">
        <v>768</v>
      </c>
    </row>
    <row r="40" spans="1:3" ht="14.4">
      <c r="A40" s="68" t="s">
        <v>729</v>
      </c>
      <c r="B40" s="68" t="s">
        <v>143</v>
      </c>
      <c r="C40" s="70" t="s">
        <v>769</v>
      </c>
    </row>
    <row r="41" spans="1:3" ht="26.6">
      <c r="A41" s="68" t="s">
        <v>729</v>
      </c>
      <c r="B41" s="68" t="s">
        <v>770</v>
      </c>
      <c r="C41" s="69" t="s">
        <v>772</v>
      </c>
    </row>
    <row r="42" spans="1:3" ht="14.4">
      <c r="A42" s="68" t="s">
        <v>729</v>
      </c>
      <c r="B42" s="68" t="s">
        <v>773</v>
      </c>
      <c r="C42" s="69" t="s">
        <v>775</v>
      </c>
    </row>
    <row r="43" spans="1:3" ht="14.4">
      <c r="A43" s="68" t="s">
        <v>729</v>
      </c>
      <c r="B43" s="68" t="s">
        <v>776</v>
      </c>
      <c r="C43" s="69" t="s">
        <v>778</v>
      </c>
    </row>
    <row r="44" spans="1:3" ht="26.6">
      <c r="A44" s="68" t="s">
        <v>729</v>
      </c>
      <c r="B44" s="68" t="s">
        <v>779</v>
      </c>
      <c r="C44" s="69" t="s">
        <v>781</v>
      </c>
    </row>
    <row r="45" spans="1:3" ht="14.4">
      <c r="A45" s="68" t="s">
        <v>729</v>
      </c>
      <c r="B45" s="68" t="s">
        <v>782</v>
      </c>
      <c r="C45" s="69" t="s">
        <v>784</v>
      </c>
    </row>
    <row r="46" spans="1:3" ht="14.4">
      <c r="A46" s="68" t="s">
        <v>729</v>
      </c>
      <c r="B46" s="68" t="s">
        <v>149</v>
      </c>
      <c r="C46" s="70" t="s">
        <v>150</v>
      </c>
    </row>
    <row r="47" spans="1:3" ht="14.4">
      <c r="A47" s="68" t="s">
        <v>729</v>
      </c>
      <c r="B47" s="68" t="s">
        <v>785</v>
      </c>
      <c r="C47" s="69" t="s">
        <v>787</v>
      </c>
    </row>
    <row r="48" spans="1:3" ht="26.6">
      <c r="A48" s="68" t="s">
        <v>729</v>
      </c>
      <c r="B48" s="68" t="s">
        <v>788</v>
      </c>
      <c r="C48" s="69" t="s">
        <v>790</v>
      </c>
    </row>
    <row r="49" spans="1:3" ht="14.4">
      <c r="A49" s="68" t="s">
        <v>729</v>
      </c>
      <c r="B49" s="68" t="s">
        <v>791</v>
      </c>
      <c r="C49" s="69" t="s">
        <v>793</v>
      </c>
    </row>
    <row r="50" spans="1:3" ht="14.4">
      <c r="A50" s="68" t="s">
        <v>729</v>
      </c>
      <c r="B50" s="68" t="s">
        <v>794</v>
      </c>
      <c r="C50" s="69" t="s">
        <v>796</v>
      </c>
    </row>
    <row r="51" spans="1:3" ht="26.6">
      <c r="A51" s="68" t="s">
        <v>729</v>
      </c>
      <c r="B51" s="68" t="s">
        <v>797</v>
      </c>
      <c r="C51" s="69" t="s">
        <v>799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CBBF-E496-4FCA-8BE7-ACEA5CA4888F}">
  <sheetPr codeName="Sheet15">
    <tabColor theme="7" tint="0.39997558519241921"/>
  </sheetPr>
  <dimension ref="A1:B423"/>
  <sheetViews>
    <sheetView workbookViewId="0">
      <selection activeCell="M30" sqref="M30"/>
    </sheetView>
  </sheetViews>
  <sheetFormatPr defaultRowHeight="14.4"/>
  <cols>
    <col min="1" max="1" width="10.69921875" bestFit="1" customWidth="1"/>
    <col min="2" max="2" width="10.59765625" bestFit="1" customWidth="1"/>
  </cols>
  <sheetData>
    <row r="1" spans="1:2">
      <c r="A1" s="1" t="s">
        <v>11</v>
      </c>
      <c r="B1" s="14" t="s">
        <v>1824</v>
      </c>
    </row>
    <row r="2" spans="1:2">
      <c r="A2" s="1">
        <v>46281</v>
      </c>
      <c r="B2" s="14">
        <v>1438000</v>
      </c>
    </row>
    <row r="3" spans="1:2">
      <c r="A3" s="1">
        <v>46280</v>
      </c>
      <c r="B3" s="14">
        <v>1439200</v>
      </c>
    </row>
    <row r="4" spans="1:2">
      <c r="A4" s="1">
        <v>46279</v>
      </c>
      <c r="B4" s="14">
        <v>1444000</v>
      </c>
    </row>
    <row r="5" spans="1:2">
      <c r="A5" s="1">
        <v>46276</v>
      </c>
      <c r="B5" s="14">
        <v>1445400</v>
      </c>
    </row>
    <row r="6" spans="1:2">
      <c r="A6" s="1">
        <v>46275</v>
      </c>
      <c r="B6" s="14">
        <v>1451000</v>
      </c>
    </row>
    <row r="7" spans="1:2">
      <c r="A7" s="1">
        <v>46274</v>
      </c>
      <c r="B7" s="14">
        <v>1443000</v>
      </c>
    </row>
    <row r="8" spans="1:2">
      <c r="A8" s="1">
        <v>46273</v>
      </c>
      <c r="B8" s="14">
        <v>1453000</v>
      </c>
    </row>
    <row r="9" spans="1:2">
      <c r="A9" s="1">
        <v>46272</v>
      </c>
      <c r="B9" s="14">
        <v>1458000</v>
      </c>
    </row>
    <row r="10" spans="1:2">
      <c r="A10" s="1">
        <v>46269</v>
      </c>
      <c r="B10" s="14">
        <v>1470000</v>
      </c>
    </row>
    <row r="11" spans="1:2">
      <c r="A11" s="1">
        <v>46268</v>
      </c>
      <c r="B11" s="14">
        <v>1465500</v>
      </c>
    </row>
    <row r="12" spans="1:2">
      <c r="A12" s="1">
        <v>46262</v>
      </c>
      <c r="B12" s="14">
        <v>1485000</v>
      </c>
    </row>
    <row r="13" spans="1:2">
      <c r="A13" s="1">
        <v>46261</v>
      </c>
      <c r="B13" s="14">
        <v>1486500</v>
      </c>
    </row>
    <row r="14" spans="1:2">
      <c r="A14" s="1">
        <v>46260</v>
      </c>
      <c r="B14" s="14">
        <v>1491000</v>
      </c>
    </row>
    <row r="15" spans="1:2">
      <c r="A15" s="1">
        <v>46259</v>
      </c>
      <c r="B15" s="14">
        <v>1489000</v>
      </c>
    </row>
    <row r="16" spans="1:2">
      <c r="A16" s="1">
        <v>46258</v>
      </c>
      <c r="B16" s="14">
        <v>1477000</v>
      </c>
    </row>
    <row r="17" spans="1:2">
      <c r="A17" s="1">
        <v>46255</v>
      </c>
      <c r="B17" s="14">
        <v>1449500</v>
      </c>
    </row>
    <row r="18" spans="1:2">
      <c r="A18" s="1">
        <v>46254</v>
      </c>
      <c r="B18" s="14">
        <v>1431000</v>
      </c>
    </row>
    <row r="19" spans="1:2">
      <c r="A19" s="1">
        <v>46253</v>
      </c>
      <c r="B19" s="14">
        <v>1420000</v>
      </c>
    </row>
    <row r="20" spans="1:2">
      <c r="A20" s="1">
        <v>46252</v>
      </c>
      <c r="B20" s="14">
        <v>1429333.33333333</v>
      </c>
    </row>
    <row r="21" spans="1:2">
      <c r="A21" s="1">
        <v>46251</v>
      </c>
      <c r="B21" s="14">
        <v>1430333.33333333</v>
      </c>
    </row>
    <row r="22" spans="1:2">
      <c r="A22" s="1">
        <v>46248</v>
      </c>
      <c r="B22" s="14">
        <v>1420500</v>
      </c>
    </row>
    <row r="23" spans="1:2">
      <c r="A23" s="1">
        <v>46247</v>
      </c>
      <c r="B23" s="14">
        <v>1429000</v>
      </c>
    </row>
    <row r="24" spans="1:2">
      <c r="A24" s="1">
        <v>46246</v>
      </c>
      <c r="B24" s="14">
        <v>1423500</v>
      </c>
    </row>
    <row r="25" spans="1:2">
      <c r="A25" s="1">
        <v>46245</v>
      </c>
      <c r="B25" s="14">
        <v>1429666.66666667</v>
      </c>
    </row>
    <row r="26" spans="1:2">
      <c r="A26" s="1">
        <v>46244</v>
      </c>
      <c r="B26" s="14">
        <v>1421666.66666667</v>
      </c>
    </row>
    <row r="27" spans="1:2">
      <c r="A27" s="1">
        <v>46241</v>
      </c>
      <c r="B27" s="14">
        <v>1408250</v>
      </c>
    </row>
    <row r="28" spans="1:2">
      <c r="A28" s="1">
        <v>46240</v>
      </c>
      <c r="B28" s="14">
        <v>1407500</v>
      </c>
    </row>
    <row r="29" spans="1:2">
      <c r="A29" s="1">
        <v>46239</v>
      </c>
      <c r="B29" s="14">
        <v>1394500</v>
      </c>
    </row>
    <row r="30" spans="1:2">
      <c r="A30" s="1">
        <v>46238</v>
      </c>
      <c r="B30" s="14">
        <v>1392500</v>
      </c>
    </row>
    <row r="31" spans="1:2">
      <c r="A31" s="1">
        <v>46237</v>
      </c>
      <c r="B31" s="14">
        <v>1390000</v>
      </c>
    </row>
    <row r="32" spans="1:2">
      <c r="A32" s="1">
        <v>46234</v>
      </c>
      <c r="B32" s="14">
        <v>1402000</v>
      </c>
    </row>
    <row r="33" spans="1:2">
      <c r="A33" s="1">
        <v>46233</v>
      </c>
      <c r="B33" s="14">
        <v>1395000</v>
      </c>
    </row>
    <row r="34" spans="1:2">
      <c r="A34" s="1">
        <v>46232</v>
      </c>
      <c r="B34" s="14">
        <v>1390000</v>
      </c>
    </row>
    <row r="35" spans="1:2">
      <c r="A35" s="1">
        <v>46231</v>
      </c>
      <c r="B35" s="14">
        <v>1395000</v>
      </c>
    </row>
    <row r="36" spans="1:2">
      <c r="A36" s="1">
        <v>46230</v>
      </c>
      <c r="B36" s="14">
        <v>1406250</v>
      </c>
    </row>
    <row r="37" spans="1:2">
      <c r="A37" s="1">
        <v>46227</v>
      </c>
      <c r="B37" s="14">
        <v>1375000</v>
      </c>
    </row>
    <row r="38" spans="1:2">
      <c r="A38" s="1">
        <v>46226</v>
      </c>
      <c r="B38" s="14">
        <v>1417500</v>
      </c>
    </row>
    <row r="39" spans="1:2">
      <c r="A39" s="1">
        <v>46225</v>
      </c>
      <c r="B39" s="14">
        <v>1449750</v>
      </c>
    </row>
    <row r="40" spans="1:2">
      <c r="A40" s="1">
        <v>46224</v>
      </c>
      <c r="B40" s="14">
        <v>1446333.33333333</v>
      </c>
    </row>
    <row r="41" spans="1:2">
      <c r="A41" s="1">
        <v>46223</v>
      </c>
      <c r="B41" s="14">
        <v>1459000</v>
      </c>
    </row>
    <row r="42" spans="1:2">
      <c r="A42" s="1">
        <v>46220</v>
      </c>
      <c r="B42" s="14">
        <v>1455571.42857143</v>
      </c>
    </row>
    <row r="43" spans="1:2">
      <c r="A43" s="1">
        <v>46219</v>
      </c>
      <c r="B43" s="14">
        <v>1467000</v>
      </c>
    </row>
    <row r="44" spans="1:2">
      <c r="A44" s="1">
        <v>46218</v>
      </c>
      <c r="B44" s="14">
        <v>1465000</v>
      </c>
    </row>
    <row r="45" spans="1:2">
      <c r="A45" s="1">
        <v>46217</v>
      </c>
      <c r="B45" s="14">
        <v>1464500</v>
      </c>
    </row>
    <row r="46" spans="1:2">
      <c r="A46" s="1">
        <v>46216</v>
      </c>
      <c r="B46" s="14">
        <v>1477333.33333333</v>
      </c>
    </row>
    <row r="47" spans="1:2">
      <c r="A47" s="1">
        <v>46213</v>
      </c>
      <c r="B47" s="14">
        <v>1475000</v>
      </c>
    </row>
    <row r="48" spans="1:2">
      <c r="A48" s="1">
        <v>46212</v>
      </c>
      <c r="B48" s="14">
        <v>1470000</v>
      </c>
    </row>
    <row r="49" spans="1:2">
      <c r="A49" s="1">
        <v>46211</v>
      </c>
      <c r="B49" s="14">
        <v>1482500</v>
      </c>
    </row>
    <row r="50" spans="1:2">
      <c r="A50" s="1">
        <v>46210</v>
      </c>
      <c r="B50" s="14">
        <v>1495000</v>
      </c>
    </row>
    <row r="51" spans="1:2">
      <c r="A51" s="1">
        <v>46209</v>
      </c>
      <c r="B51" s="14">
        <v>1499000</v>
      </c>
    </row>
    <row r="52" spans="1:2">
      <c r="A52" s="1">
        <v>46206</v>
      </c>
      <c r="B52" s="14">
        <v>1484000</v>
      </c>
    </row>
    <row r="53" spans="1:2">
      <c r="A53" s="1">
        <v>46205</v>
      </c>
      <c r="B53" s="14">
        <v>1449000</v>
      </c>
    </row>
    <row r="54" spans="1:2">
      <c r="A54" s="1">
        <v>46204</v>
      </c>
      <c r="B54" s="14">
        <v>1455000</v>
      </c>
    </row>
    <row r="55" spans="1:2">
      <c r="A55" s="1">
        <v>46203</v>
      </c>
      <c r="B55" s="14">
        <v>1465000</v>
      </c>
    </row>
    <row r="56" spans="1:2">
      <c r="A56" s="1">
        <v>46202</v>
      </c>
      <c r="B56" s="14">
        <v>1470000</v>
      </c>
    </row>
    <row r="57" spans="1:2">
      <c r="A57" s="1">
        <v>46199</v>
      </c>
      <c r="B57" s="14">
        <v>1447000</v>
      </c>
    </row>
    <row r="58" spans="1:2">
      <c r="A58" s="1">
        <v>46198</v>
      </c>
      <c r="B58" s="14">
        <v>1455000</v>
      </c>
    </row>
    <row r="59" spans="1:2">
      <c r="A59" s="1">
        <v>46197</v>
      </c>
      <c r="B59" s="14">
        <v>1455000</v>
      </c>
    </row>
    <row r="60" spans="1:2">
      <c r="A60" s="1">
        <v>46196</v>
      </c>
      <c r="B60" s="14">
        <v>1468000</v>
      </c>
    </row>
    <row r="61" spans="1:2">
      <c r="A61" s="1">
        <v>46195</v>
      </c>
      <c r="B61" s="14">
        <v>1464500</v>
      </c>
    </row>
    <row r="62" spans="1:2">
      <c r="A62" s="1">
        <v>46192</v>
      </c>
      <c r="B62" s="14">
        <v>1500500</v>
      </c>
    </row>
    <row r="63" spans="1:2">
      <c r="A63" s="1">
        <v>46191</v>
      </c>
      <c r="B63" s="14">
        <v>1500500</v>
      </c>
    </row>
    <row r="64" spans="1:2">
      <c r="A64" s="1">
        <v>46190</v>
      </c>
      <c r="B64" s="14">
        <v>1505000</v>
      </c>
    </row>
    <row r="65" spans="1:2">
      <c r="A65" s="1">
        <v>46189</v>
      </c>
      <c r="B65" s="14">
        <v>1496666.66666667</v>
      </c>
    </row>
    <row r="66" spans="1:2">
      <c r="A66" s="1">
        <v>46188</v>
      </c>
      <c r="B66" s="14">
        <v>1473750</v>
      </c>
    </row>
    <row r="67" spans="1:2">
      <c r="A67" s="1">
        <v>46185</v>
      </c>
      <c r="B67" s="14">
        <v>1387000</v>
      </c>
    </row>
    <row r="68" spans="1:2">
      <c r="A68" s="1">
        <v>46184</v>
      </c>
      <c r="B68" s="14">
        <v>1352250</v>
      </c>
    </row>
    <row r="69" spans="1:2">
      <c r="A69" s="1">
        <v>46183</v>
      </c>
      <c r="B69" s="14">
        <v>1392000</v>
      </c>
    </row>
    <row r="70" spans="1:2">
      <c r="A70" s="1">
        <v>46182</v>
      </c>
      <c r="B70" s="14">
        <v>1413000</v>
      </c>
    </row>
    <row r="71" spans="1:2">
      <c r="A71" s="1">
        <v>46181</v>
      </c>
      <c r="B71" s="14">
        <v>1479000</v>
      </c>
    </row>
    <row r="72" spans="1:2">
      <c r="A72" s="1">
        <v>46178</v>
      </c>
      <c r="B72" s="14">
        <v>1545000</v>
      </c>
    </row>
    <row r="73" spans="1:2">
      <c r="A73" s="1">
        <v>46177</v>
      </c>
      <c r="B73" s="14">
        <v>1551250</v>
      </c>
    </row>
    <row r="74" spans="1:2">
      <c r="A74" s="1">
        <v>46176</v>
      </c>
      <c r="B74" s="14">
        <v>1560000</v>
      </c>
    </row>
    <row r="75" spans="1:2">
      <c r="A75" s="1">
        <v>46175</v>
      </c>
      <c r="B75" s="14">
        <v>1566666.66666667</v>
      </c>
    </row>
    <row r="76" spans="1:2">
      <c r="A76" s="1">
        <v>46174</v>
      </c>
      <c r="B76" s="14">
        <v>1575000</v>
      </c>
    </row>
    <row r="77" spans="1:2">
      <c r="A77" s="1">
        <v>46171</v>
      </c>
      <c r="B77" s="14">
        <v>1580000</v>
      </c>
    </row>
    <row r="78" spans="1:2">
      <c r="A78" s="1">
        <v>46170</v>
      </c>
      <c r="B78" s="14">
        <v>1580666.66666667</v>
      </c>
    </row>
    <row r="79" spans="1:2">
      <c r="A79" s="1">
        <v>46169</v>
      </c>
      <c r="B79" s="14">
        <v>1600000</v>
      </c>
    </row>
    <row r="80" spans="1:2">
      <c r="A80" s="1">
        <v>46168</v>
      </c>
      <c r="B80" s="14">
        <v>1605000</v>
      </c>
    </row>
    <row r="81" spans="1:2">
      <c r="A81" s="1">
        <v>46167</v>
      </c>
      <c r="B81" s="14">
        <v>1608333.33333333</v>
      </c>
    </row>
    <row r="82" spans="1:2">
      <c r="A82" s="1">
        <v>46164</v>
      </c>
      <c r="B82" s="14">
        <v>1609000</v>
      </c>
    </row>
    <row r="83" spans="1:2">
      <c r="A83" s="1">
        <v>46163</v>
      </c>
      <c r="B83" s="14">
        <v>1612500</v>
      </c>
    </row>
    <row r="84" spans="1:2">
      <c r="A84" s="1">
        <v>46162</v>
      </c>
      <c r="B84" s="14">
        <v>1616250</v>
      </c>
    </row>
    <row r="85" spans="1:2">
      <c r="A85" s="1">
        <v>46161</v>
      </c>
      <c r="B85" s="14">
        <v>1624500</v>
      </c>
    </row>
    <row r="86" spans="1:2">
      <c r="A86" s="1">
        <v>46160</v>
      </c>
      <c r="B86" s="14">
        <v>1620000</v>
      </c>
    </row>
    <row r="87" spans="1:2">
      <c r="A87" s="1">
        <v>46157</v>
      </c>
      <c r="B87" s="14">
        <v>1635000</v>
      </c>
    </row>
    <row r="88" spans="1:2">
      <c r="A88" s="1">
        <v>46156</v>
      </c>
      <c r="B88" s="14">
        <v>1635000</v>
      </c>
    </row>
    <row r="89" spans="1:2">
      <c r="A89" s="1">
        <v>46155</v>
      </c>
      <c r="B89" s="14">
        <v>1640000</v>
      </c>
    </row>
    <row r="90" spans="1:2">
      <c r="A90" s="1">
        <v>46154</v>
      </c>
      <c r="B90" s="14">
        <v>1646000</v>
      </c>
    </row>
    <row r="91" spans="1:2">
      <c r="A91" s="1">
        <v>46153</v>
      </c>
      <c r="B91" s="14">
        <v>1648666.66666667</v>
      </c>
    </row>
    <row r="92" spans="1:2">
      <c r="A92" s="1">
        <v>46150</v>
      </c>
      <c r="B92" s="14">
        <v>1660000</v>
      </c>
    </row>
    <row r="93" spans="1:2">
      <c r="A93" s="1">
        <v>46149</v>
      </c>
      <c r="B93" s="14">
        <v>1645000</v>
      </c>
    </row>
    <row r="94" spans="1:2">
      <c r="A94" s="1">
        <v>46148</v>
      </c>
      <c r="B94" s="14">
        <v>1638250</v>
      </c>
    </row>
    <row r="95" spans="1:2">
      <c r="A95" s="1">
        <v>46147</v>
      </c>
      <c r="B95" s="14">
        <v>1639333.33333333</v>
      </c>
    </row>
    <row r="96" spans="1:2">
      <c r="A96" s="1">
        <v>46146</v>
      </c>
      <c r="B96" s="14">
        <v>1645000</v>
      </c>
    </row>
    <row r="97" spans="1:2">
      <c r="A97" s="1">
        <v>46141</v>
      </c>
      <c r="B97" s="14">
        <v>1675500</v>
      </c>
    </row>
    <row r="98" spans="1:2">
      <c r="A98" s="1">
        <v>46140</v>
      </c>
      <c r="B98" s="14">
        <v>1675500</v>
      </c>
    </row>
    <row r="99" spans="1:2">
      <c r="A99" s="1">
        <v>46136</v>
      </c>
      <c r="B99" s="14">
        <v>1679500</v>
      </c>
    </row>
    <row r="100" spans="1:2">
      <c r="A100" s="1">
        <v>46135</v>
      </c>
      <c r="B100" s="14">
        <v>1683500</v>
      </c>
    </row>
    <row r="101" spans="1:2">
      <c r="A101" s="1">
        <v>46134</v>
      </c>
      <c r="B101" s="14">
        <v>1689000</v>
      </c>
    </row>
    <row r="102" spans="1:2">
      <c r="A102" s="1">
        <v>46133</v>
      </c>
      <c r="B102" s="14">
        <v>1698000</v>
      </c>
    </row>
    <row r="103" spans="1:2">
      <c r="A103" s="1">
        <v>46132</v>
      </c>
      <c r="B103" s="14">
        <v>1699500</v>
      </c>
    </row>
    <row r="104" spans="1:2">
      <c r="A104" s="1">
        <v>46129</v>
      </c>
      <c r="B104" s="14">
        <v>1699857.1428571399</v>
      </c>
    </row>
    <row r="105" spans="1:2">
      <c r="A105" s="1">
        <v>46128</v>
      </c>
      <c r="B105" s="14">
        <v>1708333.33333333</v>
      </c>
    </row>
    <row r="106" spans="1:2">
      <c r="A106" s="1">
        <v>46127</v>
      </c>
      <c r="B106" s="14">
        <v>1730000</v>
      </c>
    </row>
    <row r="107" spans="1:2">
      <c r="A107" s="1">
        <v>46126</v>
      </c>
      <c r="B107" s="14">
        <v>1711666.66666667</v>
      </c>
    </row>
    <row r="108" spans="1:2">
      <c r="A108" s="1">
        <v>46125</v>
      </c>
      <c r="B108" s="14">
        <v>1703000</v>
      </c>
    </row>
    <row r="109" spans="1:2">
      <c r="A109" s="1">
        <v>46122</v>
      </c>
      <c r="B109" s="14">
        <v>1721000</v>
      </c>
    </row>
    <row r="110" spans="1:2">
      <c r="A110" s="1">
        <v>46121</v>
      </c>
      <c r="B110" s="14">
        <v>1730000</v>
      </c>
    </row>
    <row r="111" spans="1:2">
      <c r="A111" s="1">
        <v>46120</v>
      </c>
      <c r="B111" s="14">
        <v>1733750</v>
      </c>
    </row>
    <row r="112" spans="1:2">
      <c r="A112" s="1">
        <v>46119</v>
      </c>
      <c r="B112" s="14">
        <v>1714500</v>
      </c>
    </row>
    <row r="113" spans="1:2">
      <c r="A113" s="1">
        <v>46118</v>
      </c>
      <c r="B113" s="14">
        <v>1721750</v>
      </c>
    </row>
    <row r="114" spans="1:2">
      <c r="A114" s="1">
        <v>46115</v>
      </c>
      <c r="B114" s="14">
        <v>1717500</v>
      </c>
    </row>
    <row r="115" spans="1:2">
      <c r="A115" s="1">
        <v>46114</v>
      </c>
      <c r="B115" s="14">
        <v>1752000</v>
      </c>
    </row>
    <row r="116" spans="1:2">
      <c r="A116" s="1">
        <v>46113</v>
      </c>
      <c r="B116" s="14">
        <v>1750333.33333333</v>
      </c>
    </row>
    <row r="117" spans="1:2">
      <c r="A117" s="1">
        <v>46112</v>
      </c>
      <c r="B117" s="14">
        <v>1730333.33333333</v>
      </c>
    </row>
    <row r="118" spans="1:2">
      <c r="A118" s="1">
        <v>46111</v>
      </c>
      <c r="B118" s="14">
        <v>1706000</v>
      </c>
    </row>
    <row r="119" spans="1:2">
      <c r="A119" s="1">
        <v>46108</v>
      </c>
      <c r="B119" s="14">
        <v>1695500</v>
      </c>
    </row>
    <row r="120" spans="1:2">
      <c r="A120" s="1">
        <v>46107</v>
      </c>
      <c r="B120" s="14">
        <v>1720000</v>
      </c>
    </row>
    <row r="121" spans="1:2">
      <c r="A121" s="1">
        <v>46106</v>
      </c>
      <c r="B121" s="14">
        <v>1687000</v>
      </c>
    </row>
    <row r="122" spans="1:2">
      <c r="A122" s="1">
        <v>46105</v>
      </c>
      <c r="B122" s="14">
        <v>1657666.66666667</v>
      </c>
    </row>
    <row r="123" spans="1:2">
      <c r="A123" s="1">
        <v>46104</v>
      </c>
      <c r="B123" s="14">
        <v>1695000</v>
      </c>
    </row>
    <row r="124" spans="1:2">
      <c r="A124" s="1">
        <v>46101</v>
      </c>
      <c r="B124" s="14">
        <v>1743000</v>
      </c>
    </row>
    <row r="125" spans="1:2">
      <c r="A125" s="1">
        <v>46100</v>
      </c>
      <c r="B125" s="14">
        <v>1815000</v>
      </c>
    </row>
    <row r="126" spans="1:2">
      <c r="A126" s="1">
        <v>46099</v>
      </c>
      <c r="B126" s="14">
        <v>1815000</v>
      </c>
    </row>
    <row r="127" spans="1:2">
      <c r="A127" s="1">
        <v>46098</v>
      </c>
      <c r="B127" s="14">
        <v>1814333.33333333</v>
      </c>
    </row>
    <row r="128" spans="1:2">
      <c r="A128" s="1">
        <v>46097</v>
      </c>
      <c r="B128" s="14">
        <v>1811000</v>
      </c>
    </row>
    <row r="129" spans="1:2">
      <c r="A129" s="1">
        <v>46094</v>
      </c>
      <c r="B129" s="14">
        <v>1838000</v>
      </c>
    </row>
    <row r="130" spans="1:2">
      <c r="A130" s="1">
        <v>46093</v>
      </c>
      <c r="B130" s="14">
        <v>1852500</v>
      </c>
    </row>
    <row r="131" spans="1:2">
      <c r="A131" s="1">
        <v>46092</v>
      </c>
      <c r="B131" s="14">
        <v>1851500</v>
      </c>
    </row>
    <row r="132" spans="1:2">
      <c r="A132" s="1">
        <v>46091</v>
      </c>
      <c r="B132" s="14">
        <v>1836000</v>
      </c>
    </row>
    <row r="133" spans="1:2">
      <c r="A133" s="1">
        <v>46090</v>
      </c>
      <c r="B133" s="14">
        <v>1825500</v>
      </c>
    </row>
    <row r="134" spans="1:2">
      <c r="A134" s="1">
        <v>46087</v>
      </c>
      <c r="B134" s="14">
        <v>1825000</v>
      </c>
    </row>
    <row r="135" spans="1:2">
      <c r="A135" s="1">
        <v>46086</v>
      </c>
      <c r="B135" s="14">
        <v>1825000</v>
      </c>
    </row>
    <row r="136" spans="1:2">
      <c r="A136" s="1">
        <v>46085</v>
      </c>
      <c r="B136" s="14">
        <v>1825000</v>
      </c>
    </row>
    <row r="137" spans="1:2">
      <c r="A137" s="1">
        <v>46084</v>
      </c>
      <c r="B137" s="14">
        <v>1825000</v>
      </c>
    </row>
    <row r="138" spans="1:2">
      <c r="A138" s="1">
        <v>46083</v>
      </c>
      <c r="B138" s="14">
        <v>1825000</v>
      </c>
    </row>
    <row r="139" spans="1:2">
      <c r="A139" s="1">
        <v>46080</v>
      </c>
      <c r="B139" s="14">
        <v>1825000</v>
      </c>
    </row>
    <row r="140" spans="1:2">
      <c r="A140" s="1">
        <v>46079</v>
      </c>
      <c r="B140" s="14">
        <v>1836500</v>
      </c>
    </row>
    <row r="141" spans="1:2">
      <c r="A141" s="1">
        <v>46078</v>
      </c>
      <c r="B141" s="14">
        <v>1834500</v>
      </c>
    </row>
    <row r="142" spans="1:2">
      <c r="A142" s="1">
        <v>46077</v>
      </c>
      <c r="B142" s="14">
        <v>1831000</v>
      </c>
    </row>
    <row r="143" spans="1:2">
      <c r="A143" s="1">
        <v>46076</v>
      </c>
      <c r="B143" s="14">
        <v>1822000</v>
      </c>
    </row>
    <row r="144" spans="1:2">
      <c r="A144" s="1">
        <v>46066</v>
      </c>
      <c r="B144" s="14">
        <v>1795000</v>
      </c>
    </row>
    <row r="145" spans="1:2">
      <c r="A145" s="1">
        <v>46065</v>
      </c>
      <c r="B145" s="14">
        <v>1795000</v>
      </c>
    </row>
    <row r="146" spans="1:2">
      <c r="A146" s="1">
        <v>46064</v>
      </c>
      <c r="B146" s="14">
        <v>1795000</v>
      </c>
    </row>
    <row r="147" spans="1:2">
      <c r="A147" s="1">
        <v>46063</v>
      </c>
      <c r="B147" s="14">
        <v>1789000</v>
      </c>
    </row>
    <row r="148" spans="1:2">
      <c r="A148" s="1">
        <v>46062</v>
      </c>
      <c r="B148" s="14">
        <v>1790666.66666667</v>
      </c>
    </row>
    <row r="149" spans="1:2">
      <c r="A149" s="1">
        <v>46059</v>
      </c>
      <c r="B149" s="14">
        <v>1748666.66666667</v>
      </c>
    </row>
    <row r="150" spans="1:2">
      <c r="A150" s="1">
        <v>46058</v>
      </c>
      <c r="B150" s="14">
        <v>1775800</v>
      </c>
    </row>
    <row r="151" spans="1:2">
      <c r="A151" s="1">
        <v>46057</v>
      </c>
      <c r="B151" s="14">
        <v>1774666.66666667</v>
      </c>
    </row>
    <row r="152" spans="1:2">
      <c r="A152" s="1">
        <v>46056</v>
      </c>
      <c r="B152" s="14">
        <v>1697500</v>
      </c>
    </row>
    <row r="153" spans="1:2">
      <c r="A153" s="1">
        <v>46055</v>
      </c>
      <c r="B153" s="14">
        <v>1679400</v>
      </c>
    </row>
    <row r="154" spans="1:2">
      <c r="A154" s="1">
        <v>46052</v>
      </c>
      <c r="B154" s="14">
        <v>1837333.33333333</v>
      </c>
    </row>
    <row r="155" spans="1:2">
      <c r="A155" s="1">
        <v>46051</v>
      </c>
      <c r="B155" s="14">
        <v>1856900</v>
      </c>
    </row>
    <row r="156" spans="1:2">
      <c r="A156" s="1">
        <v>46050</v>
      </c>
      <c r="B156" s="14">
        <v>1782250</v>
      </c>
    </row>
    <row r="157" spans="1:2">
      <c r="A157" s="1">
        <v>46049</v>
      </c>
      <c r="B157" s="14">
        <v>1760000</v>
      </c>
    </row>
    <row r="158" spans="1:2">
      <c r="A158" s="1">
        <v>46048</v>
      </c>
      <c r="B158" s="14">
        <v>1753250</v>
      </c>
    </row>
    <row r="159" spans="1:2">
      <c r="A159" s="1">
        <v>46045</v>
      </c>
      <c r="B159" s="14">
        <v>1683000</v>
      </c>
    </row>
    <row r="160" spans="1:2">
      <c r="A160" s="1">
        <v>46044</v>
      </c>
      <c r="B160" s="14">
        <v>1695000</v>
      </c>
    </row>
    <row r="161" spans="1:2">
      <c r="A161" s="1">
        <v>46043</v>
      </c>
      <c r="B161" s="14">
        <v>1666500</v>
      </c>
    </row>
    <row r="162" spans="1:2">
      <c r="A162" s="1">
        <v>46042</v>
      </c>
      <c r="B162" s="14">
        <v>1645500</v>
      </c>
    </row>
    <row r="163" spans="1:2">
      <c r="A163" s="1">
        <v>46041</v>
      </c>
      <c r="B163" s="14">
        <v>1618000</v>
      </c>
    </row>
    <row r="164" spans="1:2">
      <c r="A164" s="1">
        <v>46038</v>
      </c>
      <c r="B164" s="14">
        <v>1618000</v>
      </c>
    </row>
    <row r="165" spans="1:2">
      <c r="A165" s="1">
        <v>46037</v>
      </c>
      <c r="B165" s="14">
        <v>1625000</v>
      </c>
    </row>
    <row r="166" spans="1:2">
      <c r="A166" s="1">
        <v>46036</v>
      </c>
      <c r="B166" s="14">
        <v>1616000</v>
      </c>
    </row>
    <row r="167" spans="1:2">
      <c r="A167" s="1">
        <v>46035</v>
      </c>
      <c r="B167" s="14">
        <v>1610000</v>
      </c>
    </row>
    <row r="168" spans="1:2">
      <c r="A168" s="1">
        <v>46034</v>
      </c>
      <c r="B168" s="14">
        <v>1599000</v>
      </c>
    </row>
    <row r="169" spans="1:2">
      <c r="A169" s="1">
        <v>46031</v>
      </c>
      <c r="B169" s="14">
        <v>1566500</v>
      </c>
    </row>
    <row r="170" spans="1:2">
      <c r="A170" s="1">
        <v>46030</v>
      </c>
      <c r="B170" s="14">
        <v>1566500</v>
      </c>
    </row>
    <row r="171" spans="1:2">
      <c r="A171" s="1">
        <v>46029</v>
      </c>
      <c r="B171" s="14">
        <v>1570000</v>
      </c>
    </row>
    <row r="172" spans="1:2">
      <c r="A172" s="1">
        <v>46028</v>
      </c>
      <c r="B172" s="14">
        <v>1566250</v>
      </c>
    </row>
    <row r="173" spans="1:2">
      <c r="A173" s="1">
        <v>46027</v>
      </c>
      <c r="B173" s="14">
        <v>1542666.66666667</v>
      </c>
    </row>
    <row r="174" spans="1:2">
      <c r="A174" s="1">
        <v>46022</v>
      </c>
      <c r="B174" s="14">
        <v>1534500</v>
      </c>
    </row>
    <row r="175" spans="1:2">
      <c r="A175" s="1">
        <v>46021</v>
      </c>
      <c r="B175" s="14">
        <v>1539166.66666667</v>
      </c>
    </row>
    <row r="176" spans="1:2">
      <c r="A176" s="1">
        <v>46020</v>
      </c>
      <c r="B176" s="14">
        <v>1587000</v>
      </c>
    </row>
    <row r="177" spans="1:2">
      <c r="A177" s="1">
        <v>46017</v>
      </c>
      <c r="B177" s="14">
        <v>1578000</v>
      </c>
    </row>
    <row r="178" spans="1:2">
      <c r="A178" s="1">
        <v>46016</v>
      </c>
      <c r="B178" s="14">
        <v>1580000</v>
      </c>
    </row>
    <row r="179" spans="1:2">
      <c r="A179" s="1">
        <v>46015</v>
      </c>
      <c r="B179" s="14">
        <v>1580000</v>
      </c>
    </row>
    <row r="180" spans="1:2">
      <c r="A180" s="1">
        <v>46014</v>
      </c>
      <c r="B180" s="14">
        <v>1572500</v>
      </c>
    </row>
    <row r="181" spans="1:2">
      <c r="A181" s="1">
        <v>46013</v>
      </c>
      <c r="B181" s="14">
        <v>1556000</v>
      </c>
    </row>
    <row r="182" spans="1:2">
      <c r="A182" s="1">
        <v>46010</v>
      </c>
      <c r="B182" s="14">
        <v>1554000</v>
      </c>
    </row>
    <row r="183" spans="1:2">
      <c r="A183" s="1">
        <v>46009</v>
      </c>
      <c r="B183" s="14">
        <v>1552000</v>
      </c>
    </row>
    <row r="184" spans="1:2">
      <c r="A184" s="1">
        <v>46008</v>
      </c>
      <c r="B184" s="14">
        <v>1546000</v>
      </c>
    </row>
    <row r="185" spans="1:2">
      <c r="A185" s="1">
        <v>46007</v>
      </c>
      <c r="B185" s="14">
        <v>1557000</v>
      </c>
    </row>
    <row r="186" spans="1:2">
      <c r="A186" s="1">
        <v>46006</v>
      </c>
      <c r="B186" s="14">
        <v>1556333.33333333</v>
      </c>
    </row>
    <row r="187" spans="1:2">
      <c r="A187" s="1">
        <v>46003</v>
      </c>
      <c r="B187" s="14">
        <v>1535000</v>
      </c>
    </row>
    <row r="188" spans="1:2">
      <c r="A188" s="1">
        <v>46002</v>
      </c>
      <c r="B188" s="14">
        <v>1537000</v>
      </c>
    </row>
    <row r="189" spans="1:2">
      <c r="A189" s="1">
        <v>46001</v>
      </c>
      <c r="B189" s="14">
        <v>1535000</v>
      </c>
    </row>
    <row r="190" spans="1:2">
      <c r="A190" s="1">
        <v>46000</v>
      </c>
      <c r="B190" s="14">
        <v>1535000</v>
      </c>
    </row>
    <row r="191" spans="1:2">
      <c r="A191" s="1">
        <v>45999</v>
      </c>
      <c r="B191" s="14">
        <v>1533500</v>
      </c>
    </row>
    <row r="192" spans="1:2">
      <c r="A192" s="1">
        <v>45996</v>
      </c>
      <c r="B192" s="14">
        <v>1528000</v>
      </c>
    </row>
    <row r="193" spans="1:2">
      <c r="A193" s="1">
        <v>45995</v>
      </c>
      <c r="B193" s="14">
        <v>1535000</v>
      </c>
    </row>
    <row r="194" spans="1:2">
      <c r="A194" s="1">
        <v>45994</v>
      </c>
      <c r="B194" s="14">
        <v>1535000</v>
      </c>
    </row>
    <row r="195" spans="1:2">
      <c r="A195" s="1">
        <v>45993</v>
      </c>
      <c r="B195" s="14">
        <v>1542000</v>
      </c>
    </row>
    <row r="196" spans="1:2">
      <c r="A196" s="1">
        <v>45992</v>
      </c>
      <c r="B196" s="14">
        <v>1543000</v>
      </c>
    </row>
    <row r="197" spans="1:2">
      <c r="A197" s="1">
        <v>45989</v>
      </c>
      <c r="B197" s="14">
        <v>1528000</v>
      </c>
    </row>
    <row r="198" spans="1:2">
      <c r="A198" s="1">
        <v>45988</v>
      </c>
      <c r="B198" s="14">
        <v>1524000</v>
      </c>
    </row>
    <row r="199" spans="1:2">
      <c r="A199" s="1">
        <v>45987</v>
      </c>
      <c r="B199" s="14">
        <v>1519000</v>
      </c>
    </row>
    <row r="200" spans="1:2">
      <c r="A200" s="1">
        <v>45986</v>
      </c>
      <c r="B200" s="14">
        <v>1494000</v>
      </c>
    </row>
    <row r="201" spans="1:2">
      <c r="A201" s="1">
        <v>45985</v>
      </c>
      <c r="B201" s="14">
        <v>1494000</v>
      </c>
    </row>
    <row r="202" spans="1:2">
      <c r="A202" s="1">
        <v>45982</v>
      </c>
      <c r="B202" s="14">
        <v>1490500</v>
      </c>
    </row>
    <row r="203" spans="1:2">
      <c r="A203" s="1">
        <v>45981</v>
      </c>
      <c r="B203" s="14">
        <v>1500000</v>
      </c>
    </row>
    <row r="204" spans="1:2">
      <c r="A204" s="1">
        <v>45980</v>
      </c>
      <c r="B204" s="14">
        <v>1491500</v>
      </c>
    </row>
    <row r="205" spans="1:2">
      <c r="A205" s="1">
        <v>45979</v>
      </c>
      <c r="B205" s="14">
        <v>1500000</v>
      </c>
    </row>
    <row r="206" spans="1:2">
      <c r="A206" s="1">
        <v>45978</v>
      </c>
      <c r="B206" s="14">
        <v>1500000</v>
      </c>
    </row>
    <row r="207" spans="1:2">
      <c r="A207" s="1">
        <v>45975</v>
      </c>
      <c r="B207" s="14">
        <v>1528000</v>
      </c>
    </row>
    <row r="208" spans="1:2">
      <c r="A208" s="1">
        <v>45974</v>
      </c>
      <c r="B208" s="14">
        <v>1505000</v>
      </c>
    </row>
    <row r="209" spans="1:2">
      <c r="A209" s="1">
        <v>45973</v>
      </c>
      <c r="B209" s="14">
        <v>1508333.33333333</v>
      </c>
    </row>
    <row r="210" spans="1:2">
      <c r="A210" s="1">
        <v>45972</v>
      </c>
      <c r="B210" s="14">
        <v>1492000</v>
      </c>
    </row>
    <row r="211" spans="1:2">
      <c r="A211" s="1">
        <v>45971</v>
      </c>
      <c r="B211" s="14">
        <v>1486000</v>
      </c>
    </row>
    <row r="212" spans="1:2">
      <c r="A212" s="1">
        <v>45968</v>
      </c>
      <c r="B212" s="14">
        <v>1474000</v>
      </c>
    </row>
    <row r="213" spans="1:2">
      <c r="A213" s="1">
        <v>45967</v>
      </c>
      <c r="B213" s="14">
        <v>1465000</v>
      </c>
    </row>
    <row r="214" spans="1:2">
      <c r="A214" s="1">
        <v>45966</v>
      </c>
      <c r="B214" s="14">
        <v>1466000</v>
      </c>
    </row>
    <row r="215" spans="1:2">
      <c r="A215" s="1">
        <v>45965</v>
      </c>
      <c r="B215" s="14">
        <v>1468000</v>
      </c>
    </row>
    <row r="216" spans="1:2">
      <c r="A216" s="1">
        <v>45964</v>
      </c>
      <c r="B216" s="14">
        <v>1468000</v>
      </c>
    </row>
    <row r="217" spans="1:2">
      <c r="A217" s="1">
        <v>45961</v>
      </c>
      <c r="B217" s="14">
        <v>1468000</v>
      </c>
    </row>
    <row r="218" spans="1:2">
      <c r="A218" s="1">
        <v>45960</v>
      </c>
      <c r="B218" s="14">
        <v>1471000</v>
      </c>
    </row>
    <row r="219" spans="1:2">
      <c r="A219" s="1">
        <v>45959</v>
      </c>
      <c r="B219" s="14">
        <v>1441000</v>
      </c>
    </row>
    <row r="220" spans="1:2">
      <c r="A220" s="1">
        <v>45958</v>
      </c>
      <c r="B220" s="14">
        <v>1476500</v>
      </c>
    </row>
    <row r="221" spans="1:2">
      <c r="A221" s="1">
        <v>45957</v>
      </c>
      <c r="B221" s="14">
        <v>1482000</v>
      </c>
    </row>
    <row r="222" spans="1:2">
      <c r="A222" s="1">
        <v>45954</v>
      </c>
      <c r="B222" s="14">
        <v>1480333.33333333</v>
      </c>
    </row>
    <row r="223" spans="1:2">
      <c r="A223" s="1">
        <v>45953</v>
      </c>
      <c r="B223" s="14">
        <v>1476000</v>
      </c>
    </row>
    <row r="224" spans="1:2">
      <c r="A224" s="1">
        <v>45952</v>
      </c>
      <c r="B224" s="14">
        <v>1520000</v>
      </c>
    </row>
    <row r="225" spans="1:2">
      <c r="A225" s="1">
        <v>45951</v>
      </c>
      <c r="B225" s="14">
        <v>1525500</v>
      </c>
    </row>
    <row r="226" spans="1:2">
      <c r="A226" s="1">
        <v>45950</v>
      </c>
      <c r="B226" s="14">
        <v>1502500</v>
      </c>
    </row>
    <row r="227" spans="1:2">
      <c r="A227" s="1">
        <v>45947</v>
      </c>
      <c r="B227" s="14">
        <v>1481000</v>
      </c>
    </row>
    <row r="228" spans="1:2">
      <c r="A228" s="1">
        <v>45946</v>
      </c>
      <c r="B228" s="14">
        <v>1473666.66666667</v>
      </c>
    </row>
    <row r="229" spans="1:2">
      <c r="A229" s="1">
        <v>45945</v>
      </c>
      <c r="B229" s="14">
        <v>1451000</v>
      </c>
    </row>
    <row r="230" spans="1:2">
      <c r="A230" s="1">
        <v>45944</v>
      </c>
      <c r="B230" s="14">
        <v>1431000</v>
      </c>
    </row>
    <row r="231" spans="1:2">
      <c r="A231" s="1">
        <v>45943</v>
      </c>
      <c r="B231" s="14">
        <v>1422000</v>
      </c>
    </row>
    <row r="232" spans="1:2">
      <c r="A232" s="1">
        <v>45940</v>
      </c>
      <c r="B232" s="14">
        <v>1412000</v>
      </c>
    </row>
    <row r="233" spans="1:2">
      <c r="A233" s="1">
        <v>45939</v>
      </c>
      <c r="B233" s="14">
        <v>1415000</v>
      </c>
    </row>
    <row r="234" spans="1:2">
      <c r="A234" s="1">
        <v>45938</v>
      </c>
      <c r="B234" s="14">
        <v>1400000</v>
      </c>
    </row>
    <row r="235" spans="1:2">
      <c r="A235" s="1">
        <v>45937</v>
      </c>
      <c r="B235" s="14">
        <v>1391000</v>
      </c>
    </row>
    <row r="236" spans="1:2">
      <c r="A236" s="1">
        <v>45936</v>
      </c>
      <c r="B236" s="14">
        <v>1376000</v>
      </c>
    </row>
    <row r="237" spans="1:2">
      <c r="A237" s="1">
        <v>45933</v>
      </c>
      <c r="B237" s="14">
        <v>1369000</v>
      </c>
    </row>
    <row r="238" spans="1:2">
      <c r="A238" s="1">
        <v>45932</v>
      </c>
      <c r="B238" s="14">
        <v>1374000</v>
      </c>
    </row>
    <row r="239" spans="1:2">
      <c r="A239" s="1">
        <v>45931</v>
      </c>
      <c r="B239" s="14">
        <v>1362000</v>
      </c>
    </row>
    <row r="240" spans="1:2">
      <c r="A240" s="1">
        <v>45930</v>
      </c>
      <c r="B240" s="14">
        <v>1357666.66666667</v>
      </c>
    </row>
    <row r="241" spans="1:2">
      <c r="A241" s="1">
        <v>45929</v>
      </c>
      <c r="B241" s="14">
        <v>1340000</v>
      </c>
    </row>
    <row r="242" spans="1:2">
      <c r="A242" s="1">
        <v>45926</v>
      </c>
      <c r="B242" s="14">
        <v>1335000</v>
      </c>
    </row>
    <row r="243" spans="1:2">
      <c r="A243" s="1">
        <v>45925</v>
      </c>
      <c r="B243" s="14">
        <v>1339000</v>
      </c>
    </row>
    <row r="244" spans="1:2">
      <c r="A244" s="1">
        <v>45924</v>
      </c>
      <c r="B244" s="14">
        <v>1340000</v>
      </c>
    </row>
    <row r="245" spans="1:2">
      <c r="A245" s="1">
        <v>45923</v>
      </c>
      <c r="B245" s="14">
        <v>1331000</v>
      </c>
    </row>
    <row r="246" spans="1:2">
      <c r="A246" s="1">
        <v>45922</v>
      </c>
      <c r="B246" s="14">
        <v>1320000</v>
      </c>
    </row>
    <row r="247" spans="1:2">
      <c r="A247" s="1">
        <v>45919</v>
      </c>
      <c r="B247" s="14">
        <v>1310000</v>
      </c>
    </row>
    <row r="248" spans="1:2">
      <c r="A248" s="1">
        <v>45918</v>
      </c>
      <c r="B248" s="14">
        <v>1311500</v>
      </c>
    </row>
    <row r="249" spans="1:2">
      <c r="A249" s="1">
        <v>45917</v>
      </c>
      <c r="B249" s="14">
        <v>1313000</v>
      </c>
    </row>
    <row r="250" spans="1:2">
      <c r="A250" s="1">
        <v>45916</v>
      </c>
      <c r="B250" s="14">
        <v>1298500</v>
      </c>
    </row>
    <row r="251" spans="1:2">
      <c r="A251" s="1">
        <v>45915</v>
      </c>
      <c r="B251" s="14">
        <v>1296000</v>
      </c>
    </row>
    <row r="252" spans="1:2">
      <c r="A252" s="1">
        <v>45912</v>
      </c>
      <c r="B252" s="14">
        <v>1318000</v>
      </c>
    </row>
    <row r="253" spans="1:2">
      <c r="A253" s="1">
        <v>45911</v>
      </c>
      <c r="B253" s="14">
        <v>1343000</v>
      </c>
    </row>
    <row r="254" spans="1:2">
      <c r="A254" s="1">
        <v>45910</v>
      </c>
      <c r="B254" s="14">
        <v>1348000</v>
      </c>
    </row>
    <row r="255" spans="1:2">
      <c r="A255" s="1">
        <v>45909</v>
      </c>
      <c r="B255" s="14">
        <v>1343333.33333333</v>
      </c>
    </row>
    <row r="256" spans="1:2">
      <c r="A256" s="1">
        <v>45908</v>
      </c>
      <c r="B256" s="14">
        <v>1342833.33333333</v>
      </c>
    </row>
    <row r="257" spans="1:2">
      <c r="A257" s="1">
        <v>45905</v>
      </c>
      <c r="B257" s="14">
        <v>1334000</v>
      </c>
    </row>
    <row r="258" spans="1:2">
      <c r="A258" s="1">
        <v>45904</v>
      </c>
      <c r="B258" s="14">
        <v>1329000</v>
      </c>
    </row>
    <row r="259" spans="1:2">
      <c r="A259" s="1">
        <v>45903</v>
      </c>
      <c r="B259" s="14">
        <v>1312500</v>
      </c>
    </row>
    <row r="260" spans="1:2">
      <c r="A260" s="1">
        <v>45898</v>
      </c>
      <c r="B260" s="14">
        <v>1279500</v>
      </c>
    </row>
    <row r="261" spans="1:2">
      <c r="A261" s="1">
        <v>45897</v>
      </c>
      <c r="B261" s="14">
        <v>1272250</v>
      </c>
    </row>
    <row r="262" spans="1:2">
      <c r="A262" s="1">
        <v>45896</v>
      </c>
      <c r="B262" s="14">
        <v>1269750</v>
      </c>
    </row>
    <row r="263" spans="1:2">
      <c r="A263" s="1">
        <v>45895</v>
      </c>
      <c r="B263" s="14">
        <v>1268214.2857142901</v>
      </c>
    </row>
    <row r="264" spans="1:2">
      <c r="A264" s="1">
        <v>45894</v>
      </c>
      <c r="B264" s="14">
        <v>1262833.33333333</v>
      </c>
    </row>
    <row r="265" spans="1:2">
      <c r="A265" s="1">
        <v>45891</v>
      </c>
      <c r="B265" s="14">
        <v>1249000</v>
      </c>
    </row>
    <row r="266" spans="1:2">
      <c r="A266" s="1">
        <v>45890</v>
      </c>
      <c r="B266" s="14">
        <v>1245000</v>
      </c>
    </row>
    <row r="267" spans="1:2">
      <c r="A267" s="1">
        <v>45889</v>
      </c>
      <c r="B267" s="14">
        <v>1243500</v>
      </c>
    </row>
    <row r="268" spans="1:2">
      <c r="A268" s="1">
        <v>45888</v>
      </c>
      <c r="B268" s="14">
        <v>1245000</v>
      </c>
    </row>
    <row r="269" spans="1:2">
      <c r="A269" s="1">
        <v>45887</v>
      </c>
      <c r="B269" s="14">
        <v>1242500</v>
      </c>
    </row>
    <row r="270" spans="1:2">
      <c r="A270" s="1">
        <v>45884</v>
      </c>
      <c r="B270" s="14">
        <v>1242000</v>
      </c>
    </row>
    <row r="271" spans="1:2">
      <c r="A271" s="1">
        <v>45883</v>
      </c>
      <c r="B271" s="14">
        <v>1239500</v>
      </c>
    </row>
    <row r="272" spans="1:2">
      <c r="A272" s="1">
        <v>45882</v>
      </c>
      <c r="B272" s="14">
        <v>1233000</v>
      </c>
    </row>
    <row r="273" spans="1:2">
      <c r="A273" s="1">
        <v>45881</v>
      </c>
      <c r="B273" s="14">
        <v>1233000</v>
      </c>
    </row>
    <row r="274" spans="1:2">
      <c r="A274" s="1">
        <v>45880</v>
      </c>
      <c r="B274" s="14">
        <v>1236333.33333333</v>
      </c>
    </row>
    <row r="275" spans="1:2">
      <c r="A275" s="1">
        <v>45877</v>
      </c>
      <c r="B275" s="14">
        <v>1231000</v>
      </c>
    </row>
    <row r="276" spans="1:2">
      <c r="A276" s="1">
        <v>45876</v>
      </c>
      <c r="B276" s="14">
        <v>1231000</v>
      </c>
    </row>
    <row r="277" spans="1:2">
      <c r="A277" s="1">
        <v>45875</v>
      </c>
      <c r="B277" s="14">
        <v>1230000</v>
      </c>
    </row>
    <row r="278" spans="1:2">
      <c r="A278" s="1">
        <v>45874</v>
      </c>
      <c r="B278" s="14">
        <v>1226666.66666667</v>
      </c>
    </row>
    <row r="279" spans="1:2">
      <c r="A279" s="1">
        <v>45873</v>
      </c>
      <c r="B279" s="14">
        <v>1225000</v>
      </c>
    </row>
    <row r="280" spans="1:2">
      <c r="A280" s="1">
        <v>45870</v>
      </c>
      <c r="B280" s="14">
        <v>1206500</v>
      </c>
    </row>
    <row r="281" spans="1:2">
      <c r="A281" s="1">
        <v>45869</v>
      </c>
      <c r="B281" s="14">
        <v>1206500</v>
      </c>
    </row>
    <row r="282" spans="1:2">
      <c r="A282" s="1">
        <v>45868</v>
      </c>
      <c r="B282" s="14">
        <v>1205500</v>
      </c>
    </row>
    <row r="283" spans="1:2">
      <c r="A283" s="1">
        <v>45867</v>
      </c>
      <c r="B283" s="14">
        <v>1203000</v>
      </c>
    </row>
    <row r="284" spans="1:2">
      <c r="A284" s="1">
        <v>45866</v>
      </c>
      <c r="B284" s="14">
        <v>1203500</v>
      </c>
    </row>
    <row r="285" spans="1:2">
      <c r="A285" s="1">
        <v>45863</v>
      </c>
      <c r="B285" s="14">
        <v>1207000</v>
      </c>
    </row>
    <row r="286" spans="1:2">
      <c r="A286" s="1">
        <v>45862</v>
      </c>
      <c r="B286" s="14">
        <v>1212750</v>
      </c>
    </row>
    <row r="287" spans="1:2">
      <c r="A287" s="1">
        <v>45861</v>
      </c>
      <c r="B287" s="14">
        <v>1212800</v>
      </c>
    </row>
    <row r="288" spans="1:2">
      <c r="A288" s="1">
        <v>45860</v>
      </c>
      <c r="B288" s="14">
        <v>1209375</v>
      </c>
    </row>
    <row r="289" spans="1:2">
      <c r="A289" s="1">
        <v>45859</v>
      </c>
      <c r="B289" s="14">
        <v>1203166.66666667</v>
      </c>
    </row>
    <row r="290" spans="1:2">
      <c r="A290" s="1">
        <v>45856</v>
      </c>
      <c r="B290" s="14">
        <v>1196000</v>
      </c>
    </row>
    <row r="291" spans="1:2">
      <c r="A291" s="1">
        <v>45855</v>
      </c>
      <c r="B291" s="14">
        <v>1196000</v>
      </c>
    </row>
    <row r="292" spans="1:2">
      <c r="A292" s="1">
        <v>45854</v>
      </c>
      <c r="B292" s="14">
        <v>1199750</v>
      </c>
    </row>
    <row r="293" spans="1:2">
      <c r="A293" s="1">
        <v>45853</v>
      </c>
      <c r="B293" s="14">
        <v>1203000</v>
      </c>
    </row>
    <row r="294" spans="1:2">
      <c r="A294" s="1">
        <v>45852</v>
      </c>
      <c r="B294" s="14">
        <v>1205000</v>
      </c>
    </row>
    <row r="295" spans="1:2">
      <c r="A295" s="1">
        <v>45849</v>
      </c>
      <c r="B295" s="14">
        <v>1199000</v>
      </c>
    </row>
    <row r="296" spans="1:2">
      <c r="A296" s="1">
        <v>45848</v>
      </c>
      <c r="B296" s="14">
        <v>1197600</v>
      </c>
    </row>
    <row r="297" spans="1:2">
      <c r="A297" s="1">
        <v>45847</v>
      </c>
      <c r="B297" s="14">
        <v>1197333.33333333</v>
      </c>
    </row>
    <row r="298" spans="1:2">
      <c r="A298" s="1">
        <v>45846</v>
      </c>
      <c r="B298" s="14">
        <v>1197500</v>
      </c>
    </row>
    <row r="299" spans="1:2">
      <c r="A299" s="1">
        <v>45845</v>
      </c>
      <c r="B299" s="14">
        <v>1197000</v>
      </c>
    </row>
    <row r="300" spans="1:2">
      <c r="A300" s="1">
        <v>45842</v>
      </c>
      <c r="B300" s="14">
        <v>1201666.66666667</v>
      </c>
    </row>
    <row r="301" spans="1:2">
      <c r="A301" s="1">
        <v>45841</v>
      </c>
      <c r="B301" s="14">
        <v>1197666.66666667</v>
      </c>
    </row>
    <row r="302" spans="1:2">
      <c r="A302" s="1">
        <v>45840</v>
      </c>
      <c r="B302" s="14">
        <v>1197000</v>
      </c>
    </row>
    <row r="303" spans="1:2">
      <c r="A303" s="1">
        <v>45839</v>
      </c>
      <c r="B303" s="14">
        <v>1189000</v>
      </c>
    </row>
    <row r="304" spans="1:2">
      <c r="A304" s="1">
        <v>45838</v>
      </c>
      <c r="B304" s="14">
        <v>1183000</v>
      </c>
    </row>
    <row r="305" spans="1:2">
      <c r="A305" s="1">
        <v>45835</v>
      </c>
      <c r="B305" s="14">
        <v>1188500</v>
      </c>
    </row>
    <row r="306" spans="1:2">
      <c r="A306" s="1">
        <v>45834</v>
      </c>
      <c r="B306" s="14">
        <v>1187000</v>
      </c>
    </row>
    <row r="307" spans="1:2">
      <c r="A307" s="1">
        <v>45833</v>
      </c>
      <c r="B307" s="14">
        <v>1185000</v>
      </c>
    </row>
    <row r="308" spans="1:2">
      <c r="A308" s="1">
        <v>45832</v>
      </c>
      <c r="B308" s="14">
        <v>1187000</v>
      </c>
    </row>
    <row r="309" spans="1:2">
      <c r="A309" s="1">
        <v>45831</v>
      </c>
      <c r="B309" s="14">
        <v>1187000</v>
      </c>
    </row>
    <row r="310" spans="1:2">
      <c r="A310" s="1">
        <v>45828</v>
      </c>
      <c r="B310" s="14">
        <v>1184000</v>
      </c>
    </row>
    <row r="311" spans="1:2">
      <c r="A311" s="1">
        <v>45827</v>
      </c>
      <c r="B311" s="14">
        <v>1186000</v>
      </c>
    </row>
    <row r="312" spans="1:2">
      <c r="A312" s="1">
        <v>45826</v>
      </c>
      <c r="B312" s="14">
        <v>1186000</v>
      </c>
    </row>
    <row r="313" spans="1:2">
      <c r="A313" s="1">
        <v>45825</v>
      </c>
      <c r="B313" s="14">
        <v>1186000</v>
      </c>
    </row>
    <row r="314" spans="1:2">
      <c r="A314" s="1">
        <v>45824</v>
      </c>
      <c r="B314" s="14">
        <v>1188250</v>
      </c>
    </row>
    <row r="315" spans="1:2">
      <c r="A315" s="1">
        <v>45821</v>
      </c>
      <c r="B315" s="14">
        <v>1184750</v>
      </c>
    </row>
    <row r="316" spans="1:2">
      <c r="A316" s="1">
        <v>45820</v>
      </c>
      <c r="B316" s="14">
        <v>1178000</v>
      </c>
    </row>
    <row r="317" spans="1:2">
      <c r="A317" s="1">
        <v>45819</v>
      </c>
      <c r="B317" s="14">
        <v>1176500</v>
      </c>
    </row>
    <row r="318" spans="1:2">
      <c r="A318" s="1">
        <v>45818</v>
      </c>
      <c r="B318" s="14">
        <v>1167000</v>
      </c>
    </row>
    <row r="319" spans="1:2">
      <c r="A319" s="1">
        <v>45817</v>
      </c>
      <c r="B319" s="14">
        <v>1161250</v>
      </c>
    </row>
    <row r="320" spans="1:2">
      <c r="A320" s="1">
        <v>45814</v>
      </c>
      <c r="B320" s="14">
        <v>1165500</v>
      </c>
    </row>
    <row r="321" spans="1:2">
      <c r="A321" s="1">
        <v>45813</v>
      </c>
      <c r="B321" s="14">
        <v>1160500</v>
      </c>
    </row>
    <row r="322" spans="1:2">
      <c r="A322" s="1">
        <v>45812</v>
      </c>
      <c r="B322" s="14">
        <v>1160500</v>
      </c>
    </row>
    <row r="323" spans="1:2">
      <c r="A323" s="1">
        <v>45811</v>
      </c>
      <c r="B323" s="14">
        <v>1167600</v>
      </c>
    </row>
    <row r="324" spans="1:2">
      <c r="A324" s="1">
        <v>45810</v>
      </c>
      <c r="B324" s="14">
        <v>1167500</v>
      </c>
    </row>
    <row r="325" spans="1:2">
      <c r="A325" s="1">
        <v>45807</v>
      </c>
      <c r="B325" s="14">
        <v>1172500</v>
      </c>
    </row>
    <row r="326" spans="1:2">
      <c r="A326" s="1">
        <v>45806</v>
      </c>
      <c r="B326" s="14">
        <v>1169500</v>
      </c>
    </row>
    <row r="327" spans="1:2">
      <c r="A327" s="1">
        <v>45805</v>
      </c>
      <c r="B327" s="14">
        <v>1170500</v>
      </c>
    </row>
    <row r="328" spans="1:2">
      <c r="A328" s="1">
        <v>45804</v>
      </c>
      <c r="B328" s="14">
        <v>1177500</v>
      </c>
    </row>
    <row r="329" spans="1:2">
      <c r="A329" s="1">
        <v>45803</v>
      </c>
      <c r="B329" s="14">
        <v>1190000</v>
      </c>
    </row>
    <row r="330" spans="1:2">
      <c r="A330" s="1">
        <v>45800</v>
      </c>
      <c r="B330" s="14">
        <v>1193333.33333333</v>
      </c>
    </row>
    <row r="331" spans="1:2">
      <c r="A331" s="1">
        <v>45799</v>
      </c>
      <c r="B331" s="14">
        <v>1199000</v>
      </c>
    </row>
    <row r="332" spans="1:2">
      <c r="A332" s="1">
        <v>45798</v>
      </c>
      <c r="B332" s="14">
        <v>1186166.66666667</v>
      </c>
    </row>
    <row r="333" spans="1:2">
      <c r="A333" s="1">
        <v>45797</v>
      </c>
      <c r="B333" s="14">
        <v>1180500</v>
      </c>
    </row>
    <row r="334" spans="1:2">
      <c r="A334" s="1">
        <v>45796</v>
      </c>
      <c r="B334" s="14">
        <v>1175250</v>
      </c>
    </row>
    <row r="335" spans="1:2">
      <c r="A335" s="1">
        <v>45793</v>
      </c>
      <c r="B335" s="14">
        <v>1168500</v>
      </c>
    </row>
    <row r="336" spans="1:2">
      <c r="A336" s="1">
        <v>45792</v>
      </c>
      <c r="B336" s="14">
        <v>1178666.66666667</v>
      </c>
    </row>
    <row r="337" spans="1:2">
      <c r="A337" s="1">
        <v>45791</v>
      </c>
      <c r="B337" s="14">
        <v>1195000</v>
      </c>
    </row>
    <row r="338" spans="1:2">
      <c r="A338" s="1">
        <v>45790</v>
      </c>
      <c r="B338" s="14">
        <v>1184666.66666667</v>
      </c>
    </row>
    <row r="339" spans="1:2">
      <c r="A339" s="1">
        <v>45789</v>
      </c>
      <c r="B339" s="14">
        <v>1202500</v>
      </c>
    </row>
    <row r="340" spans="1:2">
      <c r="A340" s="1">
        <v>45786</v>
      </c>
      <c r="B340" s="14">
        <v>1196333.33333333</v>
      </c>
    </row>
    <row r="341" spans="1:2">
      <c r="A341" s="1">
        <v>45785</v>
      </c>
      <c r="B341" s="14">
        <v>1214500</v>
      </c>
    </row>
    <row r="342" spans="1:2">
      <c r="A342" s="1">
        <v>45784</v>
      </c>
      <c r="B342" s="14">
        <v>1214000</v>
      </c>
    </row>
    <row r="343" spans="1:2">
      <c r="A343" s="1">
        <v>45783</v>
      </c>
      <c r="B343" s="14">
        <v>1214428.57142857</v>
      </c>
    </row>
    <row r="344" spans="1:2">
      <c r="A344" s="1">
        <v>45782</v>
      </c>
      <c r="B344" s="14">
        <v>1191750</v>
      </c>
    </row>
    <row r="345" spans="1:2">
      <c r="A345" s="1">
        <v>45776</v>
      </c>
      <c r="B345" s="14">
        <v>1185000</v>
      </c>
    </row>
    <row r="346" spans="1:2">
      <c r="A346" s="1">
        <v>45775</v>
      </c>
      <c r="B346" s="14">
        <v>1191250</v>
      </c>
    </row>
    <row r="347" spans="1:2">
      <c r="A347" s="1">
        <v>45772</v>
      </c>
      <c r="B347" s="14">
        <v>1197500</v>
      </c>
    </row>
    <row r="348" spans="1:2">
      <c r="A348" s="1">
        <v>45771</v>
      </c>
      <c r="B348" s="14">
        <v>1180000</v>
      </c>
    </row>
    <row r="349" spans="1:2">
      <c r="A349" s="1">
        <v>45770</v>
      </c>
      <c r="B349" s="14">
        <v>1216666.66666667</v>
      </c>
    </row>
    <row r="350" spans="1:2">
      <c r="A350" s="1">
        <v>45769</v>
      </c>
      <c r="B350" s="14">
        <v>1215000</v>
      </c>
    </row>
    <row r="351" spans="1:2">
      <c r="A351" s="1">
        <v>45768</v>
      </c>
      <c r="B351" s="14">
        <v>1152500</v>
      </c>
    </row>
    <row r="352" spans="1:2">
      <c r="A352" s="1">
        <v>45765</v>
      </c>
      <c r="B352" s="14">
        <v>1176250</v>
      </c>
    </row>
    <row r="353" spans="1:2">
      <c r="A353" s="1">
        <v>45764</v>
      </c>
      <c r="B353" s="14">
        <v>1142500</v>
      </c>
    </row>
    <row r="354" spans="1:2">
      <c r="A354" s="1">
        <v>45763</v>
      </c>
      <c r="B354" s="14">
        <v>1100000</v>
      </c>
    </row>
    <row r="355" spans="1:2">
      <c r="A355" s="1">
        <v>45762</v>
      </c>
      <c r="B355" s="14">
        <v>1063833.33333333</v>
      </c>
    </row>
    <row r="356" spans="1:2">
      <c r="A356" s="1">
        <v>45761</v>
      </c>
      <c r="B356" s="14">
        <v>1059500</v>
      </c>
    </row>
    <row r="357" spans="1:2">
      <c r="A357" s="1">
        <v>45758</v>
      </c>
      <c r="B357" s="14">
        <v>1049000</v>
      </c>
    </row>
    <row r="358" spans="1:2">
      <c r="A358" s="1">
        <v>45757</v>
      </c>
      <c r="B358" s="14">
        <v>1022000</v>
      </c>
    </row>
    <row r="359" spans="1:2">
      <c r="A359" s="1">
        <v>45756</v>
      </c>
      <c r="B359" s="14">
        <v>995357.14285714296</v>
      </c>
    </row>
    <row r="360" spans="1:2">
      <c r="A360" s="1">
        <v>45755</v>
      </c>
      <c r="B360" s="14">
        <v>982562.5</v>
      </c>
    </row>
    <row r="361" spans="1:2">
      <c r="A361" s="1">
        <v>45751</v>
      </c>
      <c r="B361" s="14">
        <v>1005500</v>
      </c>
    </row>
    <row r="362" spans="1:2">
      <c r="A362" s="1">
        <v>45750</v>
      </c>
      <c r="B362" s="14">
        <v>1012250</v>
      </c>
    </row>
    <row r="363" spans="1:2">
      <c r="A363" s="1">
        <v>45749</v>
      </c>
      <c r="B363" s="14">
        <v>1007500</v>
      </c>
    </row>
    <row r="364" spans="1:2">
      <c r="A364" s="1">
        <v>45748</v>
      </c>
      <c r="B364" s="14">
        <v>1011500</v>
      </c>
    </row>
    <row r="365" spans="1:2">
      <c r="A365" s="1">
        <v>45747</v>
      </c>
      <c r="B365" s="14">
        <v>1003125</v>
      </c>
    </row>
    <row r="366" spans="1:2">
      <c r="A366" s="1">
        <v>45744</v>
      </c>
      <c r="B366" s="14">
        <v>992250</v>
      </c>
    </row>
    <row r="367" spans="1:2">
      <c r="A367" s="1">
        <v>45743</v>
      </c>
      <c r="B367" s="14">
        <v>976500</v>
      </c>
    </row>
    <row r="368" spans="1:2">
      <c r="A368" s="1">
        <v>45742</v>
      </c>
      <c r="B368" s="14">
        <v>970000</v>
      </c>
    </row>
    <row r="369" spans="1:2">
      <c r="A369" s="1">
        <v>45741</v>
      </c>
      <c r="B369" s="14">
        <v>965000</v>
      </c>
    </row>
    <row r="370" spans="1:2">
      <c r="A370" s="1">
        <v>45740</v>
      </c>
      <c r="B370" s="14">
        <v>960000</v>
      </c>
    </row>
    <row r="371" spans="1:2">
      <c r="A371" s="1">
        <v>45737</v>
      </c>
      <c r="B371" s="14">
        <v>985000</v>
      </c>
    </row>
    <row r="372" spans="1:2">
      <c r="A372" s="1">
        <v>45736</v>
      </c>
      <c r="B372" s="14">
        <v>985000</v>
      </c>
    </row>
    <row r="373" spans="1:2">
      <c r="A373" s="1">
        <v>45735</v>
      </c>
      <c r="B373" s="14">
        <v>965000</v>
      </c>
    </row>
    <row r="374" spans="1:2">
      <c r="A374" s="1">
        <v>45734</v>
      </c>
      <c r="B374" s="14">
        <v>955000</v>
      </c>
    </row>
    <row r="375" spans="1:2">
      <c r="A375" s="1">
        <v>45733</v>
      </c>
      <c r="B375" s="14">
        <v>954500</v>
      </c>
    </row>
    <row r="376" spans="1:2">
      <c r="A376" s="1">
        <v>45730</v>
      </c>
      <c r="B376" s="14">
        <v>932500</v>
      </c>
    </row>
    <row r="377" spans="1:2">
      <c r="A377" s="1">
        <v>45729</v>
      </c>
      <c r="B377" s="14">
        <v>932500</v>
      </c>
    </row>
    <row r="378" spans="1:2">
      <c r="A378" s="1">
        <v>45728</v>
      </c>
      <c r="B378" s="14">
        <v>920000</v>
      </c>
    </row>
    <row r="379" spans="1:2">
      <c r="A379" s="1">
        <v>45727</v>
      </c>
      <c r="B379" s="14">
        <v>920000</v>
      </c>
    </row>
    <row r="380" spans="1:2">
      <c r="A380" s="1">
        <v>45726</v>
      </c>
      <c r="B380" s="14">
        <v>915000</v>
      </c>
    </row>
    <row r="381" spans="1:2">
      <c r="A381" s="1">
        <v>45723</v>
      </c>
      <c r="B381" s="14">
        <v>918500</v>
      </c>
    </row>
    <row r="382" spans="1:2">
      <c r="A382" s="1">
        <v>45722</v>
      </c>
      <c r="B382" s="14">
        <v>915000</v>
      </c>
    </row>
    <row r="383" spans="1:2">
      <c r="A383" s="1">
        <v>45721</v>
      </c>
      <c r="B383" s="14">
        <v>908000</v>
      </c>
    </row>
    <row r="384" spans="1:2">
      <c r="A384" s="1">
        <v>45720</v>
      </c>
      <c r="B384" s="14">
        <v>907500</v>
      </c>
    </row>
    <row r="385" spans="1:2">
      <c r="A385" s="1">
        <v>45719</v>
      </c>
      <c r="B385" s="14">
        <v>907000</v>
      </c>
    </row>
    <row r="386" spans="1:2">
      <c r="A386" s="1">
        <v>45716</v>
      </c>
      <c r="B386" s="14">
        <v>900000</v>
      </c>
    </row>
    <row r="387" spans="1:2">
      <c r="A387" s="1">
        <v>45715</v>
      </c>
      <c r="B387" s="14">
        <v>905000</v>
      </c>
    </row>
    <row r="388" spans="1:2">
      <c r="A388" s="1">
        <v>45714</v>
      </c>
      <c r="B388" s="14">
        <v>912500</v>
      </c>
    </row>
    <row r="389" spans="1:2">
      <c r="A389" s="1">
        <v>45713</v>
      </c>
      <c r="B389" s="14">
        <v>910000</v>
      </c>
    </row>
    <row r="390" spans="1:2">
      <c r="A390" s="1">
        <v>45712</v>
      </c>
      <c r="B390" s="14">
        <v>909000</v>
      </c>
    </row>
    <row r="391" spans="1:2">
      <c r="A391" s="1">
        <v>45709</v>
      </c>
      <c r="B391" s="14">
        <v>890000</v>
      </c>
    </row>
    <row r="392" spans="1:2">
      <c r="A392" s="1">
        <v>45708</v>
      </c>
      <c r="B392" s="14">
        <v>890000</v>
      </c>
    </row>
    <row r="393" spans="1:2">
      <c r="A393" s="1">
        <v>45707</v>
      </c>
      <c r="B393" s="14">
        <v>890000</v>
      </c>
    </row>
    <row r="394" spans="1:2">
      <c r="A394" s="1">
        <v>45706</v>
      </c>
      <c r="B394" s="14">
        <v>892500</v>
      </c>
    </row>
    <row r="395" spans="1:2">
      <c r="A395" s="1">
        <v>45705</v>
      </c>
      <c r="B395" s="14">
        <v>890000</v>
      </c>
    </row>
    <row r="396" spans="1:2">
      <c r="A396" s="1">
        <v>45702</v>
      </c>
      <c r="B396" s="14">
        <v>897000</v>
      </c>
    </row>
    <row r="397" spans="1:2">
      <c r="A397" s="1">
        <v>45701</v>
      </c>
      <c r="B397" s="14">
        <v>890000</v>
      </c>
    </row>
    <row r="398" spans="1:2">
      <c r="A398" s="1">
        <v>45700</v>
      </c>
      <c r="B398" s="14">
        <v>890500</v>
      </c>
    </row>
    <row r="399" spans="1:2">
      <c r="A399" s="1">
        <v>45699</v>
      </c>
      <c r="B399" s="14">
        <v>900500</v>
      </c>
    </row>
    <row r="400" spans="1:2">
      <c r="A400" s="1">
        <v>45698</v>
      </c>
      <c r="B400" s="14">
        <v>856000</v>
      </c>
    </row>
    <row r="401" spans="1:2">
      <c r="A401" s="1">
        <v>45695</v>
      </c>
      <c r="B401" s="14">
        <v>880000</v>
      </c>
    </row>
    <row r="402" spans="1:2">
      <c r="A402" s="1">
        <v>45694</v>
      </c>
      <c r="B402" s="14">
        <v>890000</v>
      </c>
    </row>
    <row r="403" spans="1:2">
      <c r="A403" s="1">
        <v>45693</v>
      </c>
      <c r="B403" s="14">
        <v>881000</v>
      </c>
    </row>
    <row r="404" spans="1:2">
      <c r="A404" s="1">
        <v>45692</v>
      </c>
      <c r="B404" s="14">
        <v>888000</v>
      </c>
    </row>
    <row r="405" spans="1:2">
      <c r="A405" s="1">
        <v>45691</v>
      </c>
      <c r="B405" s="14">
        <v>878000</v>
      </c>
    </row>
    <row r="406" spans="1:2">
      <c r="A406" s="1">
        <v>45681</v>
      </c>
      <c r="B406" s="14">
        <v>870000</v>
      </c>
    </row>
    <row r="407" spans="1:2">
      <c r="A407" s="1">
        <v>45680</v>
      </c>
      <c r="B407" s="14">
        <v>870000</v>
      </c>
    </row>
    <row r="408" spans="1:2">
      <c r="A408" s="1">
        <v>45679</v>
      </c>
      <c r="B408" s="14">
        <v>870000</v>
      </c>
    </row>
    <row r="409" spans="1:2">
      <c r="A409" s="1">
        <v>45678</v>
      </c>
      <c r="B409" s="14">
        <v>863000</v>
      </c>
    </row>
    <row r="410" spans="1:2">
      <c r="A410" s="1">
        <v>45677</v>
      </c>
      <c r="B410" s="14">
        <v>863000</v>
      </c>
    </row>
    <row r="411" spans="1:2">
      <c r="A411" s="1">
        <v>45674</v>
      </c>
      <c r="B411" s="14">
        <v>863000</v>
      </c>
    </row>
    <row r="412" spans="1:2">
      <c r="A412" s="1">
        <v>45673</v>
      </c>
      <c r="B412" s="14">
        <v>860000</v>
      </c>
    </row>
    <row r="413" spans="1:2">
      <c r="A413" s="1">
        <v>45672</v>
      </c>
      <c r="B413" s="14">
        <v>854000</v>
      </c>
    </row>
    <row r="414" spans="1:2">
      <c r="A414" s="1">
        <v>45671</v>
      </c>
      <c r="B414" s="14">
        <v>858000</v>
      </c>
    </row>
    <row r="415" spans="1:2">
      <c r="A415" s="1">
        <v>45670</v>
      </c>
      <c r="B415" s="14">
        <v>858000</v>
      </c>
    </row>
    <row r="416" spans="1:2">
      <c r="A416" s="1">
        <v>45667</v>
      </c>
      <c r="B416" s="14">
        <v>857500</v>
      </c>
    </row>
    <row r="417" spans="1:2">
      <c r="A417" s="1">
        <v>45666</v>
      </c>
      <c r="B417" s="14">
        <v>847500</v>
      </c>
    </row>
    <row r="418" spans="1:2">
      <c r="A418" s="1">
        <v>45665</v>
      </c>
      <c r="B418" s="14">
        <v>847500</v>
      </c>
    </row>
    <row r="419" spans="1:2">
      <c r="A419" s="1">
        <v>45664</v>
      </c>
      <c r="B419" s="14">
        <v>842500</v>
      </c>
    </row>
    <row r="420" spans="1:2">
      <c r="A420" s="1">
        <v>45663</v>
      </c>
      <c r="B420" s="14">
        <v>842500</v>
      </c>
    </row>
    <row r="421" spans="1:2">
      <c r="A421" s="1">
        <v>45660</v>
      </c>
      <c r="B421" s="14">
        <v>832166.66666666698</v>
      </c>
    </row>
    <row r="422" spans="1:2">
      <c r="A422" s="1">
        <v>45659</v>
      </c>
      <c r="B422" s="14">
        <v>832000</v>
      </c>
    </row>
    <row r="423" spans="1:2">
      <c r="A423" s="1">
        <v>45657</v>
      </c>
      <c r="B423" s="14">
        <v>835000</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059D8-42E0-46E3-8E73-667616873C00}">
  <sheetPr codeName="Sheet16"/>
  <dimension ref="A1:M89"/>
  <sheetViews>
    <sheetView showGridLines="0" topLeftCell="C1" workbookViewId="0">
      <selection activeCell="H2" sqref="H2:M10"/>
    </sheetView>
  </sheetViews>
  <sheetFormatPr defaultRowHeight="14.4"/>
  <cols>
    <col min="1" max="1" width="38.69921875" style="170" bestFit="1" customWidth="1"/>
    <col min="2" max="2" width="12.59765625" style="170" bestFit="1" customWidth="1"/>
    <col min="3" max="4" width="12.69921875" style="170" bestFit="1" customWidth="1"/>
    <col min="5" max="5" width="15.296875" style="170" customWidth="1"/>
    <col min="6" max="6" width="12.69921875" style="171" bestFit="1" customWidth="1"/>
    <col min="7" max="7" width="12.09765625" bestFit="1" customWidth="1"/>
    <col min="8" max="8" width="41.3984375" style="170" bestFit="1" customWidth="1"/>
    <col min="9" max="9" width="14.09765625" style="170" bestFit="1" customWidth="1"/>
    <col min="10" max="10" width="13.8984375" style="170" bestFit="1" customWidth="1"/>
    <col min="11" max="11" width="13.09765625" style="170" bestFit="1" customWidth="1"/>
    <col min="12" max="12" width="13.59765625" bestFit="1" customWidth="1"/>
    <col min="13" max="15" width="12.09765625" bestFit="1" customWidth="1"/>
    <col min="16" max="16" width="35.3984375" bestFit="1" customWidth="1"/>
    <col min="17" max="17" width="51" bestFit="1" customWidth="1"/>
    <col min="18" max="18" width="13.59765625" bestFit="1" customWidth="1"/>
    <col min="19" max="19" width="9.69921875" bestFit="1" customWidth="1"/>
  </cols>
  <sheetData>
    <row r="1" spans="1:13">
      <c r="A1" s="396" t="s">
        <v>842</v>
      </c>
      <c r="B1" s="398" t="s">
        <v>843</v>
      </c>
      <c r="C1" s="398"/>
      <c r="D1" s="398"/>
      <c r="E1" s="399" t="s">
        <v>844</v>
      </c>
      <c r="F1" s="400"/>
      <c r="H1" s="177" t="s">
        <v>859</v>
      </c>
      <c r="I1" s="178" t="s">
        <v>860</v>
      </c>
      <c r="J1" s="179" t="s">
        <v>861</v>
      </c>
      <c r="K1" s="180" t="s">
        <v>32</v>
      </c>
      <c r="L1" s="181" t="s">
        <v>862</v>
      </c>
    </row>
    <row r="2" spans="1:13" ht="25.5">
      <c r="A2" s="397"/>
      <c r="B2" s="172">
        <f ca="1">RPT_LR</f>
        <v>46293</v>
      </c>
      <c r="C2" s="172">
        <f ca="1">RPT_LR1</f>
        <v>46292</v>
      </c>
      <c r="D2" s="173" t="s">
        <v>32</v>
      </c>
      <c r="E2" s="174" t="s">
        <v>845</v>
      </c>
      <c r="F2" s="176" t="s">
        <v>846</v>
      </c>
      <c r="H2" s="182" t="s">
        <v>863</v>
      </c>
      <c r="I2" s="183">
        <v>1459</v>
      </c>
      <c r="J2" s="183">
        <v>1492</v>
      </c>
      <c r="K2" s="183">
        <v>0</v>
      </c>
      <c r="L2" s="184">
        <v>1492</v>
      </c>
      <c r="M2" s="159" t="s">
        <v>864</v>
      </c>
    </row>
    <row r="3" spans="1:13">
      <c r="A3" s="349" t="s">
        <v>847</v>
      </c>
      <c r="B3" s="350">
        <v>9633.5738109927333</v>
      </c>
      <c r="C3" s="350">
        <v>14171.042976496499</v>
      </c>
      <c r="D3" s="350">
        <v>-4537.4691655037659</v>
      </c>
      <c r="E3" s="350">
        <v>6588.2569144400004</v>
      </c>
      <c r="F3" s="351">
        <v>16221.830725432734</v>
      </c>
      <c r="H3" s="175" t="s">
        <v>865</v>
      </c>
      <c r="I3" s="111">
        <v>800</v>
      </c>
      <c r="J3" s="112">
        <v>712.82</v>
      </c>
      <c r="K3" s="110">
        <v>0</v>
      </c>
      <c r="L3" s="185">
        <v>712.82</v>
      </c>
      <c r="M3" s="159" t="s">
        <v>866</v>
      </c>
    </row>
    <row r="4" spans="1:13">
      <c r="A4" s="227" t="s">
        <v>848</v>
      </c>
      <c r="B4" s="316">
        <v>44318.611299999997</v>
      </c>
      <c r="C4" s="316">
        <v>48878.611299999997</v>
      </c>
      <c r="D4" s="316">
        <v>-4560</v>
      </c>
      <c r="E4" s="316">
        <v>4731.32</v>
      </c>
      <c r="F4" s="317">
        <v>49049.931299999997</v>
      </c>
      <c r="H4" s="175" t="s">
        <v>867</v>
      </c>
      <c r="I4" s="110">
        <v>7392.8208999999997</v>
      </c>
      <c r="J4" s="110">
        <v>6363.3928616194007</v>
      </c>
      <c r="K4" s="110">
        <v>0.76367654530076834</v>
      </c>
      <c r="L4" s="185">
        <v>6363.3928616194007</v>
      </c>
      <c r="M4" s="159" t="s">
        <v>868</v>
      </c>
    </row>
    <row r="5" spans="1:13">
      <c r="A5" s="227" t="s">
        <v>849</v>
      </c>
      <c r="B5" s="316">
        <v>0</v>
      </c>
      <c r="C5" s="316">
        <v>0</v>
      </c>
      <c r="D5" s="316">
        <v>0</v>
      </c>
      <c r="E5" s="316">
        <v>0</v>
      </c>
      <c r="F5" s="317">
        <v>0</v>
      </c>
      <c r="H5" s="175" t="s">
        <v>869</v>
      </c>
      <c r="I5" s="111">
        <v>767.49040000000002</v>
      </c>
      <c r="J5" s="110">
        <v>774.26989937333337</v>
      </c>
      <c r="K5" s="110">
        <v>-4538.2665920490472</v>
      </c>
      <c r="L5" s="185">
        <v>774.26989937333337</v>
      </c>
      <c r="M5" s="159" t="s">
        <v>870</v>
      </c>
    </row>
    <row r="6" spans="1:13">
      <c r="A6" s="227" t="s">
        <v>850</v>
      </c>
      <c r="B6" s="316">
        <v>-23578.3</v>
      </c>
      <c r="C6" s="316">
        <v>-23578.3</v>
      </c>
      <c r="D6" s="316">
        <v>0</v>
      </c>
      <c r="E6" s="316">
        <v>0</v>
      </c>
      <c r="F6" s="317">
        <v>-23578.3</v>
      </c>
      <c r="H6" s="186" t="s">
        <v>871</v>
      </c>
      <c r="I6" s="187">
        <v>350</v>
      </c>
      <c r="J6" s="188">
        <v>291.09105</v>
      </c>
      <c r="K6" s="188">
        <v>3.3749999999997726E-2</v>
      </c>
      <c r="L6" s="189">
        <v>274.91932500000001</v>
      </c>
      <c r="M6" s="159" t="s">
        <v>872</v>
      </c>
    </row>
    <row r="7" spans="1:13">
      <c r="A7" s="227" t="s">
        <v>851</v>
      </c>
      <c r="B7" s="316">
        <v>-9366</v>
      </c>
      <c r="C7" s="316">
        <v>-9366</v>
      </c>
      <c r="D7" s="316">
        <v>0</v>
      </c>
      <c r="E7" s="316">
        <v>660.70749999999998</v>
      </c>
      <c r="F7" s="317">
        <v>-8705.2924999999996</v>
      </c>
      <c r="H7" s="320" t="s">
        <v>873</v>
      </c>
      <c r="I7" s="321">
        <v>10769.311299999999</v>
      </c>
      <c r="J7" s="321">
        <v>9633.5738109927333</v>
      </c>
      <c r="K7" s="321">
        <v>-4537.4691655037468</v>
      </c>
      <c r="L7" s="322">
        <v>9617.402085992735</v>
      </c>
    </row>
    <row r="8" spans="1:13">
      <c r="A8" s="227" t="s">
        <v>852</v>
      </c>
      <c r="B8" s="316">
        <v>0</v>
      </c>
      <c r="C8" s="316">
        <v>0</v>
      </c>
      <c r="D8" s="316">
        <v>0</v>
      </c>
      <c r="E8" s="316">
        <v>0</v>
      </c>
      <c r="F8" s="317">
        <v>0</v>
      </c>
      <c r="H8" s="190" t="s">
        <v>874</v>
      </c>
      <c r="I8" s="345">
        <v>-15947.300000000001</v>
      </c>
      <c r="J8" s="191"/>
      <c r="K8" s="191"/>
      <c r="L8" s="192"/>
    </row>
    <row r="9" spans="1:13">
      <c r="A9" s="227" t="s">
        <v>853</v>
      </c>
      <c r="B9" s="316">
        <v>-605</v>
      </c>
      <c r="C9" s="316">
        <v>-605</v>
      </c>
      <c r="D9" s="316">
        <v>0</v>
      </c>
      <c r="E9" s="316">
        <v>0</v>
      </c>
      <c r="F9" s="317">
        <v>-605</v>
      </c>
      <c r="H9" s="323" t="s">
        <v>875</v>
      </c>
      <c r="I9" s="324">
        <v>-28442.02</v>
      </c>
      <c r="J9" s="195"/>
      <c r="K9" s="195"/>
      <c r="L9" s="196"/>
    </row>
    <row r="10" spans="1:13">
      <c r="A10" s="352" t="s">
        <v>854</v>
      </c>
      <c r="B10" s="353">
        <v>-1135.7374890072642</v>
      </c>
      <c r="C10" s="353">
        <v>-1158.2683235034983</v>
      </c>
      <c r="D10" s="353">
        <v>22.530834496234093</v>
      </c>
      <c r="E10" s="353">
        <v>1196.22941444</v>
      </c>
      <c r="F10" s="354">
        <v>60.491925432735798</v>
      </c>
      <c r="H10" s="325" t="s">
        <v>876</v>
      </c>
      <c r="I10" s="326">
        <v>12494.72</v>
      </c>
      <c r="J10" s="193"/>
      <c r="K10" s="193"/>
      <c r="L10" s="194"/>
    </row>
    <row r="11" spans="1:13">
      <c r="A11" s="346" t="s">
        <v>855</v>
      </c>
      <c r="B11" s="347">
        <v>10769.311299999998</v>
      </c>
      <c r="C11" s="347">
        <v>15329.311299999998</v>
      </c>
      <c r="D11" s="347">
        <v>-4560</v>
      </c>
      <c r="E11" s="347"/>
      <c r="F11" s="348"/>
      <c r="H11" s="159"/>
      <c r="I11" s="159"/>
      <c r="J11" s="159"/>
      <c r="K11" s="159"/>
    </row>
    <row r="12" spans="1:13">
      <c r="A12" s="349" t="s">
        <v>856</v>
      </c>
      <c r="B12" s="350">
        <v>-15947.3</v>
      </c>
      <c r="C12" s="350"/>
      <c r="D12" s="350"/>
      <c r="E12" s="350"/>
      <c r="F12" s="351"/>
      <c r="H12" s="161"/>
      <c r="I12" s="159"/>
      <c r="J12" s="159"/>
      <c r="K12" s="159"/>
    </row>
    <row r="13" spans="1:13">
      <c r="A13" s="227" t="s">
        <v>857</v>
      </c>
      <c r="B13" s="316">
        <v>-28442.02</v>
      </c>
      <c r="C13" s="316"/>
      <c r="D13" s="316"/>
      <c r="E13" s="316"/>
      <c r="F13" s="317"/>
      <c r="H13" s="109"/>
      <c r="I13" s="109"/>
      <c r="J13" s="109"/>
      <c r="K13" s="109"/>
    </row>
    <row r="14" spans="1:13">
      <c r="A14" s="228" t="s">
        <v>858</v>
      </c>
      <c r="B14" s="318">
        <v>12494.72</v>
      </c>
      <c r="C14" s="318"/>
      <c r="D14" s="318"/>
      <c r="E14" s="318"/>
      <c r="F14" s="319"/>
      <c r="H14" s="109"/>
      <c r="I14" s="109"/>
      <c r="J14" s="109"/>
      <c r="K14" s="109"/>
    </row>
    <row r="15" spans="1:13">
      <c r="H15" s="109"/>
      <c r="I15" s="109"/>
      <c r="J15" s="109"/>
      <c r="K15" s="109"/>
    </row>
    <row r="16" spans="1:13">
      <c r="A16" s="158"/>
      <c r="B16" s="159"/>
      <c r="C16" s="159"/>
      <c r="D16" s="159"/>
      <c r="E16" s="159"/>
      <c r="F16" s="160"/>
    </row>
    <row r="17" spans="1:11">
      <c r="A17" s="158"/>
      <c r="B17" s="159"/>
      <c r="C17" s="159"/>
      <c r="D17" s="159"/>
      <c r="E17" s="159"/>
      <c r="F17" s="160"/>
    </row>
    <row r="18" spans="1:11">
      <c r="A18" s="159"/>
      <c r="B18" s="158"/>
      <c r="C18" s="159"/>
      <c r="D18" s="159"/>
      <c r="E18" s="159"/>
      <c r="F18" s="160"/>
    </row>
    <row r="19" spans="1:11">
      <c r="A19" s="159"/>
      <c r="B19" s="159"/>
      <c r="C19" s="159"/>
      <c r="D19" s="159"/>
      <c r="E19" s="159"/>
      <c r="F19" s="162"/>
    </row>
    <row r="20" spans="1:11">
      <c r="A20" s="159"/>
      <c r="B20" s="159"/>
      <c r="C20" s="159"/>
      <c r="D20" s="159"/>
      <c r="E20" s="159"/>
      <c r="F20" s="162"/>
    </row>
    <row r="21" spans="1:11">
      <c r="A21" s="159"/>
      <c r="B21" s="163"/>
      <c r="C21" s="159"/>
      <c r="D21" s="159"/>
      <c r="E21" s="159"/>
      <c r="F21" s="162"/>
    </row>
    <row r="22" spans="1:11">
      <c r="A22" s="159"/>
      <c r="B22" s="164"/>
      <c r="C22" s="158"/>
      <c r="D22" s="159"/>
      <c r="E22" s="159"/>
      <c r="F22" s="162"/>
    </row>
    <row r="23" spans="1:11">
      <c r="A23" s="159"/>
      <c r="B23" s="164"/>
      <c r="C23" s="158"/>
      <c r="D23" s="159"/>
      <c r="E23" s="159"/>
      <c r="F23" s="162"/>
    </row>
    <row r="24" spans="1:11">
      <c r="A24" s="159"/>
      <c r="B24" s="164"/>
      <c r="C24" s="158"/>
      <c r="D24" s="159"/>
      <c r="E24" s="159"/>
      <c r="F24" s="162"/>
    </row>
    <row r="25" spans="1:11">
      <c r="A25" s="165"/>
      <c r="B25" s="164"/>
      <c r="C25" s="158"/>
      <c r="D25" s="159"/>
      <c r="E25" s="159"/>
      <c r="F25" s="166"/>
    </row>
    <row r="26" spans="1:11">
      <c r="A26" s="167"/>
      <c r="B26" s="159"/>
      <c r="C26" s="158"/>
      <c r="D26" s="159"/>
      <c r="E26" s="159"/>
      <c r="F26" s="168"/>
      <c r="H26" s="157"/>
      <c r="I26" s="158"/>
      <c r="J26" s="159"/>
      <c r="K26" s="161"/>
    </row>
    <row r="27" spans="1:11">
      <c r="A27" s="167"/>
      <c r="B27" s="159"/>
      <c r="C27" s="158"/>
      <c r="D27" s="159"/>
      <c r="E27" s="159"/>
      <c r="F27" s="168"/>
      <c r="H27" s="157"/>
      <c r="I27" s="158"/>
      <c r="J27" s="159"/>
      <c r="K27" s="159"/>
    </row>
    <row r="28" spans="1:11">
      <c r="A28" s="167"/>
      <c r="B28" s="159"/>
      <c r="C28" s="158"/>
      <c r="D28" s="159"/>
      <c r="E28" s="159"/>
      <c r="F28" s="168"/>
      <c r="H28" s="157"/>
      <c r="I28" s="158"/>
      <c r="J28" s="159"/>
      <c r="K28" s="159"/>
    </row>
    <row r="29" spans="1:11">
      <c r="A29" s="167"/>
      <c r="B29" s="159"/>
      <c r="C29" s="158"/>
      <c r="D29" s="159"/>
      <c r="E29" s="159"/>
      <c r="F29" s="168"/>
      <c r="H29" s="159"/>
      <c r="I29" s="158"/>
      <c r="J29" s="159"/>
      <c r="K29" s="159"/>
    </row>
    <row r="30" spans="1:11">
      <c r="A30" s="167"/>
      <c r="B30" s="159"/>
      <c r="C30" s="158"/>
      <c r="D30" s="159"/>
      <c r="E30" s="159"/>
      <c r="F30" s="168"/>
      <c r="H30" s="159"/>
      <c r="I30" s="158"/>
      <c r="J30" s="159"/>
      <c r="K30" s="159"/>
    </row>
    <row r="31" spans="1:11">
      <c r="A31" s="167"/>
      <c r="B31" s="159"/>
      <c r="C31" s="158"/>
      <c r="D31" s="159"/>
      <c r="E31" s="159"/>
      <c r="F31" s="168"/>
      <c r="H31" s="159"/>
      <c r="I31" s="159"/>
      <c r="J31" s="159"/>
      <c r="K31" s="159"/>
    </row>
    <row r="32" spans="1:11">
      <c r="A32" s="167"/>
      <c r="B32" s="159"/>
      <c r="C32" s="158"/>
      <c r="D32" s="159"/>
      <c r="E32" s="159"/>
      <c r="F32" s="168"/>
      <c r="H32" s="159"/>
      <c r="I32" s="159"/>
      <c r="J32" s="159"/>
      <c r="K32" s="159"/>
    </row>
    <row r="33" spans="1:11">
      <c r="A33" s="167"/>
      <c r="B33" s="159"/>
      <c r="C33" s="158"/>
      <c r="D33" s="159"/>
      <c r="E33" s="159"/>
      <c r="F33" s="168"/>
      <c r="H33" s="159"/>
      <c r="I33" s="159"/>
      <c r="J33" s="159"/>
      <c r="K33" s="159"/>
    </row>
    <row r="34" spans="1:11">
      <c r="A34" s="167"/>
      <c r="B34" s="159"/>
      <c r="C34" s="158"/>
      <c r="D34" s="159"/>
      <c r="E34" s="159"/>
      <c r="F34" s="168"/>
      <c r="H34" s="159"/>
      <c r="I34" s="159"/>
      <c r="J34" s="159"/>
      <c r="K34" s="159"/>
    </row>
    <row r="35" spans="1:11">
      <c r="A35" s="167"/>
      <c r="B35" s="169"/>
      <c r="C35" s="158"/>
      <c r="D35" s="159"/>
      <c r="E35" s="159"/>
      <c r="F35" s="168"/>
      <c r="H35" s="159"/>
      <c r="I35" s="159"/>
      <c r="J35" s="159"/>
      <c r="K35" s="159"/>
    </row>
    <row r="36" spans="1:11">
      <c r="A36" s="167"/>
      <c r="B36" s="169"/>
      <c r="C36" s="158"/>
      <c r="D36" s="159"/>
      <c r="E36" s="159"/>
      <c r="F36" s="168"/>
      <c r="H36" s="159"/>
      <c r="I36" s="159"/>
      <c r="J36" s="159"/>
      <c r="K36" s="159"/>
    </row>
    <row r="37" spans="1:11">
      <c r="A37" s="167"/>
      <c r="B37" s="169"/>
      <c r="C37" s="158"/>
      <c r="D37" s="159"/>
      <c r="E37" s="159"/>
      <c r="F37" s="168"/>
      <c r="H37" s="159"/>
      <c r="I37" s="159"/>
      <c r="J37" s="159"/>
      <c r="K37" s="159"/>
    </row>
    <row r="38" spans="1:11">
      <c r="A38" s="159"/>
      <c r="B38" s="169"/>
      <c r="C38" s="158"/>
      <c r="D38" s="159"/>
      <c r="E38" s="159"/>
      <c r="F38" s="162"/>
      <c r="H38" s="159"/>
      <c r="I38" s="159"/>
      <c r="J38" s="159"/>
      <c r="K38" s="159"/>
    </row>
    <row r="39" spans="1:11">
      <c r="A39" s="167"/>
      <c r="B39" s="169"/>
      <c r="C39" s="158"/>
      <c r="D39" s="159"/>
      <c r="E39" s="159"/>
      <c r="F39" s="168"/>
      <c r="H39" s="159"/>
      <c r="I39" s="159"/>
      <c r="J39" s="159"/>
      <c r="K39" s="159"/>
    </row>
    <row r="40" spans="1:11">
      <c r="A40" s="167"/>
      <c r="B40" s="169"/>
      <c r="C40" s="158"/>
      <c r="D40" s="159"/>
      <c r="E40" s="159"/>
      <c r="F40" s="168"/>
      <c r="H40" s="159"/>
      <c r="I40" s="159"/>
      <c r="J40" s="159"/>
      <c r="K40" s="159"/>
    </row>
    <row r="41" spans="1:11">
      <c r="A41" s="167"/>
      <c r="B41" s="169"/>
      <c r="C41" s="158"/>
      <c r="D41" s="159"/>
      <c r="E41" s="159"/>
      <c r="F41" s="168"/>
      <c r="H41" s="159"/>
      <c r="I41" s="159"/>
      <c r="J41" s="159"/>
      <c r="K41" s="159"/>
    </row>
    <row r="42" spans="1:11">
      <c r="A42" s="167"/>
      <c r="B42" s="169"/>
      <c r="C42" s="158"/>
      <c r="D42" s="159"/>
      <c r="E42" s="159"/>
      <c r="F42" s="168"/>
      <c r="H42" s="159"/>
      <c r="I42" s="159"/>
      <c r="J42" s="159"/>
      <c r="K42" s="159"/>
    </row>
    <row r="43" spans="1:11">
      <c r="A43" s="167"/>
      <c r="B43" s="169"/>
      <c r="C43" s="158"/>
      <c r="D43" s="159"/>
      <c r="E43" s="159"/>
      <c r="F43" s="168"/>
      <c r="H43" s="159"/>
      <c r="I43" s="159"/>
      <c r="J43" s="159"/>
      <c r="K43" s="159"/>
    </row>
    <row r="44" spans="1:11">
      <c r="A44" s="167"/>
      <c r="B44" s="169"/>
      <c r="C44" s="158"/>
      <c r="D44" s="159"/>
      <c r="E44" s="159"/>
      <c r="F44" s="168"/>
      <c r="H44" s="159"/>
      <c r="I44" s="159"/>
      <c r="J44" s="159"/>
      <c r="K44" s="159"/>
    </row>
    <row r="45" spans="1:11">
      <c r="A45" s="159"/>
      <c r="B45" s="169"/>
      <c r="C45" s="158"/>
      <c r="D45" s="159"/>
      <c r="E45" s="159"/>
      <c r="F45" s="162"/>
      <c r="H45" s="159"/>
      <c r="I45" s="159"/>
      <c r="J45" s="159"/>
      <c r="K45" s="159"/>
    </row>
    <row r="46" spans="1:11">
      <c r="A46" s="159"/>
      <c r="B46" s="159"/>
      <c r="C46" s="158"/>
      <c r="D46" s="159"/>
      <c r="E46" s="159"/>
      <c r="F46" s="162"/>
      <c r="H46" s="159"/>
      <c r="I46" s="159"/>
      <c r="J46" s="159"/>
      <c r="K46" s="159"/>
    </row>
    <row r="47" spans="1:11">
      <c r="A47" s="159"/>
      <c r="B47" s="159"/>
      <c r="C47" s="159"/>
      <c r="D47" s="159"/>
      <c r="E47" s="159"/>
      <c r="F47" s="162"/>
      <c r="H47" s="159"/>
      <c r="I47" s="159"/>
      <c r="J47" s="159"/>
      <c r="K47" s="159"/>
    </row>
    <row r="48" spans="1:11">
      <c r="A48" s="159"/>
      <c r="B48" s="159"/>
      <c r="C48" s="159"/>
      <c r="D48" s="159"/>
      <c r="E48" s="159"/>
      <c r="F48" s="162"/>
      <c r="H48" s="159"/>
      <c r="I48" s="159"/>
      <c r="J48" s="159"/>
      <c r="K48" s="159"/>
    </row>
    <row r="49" spans="1:11">
      <c r="A49" s="159"/>
      <c r="B49" s="159"/>
      <c r="C49" s="159"/>
      <c r="D49" s="159"/>
      <c r="E49" s="159"/>
      <c r="F49" s="162"/>
      <c r="H49" s="159"/>
      <c r="I49" s="159"/>
      <c r="J49" s="159"/>
      <c r="K49" s="159"/>
    </row>
    <row r="50" spans="1:11">
      <c r="A50" s="159"/>
      <c r="B50" s="159"/>
      <c r="C50" s="159"/>
      <c r="D50" s="159"/>
      <c r="E50" s="159"/>
      <c r="F50" s="162"/>
      <c r="H50" s="159"/>
      <c r="I50" s="159"/>
      <c r="J50" s="159"/>
      <c r="K50" s="159"/>
    </row>
    <row r="51" spans="1:11">
      <c r="A51" s="159"/>
      <c r="B51" s="159"/>
      <c r="C51" s="159"/>
      <c r="D51" s="159"/>
      <c r="E51" s="159"/>
      <c r="F51" s="162"/>
      <c r="H51" s="159"/>
      <c r="I51" s="159"/>
      <c r="J51" s="159"/>
      <c r="K51" s="159"/>
    </row>
    <row r="52" spans="1:11">
      <c r="A52" s="159"/>
      <c r="B52" s="159"/>
      <c r="C52" s="159"/>
      <c r="D52" s="159"/>
      <c r="E52" s="159"/>
      <c r="F52" s="162"/>
      <c r="H52" s="159"/>
      <c r="I52" s="159"/>
      <c r="J52" s="159"/>
      <c r="K52" s="159"/>
    </row>
    <row r="53" spans="1:11">
      <c r="A53" s="159"/>
      <c r="B53" s="159"/>
      <c r="C53" s="159"/>
      <c r="D53" s="159"/>
      <c r="E53" s="159"/>
      <c r="F53" s="162"/>
      <c r="H53" s="159"/>
      <c r="I53" s="159"/>
      <c r="J53" s="159"/>
      <c r="K53" s="159"/>
    </row>
    <row r="54" spans="1:11">
      <c r="A54" s="159"/>
      <c r="B54" s="159"/>
      <c r="C54" s="159"/>
      <c r="D54" s="159"/>
      <c r="E54" s="159"/>
      <c r="F54" s="162"/>
      <c r="H54" s="159"/>
      <c r="I54" s="159"/>
      <c r="J54" s="159"/>
      <c r="K54" s="159"/>
    </row>
    <row r="55" spans="1:11">
      <c r="A55" s="159"/>
      <c r="B55" s="159"/>
      <c r="C55" s="159"/>
      <c r="D55" s="159"/>
      <c r="E55" s="159"/>
      <c r="F55" s="162"/>
      <c r="H55" s="159"/>
      <c r="I55" s="159"/>
      <c r="J55" s="159"/>
      <c r="K55" s="159"/>
    </row>
    <row r="56" spans="1:11">
      <c r="A56" s="159"/>
      <c r="B56" s="159"/>
      <c r="C56" s="159"/>
      <c r="D56" s="159"/>
      <c r="E56" s="159"/>
      <c r="F56" s="162"/>
      <c r="H56" s="159"/>
      <c r="I56" s="159"/>
      <c r="J56" s="159"/>
      <c r="K56" s="159"/>
    </row>
    <row r="57" spans="1:11">
      <c r="A57" s="159"/>
      <c r="B57" s="159"/>
      <c r="C57" s="159"/>
      <c r="D57" s="159"/>
      <c r="E57" s="159"/>
      <c r="F57" s="162"/>
      <c r="H57" s="159"/>
      <c r="I57" s="159"/>
      <c r="J57" s="159"/>
      <c r="K57" s="159"/>
    </row>
    <row r="58" spans="1:11">
      <c r="A58" s="159"/>
      <c r="B58" s="159"/>
      <c r="C58" s="159"/>
      <c r="D58" s="159"/>
      <c r="E58" s="159"/>
      <c r="F58" s="162"/>
      <c r="H58" s="159"/>
      <c r="I58" s="159"/>
      <c r="J58" s="159"/>
      <c r="K58" s="159"/>
    </row>
    <row r="59" spans="1:11">
      <c r="A59" s="159"/>
      <c r="B59" s="159"/>
      <c r="C59" s="159"/>
      <c r="D59" s="159"/>
      <c r="E59" s="159"/>
      <c r="F59" s="162"/>
      <c r="H59" s="159"/>
      <c r="I59" s="159"/>
      <c r="J59" s="159"/>
      <c r="K59" s="159"/>
    </row>
    <row r="60" spans="1:11">
      <c r="A60" s="159"/>
      <c r="B60" s="159"/>
      <c r="C60" s="159"/>
      <c r="D60" s="159"/>
      <c r="E60" s="159"/>
      <c r="F60" s="162"/>
      <c r="H60" s="159"/>
      <c r="I60" s="159"/>
      <c r="J60" s="159"/>
      <c r="K60" s="159"/>
    </row>
    <row r="61" spans="1:11">
      <c r="A61" s="159"/>
      <c r="B61" s="159"/>
      <c r="C61" s="159"/>
      <c r="D61" s="159"/>
      <c r="E61" s="159"/>
      <c r="F61" s="162"/>
      <c r="H61" s="159"/>
      <c r="I61" s="159"/>
      <c r="J61" s="159"/>
      <c r="K61" s="159"/>
    </row>
    <row r="62" spans="1:11">
      <c r="A62" s="159"/>
      <c r="B62" s="159"/>
      <c r="C62" s="159"/>
      <c r="D62" s="159"/>
      <c r="E62" s="159"/>
      <c r="F62" s="162"/>
      <c r="H62" s="159"/>
      <c r="I62" s="159"/>
      <c r="J62" s="159"/>
      <c r="K62" s="159"/>
    </row>
    <row r="63" spans="1:11">
      <c r="A63" s="159"/>
      <c r="B63" s="159"/>
      <c r="C63" s="159"/>
      <c r="D63" s="159"/>
      <c r="E63" s="159"/>
      <c r="F63" s="162"/>
      <c r="H63" s="159"/>
      <c r="I63" s="159"/>
      <c r="J63" s="159"/>
      <c r="K63" s="159"/>
    </row>
    <row r="64" spans="1:11">
      <c r="A64" s="159"/>
      <c r="B64" s="159"/>
      <c r="C64" s="159"/>
      <c r="D64" s="159"/>
      <c r="E64" s="159"/>
      <c r="F64" s="162"/>
      <c r="H64" s="159"/>
      <c r="I64" s="159"/>
      <c r="J64" s="159"/>
      <c r="K64" s="159"/>
    </row>
    <row r="65" spans="1:11">
      <c r="A65" s="159"/>
      <c r="B65" s="159"/>
      <c r="C65" s="159"/>
      <c r="D65" s="159"/>
      <c r="E65" s="159"/>
      <c r="F65" s="162"/>
      <c r="H65" s="159"/>
      <c r="I65" s="159"/>
      <c r="J65" s="159"/>
      <c r="K65" s="159"/>
    </row>
    <row r="66" spans="1:11">
      <c r="A66" s="159"/>
      <c r="B66" s="159"/>
      <c r="C66" s="159"/>
      <c r="D66" s="159"/>
      <c r="E66" s="159"/>
      <c r="F66" s="162"/>
      <c r="H66" s="159"/>
      <c r="I66" s="159"/>
      <c r="J66" s="159"/>
      <c r="K66" s="159"/>
    </row>
    <row r="67" spans="1:11">
      <c r="A67" s="159"/>
      <c r="B67" s="159"/>
      <c r="C67" s="159"/>
      <c r="D67" s="159"/>
      <c r="E67" s="159"/>
      <c r="F67" s="162"/>
      <c r="H67" s="159"/>
      <c r="I67" s="159"/>
      <c r="J67" s="159"/>
      <c r="K67" s="159"/>
    </row>
    <row r="68" spans="1:11">
      <c r="A68" s="159"/>
      <c r="B68" s="159"/>
      <c r="C68" s="159"/>
      <c r="D68" s="159"/>
      <c r="E68" s="159"/>
      <c r="F68" s="162"/>
      <c r="H68" s="159"/>
      <c r="I68" s="159"/>
      <c r="J68" s="159"/>
      <c r="K68" s="159"/>
    </row>
    <row r="69" spans="1:11">
      <c r="A69" s="159"/>
      <c r="B69" s="159"/>
      <c r="C69" s="159"/>
      <c r="D69" s="159"/>
      <c r="E69" s="159"/>
      <c r="F69" s="162"/>
      <c r="H69" s="159"/>
      <c r="I69" s="159"/>
      <c r="J69" s="159"/>
      <c r="K69" s="159"/>
    </row>
    <row r="70" spans="1:11">
      <c r="A70" s="159"/>
      <c r="B70" s="159"/>
      <c r="C70" s="159"/>
      <c r="D70" s="159"/>
      <c r="E70" s="159"/>
      <c r="F70" s="162"/>
      <c r="H70" s="159"/>
      <c r="I70" s="159"/>
      <c r="J70" s="159"/>
      <c r="K70" s="159"/>
    </row>
    <row r="71" spans="1:11">
      <c r="A71" s="159"/>
      <c r="B71" s="159"/>
      <c r="C71" s="159"/>
      <c r="D71" s="159"/>
      <c r="E71" s="159"/>
      <c r="F71" s="162"/>
      <c r="H71" s="159"/>
      <c r="I71" s="159"/>
      <c r="J71" s="159"/>
      <c r="K71" s="159"/>
    </row>
    <row r="72" spans="1:11">
      <c r="A72" s="159"/>
      <c r="B72" s="159"/>
      <c r="C72" s="159"/>
      <c r="D72" s="159"/>
      <c r="E72" s="159"/>
      <c r="F72" s="162"/>
      <c r="H72" s="159"/>
      <c r="I72" s="159"/>
      <c r="J72" s="159"/>
      <c r="K72" s="159"/>
    </row>
    <row r="73" spans="1:11">
      <c r="A73" s="159"/>
      <c r="B73" s="159"/>
      <c r="C73" s="159"/>
      <c r="D73" s="159"/>
      <c r="E73" s="159"/>
      <c r="F73" s="162"/>
      <c r="H73" s="159"/>
      <c r="I73" s="159"/>
      <c r="J73" s="159"/>
      <c r="K73" s="159"/>
    </row>
    <row r="74" spans="1:11">
      <c r="A74" s="159"/>
      <c r="B74" s="159"/>
      <c r="C74" s="159"/>
      <c r="D74" s="159"/>
      <c r="E74" s="159"/>
      <c r="F74" s="162"/>
      <c r="H74" s="159"/>
      <c r="I74" s="159"/>
      <c r="J74" s="159"/>
      <c r="K74" s="159"/>
    </row>
    <row r="75" spans="1:11">
      <c r="A75" s="159"/>
      <c r="B75" s="159"/>
      <c r="C75" s="159"/>
      <c r="D75" s="159"/>
      <c r="E75" s="159"/>
      <c r="F75" s="162"/>
      <c r="H75" s="159"/>
      <c r="I75" s="159"/>
      <c r="J75" s="159"/>
      <c r="K75" s="159"/>
    </row>
    <row r="76" spans="1:11">
      <c r="A76" s="159"/>
      <c r="B76" s="159"/>
      <c r="C76" s="159"/>
      <c r="D76" s="159"/>
      <c r="E76" s="159"/>
      <c r="F76" s="162"/>
      <c r="H76" s="159"/>
      <c r="I76" s="159"/>
      <c r="J76" s="159"/>
      <c r="K76" s="159"/>
    </row>
    <row r="77" spans="1:11">
      <c r="A77" s="159"/>
      <c r="B77" s="159"/>
      <c r="C77" s="159"/>
      <c r="D77" s="159"/>
      <c r="E77" s="159"/>
      <c r="F77" s="162"/>
      <c r="H77" s="159"/>
      <c r="I77" s="159"/>
      <c r="J77" s="159"/>
      <c r="K77" s="159"/>
    </row>
    <row r="78" spans="1:11">
      <c r="A78" s="159"/>
      <c r="B78" s="159"/>
      <c r="C78" s="159"/>
      <c r="D78" s="159"/>
      <c r="E78" s="159"/>
      <c r="F78" s="162"/>
      <c r="H78" s="159"/>
      <c r="I78" s="159"/>
      <c r="J78" s="159"/>
      <c r="K78" s="159"/>
    </row>
    <row r="79" spans="1:11">
      <c r="A79" s="159"/>
      <c r="B79" s="159"/>
      <c r="C79" s="159"/>
      <c r="D79" s="159"/>
      <c r="E79" s="159"/>
      <c r="F79" s="162"/>
      <c r="H79" s="159"/>
      <c r="I79" s="159"/>
      <c r="J79" s="159"/>
      <c r="K79" s="159"/>
    </row>
    <row r="80" spans="1:11">
      <c r="A80" s="159"/>
      <c r="B80" s="159"/>
      <c r="C80" s="159"/>
      <c r="D80" s="159"/>
      <c r="E80" s="159"/>
      <c r="F80" s="162"/>
      <c r="H80" s="159"/>
      <c r="I80" s="159"/>
      <c r="J80" s="159"/>
      <c r="K80" s="159"/>
    </row>
    <row r="81" spans="1:11">
      <c r="A81" s="159"/>
      <c r="B81" s="159"/>
      <c r="C81" s="159"/>
      <c r="D81" s="159"/>
      <c r="E81" s="159"/>
      <c r="F81" s="162"/>
      <c r="H81" s="159"/>
      <c r="I81" s="159"/>
      <c r="J81" s="159"/>
      <c r="K81" s="159"/>
    </row>
    <row r="82" spans="1:11">
      <c r="A82" s="159"/>
      <c r="B82" s="159"/>
      <c r="C82" s="159"/>
      <c r="D82" s="159"/>
      <c r="E82" s="159"/>
      <c r="F82" s="162"/>
      <c r="H82" s="159"/>
      <c r="I82" s="159"/>
      <c r="J82" s="159"/>
      <c r="K82" s="159"/>
    </row>
    <row r="83" spans="1:11">
      <c r="A83" s="159"/>
      <c r="B83" s="159"/>
      <c r="C83" s="159"/>
      <c r="D83" s="159"/>
      <c r="E83" s="159"/>
      <c r="F83" s="162"/>
      <c r="H83" s="159"/>
      <c r="I83" s="159"/>
      <c r="J83" s="159"/>
      <c r="K83" s="159"/>
    </row>
    <row r="84" spans="1:11">
      <c r="A84" s="159"/>
      <c r="B84" s="159"/>
      <c r="C84" s="159"/>
      <c r="D84" s="159"/>
      <c r="E84" s="159"/>
      <c r="F84" s="162"/>
      <c r="H84" s="159"/>
      <c r="I84" s="159"/>
      <c r="J84" s="159"/>
      <c r="K84" s="159"/>
    </row>
    <row r="85" spans="1:11">
      <c r="A85" s="159"/>
      <c r="B85" s="159"/>
      <c r="C85" s="159"/>
      <c r="D85" s="159"/>
      <c r="E85" s="159"/>
      <c r="F85" s="162"/>
      <c r="H85" s="159"/>
      <c r="I85" s="159"/>
      <c r="J85" s="159"/>
      <c r="K85" s="159"/>
    </row>
    <row r="86" spans="1:11">
      <c r="A86" s="159"/>
      <c r="B86" s="159"/>
      <c r="C86" s="159"/>
      <c r="D86" s="159"/>
      <c r="E86" s="159"/>
      <c r="F86" s="162"/>
      <c r="H86" s="159"/>
      <c r="I86" s="159"/>
      <c r="J86" s="159"/>
      <c r="K86" s="159"/>
    </row>
    <row r="87" spans="1:11">
      <c r="A87" s="159"/>
      <c r="B87" s="159"/>
      <c r="C87" s="159"/>
      <c r="D87" s="159"/>
      <c r="E87" s="159"/>
      <c r="F87" s="162"/>
      <c r="H87" s="159"/>
      <c r="I87" s="159"/>
      <c r="J87" s="159"/>
      <c r="K87" s="159"/>
    </row>
    <row r="88" spans="1:11">
      <c r="A88" s="159"/>
      <c r="B88" s="159"/>
      <c r="C88" s="159"/>
      <c r="D88" s="159"/>
      <c r="E88" s="159"/>
      <c r="F88" s="162"/>
      <c r="H88" s="159"/>
      <c r="I88" s="159"/>
      <c r="J88" s="159"/>
      <c r="K88" s="159"/>
    </row>
    <row r="89" spans="1:11">
      <c r="A89" s="159"/>
      <c r="B89" s="159"/>
      <c r="C89" s="159"/>
      <c r="D89" s="159"/>
      <c r="E89" s="159"/>
      <c r="F89" s="162"/>
      <c r="H89" s="159"/>
      <c r="I89" s="159"/>
      <c r="J89" s="159"/>
      <c r="K89" s="159"/>
    </row>
  </sheetData>
  <mergeCells count="3">
    <mergeCell ref="A1:A2"/>
    <mergeCell ref="B1:D1"/>
    <mergeCell ref="E1:F1"/>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E594-CCF9-425E-B2C0-22BCD18ED635}">
  <sheetPr codeName="Sheet7">
    <tabColor theme="7" tint="0.39997558519241921"/>
  </sheetPr>
  <dimension ref="A1:H35"/>
  <sheetViews>
    <sheetView showGridLines="0" workbookViewId="0">
      <selection activeCell="A29" sqref="A29:G29"/>
    </sheetView>
  </sheetViews>
  <sheetFormatPr defaultColWidth="9.09765625" defaultRowHeight="13.85"/>
  <cols>
    <col min="1" max="1" width="34.296875" style="28" customWidth="1"/>
    <col min="2" max="2" width="27" style="28" customWidth="1"/>
    <col min="3" max="3" width="50.296875" style="28" customWidth="1"/>
    <col min="4" max="6" width="16" style="28" customWidth="1"/>
    <col min="7" max="7" width="52.59765625" style="28" customWidth="1"/>
    <col min="8" max="16384" width="9.09765625" style="28"/>
  </cols>
  <sheetData>
    <row r="1" spans="1:8" ht="23.85">
      <c r="A1" s="401" t="s">
        <v>1752</v>
      </c>
      <c r="B1" s="402"/>
      <c r="C1" s="402"/>
      <c r="D1" s="402"/>
      <c r="E1" s="402"/>
      <c r="F1" s="402"/>
      <c r="G1" s="402"/>
      <c r="H1" s="403"/>
    </row>
    <row r="2" spans="1:8" ht="14.4">
      <c r="A2" s="66"/>
      <c r="B2" s="66"/>
      <c r="C2" s="66"/>
      <c r="D2" s="66"/>
      <c r="E2" s="66"/>
      <c r="F2" s="66"/>
      <c r="G2" s="66"/>
    </row>
    <row r="3" spans="1:8" ht="14.4">
      <c r="A3" s="67" t="s">
        <v>124</v>
      </c>
      <c r="B3" s="67" t="s">
        <v>50</v>
      </c>
      <c r="C3" s="67" t="s">
        <v>106</v>
      </c>
      <c r="D3" s="66"/>
      <c r="E3" s="66"/>
      <c r="F3" s="66"/>
      <c r="G3" s="66"/>
    </row>
    <row r="4" spans="1:8" ht="14.4">
      <c r="A4" s="68" t="s">
        <v>1186</v>
      </c>
      <c r="B4" s="68" t="s">
        <v>1188</v>
      </c>
      <c r="C4" s="68" t="s">
        <v>1753</v>
      </c>
      <c r="D4" s="66"/>
      <c r="E4" s="66"/>
      <c r="F4" s="66"/>
      <c r="G4" s="66"/>
    </row>
    <row r="5" spans="1:8" ht="14.4">
      <c r="A5" s="68" t="s">
        <v>1190</v>
      </c>
      <c r="B5" s="68" t="s">
        <v>1191</v>
      </c>
      <c r="C5" s="68" t="s">
        <v>1754</v>
      </c>
      <c r="D5" s="66"/>
      <c r="E5" s="66"/>
      <c r="F5" s="66"/>
      <c r="G5" s="66"/>
    </row>
    <row r="6" spans="1:8" ht="14.4">
      <c r="A6" s="68" t="s">
        <v>1192</v>
      </c>
      <c r="B6" s="68" t="s">
        <v>1193</v>
      </c>
      <c r="C6" s="68" t="s">
        <v>1755</v>
      </c>
      <c r="D6" s="66"/>
      <c r="E6" s="66"/>
      <c r="F6" s="66"/>
      <c r="G6" s="66"/>
    </row>
    <row r="7" spans="1:8" ht="14.4">
      <c r="A7" s="68" t="s">
        <v>1194</v>
      </c>
      <c r="B7" s="68" t="s">
        <v>1195</v>
      </c>
      <c r="C7" s="68" t="s">
        <v>120</v>
      </c>
      <c r="D7" s="66"/>
      <c r="E7" s="66"/>
      <c r="F7" s="66"/>
      <c r="G7" s="66"/>
    </row>
    <row r="8" spans="1:8" ht="14.4">
      <c r="A8" s="68" t="s">
        <v>1196</v>
      </c>
      <c r="B8" s="68" t="s">
        <v>1197</v>
      </c>
      <c r="C8" s="68" t="s">
        <v>324</v>
      </c>
      <c r="D8" s="66"/>
      <c r="E8" s="66"/>
      <c r="F8" s="66"/>
      <c r="G8" s="66"/>
    </row>
    <row r="9" spans="1:8" ht="14.4">
      <c r="A9" s="68" t="s">
        <v>1198</v>
      </c>
      <c r="B9" s="68" t="s">
        <v>1199</v>
      </c>
      <c r="C9" s="68" t="s">
        <v>1221</v>
      </c>
      <c r="D9" s="66"/>
      <c r="E9" s="66"/>
      <c r="F9" s="66"/>
      <c r="G9" s="66"/>
    </row>
    <row r="10" spans="1:8" ht="14.4">
      <c r="A10" s="68" t="s">
        <v>1200</v>
      </c>
      <c r="B10" s="68" t="s">
        <v>1201</v>
      </c>
      <c r="C10" s="68" t="s">
        <v>1756</v>
      </c>
      <c r="D10" s="66"/>
      <c r="E10" s="66"/>
      <c r="F10" s="66"/>
      <c r="G10" s="66"/>
    </row>
    <row r="11" spans="1:8" ht="14.4">
      <c r="A11" s="68" t="s">
        <v>1202</v>
      </c>
      <c r="B11" s="68" t="s">
        <v>1203</v>
      </c>
      <c r="C11" s="68" t="s">
        <v>1300</v>
      </c>
      <c r="D11" s="66"/>
      <c r="E11" s="66"/>
      <c r="F11" s="66"/>
      <c r="G11" s="66"/>
    </row>
    <row r="12" spans="1:8" ht="14.4">
      <c r="A12" s="68" t="s">
        <v>1204</v>
      </c>
      <c r="B12" s="68" t="s">
        <v>1205</v>
      </c>
      <c r="C12" s="68" t="s">
        <v>1262</v>
      </c>
      <c r="D12" s="66"/>
      <c r="E12" s="66"/>
      <c r="F12" s="66"/>
      <c r="G12" s="66"/>
    </row>
    <row r="13" spans="1:8" ht="14.4">
      <c r="A13" s="68" t="s">
        <v>1206</v>
      </c>
      <c r="B13" s="68" t="s">
        <v>1207</v>
      </c>
      <c r="C13" s="68" t="s">
        <v>1757</v>
      </c>
      <c r="D13" s="66"/>
      <c r="E13" s="66"/>
      <c r="F13" s="66"/>
      <c r="G13" s="66"/>
    </row>
    <row r="14" spans="1:8" ht="14.4">
      <c r="A14" s="68" t="s">
        <v>1208</v>
      </c>
      <c r="B14" s="68" t="s">
        <v>1209</v>
      </c>
      <c r="C14" s="68" t="s">
        <v>324</v>
      </c>
      <c r="D14" s="66"/>
      <c r="E14" s="66"/>
      <c r="F14" s="66"/>
      <c r="G14" s="66"/>
    </row>
    <row r="15" spans="1:8" ht="14.4">
      <c r="A15" s="68" t="s">
        <v>1210</v>
      </c>
      <c r="B15" s="68" t="s">
        <v>1211</v>
      </c>
      <c r="C15" s="68" t="s">
        <v>1758</v>
      </c>
      <c r="D15" s="66"/>
      <c r="E15" s="66"/>
      <c r="F15" s="66"/>
      <c r="G15" s="66"/>
    </row>
    <row r="16" spans="1:8" ht="14.4">
      <c r="A16" s="68" t="s">
        <v>1212</v>
      </c>
      <c r="B16" s="68" t="s">
        <v>1213</v>
      </c>
      <c r="C16" s="68" t="s">
        <v>1300</v>
      </c>
      <c r="D16" s="66"/>
      <c r="E16" s="66"/>
      <c r="F16" s="66"/>
      <c r="G16" s="66"/>
    </row>
    <row r="17" spans="1:7" ht="14.4">
      <c r="A17" s="68" t="s">
        <v>1214</v>
      </c>
      <c r="B17" s="68" t="s">
        <v>1215</v>
      </c>
      <c r="C17" s="68" t="s">
        <v>741</v>
      </c>
      <c r="D17" s="66"/>
      <c r="E17" s="66"/>
      <c r="F17" s="66"/>
      <c r="G17" s="66"/>
    </row>
    <row r="18" spans="1:7" ht="14.4">
      <c r="A18" s="66"/>
      <c r="B18" s="66"/>
      <c r="C18" s="66"/>
      <c r="D18" s="66"/>
      <c r="E18" s="66"/>
      <c r="F18" s="66"/>
      <c r="G18" s="66"/>
    </row>
    <row r="19" spans="1:7" ht="14.4">
      <c r="A19" s="404" t="s">
        <v>1755</v>
      </c>
      <c r="B19" s="404"/>
      <c r="C19" s="404"/>
      <c r="D19" s="404"/>
      <c r="E19" s="404"/>
      <c r="F19" s="404"/>
      <c r="G19" s="404"/>
    </row>
    <row r="20" spans="1:7" ht="14.4">
      <c r="A20" s="67" t="s">
        <v>1759</v>
      </c>
      <c r="B20" s="67" t="s">
        <v>1366</v>
      </c>
      <c r="C20" s="67" t="s">
        <v>120</v>
      </c>
      <c r="D20" s="67" t="s">
        <v>1760</v>
      </c>
      <c r="E20" s="67" t="s">
        <v>1221</v>
      </c>
      <c r="F20" s="67" t="s">
        <v>1223</v>
      </c>
      <c r="G20" s="67" t="s">
        <v>918</v>
      </c>
    </row>
    <row r="21" spans="1:7" ht="14.4">
      <c r="A21" s="68" t="s">
        <v>1219</v>
      </c>
      <c r="B21" s="68" t="s">
        <v>1761</v>
      </c>
      <c r="C21" s="68" t="s">
        <v>1218</v>
      </c>
      <c r="D21" s="328">
        <f>'Available rpt'!B4</f>
        <v>44318.611299999997</v>
      </c>
      <c r="E21" s="328">
        <f>'Available rpt'!D4</f>
        <v>-4560</v>
      </c>
      <c r="F21" s="329">
        <f>IFERROR(ABS(D21)/SUM(D21:D22),"")</f>
        <v>1</v>
      </c>
      <c r="G21" s="68" t="s">
        <v>1762</v>
      </c>
    </row>
    <row r="22" spans="1:7" ht="14.4">
      <c r="A22" s="68" t="s">
        <v>1227</v>
      </c>
      <c r="B22" s="68" t="s">
        <v>1761</v>
      </c>
      <c r="C22" s="68" t="s">
        <v>1226</v>
      </c>
      <c r="D22" s="328">
        <f>'Available rpt'!B5</f>
        <v>0</v>
      </c>
      <c r="E22" s="328">
        <f>'Available rpt'!D5</f>
        <v>0</v>
      </c>
      <c r="F22" s="329">
        <f>IFERROR(ABS(D22)/SUM(D21:D22),"")</f>
        <v>0</v>
      </c>
      <c r="G22" s="68" t="s">
        <v>1762</v>
      </c>
    </row>
    <row r="23" spans="1:7" ht="14.4">
      <c r="A23" s="68" t="s">
        <v>1233</v>
      </c>
      <c r="B23" s="68" t="s">
        <v>1763</v>
      </c>
      <c r="C23" s="68" t="s">
        <v>1232</v>
      </c>
      <c r="D23" s="328">
        <f>-'Available rpt'!B9</f>
        <v>605</v>
      </c>
      <c r="E23" s="328">
        <f>-'Available rpt'!D9</f>
        <v>0</v>
      </c>
      <c r="F23" s="329">
        <f>IFERROR(ABS(D23)/SUM(D21:D22),"")</f>
        <v>1.3651149759739878E-2</v>
      </c>
      <c r="G23" s="68" t="s">
        <v>1764</v>
      </c>
    </row>
    <row r="24" spans="1:7" ht="14.4">
      <c r="A24" s="68" t="s">
        <v>1239</v>
      </c>
      <c r="B24" s="68" t="s">
        <v>1763</v>
      </c>
      <c r="C24" s="68" t="s">
        <v>1238</v>
      </c>
      <c r="D24" s="328">
        <f>-'Available rpt'!B7</f>
        <v>9366</v>
      </c>
      <c r="E24" s="328">
        <f>-'Available rpt'!D7</f>
        <v>0</v>
      </c>
      <c r="F24" s="329">
        <f>IFERROR(ABS(D24)/SUM(D21:D22),"")</f>
        <v>0.21133333661111356</v>
      </c>
      <c r="G24" s="68" t="s">
        <v>1764</v>
      </c>
    </row>
    <row r="25" spans="1:7" ht="14.4">
      <c r="A25" s="68" t="s">
        <v>1245</v>
      </c>
      <c r="B25" s="68" t="s">
        <v>1763</v>
      </c>
      <c r="C25" s="68" t="s">
        <v>1244</v>
      </c>
      <c r="D25" s="328">
        <f>-'Available rpt'!B6</f>
        <v>23578.3</v>
      </c>
      <c r="E25" s="328">
        <f>-'Available rpt'!D6</f>
        <v>0</v>
      </c>
      <c r="F25" s="329">
        <f>IFERROR(ABS(D25)/SUM(D21:D22),"")</f>
        <v>0.53201802376871865</v>
      </c>
      <c r="G25" s="68" t="s">
        <v>1764</v>
      </c>
    </row>
    <row r="26" spans="1:7" ht="14.4">
      <c r="A26" s="68" t="s">
        <v>1251</v>
      </c>
      <c r="B26" s="68" t="s">
        <v>1763</v>
      </c>
      <c r="C26" s="68" t="s">
        <v>1250</v>
      </c>
      <c r="D26" s="328">
        <f>-'Available rpt'!B8</f>
        <v>0</v>
      </c>
      <c r="E26" s="328">
        <f>-'Available rpt'!D8</f>
        <v>0</v>
      </c>
      <c r="F26" s="329">
        <f>IFERROR(ABS(D26)/SUM(D21:D22),"")</f>
        <v>0</v>
      </c>
      <c r="G26" s="68" t="s">
        <v>1764</v>
      </c>
    </row>
    <row r="27" spans="1:7" ht="14.4">
      <c r="A27" s="68" t="s">
        <v>1257</v>
      </c>
      <c r="B27" s="68" t="s">
        <v>1765</v>
      </c>
      <c r="C27" s="68" t="s">
        <v>1256</v>
      </c>
      <c r="D27" s="328">
        <f>'Available rpt'!B11</f>
        <v>10769.311299999998</v>
      </c>
      <c r="E27" s="328">
        <f>'Available rpt'!D11</f>
        <v>-4560</v>
      </c>
      <c r="F27" s="329">
        <f>IFERROR(ABS(D27)/SUM(D21:D22),"")</f>
        <v>0.24299748986042796</v>
      </c>
      <c r="G27" s="68" t="s">
        <v>1764</v>
      </c>
    </row>
    <row r="28" spans="1:7" ht="14.4">
      <c r="A28" s="66"/>
      <c r="B28" s="66"/>
      <c r="C28" s="66"/>
      <c r="D28" s="66"/>
      <c r="E28" s="66"/>
      <c r="F28" s="66"/>
      <c r="G28" s="66"/>
    </row>
    <row r="29" spans="1:7" ht="14.4">
      <c r="A29" s="404" t="s">
        <v>1262</v>
      </c>
      <c r="B29" s="404"/>
      <c r="C29" s="404"/>
      <c r="D29" s="404"/>
      <c r="E29" s="404"/>
      <c r="F29" s="404"/>
      <c r="G29" s="404"/>
    </row>
    <row r="30" spans="1:7" ht="14.4">
      <c r="A30" s="67" t="s">
        <v>1759</v>
      </c>
      <c r="B30" s="67" t="s">
        <v>1366</v>
      </c>
      <c r="C30" s="67" t="s">
        <v>1757</v>
      </c>
      <c r="D30" s="67" t="s">
        <v>1760</v>
      </c>
      <c r="E30" s="67" t="s">
        <v>1223</v>
      </c>
      <c r="F30" s="67" t="s">
        <v>741</v>
      </c>
      <c r="G30" s="67" t="s">
        <v>1766</v>
      </c>
    </row>
    <row r="31" spans="1:7" ht="14.4">
      <c r="A31" s="68" t="s">
        <v>1264</v>
      </c>
      <c r="B31" s="68" t="s">
        <v>1767</v>
      </c>
      <c r="C31" s="68" t="s">
        <v>1263</v>
      </c>
      <c r="D31" s="328">
        <f>'Available rpt'!I7</f>
        <v>10769.311299999999</v>
      </c>
      <c r="E31" s="329">
        <f>IFERROR(ABS(D31)/ABS(D31),"")</f>
        <v>1</v>
      </c>
      <c r="F31" s="68" t="s">
        <v>1768</v>
      </c>
      <c r="G31" s="68"/>
    </row>
    <row r="32" spans="1:7" ht="14.4">
      <c r="A32" s="68" t="s">
        <v>1270</v>
      </c>
      <c r="B32" s="68" t="s">
        <v>1769</v>
      </c>
      <c r="C32" s="68" t="s">
        <v>1269</v>
      </c>
      <c r="D32" s="328">
        <f>'Available rpt'!I2</f>
        <v>1459</v>
      </c>
      <c r="E32" s="329">
        <f>IFERROR(ABS(D32)/ABS(D31),"")</f>
        <v>0.13547755834674405</v>
      </c>
      <c r="F32" s="68" t="s">
        <v>1770</v>
      </c>
      <c r="G32" s="68"/>
    </row>
    <row r="33" spans="1:7" ht="14.4">
      <c r="A33" s="68" t="s">
        <v>1276</v>
      </c>
      <c r="B33" s="68" t="s">
        <v>1769</v>
      </c>
      <c r="C33" s="68" t="s">
        <v>1275</v>
      </c>
      <c r="D33" s="328">
        <f>'Available rpt'!I3</f>
        <v>800</v>
      </c>
      <c r="E33" s="329">
        <f>IFERROR(ABS(D33)/ABS(D31),"")</f>
        <v>7.4285158791909014E-2</v>
      </c>
      <c r="F33" s="68" t="s">
        <v>1771</v>
      </c>
      <c r="G33" s="68"/>
    </row>
    <row r="34" spans="1:7" ht="14.4">
      <c r="A34" s="68" t="s">
        <v>1282</v>
      </c>
      <c r="B34" s="68" t="s">
        <v>1769</v>
      </c>
      <c r="C34" s="68" t="s">
        <v>1281</v>
      </c>
      <c r="D34" s="328">
        <f>'Available rpt'!I4</f>
        <v>7392.8208999999997</v>
      </c>
      <c r="E34" s="329">
        <f>IFERROR(ABS(D34)/ABS(D31),"")</f>
        <v>0.68647109309580456</v>
      </c>
      <c r="F34" s="68" t="s">
        <v>1772</v>
      </c>
      <c r="G34" s="68"/>
    </row>
    <row r="35" spans="1:7" ht="14.4">
      <c r="A35" s="68" t="s">
        <v>1288</v>
      </c>
      <c r="B35" s="68" t="s">
        <v>1769</v>
      </c>
      <c r="C35" s="68" t="s">
        <v>1287</v>
      </c>
      <c r="D35" s="328">
        <f>'Available rpt'!I5+'Available rpt'!I6</f>
        <v>1117.4904000000001</v>
      </c>
      <c r="E35" s="329">
        <f>IFERROR(ABS(D35)/ABS(D31),"")</f>
        <v>0.1037661897655424</v>
      </c>
      <c r="F35" s="68" t="s">
        <v>1773</v>
      </c>
      <c r="G35" s="68" t="s">
        <v>1774</v>
      </c>
    </row>
  </sheetData>
  <mergeCells count="3">
    <mergeCell ref="A1:H1"/>
    <mergeCell ref="A19:G19"/>
    <mergeCell ref="A29:G2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9CD10-CA2D-4751-9A0E-2ED1267FE45A}">
  <sheetPr codeName="Sheet8"/>
  <dimension ref="A1:S40"/>
  <sheetViews>
    <sheetView topLeftCell="C1" workbookViewId="0">
      <pane ySplit="2" topLeftCell="A16" activePane="bottomLeft" state="frozen"/>
      <selection pane="bottomLeft" activeCell="B2" sqref="B2:P27"/>
    </sheetView>
  </sheetViews>
  <sheetFormatPr defaultColWidth="9" defaultRowHeight="14.4"/>
  <cols>
    <col min="1" max="1" width="4.3984375" style="202" customWidth="1"/>
    <col min="2" max="2" width="79" style="206" customWidth="1"/>
    <col min="3" max="3" width="12" style="238" bestFit="1" customWidth="1"/>
    <col min="4" max="4" width="12" style="244" bestFit="1" customWidth="1"/>
    <col min="5" max="6" width="15.09765625" style="238" customWidth="1"/>
    <col min="7" max="7" width="15.09765625" style="240" customWidth="1"/>
    <col min="8" max="10" width="12.69921875" style="240" bestFit="1" customWidth="1"/>
    <col min="11" max="14" width="12.69921875" style="248" bestFit="1" customWidth="1"/>
    <col min="15" max="16" width="12.69921875" style="248" customWidth="1"/>
    <col min="17" max="17" width="17.296875" style="205" customWidth="1"/>
    <col min="18" max="18" width="10.8984375" style="205" customWidth="1"/>
    <col min="19" max="16384" width="9" style="200"/>
  </cols>
  <sheetData>
    <row r="1" spans="1:19">
      <c r="B1" s="198"/>
      <c r="C1" s="241" t="s">
        <v>2001</v>
      </c>
      <c r="D1" s="243"/>
      <c r="E1" s="237" t="s">
        <v>878</v>
      </c>
      <c r="F1" s="245"/>
      <c r="G1" s="241"/>
      <c r="H1" s="246" t="s">
        <v>879</v>
      </c>
      <c r="I1" s="246"/>
      <c r="J1" s="246"/>
      <c r="K1" s="247" t="str">
        <f>"Phân bố kỳ thanh khoản BS tại "&amp;TEXT(C2,"dd/mm/yyyy")</f>
        <v>Phân bố kỳ thanh khoản BS tại 28/09/2026</v>
      </c>
      <c r="L1" s="247"/>
      <c r="M1" s="247"/>
      <c r="N1" s="247"/>
      <c r="O1" s="246"/>
      <c r="P1" s="247" t="s">
        <v>2002</v>
      </c>
      <c r="Q1" s="211"/>
      <c r="R1" s="199"/>
    </row>
    <row r="2" spans="1:19" s="301" customFormat="1">
      <c r="A2" s="292" t="s">
        <v>877</v>
      </c>
      <c r="B2" s="293"/>
      <c r="C2" s="294">
        <v>46293</v>
      </c>
      <c r="D2" s="295" t="s">
        <v>880</v>
      </c>
      <c r="E2" s="296" t="s">
        <v>1989</v>
      </c>
      <c r="F2" s="296" t="s">
        <v>1990</v>
      </c>
      <c r="G2" s="297" t="s">
        <v>1991</v>
      </c>
      <c r="H2" s="298">
        <v>46292</v>
      </c>
      <c r="I2" s="298">
        <v>46265</v>
      </c>
      <c r="J2" s="299">
        <v>46022</v>
      </c>
      <c r="K2" s="107" t="s">
        <v>881</v>
      </c>
      <c r="L2" s="107" t="s">
        <v>882</v>
      </c>
      <c r="M2" s="107" t="s">
        <v>883</v>
      </c>
      <c r="N2" s="107" t="s">
        <v>884</v>
      </c>
      <c r="O2" s="300" t="s">
        <v>885</v>
      </c>
      <c r="P2" s="107" t="s">
        <v>1988</v>
      </c>
      <c r="Q2" s="210" t="s">
        <v>886</v>
      </c>
    </row>
    <row r="3" spans="1:19">
      <c r="A3" s="203">
        <v>1</v>
      </c>
      <c r="B3" s="252" t="s">
        <v>887</v>
      </c>
      <c r="C3" s="288">
        <v>33.460610000000003</v>
      </c>
      <c r="D3" s="253">
        <v>0.28803445428399799</v>
      </c>
      <c r="E3" s="288">
        <v>-4.5600000000000023</v>
      </c>
      <c r="F3" s="288">
        <v>-5.7473999999999847</v>
      </c>
      <c r="G3" s="290">
        <v>8.5494987000000044</v>
      </c>
      <c r="H3" s="108">
        <v>38.020610000000005</v>
      </c>
      <c r="I3" s="108">
        <v>39.208009999999987</v>
      </c>
      <c r="J3" s="254">
        <v>24.911111300000002</v>
      </c>
      <c r="K3" s="108">
        <v>20.890677596410001</v>
      </c>
      <c r="L3" s="108">
        <v>12.56993240359</v>
      </c>
      <c r="M3" s="108">
        <v>0</v>
      </c>
      <c r="N3" s="108">
        <v>0</v>
      </c>
      <c r="O3" s="254">
        <v>0</v>
      </c>
      <c r="P3" s="108">
        <v>1.0634953638138995</v>
      </c>
      <c r="Q3" s="212"/>
      <c r="R3" s="230"/>
      <c r="S3" s="230"/>
    </row>
    <row r="4" spans="1:19">
      <c r="A4" s="203">
        <v>2</v>
      </c>
      <c r="B4" s="252" t="s">
        <v>888</v>
      </c>
      <c r="C4" s="288">
        <v>10.858000000000001</v>
      </c>
      <c r="D4" s="253">
        <v>9.3467456349888733E-2</v>
      </c>
      <c r="E4" s="288">
        <v>0</v>
      </c>
      <c r="F4" s="288">
        <v>0</v>
      </c>
      <c r="G4" s="290">
        <v>-6.1009999999999991</v>
      </c>
      <c r="H4" s="108">
        <v>10.858000000000001</v>
      </c>
      <c r="I4" s="108">
        <v>10.858000000000001</v>
      </c>
      <c r="J4" s="254">
        <v>16.959</v>
      </c>
      <c r="K4" s="108">
        <v>0</v>
      </c>
      <c r="L4" s="108">
        <v>0</v>
      </c>
      <c r="M4" s="108">
        <v>0</v>
      </c>
      <c r="N4" s="108">
        <v>0</v>
      </c>
      <c r="O4" s="254">
        <v>10.858000000000001</v>
      </c>
      <c r="P4" s="108">
        <v>11.999999999999998</v>
      </c>
      <c r="Q4" s="213"/>
      <c r="R4" s="230"/>
      <c r="S4" s="230"/>
    </row>
    <row r="5" spans="1:19">
      <c r="A5" s="203">
        <v>3</v>
      </c>
      <c r="B5" s="252" t="s">
        <v>889</v>
      </c>
      <c r="C5" s="288">
        <v>2.619287194811097</v>
      </c>
      <c r="D5" s="253">
        <v>2.2547256543454471E-2</v>
      </c>
      <c r="E5" s="288">
        <v>5.249088142699776E-2</v>
      </c>
      <c r="F5" s="288">
        <v>-0.70047829097601522</v>
      </c>
      <c r="G5" s="290">
        <v>-1.3064951467109027</v>
      </c>
      <c r="H5" s="108">
        <v>2.5667963133840992</v>
      </c>
      <c r="I5" s="108">
        <v>3.3197654857871122</v>
      </c>
      <c r="J5" s="254">
        <v>3.9257823415219999</v>
      </c>
      <c r="K5" s="108">
        <v>2.619287194811097</v>
      </c>
      <c r="L5" s="108">
        <v>0</v>
      </c>
      <c r="M5" s="108">
        <v>0</v>
      </c>
      <c r="N5" s="108">
        <v>0</v>
      </c>
      <c r="O5" s="254">
        <v>0</v>
      </c>
      <c r="P5" s="108">
        <v>0.5</v>
      </c>
      <c r="Q5" s="213"/>
      <c r="R5" s="230"/>
      <c r="S5" s="230"/>
    </row>
    <row r="6" spans="1:19">
      <c r="A6" s="203">
        <v>4</v>
      </c>
      <c r="B6" s="252" t="s">
        <v>890</v>
      </c>
      <c r="C6" s="288">
        <v>37.353039571340801</v>
      </c>
      <c r="D6" s="253">
        <v>0.32154113056455724</v>
      </c>
      <c r="E6" s="288">
        <v>-1.1470676534187874E-2</v>
      </c>
      <c r="F6" s="288">
        <v>1.011235042216299</v>
      </c>
      <c r="G6" s="290">
        <v>-3.1022748229946373</v>
      </c>
      <c r="H6" s="108">
        <v>37.364510247874989</v>
      </c>
      <c r="I6" s="108">
        <v>36.341804529124502</v>
      </c>
      <c r="J6" s="254">
        <v>40.455314394335439</v>
      </c>
      <c r="K6" s="108">
        <v>1.3</v>
      </c>
      <c r="L6" s="108">
        <v>8.9499999999999993</v>
      </c>
      <c r="M6" s="108">
        <v>2.4426106000000001</v>
      </c>
      <c r="N6" s="108">
        <v>20.9041</v>
      </c>
      <c r="O6" s="254">
        <v>3.7563295513999999</v>
      </c>
      <c r="P6" s="108">
        <v>7.0016603740452226</v>
      </c>
      <c r="Q6" s="213"/>
      <c r="R6" s="230"/>
      <c r="S6" s="230"/>
    </row>
    <row r="7" spans="1:19">
      <c r="A7" s="203">
        <v>5</v>
      </c>
      <c r="B7" s="252" t="s">
        <v>891</v>
      </c>
      <c r="C7" s="288">
        <v>29.339813322278001</v>
      </c>
      <c r="D7" s="253">
        <v>0.25256195625473404</v>
      </c>
      <c r="E7" s="288">
        <v>0.3022442292699985</v>
      </c>
      <c r="F7" s="288">
        <v>-1.1548002704059996</v>
      </c>
      <c r="G7" s="290">
        <v>2.2328521220100015</v>
      </c>
      <c r="H7" s="108">
        <v>29.037569093007999</v>
      </c>
      <c r="I7" s="108">
        <v>30.494613592683997</v>
      </c>
      <c r="J7" s="254">
        <v>27.106961200267996</v>
      </c>
      <c r="K7" s="108">
        <v>18.113424864163999</v>
      </c>
      <c r="L7" s="108">
        <v>4.3246351590990004</v>
      </c>
      <c r="M7" s="108">
        <v>1.1305101979450001</v>
      </c>
      <c r="N7" s="108">
        <v>5.7712431010699996</v>
      </c>
      <c r="O7" s="254">
        <v>0</v>
      </c>
      <c r="P7" s="108">
        <v>2.5279374015434724</v>
      </c>
      <c r="Q7" s="213"/>
      <c r="R7" s="230"/>
      <c r="S7" s="230"/>
    </row>
    <row r="8" spans="1:19">
      <c r="A8" s="203">
        <v>6</v>
      </c>
      <c r="B8" s="252" t="s">
        <v>892</v>
      </c>
      <c r="C8" s="288">
        <v>1.9792984832739999</v>
      </c>
      <c r="D8" s="253">
        <v>1.7038128070437791E-2</v>
      </c>
      <c r="E8" s="288">
        <v>0</v>
      </c>
      <c r="F8" s="288">
        <v>0.49618669351999994</v>
      </c>
      <c r="G8" s="290">
        <v>1.2007030016009801</v>
      </c>
      <c r="H8" s="108">
        <v>1.9792984832739999</v>
      </c>
      <c r="I8" s="108">
        <v>1.483111789754</v>
      </c>
      <c r="J8" s="254">
        <v>0.77859548167301995</v>
      </c>
      <c r="K8" s="108">
        <v>0.122506662732</v>
      </c>
      <c r="L8" s="108">
        <v>0.44077958563199998</v>
      </c>
      <c r="M8" s="108">
        <v>0.75740697858499995</v>
      </c>
      <c r="N8" s="108">
        <v>0.658605256325</v>
      </c>
      <c r="O8" s="254">
        <v>0</v>
      </c>
      <c r="P8" s="108">
        <v>5.0017154095522693</v>
      </c>
      <c r="Q8" s="213"/>
      <c r="R8" s="230"/>
      <c r="S8" s="230"/>
    </row>
    <row r="9" spans="1:19">
      <c r="A9" s="203">
        <v>7</v>
      </c>
      <c r="B9" s="252" t="s">
        <v>893</v>
      </c>
      <c r="C9" s="288">
        <v>0.558727428296109</v>
      </c>
      <c r="D9" s="253">
        <v>4.8096179329298354E-3</v>
      </c>
      <c r="E9" s="288">
        <v>-2.8246564341628044</v>
      </c>
      <c r="F9" s="288">
        <v>-4.907241174354283</v>
      </c>
      <c r="G9" s="290">
        <v>-2.3884125890788659</v>
      </c>
      <c r="H9" s="108">
        <v>3.3833838624589134</v>
      </c>
      <c r="I9" s="108">
        <v>5.465968602650392</v>
      </c>
      <c r="J9" s="254">
        <v>2.9471400173749749</v>
      </c>
      <c r="K9" s="108">
        <v>0.558727428296109</v>
      </c>
      <c r="L9" s="108">
        <v>0</v>
      </c>
      <c r="M9" s="108">
        <v>0</v>
      </c>
      <c r="N9" s="108">
        <v>0</v>
      </c>
      <c r="O9" s="254">
        <v>0</v>
      </c>
      <c r="P9" s="108">
        <v>0.5</v>
      </c>
      <c r="Q9" s="213"/>
      <c r="R9" s="230"/>
      <c r="S9" s="230"/>
    </row>
    <row r="10" spans="1:19" s="274" customFormat="1">
      <c r="A10" s="201" t="s">
        <v>894</v>
      </c>
      <c r="B10" s="275" t="s">
        <v>895</v>
      </c>
      <c r="C10" s="289">
        <v>116.16877599999999</v>
      </c>
      <c r="D10" s="277">
        <v>1</v>
      </c>
      <c r="E10" s="289">
        <v>-7.0413920000000161</v>
      </c>
      <c r="F10" s="289">
        <v>-11.002498000000015</v>
      </c>
      <c r="G10" s="291">
        <v>-0.91512873517343973</v>
      </c>
      <c r="H10" s="276">
        <v>123.210168</v>
      </c>
      <c r="I10" s="276">
        <v>127.171274</v>
      </c>
      <c r="J10" s="278">
        <v>117.08390473517343</v>
      </c>
      <c r="K10" s="276">
        <v>43.604623746413203</v>
      </c>
      <c r="L10" s="276">
        <v>26.285347148321001</v>
      </c>
      <c r="M10" s="276">
        <v>4.3305277765300003</v>
      </c>
      <c r="N10" s="276">
        <v>27.333948357394998</v>
      </c>
      <c r="O10" s="278">
        <v>14.614329551399999</v>
      </c>
      <c r="P10" s="276">
        <v>4.4166136958292785</v>
      </c>
      <c r="Q10" s="273"/>
      <c r="R10" s="279"/>
      <c r="S10" s="279"/>
    </row>
    <row r="11" spans="1:19">
      <c r="A11" s="203">
        <v>1</v>
      </c>
      <c r="B11" s="252" t="s">
        <v>2019</v>
      </c>
      <c r="C11" s="288">
        <v>33.646304798663998</v>
      </c>
      <c r="D11" s="253">
        <v>0.28963294576387721</v>
      </c>
      <c r="E11" s="288">
        <v>0</v>
      </c>
      <c r="F11" s="288">
        <v>-4.7187959017970016</v>
      </c>
      <c r="G11" s="290">
        <v>4.8173047986639972</v>
      </c>
      <c r="H11" s="108">
        <v>33.646304798663998</v>
      </c>
      <c r="I11" s="108">
        <v>38.365100700460999</v>
      </c>
      <c r="J11" s="254">
        <v>28.829000000000001</v>
      </c>
      <c r="K11" s="108">
        <v>21.076372395073999</v>
      </c>
      <c r="L11" s="108">
        <v>12.56993240359</v>
      </c>
      <c r="M11" s="108">
        <v>0</v>
      </c>
      <c r="N11" s="108">
        <v>0</v>
      </c>
      <c r="O11" s="254">
        <v>0</v>
      </c>
      <c r="P11" s="108">
        <v>1.0603854187914767</v>
      </c>
      <c r="Q11" s="213"/>
      <c r="R11" s="230"/>
      <c r="S11" s="230"/>
    </row>
    <row r="12" spans="1:19">
      <c r="A12" s="203">
        <v>2</v>
      </c>
      <c r="B12" s="252" t="s">
        <v>897</v>
      </c>
      <c r="C12" s="288">
        <v>35.604340799999996</v>
      </c>
      <c r="D12" s="253">
        <v>0.30648804287995596</v>
      </c>
      <c r="E12" s="288">
        <v>-4.0463448000000071</v>
      </c>
      <c r="F12" s="288">
        <v>-1.6009998498391198</v>
      </c>
      <c r="G12" s="290">
        <v>1.3599636811411528</v>
      </c>
      <c r="H12" s="108">
        <v>39.650685600000003</v>
      </c>
      <c r="I12" s="108">
        <v>37.205340649839115</v>
      </c>
      <c r="J12" s="254">
        <v>34.244377118858843</v>
      </c>
      <c r="K12" s="108">
        <v>18.768215999999999</v>
      </c>
      <c r="L12" s="108">
        <v>9.0459223999999985</v>
      </c>
      <c r="M12" s="108">
        <v>6.1381287999999996</v>
      </c>
      <c r="N12" s="108">
        <v>1.6520736</v>
      </c>
      <c r="O12" s="254">
        <v>0</v>
      </c>
      <c r="P12" s="108">
        <v>1.8789037768113941</v>
      </c>
      <c r="Q12" s="213"/>
      <c r="R12" s="230"/>
      <c r="S12" s="230"/>
    </row>
    <row r="13" spans="1:19">
      <c r="A13" s="203">
        <v>3</v>
      </c>
      <c r="B13" s="252" t="s">
        <v>898</v>
      </c>
      <c r="C13" s="288">
        <v>11.124225069521239</v>
      </c>
      <c r="D13" s="253">
        <v>9.5759165694585952E-2</v>
      </c>
      <c r="E13" s="288">
        <v>-2.8364257064161791E-4</v>
      </c>
      <c r="F13" s="288">
        <v>-3.6962692483392416</v>
      </c>
      <c r="G13" s="290">
        <v>-2.3297089741789758</v>
      </c>
      <c r="H13" s="108">
        <v>11.124508712091879</v>
      </c>
      <c r="I13" s="108">
        <v>14.820494317860479</v>
      </c>
      <c r="J13" s="254">
        <v>13.453934043700215</v>
      </c>
      <c r="K13" s="108">
        <v>1.60040177106924</v>
      </c>
      <c r="L13" s="108">
        <v>9.5238232984519993</v>
      </c>
      <c r="M13" s="108">
        <v>0</v>
      </c>
      <c r="N13" s="108">
        <v>0</v>
      </c>
      <c r="O13" s="254">
        <v>0</v>
      </c>
      <c r="P13" s="108">
        <v>1.7842004596633734</v>
      </c>
      <c r="Q13" s="213"/>
      <c r="R13" s="230"/>
      <c r="S13" s="230"/>
    </row>
    <row r="14" spans="1:19">
      <c r="A14" s="203">
        <v>4</v>
      </c>
      <c r="B14" s="252" t="s">
        <v>899</v>
      </c>
      <c r="C14" s="288">
        <v>6.5</v>
      </c>
      <c r="D14" s="253">
        <v>5.5953072966870208E-2</v>
      </c>
      <c r="E14" s="288">
        <v>0</v>
      </c>
      <c r="F14" s="288">
        <v>0</v>
      </c>
      <c r="G14" s="290">
        <v>-4.4000000000000004</v>
      </c>
      <c r="H14" s="108">
        <v>6.5</v>
      </c>
      <c r="I14" s="108">
        <v>6.5</v>
      </c>
      <c r="J14" s="254">
        <v>10.9</v>
      </c>
      <c r="K14" s="108">
        <v>2</v>
      </c>
      <c r="L14" s="108">
        <v>3.5</v>
      </c>
      <c r="M14" s="108">
        <v>0</v>
      </c>
      <c r="N14" s="108">
        <v>1</v>
      </c>
      <c r="O14" s="254">
        <v>0</v>
      </c>
      <c r="P14" s="108">
        <v>2.6153846153846154</v>
      </c>
      <c r="Q14" s="213"/>
      <c r="R14" s="230"/>
      <c r="S14" s="230"/>
    </row>
    <row r="15" spans="1:19">
      <c r="A15" s="203">
        <v>5</v>
      </c>
      <c r="B15" s="252" t="s">
        <v>900</v>
      </c>
      <c r="C15" s="288">
        <v>2.6985933318147772</v>
      </c>
      <c r="D15" s="253">
        <v>2.3229936861991016E-2</v>
      </c>
      <c r="E15" s="288">
        <v>-0.16380555742934175</v>
      </c>
      <c r="F15" s="288">
        <v>0.32908699997537383</v>
      </c>
      <c r="G15" s="290">
        <v>-0.44534363710125113</v>
      </c>
      <c r="H15" s="108">
        <v>2.862398889244119</v>
      </c>
      <c r="I15" s="108">
        <v>2.3695063318394034</v>
      </c>
      <c r="J15" s="254">
        <v>3.1439369689160284</v>
      </c>
      <c r="K15" s="108">
        <v>2.6985933318147772</v>
      </c>
      <c r="L15" s="108">
        <v>0</v>
      </c>
      <c r="M15" s="108">
        <v>0</v>
      </c>
      <c r="N15" s="108">
        <v>0</v>
      </c>
      <c r="O15" s="254">
        <v>0</v>
      </c>
      <c r="P15" s="108">
        <v>0.5</v>
      </c>
      <c r="Q15" s="213"/>
      <c r="R15" s="230"/>
      <c r="S15" s="230"/>
    </row>
    <row r="16" spans="1:19">
      <c r="A16" s="204">
        <v>6</v>
      </c>
      <c r="B16" s="252" t="s">
        <v>901</v>
      </c>
      <c r="C16" s="288">
        <v>12</v>
      </c>
      <c r="D16" s="253">
        <v>0.10329798086191425</v>
      </c>
      <c r="E16" s="288">
        <v>0</v>
      </c>
      <c r="F16" s="288">
        <v>0</v>
      </c>
      <c r="G16" s="290">
        <v>0</v>
      </c>
      <c r="H16" s="108">
        <v>12</v>
      </c>
      <c r="I16" s="108">
        <v>12</v>
      </c>
      <c r="J16" s="254">
        <v>12</v>
      </c>
      <c r="K16" s="108">
        <v>0</v>
      </c>
      <c r="L16" s="108">
        <v>0</v>
      </c>
      <c r="M16" s="108">
        <v>0</v>
      </c>
      <c r="N16" s="108">
        <v>0</v>
      </c>
      <c r="O16" s="254">
        <v>12</v>
      </c>
      <c r="P16" s="108">
        <v>12</v>
      </c>
      <c r="Q16" s="213"/>
      <c r="R16" s="230"/>
      <c r="S16" s="230"/>
    </row>
    <row r="17" spans="1:19" s="274" customFormat="1">
      <c r="A17" s="201" t="s">
        <v>902</v>
      </c>
      <c r="B17" s="275" t="s">
        <v>903</v>
      </c>
      <c r="C17" s="289">
        <v>101.573464</v>
      </c>
      <c r="D17" s="277">
        <v>0.8743611450291946</v>
      </c>
      <c r="E17" s="289">
        <v>-4.2104339999999922</v>
      </c>
      <c r="F17" s="289">
        <v>-9.6869779999999963</v>
      </c>
      <c r="G17" s="291">
        <v>-0.99778413147508604</v>
      </c>
      <c r="H17" s="276">
        <v>105.78389799999999</v>
      </c>
      <c r="I17" s="276">
        <v>111.260442</v>
      </c>
      <c r="J17" s="278">
        <v>102.57124813147507</v>
      </c>
      <c r="K17" s="276">
        <v>46.143583497958019</v>
      </c>
      <c r="L17" s="276">
        <v>34.639678102041998</v>
      </c>
      <c r="M17" s="276">
        <v>6.1381287999999996</v>
      </c>
      <c r="N17" s="276">
        <v>2.6520736</v>
      </c>
      <c r="O17" s="278">
        <v>12</v>
      </c>
      <c r="P17" s="276">
        <v>2.8036094698223839</v>
      </c>
      <c r="Q17" s="273"/>
      <c r="R17" s="279"/>
      <c r="S17" s="279"/>
    </row>
    <row r="18" spans="1:19" s="274" customFormat="1" ht="43.2">
      <c r="A18" s="201" t="s">
        <v>904</v>
      </c>
      <c r="B18" s="275" t="s">
        <v>2006</v>
      </c>
      <c r="C18" s="289">
        <v>14.595311999999993</v>
      </c>
      <c r="D18" s="277">
        <v>0.12563885497080551</v>
      </c>
      <c r="E18" s="289">
        <v>-2.8309580000000238</v>
      </c>
      <c r="F18" s="289">
        <v>-1.3155200000000209</v>
      </c>
      <c r="G18" s="291">
        <v>8.2655396301646533E-2</v>
      </c>
      <c r="H18" s="276">
        <v>17.426270000000017</v>
      </c>
      <c r="I18" s="276">
        <v>15.910832000000012</v>
      </c>
      <c r="J18" s="278">
        <v>14.512656603698346</v>
      </c>
      <c r="K18" s="276">
        <v>7.5953119999999918</v>
      </c>
      <c r="L18" s="276">
        <v>7</v>
      </c>
      <c r="M18" s="276">
        <v>0</v>
      </c>
      <c r="N18" s="276">
        <v>0</v>
      </c>
      <c r="O18" s="278">
        <v>0</v>
      </c>
      <c r="P18" s="276">
        <v>1.2194090814913725</v>
      </c>
      <c r="Q18" s="273"/>
      <c r="R18" s="279"/>
      <c r="S18" s="279"/>
    </row>
    <row r="19" spans="1:19" s="274" customFormat="1" ht="28.8">
      <c r="A19" s="214" t="s">
        <v>905</v>
      </c>
      <c r="B19" s="280" t="s">
        <v>1992</v>
      </c>
      <c r="C19" s="281">
        <v>-10.134271751544809</v>
      </c>
      <c r="D19" s="282"/>
      <c r="E19" s="281">
        <v>-0.26793685273581502</v>
      </c>
      <c r="F19" s="281">
        <v>-5.6150090261852768</v>
      </c>
      <c r="G19" s="283">
        <v>6.6912080415555693</v>
      </c>
      <c r="H19" s="281">
        <v>-9.8663348988089936</v>
      </c>
      <c r="I19" s="281">
        <v>-4.5192627253595319</v>
      </c>
      <c r="J19" s="283">
        <v>-16.825479793100378</v>
      </c>
      <c r="K19" s="281">
        <v>-10.134271751544809</v>
      </c>
      <c r="L19" s="281">
        <v>-15.354330953721</v>
      </c>
      <c r="M19" s="281">
        <v>-1.8076010234699993</v>
      </c>
      <c r="N19" s="281">
        <v>24.681874757394997</v>
      </c>
      <c r="O19" s="283">
        <v>2.6143295514000009</v>
      </c>
      <c r="P19" s="281"/>
      <c r="Q19" s="216"/>
      <c r="R19" s="279"/>
      <c r="S19" s="279"/>
    </row>
    <row r="20" spans="1:19" ht="28.8">
      <c r="A20" s="215">
        <v>1</v>
      </c>
      <c r="B20" s="255" t="s">
        <v>1993</v>
      </c>
      <c r="C20" s="256">
        <v>-10.134271751544809</v>
      </c>
      <c r="D20" s="257"/>
      <c r="E20" s="256">
        <v>-0.26793685273581502</v>
      </c>
      <c r="F20" s="256">
        <v>-5.6150090261852768</v>
      </c>
      <c r="G20" s="258">
        <v>6.6912080415555693</v>
      </c>
      <c r="H20" s="256">
        <v>-9.8663348988089936</v>
      </c>
      <c r="I20" s="256">
        <v>-4.5192627253595319</v>
      </c>
      <c r="J20" s="258">
        <v>-16.825479793100378</v>
      </c>
      <c r="K20" s="256">
        <v>-10.134271751544809</v>
      </c>
      <c r="L20" s="256">
        <v>-25.488602705265809</v>
      </c>
      <c r="M20" s="256">
        <v>-27.296203728735808</v>
      </c>
      <c r="N20" s="256">
        <v>-2.6143289713408109</v>
      </c>
      <c r="O20" s="258">
        <v>5.8005919001402617E-7</v>
      </c>
      <c r="P20" s="256"/>
      <c r="Q20" s="216"/>
      <c r="R20" s="230"/>
      <c r="S20" s="230"/>
    </row>
    <row r="21" spans="1:19" ht="28.8">
      <c r="A21" s="217">
        <v>2</v>
      </c>
      <c r="B21" s="259" t="s">
        <v>1994</v>
      </c>
      <c r="C21" s="260">
        <v>-2.5389597515448159</v>
      </c>
      <c r="D21" s="261"/>
      <c r="E21" s="260">
        <v>-3.0988948527358389</v>
      </c>
      <c r="F21" s="260">
        <v>-6.9305290261852974</v>
      </c>
      <c r="G21" s="262">
        <v>6.7738634378572424</v>
      </c>
      <c r="H21" s="260">
        <v>0.55993510119102297</v>
      </c>
      <c r="I21" s="260">
        <v>4.3915692746404815</v>
      </c>
      <c r="J21" s="262">
        <v>-9.3128231894020583</v>
      </c>
      <c r="K21" s="260">
        <v>-2.5389597515448159</v>
      </c>
      <c r="L21" s="260">
        <v>-10.893290705265816</v>
      </c>
      <c r="M21" s="260">
        <v>-12.700891728735815</v>
      </c>
      <c r="N21" s="260">
        <v>11.980983028659182</v>
      </c>
      <c r="O21" s="262">
        <v>14.595312580059185</v>
      </c>
      <c r="P21" s="260"/>
      <c r="Q21" s="218"/>
      <c r="R21" s="230"/>
      <c r="S21" s="230"/>
    </row>
    <row r="22" spans="1:19" s="274" customFormat="1" ht="43.2">
      <c r="A22" s="219" t="s">
        <v>906</v>
      </c>
      <c r="B22" s="284" t="s">
        <v>1995</v>
      </c>
      <c r="C22" s="285">
        <v>-10.134271751544809</v>
      </c>
      <c r="D22" s="286"/>
      <c r="E22" s="285">
        <v>-0.26793685273581502</v>
      </c>
      <c r="F22" s="285">
        <v>-5.6150090261852768</v>
      </c>
      <c r="G22" s="287">
        <v>6.6912080415555693</v>
      </c>
      <c r="H22" s="285">
        <v>-9.8663348988089936</v>
      </c>
      <c r="I22" s="285">
        <v>-4.5192627253595319</v>
      </c>
      <c r="J22" s="287">
        <v>-16.825479793100378</v>
      </c>
      <c r="K22" s="285">
        <v>-10.134271751544809</v>
      </c>
      <c r="L22" s="285">
        <v>-15.354330953721</v>
      </c>
      <c r="M22" s="285">
        <v>-1.8076010234699993</v>
      </c>
      <c r="N22" s="285">
        <v>24.681874757394997</v>
      </c>
      <c r="O22" s="287">
        <v>2.6143295514000009</v>
      </c>
      <c r="P22" s="285"/>
      <c r="Q22" s="221"/>
      <c r="R22" s="279"/>
      <c r="S22" s="279"/>
    </row>
    <row r="23" spans="1:19" ht="43.2">
      <c r="A23" s="220">
        <v>1</v>
      </c>
      <c r="B23" s="263" t="s">
        <v>1996</v>
      </c>
      <c r="C23" s="264">
        <v>-10.134271751544809</v>
      </c>
      <c r="D23" s="265"/>
      <c r="E23" s="264">
        <v>-0.26793685273581502</v>
      </c>
      <c r="F23" s="264">
        <v>-5.6150090261852768</v>
      </c>
      <c r="G23" s="266">
        <v>6.6912080415555693</v>
      </c>
      <c r="H23" s="264">
        <v>-9.8663348988089936</v>
      </c>
      <c r="I23" s="264">
        <v>-4.5192627253595319</v>
      </c>
      <c r="J23" s="266">
        <v>-16.825479793100378</v>
      </c>
      <c r="K23" s="264">
        <v>-10.134271751544809</v>
      </c>
      <c r="L23" s="264">
        <v>-25.488602705265809</v>
      </c>
      <c r="M23" s="264">
        <v>-27.296203728735808</v>
      </c>
      <c r="N23" s="264">
        <v>-2.6143289713408109</v>
      </c>
      <c r="O23" s="266">
        <v>5.8005919001402617E-7</v>
      </c>
      <c r="P23" s="264"/>
      <c r="Q23" s="221"/>
      <c r="R23" s="230"/>
      <c r="S23" s="230"/>
    </row>
    <row r="24" spans="1:19" s="236" customFormat="1" ht="28.8">
      <c r="A24" s="231">
        <v>2</v>
      </c>
      <c r="B24" s="267" t="s">
        <v>1997</v>
      </c>
      <c r="C24" s="268">
        <v>-33.908341943819181</v>
      </c>
      <c r="D24" s="232"/>
      <c r="E24" s="268">
        <v>-0.56139227653294199</v>
      </c>
      <c r="F24" s="268">
        <v>-13.502622641470154</v>
      </c>
      <c r="G24" s="233">
        <v>17.133582811820133</v>
      </c>
      <c r="H24" s="268">
        <v>-33.346949667286239</v>
      </c>
      <c r="I24" s="268">
        <v>-20.405719302349027</v>
      </c>
      <c r="J24" s="233">
        <v>-51.041924755639315</v>
      </c>
      <c r="K24" s="268">
        <v>-21.113066149051683</v>
      </c>
      <c r="L24" s="268">
        <v>-12.795275794767502</v>
      </c>
      <c r="M24" s="268">
        <v>0</v>
      </c>
      <c r="N24" s="268">
        <v>0</v>
      </c>
      <c r="O24" s="233">
        <v>0</v>
      </c>
      <c r="P24" s="268"/>
      <c r="Q24" s="234"/>
      <c r="R24" s="235"/>
      <c r="S24" s="235"/>
    </row>
    <row r="25" spans="1:19" ht="28.8">
      <c r="A25" s="222">
        <v>2</v>
      </c>
      <c r="B25" s="263" t="s">
        <v>1998</v>
      </c>
      <c r="C25" s="264">
        <v>-67.816683887638362</v>
      </c>
      <c r="D25" s="265"/>
      <c r="E25" s="264">
        <v>-1.122784553065884</v>
      </c>
      <c r="F25" s="264">
        <v>-27.005245282940308</v>
      </c>
      <c r="G25" s="266">
        <v>34.267165623640267</v>
      </c>
      <c r="H25" s="264">
        <v>-66.693899334572478</v>
      </c>
      <c r="I25" s="264">
        <v>-40.811438604698054</v>
      </c>
      <c r="J25" s="266">
        <v>-102.08384951127864</v>
      </c>
      <c r="K25" s="264">
        <v>-42.226132298103366</v>
      </c>
      <c r="L25" s="264">
        <v>-25.590551589535004</v>
      </c>
      <c r="M25" s="264">
        <v>0</v>
      </c>
      <c r="N25" s="264">
        <v>0</v>
      </c>
      <c r="O25" s="266">
        <v>0</v>
      </c>
      <c r="P25" s="264"/>
      <c r="Q25" s="223"/>
      <c r="R25" s="230"/>
      <c r="S25" s="230"/>
    </row>
    <row r="26" spans="1:19" s="236" customFormat="1" ht="28.8">
      <c r="A26" s="231">
        <v>4</v>
      </c>
      <c r="B26" s="267" t="s">
        <v>1999</v>
      </c>
      <c r="C26" s="268">
        <v>-100.64251707943372</v>
      </c>
      <c r="D26" s="232"/>
      <c r="E26" s="268">
        <v>-1.2370237417058263</v>
      </c>
      <c r="F26" s="268">
        <v>-31.999067233022529</v>
      </c>
      <c r="G26" s="233">
        <v>1.0418223493746552</v>
      </c>
      <c r="H26" s="268">
        <v>-99.405493337727876</v>
      </c>
      <c r="I26" s="268">
        <v>-68.643449846411187</v>
      </c>
      <c r="J26" s="233">
        <v>-101.68433942880836</v>
      </c>
      <c r="K26" s="268">
        <v>-46.448745527913715</v>
      </c>
      <c r="L26" s="268">
        <v>-51.181103179070007</v>
      </c>
      <c r="M26" s="268">
        <v>-3.012668372449999</v>
      </c>
      <c r="N26" s="268">
        <v>0</v>
      </c>
      <c r="O26" s="233">
        <v>0</v>
      </c>
      <c r="P26" s="268"/>
      <c r="Q26" s="234"/>
      <c r="R26" s="235"/>
      <c r="S26" s="235"/>
    </row>
    <row r="27" spans="1:19" ht="28.8">
      <c r="A27" s="224">
        <v>3</v>
      </c>
      <c r="B27" s="269" t="s">
        <v>2000</v>
      </c>
      <c r="C27" s="270">
        <v>-201.28503415886743</v>
      </c>
      <c r="D27" s="271"/>
      <c r="E27" s="270">
        <v>-2.4740474834116526</v>
      </c>
      <c r="F27" s="270">
        <v>-63.998134466045059</v>
      </c>
      <c r="G27" s="272">
        <v>2.0836446987493105</v>
      </c>
      <c r="H27" s="270">
        <v>-198.81098667545575</v>
      </c>
      <c r="I27" s="270">
        <v>-137.28689969282237</v>
      </c>
      <c r="J27" s="272">
        <v>-203.36867885761671</v>
      </c>
      <c r="K27" s="270">
        <v>-92.89749105582743</v>
      </c>
      <c r="L27" s="270">
        <v>-102.36220635814</v>
      </c>
      <c r="M27" s="270">
        <v>-6.0253367448999979</v>
      </c>
      <c r="N27" s="270">
        <v>0</v>
      </c>
      <c r="O27" s="272">
        <v>0</v>
      </c>
      <c r="P27" s="270"/>
      <c r="Q27" s="225"/>
      <c r="R27" s="230"/>
      <c r="S27" s="230"/>
    </row>
    <row r="28" spans="1:19">
      <c r="C28" s="242"/>
      <c r="G28" s="238"/>
      <c r="H28" s="242"/>
      <c r="I28" s="242"/>
      <c r="J28" s="238"/>
      <c r="K28" s="238"/>
      <c r="L28" s="238"/>
      <c r="M28" s="238"/>
      <c r="N28" s="238"/>
      <c r="O28" s="238"/>
      <c r="P28" s="238"/>
      <c r="Q28" s="197"/>
    </row>
    <row r="29" spans="1:19">
      <c r="G29" s="239"/>
      <c r="H29" s="239"/>
      <c r="I29" s="239"/>
      <c r="J29" s="239"/>
    </row>
    <row r="30" spans="1:19">
      <c r="A30" s="207"/>
      <c r="H30" s="249"/>
      <c r="I30" s="249"/>
    </row>
    <row r="31" spans="1:19">
      <c r="A31" s="208" t="s">
        <v>164</v>
      </c>
      <c r="G31" s="249"/>
      <c r="H31" s="249"/>
      <c r="I31" s="249"/>
    </row>
    <row r="32" spans="1:19" s="205" customFormat="1">
      <c r="A32" s="208" t="s">
        <v>907</v>
      </c>
      <c r="B32" s="206"/>
      <c r="C32" s="238"/>
      <c r="D32" s="244"/>
      <c r="E32" s="238"/>
      <c r="F32" s="238"/>
      <c r="G32" s="240"/>
      <c r="H32" s="249"/>
      <c r="I32" s="249"/>
      <c r="J32" s="240"/>
      <c r="K32" s="248"/>
      <c r="L32" s="248"/>
      <c r="M32" s="248"/>
      <c r="N32" s="248"/>
      <c r="O32" s="248"/>
      <c r="P32" s="248"/>
    </row>
    <row r="33" spans="1:16" s="205" customFormat="1">
      <c r="A33" s="209" t="s">
        <v>908</v>
      </c>
      <c r="B33" s="206"/>
      <c r="C33" s="238"/>
      <c r="D33" s="244"/>
      <c r="E33" s="238"/>
      <c r="F33" s="238"/>
      <c r="G33" s="240"/>
      <c r="H33" s="249"/>
      <c r="I33" s="249"/>
      <c r="J33" s="240"/>
      <c r="K33" s="248"/>
      <c r="L33" s="248"/>
      <c r="M33" s="248"/>
      <c r="N33" s="248"/>
      <c r="O33" s="248"/>
      <c r="P33" s="248"/>
    </row>
    <row r="34" spans="1:16">
      <c r="A34" s="202" t="s">
        <v>909</v>
      </c>
      <c r="H34" s="249"/>
      <c r="I34" s="249"/>
    </row>
    <row r="35" spans="1:16">
      <c r="H35" s="249"/>
      <c r="I35" s="249"/>
    </row>
    <row r="36" spans="1:16">
      <c r="I36" s="249"/>
    </row>
    <row r="37" spans="1:16">
      <c r="I37" s="249"/>
      <c r="K37" s="250"/>
    </row>
    <row r="38" spans="1:16">
      <c r="I38" s="249"/>
    </row>
    <row r="39" spans="1:16">
      <c r="I39" s="249"/>
    </row>
    <row r="40" spans="1:16" s="205" customFormat="1">
      <c r="A40" s="202"/>
      <c r="B40" s="206"/>
      <c r="C40" s="238"/>
      <c r="D40" s="244"/>
      <c r="E40" s="238"/>
      <c r="F40" s="238"/>
      <c r="G40" s="240"/>
      <c r="H40" s="240"/>
      <c r="I40" s="249"/>
      <c r="J40" s="240"/>
      <c r="K40" s="248"/>
      <c r="L40" s="251"/>
      <c r="M40" s="248"/>
      <c r="N40" s="248"/>
      <c r="O40" s="248"/>
      <c r="P40" s="248"/>
    </row>
  </sheetData>
  <phoneticPr fontId="13"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8D2BD-D7B2-4D56-9946-563A9AABA832}">
  <sheetPr codeName="Sheet13">
    <tabColor theme="7" tint="0.39997558519241921"/>
  </sheetPr>
  <dimension ref="A1:O68"/>
  <sheetViews>
    <sheetView showGridLines="0" workbookViewId="0">
      <selection activeCell="C18" sqref="C18"/>
    </sheetView>
  </sheetViews>
  <sheetFormatPr defaultColWidth="9.09765625" defaultRowHeight="13.85"/>
  <cols>
    <col min="1" max="1" width="28.8984375" style="28" customWidth="1"/>
    <col min="2" max="2" width="44.296875" style="28" customWidth="1"/>
    <col min="3" max="3" width="20.59765625" style="28" customWidth="1"/>
    <col min="4" max="4" width="16" style="28" customWidth="1"/>
    <col min="5" max="5" width="13.69921875" style="28" customWidth="1"/>
    <col min="6" max="6" width="16" style="28" customWidth="1"/>
    <col min="7" max="7" width="18.296875" style="28" customWidth="1"/>
    <col min="8" max="8" width="16" style="28" customWidth="1"/>
    <col min="9" max="9" width="23.296875" style="28" customWidth="1"/>
    <col min="10" max="10" width="16" style="28" customWidth="1"/>
    <col min="11" max="12" width="20.59765625" style="28" customWidth="1"/>
    <col min="13" max="13" width="25.09765625" style="28" customWidth="1"/>
    <col min="14" max="15" width="18.296875" style="28" customWidth="1"/>
    <col min="16" max="16384" width="9.09765625" style="28"/>
  </cols>
  <sheetData>
    <row r="1" spans="1:15" ht="23.85">
      <c r="A1" s="401" t="s">
        <v>1293</v>
      </c>
      <c r="B1" s="402"/>
      <c r="C1" s="402"/>
      <c r="D1" s="402"/>
      <c r="E1" s="402"/>
      <c r="F1" s="402"/>
      <c r="G1" s="402"/>
      <c r="H1" s="402"/>
      <c r="I1" s="402"/>
      <c r="J1" s="402"/>
      <c r="K1" s="402"/>
      <c r="L1" s="66"/>
      <c r="M1" s="66"/>
      <c r="N1" s="66"/>
      <c r="O1" s="66"/>
    </row>
    <row r="2" spans="1:15" ht="14.4">
      <c r="A2" s="66"/>
      <c r="B2" s="66"/>
      <c r="C2" s="66"/>
      <c r="D2" s="66"/>
      <c r="E2" s="66"/>
      <c r="F2" s="66"/>
      <c r="G2" s="66"/>
      <c r="H2" s="66"/>
      <c r="I2" s="66"/>
      <c r="J2" s="66"/>
      <c r="K2" s="66"/>
      <c r="L2" s="66"/>
      <c r="M2" s="66"/>
      <c r="N2" s="66"/>
      <c r="O2" s="66"/>
    </row>
    <row r="3" spans="1:15" ht="14.4">
      <c r="A3" s="67" t="s">
        <v>124</v>
      </c>
      <c r="B3" s="67" t="s">
        <v>50</v>
      </c>
      <c r="C3" s="67" t="s">
        <v>106</v>
      </c>
      <c r="D3" s="66"/>
      <c r="E3" s="66"/>
      <c r="F3" s="66"/>
      <c r="G3" s="66"/>
      <c r="H3" s="66"/>
      <c r="I3" s="66"/>
      <c r="J3" s="66"/>
      <c r="K3" s="66"/>
      <c r="L3" s="66"/>
      <c r="M3" s="66"/>
      <c r="N3" s="66"/>
      <c r="O3" s="66"/>
    </row>
    <row r="4" spans="1:15" ht="14.4">
      <c r="A4" s="68" t="s">
        <v>473</v>
      </c>
      <c r="B4" s="68" t="s">
        <v>1188</v>
      </c>
      <c r="C4" s="68" t="s">
        <v>1744</v>
      </c>
      <c r="D4" s="66"/>
      <c r="E4" s="66"/>
      <c r="F4" s="66"/>
      <c r="G4" s="66"/>
      <c r="H4" s="66"/>
      <c r="I4" s="66"/>
      <c r="J4" s="66"/>
      <c r="K4" s="66"/>
      <c r="L4" s="66"/>
      <c r="M4" s="66"/>
      <c r="N4" s="66"/>
      <c r="O4" s="66"/>
    </row>
    <row r="5" spans="1:15" ht="14.4">
      <c r="A5" s="68" t="s">
        <v>475</v>
      </c>
      <c r="B5" s="68" t="s">
        <v>1191</v>
      </c>
      <c r="C5" s="68" t="s">
        <v>1775</v>
      </c>
      <c r="D5" s="66"/>
      <c r="E5" s="66"/>
      <c r="F5" s="66"/>
      <c r="G5" s="66"/>
      <c r="H5" s="66"/>
      <c r="I5" s="66"/>
      <c r="J5" s="66"/>
      <c r="K5" s="66"/>
      <c r="L5" s="66"/>
      <c r="M5" s="66"/>
      <c r="N5" s="66"/>
      <c r="O5" s="66"/>
    </row>
    <row r="6" spans="1:15" ht="14.4">
      <c r="A6" s="68" t="s">
        <v>1294</v>
      </c>
      <c r="B6" s="68" t="s">
        <v>1295</v>
      </c>
      <c r="C6" s="125" t="str">
        <f>TEXT(B25,"dd/mm/yyyy")</f>
        <v>28/09/2026</v>
      </c>
      <c r="D6" s="66"/>
      <c r="E6" s="66"/>
      <c r="F6" s="66"/>
      <c r="G6" s="66"/>
      <c r="H6" s="66"/>
      <c r="I6" s="66"/>
      <c r="J6" s="66"/>
      <c r="K6" s="66"/>
      <c r="L6" s="66"/>
      <c r="M6" s="66"/>
      <c r="N6" s="66"/>
      <c r="O6" s="66"/>
    </row>
    <row r="7" spans="1:15" ht="14.4">
      <c r="A7" s="66"/>
      <c r="B7" s="66"/>
      <c r="C7" s="66"/>
      <c r="D7" s="66"/>
      <c r="E7" s="66"/>
      <c r="F7" s="66"/>
      <c r="G7" s="66"/>
      <c r="H7" s="66"/>
      <c r="I7" s="66"/>
      <c r="J7" s="66"/>
      <c r="K7" s="66"/>
      <c r="L7" s="66"/>
      <c r="M7" s="66"/>
      <c r="N7" s="66"/>
      <c r="O7" s="66"/>
    </row>
    <row r="8" spans="1:15" ht="14.4">
      <c r="A8" s="404" t="s">
        <v>1776</v>
      </c>
      <c r="B8" s="404"/>
      <c r="C8" s="404"/>
      <c r="D8" s="404"/>
      <c r="E8" s="404"/>
      <c r="F8" s="404"/>
      <c r="G8" s="404"/>
      <c r="H8" s="404"/>
      <c r="I8" s="404"/>
      <c r="J8" s="404"/>
      <c r="K8" s="404"/>
      <c r="L8" s="404"/>
      <c r="M8" s="404"/>
      <c r="N8" s="127"/>
      <c r="O8" s="127"/>
    </row>
    <row r="9" spans="1:15" ht="14.4">
      <c r="A9" s="67" t="s">
        <v>1296</v>
      </c>
      <c r="B9" s="67" t="s">
        <v>1316</v>
      </c>
      <c r="C9" s="67" t="s">
        <v>1777</v>
      </c>
      <c r="D9" s="67" t="s">
        <v>106</v>
      </c>
      <c r="E9" s="67" t="s">
        <v>1778</v>
      </c>
      <c r="F9" s="67" t="s">
        <v>401</v>
      </c>
      <c r="G9" s="67" t="s">
        <v>1779</v>
      </c>
      <c r="H9" s="67" t="s">
        <v>1780</v>
      </c>
      <c r="I9" s="67" t="s">
        <v>164</v>
      </c>
      <c r="J9" s="67" t="s">
        <v>1781</v>
      </c>
      <c r="K9" s="67" t="s">
        <v>1782</v>
      </c>
      <c r="L9" s="67" t="s">
        <v>1783</v>
      </c>
      <c r="M9" s="67" t="s">
        <v>1784</v>
      </c>
      <c r="N9" s="66"/>
      <c r="O9" s="66"/>
    </row>
    <row r="10" spans="1:15" ht="26.6">
      <c r="A10" s="68" t="s">
        <v>1785</v>
      </c>
      <c r="B10" s="69" t="s">
        <v>507</v>
      </c>
      <c r="C10" s="69"/>
      <c r="D10" s="330">
        <f>VALUE(H64)</f>
        <v>-10.1</v>
      </c>
      <c r="E10" s="69" t="s">
        <v>515</v>
      </c>
      <c r="F10" s="69" t="s">
        <v>518</v>
      </c>
      <c r="G10" s="69" t="s">
        <v>521</v>
      </c>
      <c r="H10" s="69" t="s">
        <v>524</v>
      </c>
      <c r="I10" s="69"/>
      <c r="J10" s="69" t="s">
        <v>529</v>
      </c>
      <c r="K10" s="69"/>
      <c r="L10" s="69"/>
      <c r="M10" s="69" t="s">
        <v>1786</v>
      </c>
      <c r="N10" s="66"/>
      <c r="O10" s="66"/>
    </row>
    <row r="11" spans="1:15" ht="26.6">
      <c r="A11" s="68" t="s">
        <v>1787</v>
      </c>
      <c r="B11" s="69" t="s">
        <v>536</v>
      </c>
      <c r="C11" s="69"/>
      <c r="D11" s="330">
        <f>VALUE(H64+I64)</f>
        <v>-25.5</v>
      </c>
      <c r="E11" s="69" t="s">
        <v>515</v>
      </c>
      <c r="F11" s="69" t="s">
        <v>546</v>
      </c>
      <c r="G11" s="69" t="s">
        <v>521</v>
      </c>
      <c r="H11" s="69" t="s">
        <v>524</v>
      </c>
      <c r="I11" s="69"/>
      <c r="J11" s="69" t="s">
        <v>529</v>
      </c>
      <c r="K11" s="69"/>
      <c r="L11" s="69"/>
      <c r="M11" s="69" t="s">
        <v>1786</v>
      </c>
      <c r="N11" s="66"/>
      <c r="O11" s="66"/>
    </row>
    <row r="12" spans="1:15" ht="39.9">
      <c r="A12" s="68" t="s">
        <v>1788</v>
      </c>
      <c r="B12" s="69" t="s">
        <v>561</v>
      </c>
      <c r="C12" s="69"/>
      <c r="D12" s="330">
        <f>VALUE(H66)</f>
        <v>-10.1</v>
      </c>
      <c r="E12" s="69" t="s">
        <v>515</v>
      </c>
      <c r="F12" s="69"/>
      <c r="G12" s="69"/>
      <c r="H12" s="69"/>
      <c r="I12" s="69" t="s">
        <v>1789</v>
      </c>
      <c r="J12" s="69" t="s">
        <v>580</v>
      </c>
      <c r="K12" s="69"/>
      <c r="L12" s="69"/>
      <c r="M12" s="69" t="s">
        <v>1786</v>
      </c>
      <c r="N12" s="66"/>
      <c r="O12" s="66"/>
    </row>
    <row r="13" spans="1:15" ht="39.9">
      <c r="A13" s="68" t="s">
        <v>1790</v>
      </c>
      <c r="B13" s="69" t="s">
        <v>587</v>
      </c>
      <c r="C13" s="69"/>
      <c r="D13" s="330">
        <f>VALUE(I66)</f>
        <v>-25.5</v>
      </c>
      <c r="E13" s="69" t="s">
        <v>515</v>
      </c>
      <c r="F13" s="69"/>
      <c r="G13" s="69"/>
      <c r="H13" s="69"/>
      <c r="I13" s="69" t="s">
        <v>1789</v>
      </c>
      <c r="J13" s="69" t="s">
        <v>580</v>
      </c>
      <c r="K13" s="69"/>
      <c r="L13" s="69"/>
      <c r="M13" s="69" t="s">
        <v>1786</v>
      </c>
      <c r="N13" s="66"/>
      <c r="O13" s="66"/>
    </row>
    <row r="14" spans="1:15" ht="53.2">
      <c r="A14" s="68" t="s">
        <v>1791</v>
      </c>
      <c r="B14" s="69" t="s">
        <v>611</v>
      </c>
      <c r="C14" s="69" t="s">
        <v>1792</v>
      </c>
      <c r="D14" s="330">
        <f>H67+I67</f>
        <v>-67.800000000000011</v>
      </c>
      <c r="E14" s="69" t="s">
        <v>620</v>
      </c>
      <c r="F14" s="129" t="s">
        <v>1793</v>
      </c>
      <c r="G14" s="69" t="s">
        <v>1794</v>
      </c>
      <c r="H14" s="69" t="s">
        <v>628</v>
      </c>
      <c r="I14" s="69"/>
      <c r="J14" s="69" t="s">
        <v>529</v>
      </c>
      <c r="K14" s="69"/>
      <c r="L14" s="69"/>
      <c r="M14" s="69" t="s">
        <v>1786</v>
      </c>
      <c r="N14" s="66"/>
      <c r="O14" s="66"/>
    </row>
    <row r="15" spans="1:15" ht="14.4">
      <c r="A15" s="66"/>
      <c r="B15" s="66"/>
      <c r="C15" s="66"/>
      <c r="D15" s="66"/>
      <c r="E15" s="66"/>
      <c r="F15" s="66"/>
      <c r="G15" s="66"/>
      <c r="H15" s="66"/>
      <c r="I15" s="66"/>
      <c r="J15" s="66"/>
      <c r="K15" s="66"/>
      <c r="L15" s="66"/>
      <c r="M15" s="66"/>
      <c r="N15" s="66"/>
      <c r="O15" s="66"/>
    </row>
    <row r="16" spans="1:15" ht="14.4">
      <c r="A16" s="404" t="s">
        <v>1795</v>
      </c>
      <c r="B16" s="404"/>
      <c r="C16" s="404"/>
      <c r="D16" s="404"/>
      <c r="E16" s="127"/>
      <c r="F16" s="127"/>
      <c r="G16" s="127"/>
      <c r="H16" s="127"/>
      <c r="I16" s="127"/>
      <c r="J16" s="127"/>
      <c r="K16" s="127"/>
      <c r="L16" s="127"/>
      <c r="M16" s="127"/>
      <c r="N16" s="127"/>
      <c r="O16" s="127"/>
    </row>
    <row r="17" spans="1:15" ht="14.4">
      <c r="A17" s="67" t="s">
        <v>1314</v>
      </c>
      <c r="B17" s="67" t="s">
        <v>1316</v>
      </c>
      <c r="C17" s="67" t="s">
        <v>1317</v>
      </c>
      <c r="D17" s="67" t="s">
        <v>918</v>
      </c>
      <c r="E17" s="66"/>
      <c r="F17" s="66"/>
      <c r="G17" s="66"/>
      <c r="H17" s="66"/>
      <c r="I17" s="66"/>
      <c r="J17" s="66"/>
      <c r="K17" s="66"/>
      <c r="L17" s="66"/>
      <c r="M17" s="66"/>
      <c r="N17" s="66"/>
      <c r="O17" s="66"/>
    </row>
    <row r="18" spans="1:15" ht="14.4">
      <c r="A18" s="68" t="s">
        <v>1315</v>
      </c>
      <c r="B18" s="69" t="s">
        <v>640</v>
      </c>
      <c r="C18" s="68" t="s">
        <v>2333</v>
      </c>
      <c r="D18" s="68" t="s">
        <v>1189</v>
      </c>
      <c r="E18" s="66"/>
      <c r="F18" s="66"/>
      <c r="G18" s="66"/>
      <c r="H18" s="66"/>
      <c r="I18" s="66"/>
      <c r="J18" s="66"/>
      <c r="K18" s="66"/>
      <c r="L18" s="66"/>
      <c r="M18" s="66"/>
      <c r="N18" s="66"/>
      <c r="O18" s="66"/>
    </row>
    <row r="19" spans="1:15" ht="14.4">
      <c r="A19" s="68" t="s">
        <v>1318</v>
      </c>
      <c r="B19" s="69" t="s">
        <v>646</v>
      </c>
      <c r="C19" s="68" t="s">
        <v>2332</v>
      </c>
      <c r="D19" s="68" t="s">
        <v>1189</v>
      </c>
      <c r="E19" s="66"/>
      <c r="F19" s="66"/>
      <c r="G19" s="66"/>
      <c r="H19" s="66"/>
      <c r="I19" s="66"/>
      <c r="J19" s="66"/>
      <c r="K19" s="66"/>
      <c r="L19" s="66"/>
      <c r="M19" s="66"/>
      <c r="N19" s="66"/>
      <c r="O19" s="66"/>
    </row>
    <row r="20" spans="1:15" ht="14.4">
      <c r="A20" s="68" t="s">
        <v>1319</v>
      </c>
      <c r="B20" s="69" t="s">
        <v>652</v>
      </c>
      <c r="C20" s="68" t="s">
        <v>1796</v>
      </c>
      <c r="D20" s="68" t="s">
        <v>1189</v>
      </c>
      <c r="E20" s="66"/>
      <c r="F20" s="66"/>
      <c r="G20" s="66"/>
      <c r="H20" s="66"/>
      <c r="I20" s="66"/>
      <c r="J20" s="66"/>
      <c r="K20" s="66"/>
      <c r="L20" s="66"/>
      <c r="M20" s="66"/>
      <c r="N20" s="66"/>
      <c r="O20" s="66"/>
    </row>
    <row r="21" spans="1:15" ht="14.4">
      <c r="A21" s="66"/>
      <c r="B21" s="66"/>
      <c r="C21" s="66"/>
      <c r="D21" s="66"/>
      <c r="E21" s="66"/>
      <c r="F21" s="66"/>
      <c r="G21" s="66"/>
      <c r="H21" s="66"/>
      <c r="I21" s="66"/>
      <c r="J21" s="66"/>
      <c r="K21" s="66"/>
      <c r="L21" s="66"/>
      <c r="M21" s="66"/>
      <c r="N21" s="66"/>
      <c r="O21" s="66"/>
    </row>
    <row r="22" spans="1:15" ht="14.4">
      <c r="A22" s="68" t="s">
        <v>124</v>
      </c>
      <c r="B22" s="68" t="s">
        <v>106</v>
      </c>
      <c r="C22" s="68" t="s">
        <v>913</v>
      </c>
      <c r="D22" s="68" t="s">
        <v>910</v>
      </c>
      <c r="E22" s="68" t="s">
        <v>164</v>
      </c>
      <c r="F22" s="68" t="s">
        <v>674</v>
      </c>
      <c r="G22" s="68" t="s">
        <v>675</v>
      </c>
    </row>
    <row r="23" spans="1:15" ht="14.4">
      <c r="A23" s="68" t="s">
        <v>1320</v>
      </c>
      <c r="B23" s="68" t="s">
        <v>1321</v>
      </c>
      <c r="C23" s="68" t="s">
        <v>1293</v>
      </c>
      <c r="D23" s="68" t="s">
        <v>1321</v>
      </c>
      <c r="E23" s="68" t="s">
        <v>1322</v>
      </c>
      <c r="F23" s="68" t="s">
        <v>670</v>
      </c>
      <c r="G23" s="68"/>
    </row>
    <row r="24" spans="1:15" ht="14.4">
      <c r="A24" s="68" t="s">
        <v>1323</v>
      </c>
      <c r="B24" s="68" t="s">
        <v>1797</v>
      </c>
      <c r="C24" s="68" t="s">
        <v>1293</v>
      </c>
      <c r="D24" s="68" t="s">
        <v>1321</v>
      </c>
      <c r="E24" s="68" t="s">
        <v>1324</v>
      </c>
      <c r="F24" s="68" t="s">
        <v>670</v>
      </c>
      <c r="G24" s="68"/>
    </row>
    <row r="25" spans="1:15" ht="14.4">
      <c r="A25" s="68" t="s">
        <v>1325</v>
      </c>
      <c r="B25" s="331" t="str">
        <f>B31</f>
        <v>28/09/2026</v>
      </c>
      <c r="C25" s="68" t="s">
        <v>1293</v>
      </c>
      <c r="D25" s="68" t="s">
        <v>1321</v>
      </c>
      <c r="E25" s="68" t="s">
        <v>1326</v>
      </c>
      <c r="F25" s="68" t="s">
        <v>670</v>
      </c>
      <c r="G25" s="68"/>
    </row>
    <row r="26" spans="1:15" ht="14.4">
      <c r="A26" s="68" t="s">
        <v>1327</v>
      </c>
      <c r="B26" s="68" t="s">
        <v>515</v>
      </c>
      <c r="C26" s="68" t="s">
        <v>1293</v>
      </c>
      <c r="D26" s="68" t="s">
        <v>1321</v>
      </c>
      <c r="E26" s="68" t="s">
        <v>1328</v>
      </c>
      <c r="F26" s="68" t="s">
        <v>670</v>
      </c>
      <c r="G26" s="68"/>
    </row>
    <row r="27" spans="1:15" ht="14.4">
      <c r="A27" s="68" t="s">
        <v>1329</v>
      </c>
      <c r="B27" s="68" t="s">
        <v>8</v>
      </c>
      <c r="C27" s="68" t="s">
        <v>1293</v>
      </c>
      <c r="D27" s="68" t="s">
        <v>1321</v>
      </c>
      <c r="E27" s="68" t="s">
        <v>1330</v>
      </c>
      <c r="F27" s="68" t="s">
        <v>670</v>
      </c>
      <c r="G27" s="68"/>
    </row>
    <row r="28" spans="1:15" ht="14.4">
      <c r="A28" s="68" t="s">
        <v>1331</v>
      </c>
      <c r="B28" s="68" t="s">
        <v>120</v>
      </c>
      <c r="C28" s="68" t="s">
        <v>1293</v>
      </c>
      <c r="D28" s="68" t="s">
        <v>1321</v>
      </c>
      <c r="E28" s="68" t="s">
        <v>1332</v>
      </c>
      <c r="F28" s="68" t="s">
        <v>670</v>
      </c>
      <c r="G28" s="68"/>
    </row>
    <row r="29" spans="1:15" ht="14.4">
      <c r="A29" s="68" t="s">
        <v>1333</v>
      </c>
      <c r="B29" s="68" t="s">
        <v>515</v>
      </c>
      <c r="C29" s="68" t="s">
        <v>1293</v>
      </c>
      <c r="D29" s="68" t="s">
        <v>1321</v>
      </c>
      <c r="E29" s="68" t="s">
        <v>1334</v>
      </c>
      <c r="F29" s="68" t="s">
        <v>670</v>
      </c>
      <c r="G29" s="68"/>
    </row>
    <row r="30" spans="1:15" ht="14.4">
      <c r="A30" s="68" t="s">
        <v>1335</v>
      </c>
      <c r="B30" s="68" t="s">
        <v>879</v>
      </c>
      <c r="C30" s="68" t="s">
        <v>1293</v>
      </c>
      <c r="D30" s="68" t="s">
        <v>1321</v>
      </c>
      <c r="E30" s="68" t="s">
        <v>1336</v>
      </c>
      <c r="F30" s="68" t="s">
        <v>670</v>
      </c>
      <c r="G30" s="68"/>
    </row>
    <row r="31" spans="1:15" ht="14.4">
      <c r="A31" s="68" t="s">
        <v>1337</v>
      </c>
      <c r="B31" s="332" t="str">
        <f>TEXT(C47,"dd/mm/yyyy")</f>
        <v>28/09/2026</v>
      </c>
      <c r="C31" s="68" t="s">
        <v>1293</v>
      </c>
      <c r="D31" s="68" t="s">
        <v>1321</v>
      </c>
      <c r="E31" s="68" t="s">
        <v>1338</v>
      </c>
      <c r="F31" s="68" t="s">
        <v>670</v>
      </c>
      <c r="G31" s="68"/>
    </row>
    <row r="32" spans="1:15" ht="14.4">
      <c r="A32" s="68" t="s">
        <v>1339</v>
      </c>
      <c r="B32" s="68" t="s">
        <v>1223</v>
      </c>
      <c r="C32" s="68" t="s">
        <v>1293</v>
      </c>
      <c r="D32" s="68" t="s">
        <v>1321</v>
      </c>
      <c r="E32" s="68" t="s">
        <v>1340</v>
      </c>
      <c r="F32" s="68" t="s">
        <v>670</v>
      </c>
      <c r="G32" s="68"/>
    </row>
    <row r="33" spans="1:15" ht="14.4">
      <c r="A33" s="68" t="s">
        <v>1341</v>
      </c>
      <c r="B33" s="68" t="s">
        <v>1798</v>
      </c>
      <c r="C33" s="68" t="s">
        <v>1293</v>
      </c>
      <c r="D33" s="68" t="s">
        <v>1321</v>
      </c>
      <c r="E33" s="68" t="s">
        <v>1342</v>
      </c>
      <c r="F33" s="68" t="s">
        <v>670</v>
      </c>
      <c r="G33" s="68"/>
    </row>
    <row r="34" spans="1:15" ht="14.4">
      <c r="A34" s="68" t="s">
        <v>1343</v>
      </c>
      <c r="B34" s="331" t="str">
        <f>E47</f>
        <v>+/- 27/9/2026</v>
      </c>
      <c r="C34" s="68" t="s">
        <v>1293</v>
      </c>
      <c r="D34" s="68" t="s">
        <v>1321</v>
      </c>
      <c r="E34" s="68" t="s">
        <v>1344</v>
      </c>
      <c r="F34" s="68" t="s">
        <v>670</v>
      </c>
      <c r="G34" s="68"/>
    </row>
    <row r="35" spans="1:15" ht="14.4">
      <c r="A35" s="68" t="s">
        <v>1345</v>
      </c>
      <c r="B35" s="331" t="str">
        <f>F47</f>
        <v>+/- 31/8/2026</v>
      </c>
      <c r="C35" s="68" t="s">
        <v>1293</v>
      </c>
      <c r="D35" s="68" t="s">
        <v>1321</v>
      </c>
      <c r="E35" s="68" t="s">
        <v>1346</v>
      </c>
      <c r="F35" s="68" t="s">
        <v>670</v>
      </c>
      <c r="G35" s="68"/>
    </row>
    <row r="36" spans="1:15" ht="14.4">
      <c r="A36" s="68" t="s">
        <v>1347</v>
      </c>
      <c r="B36" s="331" t="str">
        <f>G47</f>
        <v>+/- 31/12/2025</v>
      </c>
      <c r="C36" s="68" t="s">
        <v>1293</v>
      </c>
      <c r="D36" s="68" t="s">
        <v>1321</v>
      </c>
      <c r="E36" s="68" t="s">
        <v>1348</v>
      </c>
      <c r="F36" s="68" t="s">
        <v>670</v>
      </c>
      <c r="G36" s="68"/>
    </row>
    <row r="37" spans="1:15" ht="14.4">
      <c r="A37" s="68" t="s">
        <v>1349</v>
      </c>
      <c r="B37" s="332" t="str">
        <f>"Phân bổ kỳ thanh khoản BS tại "&amp;TEXT(DATE(YEAR(B31), MONTH(B31),DAY(B31)),"dd/mm/yyyy")</f>
        <v>Phân bổ kỳ thanh khoản BS tại 28/09/2026</v>
      </c>
      <c r="C37" s="68" t="s">
        <v>1293</v>
      </c>
      <c r="D37" s="68" t="s">
        <v>1321</v>
      </c>
      <c r="E37" s="68" t="s">
        <v>1350</v>
      </c>
      <c r="F37" s="68" t="s">
        <v>670</v>
      </c>
      <c r="G37" s="68"/>
    </row>
    <row r="38" spans="1:15" ht="14.4">
      <c r="A38" s="68" t="s">
        <v>1351</v>
      </c>
      <c r="B38" s="332" t="str">
        <f>H47</f>
        <v>1M</v>
      </c>
      <c r="C38" s="68" t="s">
        <v>1293</v>
      </c>
      <c r="D38" s="68" t="s">
        <v>1321</v>
      </c>
      <c r="E38" s="68" t="s">
        <v>1352</v>
      </c>
      <c r="F38" s="68" t="s">
        <v>670</v>
      </c>
      <c r="G38" s="68"/>
    </row>
    <row r="39" spans="1:15" ht="14.4">
      <c r="A39" s="68" t="s">
        <v>1353</v>
      </c>
      <c r="B39" s="332" t="str">
        <f>I47</f>
        <v>1-3M</v>
      </c>
      <c r="C39" s="68" t="s">
        <v>1293</v>
      </c>
      <c r="D39" s="68" t="s">
        <v>1321</v>
      </c>
      <c r="E39" s="68" t="s">
        <v>1354</v>
      </c>
      <c r="F39" s="68" t="s">
        <v>670</v>
      </c>
      <c r="G39" s="68"/>
    </row>
    <row r="40" spans="1:15" ht="14.4">
      <c r="A40" s="68" t="s">
        <v>1355</v>
      </c>
      <c r="B40" s="332" t="str">
        <f>J47</f>
        <v>3-6M</v>
      </c>
      <c r="C40" s="68" t="s">
        <v>1293</v>
      </c>
      <c r="D40" s="68" t="s">
        <v>1321</v>
      </c>
      <c r="E40" s="68" t="s">
        <v>1356</v>
      </c>
      <c r="F40" s="68" t="s">
        <v>670</v>
      </c>
      <c r="G40" s="68"/>
    </row>
    <row r="41" spans="1:15" ht="14.4">
      <c r="A41" s="68" t="s">
        <v>1357</v>
      </c>
      <c r="B41" s="332" t="str">
        <f>K47</f>
        <v>6-12M</v>
      </c>
      <c r="C41" s="68" t="s">
        <v>1293</v>
      </c>
      <c r="D41" s="68" t="s">
        <v>1321</v>
      </c>
      <c r="E41" s="68" t="s">
        <v>1358</v>
      </c>
      <c r="F41" s="68" t="s">
        <v>670</v>
      </c>
      <c r="G41" s="68"/>
    </row>
    <row r="42" spans="1:15" ht="14.4">
      <c r="A42" s="68" t="s">
        <v>1359</v>
      </c>
      <c r="B42" s="332" t="str">
        <f>L47</f>
        <v>12M</v>
      </c>
      <c r="C42" s="68" t="s">
        <v>1293</v>
      </c>
      <c r="D42" s="68" t="s">
        <v>1321</v>
      </c>
      <c r="E42" s="68" t="s">
        <v>1360</v>
      </c>
      <c r="F42" s="68" t="s">
        <v>670</v>
      </c>
      <c r="G42" s="68"/>
    </row>
    <row r="43" spans="1:15" ht="14.4">
      <c r="A43" s="68" t="s">
        <v>1361</v>
      </c>
      <c r="B43" s="332" t="str">
        <f>M47</f>
        <v>Kỳ hạn bình quân</v>
      </c>
      <c r="C43" s="68" t="s">
        <v>1293</v>
      </c>
      <c r="D43" s="68" t="s">
        <v>1321</v>
      </c>
      <c r="E43" s="68" t="s">
        <v>1362</v>
      </c>
      <c r="F43" s="68" t="s">
        <v>670</v>
      </c>
      <c r="G43" s="68"/>
    </row>
    <row r="44" spans="1:15" ht="14.4">
      <c r="A44" s="68" t="s">
        <v>1363</v>
      </c>
      <c r="B44" s="332" t="str">
        <f>N47</f>
        <v>Lãi suất bình quân</v>
      </c>
      <c r="C44" s="68" t="s">
        <v>1293</v>
      </c>
      <c r="D44" s="68" t="s">
        <v>1321</v>
      </c>
      <c r="E44" s="68" t="s">
        <v>1364</v>
      </c>
      <c r="F44" s="68" t="s">
        <v>670</v>
      </c>
      <c r="G44" s="68"/>
    </row>
    <row r="45" spans="1:15" ht="14.4">
      <c r="A45" s="66"/>
      <c r="B45" s="66"/>
      <c r="C45" s="66"/>
      <c r="D45" s="66"/>
      <c r="E45" s="66"/>
      <c r="F45" s="66"/>
      <c r="G45" s="66"/>
      <c r="H45" s="66"/>
      <c r="I45" s="66"/>
      <c r="J45" s="66"/>
      <c r="K45" s="66"/>
      <c r="L45" s="66"/>
      <c r="M45" s="66"/>
      <c r="N45" s="66"/>
      <c r="O45" s="66"/>
    </row>
    <row r="46" spans="1:15" ht="14.4">
      <c r="A46" s="404" t="s">
        <v>1321</v>
      </c>
      <c r="B46" s="404"/>
      <c r="C46" s="404"/>
      <c r="D46" s="404"/>
      <c r="E46" s="404"/>
      <c r="F46" s="404"/>
      <c r="G46" s="404"/>
      <c r="H46" s="404"/>
      <c r="I46" s="404"/>
      <c r="J46" s="404"/>
      <c r="K46" s="404"/>
      <c r="L46" s="404"/>
      <c r="M46" s="404"/>
      <c r="N46" s="404"/>
      <c r="O46" s="404"/>
    </row>
    <row r="47" spans="1:15" ht="14.4">
      <c r="A47" s="67" t="s">
        <v>8</v>
      </c>
      <c r="B47" s="67" t="s">
        <v>1799</v>
      </c>
      <c r="C47" s="333">
        <f>BS_TT2!C2</f>
        <v>46293</v>
      </c>
      <c r="D47" s="333" t="str">
        <f>BS_TT2!D2</f>
        <v>Tỷ trọng</v>
      </c>
      <c r="E47" s="333" t="str">
        <f>"+/- "&amp;TEXT(BS_TT2!H2,"d/m/yyyy")</f>
        <v>+/- 27/9/2026</v>
      </c>
      <c r="F47" s="333" t="str">
        <f>"+/- "&amp;TEXT(BS_TT2!I2,"d/m/yyyy")</f>
        <v>+/- 31/8/2026</v>
      </c>
      <c r="G47" s="333" t="str">
        <f>"+/- "&amp;TEXT(BS_TT2!J2,"d/m/yyyy")</f>
        <v>+/- 31/12/2025</v>
      </c>
      <c r="H47" s="333" t="str">
        <f>BS_TT2!K2</f>
        <v>1M</v>
      </c>
      <c r="I47" s="333" t="str">
        <f>BS_TT2!L2</f>
        <v>1-3M</v>
      </c>
      <c r="J47" s="333" t="str">
        <f>BS_TT2!M2</f>
        <v>3-6M</v>
      </c>
      <c r="K47" s="333" t="str">
        <f>BS_TT2!N2</f>
        <v>6-12M</v>
      </c>
      <c r="L47" s="333" t="str">
        <f>BS_TT2!O2</f>
        <v>12M</v>
      </c>
      <c r="M47" s="333" t="str">
        <f>BS_TT2!P2&amp;" bình quân"</f>
        <v>Kỳ hạn bình quân</v>
      </c>
      <c r="N47" s="226" t="str">
        <f>BS_TT2!Q2</f>
        <v>Lãi suất bình quân</v>
      </c>
      <c r="O47" s="67" t="s">
        <v>1800</v>
      </c>
    </row>
    <row r="48" spans="1:15" ht="14.4">
      <c r="A48" s="68" t="s">
        <v>1801</v>
      </c>
      <c r="B48" s="69" t="s">
        <v>887</v>
      </c>
      <c r="C48" s="334" t="str">
        <f>_xlfn.VALUETOTEXT(ROUND(BS_TT2!C3,1),0)</f>
        <v>33.5</v>
      </c>
      <c r="D48" s="335">
        <f>BS_TT2!D3</f>
        <v>0.28803445428399799</v>
      </c>
      <c r="E48" s="336" t="str">
        <f>_xlfn.VALUETOTEXT(ROUND(BS_TT2!E3,1),0)</f>
        <v>-4.6</v>
      </c>
      <c r="F48" s="336" t="str">
        <f>_xlfn.VALUETOTEXT(ROUND(BS_TT2!F3,1),0)</f>
        <v>-5.7</v>
      </c>
      <c r="G48" s="336" t="str">
        <f>_xlfn.VALUETOTEXT(ROUND(BS_TT2!G3,1),0)</f>
        <v>8.5</v>
      </c>
      <c r="H48" s="336" t="str">
        <f>_xlfn.VALUETOTEXT(ROUND(BS_TT2!K3,1),0)</f>
        <v>20.9</v>
      </c>
      <c r="I48" s="336" t="str">
        <f>_xlfn.VALUETOTEXT(ROUND(BS_TT2!L3,1),0)</f>
        <v>12.6</v>
      </c>
      <c r="J48" s="336" t="str">
        <f>_xlfn.VALUETOTEXT(ROUND(BS_TT2!M3,1),0)</f>
        <v>0</v>
      </c>
      <c r="K48" s="336" t="str">
        <f>_xlfn.VALUETOTEXT(ROUND(BS_TT2!N3,1),0)</f>
        <v>0</v>
      </c>
      <c r="L48" s="336" t="str">
        <f>_xlfn.VALUETOTEXT(ROUND(BS_TT2!O3,1),0)</f>
        <v>0</v>
      </c>
      <c r="M48" s="336" t="str">
        <f>_xlfn.VALUETOTEXT(ROUND(BS_TT2!P3,1),0)</f>
        <v>1.1</v>
      </c>
      <c r="N48" s="68" t="s">
        <v>1802</v>
      </c>
      <c r="O48" s="68" t="s">
        <v>1803</v>
      </c>
    </row>
    <row r="49" spans="1:15" ht="14.4">
      <c r="A49" s="68" t="s">
        <v>1804</v>
      </c>
      <c r="B49" s="69" t="s">
        <v>888</v>
      </c>
      <c r="C49" s="334" t="str">
        <f>_xlfn.VALUETOTEXT(ROUND(BS_TT2!C4,1),0)</f>
        <v>10.9</v>
      </c>
      <c r="D49" s="335">
        <f>BS_TT2!D4</f>
        <v>9.3467456349888733E-2</v>
      </c>
      <c r="E49" s="336" t="str">
        <f>_xlfn.VALUETOTEXT(ROUND(BS_TT2!E4,1),0)</f>
        <v>0</v>
      </c>
      <c r="F49" s="336" t="str">
        <f>_xlfn.VALUETOTEXT(ROUND(BS_TT2!F4,1),0)</f>
        <v>0</v>
      </c>
      <c r="G49" s="336" t="str">
        <f>_xlfn.VALUETOTEXT(ROUND(BS_TT2!G4,1),0)</f>
        <v>-6.1</v>
      </c>
      <c r="H49" s="336" t="str">
        <f>_xlfn.VALUETOTEXT(ROUND(BS_TT2!K4,1),0)</f>
        <v>0</v>
      </c>
      <c r="I49" s="336" t="str">
        <f>_xlfn.VALUETOTEXT(ROUND(BS_TT2!L4,1),0)</f>
        <v>0</v>
      </c>
      <c r="J49" s="336" t="str">
        <f>_xlfn.VALUETOTEXT(ROUND(BS_TT2!M4,1),0)</f>
        <v>0</v>
      </c>
      <c r="K49" s="336" t="str">
        <f>_xlfn.VALUETOTEXT(ROUND(BS_TT2!N4,1),0)</f>
        <v>0</v>
      </c>
      <c r="L49" s="336" t="str">
        <f>_xlfn.VALUETOTEXT(ROUND(BS_TT2!O4,1),0)</f>
        <v>10.9</v>
      </c>
      <c r="M49" s="336" t="str">
        <f>_xlfn.VALUETOTEXT(ROUND(BS_TT2!P4,1),0)</f>
        <v>12</v>
      </c>
      <c r="N49" s="68" t="s">
        <v>1802</v>
      </c>
      <c r="O49" s="68" t="s">
        <v>1803</v>
      </c>
    </row>
    <row r="50" spans="1:15" ht="14.4">
      <c r="A50" s="68" t="s">
        <v>1805</v>
      </c>
      <c r="B50" s="69" t="s">
        <v>889</v>
      </c>
      <c r="C50" s="334" t="str">
        <f>_xlfn.VALUETOTEXT(ROUND(BS_TT2!C5,1),0)</f>
        <v>2.6</v>
      </c>
      <c r="D50" s="335">
        <f>BS_TT2!D5</f>
        <v>2.2547256543454471E-2</v>
      </c>
      <c r="E50" s="336" t="str">
        <f>_xlfn.VALUETOTEXT(ROUND(BS_TT2!E5,1),0)</f>
        <v>0.1</v>
      </c>
      <c r="F50" s="336" t="str">
        <f>_xlfn.VALUETOTEXT(ROUND(BS_TT2!F5,1),0)</f>
        <v>-0.7</v>
      </c>
      <c r="G50" s="336" t="str">
        <f>_xlfn.VALUETOTEXT(ROUND(BS_TT2!G5,1),0)</f>
        <v>-1.3</v>
      </c>
      <c r="H50" s="336" t="str">
        <f>_xlfn.VALUETOTEXT(ROUND(BS_TT2!K5,1),0)</f>
        <v>2.6</v>
      </c>
      <c r="I50" s="336" t="str">
        <f>_xlfn.VALUETOTEXT(ROUND(BS_TT2!L5,1),0)</f>
        <v>0</v>
      </c>
      <c r="J50" s="336" t="str">
        <f>_xlfn.VALUETOTEXT(ROUND(BS_TT2!M5,1),0)</f>
        <v>0</v>
      </c>
      <c r="K50" s="336" t="str">
        <f>_xlfn.VALUETOTEXT(ROUND(BS_TT2!N5,1),0)</f>
        <v>0</v>
      </c>
      <c r="L50" s="336" t="str">
        <f>_xlfn.VALUETOTEXT(ROUND(BS_TT2!O5,1),0)</f>
        <v>0</v>
      </c>
      <c r="M50" s="336" t="str">
        <f>_xlfn.VALUETOTEXT(ROUND(BS_TT2!P5,1),0)</f>
        <v>0.5</v>
      </c>
      <c r="N50" s="68" t="s">
        <v>1802</v>
      </c>
      <c r="O50" s="68" t="s">
        <v>1803</v>
      </c>
    </row>
    <row r="51" spans="1:15" ht="14.4">
      <c r="A51" s="68" t="s">
        <v>1806</v>
      </c>
      <c r="B51" s="69" t="s">
        <v>1412</v>
      </c>
      <c r="C51" s="334" t="str">
        <f>_xlfn.VALUETOTEXT(ROUND(BS_TT2!C6,1),0)</f>
        <v>37.4</v>
      </c>
      <c r="D51" s="335">
        <f>BS_TT2!D6</f>
        <v>0.32154113056455724</v>
      </c>
      <c r="E51" s="336" t="str">
        <f>_xlfn.VALUETOTEXT(ROUND(BS_TT2!E6,1),0)</f>
        <v>0</v>
      </c>
      <c r="F51" s="336" t="str">
        <f>_xlfn.VALUETOTEXT(ROUND(BS_TT2!F6,1),0)</f>
        <v>1</v>
      </c>
      <c r="G51" s="336" t="str">
        <f>_xlfn.VALUETOTEXT(ROUND(BS_TT2!G6,1),0)</f>
        <v>-3.1</v>
      </c>
      <c r="H51" s="336" t="str">
        <f>_xlfn.VALUETOTEXT(ROUND(BS_TT2!K6,1),0)</f>
        <v>1.3</v>
      </c>
      <c r="I51" s="336" t="str">
        <f>_xlfn.VALUETOTEXT(ROUND(BS_TT2!L6,1),0)</f>
        <v>9</v>
      </c>
      <c r="J51" s="336" t="str">
        <f>_xlfn.VALUETOTEXT(ROUND(BS_TT2!M6,1),0)</f>
        <v>2.4</v>
      </c>
      <c r="K51" s="336" t="str">
        <f>_xlfn.VALUETOTEXT(ROUND(BS_TT2!N6,1),0)</f>
        <v>20.9</v>
      </c>
      <c r="L51" s="336" t="str">
        <f>_xlfn.VALUETOTEXT(ROUND(BS_TT2!O6,1),0)</f>
        <v>3.8</v>
      </c>
      <c r="M51" s="336" t="str">
        <f>_xlfn.VALUETOTEXT(ROUND(BS_TT2!P6,1),0)</f>
        <v>7</v>
      </c>
      <c r="N51" s="68" t="s">
        <v>1802</v>
      </c>
      <c r="O51" s="68" t="s">
        <v>1803</v>
      </c>
    </row>
    <row r="52" spans="1:15" ht="14.4">
      <c r="A52" s="68" t="s">
        <v>1807</v>
      </c>
      <c r="B52" s="69" t="s">
        <v>1428</v>
      </c>
      <c r="C52" s="334" t="str">
        <f>_xlfn.VALUETOTEXT(ROUND(BS_TT2!C7,1),0)</f>
        <v>29.3</v>
      </c>
      <c r="D52" s="335">
        <f>BS_TT2!D7</f>
        <v>0.25256195625473404</v>
      </c>
      <c r="E52" s="336" t="str">
        <f>_xlfn.VALUETOTEXT(ROUND(BS_TT2!E7,1),0)</f>
        <v>0.3</v>
      </c>
      <c r="F52" s="336" t="str">
        <f>_xlfn.VALUETOTEXT(ROUND(BS_TT2!F7,1),0)</f>
        <v>-1.2</v>
      </c>
      <c r="G52" s="336" t="str">
        <f>_xlfn.VALUETOTEXT(ROUND(BS_TT2!G7,1),0)</f>
        <v>2.2</v>
      </c>
      <c r="H52" s="336" t="str">
        <f>_xlfn.VALUETOTEXT(ROUND(BS_TT2!K7,1),0)</f>
        <v>18.1</v>
      </c>
      <c r="I52" s="336" t="str">
        <f>_xlfn.VALUETOTEXT(ROUND(BS_TT2!L7,1),0)</f>
        <v>4.3</v>
      </c>
      <c r="J52" s="336" t="str">
        <f>_xlfn.VALUETOTEXT(ROUND(BS_TT2!M7,1),0)</f>
        <v>1.1</v>
      </c>
      <c r="K52" s="336" t="str">
        <f>_xlfn.VALUETOTEXT(ROUND(BS_TT2!N7,1),0)</f>
        <v>5.8</v>
      </c>
      <c r="L52" s="336" t="str">
        <f>_xlfn.VALUETOTEXT(ROUND(BS_TT2!O7,1),0)</f>
        <v>0</v>
      </c>
      <c r="M52" s="336" t="str">
        <f>_xlfn.VALUETOTEXT(ROUND(BS_TT2!P7,1),0)</f>
        <v>2.5</v>
      </c>
      <c r="N52" s="68" t="s">
        <v>1802</v>
      </c>
      <c r="O52" s="68" t="s">
        <v>1803</v>
      </c>
    </row>
    <row r="53" spans="1:15" ht="14.4">
      <c r="A53" s="68" t="s">
        <v>1808</v>
      </c>
      <c r="B53" s="69" t="s">
        <v>892</v>
      </c>
      <c r="C53" s="334" t="str">
        <f>_xlfn.VALUETOTEXT(ROUND(BS_TT2!C8,1),0)</f>
        <v>2</v>
      </c>
      <c r="D53" s="335">
        <f>BS_TT2!D8</f>
        <v>1.7038128070437791E-2</v>
      </c>
      <c r="E53" s="336" t="str">
        <f>_xlfn.VALUETOTEXT(ROUND(BS_TT2!E8,1),0)</f>
        <v>0</v>
      </c>
      <c r="F53" s="336" t="str">
        <f>_xlfn.VALUETOTEXT(ROUND(BS_TT2!F8,1),0)</f>
        <v>0.5</v>
      </c>
      <c r="G53" s="336" t="str">
        <f>_xlfn.VALUETOTEXT(ROUND(BS_TT2!G8,1),0)</f>
        <v>1.2</v>
      </c>
      <c r="H53" s="336" t="str">
        <f>_xlfn.VALUETOTEXT(ROUND(BS_TT2!K8,1),0)</f>
        <v>0.1</v>
      </c>
      <c r="I53" s="336" t="str">
        <f>_xlfn.VALUETOTEXT(ROUND(BS_TT2!L8,1),0)</f>
        <v>0.4</v>
      </c>
      <c r="J53" s="336" t="str">
        <f>_xlfn.VALUETOTEXT(ROUND(BS_TT2!M8,1),0)</f>
        <v>0.8</v>
      </c>
      <c r="K53" s="336" t="str">
        <f>_xlfn.VALUETOTEXT(ROUND(BS_TT2!N8,1),0)</f>
        <v>0.7</v>
      </c>
      <c r="L53" s="336" t="str">
        <f>_xlfn.VALUETOTEXT(ROUND(BS_TT2!O8,1),0)</f>
        <v>0</v>
      </c>
      <c r="M53" s="336" t="str">
        <f>_xlfn.VALUETOTEXT(ROUND(BS_TT2!P8,1),0)</f>
        <v>5</v>
      </c>
      <c r="N53" s="68" t="s">
        <v>1802</v>
      </c>
      <c r="O53" s="68" t="s">
        <v>1803</v>
      </c>
    </row>
    <row r="54" spans="1:15" ht="14.4">
      <c r="A54" s="68" t="s">
        <v>1809</v>
      </c>
      <c r="B54" s="69" t="s">
        <v>893</v>
      </c>
      <c r="C54" s="334" t="str">
        <f>_xlfn.VALUETOTEXT(ROUND(BS_TT2!C9,1),0)</f>
        <v>0.6</v>
      </c>
      <c r="D54" s="335">
        <f>BS_TT2!D9</f>
        <v>4.8096179329298354E-3</v>
      </c>
      <c r="E54" s="336" t="str">
        <f>_xlfn.VALUETOTEXT(ROUND(BS_TT2!E9,1),0)</f>
        <v>-2.8</v>
      </c>
      <c r="F54" s="336" t="str">
        <f>_xlfn.VALUETOTEXT(ROUND(BS_TT2!F9,1),0)</f>
        <v>-4.9</v>
      </c>
      <c r="G54" s="336" t="str">
        <f>_xlfn.VALUETOTEXT(ROUND(BS_TT2!G9,1),0)</f>
        <v>-2.4</v>
      </c>
      <c r="H54" s="336" t="str">
        <f>_xlfn.VALUETOTEXT(ROUND(BS_TT2!K9,1),0)</f>
        <v>0.6</v>
      </c>
      <c r="I54" s="336" t="str">
        <f>_xlfn.VALUETOTEXT(ROUND(BS_TT2!L9,1),0)</f>
        <v>0</v>
      </c>
      <c r="J54" s="336" t="str">
        <f>_xlfn.VALUETOTEXT(ROUND(BS_TT2!M9,1),0)</f>
        <v>0</v>
      </c>
      <c r="K54" s="336" t="str">
        <f>_xlfn.VALUETOTEXT(ROUND(BS_TT2!N9,1),0)</f>
        <v>0</v>
      </c>
      <c r="L54" s="336" t="str">
        <f>_xlfn.VALUETOTEXT(ROUND(BS_TT2!O9,1),0)</f>
        <v>0</v>
      </c>
      <c r="M54" s="336" t="str">
        <f>_xlfn.VALUETOTEXT(ROUND(BS_TT2!P9,1),0)</f>
        <v>0.5</v>
      </c>
      <c r="N54" s="68" t="s">
        <v>1802</v>
      </c>
      <c r="O54" s="68" t="s">
        <v>1803</v>
      </c>
    </row>
    <row r="55" spans="1:15" ht="14.4">
      <c r="A55" s="132" t="s">
        <v>894</v>
      </c>
      <c r="B55" s="133" t="s">
        <v>1474</v>
      </c>
      <c r="C55" s="229" t="str">
        <f>_xlfn.VALUETOTEXT(ROUND(BS_TT2!C10,1),0)</f>
        <v>116.2</v>
      </c>
      <c r="D55" s="134">
        <f>BS_TT2!D10</f>
        <v>1</v>
      </c>
      <c r="E55" s="229" t="str">
        <f>_xlfn.VALUETOTEXT(ROUND(BS_TT2!E10,1),0)</f>
        <v>-7</v>
      </c>
      <c r="F55" s="229" t="str">
        <f>_xlfn.VALUETOTEXT(ROUND(BS_TT2!F10,1),0)</f>
        <v>-11</v>
      </c>
      <c r="G55" s="229" t="str">
        <f>_xlfn.VALUETOTEXT(ROUND(BS_TT2!G10,1),0)</f>
        <v>-0.9</v>
      </c>
      <c r="H55" s="229" t="str">
        <f>_xlfn.VALUETOTEXT(ROUND(BS_TT2!K10,1),0)</f>
        <v>43.6</v>
      </c>
      <c r="I55" s="229" t="str">
        <f>_xlfn.VALUETOTEXT(ROUND(BS_TT2!L10,1),0)</f>
        <v>26.3</v>
      </c>
      <c r="J55" s="229" t="str">
        <f>_xlfn.VALUETOTEXT(ROUND(BS_TT2!M10,1),0)</f>
        <v>4.3</v>
      </c>
      <c r="K55" s="229" t="str">
        <f>_xlfn.VALUETOTEXT(ROUND(BS_TT2!N10,1),0)</f>
        <v>27.3</v>
      </c>
      <c r="L55" s="229" t="str">
        <f>_xlfn.VALUETOTEXT(ROUND(BS_TT2!O10,1),0)</f>
        <v>14.6</v>
      </c>
      <c r="M55" s="229" t="str">
        <f>_xlfn.VALUETOTEXT(ROUND(BS_TT2!P10,1),0)</f>
        <v>4.4</v>
      </c>
      <c r="N55" s="132" t="s">
        <v>1802</v>
      </c>
      <c r="O55" s="132" t="s">
        <v>1810</v>
      </c>
    </row>
    <row r="56" spans="1:15" ht="14.4">
      <c r="A56" s="68" t="s">
        <v>1801</v>
      </c>
      <c r="B56" s="69" t="s">
        <v>896</v>
      </c>
      <c r="C56" s="336" t="str">
        <f>_xlfn.VALUETOTEXT(ROUND(BS_TT2!C11,1),0)</f>
        <v>33.6</v>
      </c>
      <c r="D56" s="335">
        <f>BS_TT2!D11</f>
        <v>0.28963294576387721</v>
      </c>
      <c r="E56" s="336" t="str">
        <f>_xlfn.VALUETOTEXT(ROUND(BS_TT2!E11,1),0)</f>
        <v>0</v>
      </c>
      <c r="F56" s="336" t="str">
        <f>_xlfn.VALUETOTEXT(ROUND(BS_TT2!F11,1),0)</f>
        <v>-4.7</v>
      </c>
      <c r="G56" s="336" t="str">
        <f>_xlfn.VALUETOTEXT(ROUND(BS_TT2!G11,1),0)</f>
        <v>4.8</v>
      </c>
      <c r="H56" s="336" t="str">
        <f>_xlfn.VALUETOTEXT(ROUND(BS_TT2!K11,1),0)</f>
        <v>21.1</v>
      </c>
      <c r="I56" s="336" t="str">
        <f>_xlfn.VALUETOTEXT(ROUND(BS_TT2!L11,1),0)</f>
        <v>12.6</v>
      </c>
      <c r="J56" s="336" t="str">
        <f>_xlfn.VALUETOTEXT(ROUND(BS_TT2!M11,1),0)</f>
        <v>0</v>
      </c>
      <c r="K56" s="336" t="str">
        <f>_xlfn.VALUETOTEXT(ROUND(BS_TT2!N11,1),0)</f>
        <v>0</v>
      </c>
      <c r="L56" s="336" t="str">
        <f>_xlfn.VALUETOTEXT(ROUND(BS_TT2!O11,1),0)</f>
        <v>0</v>
      </c>
      <c r="M56" s="336" t="str">
        <f>_xlfn.VALUETOTEXT(ROUND(BS_TT2!P11,1),0)</f>
        <v>1.1</v>
      </c>
      <c r="N56" s="68" t="s">
        <v>1802</v>
      </c>
      <c r="O56" s="68" t="s">
        <v>1803</v>
      </c>
    </row>
    <row r="57" spans="1:15" ht="14.4">
      <c r="A57" s="68" t="s">
        <v>1804</v>
      </c>
      <c r="B57" s="69" t="s">
        <v>897</v>
      </c>
      <c r="C57" s="336" t="str">
        <f>_xlfn.VALUETOTEXT(ROUND(BS_TT2!C12,1),0)</f>
        <v>35.6</v>
      </c>
      <c r="D57" s="335">
        <f>BS_TT2!D12</f>
        <v>0.30648804287995596</v>
      </c>
      <c r="E57" s="336" t="str">
        <f>_xlfn.VALUETOTEXT(ROUND(BS_TT2!E12,1),0)</f>
        <v>-4</v>
      </c>
      <c r="F57" s="336" t="str">
        <f>_xlfn.VALUETOTEXT(ROUND(BS_TT2!F12,1),0)</f>
        <v>-1.6</v>
      </c>
      <c r="G57" s="336" t="str">
        <f>_xlfn.VALUETOTEXT(ROUND(BS_TT2!G12,1),0)</f>
        <v>1.4</v>
      </c>
      <c r="H57" s="336" t="str">
        <f>_xlfn.VALUETOTEXT(ROUND(BS_TT2!K12,1),0)</f>
        <v>18.8</v>
      </c>
      <c r="I57" s="336" t="str">
        <f>_xlfn.VALUETOTEXT(ROUND(BS_TT2!L12,1),0)</f>
        <v>9</v>
      </c>
      <c r="J57" s="336" t="str">
        <f>_xlfn.VALUETOTEXT(ROUND(BS_TT2!M12,1),0)</f>
        <v>6.1</v>
      </c>
      <c r="K57" s="336" t="str">
        <f>_xlfn.VALUETOTEXT(ROUND(BS_TT2!N12,1),0)</f>
        <v>1.7</v>
      </c>
      <c r="L57" s="336" t="str">
        <f>_xlfn.VALUETOTEXT(ROUND(BS_TT2!O12,1),0)</f>
        <v>0</v>
      </c>
      <c r="M57" s="336" t="str">
        <f>_xlfn.VALUETOTEXT(ROUND(BS_TT2!P12,1),0)</f>
        <v>1.9</v>
      </c>
      <c r="N57" s="68" t="s">
        <v>1802</v>
      </c>
      <c r="O57" s="68" t="s">
        <v>1803</v>
      </c>
    </row>
    <row r="58" spans="1:15" ht="14.4">
      <c r="A58" s="68" t="s">
        <v>1805</v>
      </c>
      <c r="B58" s="69" t="s">
        <v>1520</v>
      </c>
      <c r="C58" s="336" t="str">
        <f>_xlfn.VALUETOTEXT(ROUND(BS_TT2!C13,1),0)</f>
        <v>11.1</v>
      </c>
      <c r="D58" s="335">
        <f>BS_TT2!D13</f>
        <v>9.5759165694585952E-2</v>
      </c>
      <c r="E58" s="336" t="str">
        <f>_xlfn.VALUETOTEXT(ROUND(BS_TT2!E13,1),0)</f>
        <v>0</v>
      </c>
      <c r="F58" s="336" t="str">
        <f>_xlfn.VALUETOTEXT(ROUND(BS_TT2!F13,1),0)</f>
        <v>-3.7</v>
      </c>
      <c r="G58" s="336" t="str">
        <f>_xlfn.VALUETOTEXT(ROUND(BS_TT2!G13,1),0)</f>
        <v>-2.3</v>
      </c>
      <c r="H58" s="336" t="str">
        <f>_xlfn.VALUETOTEXT(ROUND(BS_TT2!K13,1),0)</f>
        <v>1.6</v>
      </c>
      <c r="I58" s="336" t="str">
        <f>_xlfn.VALUETOTEXT(ROUND(BS_TT2!L13,1),0)</f>
        <v>9.5</v>
      </c>
      <c r="J58" s="336" t="str">
        <f>_xlfn.VALUETOTEXT(ROUND(BS_TT2!M13,1),0)</f>
        <v>0</v>
      </c>
      <c r="K58" s="336" t="str">
        <f>_xlfn.VALUETOTEXT(ROUND(BS_TT2!N13,1),0)</f>
        <v>0</v>
      </c>
      <c r="L58" s="336" t="str">
        <f>_xlfn.VALUETOTEXT(ROUND(BS_TT2!O13,1),0)</f>
        <v>0</v>
      </c>
      <c r="M58" s="336" t="str">
        <f>_xlfn.VALUETOTEXT(ROUND(BS_TT2!P13,1),0)</f>
        <v>1.8</v>
      </c>
      <c r="N58" s="68" t="s">
        <v>1802</v>
      </c>
      <c r="O58" s="68" t="s">
        <v>1803</v>
      </c>
    </row>
    <row r="59" spans="1:15" ht="14.4">
      <c r="A59" s="68" t="s">
        <v>1806</v>
      </c>
      <c r="B59" s="69" t="s">
        <v>899</v>
      </c>
      <c r="C59" s="336" t="str">
        <f>_xlfn.VALUETOTEXT(ROUND(BS_TT2!C14,1),0)</f>
        <v>6.5</v>
      </c>
      <c r="D59" s="335">
        <f>BS_TT2!D14</f>
        <v>5.5953072966870208E-2</v>
      </c>
      <c r="E59" s="336" t="str">
        <f>_xlfn.VALUETOTEXT(ROUND(BS_TT2!E14,1),0)</f>
        <v>0</v>
      </c>
      <c r="F59" s="336" t="str">
        <f>_xlfn.VALUETOTEXT(ROUND(BS_TT2!F14,1),0)</f>
        <v>0</v>
      </c>
      <c r="G59" s="336" t="str">
        <f>_xlfn.VALUETOTEXT(ROUND(BS_TT2!G14,1),0)</f>
        <v>-4.4</v>
      </c>
      <c r="H59" s="336" t="str">
        <f>_xlfn.VALUETOTEXT(ROUND(BS_TT2!K14,1),0)</f>
        <v>2</v>
      </c>
      <c r="I59" s="336" t="str">
        <f>_xlfn.VALUETOTEXT(ROUND(BS_TT2!L14,1),0)</f>
        <v>3.5</v>
      </c>
      <c r="J59" s="336" t="str">
        <f>_xlfn.VALUETOTEXT(ROUND(BS_TT2!M14,1),0)</f>
        <v>0</v>
      </c>
      <c r="K59" s="336" t="str">
        <f>_xlfn.VALUETOTEXT(ROUND(BS_TT2!N14,1),0)</f>
        <v>1</v>
      </c>
      <c r="L59" s="336" t="str">
        <f>_xlfn.VALUETOTEXT(ROUND(BS_TT2!O14,1),0)</f>
        <v>0</v>
      </c>
      <c r="M59" s="336" t="str">
        <f>_xlfn.VALUETOTEXT(ROUND(BS_TT2!P14,1),0)</f>
        <v>2.6</v>
      </c>
      <c r="N59" s="68" t="s">
        <v>1802</v>
      </c>
      <c r="O59" s="68" t="s">
        <v>1803</v>
      </c>
    </row>
    <row r="60" spans="1:15" ht="14.4">
      <c r="A60" s="68" t="s">
        <v>1807</v>
      </c>
      <c r="B60" s="69" t="s">
        <v>900</v>
      </c>
      <c r="C60" s="336" t="str">
        <f>_xlfn.VALUETOTEXT(ROUND(BS_TT2!C15,1),0)</f>
        <v>2.7</v>
      </c>
      <c r="D60" s="335">
        <f>BS_TT2!D15</f>
        <v>2.3229936861991016E-2</v>
      </c>
      <c r="E60" s="336" t="str">
        <f>_xlfn.VALUETOTEXT(ROUND(BS_TT2!E15,1),0)</f>
        <v>-0.2</v>
      </c>
      <c r="F60" s="336" t="str">
        <f>_xlfn.VALUETOTEXT(ROUND(BS_TT2!F15,1),0)</f>
        <v>0.3</v>
      </c>
      <c r="G60" s="336" t="str">
        <f>_xlfn.VALUETOTEXT(ROUND(BS_TT2!G15,1),0)</f>
        <v>-0.4</v>
      </c>
      <c r="H60" s="336" t="str">
        <f>_xlfn.VALUETOTEXT(ROUND(BS_TT2!K15,1),0)</f>
        <v>2.7</v>
      </c>
      <c r="I60" s="336" t="str">
        <f>_xlfn.VALUETOTEXT(ROUND(BS_TT2!L15,1),0)</f>
        <v>0</v>
      </c>
      <c r="J60" s="336" t="str">
        <f>_xlfn.VALUETOTEXT(ROUND(BS_TT2!M15,1),0)</f>
        <v>0</v>
      </c>
      <c r="K60" s="336" t="str">
        <f>_xlfn.VALUETOTEXT(ROUND(BS_TT2!N15,1),0)</f>
        <v>0</v>
      </c>
      <c r="L60" s="336" t="str">
        <f>_xlfn.VALUETOTEXT(ROUND(BS_TT2!O15,1),0)</f>
        <v>0</v>
      </c>
      <c r="M60" s="336" t="str">
        <f>_xlfn.VALUETOTEXT(ROUND(BS_TT2!P15,1),0)</f>
        <v>0.5</v>
      </c>
      <c r="N60" s="68" t="s">
        <v>1802</v>
      </c>
      <c r="O60" s="68" t="s">
        <v>1803</v>
      </c>
    </row>
    <row r="61" spans="1:15" ht="14.4">
      <c r="A61" s="68" t="s">
        <v>1808</v>
      </c>
      <c r="B61" s="69" t="s">
        <v>901</v>
      </c>
      <c r="C61" s="336" t="str">
        <f>_xlfn.VALUETOTEXT(ROUND(BS_TT2!C16,1),0)</f>
        <v>12</v>
      </c>
      <c r="D61" s="335">
        <f>BS_TT2!D16</f>
        <v>0.10329798086191425</v>
      </c>
      <c r="E61" s="336" t="str">
        <f>_xlfn.VALUETOTEXT(ROUND(BS_TT2!E16,1),0)</f>
        <v>0</v>
      </c>
      <c r="F61" s="336" t="str">
        <f>_xlfn.VALUETOTEXT(ROUND(BS_TT2!F16,1),0)</f>
        <v>0</v>
      </c>
      <c r="G61" s="336" t="str">
        <f>_xlfn.VALUETOTEXT(ROUND(BS_TT2!G16,1),0)</f>
        <v>0</v>
      </c>
      <c r="H61" s="336" t="str">
        <f>_xlfn.VALUETOTEXT(ROUND(BS_TT2!K16,1),0)</f>
        <v>0</v>
      </c>
      <c r="I61" s="336" t="str">
        <f>_xlfn.VALUETOTEXT(ROUND(BS_TT2!L16,1),0)</f>
        <v>0</v>
      </c>
      <c r="J61" s="336" t="str">
        <f>_xlfn.VALUETOTEXT(ROUND(BS_TT2!M16,1),0)</f>
        <v>0</v>
      </c>
      <c r="K61" s="336" t="str">
        <f>_xlfn.VALUETOTEXT(ROUND(BS_TT2!N16,1),0)</f>
        <v>0</v>
      </c>
      <c r="L61" s="336" t="str">
        <f>_xlfn.VALUETOTEXT(ROUND(BS_TT2!O16,1),0)</f>
        <v>12</v>
      </c>
      <c r="M61" s="336" t="str">
        <f>_xlfn.VALUETOTEXT(ROUND(BS_TT2!P16,1),0)</f>
        <v>12</v>
      </c>
      <c r="N61" s="68" t="s">
        <v>1802</v>
      </c>
      <c r="O61" s="68" t="s">
        <v>1803</v>
      </c>
    </row>
    <row r="62" spans="1:15" ht="14.4">
      <c r="A62" s="132" t="s">
        <v>902</v>
      </c>
      <c r="B62" s="133" t="s">
        <v>1581</v>
      </c>
      <c r="C62" s="229" t="str">
        <f>_xlfn.VALUETOTEXT(ROUND(BS_TT2!C17,1),0)</f>
        <v>101.6</v>
      </c>
      <c r="D62" s="134">
        <f>BS_TT2!D17</f>
        <v>0.8743611450291946</v>
      </c>
      <c r="E62" s="229" t="str">
        <f>_xlfn.VALUETOTEXT(ROUND(BS_TT2!E17,1),0)</f>
        <v>-4.2</v>
      </c>
      <c r="F62" s="229" t="str">
        <f>_xlfn.VALUETOTEXT(ROUND(BS_TT2!F17,1),0)</f>
        <v>-9.7</v>
      </c>
      <c r="G62" s="229" t="str">
        <f>_xlfn.VALUETOTEXT(ROUND(BS_TT2!G17,1),0)</f>
        <v>-1</v>
      </c>
      <c r="H62" s="229" t="str">
        <f>_xlfn.VALUETOTEXT(ROUND(BS_TT2!K17,1),0)</f>
        <v>46.1</v>
      </c>
      <c r="I62" s="229" t="str">
        <f>_xlfn.VALUETOTEXT(ROUND(BS_TT2!L17,1),0)</f>
        <v>34.6</v>
      </c>
      <c r="J62" s="229" t="str">
        <f>_xlfn.VALUETOTEXT(ROUND(BS_TT2!M17,1),0)</f>
        <v>6.1</v>
      </c>
      <c r="K62" s="229" t="str">
        <f>_xlfn.VALUETOTEXT(ROUND(BS_TT2!N17,1),0)</f>
        <v>2.7</v>
      </c>
      <c r="L62" s="229" t="str">
        <f>_xlfn.VALUETOTEXT(ROUND(BS_TT2!O17,1),0)</f>
        <v>12</v>
      </c>
      <c r="M62" s="229" t="str">
        <f>_xlfn.VALUETOTEXT(ROUND(BS_TT2!P17,1),0)</f>
        <v>2.8</v>
      </c>
      <c r="N62" s="132" t="s">
        <v>1802</v>
      </c>
      <c r="O62" s="132" t="s">
        <v>1810</v>
      </c>
    </row>
    <row r="63" spans="1:15" ht="14.4">
      <c r="A63" s="132" t="s">
        <v>904</v>
      </c>
      <c r="B63" s="133" t="s">
        <v>1597</v>
      </c>
      <c r="C63" s="229" t="str">
        <f>_xlfn.VALUETOTEXT(ROUND(BS_TT2!C18,1),0)</f>
        <v>14.6</v>
      </c>
      <c r="D63" s="134">
        <f>BS_TT2!D18</f>
        <v>0.12563885497080551</v>
      </c>
      <c r="E63" s="229" t="str">
        <f>_xlfn.VALUETOTEXT(ROUND(BS_TT2!E18,1),0)</f>
        <v>-2.8</v>
      </c>
      <c r="F63" s="229" t="str">
        <f>_xlfn.VALUETOTEXT(ROUND(BS_TT2!F18,1),0)</f>
        <v>-1.3</v>
      </c>
      <c r="G63" s="229" t="str">
        <f>_xlfn.VALUETOTEXT(ROUND(BS_TT2!G18,1),0)</f>
        <v>0.1</v>
      </c>
      <c r="H63" s="229" t="str">
        <f>_xlfn.VALUETOTEXT(ROUND(BS_TT2!K18,1),0)</f>
        <v>7.6</v>
      </c>
      <c r="I63" s="229" t="str">
        <f>_xlfn.VALUETOTEXT(ROUND(BS_TT2!L18,1),0)</f>
        <v>7</v>
      </c>
      <c r="J63" s="229" t="str">
        <f>_xlfn.VALUETOTEXT(ROUND(BS_TT2!M18,1),0)</f>
        <v>0</v>
      </c>
      <c r="K63" s="229" t="str">
        <f>_xlfn.VALUETOTEXT(ROUND(BS_TT2!N18,1),0)</f>
        <v>0</v>
      </c>
      <c r="L63" s="229" t="str">
        <f>_xlfn.VALUETOTEXT(ROUND(BS_TT2!O18,1),0)</f>
        <v>0</v>
      </c>
      <c r="M63" s="229" t="str">
        <f>_xlfn.VALUETOTEXT(ROUND(BS_TT2!P18,1),0)</f>
        <v>1.2</v>
      </c>
      <c r="N63" s="132" t="s">
        <v>1802</v>
      </c>
      <c r="O63" s="132" t="s">
        <v>1810</v>
      </c>
    </row>
    <row r="64" spans="1:15" ht="26.6">
      <c r="A64" s="132" t="s">
        <v>905</v>
      </c>
      <c r="B64" s="133" t="s">
        <v>2005</v>
      </c>
      <c r="C64" s="229" t="str">
        <f>_xlfn.VALUETOTEXT(ROUND(BS_TT2!C19,1),0)</f>
        <v>-10.1</v>
      </c>
      <c r="D64" s="134">
        <f>BS_TT2!D19</f>
        <v>0</v>
      </c>
      <c r="E64" s="229" t="str">
        <f>_xlfn.VALUETOTEXT(ROUND(BS_TT2!E19,1),0)</f>
        <v>-0.3</v>
      </c>
      <c r="F64" s="229" t="str">
        <f>_xlfn.VALUETOTEXT(ROUND(BS_TT2!F19,1),0)</f>
        <v>-5.6</v>
      </c>
      <c r="G64" s="229" t="str">
        <f>_xlfn.VALUETOTEXT(ROUND(BS_TT2!G19,1),0)</f>
        <v>6.7</v>
      </c>
      <c r="H64" s="229" t="str">
        <f>_xlfn.VALUETOTEXT(ROUND(BS_TT2!K19,1),0)</f>
        <v>-10.1</v>
      </c>
      <c r="I64" s="229" t="str">
        <f>_xlfn.VALUETOTEXT(ROUND(BS_TT2!L19,1),0)</f>
        <v>-15.4</v>
      </c>
      <c r="J64" s="229" t="str">
        <f>_xlfn.VALUETOTEXT(ROUND(BS_TT2!M19,1),0)</f>
        <v>-1.8</v>
      </c>
      <c r="K64" s="229" t="str">
        <f>_xlfn.VALUETOTEXT(ROUND(BS_TT2!N19,1),0)</f>
        <v>24.7</v>
      </c>
      <c r="L64" s="229" t="str">
        <f>_xlfn.VALUETOTEXT(ROUND(BS_TT2!O19,1),0)</f>
        <v>2.6</v>
      </c>
      <c r="M64" s="229"/>
      <c r="N64" s="132" t="s">
        <v>1802</v>
      </c>
      <c r="O64" s="132" t="s">
        <v>1812</v>
      </c>
    </row>
    <row r="65" spans="1:15" ht="26.6">
      <c r="A65" s="132" t="s">
        <v>906</v>
      </c>
      <c r="B65" s="133" t="s">
        <v>2004</v>
      </c>
      <c r="C65" s="229" t="str">
        <f>_xlfn.VALUETOTEXT(ROUND(BS_TT2!C22,1),0)</f>
        <v>-10.1</v>
      </c>
      <c r="D65" s="134">
        <f>BS_TT2!D22</f>
        <v>0</v>
      </c>
      <c r="E65" s="229" t="str">
        <f>_xlfn.VALUETOTEXT(ROUND(BS_TT2!E22,1),0)</f>
        <v>-0.3</v>
      </c>
      <c r="F65" s="229" t="str">
        <f>_xlfn.VALUETOTEXT(ROUND(BS_TT2!F22,1),0)</f>
        <v>-5.6</v>
      </c>
      <c r="G65" s="229" t="str">
        <f>_xlfn.VALUETOTEXT(ROUND(BS_TT2!G22,1),0)</f>
        <v>6.7</v>
      </c>
      <c r="H65" s="229" t="str">
        <f>_xlfn.VALUETOTEXT(ROUND(BS_TT2!K22,1),0)</f>
        <v>-10.1</v>
      </c>
      <c r="I65" s="229" t="str">
        <f>_xlfn.VALUETOTEXT(ROUND(BS_TT2!L22,1),0)</f>
        <v>-15.4</v>
      </c>
      <c r="J65" s="229" t="str">
        <f>_xlfn.VALUETOTEXT(ROUND(BS_TT2!M22,1),0)</f>
        <v>-1.8</v>
      </c>
      <c r="K65" s="229" t="str">
        <f>_xlfn.VALUETOTEXT(ROUND(BS_TT2!N22,1),0)</f>
        <v>24.7</v>
      </c>
      <c r="L65" s="229" t="str">
        <f>_xlfn.VALUETOTEXT(ROUND(BS_TT2!O22,1),0)</f>
        <v>2.6</v>
      </c>
      <c r="M65" s="229"/>
      <c r="N65" s="132" t="s">
        <v>1802</v>
      </c>
      <c r="O65" s="132" t="s">
        <v>1812</v>
      </c>
    </row>
    <row r="66" spans="1:15" ht="14.4">
      <c r="A66" s="68" t="s">
        <v>1801</v>
      </c>
      <c r="B66" s="69" t="s">
        <v>2003</v>
      </c>
      <c r="C66" s="336" t="str">
        <f>_xlfn.VALUETOTEXT(ROUND(BS_TT2!C23,1),0)</f>
        <v>-10.1</v>
      </c>
      <c r="D66" s="337">
        <f>BS_TT2!D23</f>
        <v>0</v>
      </c>
      <c r="E66" s="336" t="str">
        <f>_xlfn.VALUETOTEXT(ROUND(BS_TT2!E23,1),0)</f>
        <v>-0.3</v>
      </c>
      <c r="F66" s="336" t="str">
        <f>_xlfn.VALUETOTEXT(ROUND(BS_TT2!F23,1),0)</f>
        <v>-5.6</v>
      </c>
      <c r="G66" s="336" t="str">
        <f>_xlfn.VALUETOTEXT(ROUND(BS_TT2!G23,1),0)</f>
        <v>6.7</v>
      </c>
      <c r="H66" s="336" t="str">
        <f>_xlfn.VALUETOTEXT(ROUND(BS_TT2!K23,1),0)</f>
        <v>-10.1</v>
      </c>
      <c r="I66" s="336" t="str">
        <f>_xlfn.VALUETOTEXT(ROUND(BS_TT2!L23,1),0)</f>
        <v>-25.5</v>
      </c>
      <c r="J66" s="336" t="str">
        <f>_xlfn.VALUETOTEXT(ROUND(BS_TT2!M23,1),0)</f>
        <v>-27.3</v>
      </c>
      <c r="K66" s="336" t="str">
        <f>_xlfn.VALUETOTEXT(ROUND(BS_TT2!N23,1),0)</f>
        <v>-2.6</v>
      </c>
      <c r="L66" s="336" t="str">
        <f>_xlfn.VALUETOTEXT(ROUND(BS_TT2!O23,1),0)</f>
        <v>0</v>
      </c>
      <c r="M66" s="336"/>
      <c r="N66" s="68" t="s">
        <v>1802</v>
      </c>
      <c r="O66" s="68" t="s">
        <v>1812</v>
      </c>
    </row>
    <row r="67" spans="1:15" ht="14.4">
      <c r="A67" s="68" t="s">
        <v>1804</v>
      </c>
      <c r="B67" s="69" t="s">
        <v>1661</v>
      </c>
      <c r="C67" s="336" t="str">
        <f>_xlfn.VALUETOTEXT(ROUND(BS_TT2!C25,1),0)</f>
        <v>-67.8</v>
      </c>
      <c r="D67" s="337">
        <f>BS_TT2!D25</f>
        <v>0</v>
      </c>
      <c r="E67" s="336" t="str">
        <f>_xlfn.VALUETOTEXT(ROUND(BS_TT2!E25,1),0)</f>
        <v>-1.1</v>
      </c>
      <c r="F67" s="336" t="str">
        <f>_xlfn.VALUETOTEXT(ROUND(BS_TT2!F25,1),0)</f>
        <v>-27</v>
      </c>
      <c r="G67" s="336" t="str">
        <f>_xlfn.VALUETOTEXT(ROUND(BS_TT2!G25,1),0)</f>
        <v>34.3</v>
      </c>
      <c r="H67" s="336" t="str">
        <f>_xlfn.VALUETOTEXT(ROUND(BS_TT2!K25,1),0)</f>
        <v>-42.2</v>
      </c>
      <c r="I67" s="336" t="str">
        <f>_xlfn.VALUETOTEXT(ROUND(BS_TT2!L25,1),0)</f>
        <v>-25.6</v>
      </c>
      <c r="J67" s="336" t="str">
        <f>_xlfn.VALUETOTEXT(ROUND(BS_TT2!M25,1),0)</f>
        <v>0</v>
      </c>
      <c r="K67" s="336" t="str">
        <f>_xlfn.VALUETOTEXT(ROUND(BS_TT2!N25,1),0)</f>
        <v>0</v>
      </c>
      <c r="L67" s="336" t="str">
        <f>_xlfn.VALUETOTEXT(ROUND(BS_TT2!O25,1),0)</f>
        <v>0</v>
      </c>
      <c r="M67" s="336"/>
      <c r="N67" s="68" t="s">
        <v>1802</v>
      </c>
      <c r="O67" s="68" t="s">
        <v>1812</v>
      </c>
    </row>
    <row r="68" spans="1:15" ht="14.4">
      <c r="A68" s="68" t="s">
        <v>1805</v>
      </c>
      <c r="B68" s="69" t="s">
        <v>1677</v>
      </c>
      <c r="C68" s="336" t="str">
        <f>_xlfn.VALUETOTEXT(ROUND(BS_TT2!C27,1),0)</f>
        <v>-201.3</v>
      </c>
      <c r="D68" s="337">
        <f>BS_TT2!D27</f>
        <v>0</v>
      </c>
      <c r="E68" s="336" t="str">
        <f>_xlfn.VALUETOTEXT(ROUND(BS_TT2!E27,1),0)</f>
        <v>-2.5</v>
      </c>
      <c r="F68" s="336" t="str">
        <f>_xlfn.VALUETOTEXT(ROUND(BS_TT2!F27,1),0)</f>
        <v>-64</v>
      </c>
      <c r="G68" s="336" t="str">
        <f>_xlfn.VALUETOTEXT(ROUND(BS_TT2!G27,1),0)</f>
        <v>2.1</v>
      </c>
      <c r="H68" s="336" t="str">
        <f>_xlfn.VALUETOTEXT(ROUND(BS_TT2!K27,1),0)</f>
        <v>-92.9</v>
      </c>
      <c r="I68" s="336" t="str">
        <f>_xlfn.VALUETOTEXT(ROUND(BS_TT2!L27,1),0)</f>
        <v>-102.4</v>
      </c>
      <c r="J68" s="336" t="str">
        <f>_xlfn.VALUETOTEXT(ROUND(BS_TT2!M27,1),0)</f>
        <v>-6</v>
      </c>
      <c r="K68" s="336" t="str">
        <f>_xlfn.VALUETOTEXT(ROUND(BS_TT2!N27,1),0)</f>
        <v>0</v>
      </c>
      <c r="L68" s="336" t="str">
        <f>_xlfn.VALUETOTEXT(ROUND(BS_TT2!O27,1),0)</f>
        <v>0</v>
      </c>
      <c r="M68" s="336"/>
      <c r="N68" s="68" t="s">
        <v>1802</v>
      </c>
      <c r="O68" s="68" t="s">
        <v>1812</v>
      </c>
    </row>
  </sheetData>
  <mergeCells count="4">
    <mergeCell ref="A1:K1"/>
    <mergeCell ref="A8:M8"/>
    <mergeCell ref="A16:D16"/>
    <mergeCell ref="A46:O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25A5-6E58-46C5-9B03-229FD823C3D8}">
  <sheetPr codeName="Sheet19"/>
  <dimension ref="A1:O70"/>
  <sheetViews>
    <sheetView showGridLines="0" topLeftCell="B7" workbookViewId="0">
      <selection activeCell="H33" sqref="H33"/>
    </sheetView>
  </sheetViews>
  <sheetFormatPr defaultColWidth="9.09765625" defaultRowHeight="13.85"/>
  <cols>
    <col min="1" max="1" width="28.8984375" style="28" customWidth="1"/>
    <col min="2" max="2" width="44.296875" style="28" customWidth="1"/>
    <col min="3" max="3" width="20.59765625" style="28" customWidth="1"/>
    <col min="4" max="4" width="16" style="28" customWidth="1"/>
    <col min="5" max="5" width="13.69921875" style="28" customWidth="1"/>
    <col min="6" max="6" width="16" style="28" customWidth="1"/>
    <col min="7" max="7" width="18.296875" style="28" customWidth="1"/>
    <col min="8" max="12" width="20" style="28" customWidth="1"/>
    <col min="13" max="13" width="25.09765625" style="28" customWidth="1"/>
    <col min="14" max="15" width="18.296875" style="28" customWidth="1"/>
    <col min="16" max="16384" width="9.09765625" style="28"/>
  </cols>
  <sheetData>
    <row r="1" spans="1:15" ht="23.85">
      <c r="A1" s="401" t="s">
        <v>1293</v>
      </c>
      <c r="B1" s="402"/>
      <c r="C1" s="402"/>
      <c r="D1" s="402"/>
      <c r="E1" s="402"/>
      <c r="F1" s="402"/>
      <c r="G1" s="402"/>
      <c r="H1" s="402"/>
      <c r="I1" s="402"/>
      <c r="J1" s="402"/>
      <c r="K1" s="402"/>
      <c r="L1" s="66"/>
      <c r="M1" s="66"/>
      <c r="N1" s="66"/>
      <c r="O1" s="66"/>
    </row>
    <row r="2" spans="1:15" ht="14.4">
      <c r="A2" s="66"/>
      <c r="B2" s="66"/>
      <c r="C2" s="66"/>
      <c r="D2" s="66"/>
      <c r="E2" s="66"/>
      <c r="F2" s="66"/>
      <c r="G2" s="66"/>
      <c r="H2" s="66"/>
      <c r="I2" s="66"/>
      <c r="J2" s="66"/>
      <c r="K2" s="66"/>
      <c r="L2" s="66"/>
      <c r="M2" s="66"/>
      <c r="N2" s="66"/>
      <c r="O2" s="66"/>
    </row>
    <row r="3" spans="1:15" ht="14.4">
      <c r="A3" s="67" t="s">
        <v>124</v>
      </c>
      <c r="B3" s="67" t="s">
        <v>50</v>
      </c>
      <c r="C3" s="67" t="s">
        <v>106</v>
      </c>
      <c r="D3" s="66"/>
      <c r="E3" s="66"/>
      <c r="F3" s="66"/>
      <c r="G3" s="66"/>
      <c r="H3" s="66"/>
      <c r="I3" s="66"/>
      <c r="J3" s="66"/>
      <c r="K3" s="66"/>
      <c r="L3" s="66"/>
      <c r="M3" s="66"/>
      <c r="N3" s="66"/>
      <c r="O3" s="66"/>
    </row>
    <row r="4" spans="1:15" ht="14.4">
      <c r="A4" s="68" t="s">
        <v>473</v>
      </c>
      <c r="B4" s="68" t="s">
        <v>1188</v>
      </c>
      <c r="C4" s="68" t="s">
        <v>1744</v>
      </c>
      <c r="D4" s="66"/>
      <c r="E4" s="66"/>
      <c r="F4" s="66"/>
      <c r="G4" s="66"/>
      <c r="H4" s="66"/>
      <c r="I4" s="66"/>
      <c r="J4" s="66"/>
      <c r="K4" s="66"/>
      <c r="L4" s="66"/>
      <c r="M4" s="66"/>
      <c r="N4" s="66"/>
      <c r="O4" s="66"/>
    </row>
    <row r="5" spans="1:15" ht="14.4">
      <c r="A5" s="68" t="s">
        <v>475</v>
      </c>
      <c r="B5" s="68" t="s">
        <v>1191</v>
      </c>
      <c r="C5" s="68" t="s">
        <v>1775</v>
      </c>
      <c r="D5" s="66"/>
      <c r="E5" s="66"/>
      <c r="F5" s="66"/>
      <c r="G5" s="66"/>
      <c r="H5" s="66"/>
      <c r="I5" s="66"/>
      <c r="J5" s="66"/>
      <c r="K5" s="66"/>
      <c r="L5" s="66"/>
      <c r="M5" s="66"/>
      <c r="N5" s="66"/>
      <c r="O5" s="66"/>
    </row>
    <row r="6" spans="1:15" ht="14.4">
      <c r="A6" s="68" t="s">
        <v>1294</v>
      </c>
      <c r="B6" s="68" t="s">
        <v>1295</v>
      </c>
      <c r="C6" s="125" t="str">
        <f>TEXT(B27,"dd/mm/yyyy")</f>
        <v>28/09/2026</v>
      </c>
      <c r="D6" s="66"/>
      <c r="E6" s="66"/>
      <c r="F6" s="66"/>
      <c r="G6" s="66"/>
      <c r="H6" s="66"/>
      <c r="I6" s="66"/>
      <c r="J6" s="66"/>
      <c r="K6" s="66"/>
      <c r="L6" s="66"/>
      <c r="M6" s="66"/>
      <c r="N6" s="66"/>
      <c r="O6" s="66"/>
    </row>
    <row r="7" spans="1:15" ht="14.4">
      <c r="A7" s="66"/>
      <c r="B7" s="66"/>
      <c r="C7" s="66"/>
      <c r="D7" s="66"/>
      <c r="E7" s="66"/>
      <c r="F7" s="66"/>
      <c r="G7" s="66"/>
      <c r="H7" s="66"/>
      <c r="I7" s="66"/>
      <c r="J7" s="66"/>
      <c r="K7" s="66"/>
      <c r="L7" s="66"/>
      <c r="M7" s="66"/>
      <c r="N7" s="66"/>
      <c r="O7" s="66"/>
    </row>
    <row r="8" spans="1:15" ht="14.4">
      <c r="A8" s="66"/>
      <c r="B8" s="66"/>
      <c r="C8" s="66"/>
      <c r="D8" s="66"/>
      <c r="E8" s="66"/>
      <c r="F8" s="66"/>
      <c r="G8" s="66"/>
      <c r="H8" s="66"/>
      <c r="I8" s="66"/>
      <c r="J8" s="66"/>
      <c r="K8" s="66"/>
      <c r="L8" s="66"/>
      <c r="M8" s="66"/>
      <c r="N8" s="66"/>
      <c r="O8" s="66"/>
    </row>
    <row r="9" spans="1:15" ht="14.4">
      <c r="A9" s="404" t="s">
        <v>1776</v>
      </c>
      <c r="B9" s="404"/>
      <c r="C9" s="404"/>
      <c r="D9" s="404"/>
      <c r="E9" s="404"/>
      <c r="F9" s="404"/>
      <c r="G9" s="404"/>
      <c r="H9" s="404"/>
      <c r="I9" s="404"/>
      <c r="J9" s="404"/>
      <c r="K9" s="404"/>
      <c r="L9" s="404"/>
      <c r="M9" s="404"/>
      <c r="N9" s="127"/>
      <c r="O9" s="127"/>
    </row>
    <row r="10" spans="1:15" ht="14.4">
      <c r="A10" s="67" t="s">
        <v>1296</v>
      </c>
      <c r="B10" s="67" t="s">
        <v>1316</v>
      </c>
      <c r="C10" s="67" t="s">
        <v>1777</v>
      </c>
      <c r="D10" s="67" t="s">
        <v>106</v>
      </c>
      <c r="E10" s="67" t="s">
        <v>1778</v>
      </c>
      <c r="F10" s="67" t="s">
        <v>401</v>
      </c>
      <c r="G10" s="67" t="s">
        <v>1779</v>
      </c>
      <c r="H10" s="67" t="s">
        <v>1780</v>
      </c>
      <c r="I10" s="67" t="s">
        <v>164</v>
      </c>
      <c r="J10" s="67" t="s">
        <v>1781</v>
      </c>
      <c r="K10" s="67" t="s">
        <v>1782</v>
      </c>
      <c r="L10" s="67" t="s">
        <v>1783</v>
      </c>
      <c r="M10" s="67" t="s">
        <v>1784</v>
      </c>
      <c r="N10" s="66"/>
      <c r="O10" s="66"/>
    </row>
    <row r="11" spans="1:15" ht="26.6">
      <c r="A11" s="68" t="s">
        <v>1785</v>
      </c>
      <c r="B11" s="69" t="s">
        <v>507</v>
      </c>
      <c r="C11" s="69"/>
      <c r="D11" s="128">
        <f>VALUE(H66)</f>
        <v>-10.130000000000001</v>
      </c>
      <c r="E11" s="69" t="s">
        <v>515</v>
      </c>
      <c r="F11" s="69" t="s">
        <v>518</v>
      </c>
      <c r="G11" s="69" t="s">
        <v>521</v>
      </c>
      <c r="H11" s="69" t="s">
        <v>524</v>
      </c>
      <c r="I11" s="69"/>
      <c r="J11" s="69" t="s">
        <v>529</v>
      </c>
      <c r="K11" s="69"/>
      <c r="L11" s="69"/>
      <c r="M11" s="69" t="s">
        <v>1786</v>
      </c>
      <c r="N11" s="66"/>
      <c r="O11" s="66"/>
    </row>
    <row r="12" spans="1:15" ht="26.6">
      <c r="A12" s="68" t="s">
        <v>1787</v>
      </c>
      <c r="B12" s="69" t="s">
        <v>536</v>
      </c>
      <c r="C12" s="69"/>
      <c r="D12" s="128">
        <f>H66+I66</f>
        <v>-35.619999999999997</v>
      </c>
      <c r="E12" s="69" t="s">
        <v>515</v>
      </c>
      <c r="F12" s="69" t="s">
        <v>546</v>
      </c>
      <c r="G12" s="69" t="s">
        <v>521</v>
      </c>
      <c r="H12" s="69" t="s">
        <v>524</v>
      </c>
      <c r="I12" s="69"/>
      <c r="J12" s="69" t="s">
        <v>529</v>
      </c>
      <c r="K12" s="69"/>
      <c r="L12" s="69"/>
      <c r="M12" s="69" t="s">
        <v>1786</v>
      </c>
      <c r="N12" s="66"/>
      <c r="O12" s="66"/>
    </row>
    <row r="13" spans="1:15" ht="39.9">
      <c r="A13" s="68" t="s">
        <v>1788</v>
      </c>
      <c r="B13" s="69" t="s">
        <v>561</v>
      </c>
      <c r="C13" s="69"/>
      <c r="D13" s="128">
        <f>VALUE(H68)</f>
        <v>-21.11</v>
      </c>
      <c r="E13" s="69" t="s">
        <v>515</v>
      </c>
      <c r="F13" s="69"/>
      <c r="G13" s="69"/>
      <c r="H13" s="69"/>
      <c r="I13" s="69" t="s">
        <v>1789</v>
      </c>
      <c r="J13" s="69" t="s">
        <v>580</v>
      </c>
      <c r="K13" s="69"/>
      <c r="L13" s="69"/>
      <c r="M13" s="69" t="s">
        <v>1786</v>
      </c>
      <c r="N13" s="66"/>
      <c r="O13" s="66"/>
    </row>
    <row r="14" spans="1:15" ht="39.9">
      <c r="A14" s="68" t="s">
        <v>1790</v>
      </c>
      <c r="B14" s="69" t="s">
        <v>587</v>
      </c>
      <c r="C14" s="69"/>
      <c r="D14" s="128">
        <f>VALUE(I68)</f>
        <v>-12.8</v>
      </c>
      <c r="E14" s="69" t="s">
        <v>515</v>
      </c>
      <c r="F14" s="69"/>
      <c r="G14" s="69"/>
      <c r="H14" s="69"/>
      <c r="I14" s="69" t="s">
        <v>1789</v>
      </c>
      <c r="J14" s="69" t="s">
        <v>580</v>
      </c>
      <c r="K14" s="69"/>
      <c r="L14" s="69"/>
      <c r="M14" s="69" t="s">
        <v>1786</v>
      </c>
      <c r="N14" s="66"/>
      <c r="O14" s="66"/>
    </row>
    <row r="15" spans="1:15" ht="53.2">
      <c r="A15" s="68" t="s">
        <v>1791</v>
      </c>
      <c r="B15" s="69" t="s">
        <v>611</v>
      </c>
      <c r="C15" s="69" t="s">
        <v>1792</v>
      </c>
      <c r="D15" s="128">
        <f>H69+I69</f>
        <v>-97.6</v>
      </c>
      <c r="E15" s="69" t="s">
        <v>620</v>
      </c>
      <c r="F15" s="129" t="s">
        <v>1793</v>
      </c>
      <c r="G15" s="69" t="s">
        <v>1794</v>
      </c>
      <c r="H15" s="69" t="s">
        <v>628</v>
      </c>
      <c r="I15" s="69"/>
      <c r="J15" s="69" t="s">
        <v>529</v>
      </c>
      <c r="K15" s="69"/>
      <c r="L15" s="69"/>
      <c r="M15" s="69" t="s">
        <v>1786</v>
      </c>
      <c r="N15" s="66"/>
      <c r="O15" s="66"/>
    </row>
    <row r="16" spans="1:15" ht="14.4">
      <c r="A16" s="66"/>
      <c r="B16" s="66"/>
      <c r="C16" s="66"/>
      <c r="D16" s="66"/>
      <c r="E16" s="66"/>
      <c r="F16" s="66"/>
      <c r="G16" s="66"/>
      <c r="H16" s="66"/>
      <c r="I16" s="66"/>
      <c r="J16" s="66"/>
      <c r="K16" s="66"/>
      <c r="L16" s="66"/>
      <c r="M16" s="66"/>
      <c r="N16" s="66"/>
      <c r="O16" s="66"/>
    </row>
    <row r="17" spans="1:15" ht="14.4">
      <c r="A17" s="66"/>
      <c r="B17" s="66"/>
      <c r="C17" s="66"/>
      <c r="D17" s="66"/>
      <c r="E17" s="66"/>
      <c r="F17" s="66"/>
      <c r="G17" s="66"/>
      <c r="H17" s="66"/>
      <c r="I17" s="66"/>
      <c r="J17" s="66"/>
      <c r="K17" s="66"/>
      <c r="L17" s="66"/>
      <c r="M17" s="66"/>
      <c r="N17" s="66"/>
      <c r="O17" s="66"/>
    </row>
    <row r="18" spans="1:15" ht="14.4">
      <c r="A18" s="404" t="s">
        <v>1795</v>
      </c>
      <c r="B18" s="404"/>
      <c r="C18" s="404"/>
      <c r="D18" s="404"/>
      <c r="E18" s="127"/>
      <c r="F18" s="127"/>
      <c r="G18" s="127"/>
      <c r="H18" s="127"/>
      <c r="I18" s="127"/>
      <c r="J18" s="127"/>
      <c r="K18" s="127"/>
      <c r="L18" s="127"/>
      <c r="M18" s="127"/>
      <c r="N18" s="127"/>
      <c r="O18" s="127"/>
    </row>
    <row r="19" spans="1:15" ht="14.4">
      <c r="A19" s="67" t="s">
        <v>1314</v>
      </c>
      <c r="B19" s="67" t="s">
        <v>1316</v>
      </c>
      <c r="C19" s="67" t="s">
        <v>1317</v>
      </c>
      <c r="D19" s="67" t="s">
        <v>918</v>
      </c>
      <c r="E19" s="66"/>
      <c r="F19" s="66"/>
      <c r="G19" s="66"/>
      <c r="H19" s="66"/>
      <c r="I19" s="66"/>
      <c r="J19" s="66"/>
      <c r="K19" s="66"/>
      <c r="L19" s="66"/>
      <c r="M19" s="66"/>
      <c r="N19" s="66"/>
      <c r="O19" s="66"/>
    </row>
    <row r="20" spans="1:15" ht="14.4">
      <c r="A20" s="68" t="s">
        <v>1315</v>
      </c>
      <c r="B20" s="69" t="s">
        <v>640</v>
      </c>
      <c r="C20" s="68" t="s">
        <v>2051</v>
      </c>
      <c r="D20" s="68" t="s">
        <v>1189</v>
      </c>
      <c r="E20" s="66"/>
      <c r="F20" s="66"/>
      <c r="G20" s="66"/>
      <c r="H20" s="66"/>
      <c r="I20" s="66"/>
      <c r="J20" s="66"/>
      <c r="K20" s="66"/>
      <c r="L20" s="66"/>
      <c r="M20" s="66"/>
      <c r="N20" s="66"/>
      <c r="O20" s="66"/>
    </row>
    <row r="21" spans="1:15" ht="14.4">
      <c r="A21" s="68" t="s">
        <v>1318</v>
      </c>
      <c r="B21" s="69" t="s">
        <v>646</v>
      </c>
      <c r="C21" s="68" t="s">
        <v>2052</v>
      </c>
      <c r="D21" s="68" t="s">
        <v>1189</v>
      </c>
      <c r="E21" s="66"/>
      <c r="F21" s="66"/>
      <c r="G21" s="66"/>
      <c r="H21" s="66"/>
      <c r="I21" s="66"/>
      <c r="J21" s="66"/>
      <c r="K21" s="66"/>
      <c r="L21" s="66"/>
      <c r="M21" s="66"/>
      <c r="N21" s="66"/>
      <c r="O21" s="66"/>
    </row>
    <row r="22" spans="1:15" ht="14.4">
      <c r="A22" s="68" t="s">
        <v>1319</v>
      </c>
      <c r="B22" s="69" t="s">
        <v>652</v>
      </c>
      <c r="C22" s="68" t="s">
        <v>1796</v>
      </c>
      <c r="D22" s="68" t="s">
        <v>1189</v>
      </c>
      <c r="E22" s="66"/>
      <c r="F22" s="66"/>
      <c r="G22" s="66"/>
      <c r="H22" s="66"/>
      <c r="I22" s="66"/>
      <c r="J22" s="66"/>
      <c r="K22" s="66"/>
      <c r="L22" s="66"/>
      <c r="M22" s="66"/>
      <c r="N22" s="66"/>
      <c r="O22" s="66"/>
    </row>
    <row r="23" spans="1:15" ht="14.4">
      <c r="A23" s="66"/>
      <c r="B23" s="66"/>
      <c r="C23" s="66"/>
      <c r="D23" s="66"/>
      <c r="E23" s="66"/>
      <c r="F23" s="66"/>
      <c r="G23" s="66"/>
      <c r="H23" s="66"/>
      <c r="I23" s="66"/>
      <c r="J23" s="66"/>
      <c r="K23" s="66"/>
      <c r="L23" s="66"/>
      <c r="M23" s="66"/>
      <c r="N23" s="66"/>
      <c r="O23" s="66"/>
    </row>
    <row r="24" spans="1:15" ht="14.4">
      <c r="A24" s="68" t="s">
        <v>124</v>
      </c>
      <c r="B24" s="68" t="s">
        <v>106</v>
      </c>
      <c r="C24" s="68" t="s">
        <v>913</v>
      </c>
      <c r="D24" s="68" t="s">
        <v>910</v>
      </c>
      <c r="E24" s="68" t="s">
        <v>164</v>
      </c>
      <c r="F24" s="68" t="s">
        <v>674</v>
      </c>
      <c r="G24" s="68" t="s">
        <v>675</v>
      </c>
    </row>
    <row r="25" spans="1:15" ht="14.4">
      <c r="A25" s="68" t="s">
        <v>1320</v>
      </c>
      <c r="B25" s="68" t="s">
        <v>1321</v>
      </c>
      <c r="C25" s="68" t="s">
        <v>1293</v>
      </c>
      <c r="D25" s="68" t="s">
        <v>1321</v>
      </c>
      <c r="E25" s="68" t="s">
        <v>1322</v>
      </c>
      <c r="F25" s="68" t="s">
        <v>670</v>
      </c>
      <c r="G25" s="68"/>
    </row>
    <row r="26" spans="1:15" ht="14.4">
      <c r="A26" s="68" t="s">
        <v>1323</v>
      </c>
      <c r="B26" s="68" t="s">
        <v>1797</v>
      </c>
      <c r="C26" s="68" t="s">
        <v>1293</v>
      </c>
      <c r="D26" s="68" t="s">
        <v>1321</v>
      </c>
      <c r="E26" s="68" t="s">
        <v>1324</v>
      </c>
      <c r="F26" s="68" t="s">
        <v>670</v>
      </c>
      <c r="G26" s="68"/>
    </row>
    <row r="27" spans="1:15" ht="14.4">
      <c r="A27" s="68" t="s">
        <v>1325</v>
      </c>
      <c r="B27" s="125" t="str">
        <f>B33</f>
        <v>28/09/2026</v>
      </c>
      <c r="C27" s="68" t="s">
        <v>1293</v>
      </c>
      <c r="D27" s="68" t="s">
        <v>1321</v>
      </c>
      <c r="E27" s="68" t="s">
        <v>1326</v>
      </c>
      <c r="F27" s="68" t="s">
        <v>670</v>
      </c>
      <c r="G27" s="68"/>
    </row>
    <row r="28" spans="1:15" ht="14.4">
      <c r="A28" s="68" t="s">
        <v>1327</v>
      </c>
      <c r="B28" s="68" t="s">
        <v>515</v>
      </c>
      <c r="C28" s="68" t="s">
        <v>1293</v>
      </c>
      <c r="D28" s="68" t="s">
        <v>1321</v>
      </c>
      <c r="E28" s="68" t="s">
        <v>1328</v>
      </c>
      <c r="F28" s="68" t="s">
        <v>670</v>
      </c>
      <c r="G28" s="68"/>
    </row>
    <row r="29" spans="1:15" ht="14.4">
      <c r="A29" s="68" t="s">
        <v>1329</v>
      </c>
      <c r="B29" s="68" t="s">
        <v>8</v>
      </c>
      <c r="C29" s="68" t="s">
        <v>1293</v>
      </c>
      <c r="D29" s="68" t="s">
        <v>1321</v>
      </c>
      <c r="E29" s="68" t="s">
        <v>1330</v>
      </c>
      <c r="F29" s="68" t="s">
        <v>670</v>
      </c>
      <c r="G29" s="68"/>
    </row>
    <row r="30" spans="1:15" ht="14.4">
      <c r="A30" s="68" t="s">
        <v>1331</v>
      </c>
      <c r="B30" s="68" t="s">
        <v>120</v>
      </c>
      <c r="C30" s="68" t="s">
        <v>1293</v>
      </c>
      <c r="D30" s="68" t="s">
        <v>1321</v>
      </c>
      <c r="E30" s="68" t="s">
        <v>1332</v>
      </c>
      <c r="F30" s="68" t="s">
        <v>670</v>
      </c>
      <c r="G30" s="68"/>
    </row>
    <row r="31" spans="1:15" ht="14.4">
      <c r="A31" s="68" t="s">
        <v>1333</v>
      </c>
      <c r="B31" s="68" t="s">
        <v>515</v>
      </c>
      <c r="C31" s="68" t="s">
        <v>1293</v>
      </c>
      <c r="D31" s="68" t="s">
        <v>1321</v>
      </c>
      <c r="E31" s="68" t="s">
        <v>1334</v>
      </c>
      <c r="F31" s="68" t="s">
        <v>670</v>
      </c>
      <c r="G31" s="68"/>
    </row>
    <row r="32" spans="1:15" ht="14.4">
      <c r="A32" s="68" t="s">
        <v>1335</v>
      </c>
      <c r="B32" s="68" t="s">
        <v>879</v>
      </c>
      <c r="C32" s="68" t="s">
        <v>1293</v>
      </c>
      <c r="D32" s="68" t="s">
        <v>1321</v>
      </c>
      <c r="E32" s="68" t="s">
        <v>1336</v>
      </c>
      <c r="F32" s="68" t="s">
        <v>670</v>
      </c>
      <c r="G32" s="68"/>
    </row>
    <row r="33" spans="1:15" ht="14.4">
      <c r="A33" s="68" t="s">
        <v>1337</v>
      </c>
      <c r="B33" s="68" t="str">
        <f>TEXT(C49,"dd/mm/yyyy")</f>
        <v>28/09/2026</v>
      </c>
      <c r="C33" s="68" t="s">
        <v>1293</v>
      </c>
      <c r="D33" s="68" t="s">
        <v>1321</v>
      </c>
      <c r="E33" s="68" t="s">
        <v>1338</v>
      </c>
      <c r="F33" s="68" t="s">
        <v>670</v>
      </c>
      <c r="G33" s="68"/>
    </row>
    <row r="34" spans="1:15" ht="14.4">
      <c r="A34" s="68" t="s">
        <v>1339</v>
      </c>
      <c r="B34" s="68" t="s">
        <v>1223</v>
      </c>
      <c r="C34" s="68" t="s">
        <v>1293</v>
      </c>
      <c r="D34" s="68" t="s">
        <v>1321</v>
      </c>
      <c r="E34" s="68" t="s">
        <v>1340</v>
      </c>
      <c r="F34" s="68" t="s">
        <v>670</v>
      </c>
      <c r="G34" s="68"/>
    </row>
    <row r="35" spans="1:15" ht="14.4">
      <c r="A35" s="68" t="s">
        <v>1341</v>
      </c>
      <c r="B35" s="68" t="s">
        <v>1798</v>
      </c>
      <c r="C35" s="68" t="s">
        <v>1293</v>
      </c>
      <c r="D35" s="68" t="s">
        <v>1321</v>
      </c>
      <c r="E35" s="68" t="s">
        <v>1342</v>
      </c>
      <c r="F35" s="68" t="s">
        <v>670</v>
      </c>
      <c r="G35" s="68"/>
    </row>
    <row r="36" spans="1:15" ht="14.4">
      <c r="A36" s="68" t="s">
        <v>1343</v>
      </c>
      <c r="B36" s="125" t="str">
        <f>E49</f>
        <v>DtD</v>
      </c>
      <c r="C36" s="68" t="s">
        <v>1293</v>
      </c>
      <c r="D36" s="68" t="s">
        <v>1321</v>
      </c>
      <c r="E36" s="68" t="s">
        <v>1344</v>
      </c>
      <c r="F36" s="68" t="s">
        <v>670</v>
      </c>
      <c r="G36" s="68"/>
    </row>
    <row r="37" spans="1:15" ht="14.4">
      <c r="A37" s="68" t="s">
        <v>1345</v>
      </c>
      <c r="B37" s="125" t="str">
        <f>F49</f>
        <v>MtD</v>
      </c>
      <c r="C37" s="68" t="s">
        <v>1293</v>
      </c>
      <c r="D37" s="68" t="s">
        <v>1321</v>
      </c>
      <c r="E37" s="68" t="s">
        <v>1346</v>
      </c>
      <c r="F37" s="68" t="s">
        <v>670</v>
      </c>
      <c r="G37" s="68"/>
    </row>
    <row r="38" spans="1:15" ht="14.4">
      <c r="A38" s="68" t="s">
        <v>1347</v>
      </c>
      <c r="B38" s="125" t="str">
        <f>G49</f>
        <v>YtD</v>
      </c>
      <c r="C38" s="68" t="s">
        <v>1293</v>
      </c>
      <c r="D38" s="68" t="s">
        <v>1321</v>
      </c>
      <c r="E38" s="68" t="s">
        <v>1348</v>
      </c>
      <c r="F38" s="68" t="s">
        <v>670</v>
      </c>
      <c r="G38" s="68"/>
    </row>
    <row r="39" spans="1:15" ht="14.4">
      <c r="A39" s="68" t="s">
        <v>1349</v>
      </c>
      <c r="B39" s="68" t="str">
        <f>"Phân bổ kỳ thanh khoản BS tại "&amp;TEXT(DATE(YEAR(B33), MONTH(B33),DAY(B33)),"dd/mm/yyyy")</f>
        <v>Phân bổ kỳ thanh khoản BS tại 28/09/2026</v>
      </c>
      <c r="C39" s="68" t="s">
        <v>1293</v>
      </c>
      <c r="D39" s="68" t="s">
        <v>1321</v>
      </c>
      <c r="E39" s="68" t="s">
        <v>1350</v>
      </c>
      <c r="F39" s="68" t="s">
        <v>670</v>
      </c>
      <c r="G39" s="68"/>
    </row>
    <row r="40" spans="1:15" ht="14.4">
      <c r="A40" s="68" t="s">
        <v>1351</v>
      </c>
      <c r="B40" s="68" t="str">
        <f>H49</f>
        <v>1M</v>
      </c>
      <c r="C40" s="68" t="s">
        <v>1293</v>
      </c>
      <c r="D40" s="68" t="s">
        <v>1321</v>
      </c>
      <c r="E40" s="68" t="s">
        <v>1352</v>
      </c>
      <c r="F40" s="68" t="s">
        <v>670</v>
      </c>
      <c r="G40" s="68"/>
    </row>
    <row r="41" spans="1:15" ht="14.4">
      <c r="A41" s="68" t="s">
        <v>1353</v>
      </c>
      <c r="B41" s="68" t="str">
        <f>I49</f>
        <v>1-3M</v>
      </c>
      <c r="C41" s="68" t="s">
        <v>1293</v>
      </c>
      <c r="D41" s="68" t="s">
        <v>1321</v>
      </c>
      <c r="E41" s="68" t="s">
        <v>1354</v>
      </c>
      <c r="F41" s="68" t="s">
        <v>670</v>
      </c>
      <c r="G41" s="68"/>
    </row>
    <row r="42" spans="1:15" ht="14.4">
      <c r="A42" s="68" t="s">
        <v>1355</v>
      </c>
      <c r="B42" s="68" t="str">
        <f>J49</f>
        <v>3-6M</v>
      </c>
      <c r="C42" s="68" t="s">
        <v>1293</v>
      </c>
      <c r="D42" s="68" t="s">
        <v>1321</v>
      </c>
      <c r="E42" s="68" t="s">
        <v>1356</v>
      </c>
      <c r="F42" s="68" t="s">
        <v>670</v>
      </c>
      <c r="G42" s="68"/>
    </row>
    <row r="43" spans="1:15" ht="14.4">
      <c r="A43" s="68" t="s">
        <v>1357</v>
      </c>
      <c r="B43" s="68" t="str">
        <f>K49</f>
        <v>6-12M</v>
      </c>
      <c r="C43" s="68" t="s">
        <v>1293</v>
      </c>
      <c r="D43" s="68" t="s">
        <v>1321</v>
      </c>
      <c r="E43" s="68" t="s">
        <v>1358</v>
      </c>
      <c r="F43" s="68" t="s">
        <v>670</v>
      </c>
      <c r="G43" s="68"/>
    </row>
    <row r="44" spans="1:15" ht="14.4">
      <c r="A44" s="68" t="s">
        <v>1359</v>
      </c>
      <c r="B44" s="68" t="str">
        <f>L49</f>
        <v>12M</v>
      </c>
      <c r="C44" s="68" t="s">
        <v>1293</v>
      </c>
      <c r="D44" s="68" t="s">
        <v>1321</v>
      </c>
      <c r="E44" s="68" t="s">
        <v>1360</v>
      </c>
      <c r="F44" s="68" t="s">
        <v>670</v>
      </c>
      <c r="G44" s="68"/>
    </row>
    <row r="45" spans="1:15" ht="14.4">
      <c r="A45" s="68" t="s">
        <v>1361</v>
      </c>
      <c r="B45" s="68" t="str">
        <f>M49</f>
        <v>Kỳ hạn</v>
      </c>
      <c r="C45" s="68" t="s">
        <v>1293</v>
      </c>
      <c r="D45" s="68" t="s">
        <v>1321</v>
      </c>
      <c r="E45" s="68" t="s">
        <v>1362</v>
      </c>
      <c r="F45" s="68" t="s">
        <v>670</v>
      </c>
      <c r="G45" s="68"/>
    </row>
    <row r="46" spans="1:15" ht="14.4">
      <c r="A46" s="68" t="s">
        <v>1363</v>
      </c>
      <c r="B46" s="68" t="str">
        <f>N49</f>
        <v>Lãi suất bình quân</v>
      </c>
      <c r="C46" s="68" t="s">
        <v>1293</v>
      </c>
      <c r="D46" s="68" t="s">
        <v>1321</v>
      </c>
      <c r="E46" s="68" t="s">
        <v>1364</v>
      </c>
      <c r="F46" s="68" t="s">
        <v>670</v>
      </c>
      <c r="G46" s="68"/>
    </row>
    <row r="47" spans="1:15" ht="14.4">
      <c r="A47" s="66"/>
      <c r="B47" s="66"/>
      <c r="C47" s="66"/>
      <c r="D47" s="66"/>
      <c r="E47" s="66"/>
      <c r="F47" s="66"/>
      <c r="G47" s="66"/>
      <c r="H47" s="66"/>
      <c r="I47" s="66"/>
      <c r="J47" s="66"/>
      <c r="K47" s="66"/>
      <c r="L47" s="66"/>
      <c r="M47" s="66"/>
      <c r="N47" s="66"/>
      <c r="O47" s="66"/>
    </row>
    <row r="48" spans="1:15" ht="14.4">
      <c r="A48" s="404" t="s">
        <v>1321</v>
      </c>
      <c r="B48" s="404"/>
      <c r="C48" s="404"/>
      <c r="D48" s="404"/>
      <c r="E48" s="404"/>
      <c r="F48" s="404"/>
      <c r="G48" s="404"/>
      <c r="H48" s="404"/>
      <c r="I48" s="404"/>
      <c r="J48" s="404"/>
      <c r="K48" s="404"/>
      <c r="L48" s="404"/>
      <c r="M48" s="404"/>
      <c r="N48" s="404"/>
      <c r="O48" s="404"/>
    </row>
    <row r="49" spans="1:15" ht="14.4">
      <c r="A49" s="67" t="s">
        <v>8</v>
      </c>
      <c r="B49" s="67" t="s">
        <v>1799</v>
      </c>
      <c r="C49" s="130" t="str">
        <f>TEXT(BS_TT2!C2,"dd/mm/yy")</f>
        <v>28/09/26</v>
      </c>
      <c r="D49" s="327" t="str">
        <f>BS_TT2!D2</f>
        <v>Tỷ trọng</v>
      </c>
      <c r="E49" s="131" t="str">
        <f>BS_TT2!E2</f>
        <v>DtD</v>
      </c>
      <c r="F49" s="131" t="str">
        <f>BS_TT2!F2</f>
        <v>MtD</v>
      </c>
      <c r="G49" s="131" t="str">
        <f>BS_TT2!G2</f>
        <v>YtD</v>
      </c>
      <c r="H49" s="67" t="str">
        <f>BS_TT2!K2</f>
        <v>1M</v>
      </c>
      <c r="I49" s="67" t="str">
        <f>BS_TT2!L2</f>
        <v>1-3M</v>
      </c>
      <c r="J49" s="67" t="str">
        <f>BS_TT2!M2</f>
        <v>3-6M</v>
      </c>
      <c r="K49" s="67" t="str">
        <f>BS_TT2!N2</f>
        <v>6-12M</v>
      </c>
      <c r="L49" s="67" t="str">
        <f>BS_TT2!O2</f>
        <v>12M</v>
      </c>
      <c r="M49" s="67" t="str">
        <f>BS_TT2!P2</f>
        <v>Kỳ hạn</v>
      </c>
      <c r="N49" s="67" t="str">
        <f>BS_TT2!Q2</f>
        <v>Lãi suất bình quân</v>
      </c>
      <c r="O49" s="67" t="s">
        <v>1800</v>
      </c>
    </row>
    <row r="50" spans="1:15" ht="14.4">
      <c r="A50" s="68" t="s">
        <v>1801</v>
      </c>
      <c r="B50" s="69" t="s">
        <v>887</v>
      </c>
      <c r="C50" s="338" t="str">
        <f>_xlfn.VALUETOTEXT(ROUND(BS_TT2!C3,1),0)</f>
        <v>33.5</v>
      </c>
      <c r="D50" s="335">
        <f>BS_TT2!D3</f>
        <v>0.28803445428399799</v>
      </c>
      <c r="E50" s="332" t="str">
        <f>_xlfn.VALUETOTEXT(ROUND(BS_TT2!E3,1),0)</f>
        <v>-4.6</v>
      </c>
      <c r="F50" s="332" t="str">
        <f>_xlfn.VALUETOTEXT(ROUND(BS_TT2!F3,1),0)</f>
        <v>-5.7</v>
      </c>
      <c r="G50" s="332" t="str">
        <f>_xlfn.VALUETOTEXT(ROUND(BS_TT2!G3,1),0)</f>
        <v>8.5</v>
      </c>
      <c r="H50" s="332" t="str">
        <f>_xlfn.VALUETOTEXT(ROUND(BS_TT2!K3,1),0)</f>
        <v>20.9</v>
      </c>
      <c r="I50" s="332" t="str">
        <f>_xlfn.VALUETOTEXT(ROUND(BS_TT2!L3,1),0)</f>
        <v>12.6</v>
      </c>
      <c r="J50" s="332" t="str">
        <f>_xlfn.VALUETOTEXT(ROUND(BS_TT2!M3,1),0)</f>
        <v>0</v>
      </c>
      <c r="K50" s="332" t="str">
        <f>_xlfn.VALUETOTEXT(ROUND(BS_TT2!N3,1),0)</f>
        <v>0</v>
      </c>
      <c r="L50" s="332" t="str">
        <f>_xlfn.VALUETOTEXT(ROUND(BS_TT2!O3,1),0)</f>
        <v>0</v>
      </c>
      <c r="M50" s="332" t="str">
        <f>_xlfn.VALUETOTEXT(ROUND(BS_TT2!P3,1),0)</f>
        <v>1.1</v>
      </c>
      <c r="N50" s="68" t="s">
        <v>1802</v>
      </c>
      <c r="O50" s="68" t="s">
        <v>1803</v>
      </c>
    </row>
    <row r="51" spans="1:15" ht="14.4">
      <c r="A51" s="68" t="s">
        <v>1804</v>
      </c>
      <c r="B51" s="69" t="s">
        <v>888</v>
      </c>
      <c r="C51" s="332" t="str">
        <f>_xlfn.VALUETOTEXT(ROUND(BS_TT2!C4,1),0)</f>
        <v>10.9</v>
      </c>
      <c r="D51" s="335">
        <f>BS_TT2!D4</f>
        <v>9.3467456349888733E-2</v>
      </c>
      <c r="E51" s="332" t="str">
        <f>_xlfn.VALUETOTEXT(ROUND(BS_TT2!E4,1),0)</f>
        <v>0</v>
      </c>
      <c r="F51" s="332" t="str">
        <f>_xlfn.VALUETOTEXT(ROUND(BS_TT2!F4,1),0)</f>
        <v>0</v>
      </c>
      <c r="G51" s="332" t="str">
        <f>_xlfn.VALUETOTEXT(ROUND(BS_TT2!G4,1),0)</f>
        <v>-6.1</v>
      </c>
      <c r="H51" s="332" t="str">
        <f>_xlfn.VALUETOTEXT(ROUND(BS_TT2!K4,1),0)</f>
        <v>0</v>
      </c>
      <c r="I51" s="332" t="str">
        <f>_xlfn.VALUETOTEXT(ROUND(BS_TT2!L4,1),0)</f>
        <v>0</v>
      </c>
      <c r="J51" s="332" t="str">
        <f>_xlfn.VALUETOTEXT(ROUND(BS_TT2!M4,1),0)</f>
        <v>0</v>
      </c>
      <c r="K51" s="332" t="str">
        <f>_xlfn.VALUETOTEXT(ROUND(BS_TT2!N4,1),0)</f>
        <v>0</v>
      </c>
      <c r="L51" s="332" t="str">
        <f>_xlfn.VALUETOTEXT(ROUND(BS_TT2!O4,1),0)</f>
        <v>10.9</v>
      </c>
      <c r="M51" s="332" t="str">
        <f>_xlfn.VALUETOTEXT(ROUND(BS_TT2!P4,1),0)</f>
        <v>12</v>
      </c>
      <c r="N51" s="68" t="s">
        <v>1802</v>
      </c>
      <c r="O51" s="68" t="s">
        <v>1803</v>
      </c>
    </row>
    <row r="52" spans="1:15" ht="14.4">
      <c r="A52" s="68" t="s">
        <v>1805</v>
      </c>
      <c r="B52" s="69" t="s">
        <v>889</v>
      </c>
      <c r="C52" s="332" t="str">
        <f>_xlfn.VALUETOTEXT(ROUND(BS_TT2!C5,1),0)</f>
        <v>2.6</v>
      </c>
      <c r="D52" s="335">
        <f>BS_TT2!D5</f>
        <v>2.2547256543454471E-2</v>
      </c>
      <c r="E52" s="332" t="str">
        <f>_xlfn.VALUETOTEXT(ROUND(BS_TT2!E5,1),0)</f>
        <v>0.1</v>
      </c>
      <c r="F52" s="332" t="str">
        <f>_xlfn.VALUETOTEXT(ROUND(BS_TT2!F5,1),0)</f>
        <v>-0.7</v>
      </c>
      <c r="G52" s="332" t="str">
        <f>_xlfn.VALUETOTEXT(ROUND(BS_TT2!G5,1),0)</f>
        <v>-1.3</v>
      </c>
      <c r="H52" s="332" t="str">
        <f>_xlfn.VALUETOTEXT(ROUND(BS_TT2!K5,1),0)</f>
        <v>2.6</v>
      </c>
      <c r="I52" s="332" t="str">
        <f>_xlfn.VALUETOTEXT(ROUND(BS_TT2!L5,1),0)</f>
        <v>0</v>
      </c>
      <c r="J52" s="332" t="str">
        <f>_xlfn.VALUETOTEXT(ROUND(BS_TT2!M5,1),0)</f>
        <v>0</v>
      </c>
      <c r="K52" s="332" t="str">
        <f>_xlfn.VALUETOTEXT(ROUND(BS_TT2!N5,1),0)</f>
        <v>0</v>
      </c>
      <c r="L52" s="332" t="str">
        <f>_xlfn.VALUETOTEXT(ROUND(BS_TT2!O5,1),0)</f>
        <v>0</v>
      </c>
      <c r="M52" s="332" t="str">
        <f>_xlfn.VALUETOTEXT(ROUND(BS_TT2!P5,1),0)</f>
        <v>0.5</v>
      </c>
      <c r="N52" s="68" t="s">
        <v>1802</v>
      </c>
      <c r="O52" s="68" t="s">
        <v>1803</v>
      </c>
    </row>
    <row r="53" spans="1:15" ht="14.4">
      <c r="A53" s="68" t="s">
        <v>1806</v>
      </c>
      <c r="B53" s="69" t="s">
        <v>1412</v>
      </c>
      <c r="C53" s="332" t="str">
        <f>_xlfn.VALUETOTEXT(ROUND(BS_TT2!C6,1),0)</f>
        <v>37.4</v>
      </c>
      <c r="D53" s="335">
        <f>BS_TT2!D6</f>
        <v>0.32154113056455724</v>
      </c>
      <c r="E53" s="332" t="str">
        <f>_xlfn.VALUETOTEXT(ROUND(BS_TT2!E6,1),0)</f>
        <v>0</v>
      </c>
      <c r="F53" s="332" t="str">
        <f>_xlfn.VALUETOTEXT(ROUND(BS_TT2!F6,1),0)</f>
        <v>1</v>
      </c>
      <c r="G53" s="332" t="str">
        <f>_xlfn.VALUETOTEXT(ROUND(BS_TT2!G6,1),0)</f>
        <v>-3.1</v>
      </c>
      <c r="H53" s="332" t="str">
        <f>_xlfn.VALUETOTEXT(ROUND(BS_TT2!K6,1),0)</f>
        <v>1.3</v>
      </c>
      <c r="I53" s="332" t="str">
        <f>_xlfn.VALUETOTEXT(ROUND(BS_TT2!L6,1),0)</f>
        <v>9</v>
      </c>
      <c r="J53" s="332" t="str">
        <f>_xlfn.VALUETOTEXT(ROUND(BS_TT2!M6,1),0)</f>
        <v>2.4</v>
      </c>
      <c r="K53" s="332" t="str">
        <f>_xlfn.VALUETOTEXT(ROUND(BS_TT2!N6,1),0)</f>
        <v>20.9</v>
      </c>
      <c r="L53" s="332" t="str">
        <f>_xlfn.VALUETOTEXT(ROUND(BS_TT2!O6,1),0)</f>
        <v>3.8</v>
      </c>
      <c r="M53" s="332" t="str">
        <f>_xlfn.VALUETOTEXT(ROUND(BS_TT2!P6,1),0)</f>
        <v>7</v>
      </c>
      <c r="N53" s="68" t="s">
        <v>1802</v>
      </c>
      <c r="O53" s="68" t="s">
        <v>1803</v>
      </c>
    </row>
    <row r="54" spans="1:15" ht="14.4">
      <c r="A54" s="68" t="s">
        <v>1807</v>
      </c>
      <c r="B54" s="69" t="s">
        <v>1428</v>
      </c>
      <c r="C54" s="332" t="str">
        <f>_xlfn.VALUETOTEXT(ROUND(BS_TT2!C7,1),0)</f>
        <v>29.3</v>
      </c>
      <c r="D54" s="335">
        <f>BS_TT2!D7</f>
        <v>0.25256195625473404</v>
      </c>
      <c r="E54" s="332" t="str">
        <f>_xlfn.VALUETOTEXT(ROUND(BS_TT2!E7,1),0)</f>
        <v>0.3</v>
      </c>
      <c r="F54" s="332" t="str">
        <f>_xlfn.VALUETOTEXT(ROUND(BS_TT2!F7,1),0)</f>
        <v>-1.2</v>
      </c>
      <c r="G54" s="332" t="str">
        <f>_xlfn.VALUETOTEXT(ROUND(BS_TT2!G7,1),0)</f>
        <v>2.2</v>
      </c>
      <c r="H54" s="332" t="str">
        <f>_xlfn.VALUETOTEXT(ROUND(BS_TT2!K7,1),0)</f>
        <v>18.1</v>
      </c>
      <c r="I54" s="332" t="str">
        <f>_xlfn.VALUETOTEXT(ROUND(BS_TT2!L7,1),0)</f>
        <v>4.3</v>
      </c>
      <c r="J54" s="332" t="str">
        <f>_xlfn.VALUETOTEXT(ROUND(BS_TT2!M7,1),0)</f>
        <v>1.1</v>
      </c>
      <c r="K54" s="332" t="str">
        <f>_xlfn.VALUETOTEXT(ROUND(BS_TT2!N7,1),0)</f>
        <v>5.8</v>
      </c>
      <c r="L54" s="332" t="str">
        <f>_xlfn.VALUETOTEXT(ROUND(BS_TT2!O7,1),0)</f>
        <v>0</v>
      </c>
      <c r="M54" s="332" t="str">
        <f>_xlfn.VALUETOTEXT(ROUND(BS_TT2!P7,1),0)</f>
        <v>2.5</v>
      </c>
      <c r="N54" s="68" t="s">
        <v>1802</v>
      </c>
      <c r="O54" s="68" t="s">
        <v>1803</v>
      </c>
    </row>
    <row r="55" spans="1:15" ht="14.4">
      <c r="A55" s="68" t="s">
        <v>1808</v>
      </c>
      <c r="B55" s="69" t="s">
        <v>892</v>
      </c>
      <c r="C55" s="332" t="str">
        <f>_xlfn.VALUETOTEXT(ROUND(BS_TT2!C9,1),0)</f>
        <v>0.6</v>
      </c>
      <c r="D55" s="335">
        <f>BS_TT2!D8</f>
        <v>1.7038128070437791E-2</v>
      </c>
      <c r="E55" s="332" t="str">
        <f>_xlfn.VALUETOTEXT(ROUND(BS_TT2!E9,1),0)</f>
        <v>-2.8</v>
      </c>
      <c r="F55" s="332" t="str">
        <f>_xlfn.VALUETOTEXT(ROUND(BS_TT2!F9,1),0)</f>
        <v>-4.9</v>
      </c>
      <c r="G55" s="332" t="str">
        <f>_xlfn.VALUETOTEXT(ROUND(BS_TT2!G9,1),0)</f>
        <v>-2.4</v>
      </c>
      <c r="H55" s="332" t="str">
        <f>_xlfn.VALUETOTEXT(ROUND(BS_TT2!K9,1),0)</f>
        <v>0.6</v>
      </c>
      <c r="I55" s="332" t="str">
        <f>_xlfn.VALUETOTEXT(ROUND(BS_TT2!L9,1),0)</f>
        <v>0</v>
      </c>
      <c r="J55" s="332" t="str">
        <f>_xlfn.VALUETOTEXT(ROUND(BS_TT2!M9,1),0)</f>
        <v>0</v>
      </c>
      <c r="K55" s="332" t="str">
        <f>_xlfn.VALUETOTEXT(ROUND(BS_TT2!N9,1),0)</f>
        <v>0</v>
      </c>
      <c r="L55" s="332" t="str">
        <f>_xlfn.VALUETOTEXT(ROUND(BS_TT2!O9,1),0)</f>
        <v>0</v>
      </c>
      <c r="M55" s="332" t="str">
        <f>_xlfn.VALUETOTEXT(ROUND(BS_TT2!P9,1),0)</f>
        <v>0.5</v>
      </c>
      <c r="N55" s="68" t="s">
        <v>1802</v>
      </c>
      <c r="O55" s="68" t="s">
        <v>1803</v>
      </c>
    </row>
    <row r="56" spans="1:15" ht="14.4">
      <c r="A56" s="68" t="s">
        <v>1809</v>
      </c>
      <c r="B56" s="69" t="s">
        <v>893</v>
      </c>
      <c r="C56" s="332" t="str">
        <f>_xlfn.VALUETOTEXT(ROUND(BS_TT2!C10,1),0)</f>
        <v>116.2</v>
      </c>
      <c r="D56" s="335">
        <f>BS_TT2!D9</f>
        <v>4.8096179329298354E-3</v>
      </c>
      <c r="E56" s="332" t="str">
        <f>_xlfn.VALUETOTEXT(ROUND(BS_TT2!E10,1),0)</f>
        <v>-7</v>
      </c>
      <c r="F56" s="332" t="str">
        <f>_xlfn.VALUETOTEXT(ROUND(BS_TT2!F10,1),0)</f>
        <v>-11</v>
      </c>
      <c r="G56" s="332" t="str">
        <f>_xlfn.VALUETOTEXT(ROUND(BS_TT2!G10,1),0)</f>
        <v>-0.9</v>
      </c>
      <c r="H56" s="332" t="str">
        <f>_xlfn.VALUETOTEXT(ROUND(BS_TT2!K10,1),0)</f>
        <v>43.6</v>
      </c>
      <c r="I56" s="332" t="str">
        <f>_xlfn.VALUETOTEXT(ROUND(BS_TT2!L10,1),0)</f>
        <v>26.3</v>
      </c>
      <c r="J56" s="332" t="str">
        <f>_xlfn.VALUETOTEXT(ROUND(BS_TT2!M10,1),0)</f>
        <v>4.3</v>
      </c>
      <c r="K56" s="332" t="str">
        <f>_xlfn.VALUETOTEXT(ROUND(BS_TT2!N10,1),0)</f>
        <v>27.3</v>
      </c>
      <c r="L56" s="332" t="str">
        <f>_xlfn.VALUETOTEXT(ROUND(BS_TT2!O10,1),0)</f>
        <v>14.6</v>
      </c>
      <c r="M56" s="332" t="str">
        <f>_xlfn.VALUETOTEXT(ROUND(BS_TT2!P10,1),0)</f>
        <v>4.4</v>
      </c>
      <c r="N56" s="68" t="s">
        <v>1802</v>
      </c>
      <c r="O56" s="68" t="s">
        <v>1803</v>
      </c>
    </row>
    <row r="57" spans="1:15" ht="14.4">
      <c r="A57" s="132" t="s">
        <v>894</v>
      </c>
      <c r="B57" s="133" t="s">
        <v>1474</v>
      </c>
      <c r="C57" s="132" t="str">
        <f>_xlfn.VALUETOTEXT(ROUND(BS_TT2!C11,1),0)</f>
        <v>33.6</v>
      </c>
      <c r="D57" s="134">
        <f>BS_TT2!D10</f>
        <v>1</v>
      </c>
      <c r="E57" s="132" t="str">
        <f>_xlfn.VALUETOTEXT(ROUND(BS_TT2!E11,1),0)</f>
        <v>0</v>
      </c>
      <c r="F57" s="132" t="str">
        <f>_xlfn.VALUETOTEXT(ROUND(BS_TT2!F11,1),0)</f>
        <v>-4.7</v>
      </c>
      <c r="G57" s="132" t="str">
        <f>_xlfn.VALUETOTEXT(ROUND(BS_TT2!G11,1),0)</f>
        <v>4.8</v>
      </c>
      <c r="H57" s="132" t="str">
        <f>_xlfn.VALUETOTEXT(ROUND(BS_TT2!K11,1),0)</f>
        <v>21.1</v>
      </c>
      <c r="I57" s="132" t="str">
        <f>_xlfn.VALUETOTEXT(ROUND(BS_TT2!L11,1),0)</f>
        <v>12.6</v>
      </c>
      <c r="J57" s="132" t="str">
        <f>_xlfn.VALUETOTEXT(ROUND(BS_TT2!M11,1),0)</f>
        <v>0</v>
      </c>
      <c r="K57" s="132" t="str">
        <f>_xlfn.VALUETOTEXT(ROUND(BS_TT2!N11,1),0)</f>
        <v>0</v>
      </c>
      <c r="L57" s="132" t="str">
        <f>_xlfn.VALUETOTEXT(ROUND(BS_TT2!O11,1),0)</f>
        <v>0</v>
      </c>
      <c r="M57" s="132" t="str">
        <f>_xlfn.VALUETOTEXT(ROUND(BS_TT2!P11,1),0)</f>
        <v>1.1</v>
      </c>
      <c r="N57" s="132" t="s">
        <v>1802</v>
      </c>
      <c r="O57" s="132" t="s">
        <v>1810</v>
      </c>
    </row>
    <row r="58" spans="1:15" ht="14.4">
      <c r="A58" s="68" t="s">
        <v>1801</v>
      </c>
      <c r="B58" s="69" t="s">
        <v>896</v>
      </c>
      <c r="C58" s="332" t="str">
        <f>_xlfn.VALUETOTEXT(ROUND(BS_TT2!C12,1),0)</f>
        <v>35.6</v>
      </c>
      <c r="D58" s="335">
        <f>BS_TT2!D11</f>
        <v>0.28963294576387721</v>
      </c>
      <c r="E58" s="332" t="str">
        <f>_xlfn.VALUETOTEXT(ROUND(BS_TT2!E12,1),0)</f>
        <v>-4</v>
      </c>
      <c r="F58" s="332" t="str">
        <f>_xlfn.VALUETOTEXT(ROUND(BS_TT2!F12,1),0)</f>
        <v>-1.6</v>
      </c>
      <c r="G58" s="332" t="str">
        <f>_xlfn.VALUETOTEXT(ROUND(BS_TT2!G12,1),0)</f>
        <v>1.4</v>
      </c>
      <c r="H58" s="332" t="str">
        <f>_xlfn.VALUETOTEXT(ROUND(BS_TT2!K12,1),0)</f>
        <v>18.8</v>
      </c>
      <c r="I58" s="332" t="str">
        <f>_xlfn.VALUETOTEXT(ROUND(BS_TT2!L12,1),0)</f>
        <v>9</v>
      </c>
      <c r="J58" s="332" t="str">
        <f>_xlfn.VALUETOTEXT(ROUND(BS_TT2!M12,1),0)</f>
        <v>6.1</v>
      </c>
      <c r="K58" s="332" t="str">
        <f>_xlfn.VALUETOTEXT(ROUND(BS_TT2!N12,1),0)</f>
        <v>1.7</v>
      </c>
      <c r="L58" s="332" t="str">
        <f>_xlfn.VALUETOTEXT(ROUND(BS_TT2!O12,1),0)</f>
        <v>0</v>
      </c>
      <c r="M58" s="332" t="str">
        <f>_xlfn.VALUETOTEXT(ROUND(BS_TT2!P12,1),0)</f>
        <v>1.9</v>
      </c>
      <c r="N58" s="68" t="s">
        <v>1802</v>
      </c>
      <c r="O58" s="68" t="s">
        <v>1803</v>
      </c>
    </row>
    <row r="59" spans="1:15" ht="14.4">
      <c r="A59" s="68" t="s">
        <v>1804</v>
      </c>
      <c r="B59" s="69" t="s">
        <v>897</v>
      </c>
      <c r="C59" s="332" t="str">
        <f>_xlfn.VALUETOTEXT(ROUND(BS_TT2!C13,1),0)</f>
        <v>11.1</v>
      </c>
      <c r="D59" s="335">
        <f>BS_TT2!D12</f>
        <v>0.30648804287995596</v>
      </c>
      <c r="E59" s="332" t="str">
        <f>_xlfn.VALUETOTEXT(ROUND(BS_TT2!E13,1),0)</f>
        <v>0</v>
      </c>
      <c r="F59" s="332" t="str">
        <f>_xlfn.VALUETOTEXT(ROUND(BS_TT2!F13,1),0)</f>
        <v>-3.7</v>
      </c>
      <c r="G59" s="332" t="str">
        <f>_xlfn.VALUETOTEXT(ROUND(BS_TT2!G13,1),0)</f>
        <v>-2.3</v>
      </c>
      <c r="H59" s="332" t="str">
        <f>_xlfn.VALUETOTEXT(ROUND(BS_TT2!K13,1),0)</f>
        <v>1.6</v>
      </c>
      <c r="I59" s="332" t="str">
        <f>_xlfn.VALUETOTEXT(ROUND(BS_TT2!L13,1),0)</f>
        <v>9.5</v>
      </c>
      <c r="J59" s="332" t="str">
        <f>_xlfn.VALUETOTEXT(ROUND(BS_TT2!M13,1),0)</f>
        <v>0</v>
      </c>
      <c r="K59" s="332" t="str">
        <f>_xlfn.VALUETOTEXT(ROUND(BS_TT2!N13,1),0)</f>
        <v>0</v>
      </c>
      <c r="L59" s="332" t="str">
        <f>_xlfn.VALUETOTEXT(ROUND(BS_TT2!O13,1),0)</f>
        <v>0</v>
      </c>
      <c r="M59" s="332" t="str">
        <f>_xlfn.VALUETOTEXT(ROUND(BS_TT2!P13,1),0)</f>
        <v>1.8</v>
      </c>
      <c r="N59" s="68" t="s">
        <v>1802</v>
      </c>
      <c r="O59" s="68" t="s">
        <v>1803</v>
      </c>
    </row>
    <row r="60" spans="1:15" ht="14.4">
      <c r="A60" s="68" t="s">
        <v>1805</v>
      </c>
      <c r="B60" s="69" t="s">
        <v>1520</v>
      </c>
      <c r="C60" s="332" t="str">
        <f>_xlfn.VALUETOTEXT(ROUND(BS_TT2!C14,1),0)</f>
        <v>6.5</v>
      </c>
      <c r="D60" s="335">
        <f>BS_TT2!D13</f>
        <v>9.5759165694585952E-2</v>
      </c>
      <c r="E60" s="332" t="str">
        <f>_xlfn.VALUETOTEXT(ROUND(BS_TT2!E14,1),0)</f>
        <v>0</v>
      </c>
      <c r="F60" s="332" t="str">
        <f>_xlfn.VALUETOTEXT(ROUND(BS_TT2!F14,1),0)</f>
        <v>0</v>
      </c>
      <c r="G60" s="332" t="str">
        <f>_xlfn.VALUETOTEXT(ROUND(BS_TT2!G14,1),0)</f>
        <v>-4.4</v>
      </c>
      <c r="H60" s="332" t="str">
        <f>_xlfn.VALUETOTEXT(ROUND(BS_TT2!K14,1),0)</f>
        <v>2</v>
      </c>
      <c r="I60" s="332" t="str">
        <f>_xlfn.VALUETOTEXT(ROUND(BS_TT2!L14,1),0)</f>
        <v>3.5</v>
      </c>
      <c r="J60" s="332" t="str">
        <f>_xlfn.VALUETOTEXT(ROUND(BS_TT2!M14,1),0)</f>
        <v>0</v>
      </c>
      <c r="K60" s="332" t="str">
        <f>_xlfn.VALUETOTEXT(ROUND(BS_TT2!N14,1),0)</f>
        <v>1</v>
      </c>
      <c r="L60" s="332" t="str">
        <f>_xlfn.VALUETOTEXT(ROUND(BS_TT2!O14,1),0)</f>
        <v>0</v>
      </c>
      <c r="M60" s="332" t="str">
        <f>_xlfn.VALUETOTEXT(ROUND(BS_TT2!P14,1),0)</f>
        <v>2.6</v>
      </c>
      <c r="N60" s="68" t="s">
        <v>1802</v>
      </c>
      <c r="O60" s="68" t="s">
        <v>1803</v>
      </c>
    </row>
    <row r="61" spans="1:15" ht="14.4">
      <c r="A61" s="68" t="s">
        <v>1806</v>
      </c>
      <c r="B61" s="69" t="s">
        <v>899</v>
      </c>
      <c r="C61" s="332" t="str">
        <f>_xlfn.VALUETOTEXT(ROUND(BS_TT2!C15,1),0)</f>
        <v>2.7</v>
      </c>
      <c r="D61" s="335">
        <f>BS_TT2!D14</f>
        <v>5.5953072966870208E-2</v>
      </c>
      <c r="E61" s="332" t="str">
        <f>_xlfn.VALUETOTEXT(ROUND(BS_TT2!E15,1),0)</f>
        <v>-0.2</v>
      </c>
      <c r="F61" s="332" t="str">
        <f>_xlfn.VALUETOTEXT(ROUND(BS_TT2!F15,1),0)</f>
        <v>0.3</v>
      </c>
      <c r="G61" s="332" t="str">
        <f>_xlfn.VALUETOTEXT(ROUND(BS_TT2!G15,1),0)</f>
        <v>-0.4</v>
      </c>
      <c r="H61" s="332" t="str">
        <f>_xlfn.VALUETOTEXT(ROUND(BS_TT2!K15,1),0)</f>
        <v>2.7</v>
      </c>
      <c r="I61" s="332" t="str">
        <f>_xlfn.VALUETOTEXT(ROUND(BS_TT2!L15,1),0)</f>
        <v>0</v>
      </c>
      <c r="J61" s="332" t="str">
        <f>_xlfn.VALUETOTEXT(ROUND(BS_TT2!M15,1),0)</f>
        <v>0</v>
      </c>
      <c r="K61" s="332" t="str">
        <f>_xlfn.VALUETOTEXT(ROUND(BS_TT2!N15,1),0)</f>
        <v>0</v>
      </c>
      <c r="L61" s="332" t="str">
        <f>_xlfn.VALUETOTEXT(ROUND(BS_TT2!O15,1),0)</f>
        <v>0</v>
      </c>
      <c r="M61" s="332" t="str">
        <f>_xlfn.VALUETOTEXT(ROUND(BS_TT2!P15,1),0)</f>
        <v>0.5</v>
      </c>
      <c r="N61" s="68" t="s">
        <v>1802</v>
      </c>
      <c r="O61" s="68" t="s">
        <v>1803</v>
      </c>
    </row>
    <row r="62" spans="1:15" ht="14.4">
      <c r="A62" s="68" t="s">
        <v>1807</v>
      </c>
      <c r="B62" s="69" t="s">
        <v>900</v>
      </c>
      <c r="C62" s="332" t="str">
        <f>_xlfn.VALUETOTEXT(ROUND(BS_TT2!C16,1),0)</f>
        <v>12</v>
      </c>
      <c r="D62" s="335">
        <f>BS_TT2!D15</f>
        <v>2.3229936861991016E-2</v>
      </c>
      <c r="E62" s="332" t="str">
        <f>_xlfn.VALUETOTEXT(ROUND(BS_TT2!E16,1),0)</f>
        <v>0</v>
      </c>
      <c r="F62" s="332" t="str">
        <f>_xlfn.VALUETOTEXT(ROUND(BS_TT2!F16,1),0)</f>
        <v>0</v>
      </c>
      <c r="G62" s="332" t="str">
        <f>_xlfn.VALUETOTEXT(ROUND(BS_TT2!G16,1),0)</f>
        <v>0</v>
      </c>
      <c r="H62" s="332" t="str">
        <f>_xlfn.VALUETOTEXT(ROUND(BS_TT2!K16,1),0)</f>
        <v>0</v>
      </c>
      <c r="I62" s="332" t="str">
        <f>_xlfn.VALUETOTEXT(ROUND(BS_TT2!L16,1),0)</f>
        <v>0</v>
      </c>
      <c r="J62" s="332" t="str">
        <f>_xlfn.VALUETOTEXT(ROUND(BS_TT2!M16,1),0)</f>
        <v>0</v>
      </c>
      <c r="K62" s="332" t="str">
        <f>_xlfn.VALUETOTEXT(ROUND(BS_TT2!N16,1),0)</f>
        <v>0</v>
      </c>
      <c r="L62" s="332" t="str">
        <f>_xlfn.VALUETOTEXT(ROUND(BS_TT2!O16,1),0)</f>
        <v>12</v>
      </c>
      <c r="M62" s="332" t="str">
        <f>_xlfn.VALUETOTEXT(ROUND(BS_TT2!P16,1),0)</f>
        <v>12</v>
      </c>
      <c r="N62" s="68" t="s">
        <v>1802</v>
      </c>
      <c r="O62" s="68" t="s">
        <v>1803</v>
      </c>
    </row>
    <row r="63" spans="1:15" ht="14.4">
      <c r="A63" s="68" t="s">
        <v>1808</v>
      </c>
      <c r="B63" s="69" t="s">
        <v>901</v>
      </c>
      <c r="C63" s="332" t="str">
        <f>_xlfn.VALUETOTEXT(ROUND(BS_TT2!C17,1),0)</f>
        <v>101.6</v>
      </c>
      <c r="D63" s="335">
        <f>BS_TT2!D16</f>
        <v>0.10329798086191425</v>
      </c>
      <c r="E63" s="332" t="str">
        <f>_xlfn.VALUETOTEXT(ROUND(BS_TT2!E17,1),0)</f>
        <v>-4.2</v>
      </c>
      <c r="F63" s="332" t="str">
        <f>_xlfn.VALUETOTEXT(ROUND(BS_TT2!F17,1),0)</f>
        <v>-9.7</v>
      </c>
      <c r="G63" s="332" t="str">
        <f>_xlfn.VALUETOTEXT(ROUND(BS_TT2!G17,1),0)</f>
        <v>-1</v>
      </c>
      <c r="H63" s="332" t="str">
        <f>_xlfn.VALUETOTEXT(ROUND(BS_TT2!K17,1),0)</f>
        <v>46.1</v>
      </c>
      <c r="I63" s="332" t="str">
        <f>_xlfn.VALUETOTEXT(ROUND(BS_TT2!L17,1),0)</f>
        <v>34.6</v>
      </c>
      <c r="J63" s="332" t="str">
        <f>_xlfn.VALUETOTEXT(ROUND(BS_TT2!M17,1),0)</f>
        <v>6.1</v>
      </c>
      <c r="K63" s="332" t="str">
        <f>_xlfn.VALUETOTEXT(ROUND(BS_TT2!N17,1),0)</f>
        <v>2.7</v>
      </c>
      <c r="L63" s="332" t="str">
        <f>_xlfn.VALUETOTEXT(ROUND(BS_TT2!O17,1),0)</f>
        <v>12</v>
      </c>
      <c r="M63" s="332" t="str">
        <f>_xlfn.VALUETOTEXT(ROUND(BS_TT2!P17,1),0)</f>
        <v>2.8</v>
      </c>
      <c r="N63" s="68" t="s">
        <v>1802</v>
      </c>
      <c r="O63" s="68" t="s">
        <v>1803</v>
      </c>
    </row>
    <row r="64" spans="1:15" ht="14.4">
      <c r="A64" s="132" t="s">
        <v>902</v>
      </c>
      <c r="B64" s="133" t="s">
        <v>1581</v>
      </c>
      <c r="C64" s="132" t="str">
        <f>_xlfn.VALUETOTEXT(ROUND(BS_TT2!C18,1),0)</f>
        <v>14.6</v>
      </c>
      <c r="D64" s="134">
        <f>BS_TT2!D17</f>
        <v>0.8743611450291946</v>
      </c>
      <c r="E64" s="132" t="str">
        <f>_xlfn.VALUETOTEXT(ROUND(BS_TT2!E18,1),0)</f>
        <v>-2.8</v>
      </c>
      <c r="F64" s="132" t="str">
        <f>_xlfn.VALUETOTEXT(ROUND(BS_TT2!F18,1),0)</f>
        <v>-1.3</v>
      </c>
      <c r="G64" s="132" t="str">
        <f>_xlfn.VALUETOTEXT(ROUND(BS_TT2!G18,1),0)</f>
        <v>0.1</v>
      </c>
      <c r="H64" s="132" t="str">
        <f>_xlfn.VALUETOTEXT(ROUND(BS_TT2!K18,1),0)</f>
        <v>7.6</v>
      </c>
      <c r="I64" s="132" t="str">
        <f>_xlfn.VALUETOTEXT(ROUND(BS_TT2!L18,1),0)</f>
        <v>7</v>
      </c>
      <c r="J64" s="132" t="str">
        <f>_xlfn.VALUETOTEXT(ROUND(BS_TT2!M18,1),0)</f>
        <v>0</v>
      </c>
      <c r="K64" s="132" t="str">
        <f>_xlfn.VALUETOTEXT(ROUND(BS_TT2!N18,1),0)</f>
        <v>0</v>
      </c>
      <c r="L64" s="132" t="str">
        <f>_xlfn.VALUETOTEXT(ROUND(BS_TT2!O18,1),0)</f>
        <v>0</v>
      </c>
      <c r="M64" s="132" t="str">
        <f>_xlfn.VALUETOTEXT(ROUND(BS_TT2!P18,1),0)</f>
        <v>1.2</v>
      </c>
      <c r="N64" s="132" t="s">
        <v>1802</v>
      </c>
      <c r="O64" s="132" t="s">
        <v>1810</v>
      </c>
    </row>
    <row r="65" spans="1:15" ht="14.4">
      <c r="A65" s="132" t="s">
        <v>904</v>
      </c>
      <c r="B65" s="133" t="s">
        <v>1597</v>
      </c>
      <c r="C65" s="132" t="str">
        <f>_xlfn.VALUETOTEXT(ROUND(BS_TT2!C19,1),0)</f>
        <v>-10.1</v>
      </c>
      <c r="D65" s="134">
        <f>BS_TT2!D18</f>
        <v>0.12563885497080551</v>
      </c>
      <c r="E65" s="132" t="str">
        <f>_xlfn.VALUETOTEXT(ROUND(BS_TT2!E19,1),0)</f>
        <v>-0.3</v>
      </c>
      <c r="F65" s="132" t="str">
        <f>_xlfn.VALUETOTEXT(ROUND(BS_TT2!F19,1),0)</f>
        <v>-5.6</v>
      </c>
      <c r="G65" s="132" t="str">
        <f>_xlfn.VALUETOTEXT(ROUND(BS_TT2!G19,1),0)</f>
        <v>6.7</v>
      </c>
      <c r="H65" s="132" t="str">
        <f>_xlfn.VALUETOTEXT(ROUND(BS_TT2!K19,1),0)</f>
        <v>-10.1</v>
      </c>
      <c r="I65" s="132" t="str">
        <f>_xlfn.VALUETOTEXT(ROUND(BS_TT2!L19,1),0)</f>
        <v>-15.4</v>
      </c>
      <c r="J65" s="132" t="str">
        <f>_xlfn.VALUETOTEXT(ROUND(BS_TT2!M19,1),0)</f>
        <v>-1.8</v>
      </c>
      <c r="K65" s="132" t="str">
        <f>_xlfn.VALUETOTEXT(ROUND(BS_TT2!N19,1),0)</f>
        <v>24.7</v>
      </c>
      <c r="L65" s="132" t="str">
        <f>_xlfn.VALUETOTEXT(ROUND(BS_TT2!O19,1),0)</f>
        <v>2.6</v>
      </c>
      <c r="M65" s="132" t="str">
        <f>_xlfn.VALUETOTEXT(ROUND(BS_TT2!P19,1),0)</f>
        <v>0</v>
      </c>
      <c r="N65" s="132" t="s">
        <v>1802</v>
      </c>
      <c r="O65" s="132" t="s">
        <v>1810</v>
      </c>
    </row>
    <row r="66" spans="1:15" ht="26.6">
      <c r="A66" s="68" t="s">
        <v>905</v>
      </c>
      <c r="B66" s="69" t="s">
        <v>1811</v>
      </c>
      <c r="C66" s="332" t="str">
        <f>_xlfn.VALUETOTEXT(ROUND(BS_TT2!C20,1),0)</f>
        <v>-10.1</v>
      </c>
      <c r="D66" s="332"/>
      <c r="E66" s="332" t="str">
        <f>_xlfn.VALUETOTEXT(ROUND(BS_TT2!E20,1),0)</f>
        <v>-0.3</v>
      </c>
      <c r="F66" s="332" t="str">
        <f>_xlfn.VALUETOTEXT(ROUND(BS_TT2!F20,1),0)</f>
        <v>-5.6</v>
      </c>
      <c r="G66" s="332" t="str">
        <f>_xlfn.VALUETOTEXT(ROUND(BS_TT2!G20,1),0)</f>
        <v>6.7</v>
      </c>
      <c r="H66" s="332" t="str">
        <f>_xlfn.VALUETOTEXT(ROUND(BS_TT2!K20,2),0)</f>
        <v>-10.13</v>
      </c>
      <c r="I66" s="332" t="str">
        <f>_xlfn.VALUETOTEXT(ROUND(BS_TT2!L20,2),0)</f>
        <v>-25.49</v>
      </c>
      <c r="J66" s="332" t="str">
        <f>_xlfn.VALUETOTEXT(ROUND(BS_TT2!M20,1),0)</f>
        <v>-27.3</v>
      </c>
      <c r="K66" s="332" t="str">
        <f>_xlfn.VALUETOTEXT(ROUND(BS_TT2!N20,1),0)</f>
        <v>-2.6</v>
      </c>
      <c r="L66" s="332" t="str">
        <f>_xlfn.VALUETOTEXT(ROUND(BS_TT2!O20,1),0)</f>
        <v>0</v>
      </c>
      <c r="M66" s="332" t="str">
        <f>_xlfn.VALUETOTEXT(ROUND(BS_TT2!P20,1),0)</f>
        <v>0</v>
      </c>
      <c r="N66" s="68" t="s">
        <v>1802</v>
      </c>
      <c r="O66" s="68" t="s">
        <v>1812</v>
      </c>
    </row>
    <row r="67" spans="1:15" ht="26.6">
      <c r="A67" s="68" t="s">
        <v>906</v>
      </c>
      <c r="B67" s="69" t="s">
        <v>1813</v>
      </c>
      <c r="C67" s="332" t="str">
        <f>_xlfn.VALUETOTEXT(ROUND(BS_TT2!C21,1),0)</f>
        <v>-2.5</v>
      </c>
      <c r="D67" s="332"/>
      <c r="E67" s="332" t="str">
        <f>_xlfn.VALUETOTEXT(ROUND(BS_TT2!E21,1),0)</f>
        <v>-3.1</v>
      </c>
      <c r="F67" s="332" t="str">
        <f>_xlfn.VALUETOTEXT(ROUND(BS_TT2!F21,1),0)</f>
        <v>-6.9</v>
      </c>
      <c r="G67" s="332" t="str">
        <f>_xlfn.VALUETOTEXT(ROUND(BS_TT2!G21,1),0)</f>
        <v>6.8</v>
      </c>
      <c r="H67" s="332" t="str">
        <f>_xlfn.VALUETOTEXT(ROUND(BS_TT2!K23,2),0)</f>
        <v>-10.13</v>
      </c>
      <c r="I67" s="332" t="str">
        <f>_xlfn.VALUETOTEXT(ROUND(BS_TT2!L23,2),0)</f>
        <v>-25.49</v>
      </c>
      <c r="J67" s="332" t="str">
        <f>_xlfn.VALUETOTEXT(ROUND(BS_TT2!M23,1),0)</f>
        <v>-27.3</v>
      </c>
      <c r="K67" s="332" t="str">
        <f>_xlfn.VALUETOTEXT(ROUND(BS_TT2!N23,1),0)</f>
        <v>-2.6</v>
      </c>
      <c r="L67" s="332" t="str">
        <f>_xlfn.VALUETOTEXT(ROUND(BS_TT2!O23,1),0)</f>
        <v>0</v>
      </c>
      <c r="M67" s="332" t="str">
        <f>_xlfn.VALUETOTEXT(ROUND(BS_TT2!P23,1),0)</f>
        <v>0</v>
      </c>
      <c r="N67" s="68" t="s">
        <v>1802</v>
      </c>
      <c r="O67" s="68" t="s">
        <v>1812</v>
      </c>
    </row>
    <row r="68" spans="1:15" ht="26.6">
      <c r="A68" s="68" t="s">
        <v>1801</v>
      </c>
      <c r="B68" s="69" t="s">
        <v>1814</v>
      </c>
      <c r="C68" s="332" t="str">
        <f>_xlfn.VALUETOTEXT(ROUND(BS_TT2!C23,1),0)</f>
        <v>-10.1</v>
      </c>
      <c r="D68" s="332"/>
      <c r="E68" s="332" t="str">
        <f>_xlfn.VALUETOTEXT(ROUND(BS_TT2!E23,1),0)</f>
        <v>-0.3</v>
      </c>
      <c r="F68" s="332" t="str">
        <f>_xlfn.VALUETOTEXT(ROUND(BS_TT2!F23,1),0)</f>
        <v>-5.6</v>
      </c>
      <c r="G68" s="332" t="str">
        <f>_xlfn.VALUETOTEXT(ROUND(BS_TT2!G23,1),0)</f>
        <v>6.7</v>
      </c>
      <c r="H68" s="332" t="str">
        <f>_xlfn.VALUETOTEXT(ROUND(BS_TT2!K24,2),0)</f>
        <v>-21.11</v>
      </c>
      <c r="I68" s="332" t="str">
        <f>_xlfn.VALUETOTEXT(ROUND(BS_TT2!L24,2),0)</f>
        <v>-12.8</v>
      </c>
      <c r="J68" s="332" t="str">
        <f>_xlfn.VALUETOTEXT(ROUND(BS_TT2!M24,1),0)</f>
        <v>0</v>
      </c>
      <c r="K68" s="332" t="str">
        <f>_xlfn.VALUETOTEXT(ROUND(BS_TT2!N24,1),0)</f>
        <v>0</v>
      </c>
      <c r="L68" s="332" t="str">
        <f>_xlfn.VALUETOTEXT(ROUND(BS_TT2!O24,1),0)</f>
        <v>0</v>
      </c>
      <c r="M68" s="332" t="str">
        <f>_xlfn.VALUETOTEXT(ROUND(BS_TT2!P24,1),0)</f>
        <v>0</v>
      </c>
      <c r="N68" s="68" t="s">
        <v>1802</v>
      </c>
      <c r="O68" s="68" t="s">
        <v>1812</v>
      </c>
    </row>
    <row r="69" spans="1:15" ht="14.4">
      <c r="A69" s="68" t="s">
        <v>1804</v>
      </c>
      <c r="B69" s="69" t="s">
        <v>1661</v>
      </c>
      <c r="C69" s="332" t="str">
        <f>_xlfn.VALUETOTEXT(ROUND(BS_TT2!C26,1),0)</f>
        <v>-100.6</v>
      </c>
      <c r="D69" s="332"/>
      <c r="E69" s="332" t="str">
        <f>_xlfn.VALUETOTEXT(ROUND(BS_TT2!E26,1),0)</f>
        <v>-1.2</v>
      </c>
      <c r="F69" s="332" t="str">
        <f>_xlfn.VALUETOTEXT(ROUND(BS_TT2!F26,1),0)</f>
        <v>-32</v>
      </c>
      <c r="G69" s="332" t="str">
        <f>_xlfn.VALUETOTEXT(ROUND(BS_TT2!G26,1),0)</f>
        <v>1</v>
      </c>
      <c r="H69" s="332" t="str">
        <f>_xlfn.VALUETOTEXT(ROUND(BS_TT2!K26,1),0)</f>
        <v>-46.4</v>
      </c>
      <c r="I69" s="332" t="str">
        <f>_xlfn.VALUETOTEXT(ROUND(BS_TT2!L26,1),0)</f>
        <v>-51.2</v>
      </c>
      <c r="J69" s="332" t="str">
        <f>_xlfn.VALUETOTEXT(ROUND(BS_TT2!M26,1),0)</f>
        <v>-3</v>
      </c>
      <c r="K69" s="332" t="str">
        <f>_xlfn.VALUETOTEXT(ROUND(BS_TT2!N26,1),0)</f>
        <v>0</v>
      </c>
      <c r="L69" s="332" t="str">
        <f>_xlfn.VALUETOTEXT(ROUND(BS_TT2!O26,1),0)</f>
        <v>0</v>
      </c>
      <c r="M69" s="332" t="str">
        <f>_xlfn.VALUETOTEXT(ROUND(BS_TT2!P26,1),0)</f>
        <v>0</v>
      </c>
      <c r="N69" s="68" t="s">
        <v>1802</v>
      </c>
      <c r="O69" s="68" t="s">
        <v>1812</v>
      </c>
    </row>
    <row r="70" spans="1:15" ht="14.4">
      <c r="A70" s="68" t="s">
        <v>1805</v>
      </c>
      <c r="B70" s="69" t="s">
        <v>1677</v>
      </c>
      <c r="C70" s="332" t="str">
        <f>_xlfn.VALUETOTEXT(ROUND(BS_TT2!C28,1),0)</f>
        <v>0</v>
      </c>
      <c r="D70" s="332"/>
      <c r="E70" s="332" t="str">
        <f>_xlfn.VALUETOTEXT(ROUND(BS_TT2!E28,1),0)</f>
        <v>0</v>
      </c>
      <c r="F70" s="332" t="str">
        <f>_xlfn.VALUETOTEXT(ROUND(BS_TT2!F28,1),0)</f>
        <v>0</v>
      </c>
      <c r="G70" s="332" t="str">
        <f>_xlfn.VALUETOTEXT(ROUND(BS_TT2!G28,1),0)</f>
        <v>0</v>
      </c>
      <c r="H70" s="332" t="str">
        <f>_xlfn.VALUETOTEXT(ROUND(BS_TT2!K28,1),0)</f>
        <v>0</v>
      </c>
      <c r="I70" s="332" t="str">
        <f>_xlfn.VALUETOTEXT(ROUND(BS_TT2!L28,1),0)</f>
        <v>0</v>
      </c>
      <c r="J70" s="332" t="str">
        <f>_xlfn.VALUETOTEXT(ROUND(BS_TT2!M28,1),0)</f>
        <v>0</v>
      </c>
      <c r="K70" s="332" t="str">
        <f>_xlfn.VALUETOTEXT(ROUND(BS_TT2!N28,1),0)</f>
        <v>0</v>
      </c>
      <c r="L70" s="332" t="str">
        <f>_xlfn.VALUETOTEXT(ROUND(BS_TT2!O28,1),0)</f>
        <v>0</v>
      </c>
      <c r="M70" s="332" t="str">
        <f>_xlfn.VALUETOTEXT(ROUND(BS_TT2!P28,1),0)</f>
        <v>0</v>
      </c>
      <c r="N70" s="68" t="s">
        <v>1802</v>
      </c>
      <c r="O70" s="68" t="s">
        <v>1812</v>
      </c>
    </row>
  </sheetData>
  <mergeCells count="4">
    <mergeCell ref="A1:K1"/>
    <mergeCell ref="A9:M9"/>
    <mergeCell ref="A18:D18"/>
    <mergeCell ref="A48:O4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5EE8-5969-4AC4-AA85-488D44673964}">
  <sheetPr codeName="Sheet17">
    <tabColor theme="0" tint="-0.499984740745262"/>
  </sheetPr>
  <dimension ref="A1"/>
  <sheetViews>
    <sheetView workbookViewId="0">
      <selection activeCell="O30" sqref="O30"/>
    </sheetView>
  </sheetViews>
  <sheetFormatPr defaultRowHeight="14.4"/>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EC9E-87A5-4C3B-A8B1-0E878EA16C15}">
  <sheetPr codeName="Sheet11"/>
  <dimension ref="A1:M51"/>
  <sheetViews>
    <sheetView topLeftCell="B1" workbookViewId="0">
      <selection activeCell="C26" sqref="C26"/>
    </sheetView>
  </sheetViews>
  <sheetFormatPr defaultColWidth="9.09765625" defaultRowHeight="13.85"/>
  <cols>
    <col min="1" max="1" width="24" style="124" customWidth="1"/>
    <col min="2" max="2" width="33.3984375" style="124" customWidth="1"/>
    <col min="3" max="3" width="20.69921875" style="124" customWidth="1"/>
    <col min="4" max="4" width="43.3984375" style="124" customWidth="1"/>
    <col min="5" max="5" width="27.296875" style="124" customWidth="1"/>
    <col min="6" max="6" width="13.296875" style="124" customWidth="1"/>
    <col min="7" max="7" width="27.296875" style="124" customWidth="1"/>
    <col min="8" max="9" width="9.09765625" style="124"/>
    <col min="10" max="10" width="9.09765625" style="28"/>
    <col min="11" max="13" width="27.296875" style="124" customWidth="1"/>
    <col min="14" max="16384" width="9.09765625" style="28"/>
  </cols>
  <sheetData>
    <row r="1" spans="1:13">
      <c r="A1" s="113" t="s">
        <v>124</v>
      </c>
      <c r="B1" s="113" t="s">
        <v>106</v>
      </c>
      <c r="C1" s="113" t="s">
        <v>910</v>
      </c>
      <c r="D1" s="114" t="s">
        <v>911</v>
      </c>
      <c r="E1" s="114" t="s">
        <v>912</v>
      </c>
      <c r="F1" s="114" t="s">
        <v>913</v>
      </c>
      <c r="G1" s="114" t="s">
        <v>914</v>
      </c>
      <c r="H1" s="114" t="s">
        <v>915</v>
      </c>
      <c r="I1" s="114" t="s">
        <v>674</v>
      </c>
      <c r="K1" s="115" t="s">
        <v>916</v>
      </c>
      <c r="L1" s="116" t="s">
        <v>917</v>
      </c>
      <c r="M1" s="117" t="s">
        <v>918</v>
      </c>
    </row>
    <row r="2" spans="1:13">
      <c r="A2" s="135" t="s">
        <v>919</v>
      </c>
      <c r="B2" s="135" t="s">
        <v>1701</v>
      </c>
      <c r="C2" s="135" t="s">
        <v>920</v>
      </c>
      <c r="D2" s="135" t="s">
        <v>921</v>
      </c>
      <c r="E2" s="135" t="s">
        <v>922</v>
      </c>
      <c r="F2" s="124" t="s">
        <v>923</v>
      </c>
      <c r="G2" s="124" t="s">
        <v>921</v>
      </c>
      <c r="H2" s="124" t="s">
        <v>924</v>
      </c>
      <c r="I2" s="136" t="s">
        <v>925</v>
      </c>
      <c r="K2" s="119" t="s">
        <v>926</v>
      </c>
      <c r="L2" s="118" t="s">
        <v>927</v>
      </c>
      <c r="M2" s="120" t="s">
        <v>928</v>
      </c>
    </row>
    <row r="3" spans="1:13">
      <c r="A3" s="135" t="s">
        <v>929</v>
      </c>
      <c r="B3" s="135" t="s">
        <v>1702</v>
      </c>
      <c r="C3" s="135" t="s">
        <v>920</v>
      </c>
      <c r="D3" s="135" t="s">
        <v>930</v>
      </c>
      <c r="E3" s="135" t="s">
        <v>922</v>
      </c>
      <c r="F3" s="124" t="s">
        <v>931</v>
      </c>
      <c r="G3" s="124" t="s">
        <v>930</v>
      </c>
      <c r="H3" s="124" t="s">
        <v>924</v>
      </c>
      <c r="I3" s="136" t="s">
        <v>925</v>
      </c>
      <c r="K3" s="119" t="s">
        <v>932</v>
      </c>
      <c r="L3" s="118" t="s">
        <v>933</v>
      </c>
      <c r="M3" s="120" t="s">
        <v>934</v>
      </c>
    </row>
    <row r="4" spans="1:13">
      <c r="A4" s="135" t="s">
        <v>935</v>
      </c>
      <c r="B4" s="135" t="s">
        <v>1703</v>
      </c>
      <c r="C4" s="135" t="s">
        <v>920</v>
      </c>
      <c r="D4" s="135" t="s">
        <v>936</v>
      </c>
      <c r="E4" s="135" t="s">
        <v>922</v>
      </c>
      <c r="F4" s="124" t="s">
        <v>931</v>
      </c>
      <c r="G4" s="124" t="s">
        <v>937</v>
      </c>
      <c r="H4" s="124" t="s">
        <v>924</v>
      </c>
      <c r="I4" s="136" t="s">
        <v>925</v>
      </c>
      <c r="K4" s="119" t="s">
        <v>938</v>
      </c>
      <c r="L4" s="118" t="s">
        <v>939</v>
      </c>
      <c r="M4" s="120" t="s">
        <v>940</v>
      </c>
    </row>
    <row r="5" spans="1:13">
      <c r="A5" s="135" t="s">
        <v>941</v>
      </c>
      <c r="B5" s="135" t="s">
        <v>1704</v>
      </c>
      <c r="C5" s="135" t="s">
        <v>920</v>
      </c>
      <c r="D5" s="135" t="s">
        <v>942</v>
      </c>
      <c r="E5" s="135" t="s">
        <v>922</v>
      </c>
      <c r="F5" s="124" t="s">
        <v>931</v>
      </c>
      <c r="G5" s="124" t="s">
        <v>943</v>
      </c>
      <c r="H5" s="124" t="s">
        <v>924</v>
      </c>
      <c r="I5" s="136" t="s">
        <v>925</v>
      </c>
      <c r="K5" s="119" t="s">
        <v>944</v>
      </c>
      <c r="L5" s="118" t="s">
        <v>945</v>
      </c>
      <c r="M5" s="120" t="s">
        <v>946</v>
      </c>
    </row>
    <row r="6" spans="1:13">
      <c r="A6" s="135" t="s">
        <v>947</v>
      </c>
      <c r="B6" s="135" t="s">
        <v>1705</v>
      </c>
      <c r="C6" s="135" t="s">
        <v>920</v>
      </c>
      <c r="D6" s="135" t="s">
        <v>948</v>
      </c>
      <c r="E6" s="135" t="s">
        <v>922</v>
      </c>
      <c r="F6" s="124" t="s">
        <v>949</v>
      </c>
      <c r="G6" s="124" t="s">
        <v>948</v>
      </c>
      <c r="H6" s="124" t="s">
        <v>924</v>
      </c>
      <c r="I6" s="136" t="s">
        <v>925</v>
      </c>
      <c r="K6" s="119" t="s">
        <v>950</v>
      </c>
      <c r="L6" s="118" t="s">
        <v>951</v>
      </c>
      <c r="M6" s="120" t="s">
        <v>952</v>
      </c>
    </row>
    <row r="7" spans="1:13">
      <c r="A7" s="135" t="s">
        <v>953</v>
      </c>
      <c r="B7" s="135" t="s">
        <v>1706</v>
      </c>
      <c r="C7" s="135" t="s">
        <v>920</v>
      </c>
      <c r="D7" s="135" t="s">
        <v>954</v>
      </c>
      <c r="E7" s="135" t="s">
        <v>922</v>
      </c>
      <c r="F7" s="124" t="s">
        <v>949</v>
      </c>
      <c r="G7" s="124" t="s">
        <v>955</v>
      </c>
      <c r="H7" s="124" t="s">
        <v>956</v>
      </c>
      <c r="I7" s="136" t="s">
        <v>925</v>
      </c>
      <c r="K7" s="121" t="s">
        <v>957</v>
      </c>
      <c r="L7" s="122" t="s">
        <v>958</v>
      </c>
      <c r="M7" s="123" t="s">
        <v>959</v>
      </c>
    </row>
    <row r="8" spans="1:13">
      <c r="A8" s="135" t="s">
        <v>960</v>
      </c>
      <c r="B8" s="135" t="s">
        <v>1707</v>
      </c>
      <c r="C8" s="135" t="s">
        <v>920</v>
      </c>
      <c r="D8" s="135" t="s">
        <v>961</v>
      </c>
      <c r="E8" s="135" t="s">
        <v>922</v>
      </c>
      <c r="F8" s="124" t="s">
        <v>949</v>
      </c>
      <c r="G8" s="124" t="s">
        <v>962</v>
      </c>
      <c r="H8" s="124" t="s">
        <v>924</v>
      </c>
      <c r="I8" s="136" t="s">
        <v>925</v>
      </c>
      <c r="K8" s="118"/>
      <c r="L8" s="118"/>
      <c r="M8" s="118"/>
    </row>
    <row r="9" spans="1:13">
      <c r="A9" s="135" t="s">
        <v>963</v>
      </c>
      <c r="B9" s="135" t="s">
        <v>1708</v>
      </c>
      <c r="C9" s="135" t="s">
        <v>920</v>
      </c>
      <c r="D9" s="135" t="s">
        <v>964</v>
      </c>
      <c r="E9" s="135" t="s">
        <v>922</v>
      </c>
      <c r="F9" s="124" t="s">
        <v>965</v>
      </c>
      <c r="G9" s="124" t="s">
        <v>964</v>
      </c>
      <c r="H9" s="124" t="s">
        <v>924</v>
      </c>
      <c r="I9" s="136" t="s">
        <v>925</v>
      </c>
      <c r="K9" s="118"/>
      <c r="L9" s="118"/>
      <c r="M9" s="118"/>
    </row>
    <row r="10" spans="1:13">
      <c r="A10" s="135" t="s">
        <v>966</v>
      </c>
      <c r="B10" s="135" t="s">
        <v>1709</v>
      </c>
      <c r="C10" s="135" t="s">
        <v>920</v>
      </c>
      <c r="D10" s="135" t="s">
        <v>967</v>
      </c>
      <c r="E10" s="135" t="s">
        <v>922</v>
      </c>
      <c r="F10" s="124" t="s">
        <v>965</v>
      </c>
      <c r="G10" s="124" t="s">
        <v>968</v>
      </c>
      <c r="H10" s="124" t="s">
        <v>924</v>
      </c>
      <c r="I10" s="136" t="s">
        <v>925</v>
      </c>
      <c r="K10" s="118"/>
      <c r="L10" s="118"/>
      <c r="M10" s="118"/>
    </row>
    <row r="11" spans="1:13">
      <c r="A11" s="135" t="s">
        <v>969</v>
      </c>
      <c r="B11" s="135" t="s">
        <v>1710</v>
      </c>
      <c r="C11" s="135" t="s">
        <v>920</v>
      </c>
      <c r="D11" s="135" t="s">
        <v>970</v>
      </c>
      <c r="E11" s="135" t="s">
        <v>922</v>
      </c>
      <c r="F11" s="124" t="s">
        <v>965</v>
      </c>
      <c r="G11" s="124" t="s">
        <v>971</v>
      </c>
      <c r="H11" s="124" t="s">
        <v>924</v>
      </c>
      <c r="I11" s="136" t="s">
        <v>925</v>
      </c>
      <c r="K11" s="118"/>
      <c r="L11" s="118"/>
      <c r="M11" s="118"/>
    </row>
    <row r="12" spans="1:13">
      <c r="A12" s="135" t="s">
        <v>972</v>
      </c>
      <c r="B12" s="135" t="s">
        <v>1711</v>
      </c>
      <c r="C12" s="135" t="s">
        <v>920</v>
      </c>
      <c r="D12" s="135" t="s">
        <v>973</v>
      </c>
      <c r="E12" s="135" t="s">
        <v>922</v>
      </c>
      <c r="F12" s="124" t="s">
        <v>965</v>
      </c>
      <c r="G12" s="124" t="s">
        <v>974</v>
      </c>
      <c r="H12" s="124" t="s">
        <v>924</v>
      </c>
      <c r="I12" s="136" t="s">
        <v>925</v>
      </c>
      <c r="K12" s="118"/>
      <c r="L12" s="118"/>
      <c r="M12" s="118"/>
    </row>
    <row r="13" spans="1:13">
      <c r="A13" s="135" t="s">
        <v>975</v>
      </c>
      <c r="B13" s="135" t="s">
        <v>1712</v>
      </c>
      <c r="C13" s="135" t="s">
        <v>920</v>
      </c>
      <c r="D13" s="135" t="s">
        <v>976</v>
      </c>
      <c r="E13" s="135" t="s">
        <v>922</v>
      </c>
      <c r="F13" s="124" t="s">
        <v>965</v>
      </c>
      <c r="G13" s="124" t="s">
        <v>976</v>
      </c>
      <c r="H13" s="124" t="s">
        <v>924</v>
      </c>
      <c r="I13" s="136" t="s">
        <v>925</v>
      </c>
      <c r="K13" s="118"/>
      <c r="L13" s="118"/>
      <c r="M13" s="118"/>
    </row>
    <row r="14" spans="1:13">
      <c r="A14" s="135" t="s">
        <v>977</v>
      </c>
      <c r="B14" s="135" t="s">
        <v>1713</v>
      </c>
      <c r="C14" s="135" t="s">
        <v>920</v>
      </c>
      <c r="D14" s="135" t="s">
        <v>978</v>
      </c>
      <c r="E14" s="135" t="s">
        <v>922</v>
      </c>
      <c r="F14" s="124" t="s">
        <v>965</v>
      </c>
      <c r="G14" s="124" t="s">
        <v>979</v>
      </c>
      <c r="H14" s="124" t="s">
        <v>924</v>
      </c>
      <c r="I14" s="136" t="s">
        <v>925</v>
      </c>
      <c r="K14" s="118"/>
      <c r="L14" s="118"/>
      <c r="M14" s="118"/>
    </row>
    <row r="15" spans="1:13">
      <c r="A15" s="135" t="s">
        <v>980</v>
      </c>
      <c r="B15" s="135" t="s">
        <v>1714</v>
      </c>
      <c r="C15" s="135" t="s">
        <v>920</v>
      </c>
      <c r="D15" s="135" t="s">
        <v>981</v>
      </c>
      <c r="E15" s="135" t="s">
        <v>922</v>
      </c>
      <c r="F15" s="124" t="s">
        <v>323</v>
      </c>
      <c r="G15" s="124" t="s">
        <v>982</v>
      </c>
      <c r="H15" s="124" t="s">
        <v>924</v>
      </c>
      <c r="I15" s="136" t="s">
        <v>925</v>
      </c>
      <c r="K15" s="118"/>
      <c r="L15" s="118"/>
      <c r="M15" s="118"/>
    </row>
    <row r="16" spans="1:13">
      <c r="A16" s="135" t="s">
        <v>983</v>
      </c>
      <c r="B16" s="135" t="s">
        <v>1715</v>
      </c>
      <c r="C16" s="135" t="s">
        <v>920</v>
      </c>
      <c r="D16" s="135" t="s">
        <v>984</v>
      </c>
      <c r="E16" s="135" t="s">
        <v>922</v>
      </c>
      <c r="F16" s="124" t="s">
        <v>323</v>
      </c>
      <c r="G16" s="124" t="s">
        <v>985</v>
      </c>
      <c r="H16" s="124" t="s">
        <v>924</v>
      </c>
      <c r="I16" s="136" t="s">
        <v>925</v>
      </c>
      <c r="K16" s="118"/>
      <c r="L16" s="118"/>
      <c r="M16" s="118"/>
    </row>
    <row r="17" spans="1:13">
      <c r="A17" s="135" t="s">
        <v>986</v>
      </c>
      <c r="B17" s="135" t="s">
        <v>1716</v>
      </c>
      <c r="C17" s="135" t="s">
        <v>920</v>
      </c>
      <c r="D17" s="135" t="s">
        <v>987</v>
      </c>
      <c r="E17" s="135" t="s">
        <v>922</v>
      </c>
      <c r="F17" s="124" t="s">
        <v>323</v>
      </c>
      <c r="G17" s="124" t="s">
        <v>988</v>
      </c>
      <c r="H17" s="124" t="s">
        <v>924</v>
      </c>
      <c r="I17" s="136" t="s">
        <v>925</v>
      </c>
      <c r="K17" s="118"/>
      <c r="L17" s="118"/>
      <c r="M17" s="118"/>
    </row>
    <row r="18" spans="1:13">
      <c r="A18" s="135" t="s">
        <v>989</v>
      </c>
      <c r="B18" s="135" t="s">
        <v>1717</v>
      </c>
      <c r="C18" s="135" t="s">
        <v>920</v>
      </c>
      <c r="D18" s="135" t="s">
        <v>990</v>
      </c>
      <c r="E18" s="135" t="s">
        <v>922</v>
      </c>
      <c r="F18" s="124" t="s">
        <v>991</v>
      </c>
      <c r="G18" s="124" t="s">
        <v>992</v>
      </c>
      <c r="H18" s="124" t="s">
        <v>924</v>
      </c>
      <c r="I18" s="136" t="s">
        <v>925</v>
      </c>
      <c r="K18" s="118"/>
      <c r="L18" s="118"/>
      <c r="M18" s="118"/>
    </row>
    <row r="19" spans="1:13">
      <c r="A19" s="135" t="s">
        <v>993</v>
      </c>
      <c r="B19" s="135" t="s">
        <v>1718</v>
      </c>
      <c r="C19" s="135" t="s">
        <v>920</v>
      </c>
      <c r="D19" s="135" t="s">
        <v>994</v>
      </c>
      <c r="E19" s="135" t="s">
        <v>922</v>
      </c>
      <c r="F19" s="124" t="s">
        <v>991</v>
      </c>
      <c r="G19" s="124" t="s">
        <v>995</v>
      </c>
      <c r="H19" s="124" t="s">
        <v>924</v>
      </c>
      <c r="I19" s="136" t="s">
        <v>925</v>
      </c>
      <c r="K19" s="118"/>
      <c r="L19" s="118"/>
      <c r="M19" s="118"/>
    </row>
    <row r="20" spans="1:13">
      <c r="A20" s="135" t="s">
        <v>996</v>
      </c>
      <c r="B20" s="135" t="s">
        <v>1719</v>
      </c>
      <c r="C20" s="135" t="s">
        <v>920</v>
      </c>
      <c r="D20" s="135" t="s">
        <v>997</v>
      </c>
      <c r="E20" s="135" t="s">
        <v>922</v>
      </c>
      <c r="F20" s="124" t="s">
        <v>991</v>
      </c>
      <c r="G20" s="124" t="s">
        <v>998</v>
      </c>
      <c r="H20" s="124" t="s">
        <v>924</v>
      </c>
      <c r="I20" s="136" t="s">
        <v>925</v>
      </c>
      <c r="K20" s="118"/>
      <c r="L20" s="118"/>
      <c r="M20" s="118"/>
    </row>
    <row r="21" spans="1:13">
      <c r="A21" s="135" t="s">
        <v>999</v>
      </c>
      <c r="B21" s="135" t="s">
        <v>1720</v>
      </c>
      <c r="C21" s="135" t="s">
        <v>920</v>
      </c>
      <c r="D21" s="135" t="s">
        <v>1000</v>
      </c>
      <c r="E21" s="135" t="s">
        <v>922</v>
      </c>
      <c r="F21" s="124" t="s">
        <v>991</v>
      </c>
      <c r="G21" s="124" t="s">
        <v>1001</v>
      </c>
      <c r="H21" s="124" t="s">
        <v>924</v>
      </c>
      <c r="I21" s="136" t="s">
        <v>925</v>
      </c>
      <c r="K21" s="118"/>
      <c r="L21" s="118"/>
      <c r="M21" s="118"/>
    </row>
    <row r="22" spans="1:13">
      <c r="A22" s="135" t="s">
        <v>1002</v>
      </c>
      <c r="B22" s="135" t="s">
        <v>1721</v>
      </c>
      <c r="C22" s="135" t="s">
        <v>920</v>
      </c>
      <c r="D22" s="135" t="s">
        <v>1003</v>
      </c>
      <c r="E22" s="135" t="s">
        <v>922</v>
      </c>
      <c r="F22" s="124" t="s">
        <v>1004</v>
      </c>
      <c r="G22" s="124" t="s">
        <v>1005</v>
      </c>
      <c r="H22" s="124" t="s">
        <v>924</v>
      </c>
      <c r="I22" s="136" t="s">
        <v>925</v>
      </c>
      <c r="K22" s="118"/>
      <c r="L22" s="118"/>
      <c r="M22" s="118"/>
    </row>
    <row r="23" spans="1:13">
      <c r="A23" s="135" t="s">
        <v>1006</v>
      </c>
      <c r="B23" s="135" t="s">
        <v>1722</v>
      </c>
      <c r="C23" s="135" t="s">
        <v>920</v>
      </c>
      <c r="D23" s="135" t="s">
        <v>1007</v>
      </c>
      <c r="E23" s="135" t="s">
        <v>922</v>
      </c>
      <c r="F23" s="124" t="s">
        <v>1004</v>
      </c>
      <c r="G23" s="124" t="s">
        <v>1008</v>
      </c>
      <c r="H23" s="124" t="s">
        <v>924</v>
      </c>
      <c r="I23" s="136" t="s">
        <v>925</v>
      </c>
      <c r="K23" s="118"/>
      <c r="L23" s="118"/>
      <c r="M23" s="118"/>
    </row>
    <row r="24" spans="1:13">
      <c r="A24" s="135" t="s">
        <v>1009</v>
      </c>
      <c r="B24" s="135" t="s">
        <v>1263</v>
      </c>
      <c r="C24" s="135" t="s">
        <v>920</v>
      </c>
      <c r="D24" s="135" t="s">
        <v>1010</v>
      </c>
      <c r="E24" s="135" t="s">
        <v>922</v>
      </c>
      <c r="F24" s="124" t="s">
        <v>1004</v>
      </c>
      <c r="G24" s="124" t="s">
        <v>1011</v>
      </c>
      <c r="H24" s="124" t="s">
        <v>924</v>
      </c>
      <c r="I24" s="136" t="s">
        <v>925</v>
      </c>
      <c r="K24" s="118"/>
      <c r="L24" s="118"/>
      <c r="M24" s="118"/>
    </row>
    <row r="25" spans="1:13">
      <c r="A25" s="135" t="s">
        <v>1012</v>
      </c>
      <c r="B25" s="135" t="s">
        <v>1723</v>
      </c>
      <c r="C25" s="135" t="s">
        <v>920</v>
      </c>
      <c r="D25" s="135" t="s">
        <v>1013</v>
      </c>
      <c r="E25" s="135" t="s">
        <v>922</v>
      </c>
      <c r="F25" s="124" t="s">
        <v>1004</v>
      </c>
      <c r="G25" s="124" t="s">
        <v>1014</v>
      </c>
      <c r="H25" s="124" t="s">
        <v>924</v>
      </c>
      <c r="I25" s="136" t="s">
        <v>925</v>
      </c>
      <c r="K25" s="118"/>
      <c r="L25" s="118"/>
      <c r="M25" s="118"/>
    </row>
    <row r="26" spans="1:13">
      <c r="A26" s="135" t="s">
        <v>1015</v>
      </c>
      <c r="B26" s="135" t="s">
        <v>1724</v>
      </c>
      <c r="C26" s="135" t="s">
        <v>920</v>
      </c>
      <c r="D26" s="135" t="s">
        <v>1016</v>
      </c>
      <c r="E26" s="135" t="s">
        <v>922</v>
      </c>
      <c r="F26" s="124" t="s">
        <v>1004</v>
      </c>
      <c r="G26" s="124" t="s">
        <v>1017</v>
      </c>
      <c r="H26" s="124" t="s">
        <v>924</v>
      </c>
      <c r="I26" s="136" t="s">
        <v>925</v>
      </c>
      <c r="K26" s="118"/>
      <c r="L26" s="118"/>
      <c r="M26" s="118"/>
    </row>
    <row r="27" spans="1:13">
      <c r="A27" s="135" t="s">
        <v>1018</v>
      </c>
      <c r="B27" s="135" t="s">
        <v>927</v>
      </c>
      <c r="C27" s="135" t="s">
        <v>1019</v>
      </c>
      <c r="D27" s="135" t="s">
        <v>1020</v>
      </c>
      <c r="E27" s="135" t="s">
        <v>922</v>
      </c>
    </row>
    <row r="28" spans="1:13">
      <c r="A28" s="135" t="s">
        <v>1021</v>
      </c>
      <c r="B28" s="135" t="s">
        <v>933</v>
      </c>
      <c r="C28" s="135" t="s">
        <v>1019</v>
      </c>
      <c r="D28" s="135" t="s">
        <v>1022</v>
      </c>
      <c r="E28" s="135" t="s">
        <v>922</v>
      </c>
    </row>
    <row r="29" spans="1:13">
      <c r="A29" s="135" t="s">
        <v>1023</v>
      </c>
      <c r="B29" s="135" t="s">
        <v>1725</v>
      </c>
      <c r="C29" s="135" t="s">
        <v>1019</v>
      </c>
      <c r="D29" s="135" t="s">
        <v>1024</v>
      </c>
      <c r="E29" s="135" t="s">
        <v>922</v>
      </c>
    </row>
    <row r="30" spans="1:13">
      <c r="A30" s="135" t="s">
        <v>1025</v>
      </c>
      <c r="B30" s="135" t="s">
        <v>1726</v>
      </c>
      <c r="C30" s="135" t="s">
        <v>1019</v>
      </c>
      <c r="D30" s="135" t="s">
        <v>1026</v>
      </c>
      <c r="E30" s="135" t="s">
        <v>922</v>
      </c>
    </row>
    <row r="31" spans="1:13">
      <c r="A31" s="135" t="s">
        <v>1027</v>
      </c>
      <c r="B31" s="135" t="s">
        <v>951</v>
      </c>
      <c r="C31" s="135" t="s">
        <v>1019</v>
      </c>
      <c r="D31" s="135" t="s">
        <v>1028</v>
      </c>
      <c r="E31" s="135" t="s">
        <v>922</v>
      </c>
    </row>
    <row r="32" spans="1:13">
      <c r="A32" s="135" t="s">
        <v>1029</v>
      </c>
      <c r="B32" s="135" t="s">
        <v>1727</v>
      </c>
      <c r="C32" s="135" t="s">
        <v>1019</v>
      </c>
      <c r="D32" s="135" t="s">
        <v>1030</v>
      </c>
      <c r="E32" s="135" t="s">
        <v>922</v>
      </c>
    </row>
    <row r="33" spans="1:5">
      <c r="A33" s="135" t="s">
        <v>1031</v>
      </c>
      <c r="B33" s="135" t="s">
        <v>1728</v>
      </c>
      <c r="C33" s="135" t="s">
        <v>1019</v>
      </c>
      <c r="D33" s="135" t="s">
        <v>1032</v>
      </c>
      <c r="E33" s="135" t="s">
        <v>922</v>
      </c>
    </row>
    <row r="34" spans="1:5">
      <c r="A34" s="135" t="s">
        <v>1033</v>
      </c>
      <c r="B34" s="135" t="s">
        <v>1729</v>
      </c>
      <c r="C34" s="135" t="s">
        <v>1019</v>
      </c>
      <c r="D34" s="135" t="s">
        <v>1034</v>
      </c>
      <c r="E34" s="135" t="s">
        <v>922</v>
      </c>
    </row>
    <row r="35" spans="1:5">
      <c r="A35" s="135" t="s">
        <v>1035</v>
      </c>
      <c r="B35" s="135" t="s">
        <v>933</v>
      </c>
      <c r="C35" s="135" t="s">
        <v>1019</v>
      </c>
      <c r="D35" s="135" t="s">
        <v>1036</v>
      </c>
      <c r="E35" s="135" t="s">
        <v>922</v>
      </c>
    </row>
    <row r="36" spans="1:5">
      <c r="A36" s="135" t="s">
        <v>1037</v>
      </c>
      <c r="B36" s="135" t="s">
        <v>1730</v>
      </c>
      <c r="C36" s="135" t="s">
        <v>1019</v>
      </c>
      <c r="D36" s="135" t="s">
        <v>1038</v>
      </c>
      <c r="E36" s="135" t="s">
        <v>922</v>
      </c>
    </row>
    <row r="37" spans="1:5">
      <c r="A37" s="135" t="s">
        <v>1039</v>
      </c>
      <c r="B37" s="135" t="s">
        <v>1731</v>
      </c>
      <c r="C37" s="135" t="s">
        <v>1019</v>
      </c>
      <c r="D37" s="135" t="s">
        <v>1040</v>
      </c>
      <c r="E37" s="135" t="s">
        <v>922</v>
      </c>
    </row>
    <row r="38" spans="1:5">
      <c r="A38" s="135" t="s">
        <v>1041</v>
      </c>
      <c r="B38" s="135" t="s">
        <v>1732</v>
      </c>
      <c r="C38" s="135" t="s">
        <v>1019</v>
      </c>
      <c r="D38" s="135" t="s">
        <v>1042</v>
      </c>
      <c r="E38" s="135" t="s">
        <v>922</v>
      </c>
    </row>
    <row r="39" spans="1:5">
      <c r="A39" s="135" t="s">
        <v>1043</v>
      </c>
      <c r="B39" s="135" t="s">
        <v>933</v>
      </c>
      <c r="C39" s="135" t="s">
        <v>1019</v>
      </c>
      <c r="D39" s="135" t="s">
        <v>1044</v>
      </c>
      <c r="E39" s="135" t="s">
        <v>922</v>
      </c>
    </row>
    <row r="40" spans="1:5">
      <c r="A40" s="135" t="s">
        <v>1045</v>
      </c>
      <c r="B40" s="135" t="s">
        <v>1733</v>
      </c>
      <c r="C40" s="135" t="s">
        <v>1019</v>
      </c>
      <c r="D40" s="135" t="s">
        <v>1046</v>
      </c>
      <c r="E40" s="135" t="s">
        <v>922</v>
      </c>
    </row>
    <row r="41" spans="1:5">
      <c r="A41" s="135" t="s">
        <v>1047</v>
      </c>
      <c r="B41" s="135" t="s">
        <v>1734</v>
      </c>
      <c r="C41" s="135" t="s">
        <v>1019</v>
      </c>
      <c r="D41" s="135" t="s">
        <v>1048</v>
      </c>
      <c r="E41" s="135" t="s">
        <v>922</v>
      </c>
    </row>
    <row r="42" spans="1:5">
      <c r="A42" s="135" t="s">
        <v>1049</v>
      </c>
      <c r="B42" s="135" t="s">
        <v>1735</v>
      </c>
      <c r="C42" s="135" t="s">
        <v>1019</v>
      </c>
      <c r="D42" s="135" t="s">
        <v>1050</v>
      </c>
      <c r="E42" s="135" t="s">
        <v>922</v>
      </c>
    </row>
    <row r="43" spans="1:5">
      <c r="A43" s="135" t="s">
        <v>1051</v>
      </c>
      <c r="B43" s="135" t="s">
        <v>1736</v>
      </c>
      <c r="C43" s="135" t="s">
        <v>1019</v>
      </c>
      <c r="D43" s="135" t="s">
        <v>1052</v>
      </c>
      <c r="E43" s="135" t="s">
        <v>922</v>
      </c>
    </row>
    <row r="44" spans="1:5">
      <c r="A44" s="135" t="s">
        <v>1053</v>
      </c>
      <c r="B44" s="135" t="s">
        <v>927</v>
      </c>
      <c r="C44" s="135" t="s">
        <v>1019</v>
      </c>
      <c r="D44" s="135" t="s">
        <v>1054</v>
      </c>
      <c r="E44" s="135" t="s">
        <v>922</v>
      </c>
    </row>
    <row r="45" spans="1:5">
      <c r="A45" s="135" t="s">
        <v>1055</v>
      </c>
      <c r="B45" s="135" t="s">
        <v>1737</v>
      </c>
      <c r="C45" s="135" t="s">
        <v>1019</v>
      </c>
      <c r="D45" s="135" t="s">
        <v>1056</v>
      </c>
      <c r="E45" s="135" t="s">
        <v>922</v>
      </c>
    </row>
    <row r="46" spans="1:5">
      <c r="A46" s="135" t="s">
        <v>1057</v>
      </c>
      <c r="B46" s="135" t="s">
        <v>1729</v>
      </c>
      <c r="C46" s="135" t="s">
        <v>1019</v>
      </c>
      <c r="D46" s="135" t="s">
        <v>1058</v>
      </c>
      <c r="E46" s="135" t="s">
        <v>922</v>
      </c>
    </row>
    <row r="47" spans="1:5">
      <c r="A47" s="135" t="s">
        <v>1059</v>
      </c>
      <c r="B47" s="135" t="s">
        <v>1738</v>
      </c>
      <c r="C47" s="135" t="s">
        <v>1060</v>
      </c>
      <c r="D47" s="135" t="s">
        <v>1061</v>
      </c>
      <c r="E47" s="135" t="s">
        <v>922</v>
      </c>
    </row>
    <row r="48" spans="1:5">
      <c r="A48" s="135" t="s">
        <v>1062</v>
      </c>
      <c r="B48" s="135" t="s">
        <v>1739</v>
      </c>
      <c r="C48" s="135" t="s">
        <v>1060</v>
      </c>
      <c r="D48" s="135" t="s">
        <v>1063</v>
      </c>
      <c r="E48" s="135" t="s">
        <v>922</v>
      </c>
    </row>
    <row r="49" spans="1:5">
      <c r="A49" s="135" t="s">
        <v>1064</v>
      </c>
      <c r="B49" s="135" t="s">
        <v>1740</v>
      </c>
      <c r="C49" s="135" t="s">
        <v>1060</v>
      </c>
      <c r="D49" s="135" t="s">
        <v>1065</v>
      </c>
      <c r="E49" s="135" t="s">
        <v>922</v>
      </c>
    </row>
    <row r="50" spans="1:5">
      <c r="A50" s="135" t="s">
        <v>1066</v>
      </c>
      <c r="B50" s="135" t="s">
        <v>1741</v>
      </c>
      <c r="C50" s="135" t="s">
        <v>1060</v>
      </c>
      <c r="D50" s="135" t="s">
        <v>1067</v>
      </c>
      <c r="E50" s="135" t="s">
        <v>922</v>
      </c>
    </row>
    <row r="51" spans="1:5">
      <c r="A51" s="135" t="s">
        <v>1068</v>
      </c>
      <c r="B51" s="135" t="s">
        <v>1742</v>
      </c>
      <c r="C51" s="135" t="s">
        <v>1060</v>
      </c>
      <c r="D51" s="135" t="s">
        <v>1069</v>
      </c>
      <c r="E51" s="135" t="s">
        <v>922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DB2DA-822D-4284-9EA0-117B594AE0F7}">
  <sheetPr codeName="Sheet12"/>
  <dimension ref="A1:G8"/>
  <sheetViews>
    <sheetView workbookViewId="0">
      <selection activeCell="D5" sqref="D5"/>
    </sheetView>
  </sheetViews>
  <sheetFormatPr defaultColWidth="9.09765625" defaultRowHeight="13.85"/>
  <cols>
    <col min="1" max="1" width="25" style="28" customWidth="1"/>
    <col min="2" max="2" width="37.296875" style="28" customWidth="1"/>
    <col min="3" max="3" width="20.59765625" style="28" customWidth="1"/>
    <col min="4" max="4" width="25.59765625" style="28" customWidth="1"/>
    <col min="5" max="5" width="42.09765625" style="28" customWidth="1"/>
    <col min="6" max="16384" width="9.09765625" style="28"/>
  </cols>
  <sheetData>
    <row r="1" spans="1:7" ht="14.4">
      <c r="A1" s="67" t="s">
        <v>124</v>
      </c>
      <c r="B1" s="67" t="s">
        <v>106</v>
      </c>
      <c r="C1" s="67" t="s">
        <v>913</v>
      </c>
      <c r="D1" s="67" t="s">
        <v>910</v>
      </c>
      <c r="E1" s="67" t="s">
        <v>164</v>
      </c>
      <c r="F1" s="67" t="s">
        <v>674</v>
      </c>
      <c r="G1" s="67" t="s">
        <v>675</v>
      </c>
    </row>
    <row r="2" spans="1:7" ht="14.4">
      <c r="A2" s="68" t="s">
        <v>1070</v>
      </c>
      <c r="B2" s="68" t="s">
        <v>1743</v>
      </c>
      <c r="C2" s="68" t="s">
        <v>125</v>
      </c>
      <c r="D2" s="69" t="s">
        <v>1071</v>
      </c>
      <c r="E2" s="69" t="s">
        <v>1072</v>
      </c>
      <c r="F2" s="68" t="s">
        <v>670</v>
      </c>
      <c r="G2" s="69"/>
    </row>
    <row r="3" spans="1:7" ht="14.4">
      <c r="A3" s="68" t="s">
        <v>1073</v>
      </c>
      <c r="B3" s="68" t="s">
        <v>1085</v>
      </c>
      <c r="C3" s="68" t="s">
        <v>125</v>
      </c>
      <c r="D3" s="69" t="s">
        <v>1071</v>
      </c>
      <c r="E3" s="69" t="s">
        <v>1074</v>
      </c>
      <c r="F3" s="68" t="s">
        <v>670</v>
      </c>
      <c r="G3" s="69"/>
    </row>
    <row r="4" spans="1:7" ht="14.4">
      <c r="A4" s="68" t="s">
        <v>1075</v>
      </c>
      <c r="B4" s="68" t="s">
        <v>1184</v>
      </c>
      <c r="C4" s="68" t="s">
        <v>125</v>
      </c>
      <c r="D4" s="69" t="s">
        <v>1071</v>
      </c>
      <c r="E4" s="69" t="s">
        <v>1076</v>
      </c>
      <c r="F4" s="68" t="s">
        <v>670</v>
      </c>
      <c r="G4" s="69"/>
    </row>
    <row r="5" spans="1:7" ht="14.4">
      <c r="A5" s="68" t="s">
        <v>1077</v>
      </c>
      <c r="B5" s="68" t="s">
        <v>1089</v>
      </c>
      <c r="C5" s="68" t="s">
        <v>125</v>
      </c>
      <c r="D5" s="69" t="s">
        <v>1071</v>
      </c>
      <c r="E5" s="69" t="s">
        <v>1078</v>
      </c>
      <c r="F5" s="68" t="s">
        <v>670</v>
      </c>
      <c r="G5" s="69"/>
    </row>
    <row r="6" spans="1:7" ht="14.4">
      <c r="A6" s="68" t="s">
        <v>1079</v>
      </c>
      <c r="B6" s="68" t="s">
        <v>1744</v>
      </c>
      <c r="C6" s="68" t="s">
        <v>125</v>
      </c>
      <c r="D6" s="69" t="s">
        <v>1071</v>
      </c>
      <c r="E6" s="69" t="s">
        <v>1080</v>
      </c>
      <c r="F6" s="68" t="s">
        <v>670</v>
      </c>
      <c r="G6" s="69"/>
    </row>
    <row r="7" spans="1:7" ht="14.4">
      <c r="A7" s="68" t="s">
        <v>1081</v>
      </c>
      <c r="B7" s="68" t="s">
        <v>1745</v>
      </c>
      <c r="C7" s="68" t="s">
        <v>125</v>
      </c>
      <c r="D7" s="69" t="s">
        <v>1071</v>
      </c>
      <c r="E7" s="69" t="s">
        <v>1082</v>
      </c>
      <c r="F7" s="68" t="s">
        <v>670</v>
      </c>
      <c r="G7" s="69"/>
    </row>
    <row r="8" spans="1:7" ht="14.4">
      <c r="A8" s="68" t="s">
        <v>1083</v>
      </c>
      <c r="B8" s="68" t="s">
        <v>1746</v>
      </c>
      <c r="C8" s="68" t="s">
        <v>125</v>
      </c>
      <c r="D8" s="69" t="s">
        <v>1071</v>
      </c>
      <c r="E8" s="69" t="s">
        <v>1084</v>
      </c>
      <c r="F8" s="68" t="s">
        <v>670</v>
      </c>
      <c r="G8" s="6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59242-B030-4311-80E2-FAD3497B072F}">
  <sheetPr codeName="Sheet14"/>
  <dimension ref="A1:G5"/>
  <sheetViews>
    <sheetView workbookViewId="0">
      <selection activeCell="B3" sqref="B3"/>
    </sheetView>
  </sheetViews>
  <sheetFormatPr defaultColWidth="9.09765625" defaultRowHeight="13.85"/>
  <cols>
    <col min="1" max="1" width="22.69921875" style="28" bestFit="1" customWidth="1"/>
    <col min="2" max="2" width="86.69921875" style="28" bestFit="1" customWidth="1"/>
    <col min="3" max="3" width="11.8984375" style="28" bestFit="1" customWidth="1"/>
    <col min="4" max="4" width="12" style="28" bestFit="1" customWidth="1"/>
    <col min="5" max="5" width="43.69921875" style="28" bestFit="1" customWidth="1"/>
    <col min="6" max="6" width="7" style="28" bestFit="1" customWidth="1"/>
    <col min="7" max="16384" width="9.09765625" style="28"/>
  </cols>
  <sheetData>
    <row r="1" spans="1:7" ht="14.4">
      <c r="A1" s="155" t="s">
        <v>124</v>
      </c>
      <c r="B1" s="155" t="s">
        <v>106</v>
      </c>
      <c r="C1" s="155" t="s">
        <v>913</v>
      </c>
      <c r="D1" s="155"/>
      <c r="E1" s="155" t="s">
        <v>164</v>
      </c>
      <c r="F1" s="155" t="s">
        <v>674</v>
      </c>
      <c r="G1" s="68"/>
    </row>
    <row r="2" spans="1:7" ht="14.4">
      <c r="A2" s="68" t="s">
        <v>1692</v>
      </c>
      <c r="B2" s="68" t="s">
        <v>1693</v>
      </c>
      <c r="C2" s="68" t="s">
        <v>1693</v>
      </c>
      <c r="D2" s="68"/>
      <c r="E2" s="68" t="s">
        <v>1694</v>
      </c>
      <c r="F2" s="68" t="s">
        <v>670</v>
      </c>
      <c r="G2" s="68"/>
    </row>
    <row r="3" spans="1:7" ht="14.4">
      <c r="A3" s="68" t="s">
        <v>1695</v>
      </c>
      <c r="B3" s="68" t="s">
        <v>1815</v>
      </c>
      <c r="C3" s="68" t="s">
        <v>1693</v>
      </c>
      <c r="D3" s="68" t="s">
        <v>295</v>
      </c>
      <c r="E3" s="68" t="s">
        <v>1696</v>
      </c>
      <c r="F3" s="68" t="s">
        <v>670</v>
      </c>
      <c r="G3" s="68"/>
    </row>
    <row r="4" spans="1:7" ht="14.4">
      <c r="A4" s="68" t="s">
        <v>1697</v>
      </c>
      <c r="B4" s="68" t="s">
        <v>1816</v>
      </c>
      <c r="C4" s="68" t="s">
        <v>1693</v>
      </c>
      <c r="D4" s="68" t="s">
        <v>679</v>
      </c>
      <c r="E4" s="68" t="s">
        <v>1698</v>
      </c>
      <c r="F4" s="68" t="s">
        <v>670</v>
      </c>
      <c r="G4" s="68"/>
    </row>
    <row r="5" spans="1:7" ht="14.4">
      <c r="A5" s="68" t="s">
        <v>1699</v>
      </c>
      <c r="B5" s="68" t="s">
        <v>1817</v>
      </c>
      <c r="C5" s="68" t="s">
        <v>1693</v>
      </c>
      <c r="D5" s="68" t="s">
        <v>682</v>
      </c>
      <c r="E5" s="68" t="s">
        <v>1700</v>
      </c>
      <c r="F5" s="68" t="s">
        <v>670</v>
      </c>
      <c r="G5" s="6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31E86F-19AA-4585-A207-181FB83BC7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26</vt:i4>
      </vt:variant>
    </vt:vector>
  </HeadingPairs>
  <TitlesOfParts>
    <vt:vector size="47" baseType="lpstr">
      <vt:lpstr>Run Tool</vt:lpstr>
      <vt:lpstr>Log</vt:lpstr>
      <vt:lpstr>Import</vt:lpstr>
      <vt:lpstr>MR&gt;&gt;</vt:lpstr>
      <vt:lpstr>Code</vt:lpstr>
      <vt:lpstr>BOND</vt:lpstr>
      <vt:lpstr>NIM</vt:lpstr>
      <vt:lpstr>Market</vt:lpstr>
      <vt:lpstr>Executive</vt:lpstr>
      <vt:lpstr>Thị trường</vt:lpstr>
      <vt:lpstr>Chi tiết DM</vt:lpstr>
      <vt:lpstr>LR&gt;&gt;</vt:lpstr>
      <vt:lpstr>Available rpt</vt:lpstr>
      <vt:lpstr>BK Gbond</vt:lpstr>
      <vt:lpstr>BS_TT2</vt:lpstr>
      <vt:lpstr>Market II_BS FI</vt:lpstr>
      <vt:lpstr>Market II Input</vt:lpstr>
      <vt:lpstr>AI Input&gt;&gt;</vt:lpstr>
      <vt:lpstr>AI module</vt:lpstr>
      <vt:lpstr>Module name</vt:lpstr>
      <vt:lpstr>Import module</vt:lpstr>
      <vt:lpstr>BOND.1</vt:lpstr>
      <vt:lpstr>BOND.10</vt:lpstr>
      <vt:lpstr>BOND.11</vt:lpstr>
      <vt:lpstr>BOND.12</vt:lpstr>
      <vt:lpstr>BOND.13</vt:lpstr>
      <vt:lpstr>BOND.2</vt:lpstr>
      <vt:lpstr>BOND.3</vt:lpstr>
      <vt:lpstr>BOND.4</vt:lpstr>
      <vt:lpstr>BOND.5</vt:lpstr>
      <vt:lpstr>BOND.6</vt:lpstr>
      <vt:lpstr>BOND.7</vt:lpstr>
      <vt:lpstr>BOND.8</vt:lpstr>
      <vt:lpstr>BOND.9</vt:lpstr>
      <vt:lpstr>Lastmonth</vt:lpstr>
      <vt:lpstr>Lastquater</vt:lpstr>
      <vt:lpstr>Lastweek</vt:lpstr>
      <vt:lpstr>Lastyear</vt:lpstr>
      <vt:lpstr>May53.</vt:lpstr>
      <vt:lpstr>MK.1</vt:lpstr>
      <vt:lpstr>MK.2</vt:lpstr>
      <vt:lpstr>MK.3</vt:lpstr>
      <vt:lpstr>MK.4</vt:lpstr>
      <vt:lpstr>RPT</vt:lpstr>
      <vt:lpstr>RPT_LR</vt:lpstr>
      <vt:lpstr>RPT_LR1</vt:lpstr>
      <vt:lpstr>Yesterday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Vu Thi (QLRR-TTTK)</dc:creator>
  <cp:lastModifiedBy>Lam Pham Duc (QLRR - QLRRTTTK RRTT&amp;LSSNH)</cp:lastModifiedBy>
  <cp:lastPrinted>2026-02-05T07:45:09Z</cp:lastPrinted>
  <dcterms:created xsi:type="dcterms:W3CDTF">2024-07-12T03:31:47Z</dcterms:created>
  <dcterms:modified xsi:type="dcterms:W3CDTF">2026-09-29T09:52:50Z</dcterms:modified>
</cp:coreProperties>
</file>