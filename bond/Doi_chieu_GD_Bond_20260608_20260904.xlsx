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 deal" sheetId="1" state="visible" r:id="rId1"/>
    <sheet name="Chan le" sheetId="2" state="visible" r:id="rId2"/>
    <sheet name="Doi chieu" sheetId="3" state="visible" r:id="rId3"/>
  </sheets>
  <definedNames>
    <definedName name="_xlnm._FilterDatabase" localSheetId="0" hidden="1">'Cap deal'!$A$1:$Y$199</definedName>
    <definedName name="_xlnm._FilterDatabase" localSheetId="1" hidden="1">'Chan le'!$A$1:$M$375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Deal S</t>
        </is>
      </c>
      <c r="B1" s="1" t="inlineStr">
        <is>
          <t>Deal B</t>
        </is>
      </c>
      <c r="C1" s="1" t="inlineStr">
        <is>
          <t>Ma TP</t>
        </is>
      </c>
      <c r="D1" s="1" t="inlineStr">
        <is>
          <t>Doi tac</t>
        </is>
      </c>
      <c r="E1" s="1" t="inlineStr">
        <is>
          <t>Coupon (%)</t>
        </is>
      </c>
      <c r="F1" s="1" t="inlineStr">
        <is>
          <t>Menh gia (ty)</t>
        </is>
      </c>
      <c r="G1" s="1" t="inlineStr">
        <is>
          <t>Chan thanh toan truoc</t>
        </is>
      </c>
      <c r="H1" s="1" t="inlineStr">
        <is>
          <t>Ky han (ngay)</t>
        </is>
      </c>
      <c r="I1" s="1" t="inlineStr">
        <is>
          <t>Settlement S</t>
        </is>
      </c>
      <c r="J1" s="1" t="inlineStr">
        <is>
          <t>Settlement B</t>
        </is>
      </c>
      <c r="K1" s="1" t="inlineStr">
        <is>
          <t>CaptureDate S</t>
        </is>
      </c>
      <c r="L1" s="1" t="inlineStr">
        <is>
          <t>CaptureDate B</t>
        </is>
      </c>
      <c r="M1" s="1" t="inlineStr">
        <is>
          <t>Gross S (VND)</t>
        </is>
      </c>
      <c r="N1" s="1" t="inlineStr">
        <is>
          <t>Gross B (VND)</t>
        </is>
      </c>
      <c r="O1" s="1" t="inlineStr">
        <is>
          <t>Lai/lo (VND)</t>
        </is>
      </c>
      <c r="P1" s="1" t="inlineStr">
        <is>
          <t>Lai/lo (trieu)</t>
        </is>
      </c>
      <c r="Q1" s="1" t="inlineStr">
        <is>
          <t>%/nam</t>
        </is>
      </c>
      <c r="R1" s="1" t="inlineStr">
        <is>
          <t>Dau</t>
        </is>
      </c>
      <c r="S1" s="1" t="inlineStr">
        <is>
          <t>Nhom</t>
        </is>
      </c>
      <c r="T1" s="1" t="inlineStr">
        <is>
          <t>Tach chan</t>
        </is>
      </c>
      <c r="U1" s="1" t="inlineStr">
        <is>
          <t>Yield S</t>
        </is>
      </c>
      <c r="V1" s="1" t="inlineStr">
        <is>
          <t>Yield B</t>
        </is>
      </c>
      <c r="W1" s="1" t="inlineStr">
        <is>
          <t>Dyield (bp)</t>
        </is>
      </c>
      <c r="X1" s="1" t="inlineStr">
        <is>
          <t>Folder S</t>
        </is>
      </c>
      <c r="Y1" s="1" t="inlineStr">
        <is>
          <t>Folder B</t>
        </is>
      </c>
    </row>
    <row r="2">
      <c r="A2" s="2" t="n">
        <v>49944</v>
      </c>
      <c r="B2" s="2" t="n">
        <v>49945</v>
      </c>
      <c r="C2" s="2" t="inlineStr">
        <is>
          <t>TD2454043</t>
        </is>
      </c>
      <c r="D2" s="2" t="inlineStr">
        <is>
          <t>CK_SGHN</t>
        </is>
      </c>
      <c r="E2" s="2" t="n">
        <v>2.8</v>
      </c>
      <c r="F2" s="3" t="n">
        <v>250</v>
      </c>
      <c r="G2" s="2" t="inlineStr">
        <is>
          <t>Sell (repo)</t>
        </is>
      </c>
      <c r="H2" s="2" t="n">
        <v>1</v>
      </c>
      <c r="I2" s="4" t="n">
        <v>46183</v>
      </c>
      <c r="J2" s="4" t="n">
        <v>46184</v>
      </c>
      <c r="K2" s="4" t="n">
        <v>46181</v>
      </c>
      <c r="L2" s="4" t="n">
        <v>46181</v>
      </c>
      <c r="M2" s="5" t="n">
        <v>180077500000</v>
      </c>
      <c r="N2" s="5" t="n">
        <v>180102500000</v>
      </c>
      <c r="O2" s="5" t="n">
        <v>-25000000</v>
      </c>
      <c r="P2" s="3" t="n">
        <v>-25</v>
      </c>
      <c r="Q2" s="6" t="n">
        <v>-0.05067262706334772</v>
      </c>
      <c r="R2" s="2" t="inlineStr">
        <is>
          <t>am</t>
        </is>
      </c>
      <c r="S2" s="2" t="inlineStr">
        <is>
          <t>Vay tien</t>
        </is>
      </c>
      <c r="T2" s="2" t="inlineStr"/>
      <c r="U2" s="2" t="n">
        <v>4.7</v>
      </c>
      <c r="V2" s="2" t="n">
        <v>4.7</v>
      </c>
      <c r="W2" s="2" t="n">
        <v>0</v>
      </c>
      <c r="X2" s="2" t="inlineStr">
        <is>
          <t>AFS-DCM</t>
        </is>
      </c>
      <c r="Y2" s="2" t="inlineStr">
        <is>
          <t>AFS-DCM</t>
        </is>
      </c>
    </row>
    <row r="3">
      <c r="A3" s="2" t="n">
        <v>49946</v>
      </c>
      <c r="B3" s="2" t="n">
        <v>49947</v>
      </c>
      <c r="C3" s="2" t="inlineStr">
        <is>
          <t>TD2353151</t>
        </is>
      </c>
      <c r="D3" s="2" t="inlineStr">
        <is>
          <t>CK_SGHN</t>
        </is>
      </c>
      <c r="E3" s="2" t="n">
        <v>4.2</v>
      </c>
      <c r="F3" s="3" t="n">
        <v>150</v>
      </c>
      <c r="G3" s="2" t="inlineStr">
        <is>
          <t>Sell (repo)</t>
        </is>
      </c>
      <c r="H3" s="2" t="n">
        <v>1</v>
      </c>
      <c r="I3" s="4" t="n">
        <v>46183</v>
      </c>
      <c r="J3" s="4" t="n">
        <v>46184</v>
      </c>
      <c r="K3" s="4" t="n">
        <v>46181</v>
      </c>
      <c r="L3" s="4" t="n">
        <v>46181</v>
      </c>
      <c r="M3" s="5" t="n">
        <v>156219000000</v>
      </c>
      <c r="N3" s="5" t="n">
        <v>156111000000</v>
      </c>
      <c r="O3" s="5" t="n">
        <v>108000000</v>
      </c>
      <c r="P3" s="3" t="n">
        <v>108</v>
      </c>
      <c r="Q3" s="6" t="n">
        <v>0.2523380638718722</v>
      </c>
      <c r="R3" s="2" t="inlineStr">
        <is>
          <t>duong</t>
        </is>
      </c>
      <c r="S3" s="2" t="inlineStr">
        <is>
          <t>Cho vay bond</t>
        </is>
      </c>
      <c r="T3" s="2" t="inlineStr"/>
      <c r="U3" s="2" t="n">
        <v>4</v>
      </c>
      <c r="V3" s="2" t="n">
        <v>4.005</v>
      </c>
      <c r="W3" s="2" t="n">
        <v>0.4999999999999893</v>
      </c>
      <c r="X3" s="2" t="inlineStr">
        <is>
          <t>AFS-DCM</t>
        </is>
      </c>
      <c r="Y3" s="2" t="inlineStr">
        <is>
          <t>AFS-DCM</t>
        </is>
      </c>
    </row>
    <row r="4">
      <c r="A4" s="2" t="n">
        <v>49948</v>
      </c>
      <c r="B4" s="2" t="n">
        <v>49949</v>
      </c>
      <c r="C4" s="2" t="inlineStr">
        <is>
          <t>TD2434024</t>
        </is>
      </c>
      <c r="D4" s="2" t="inlineStr">
        <is>
          <t>CK_SGHN</t>
        </is>
      </c>
      <c r="E4" s="2" t="n">
        <v>2.7</v>
      </c>
      <c r="F4" s="3" t="n">
        <v>100</v>
      </c>
      <c r="G4" s="2" t="inlineStr">
        <is>
          <t>Sell (repo)</t>
        </is>
      </c>
      <c r="H4" s="2" t="n">
        <v>1</v>
      </c>
      <c r="I4" s="4" t="n">
        <v>46183</v>
      </c>
      <c r="J4" s="4" t="n">
        <v>46184</v>
      </c>
      <c r="K4" s="4" t="n">
        <v>46181</v>
      </c>
      <c r="L4" s="4" t="n">
        <v>46181</v>
      </c>
      <c r="M4" s="5" t="n">
        <v>100285000000</v>
      </c>
      <c r="N4" s="5" t="n">
        <v>100293000000</v>
      </c>
      <c r="O4" s="5" t="n">
        <v>-8000000</v>
      </c>
      <c r="P4" s="3" t="n">
        <v>-8</v>
      </c>
      <c r="Q4" s="6" t="n">
        <v>-0.02911701650296655</v>
      </c>
      <c r="R4" s="2" t="inlineStr">
        <is>
          <t>am</t>
        </is>
      </c>
      <c r="S4" s="2" t="inlineStr">
        <is>
          <t>Vay tien</t>
        </is>
      </c>
      <c r="T4" s="2" t="inlineStr"/>
      <c r="U4" s="2" t="n">
        <v>3</v>
      </c>
      <c r="V4" s="2" t="n">
        <v>3</v>
      </c>
      <c r="W4" s="2" t="n">
        <v>0</v>
      </c>
      <c r="X4" s="2" t="inlineStr">
        <is>
          <t>AFS-HUONG</t>
        </is>
      </c>
      <c r="Y4" s="2" t="inlineStr">
        <is>
          <t>AFS-HUONG</t>
        </is>
      </c>
    </row>
    <row r="5">
      <c r="A5" s="2" t="n">
        <v>49950</v>
      </c>
      <c r="B5" s="2" t="n">
        <v>49951</v>
      </c>
      <c r="C5" s="2" t="inlineStr">
        <is>
          <t>TD1429095</t>
        </is>
      </c>
      <c r="D5" s="2" t="inlineStr">
        <is>
          <t>CK_SGHN</t>
        </is>
      </c>
      <c r="E5" s="2" t="n">
        <v>7</v>
      </c>
      <c r="F5" s="3" t="n">
        <v>39</v>
      </c>
      <c r="G5" s="2" t="inlineStr">
        <is>
          <t>Sell (repo)</t>
        </is>
      </c>
      <c r="H5" s="2" t="n">
        <v>1</v>
      </c>
      <c r="I5" s="4" t="n">
        <v>46183</v>
      </c>
      <c r="J5" s="4" t="n">
        <v>46184</v>
      </c>
      <c r="K5" s="4" t="n">
        <v>46181</v>
      </c>
      <c r="L5" s="4" t="n">
        <v>46181</v>
      </c>
      <c r="M5" s="5" t="n">
        <v>44404230000</v>
      </c>
      <c r="N5" s="5" t="n">
        <v>44406960000</v>
      </c>
      <c r="O5" s="5" t="n">
        <v>-2730000</v>
      </c>
      <c r="P5" s="3" t="n">
        <v>-2.73</v>
      </c>
      <c r="Q5" s="6" t="n">
        <v>-0.02244042966176871</v>
      </c>
      <c r="R5" s="2" t="inlineStr">
        <is>
          <t>am</t>
        </is>
      </c>
      <c r="S5" s="2" t="inlineStr">
        <is>
          <t>Vay tien</t>
        </is>
      </c>
      <c r="T5" s="2" t="inlineStr"/>
      <c r="U5" s="2" t="n">
        <v>3.971</v>
      </c>
      <c r="V5" s="2" t="n">
        <v>3.9725</v>
      </c>
      <c r="W5" s="2" t="n">
        <v>0.1500000000000057</v>
      </c>
      <c r="X5" s="2" t="inlineStr">
        <is>
          <t>AFS-DCM</t>
        </is>
      </c>
      <c r="Y5" s="2" t="inlineStr">
        <is>
          <t>AFS-DCM</t>
        </is>
      </c>
    </row>
    <row r="6">
      <c r="A6" s="2" t="n">
        <v>49952</v>
      </c>
      <c r="B6" s="2" t="n">
        <v>49953</v>
      </c>
      <c r="C6" s="2" t="inlineStr">
        <is>
          <t>TD1429095</t>
        </is>
      </c>
      <c r="D6" s="2" t="inlineStr">
        <is>
          <t>CK_VNDIREC</t>
        </is>
      </c>
      <c r="E6" s="2" t="n">
        <v>7</v>
      </c>
      <c r="F6" s="3" t="n">
        <v>51</v>
      </c>
      <c r="G6" s="2" t="inlineStr">
        <is>
          <t>Sell (repo)</t>
        </is>
      </c>
      <c r="H6" s="2" t="n">
        <v>1</v>
      </c>
      <c r="I6" s="4" t="n">
        <v>46183</v>
      </c>
      <c r="J6" s="4" t="n">
        <v>46184</v>
      </c>
      <c r="K6" s="4" t="n">
        <v>46181</v>
      </c>
      <c r="L6" s="4" t="n">
        <v>46181</v>
      </c>
      <c r="M6" s="5" t="n">
        <v>58067070000</v>
      </c>
      <c r="N6" s="5" t="n">
        <v>58073190000</v>
      </c>
      <c r="O6" s="5" t="n">
        <v>-6120000</v>
      </c>
      <c r="P6" s="3" t="n">
        <v>-6.12</v>
      </c>
      <c r="Q6" s="6" t="n">
        <v>-0.0384693079916035</v>
      </c>
      <c r="R6" s="2" t="inlineStr">
        <is>
          <t>am</t>
        </is>
      </c>
      <c r="S6" s="2" t="inlineStr">
        <is>
          <t>Vay tien</t>
        </is>
      </c>
      <c r="T6" s="2" t="inlineStr"/>
      <c r="U6" s="2" t="n">
        <v>3.971</v>
      </c>
      <c r="V6" s="2" t="n">
        <v>3.9711</v>
      </c>
      <c r="W6" s="2" t="n">
        <v>0.009999999999976694</v>
      </c>
      <c r="X6" s="2" t="inlineStr">
        <is>
          <t>AFS-DCM</t>
        </is>
      </c>
      <c r="Y6" s="2" t="inlineStr">
        <is>
          <t>AFS-DCM</t>
        </is>
      </c>
    </row>
    <row r="7">
      <c r="A7" s="2" t="n">
        <v>49954</v>
      </c>
      <c r="B7" s="2" t="n">
        <v>49955</v>
      </c>
      <c r="C7" s="2" t="inlineStr">
        <is>
          <t>TD2434026</t>
        </is>
      </c>
      <c r="D7" s="2" t="inlineStr">
        <is>
          <t>CK_VNDIREC</t>
        </is>
      </c>
      <c r="E7" s="2" t="n">
        <v>2.6</v>
      </c>
      <c r="F7" s="3" t="n">
        <v>150</v>
      </c>
      <c r="G7" s="2" t="inlineStr">
        <is>
          <t>Sell (repo)</t>
        </is>
      </c>
      <c r="H7" s="2" t="n">
        <v>1</v>
      </c>
      <c r="I7" s="4" t="n">
        <v>46183</v>
      </c>
      <c r="J7" s="4" t="n">
        <v>46184</v>
      </c>
      <c r="K7" s="4" t="n">
        <v>46181</v>
      </c>
      <c r="L7" s="4" t="n">
        <v>46181</v>
      </c>
      <c r="M7" s="5" t="n">
        <v>148171500000</v>
      </c>
      <c r="N7" s="5" t="n">
        <v>148123500000</v>
      </c>
      <c r="O7" s="5" t="n">
        <v>48000000</v>
      </c>
      <c r="P7" s="3" t="n">
        <v>48</v>
      </c>
      <c r="Q7" s="6" t="n">
        <v>0.1182413622052824</v>
      </c>
      <c r="R7" s="2" t="inlineStr">
        <is>
          <t>duong</t>
        </is>
      </c>
      <c r="S7" s="2" t="inlineStr">
        <is>
          <t>Cho vay bond</t>
        </is>
      </c>
      <c r="T7" s="2" t="inlineStr"/>
      <c r="U7" s="2" t="n">
        <v>3.02</v>
      </c>
      <c r="V7" s="2" t="n">
        <v>3.0256</v>
      </c>
      <c r="W7" s="2" t="n">
        <v>0.5599999999999827</v>
      </c>
      <c r="X7" s="2" t="inlineStr">
        <is>
          <t>AFS-HUONG</t>
        </is>
      </c>
      <c r="Y7" s="2" t="inlineStr">
        <is>
          <t>AFS-HUONG</t>
        </is>
      </c>
    </row>
    <row r="8">
      <c r="A8" s="2" t="n">
        <v>49956</v>
      </c>
      <c r="B8" s="2" t="n">
        <v>49957</v>
      </c>
      <c r="C8" s="2" t="inlineStr">
        <is>
          <t>TD1646503</t>
        </is>
      </c>
      <c r="D8" s="2" t="inlineStr">
        <is>
          <t>CK_VIETIN</t>
        </is>
      </c>
      <c r="E8" s="2" t="n">
        <v>7.9</v>
      </c>
      <c r="F8" s="3" t="n">
        <v>80</v>
      </c>
      <c r="G8" s="2" t="inlineStr">
        <is>
          <t>Sell (repo)</t>
        </is>
      </c>
      <c r="H8" s="2" t="n">
        <v>3</v>
      </c>
      <c r="I8" s="4" t="n">
        <v>46188</v>
      </c>
      <c r="J8" s="4" t="n">
        <v>46191</v>
      </c>
      <c r="K8" s="4" t="n">
        <v>46181</v>
      </c>
      <c r="L8" s="4" t="n">
        <v>46181</v>
      </c>
      <c r="M8" s="5" t="n">
        <v>125485600000</v>
      </c>
      <c r="N8" s="5" t="n">
        <v>125514400000</v>
      </c>
      <c r="O8" s="5" t="n">
        <v>-28800000</v>
      </c>
      <c r="P8" s="3" t="n">
        <v>-28.8</v>
      </c>
      <c r="Q8" s="6" t="n">
        <v>-0.02792352269901885</v>
      </c>
      <c r="R8" s="2" t="inlineStr">
        <is>
          <t>am</t>
        </is>
      </c>
      <c r="S8" s="2" t="inlineStr">
        <is>
          <t>Vay tien</t>
        </is>
      </c>
      <c r="T8" s="2" t="inlineStr"/>
      <c r="U8" s="2" t="n">
        <v>4.1079</v>
      </c>
      <c r="V8" s="2" t="n">
        <v>4.1088</v>
      </c>
      <c r="W8" s="2" t="n">
        <v>0.08999999999996788</v>
      </c>
      <c r="X8" s="2" t="inlineStr">
        <is>
          <t>AFS-DCM</t>
        </is>
      </c>
      <c r="Y8" s="2" t="inlineStr">
        <is>
          <t>AFS-DCM</t>
        </is>
      </c>
    </row>
    <row r="9">
      <c r="A9" s="2" t="n">
        <v>49958</v>
      </c>
      <c r="B9" s="2" t="n">
        <v>49959</v>
      </c>
      <c r="C9" s="2" t="inlineStr">
        <is>
          <t>TD2252132</t>
        </is>
      </c>
      <c r="D9" s="2" t="inlineStr">
        <is>
          <t>CK_VIETIN</t>
        </is>
      </c>
      <c r="E9" s="2" t="n">
        <v>2.9</v>
      </c>
      <c r="F9" s="3" t="n">
        <v>201</v>
      </c>
      <c r="G9" s="2" t="inlineStr">
        <is>
          <t>Sell (repo)</t>
        </is>
      </c>
      <c r="H9" s="2" t="n">
        <v>3</v>
      </c>
      <c r="I9" s="4" t="n">
        <v>46195</v>
      </c>
      <c r="J9" s="4" t="n">
        <v>46198</v>
      </c>
      <c r="K9" s="4" t="n">
        <v>46181</v>
      </c>
      <c r="L9" s="4" t="n">
        <v>46181</v>
      </c>
      <c r="M9" s="5" t="n">
        <v>160261320000</v>
      </c>
      <c r="N9" s="5" t="n">
        <v>160289460000</v>
      </c>
      <c r="O9" s="5" t="n">
        <v>-28140000</v>
      </c>
      <c r="P9" s="3" t="n">
        <v>-28.14</v>
      </c>
      <c r="Q9" s="6" t="n">
        <v>-0.02136323349888794</v>
      </c>
      <c r="R9" s="2" t="inlineStr">
        <is>
          <t>am</t>
        </is>
      </c>
      <c r="S9" s="2" t="inlineStr">
        <is>
          <t>Vay tien</t>
        </is>
      </c>
      <c r="T9" s="2" t="inlineStr"/>
      <c r="U9" s="2" t="n">
        <v>4.305</v>
      </c>
      <c r="V9" s="2" t="n">
        <v>4.306</v>
      </c>
      <c r="W9" s="2" t="n">
        <v>0.1000000000000334</v>
      </c>
      <c r="X9" s="2" t="inlineStr">
        <is>
          <t>AFS-DCM</t>
        </is>
      </c>
      <c r="Y9" s="2" t="inlineStr">
        <is>
          <t>AFS-DCM</t>
        </is>
      </c>
    </row>
    <row r="10">
      <c r="A10" s="2" t="n">
        <v>49960</v>
      </c>
      <c r="B10" s="2" t="n">
        <v>49961</v>
      </c>
      <c r="C10" s="2" t="inlineStr">
        <is>
          <t>TL1545363</t>
        </is>
      </c>
      <c r="D10" s="2" t="inlineStr">
        <is>
          <t>CK_VIETIN</t>
        </is>
      </c>
      <c r="E10" s="2" t="n">
        <v>8</v>
      </c>
      <c r="F10" s="3" t="n">
        <v>20</v>
      </c>
      <c r="G10" s="2" t="inlineStr">
        <is>
          <t>Sell (repo)</t>
        </is>
      </c>
      <c r="H10" s="2" t="n">
        <v>3</v>
      </c>
      <c r="I10" s="4" t="n">
        <v>46195</v>
      </c>
      <c r="J10" s="4" t="n">
        <v>46198</v>
      </c>
      <c r="K10" s="4" t="n">
        <v>46181</v>
      </c>
      <c r="L10" s="4" t="n">
        <v>46181</v>
      </c>
      <c r="M10" s="5" t="n">
        <v>31087600000</v>
      </c>
      <c r="N10" s="5" t="n">
        <v>31103200000</v>
      </c>
      <c r="O10" s="5" t="n">
        <v>-15600000</v>
      </c>
      <c r="P10" s="3" t="n">
        <v>-15.6</v>
      </c>
      <c r="Q10" s="6" t="n">
        <v>-0.06105328169430899</v>
      </c>
      <c r="R10" s="2" t="inlineStr">
        <is>
          <t>am</t>
        </is>
      </c>
      <c r="S10" s="2" t="inlineStr">
        <is>
          <t>Vay tien</t>
        </is>
      </c>
      <c r="T10" s="2" t="inlineStr"/>
      <c r="U10" s="2" t="n">
        <v>4.1027</v>
      </c>
      <c r="V10" s="2" t="n">
        <v>4.1012</v>
      </c>
      <c r="W10" s="2" t="n">
        <v>-0.1499999999999169</v>
      </c>
      <c r="X10" s="2" t="inlineStr">
        <is>
          <t>AFS-DCM</t>
        </is>
      </c>
      <c r="Y10" s="2" t="inlineStr">
        <is>
          <t>AFS-DCM</t>
        </is>
      </c>
    </row>
    <row r="11">
      <c r="A11" s="2" t="n">
        <v>49962</v>
      </c>
      <c r="B11" s="2" t="n">
        <v>49963</v>
      </c>
      <c r="C11" s="2" t="inlineStr">
        <is>
          <t>TD2050035</t>
        </is>
      </c>
      <c r="D11" s="2" t="inlineStr">
        <is>
          <t>CK_VNDIREC</t>
        </is>
      </c>
      <c r="E11" s="2" t="n">
        <v>3.8</v>
      </c>
      <c r="F11" s="3" t="n">
        <v>270</v>
      </c>
      <c r="G11" s="2" t="inlineStr">
        <is>
          <t>Sell (repo)</t>
        </is>
      </c>
      <c r="H11" s="2" t="n">
        <v>1</v>
      </c>
      <c r="I11" s="4" t="n">
        <v>46184</v>
      </c>
      <c r="J11" s="4" t="n">
        <v>46185</v>
      </c>
      <c r="K11" s="4" t="n">
        <v>46181</v>
      </c>
      <c r="L11" s="4" t="n">
        <v>46181</v>
      </c>
      <c r="M11" s="5" t="n">
        <v>246912300000</v>
      </c>
      <c r="N11" s="5" t="n">
        <v>246863700000</v>
      </c>
      <c r="O11" s="5" t="n">
        <v>48600000</v>
      </c>
      <c r="P11" s="3" t="n">
        <v>48.6</v>
      </c>
      <c r="Q11" s="6" t="n">
        <v>0.07184332250762721</v>
      </c>
      <c r="R11" s="2" t="inlineStr">
        <is>
          <t>duong</t>
        </is>
      </c>
      <c r="S11" s="2" t="inlineStr">
        <is>
          <t>Cho vay bond</t>
        </is>
      </c>
      <c r="T11" s="2" t="inlineStr"/>
      <c r="U11" s="2" t="n">
        <v>4.5</v>
      </c>
      <c r="V11" s="2" t="n">
        <v>4.5022</v>
      </c>
      <c r="W11" s="2" t="n">
        <v>0.2200000000000202</v>
      </c>
      <c r="X11" s="2" t="inlineStr">
        <is>
          <t>AFS-DCM</t>
        </is>
      </c>
      <c r="Y11" s="2" t="inlineStr">
        <is>
          <t>AFS-DCM</t>
        </is>
      </c>
    </row>
    <row r="12">
      <c r="A12" s="2" t="n">
        <v>49972</v>
      </c>
      <c r="B12" s="2" t="n">
        <v>49973</v>
      </c>
      <c r="C12" s="2" t="inlineStr">
        <is>
          <t>TD2434024</t>
        </is>
      </c>
      <c r="D12" s="2" t="inlineStr">
        <is>
          <t>CK_VFS</t>
        </is>
      </c>
      <c r="E12" s="2" t="n">
        <v>2.7</v>
      </c>
      <c r="F12" s="3" t="n">
        <v>100</v>
      </c>
      <c r="G12" s="2" t="inlineStr">
        <is>
          <t>Sell (repo)</t>
        </is>
      </c>
      <c r="H12" s="2" t="n">
        <v>3</v>
      </c>
      <c r="I12" s="4" t="n">
        <v>46185</v>
      </c>
      <c r="J12" s="4" t="n">
        <v>46188</v>
      </c>
      <c r="K12" s="4" t="n">
        <v>46182</v>
      </c>
      <c r="L12" s="4" t="n">
        <v>46182</v>
      </c>
      <c r="M12" s="5" t="n">
        <v>100301000000</v>
      </c>
      <c r="N12" s="5" t="n">
        <v>100281000000</v>
      </c>
      <c r="O12" s="5" t="n">
        <v>20000000</v>
      </c>
      <c r="P12" s="3" t="n">
        <v>20</v>
      </c>
      <c r="Q12" s="6" t="n">
        <v>0.02426030980083282</v>
      </c>
      <c r="R12" s="2" t="inlineStr">
        <is>
          <t>duong</t>
        </is>
      </c>
      <c r="S12" s="2" t="inlineStr">
        <is>
          <t>Cho vay bond</t>
        </is>
      </c>
      <c r="T12" s="2" t="inlineStr"/>
      <c r="U12" s="2" t="n">
        <v>3</v>
      </c>
      <c r="V12" s="2" t="n">
        <v>3.0064</v>
      </c>
      <c r="W12" s="2" t="n">
        <v>0.6400000000000183</v>
      </c>
      <c r="X12" s="2" t="inlineStr">
        <is>
          <t>AFS-HUONG</t>
        </is>
      </c>
      <c r="Y12" s="2" t="inlineStr">
        <is>
          <t>AFS-HUONG</t>
        </is>
      </c>
    </row>
    <row r="13">
      <c r="A13" s="2" t="n">
        <v>49974</v>
      </c>
      <c r="B13" s="2" t="n">
        <v>49975</v>
      </c>
      <c r="C13" s="2" t="inlineStr">
        <is>
          <t>TD2333117</t>
        </is>
      </c>
      <c r="D13" s="2" t="inlineStr">
        <is>
          <t>CK_VIETCAP</t>
        </is>
      </c>
      <c r="E13" s="2" t="n">
        <v>4.2</v>
      </c>
      <c r="F13" s="3" t="n">
        <v>100</v>
      </c>
      <c r="G13" s="2" t="inlineStr">
        <is>
          <t>Sell (repo)</t>
        </is>
      </c>
      <c r="H13" s="2" t="n">
        <v>1</v>
      </c>
      <c r="I13" s="4" t="n">
        <v>46189</v>
      </c>
      <c r="J13" s="4" t="n">
        <v>46190</v>
      </c>
      <c r="K13" s="4" t="n">
        <v>46183</v>
      </c>
      <c r="L13" s="4" t="n">
        <v>46183</v>
      </c>
      <c r="M13" s="5" t="n">
        <v>108897000000</v>
      </c>
      <c r="N13" s="5" t="n">
        <v>108720000000</v>
      </c>
      <c r="O13" s="5" t="n">
        <v>177000000</v>
      </c>
      <c r="P13" s="3" t="n">
        <v>177</v>
      </c>
      <c r="Q13" s="6" t="n">
        <v>0.5932670321496459</v>
      </c>
      <c r="R13" s="2" t="inlineStr">
        <is>
          <t>duong</t>
        </is>
      </c>
      <c r="S13" s="2" t="inlineStr">
        <is>
          <t>Cho vay bond</t>
        </is>
      </c>
      <c r="T13" s="2" t="inlineStr"/>
      <c r="U13" s="2" t="n">
        <v>2.96</v>
      </c>
      <c r="V13" s="2" t="n">
        <v>2.99</v>
      </c>
      <c r="W13" s="2" t="n">
        <v>3.000000000000025</v>
      </c>
      <c r="X13" s="2" t="inlineStr">
        <is>
          <t>AFS-DCM</t>
        </is>
      </c>
      <c r="Y13" s="2" t="inlineStr">
        <is>
          <t>AFS-DCM</t>
        </is>
      </c>
    </row>
    <row r="14">
      <c r="A14" s="2" t="n">
        <v>49976</v>
      </c>
      <c r="B14" s="2" t="n">
        <v>49977</v>
      </c>
      <c r="C14" s="2" t="inlineStr">
        <is>
          <t>TD2333121</t>
        </is>
      </c>
      <c r="D14" s="2" t="inlineStr">
        <is>
          <t>CK_VIETCAP</t>
        </is>
      </c>
      <c r="E14" s="2" t="n">
        <v>2.3</v>
      </c>
      <c r="F14" s="3" t="n">
        <v>200</v>
      </c>
      <c r="G14" s="2" t="inlineStr">
        <is>
          <t>Sell (repo)</t>
        </is>
      </c>
      <c r="H14" s="2" t="n">
        <v>1</v>
      </c>
      <c r="I14" s="4" t="n">
        <v>46189</v>
      </c>
      <c r="J14" s="4" t="n">
        <v>46190</v>
      </c>
      <c r="K14" s="4" t="n">
        <v>46183</v>
      </c>
      <c r="L14" s="4" t="n">
        <v>46183</v>
      </c>
      <c r="M14" s="5" t="n">
        <v>193830000000</v>
      </c>
      <c r="N14" s="5" t="n">
        <v>193846000000</v>
      </c>
      <c r="O14" s="5" t="n">
        <v>-16000000</v>
      </c>
      <c r="P14" s="3" t="n">
        <v>-16</v>
      </c>
      <c r="Q14" s="6" t="n">
        <v>-0.03012949491822731</v>
      </c>
      <c r="R14" s="2" t="inlineStr">
        <is>
          <t>am</t>
        </is>
      </c>
      <c r="S14" s="2" t="inlineStr">
        <is>
          <t>Vay tien</t>
        </is>
      </c>
      <c r="T14" s="2" t="inlineStr"/>
      <c r="U14" s="2" t="n">
        <v>3.05</v>
      </c>
      <c r="V14" s="2" t="n">
        <v>3.05</v>
      </c>
      <c r="W14" s="2" t="n">
        <v>0</v>
      </c>
      <c r="X14" s="2" t="inlineStr">
        <is>
          <t>AFS-DCM</t>
        </is>
      </c>
      <c r="Y14" s="2" t="inlineStr">
        <is>
          <t>AFS-DCM</t>
        </is>
      </c>
    </row>
    <row r="15">
      <c r="A15" s="2" t="n">
        <v>49978</v>
      </c>
      <c r="B15" s="2" t="n">
        <v>49979</v>
      </c>
      <c r="C15" s="2" t="inlineStr">
        <is>
          <t>TD2333120</t>
        </is>
      </c>
      <c r="D15" s="2" t="inlineStr">
        <is>
          <t>CK_VIETCAP</t>
        </is>
      </c>
      <c r="E15" s="2" t="n">
        <v>2.4</v>
      </c>
      <c r="F15" s="3" t="n">
        <v>200</v>
      </c>
      <c r="G15" s="2" t="inlineStr">
        <is>
          <t>Sell (repo)</t>
        </is>
      </c>
      <c r="H15" s="2" t="n">
        <v>1</v>
      </c>
      <c r="I15" s="4" t="n">
        <v>46189</v>
      </c>
      <c r="J15" s="4" t="n">
        <v>46190</v>
      </c>
      <c r="K15" s="4" t="n">
        <v>46183</v>
      </c>
      <c r="L15" s="4" t="n">
        <v>46183</v>
      </c>
      <c r="M15" s="5" t="n">
        <v>197004000000</v>
      </c>
      <c r="N15" s="5" t="n">
        <v>197020000000</v>
      </c>
      <c r="O15" s="5" t="n">
        <v>-16000000</v>
      </c>
      <c r="P15" s="3" t="n">
        <v>-16</v>
      </c>
      <c r="Q15" s="6" t="n">
        <v>-0.02964406814074841</v>
      </c>
      <c r="R15" s="2" t="inlineStr">
        <is>
          <t>am</t>
        </is>
      </c>
      <c r="S15" s="2" t="inlineStr">
        <is>
          <t>Vay tien</t>
        </is>
      </c>
      <c r="T15" s="2" t="inlineStr"/>
      <c r="U15" s="2" t="n">
        <v>3</v>
      </c>
      <c r="V15" s="2" t="n">
        <v>3</v>
      </c>
      <c r="W15" s="2" t="n">
        <v>0</v>
      </c>
      <c r="X15" s="2" t="inlineStr">
        <is>
          <t>AFS-DCM</t>
        </is>
      </c>
      <c r="Y15" s="2" t="inlineStr">
        <is>
          <t>AFS-DCM</t>
        </is>
      </c>
    </row>
    <row r="16">
      <c r="A16" s="2" t="n">
        <v>49980</v>
      </c>
      <c r="B16" s="2" t="n">
        <v>49981</v>
      </c>
      <c r="C16" s="2" t="inlineStr">
        <is>
          <t>TD1934188</t>
        </is>
      </c>
      <c r="D16" s="2" t="inlineStr">
        <is>
          <t>CK_VIETCAP</t>
        </is>
      </c>
      <c r="E16" s="2" t="n">
        <v>5</v>
      </c>
      <c r="F16" s="3" t="n">
        <v>50</v>
      </c>
      <c r="G16" s="2" t="inlineStr">
        <is>
          <t>Sell (repo)</t>
        </is>
      </c>
      <c r="H16" s="2" t="n">
        <v>1</v>
      </c>
      <c r="I16" s="4" t="n">
        <v>46189</v>
      </c>
      <c r="J16" s="4" t="n">
        <v>46190</v>
      </c>
      <c r="K16" s="4" t="n">
        <v>46183</v>
      </c>
      <c r="L16" s="4" t="n">
        <v>46183</v>
      </c>
      <c r="M16" s="5" t="n">
        <v>57006500000</v>
      </c>
      <c r="N16" s="5" t="n">
        <v>57010500000</v>
      </c>
      <c r="O16" s="5" t="n">
        <v>-4000000</v>
      </c>
      <c r="P16" s="3" t="n">
        <v>-4</v>
      </c>
      <c r="Q16" s="6" t="n">
        <v>-0.02561111452202819</v>
      </c>
      <c r="R16" s="2" t="inlineStr">
        <is>
          <t>am</t>
        </is>
      </c>
      <c r="S16" s="2" t="inlineStr">
        <is>
          <t>Vay tien</t>
        </is>
      </c>
      <c r="T16" s="2" t="inlineStr"/>
      <c r="U16" s="2" t="n">
        <v>3.15</v>
      </c>
      <c r="V16" s="2" t="n">
        <v>3.1503</v>
      </c>
      <c r="W16" s="2" t="n">
        <v>0.0300000000000189</v>
      </c>
      <c r="X16" s="2" t="inlineStr">
        <is>
          <t>AFS-DCM</t>
        </is>
      </c>
      <c r="Y16" s="2" t="inlineStr">
        <is>
          <t>AFS-DCM</t>
        </is>
      </c>
    </row>
    <row r="17">
      <c r="A17" s="2" t="n">
        <v>49982</v>
      </c>
      <c r="B17" s="2" t="n">
        <v>49983</v>
      </c>
      <c r="C17" s="2" t="inlineStr">
        <is>
          <t>TD1934189</t>
        </is>
      </c>
      <c r="D17" s="2" t="inlineStr">
        <is>
          <t>CK_VIETCAP</t>
        </is>
      </c>
      <c r="E17" s="2" t="n">
        <v>5.1</v>
      </c>
      <c r="F17" s="3" t="n">
        <v>150</v>
      </c>
      <c r="G17" s="2" t="inlineStr">
        <is>
          <t>Sell (repo)</t>
        </is>
      </c>
      <c r="H17" s="2" t="n">
        <v>1</v>
      </c>
      <c r="I17" s="4" t="n">
        <v>46189</v>
      </c>
      <c r="J17" s="4" t="n">
        <v>46190</v>
      </c>
      <c r="K17" s="4" t="n">
        <v>46183</v>
      </c>
      <c r="L17" s="4" t="n">
        <v>46183</v>
      </c>
      <c r="M17" s="5" t="n">
        <v>172810500000</v>
      </c>
      <c r="N17" s="5" t="n">
        <v>172825500000</v>
      </c>
      <c r="O17" s="5" t="n">
        <v>-15000000</v>
      </c>
      <c r="P17" s="3" t="n">
        <v>-15</v>
      </c>
      <c r="Q17" s="6" t="n">
        <v>-0.03168210265001259</v>
      </c>
      <c r="R17" s="2" t="inlineStr">
        <is>
          <t>am</t>
        </is>
      </c>
      <c r="S17" s="2" t="inlineStr">
        <is>
          <t>Vay tien</t>
        </is>
      </c>
      <c r="T17" s="2" t="inlineStr"/>
      <c r="U17" s="2" t="n">
        <v>3.12</v>
      </c>
      <c r="V17" s="2" t="n">
        <v>3.12</v>
      </c>
      <c r="W17" s="2" t="n">
        <v>0</v>
      </c>
      <c r="X17" s="2" t="inlineStr">
        <is>
          <t>AFS-HUY</t>
        </is>
      </c>
      <c r="Y17" s="2" t="inlineStr">
        <is>
          <t>AFS-HUONG</t>
        </is>
      </c>
    </row>
    <row r="18">
      <c r="A18" s="2" t="n">
        <v>49984</v>
      </c>
      <c r="B18" s="2" t="n">
        <v>49985</v>
      </c>
      <c r="C18" s="2" t="inlineStr">
        <is>
          <t>TD2252132</t>
        </is>
      </c>
      <c r="D18" s="2" t="inlineStr">
        <is>
          <t>CK_VIETCAP</t>
        </is>
      </c>
      <c r="E18" s="2" t="n">
        <v>2.9</v>
      </c>
      <c r="F18" s="3" t="n">
        <v>112</v>
      </c>
      <c r="G18" s="2" t="inlineStr">
        <is>
          <t>Sell (repo)</t>
        </is>
      </c>
      <c r="H18" s="2" t="n">
        <v>1</v>
      </c>
      <c r="I18" s="4" t="n">
        <v>46189</v>
      </c>
      <c r="J18" s="4" t="n">
        <v>46190</v>
      </c>
      <c r="K18" s="4" t="n">
        <v>46183</v>
      </c>
      <c r="L18" s="4" t="n">
        <v>46183</v>
      </c>
      <c r="M18" s="5" t="n">
        <v>86448320000</v>
      </c>
      <c r="N18" s="5" t="n">
        <v>86451680000</v>
      </c>
      <c r="O18" s="5" t="n">
        <v>-3360000</v>
      </c>
      <c r="P18" s="3" t="n">
        <v>-3.36</v>
      </c>
      <c r="Q18" s="6" t="n">
        <v>-0.01418651050708678</v>
      </c>
      <c r="R18" s="2" t="inlineStr">
        <is>
          <t>am</t>
        </is>
      </c>
      <c r="S18" s="2" t="inlineStr">
        <is>
          <t>Vay tien</t>
        </is>
      </c>
      <c r="T18" s="2" t="inlineStr"/>
      <c r="U18" s="2" t="n">
        <v>4.5</v>
      </c>
      <c r="V18" s="2" t="n">
        <v>4.5005</v>
      </c>
      <c r="W18" s="2" t="n">
        <v>0.04999999999997229</v>
      </c>
      <c r="X18" s="2" t="inlineStr">
        <is>
          <t>AFS-DCM</t>
        </is>
      </c>
      <c r="Y18" s="2" t="inlineStr">
        <is>
          <t>AFS-DCM</t>
        </is>
      </c>
    </row>
    <row r="19">
      <c r="A19" s="2" t="n">
        <v>49986</v>
      </c>
      <c r="B19" s="2" t="n">
        <v>49987</v>
      </c>
      <c r="C19" s="2" t="inlineStr">
        <is>
          <t>TD2434022</t>
        </is>
      </c>
      <c r="D19" s="2" t="inlineStr">
        <is>
          <t>CK_LPBS</t>
        </is>
      </c>
      <c r="E19" s="2" t="n">
        <v>2.7</v>
      </c>
      <c r="F19" s="3" t="n">
        <v>300</v>
      </c>
      <c r="G19" s="2" t="inlineStr">
        <is>
          <t>Sell (repo)</t>
        </is>
      </c>
      <c r="H19" s="2" t="n">
        <v>3</v>
      </c>
      <c r="I19" s="4" t="n">
        <v>46185</v>
      </c>
      <c r="J19" s="4" t="n">
        <v>46188</v>
      </c>
      <c r="K19" s="4" t="n">
        <v>46183</v>
      </c>
      <c r="L19" s="4" t="n">
        <v>46183</v>
      </c>
      <c r="M19" s="5" t="n">
        <v>301170000000</v>
      </c>
      <c r="N19" s="5" t="n">
        <v>301131000000</v>
      </c>
      <c r="O19" s="5" t="n">
        <v>39000000</v>
      </c>
      <c r="P19" s="3" t="n">
        <v>39</v>
      </c>
      <c r="Q19" s="6" t="n">
        <v>0.01575522130358269</v>
      </c>
      <c r="R19" s="2" t="inlineStr">
        <is>
          <t>duong</t>
        </is>
      </c>
      <c r="S19" s="2" t="inlineStr">
        <is>
          <t>Cho vay bond</t>
        </is>
      </c>
      <c r="T19" s="2" t="inlineStr"/>
      <c r="U19" s="2" t="n">
        <v>3.02</v>
      </c>
      <c r="V19" s="2" t="n">
        <v>3.0255</v>
      </c>
      <c r="W19" s="2" t="n">
        <v>0.550000000000006</v>
      </c>
      <c r="X19" s="2" t="inlineStr">
        <is>
          <t>AFS-DCM</t>
        </is>
      </c>
      <c r="Y19" s="2" t="inlineStr">
        <is>
          <t>AFS-DCM</t>
        </is>
      </c>
    </row>
    <row r="20">
      <c r="A20" s="2" t="n">
        <v>49988</v>
      </c>
      <c r="B20" s="2" t="n">
        <v>49989</v>
      </c>
      <c r="C20" s="2" t="inlineStr">
        <is>
          <t>TD2434023</t>
        </is>
      </c>
      <c r="D20" s="2" t="inlineStr">
        <is>
          <t>CK_LPBS</t>
        </is>
      </c>
      <c r="E20" s="2" t="n">
        <v>2.7</v>
      </c>
      <c r="F20" s="3" t="n">
        <v>250</v>
      </c>
      <c r="G20" s="2" t="inlineStr">
        <is>
          <t>Sell (repo)</t>
        </is>
      </c>
      <c r="H20" s="2" t="n">
        <v>3</v>
      </c>
      <c r="I20" s="4" t="n">
        <v>46185</v>
      </c>
      <c r="J20" s="4" t="n">
        <v>46188</v>
      </c>
      <c r="K20" s="4" t="n">
        <v>46183</v>
      </c>
      <c r="L20" s="4" t="n">
        <v>46183</v>
      </c>
      <c r="M20" s="5" t="n">
        <v>250515000000</v>
      </c>
      <c r="N20" s="5" t="n">
        <v>250460000000</v>
      </c>
      <c r="O20" s="5" t="n">
        <v>55000000</v>
      </c>
      <c r="P20" s="3" t="n">
        <v>55</v>
      </c>
      <c r="Q20" s="6" t="n">
        <v>0.02671164068685175</v>
      </c>
      <c r="R20" s="2" t="inlineStr">
        <is>
          <t>duong</t>
        </is>
      </c>
      <c r="S20" s="2" t="inlineStr">
        <is>
          <t>Cho vay bond</t>
        </is>
      </c>
      <c r="T20" s="2" t="inlineStr"/>
      <c r="U20" s="2" t="n">
        <v>3.03</v>
      </c>
      <c r="V20" s="2" t="n">
        <v>3.0367</v>
      </c>
      <c r="W20" s="2" t="n">
        <v>0.6700000000000372</v>
      </c>
      <c r="X20" s="2" t="inlineStr">
        <is>
          <t>AFS-DCM</t>
        </is>
      </c>
      <c r="Y20" s="2" t="inlineStr">
        <is>
          <t>AFS-HUONG</t>
        </is>
      </c>
    </row>
    <row r="21">
      <c r="A21" s="2" t="n">
        <v>49992</v>
      </c>
      <c r="B21" s="2" t="n">
        <v>49993</v>
      </c>
      <c r="C21" s="2" t="inlineStr">
        <is>
          <t>TD2353151</t>
        </is>
      </c>
      <c r="D21" s="2" t="inlineStr">
        <is>
          <t>CK_LPBS</t>
        </is>
      </c>
      <c r="E21" s="2" t="n">
        <v>4.2</v>
      </c>
      <c r="F21" s="3" t="n">
        <v>70</v>
      </c>
      <c r="G21" s="2" t="inlineStr">
        <is>
          <t>Sell (repo)</t>
        </is>
      </c>
      <c r="H21" s="2" t="n">
        <v>3</v>
      </c>
      <c r="I21" s="4" t="n">
        <v>46185</v>
      </c>
      <c r="J21" s="4" t="n">
        <v>46188</v>
      </c>
      <c r="K21" s="4" t="n">
        <v>46184</v>
      </c>
      <c r="L21" s="4" t="n">
        <v>46184</v>
      </c>
      <c r="M21" s="5" t="n">
        <v>72918300000</v>
      </c>
      <c r="N21" s="5" t="n">
        <v>72888900000</v>
      </c>
      <c r="O21" s="5" t="n">
        <v>29400000</v>
      </c>
      <c r="P21" s="3" t="n">
        <v>29.4</v>
      </c>
      <c r="Q21" s="6" t="n">
        <v>0.0490549011702138</v>
      </c>
      <c r="R21" s="2" t="inlineStr">
        <is>
          <t>duong</t>
        </is>
      </c>
      <c r="S21" s="2" t="inlineStr">
        <is>
          <t>Cho vay bond</t>
        </is>
      </c>
      <c r="T21" s="2" t="inlineStr"/>
      <c r="U21" s="2" t="n">
        <v>4</v>
      </c>
      <c r="V21" s="2" t="n">
        <v>4.0045</v>
      </c>
      <c r="W21" s="2" t="n">
        <v>0.4500000000000171</v>
      </c>
      <c r="X21" s="2" t="inlineStr">
        <is>
          <t>AFS-DCM</t>
        </is>
      </c>
      <c r="Y21" s="2" t="inlineStr">
        <is>
          <t>AFS-DCM</t>
        </is>
      </c>
    </row>
    <row r="22">
      <c r="A22" s="2" t="n">
        <v>49994</v>
      </c>
      <c r="B22" s="2" t="n">
        <v>49995</v>
      </c>
      <c r="C22" s="2" t="inlineStr">
        <is>
          <t>TD2454043</t>
        </is>
      </c>
      <c r="D22" s="2" t="inlineStr">
        <is>
          <t>CK_VIETIN</t>
        </is>
      </c>
      <c r="E22" s="2" t="n">
        <v>2.8</v>
      </c>
      <c r="F22" s="3" t="n">
        <v>155</v>
      </c>
      <c r="G22" s="2" t="inlineStr">
        <is>
          <t>Sell (repo)</t>
        </is>
      </c>
      <c r="H22" s="2" t="n">
        <v>3</v>
      </c>
      <c r="I22" s="4" t="n">
        <v>46202</v>
      </c>
      <c r="J22" s="4" t="n">
        <v>46205</v>
      </c>
      <c r="K22" s="4" t="n">
        <v>46184</v>
      </c>
      <c r="L22" s="4" t="n">
        <v>46184</v>
      </c>
      <c r="M22" s="5" t="n">
        <v>116547600000</v>
      </c>
      <c r="N22" s="5" t="n">
        <v>116578600000</v>
      </c>
      <c r="O22" s="5" t="n">
        <v>-31000000</v>
      </c>
      <c r="P22" s="3" t="n">
        <v>-31</v>
      </c>
      <c r="Q22" s="6" t="n">
        <v>-0.03236159875164024</v>
      </c>
      <c r="R22" s="2" t="inlineStr">
        <is>
          <t>am</t>
        </is>
      </c>
      <c r="S22" s="2" t="inlineStr">
        <is>
          <t>Vay tien</t>
        </is>
      </c>
      <c r="T22" s="2" t="inlineStr"/>
      <c r="U22" s="2" t="n">
        <v>4.46</v>
      </c>
      <c r="V22" s="2" t="n">
        <v>4.4605</v>
      </c>
      <c r="W22" s="2" t="n">
        <v>0.04999999999997229</v>
      </c>
      <c r="X22" s="2" t="inlineStr">
        <is>
          <t>AFS-DCM</t>
        </is>
      </c>
      <c r="Y22" s="2" t="inlineStr">
        <is>
          <t>AFS-DCM</t>
        </is>
      </c>
    </row>
    <row r="23">
      <c r="A23" s="2" t="n">
        <v>49996</v>
      </c>
      <c r="B23" s="2" t="n">
        <v>49997</v>
      </c>
      <c r="C23" s="2" t="inlineStr">
        <is>
          <t>TD2252132</t>
        </is>
      </c>
      <c r="D23" s="2" t="inlineStr">
        <is>
          <t>CK_VIETIN</t>
        </is>
      </c>
      <c r="E23" s="2" t="n">
        <v>2.9</v>
      </c>
      <c r="F23" s="3" t="n">
        <v>201</v>
      </c>
      <c r="G23" s="2" t="inlineStr">
        <is>
          <t>Sell (repo)</t>
        </is>
      </c>
      <c r="H23" s="2" t="n">
        <v>3</v>
      </c>
      <c r="I23" s="4" t="n">
        <v>46202</v>
      </c>
      <c r="J23" s="4" t="n">
        <v>46205</v>
      </c>
      <c r="K23" s="4" t="n">
        <v>46184</v>
      </c>
      <c r="L23" s="4" t="n">
        <v>46184</v>
      </c>
      <c r="M23" s="5" t="n">
        <v>160363830000</v>
      </c>
      <c r="N23" s="5" t="n">
        <v>160395990000</v>
      </c>
      <c r="O23" s="5" t="n">
        <v>-32160000</v>
      </c>
      <c r="P23" s="3" t="n">
        <v>-32.16</v>
      </c>
      <c r="Q23" s="6" t="n">
        <v>-0.02439951702325892</v>
      </c>
      <c r="R23" s="2" t="inlineStr">
        <is>
          <t>am</t>
        </is>
      </c>
      <c r="S23" s="2" t="inlineStr">
        <is>
          <t>Vay tien</t>
        </is>
      </c>
      <c r="T23" s="2" t="inlineStr"/>
      <c r="U23" s="2" t="n">
        <v>4.306</v>
      </c>
      <c r="V23" s="2" t="n">
        <v>4.3069</v>
      </c>
      <c r="W23" s="2" t="n">
        <v>0.08999999999996788</v>
      </c>
      <c r="X23" s="2" t="inlineStr">
        <is>
          <t>AFS-DCM</t>
        </is>
      </c>
      <c r="Y23" s="2" t="inlineStr">
        <is>
          <t>AFS-DCM</t>
        </is>
      </c>
    </row>
    <row r="24">
      <c r="A24" s="2" t="n">
        <v>49998</v>
      </c>
      <c r="B24" s="2" t="n">
        <v>49999</v>
      </c>
      <c r="C24" s="2" t="inlineStr">
        <is>
          <t>TD1934188</t>
        </is>
      </c>
      <c r="D24" s="2" t="inlineStr">
        <is>
          <t>CK_VIETIN</t>
        </is>
      </c>
      <c r="E24" s="2" t="n">
        <v>5</v>
      </c>
      <c r="F24" s="3" t="n">
        <v>50</v>
      </c>
      <c r="G24" s="2" t="inlineStr">
        <is>
          <t>Sell (repo)</t>
        </is>
      </c>
      <c r="H24" s="2" t="n">
        <v>5</v>
      </c>
      <c r="I24" s="4" t="n">
        <v>46191</v>
      </c>
      <c r="J24" s="4" t="n">
        <v>46196</v>
      </c>
      <c r="K24" s="4" t="n">
        <v>46184</v>
      </c>
      <c r="L24" s="4" t="n">
        <v>46184</v>
      </c>
      <c r="M24" s="5" t="n">
        <v>57016500000</v>
      </c>
      <c r="N24" s="5" t="n">
        <v>57026500000</v>
      </c>
      <c r="O24" s="5" t="n">
        <v>-10000000</v>
      </c>
      <c r="P24" s="3" t="n">
        <v>-10</v>
      </c>
      <c r="Q24" s="6" t="n">
        <v>-0.01280331132216113</v>
      </c>
      <c r="R24" s="2" t="inlineStr">
        <is>
          <t>am</t>
        </is>
      </c>
      <c r="S24" s="2" t="inlineStr">
        <is>
          <t>Vay tien</t>
        </is>
      </c>
      <c r="T24" s="2" t="inlineStr"/>
      <c r="U24" s="2" t="n">
        <v>3.15</v>
      </c>
      <c r="V24" s="2" t="n">
        <v>3.1539</v>
      </c>
      <c r="W24" s="2" t="n">
        <v>0.3900000000000237</v>
      </c>
      <c r="X24" s="2" t="inlineStr">
        <is>
          <t>AFS-DCM</t>
        </is>
      </c>
      <c r="Y24" s="2" t="inlineStr">
        <is>
          <t>AFS-DCM</t>
        </is>
      </c>
    </row>
    <row r="25">
      <c r="A25" s="2" t="n">
        <v>50000</v>
      </c>
      <c r="B25" s="2" t="n">
        <v>50001</v>
      </c>
      <c r="C25" s="2" t="inlineStr">
        <is>
          <t>TD2434026</t>
        </is>
      </c>
      <c r="D25" s="2" t="inlineStr">
        <is>
          <t>CK_VNDIREC</t>
        </is>
      </c>
      <c r="E25" s="2" t="n">
        <v>2.6</v>
      </c>
      <c r="F25" s="3" t="n">
        <v>150</v>
      </c>
      <c r="G25" s="2" t="inlineStr">
        <is>
          <t>Sell (repo)</t>
        </is>
      </c>
      <c r="H25" s="2" t="n">
        <v>1</v>
      </c>
      <c r="I25" s="4" t="n">
        <v>46188</v>
      </c>
      <c r="J25" s="4" t="n">
        <v>46189</v>
      </c>
      <c r="K25" s="4" t="n">
        <v>46185</v>
      </c>
      <c r="L25" s="4" t="n">
        <v>46185</v>
      </c>
      <c r="M25" s="5" t="n">
        <v>148125000000</v>
      </c>
      <c r="N25" s="5" t="n">
        <v>148038000000</v>
      </c>
      <c r="O25" s="5" t="n">
        <v>87000000</v>
      </c>
      <c r="P25" s="3" t="n">
        <v>87</v>
      </c>
      <c r="Q25" s="6" t="n">
        <v>0.214379746835443</v>
      </c>
      <c r="R25" s="2" t="inlineStr">
        <is>
          <t>duong</t>
        </is>
      </c>
      <c r="S25" s="2" t="inlineStr">
        <is>
          <t>Cho vay bond</t>
        </is>
      </c>
      <c r="T25" s="2" t="inlineStr"/>
      <c r="U25" s="2" t="n">
        <v>3.03</v>
      </c>
      <c r="V25" s="2" t="n">
        <v>3.0393</v>
      </c>
      <c r="W25" s="2" t="n">
        <v>0.9300000000000086</v>
      </c>
      <c r="X25" s="2" t="inlineStr">
        <is>
          <t>AFS-HUONG</t>
        </is>
      </c>
      <c r="Y25" s="2" t="inlineStr">
        <is>
          <t>AFS-HUONG</t>
        </is>
      </c>
    </row>
    <row r="26">
      <c r="A26" s="2" t="n">
        <v>50002</v>
      </c>
      <c r="B26" s="2" t="n">
        <v>50003</v>
      </c>
      <c r="C26" s="2" t="inlineStr">
        <is>
          <t>TD2535023</t>
        </is>
      </c>
      <c r="D26" s="2" t="inlineStr">
        <is>
          <t>CK_VNDIREC</t>
        </is>
      </c>
      <c r="E26" s="2" t="n">
        <v>2.9</v>
      </c>
      <c r="F26" s="3" t="n">
        <v>150</v>
      </c>
      <c r="G26" s="2" t="inlineStr">
        <is>
          <t>Sell (repo)</t>
        </is>
      </c>
      <c r="H26" s="2" t="n">
        <v>1</v>
      </c>
      <c r="I26" s="4" t="n">
        <v>46188</v>
      </c>
      <c r="J26" s="4" t="n">
        <v>46189</v>
      </c>
      <c r="K26" s="4" t="n">
        <v>46185</v>
      </c>
      <c r="L26" s="4" t="n">
        <v>46185</v>
      </c>
      <c r="M26" s="5" t="n">
        <v>144618000000</v>
      </c>
      <c r="N26" s="5" t="n">
        <v>144631500000</v>
      </c>
      <c r="O26" s="5" t="n">
        <v>-13500000</v>
      </c>
      <c r="P26" s="3" t="n">
        <v>-13.5</v>
      </c>
      <c r="Q26" s="6" t="n">
        <v>-0.03407252209268556</v>
      </c>
      <c r="R26" s="2" t="inlineStr">
        <is>
          <t>am</t>
        </is>
      </c>
      <c r="S26" s="2" t="inlineStr">
        <is>
          <t>Vay tien</t>
        </is>
      </c>
      <c r="T26" s="2" t="inlineStr"/>
      <c r="U26" s="2" t="n">
        <v>3.5</v>
      </c>
      <c r="V26" s="2" t="n">
        <v>3.5</v>
      </c>
      <c r="W26" s="2" t="n">
        <v>0</v>
      </c>
      <c r="X26" s="2" t="inlineStr">
        <is>
          <t>AFS-DCM</t>
        </is>
      </c>
      <c r="Y26" s="2" t="inlineStr">
        <is>
          <t>AFS-DCM</t>
        </is>
      </c>
    </row>
    <row r="27">
      <c r="A27" s="2" t="n">
        <v>50004</v>
      </c>
      <c r="B27" s="2" t="n">
        <v>50005</v>
      </c>
      <c r="C27" s="2" t="inlineStr">
        <is>
          <t>TD2535024</t>
        </is>
      </c>
      <c r="D27" s="2" t="inlineStr">
        <is>
          <t>CK_VNDIREC</t>
        </is>
      </c>
      <c r="E27" s="2" t="n">
        <v>2.9</v>
      </c>
      <c r="F27" s="3" t="n">
        <v>50</v>
      </c>
      <c r="G27" s="2" t="inlineStr">
        <is>
          <t>Sell (repo)</t>
        </is>
      </c>
      <c r="H27" s="2" t="n">
        <v>1</v>
      </c>
      <c r="I27" s="4" t="n">
        <v>46188</v>
      </c>
      <c r="J27" s="4" t="n">
        <v>46189</v>
      </c>
      <c r="K27" s="4" t="n">
        <v>46185</v>
      </c>
      <c r="L27" s="4" t="n">
        <v>46185</v>
      </c>
      <c r="M27" s="5" t="n">
        <v>48468500000</v>
      </c>
      <c r="N27" s="5" t="n">
        <v>48473000000</v>
      </c>
      <c r="O27" s="5" t="n">
        <v>-4500000</v>
      </c>
      <c r="P27" s="3" t="n">
        <v>-4.5</v>
      </c>
      <c r="Q27" s="6" t="n">
        <v>-0.03388798910632679</v>
      </c>
      <c r="R27" s="2" t="inlineStr">
        <is>
          <t>am</t>
        </is>
      </c>
      <c r="S27" s="2" t="inlineStr">
        <is>
          <t>Vay tien</t>
        </is>
      </c>
      <c r="T27" s="2" t="inlineStr"/>
      <c r="U27" s="2" t="n">
        <v>3.41</v>
      </c>
      <c r="V27" s="2" t="n">
        <v>3.41</v>
      </c>
      <c r="W27" s="2" t="n">
        <v>0</v>
      </c>
      <c r="X27" s="2" t="inlineStr">
        <is>
          <t>AFS-HUY</t>
        </is>
      </c>
      <c r="Y27" s="2" t="inlineStr">
        <is>
          <t>AFS-HUONG</t>
        </is>
      </c>
    </row>
    <row r="28">
      <c r="A28" s="2" t="n">
        <v>50006</v>
      </c>
      <c r="B28" s="2" t="n">
        <v>50007</v>
      </c>
      <c r="C28" s="2" t="inlineStr">
        <is>
          <t>TD1646503</t>
        </is>
      </c>
      <c r="D28" s="2" t="inlineStr">
        <is>
          <t>CK_VIETIN</t>
        </is>
      </c>
      <c r="E28" s="2" t="n">
        <v>7.9</v>
      </c>
      <c r="F28" s="3" t="n">
        <v>165</v>
      </c>
      <c r="G28" s="2" t="inlineStr">
        <is>
          <t>Sell (repo)</t>
        </is>
      </c>
      <c r="H28" s="2" t="n">
        <v>3</v>
      </c>
      <c r="I28" s="4" t="n">
        <v>46196</v>
      </c>
      <c r="J28" s="4" t="n">
        <v>46199</v>
      </c>
      <c r="K28" s="4" t="n">
        <v>46185</v>
      </c>
      <c r="L28" s="4" t="n">
        <v>46185</v>
      </c>
      <c r="M28" s="5" t="n">
        <v>262312050000</v>
      </c>
      <c r="N28" s="5" t="n">
        <v>262363200000</v>
      </c>
      <c r="O28" s="5" t="n">
        <v>-51150000</v>
      </c>
      <c r="P28" s="3" t="n">
        <v>-51.15</v>
      </c>
      <c r="Q28" s="6" t="n">
        <v>-0.02372460586541869</v>
      </c>
      <c r="R28" s="2" t="inlineStr">
        <is>
          <t>am</t>
        </is>
      </c>
      <c r="S28" s="2" t="inlineStr">
        <is>
          <t>Vay tien</t>
        </is>
      </c>
      <c r="T28" s="2" t="inlineStr"/>
      <c r="U28" s="2" t="n">
        <v>4</v>
      </c>
      <c r="V28" s="2" t="n">
        <v>4.0011</v>
      </c>
      <c r="W28" s="2" t="n">
        <v>0.1100000000000101</v>
      </c>
      <c r="X28" s="2" t="inlineStr">
        <is>
          <t>AFS-DCM</t>
        </is>
      </c>
      <c r="Y28" s="2" t="inlineStr">
        <is>
          <t>AFS-DCM</t>
        </is>
      </c>
    </row>
    <row r="29">
      <c r="A29" s="2" t="n">
        <v>50010</v>
      </c>
      <c r="B29" s="2" t="n">
        <v>50009</v>
      </c>
      <c r="C29" s="2" t="inlineStr">
        <is>
          <t>TD2237126</t>
        </is>
      </c>
      <c r="D29" s="2" t="inlineStr">
        <is>
          <t>QLQ_BAOVIE</t>
        </is>
      </c>
      <c r="E29" s="2" t="n">
        <v>4.9</v>
      </c>
      <c r="F29" s="3" t="n">
        <v>900</v>
      </c>
      <c r="G29" s="2" t="inlineStr">
        <is>
          <t>Buy (reverse repo)</t>
        </is>
      </c>
      <c r="H29" s="2" t="n">
        <v>141</v>
      </c>
      <c r="I29" s="4" t="n">
        <v>46330</v>
      </c>
      <c r="J29" s="4" t="n">
        <v>46189</v>
      </c>
      <c r="K29" s="4" t="n">
        <v>46185</v>
      </c>
      <c r="L29" s="4" t="n">
        <v>46185</v>
      </c>
      <c r="M29" s="5" t="n">
        <v>959445000000</v>
      </c>
      <c r="N29" s="5" t="n">
        <v>944847000000</v>
      </c>
      <c r="O29" s="5" t="n">
        <v>14598000000</v>
      </c>
      <c r="P29" s="3" t="n">
        <v>14598</v>
      </c>
      <c r="Q29" s="6" t="n">
        <v>0.03999499277255494</v>
      </c>
      <c r="R29" s="2" t="inlineStr">
        <is>
          <t>duong</t>
        </is>
      </c>
      <c r="S29" s="2" t="inlineStr">
        <is>
          <t>Cho vay tien</t>
        </is>
      </c>
      <c r="T29" s="2" t="inlineStr">
        <is>
          <t>Co</t>
        </is>
      </c>
      <c r="U29" s="2" t="n">
        <v>4.6776</v>
      </c>
      <c r="V29" s="2" t="n">
        <v>4.65</v>
      </c>
      <c r="W29" s="2" t="n">
        <v>-2.759999999999962</v>
      </c>
      <c r="X29" s="2" t="inlineStr">
        <is>
          <t>AFS-DCM</t>
        </is>
      </c>
      <c r="Y29" s="2" t="inlineStr">
        <is>
          <t>AFS-DCM</t>
        </is>
      </c>
    </row>
    <row r="30">
      <c r="A30" s="2" t="n">
        <v>50011</v>
      </c>
      <c r="B30" s="2" t="n">
        <v>50009</v>
      </c>
      <c r="C30" s="2" t="inlineStr">
        <is>
          <t>TD2237126</t>
        </is>
      </c>
      <c r="D30" s="2" t="inlineStr">
        <is>
          <t>QLQ_BAOVIE</t>
        </is>
      </c>
      <c r="E30" s="2" t="n">
        <v>4.9</v>
      </c>
      <c r="F30" s="3" t="n">
        <v>64</v>
      </c>
      <c r="G30" s="2" t="inlineStr">
        <is>
          <t>Buy (reverse repo)</t>
        </is>
      </c>
      <c r="H30" s="2" t="n">
        <v>141</v>
      </c>
      <c r="I30" s="4" t="n">
        <v>46330</v>
      </c>
      <c r="J30" s="4" t="n">
        <v>46189</v>
      </c>
      <c r="K30" s="4" t="n">
        <v>46185</v>
      </c>
      <c r="L30" s="4" t="n">
        <v>46185</v>
      </c>
      <c r="M30" s="5" t="n">
        <v>68227200000</v>
      </c>
      <c r="N30" s="5" t="n">
        <v>67189120000</v>
      </c>
      <c r="O30" s="5" t="n">
        <v>1038080000</v>
      </c>
      <c r="P30" s="3" t="n">
        <v>1038.08</v>
      </c>
      <c r="Q30" s="6" t="n">
        <v>0.03999499277255494</v>
      </c>
      <c r="R30" s="2" t="inlineStr">
        <is>
          <t>duong</t>
        </is>
      </c>
      <c r="S30" s="2" t="inlineStr">
        <is>
          <t>Cho vay tien</t>
        </is>
      </c>
      <c r="T30" s="2" t="inlineStr"/>
      <c r="U30" s="2" t="n">
        <v>4.6776</v>
      </c>
      <c r="V30" s="2" t="n">
        <v>4.65</v>
      </c>
      <c r="W30" s="2" t="n">
        <v>-2.759999999999962</v>
      </c>
      <c r="X30" s="2" t="inlineStr">
        <is>
          <t>AFS-DCM</t>
        </is>
      </c>
      <c r="Y30" s="2" t="inlineStr">
        <is>
          <t>AFS-DCM</t>
        </is>
      </c>
    </row>
    <row r="31">
      <c r="A31" s="2" t="n">
        <v>50011</v>
      </c>
      <c r="B31" s="2" t="n">
        <v>50008</v>
      </c>
      <c r="C31" s="2" t="inlineStr">
        <is>
          <t>TD2237126</t>
        </is>
      </c>
      <c r="D31" s="2" t="inlineStr">
        <is>
          <t>QLQ_BAOVIE</t>
        </is>
      </c>
      <c r="E31" s="2" t="n">
        <v>4.9</v>
      </c>
      <c r="F31" s="3" t="n">
        <v>900</v>
      </c>
      <c r="G31" s="2" t="inlineStr">
        <is>
          <t>Buy (reverse repo)</t>
        </is>
      </c>
      <c r="H31" s="2" t="n">
        <v>141</v>
      </c>
      <c r="I31" s="4" t="n">
        <v>46330</v>
      </c>
      <c r="J31" s="4" t="n">
        <v>46189</v>
      </c>
      <c r="K31" s="4" t="n">
        <v>46185</v>
      </c>
      <c r="L31" s="4" t="n">
        <v>46185</v>
      </c>
      <c r="M31" s="5" t="n">
        <v>959445000000</v>
      </c>
      <c r="N31" s="5" t="n">
        <v>944847000000</v>
      </c>
      <c r="O31" s="5" t="n">
        <v>14598000000</v>
      </c>
      <c r="P31" s="3" t="n">
        <v>14598</v>
      </c>
      <c r="Q31" s="6" t="n">
        <v>0.03999499277255494</v>
      </c>
      <c r="R31" s="2" t="inlineStr">
        <is>
          <t>duong</t>
        </is>
      </c>
      <c r="S31" s="2" t="inlineStr">
        <is>
          <t>Cho vay tien</t>
        </is>
      </c>
      <c r="T31" s="2" t="inlineStr">
        <is>
          <t>Co</t>
        </is>
      </c>
      <c r="U31" s="2" t="n">
        <v>4.6776</v>
      </c>
      <c r="V31" s="2" t="n">
        <v>4.65</v>
      </c>
      <c r="W31" s="2" t="n">
        <v>-2.759999999999962</v>
      </c>
      <c r="X31" s="2" t="inlineStr">
        <is>
          <t>AFS-DCM</t>
        </is>
      </c>
      <c r="Y31" s="2" t="inlineStr">
        <is>
          <t>AFS-DCM</t>
        </is>
      </c>
    </row>
    <row r="32">
      <c r="A32" s="2" t="n">
        <v>50012</v>
      </c>
      <c r="B32" s="2" t="n">
        <v>50013</v>
      </c>
      <c r="C32" s="2" t="inlineStr">
        <is>
          <t>TD2131012</t>
        </is>
      </c>
      <c r="D32" s="2" t="inlineStr">
        <is>
          <t>CK_SSI</t>
        </is>
      </c>
      <c r="E32" s="2" t="n">
        <v>2.2</v>
      </c>
      <c r="F32" s="3" t="n">
        <v>50</v>
      </c>
      <c r="G32" s="2" t="inlineStr">
        <is>
          <t>Sell (repo)</t>
        </is>
      </c>
      <c r="H32" s="2" t="n">
        <v>8</v>
      </c>
      <c r="I32" s="4" t="n">
        <v>46190</v>
      </c>
      <c r="J32" s="4" t="n">
        <v>46198</v>
      </c>
      <c r="K32" s="4" t="n">
        <v>46185</v>
      </c>
      <c r="L32" s="4" t="n">
        <v>46185</v>
      </c>
      <c r="M32" s="5" t="n">
        <v>46565500000</v>
      </c>
      <c r="N32" s="5" t="n">
        <v>46606000000</v>
      </c>
      <c r="O32" s="5" t="n">
        <v>-40500000</v>
      </c>
      <c r="P32" s="3" t="n">
        <v>-40.5</v>
      </c>
      <c r="Q32" s="6" t="n">
        <v>-0.0396820070653166</v>
      </c>
      <c r="R32" s="2" t="inlineStr">
        <is>
          <t>am</t>
        </is>
      </c>
      <c r="S32" s="2" t="inlineStr">
        <is>
          <t>Vay tien</t>
        </is>
      </c>
      <c r="T32" s="2" t="inlineStr"/>
      <c r="U32" s="2" t="n">
        <v>4.1</v>
      </c>
      <c r="V32" s="2" t="n">
        <v>4.1002</v>
      </c>
      <c r="W32" s="2" t="n">
        <v>0.02000000000004221</v>
      </c>
      <c r="X32" s="2" t="inlineStr">
        <is>
          <t>AFS-DCM</t>
        </is>
      </c>
      <c r="Y32" s="2" t="inlineStr">
        <is>
          <t>AFS-DCM</t>
        </is>
      </c>
    </row>
    <row r="33">
      <c r="A33" s="2" t="n">
        <v>50014</v>
      </c>
      <c r="B33" s="2" t="n">
        <v>50015</v>
      </c>
      <c r="C33" s="2" t="inlineStr">
        <is>
          <t>TD2434024</t>
        </is>
      </c>
      <c r="D33" s="2" t="inlineStr">
        <is>
          <t>CK_SSI</t>
        </is>
      </c>
      <c r="E33" s="2" t="n">
        <v>2.7</v>
      </c>
      <c r="F33" s="3" t="n">
        <v>100</v>
      </c>
      <c r="G33" s="2" t="inlineStr">
        <is>
          <t>Sell (repo)</t>
        </is>
      </c>
      <c r="H33" s="2" t="n">
        <v>8</v>
      </c>
      <c r="I33" s="4" t="n">
        <v>46190</v>
      </c>
      <c r="J33" s="4" t="n">
        <v>46198</v>
      </c>
      <c r="K33" s="4" t="n">
        <v>46185</v>
      </c>
      <c r="L33" s="4" t="n">
        <v>46185</v>
      </c>
      <c r="M33" s="5" t="n">
        <v>99507000000</v>
      </c>
      <c r="N33" s="5" t="n">
        <v>99574000000</v>
      </c>
      <c r="O33" s="5" t="n">
        <v>-67000000</v>
      </c>
      <c r="P33" s="3" t="n">
        <v>-67</v>
      </c>
      <c r="Q33" s="6" t="n">
        <v>-0.03072020058890329</v>
      </c>
      <c r="R33" s="2" t="inlineStr">
        <is>
          <t>am</t>
        </is>
      </c>
      <c r="S33" s="2" t="inlineStr">
        <is>
          <t>Vay tien</t>
        </is>
      </c>
      <c r="T33" s="2" t="inlineStr"/>
      <c r="U33" s="2" t="n">
        <v>3.1199</v>
      </c>
      <c r="V33" s="2" t="n">
        <v>3.12</v>
      </c>
      <c r="W33" s="2" t="n">
        <v>0.0100000000000211</v>
      </c>
      <c r="X33" s="2" t="inlineStr">
        <is>
          <t>AFS-DCM</t>
        </is>
      </c>
      <c r="Y33" s="2" t="inlineStr">
        <is>
          <t>AFS-DCM</t>
        </is>
      </c>
    </row>
    <row r="34">
      <c r="A34" s="2" t="n">
        <v>50016</v>
      </c>
      <c r="B34" s="2" t="n">
        <v>50017</v>
      </c>
      <c r="C34" s="2" t="inlineStr">
        <is>
          <t>TD2535028</t>
        </is>
      </c>
      <c r="D34" s="2" t="inlineStr">
        <is>
          <t>CK_SSI</t>
        </is>
      </c>
      <c r="E34" s="2" t="n">
        <v>3.3</v>
      </c>
      <c r="F34" s="3" t="n">
        <v>250</v>
      </c>
      <c r="G34" s="2" t="inlineStr">
        <is>
          <t>Sell (repo)</t>
        </is>
      </c>
      <c r="H34" s="2" t="n">
        <v>8</v>
      </c>
      <c r="I34" s="4" t="n">
        <v>46190</v>
      </c>
      <c r="J34" s="4" t="n">
        <v>46198</v>
      </c>
      <c r="K34" s="4" t="n">
        <v>46185</v>
      </c>
      <c r="L34" s="4" t="n">
        <v>46185</v>
      </c>
      <c r="M34" s="5" t="n">
        <v>253607500000</v>
      </c>
      <c r="N34" s="5" t="n">
        <v>253797500000</v>
      </c>
      <c r="O34" s="5" t="n">
        <v>-190000000</v>
      </c>
      <c r="P34" s="3" t="n">
        <v>-190</v>
      </c>
      <c r="Q34" s="6" t="n">
        <v>-0.03418175724298374</v>
      </c>
      <c r="R34" s="2" t="inlineStr">
        <is>
          <t>am</t>
        </is>
      </c>
      <c r="S34" s="2" t="inlineStr">
        <is>
          <t>Vay tien</t>
        </is>
      </c>
      <c r="T34" s="2" t="inlineStr"/>
      <c r="U34" s="2" t="n">
        <v>3.48</v>
      </c>
      <c r="V34" s="2" t="n">
        <v>3.4801</v>
      </c>
      <c r="W34" s="2" t="n">
        <v>0.0100000000000211</v>
      </c>
      <c r="X34" s="2" t="inlineStr">
        <is>
          <t>AFS-DCM</t>
        </is>
      </c>
      <c r="Y34" s="2" t="inlineStr">
        <is>
          <t>AFS-DCM</t>
        </is>
      </c>
    </row>
    <row r="35">
      <c r="A35" s="2" t="n">
        <v>50018</v>
      </c>
      <c r="B35" s="2" t="n">
        <v>50019</v>
      </c>
      <c r="C35" s="2" t="inlineStr">
        <is>
          <t>TD2535028</t>
        </is>
      </c>
      <c r="D35" s="2" t="inlineStr">
        <is>
          <t>CK_SSI</t>
        </is>
      </c>
      <c r="E35" s="2" t="n">
        <v>3.3</v>
      </c>
      <c r="F35" s="3" t="n">
        <v>100</v>
      </c>
      <c r="G35" s="2" t="inlineStr">
        <is>
          <t>Sell (repo)</t>
        </is>
      </c>
      <c r="H35" s="2" t="n">
        <v>8</v>
      </c>
      <c r="I35" s="4" t="n">
        <v>46190</v>
      </c>
      <c r="J35" s="4" t="n">
        <v>46198</v>
      </c>
      <c r="K35" s="4" t="n">
        <v>46185</v>
      </c>
      <c r="L35" s="4" t="n">
        <v>46185</v>
      </c>
      <c r="M35" s="5" t="n">
        <v>101443000000</v>
      </c>
      <c r="N35" s="5" t="n">
        <v>101519000000</v>
      </c>
      <c r="O35" s="5" t="n">
        <v>-76000000</v>
      </c>
      <c r="P35" s="3" t="n">
        <v>-76</v>
      </c>
      <c r="Q35" s="6" t="n">
        <v>-0.03418175724298374</v>
      </c>
      <c r="R35" s="2" t="inlineStr">
        <is>
          <t>am</t>
        </is>
      </c>
      <c r="S35" s="2" t="inlineStr">
        <is>
          <t>Vay tien</t>
        </is>
      </c>
      <c r="T35" s="2" t="inlineStr"/>
      <c r="U35" s="2" t="n">
        <v>3.48</v>
      </c>
      <c r="V35" s="2" t="n">
        <v>3.4801</v>
      </c>
      <c r="W35" s="2" t="n">
        <v>0.0100000000000211</v>
      </c>
      <c r="X35" s="2" t="inlineStr">
        <is>
          <t>AFS-HUY</t>
        </is>
      </c>
      <c r="Y35" s="2" t="inlineStr">
        <is>
          <t>AFS-HUONG</t>
        </is>
      </c>
    </row>
    <row r="36">
      <c r="A36" s="2" t="n">
        <v>50020</v>
      </c>
      <c r="B36" s="2" t="n">
        <v>50021</v>
      </c>
      <c r="C36" s="2" t="inlineStr">
        <is>
          <t>TD2333117</t>
        </is>
      </c>
      <c r="D36" s="2" t="inlineStr">
        <is>
          <t>CK_SSI</t>
        </is>
      </c>
      <c r="E36" s="2" t="n">
        <v>4.2</v>
      </c>
      <c r="F36" s="3" t="n">
        <v>100</v>
      </c>
      <c r="G36" s="2" t="inlineStr">
        <is>
          <t>Sell (repo)</t>
        </is>
      </c>
      <c r="H36" s="2" t="n">
        <v>3</v>
      </c>
      <c r="I36" s="4" t="n">
        <v>46195</v>
      </c>
      <c r="J36" s="4" t="n">
        <v>46198</v>
      </c>
      <c r="K36" s="4" t="n">
        <v>46185</v>
      </c>
      <c r="L36" s="4" t="n">
        <v>46185</v>
      </c>
      <c r="M36" s="5" t="n">
        <v>108764000000</v>
      </c>
      <c r="N36" s="5" t="n">
        <v>108786000000</v>
      </c>
      <c r="O36" s="5" t="n">
        <v>-22000000</v>
      </c>
      <c r="P36" s="3" t="n">
        <v>-22</v>
      </c>
      <c r="Q36" s="6" t="n">
        <v>-0.02460985865421157</v>
      </c>
      <c r="R36" s="2" t="inlineStr">
        <is>
          <t>am</t>
        </is>
      </c>
      <c r="S36" s="2" t="inlineStr">
        <is>
          <t>Vay tien</t>
        </is>
      </c>
      <c r="T36" s="2" t="inlineStr"/>
      <c r="U36" s="2" t="n">
        <v>2.9899</v>
      </c>
      <c r="V36" s="2" t="n">
        <v>2.9906</v>
      </c>
      <c r="W36" s="2" t="n">
        <v>0.0700000000000145</v>
      </c>
      <c r="X36" s="2" t="inlineStr">
        <is>
          <t>AFS-DCM</t>
        </is>
      </c>
      <c r="Y36" s="2" t="inlineStr">
        <is>
          <t>AFS-DCM</t>
        </is>
      </c>
    </row>
    <row r="37">
      <c r="A37" s="2" t="n">
        <v>50022</v>
      </c>
      <c r="B37" s="2" t="n">
        <v>50023</v>
      </c>
      <c r="C37" s="2" t="inlineStr">
        <is>
          <t>TD2333120</t>
        </is>
      </c>
      <c r="D37" s="2" t="inlineStr">
        <is>
          <t>CK_SSI</t>
        </is>
      </c>
      <c r="E37" s="2" t="n">
        <v>2.4</v>
      </c>
      <c r="F37" s="3" t="n">
        <v>200</v>
      </c>
      <c r="G37" s="2" t="inlineStr">
        <is>
          <t>Sell (repo)</t>
        </is>
      </c>
      <c r="H37" s="2" t="n">
        <v>3</v>
      </c>
      <c r="I37" s="4" t="n">
        <v>46195</v>
      </c>
      <c r="J37" s="4" t="n">
        <v>46198</v>
      </c>
      <c r="K37" s="4" t="n">
        <v>46185</v>
      </c>
      <c r="L37" s="4" t="n">
        <v>46185</v>
      </c>
      <c r="M37" s="5" t="n">
        <v>197100000000</v>
      </c>
      <c r="N37" s="5" t="n">
        <v>197148000000</v>
      </c>
      <c r="O37" s="5" t="n">
        <v>-48000000</v>
      </c>
      <c r="P37" s="3" t="n">
        <v>-48</v>
      </c>
      <c r="Q37" s="6" t="n">
        <v>-0.02962962962962963</v>
      </c>
      <c r="R37" s="2" t="inlineStr">
        <is>
          <t>am</t>
        </is>
      </c>
      <c r="S37" s="2" t="inlineStr">
        <is>
          <t>Vay tien</t>
        </is>
      </c>
      <c r="T37" s="2" t="inlineStr"/>
      <c r="U37" s="2" t="n">
        <v>3</v>
      </c>
      <c r="V37" s="2" t="n">
        <v>3</v>
      </c>
      <c r="W37" s="2" t="n">
        <v>0</v>
      </c>
      <c r="X37" s="2" t="inlineStr">
        <is>
          <t>AFS-DCM</t>
        </is>
      </c>
      <c r="Y37" s="2" t="inlineStr">
        <is>
          <t>AFS-DCM</t>
        </is>
      </c>
    </row>
    <row r="38">
      <c r="A38" s="2" t="n">
        <v>50035</v>
      </c>
      <c r="B38" s="2" t="n">
        <v>50036</v>
      </c>
      <c r="C38" s="2" t="inlineStr">
        <is>
          <t>TD2353151</t>
        </is>
      </c>
      <c r="D38" s="2" t="inlineStr">
        <is>
          <t>CK_THIENVI</t>
        </is>
      </c>
      <c r="E38" s="2" t="n">
        <v>4.2</v>
      </c>
      <c r="F38" s="3" t="n">
        <v>70</v>
      </c>
      <c r="G38" s="2" t="inlineStr">
        <is>
          <t>Sell (repo)</t>
        </is>
      </c>
      <c r="H38" s="2" t="n">
        <v>1</v>
      </c>
      <c r="I38" s="4" t="n">
        <v>46191</v>
      </c>
      <c r="J38" s="4" t="n">
        <v>46192</v>
      </c>
      <c r="K38" s="4" t="n">
        <v>46188</v>
      </c>
      <c r="L38" s="4" t="n">
        <v>46188</v>
      </c>
      <c r="M38" s="5" t="n">
        <v>72965200000</v>
      </c>
      <c r="N38" s="5" t="n">
        <v>72972900000</v>
      </c>
      <c r="O38" s="5" t="n">
        <v>-7700000</v>
      </c>
      <c r="P38" s="3" t="n">
        <v>-7.7</v>
      </c>
      <c r="Q38" s="6" t="n">
        <v>-0.03851836217813423</v>
      </c>
      <c r="R38" s="2" t="inlineStr">
        <is>
          <t>am</t>
        </is>
      </c>
      <c r="S38" s="2" t="inlineStr">
        <is>
          <t>Vay tien</t>
        </is>
      </c>
      <c r="T38" s="2" t="inlineStr"/>
      <c r="U38" s="2" t="n">
        <v>4</v>
      </c>
      <c r="V38" s="2" t="n">
        <v>4</v>
      </c>
      <c r="W38" s="2" t="n">
        <v>0</v>
      </c>
      <c r="X38" s="2" t="inlineStr">
        <is>
          <t>AFS-DCM</t>
        </is>
      </c>
      <c r="Y38" s="2" t="inlineStr">
        <is>
          <t>AFS-DCM</t>
        </is>
      </c>
    </row>
    <row r="39">
      <c r="A39" s="2" t="n">
        <v>50037</v>
      </c>
      <c r="B39" s="2" t="n">
        <v>50038</v>
      </c>
      <c r="C39" s="2" t="inlineStr">
        <is>
          <t>TD2535023</t>
        </is>
      </c>
      <c r="D39" s="2" t="inlineStr">
        <is>
          <t>CK_THIENVI</t>
        </is>
      </c>
      <c r="E39" s="2" t="n">
        <v>2.9</v>
      </c>
      <c r="F39" s="3" t="n">
        <v>150</v>
      </c>
      <c r="G39" s="2" t="inlineStr">
        <is>
          <t>Sell (repo)</t>
        </is>
      </c>
      <c r="H39" s="2" t="n">
        <v>1</v>
      </c>
      <c r="I39" s="4" t="n">
        <v>46191</v>
      </c>
      <c r="J39" s="4" t="n">
        <v>46192</v>
      </c>
      <c r="K39" s="4" t="n">
        <v>46188</v>
      </c>
      <c r="L39" s="4" t="n">
        <v>46188</v>
      </c>
      <c r="M39" s="5" t="n">
        <v>144658500000</v>
      </c>
      <c r="N39" s="5" t="n">
        <v>144607500000</v>
      </c>
      <c r="O39" s="5" t="n">
        <v>51000000</v>
      </c>
      <c r="P39" s="3" t="n">
        <v>51</v>
      </c>
      <c r="Q39" s="6" t="n">
        <v>0.1286823795352503</v>
      </c>
      <c r="R39" s="2" t="inlineStr">
        <is>
          <t>duong</t>
        </is>
      </c>
      <c r="S39" s="2" t="inlineStr">
        <is>
          <t>Cho vay bond</t>
        </is>
      </c>
      <c r="T39" s="2" t="inlineStr"/>
      <c r="U39" s="2" t="n">
        <v>3.5</v>
      </c>
      <c r="V39" s="2" t="n">
        <v>3.506</v>
      </c>
      <c r="W39" s="2" t="n">
        <v>0.5999999999999783</v>
      </c>
      <c r="X39" s="2" t="inlineStr">
        <is>
          <t>AFS-DCM</t>
        </is>
      </c>
      <c r="Y39" s="2" t="inlineStr">
        <is>
          <t>AFS-DCM</t>
        </is>
      </c>
    </row>
    <row r="40">
      <c r="A40" s="2" t="n">
        <v>50039</v>
      </c>
      <c r="B40" s="2" t="n">
        <v>50040</v>
      </c>
      <c r="C40" s="2" t="inlineStr">
        <is>
          <t>TD1631461</t>
        </is>
      </c>
      <c r="D40" s="2" t="inlineStr">
        <is>
          <t>CK_HDB</t>
        </is>
      </c>
      <c r="E40" s="2" t="n">
        <v>7.6</v>
      </c>
      <c r="F40" s="3" t="n">
        <v>366</v>
      </c>
      <c r="G40" s="2" t="inlineStr">
        <is>
          <t>Sell (repo)</t>
        </is>
      </c>
      <c r="H40" s="2" t="n">
        <v>8</v>
      </c>
      <c r="I40" s="4" t="n">
        <v>46195</v>
      </c>
      <c r="J40" s="4" t="n">
        <v>46203</v>
      </c>
      <c r="K40" s="4" t="n">
        <v>46188</v>
      </c>
      <c r="L40" s="4" t="n">
        <v>46188</v>
      </c>
      <c r="M40" s="5" t="n">
        <v>439251240000</v>
      </c>
      <c r="N40" s="5" t="n">
        <v>439210980000</v>
      </c>
      <c r="O40" s="5" t="n">
        <v>40260000</v>
      </c>
      <c r="P40" s="3" t="n">
        <v>40.26</v>
      </c>
      <c r="Q40" s="6" t="n">
        <v>0.004181803789557885</v>
      </c>
      <c r="R40" s="2" t="inlineStr">
        <is>
          <t>duong</t>
        </is>
      </c>
      <c r="S40" s="2" t="inlineStr">
        <is>
          <t>Cho vay bond</t>
        </is>
      </c>
      <c r="T40" s="2" t="inlineStr"/>
      <c r="U40" s="2" t="n">
        <v>3.58</v>
      </c>
      <c r="V40" s="2" t="n">
        <v>3.6028</v>
      </c>
      <c r="W40" s="2" t="n">
        <v>2.279999999999971</v>
      </c>
      <c r="X40" s="2" t="inlineStr">
        <is>
          <t>AFS-DCM</t>
        </is>
      </c>
      <c r="Y40" s="2" t="inlineStr">
        <is>
          <t>AFS-DCM</t>
        </is>
      </c>
    </row>
    <row r="41">
      <c r="A41" s="2" t="n">
        <v>50041</v>
      </c>
      <c r="B41" s="2" t="n">
        <v>50042</v>
      </c>
      <c r="C41" s="2" t="inlineStr">
        <is>
          <t>TL1545363</t>
        </is>
      </c>
      <c r="D41" s="2" t="inlineStr">
        <is>
          <t>CK_HDB</t>
        </is>
      </c>
      <c r="E41" s="2" t="n">
        <v>8</v>
      </c>
      <c r="F41" s="3" t="n">
        <v>58</v>
      </c>
      <c r="G41" s="2" t="inlineStr">
        <is>
          <t>Sell (repo)</t>
        </is>
      </c>
      <c r="H41" s="2" t="n">
        <v>8</v>
      </c>
      <c r="I41" s="4" t="n">
        <v>46195</v>
      </c>
      <c r="J41" s="4" t="n">
        <v>46203</v>
      </c>
      <c r="K41" s="4" t="n">
        <v>46188</v>
      </c>
      <c r="L41" s="4" t="n">
        <v>46188</v>
      </c>
      <c r="M41" s="5" t="n">
        <v>91263000000</v>
      </c>
      <c r="N41" s="5" t="n">
        <v>91225880000</v>
      </c>
      <c r="O41" s="5" t="n">
        <v>37120000</v>
      </c>
      <c r="P41" s="3" t="n">
        <v>37.12</v>
      </c>
      <c r="Q41" s="6" t="n">
        <v>0.01855735621226565</v>
      </c>
      <c r="R41" s="2" t="inlineStr">
        <is>
          <t>duong</t>
        </is>
      </c>
      <c r="S41" s="2" t="inlineStr">
        <is>
          <t>Cho vay bond</t>
        </is>
      </c>
      <c r="T41" s="2" t="inlineStr"/>
      <c r="U41" s="2" t="n">
        <v>3.9958</v>
      </c>
      <c r="V41" s="2" t="n">
        <v>4.0069</v>
      </c>
      <c r="W41" s="2" t="n">
        <v>1.109999999999989</v>
      </c>
      <c r="X41" s="2" t="inlineStr">
        <is>
          <t>AFS-DCM</t>
        </is>
      </c>
      <c r="Y41" s="2" t="inlineStr">
        <is>
          <t>AFS-DCM</t>
        </is>
      </c>
    </row>
    <row r="42">
      <c r="A42" s="2" t="n">
        <v>50043</v>
      </c>
      <c r="B42" s="2" t="n">
        <v>50044</v>
      </c>
      <c r="C42" s="2" t="inlineStr">
        <is>
          <t>TD2535024</t>
        </is>
      </c>
      <c r="D42" s="2" t="inlineStr">
        <is>
          <t>CK_OCBS</t>
        </is>
      </c>
      <c r="E42" s="2" t="n">
        <v>2.9</v>
      </c>
      <c r="F42" s="3" t="n">
        <v>50</v>
      </c>
      <c r="G42" s="2" t="inlineStr">
        <is>
          <t>Sell (repo)</t>
        </is>
      </c>
      <c r="H42" s="2" t="n">
        <v>1</v>
      </c>
      <c r="I42" s="4" t="n">
        <v>46190</v>
      </c>
      <c r="J42" s="4" t="n">
        <v>46191</v>
      </c>
      <c r="K42" s="4" t="n">
        <v>46188</v>
      </c>
      <c r="L42" s="4" t="n">
        <v>46188</v>
      </c>
      <c r="M42" s="5" t="n">
        <v>48477500000</v>
      </c>
      <c r="N42" s="5" t="n">
        <v>48482000000</v>
      </c>
      <c r="O42" s="5" t="n">
        <v>-4500000</v>
      </c>
      <c r="P42" s="3" t="n">
        <v>-4.5</v>
      </c>
      <c r="Q42" s="6" t="n">
        <v>-0.03388169769480687</v>
      </c>
      <c r="R42" s="2" t="inlineStr">
        <is>
          <t>am</t>
        </is>
      </c>
      <c r="S42" s="2" t="inlineStr">
        <is>
          <t>Vay tien</t>
        </is>
      </c>
      <c r="T42" s="2" t="inlineStr"/>
      <c r="U42" s="2" t="n">
        <v>3.41</v>
      </c>
      <c r="V42" s="2" t="n">
        <v>3.41</v>
      </c>
      <c r="W42" s="2" t="n">
        <v>0</v>
      </c>
      <c r="X42" s="2" t="inlineStr">
        <is>
          <t>AFS-HUONG</t>
        </is>
      </c>
      <c r="Y42" s="2" t="inlineStr">
        <is>
          <t>AFS-HUONG</t>
        </is>
      </c>
    </row>
    <row r="43">
      <c r="A43" s="2" t="n">
        <v>50045</v>
      </c>
      <c r="B43" s="2" t="n">
        <v>50046</v>
      </c>
      <c r="C43" s="2" t="inlineStr">
        <is>
          <t>TD2434026</t>
        </is>
      </c>
      <c r="D43" s="2" t="inlineStr">
        <is>
          <t>CK_OCBS</t>
        </is>
      </c>
      <c r="E43" s="2" t="n">
        <v>2.6</v>
      </c>
      <c r="F43" s="3" t="n">
        <v>150</v>
      </c>
      <c r="G43" s="2" t="inlineStr">
        <is>
          <t>Sell (repo)</t>
        </is>
      </c>
      <c r="H43" s="2" t="n">
        <v>1</v>
      </c>
      <c r="I43" s="4" t="n">
        <v>46190</v>
      </c>
      <c r="J43" s="4" t="n">
        <v>46191</v>
      </c>
      <c r="K43" s="4" t="n">
        <v>46188</v>
      </c>
      <c r="L43" s="4" t="n">
        <v>46188</v>
      </c>
      <c r="M43" s="5" t="n">
        <v>148042500000</v>
      </c>
      <c r="N43" s="5" t="n">
        <v>147996000000</v>
      </c>
      <c r="O43" s="5" t="n">
        <v>46500000</v>
      </c>
      <c r="P43" s="3" t="n">
        <v>46.5</v>
      </c>
      <c r="Q43" s="6" t="n">
        <v>0.1146461320228988</v>
      </c>
      <c r="R43" s="2" t="inlineStr">
        <is>
          <t>duong</t>
        </is>
      </c>
      <c r="S43" s="2" t="inlineStr">
        <is>
          <t>Cho vay bond</t>
        </is>
      </c>
      <c r="T43" s="2" t="inlineStr"/>
      <c r="U43" s="2" t="n">
        <v>3.04</v>
      </c>
      <c r="V43" s="2" t="n">
        <v>3.0456</v>
      </c>
      <c r="W43" s="2" t="n">
        <v>0.5599999999999827</v>
      </c>
      <c r="X43" s="2" t="inlineStr">
        <is>
          <t>AFS-HUONG</t>
        </is>
      </c>
      <c r="Y43" s="2" t="inlineStr">
        <is>
          <t>AFS-HUONG</t>
        </is>
      </c>
    </row>
    <row r="44">
      <c r="A44" s="2" t="n">
        <v>50047</v>
      </c>
      <c r="B44" s="2" t="n">
        <v>50048</v>
      </c>
      <c r="C44" s="2" t="inlineStr">
        <is>
          <t>TD2535028</t>
        </is>
      </c>
      <c r="D44" s="2" t="inlineStr">
        <is>
          <t>CK_OCBS</t>
        </is>
      </c>
      <c r="E44" s="2" t="n">
        <v>3.3</v>
      </c>
      <c r="F44" s="3" t="n">
        <v>11</v>
      </c>
      <c r="G44" s="2" t="inlineStr">
        <is>
          <t>Sell (repo)</t>
        </is>
      </c>
      <c r="H44" s="2" t="n">
        <v>1</v>
      </c>
      <c r="I44" s="4" t="n">
        <v>46190</v>
      </c>
      <c r="J44" s="4" t="n">
        <v>46191</v>
      </c>
      <c r="K44" s="4" t="n">
        <v>46188</v>
      </c>
      <c r="L44" s="4" t="n">
        <v>46188</v>
      </c>
      <c r="M44" s="5" t="n">
        <v>11158730000</v>
      </c>
      <c r="N44" s="5" t="n">
        <v>11159170000</v>
      </c>
      <c r="O44" s="5" t="n">
        <v>-440000</v>
      </c>
      <c r="P44" s="3" t="n">
        <v>-0.44</v>
      </c>
      <c r="Q44" s="6" t="n">
        <v>-0.01439231883915105</v>
      </c>
      <c r="R44" s="2" t="inlineStr">
        <is>
          <t>am</t>
        </is>
      </c>
      <c r="S44" s="2" t="inlineStr">
        <is>
          <t>Vay tien</t>
        </is>
      </c>
      <c r="T44" s="2" t="inlineStr"/>
      <c r="U44" s="2" t="n">
        <v>3.48</v>
      </c>
      <c r="V44" s="2" t="n">
        <v>3.4808</v>
      </c>
      <c r="W44" s="2" t="n">
        <v>0.07999999999999119</v>
      </c>
      <c r="X44" s="2" t="inlineStr">
        <is>
          <t>AFS-DCM</t>
        </is>
      </c>
      <c r="Y44" s="2" t="inlineStr">
        <is>
          <t>AFS-DCM</t>
        </is>
      </c>
    </row>
    <row r="45">
      <c r="A45" s="2" t="n">
        <v>50049</v>
      </c>
      <c r="B45" s="2" t="n">
        <v>50050</v>
      </c>
      <c r="C45" s="2" t="inlineStr">
        <is>
          <t>TD1646503</t>
        </is>
      </c>
      <c r="D45" s="2" t="inlineStr">
        <is>
          <t>CK_VIETIN</t>
        </is>
      </c>
      <c r="E45" s="2" t="n">
        <v>7.9</v>
      </c>
      <c r="F45" s="3" t="n">
        <v>165</v>
      </c>
      <c r="G45" s="2" t="inlineStr">
        <is>
          <t>Sell (repo)</t>
        </is>
      </c>
      <c r="H45" s="2" t="n">
        <v>3</v>
      </c>
      <c r="I45" s="4" t="n">
        <v>46202</v>
      </c>
      <c r="J45" s="4" t="n">
        <v>46205</v>
      </c>
      <c r="K45" s="4" t="n">
        <v>46188</v>
      </c>
      <c r="L45" s="4" t="n">
        <v>46188</v>
      </c>
      <c r="M45" s="5" t="n">
        <v>262449000000</v>
      </c>
      <c r="N45" s="5" t="n">
        <v>262508400000</v>
      </c>
      <c r="O45" s="5" t="n">
        <v>-59400000</v>
      </c>
      <c r="P45" s="3" t="n">
        <v>-59.4</v>
      </c>
      <c r="Q45" s="6" t="n">
        <v>-0.02753677857412297</v>
      </c>
      <c r="R45" s="2" t="inlineStr">
        <is>
          <t>am</t>
        </is>
      </c>
      <c r="S45" s="2" t="inlineStr">
        <is>
          <t>Vay tien</t>
        </is>
      </c>
      <c r="T45" s="2" t="inlineStr"/>
      <c r="U45" s="2" t="n">
        <v>4.0011</v>
      </c>
      <c r="V45" s="2" t="n">
        <v>4.0019</v>
      </c>
      <c r="W45" s="2" t="n">
        <v>0.07999999999999119</v>
      </c>
      <c r="X45" s="2" t="inlineStr">
        <is>
          <t>AFS-DCM</t>
        </is>
      </c>
      <c r="Y45" s="2" t="inlineStr">
        <is>
          <t>AFS-DCM</t>
        </is>
      </c>
    </row>
    <row r="46">
      <c r="A46" s="2" t="n">
        <v>50052</v>
      </c>
      <c r="B46" s="2" t="n">
        <v>50051</v>
      </c>
      <c r="C46" s="2" t="inlineStr">
        <is>
          <t>TL1535300</t>
        </is>
      </c>
      <c r="D46" s="2" t="inlineStr">
        <is>
          <t>QLQ_BAOVIE</t>
        </is>
      </c>
      <c r="E46" s="2" t="n">
        <v>7.75</v>
      </c>
      <c r="F46" s="3" t="n">
        <v>848</v>
      </c>
      <c r="G46" s="2" t="inlineStr">
        <is>
          <t>Buy (reverse repo)</t>
        </is>
      </c>
      <c r="H46" s="2" t="n">
        <v>42</v>
      </c>
      <c r="I46" s="4" t="n">
        <v>46232</v>
      </c>
      <c r="J46" s="4" t="n">
        <v>46190</v>
      </c>
      <c r="K46" s="4" t="n">
        <v>46189</v>
      </c>
      <c r="L46" s="4" t="n">
        <v>46189</v>
      </c>
      <c r="M46" s="5" t="n">
        <v>1115925600000</v>
      </c>
      <c r="N46" s="5" t="n">
        <v>1110812160000</v>
      </c>
      <c r="O46" s="5" t="n">
        <v>5113440000</v>
      </c>
      <c r="P46" s="3" t="n">
        <v>5113.44</v>
      </c>
      <c r="Q46" s="6" t="n">
        <v>0.04000516934512904</v>
      </c>
      <c r="R46" s="2" t="inlineStr">
        <is>
          <t>duong</t>
        </is>
      </c>
      <c r="S46" s="2" t="inlineStr">
        <is>
          <t>Cho vay tien</t>
        </is>
      </c>
      <c r="T46" s="2" t="inlineStr"/>
      <c r="U46" s="2" t="n">
        <v>4.4565</v>
      </c>
      <c r="V46" s="2" t="n">
        <v>4.45</v>
      </c>
      <c r="W46" s="2" t="n">
        <v>-0.649999999999995</v>
      </c>
      <c r="X46" s="2" t="inlineStr">
        <is>
          <t>AFS-DCM</t>
        </is>
      </c>
      <c r="Y46" s="2" t="inlineStr">
        <is>
          <t>AFS-DCM</t>
        </is>
      </c>
    </row>
    <row r="47">
      <c r="A47" s="2" t="n">
        <v>50055</v>
      </c>
      <c r="B47" s="2" t="n">
        <v>50054</v>
      </c>
      <c r="C47" s="2" t="inlineStr">
        <is>
          <t>TD2050036</t>
        </is>
      </c>
      <c r="D47" s="2" t="inlineStr">
        <is>
          <t>QLQ_BAOVIE</t>
        </is>
      </c>
      <c r="E47" s="2" t="n">
        <v>3.2</v>
      </c>
      <c r="F47" s="3" t="n">
        <v>250</v>
      </c>
      <c r="G47" s="2" t="inlineStr">
        <is>
          <t>Buy (reverse repo)</t>
        </is>
      </c>
      <c r="H47" s="2" t="n">
        <v>111</v>
      </c>
      <c r="I47" s="4" t="n">
        <v>46301</v>
      </c>
      <c r="J47" s="4" t="n">
        <v>46190</v>
      </c>
      <c r="K47" s="4" t="n">
        <v>46189</v>
      </c>
      <c r="L47" s="4" t="n">
        <v>46189</v>
      </c>
      <c r="M47" s="5" t="n">
        <v>201045000000</v>
      </c>
      <c r="N47" s="5" t="n">
        <v>198630000000</v>
      </c>
      <c r="O47" s="5" t="n">
        <v>2415000000</v>
      </c>
      <c r="P47" s="3" t="n">
        <v>2415</v>
      </c>
      <c r="Q47" s="6" t="n">
        <v>0.03997994369539454</v>
      </c>
      <c r="R47" s="2" t="inlineStr">
        <is>
          <t>duong</t>
        </is>
      </c>
      <c r="S47" s="2" t="inlineStr">
        <is>
          <t>Cho vay tien</t>
        </is>
      </c>
      <c r="T47" s="2" t="inlineStr">
        <is>
          <t>Co</t>
        </is>
      </c>
      <c r="U47" s="2" t="n">
        <v>4.8148</v>
      </c>
      <c r="V47" s="2" t="n">
        <v>4.8</v>
      </c>
      <c r="W47" s="2" t="n">
        <v>-1.480000000000015</v>
      </c>
      <c r="X47" s="2" t="inlineStr">
        <is>
          <t>AFS-DCM</t>
        </is>
      </c>
      <c r="Y47" s="2" t="inlineStr">
        <is>
          <t>AFS-DCM</t>
        </is>
      </c>
    </row>
    <row r="48">
      <c r="A48" s="2" t="n">
        <v>50055</v>
      </c>
      <c r="B48" s="2" t="n">
        <v>50053</v>
      </c>
      <c r="C48" s="2" t="inlineStr">
        <is>
          <t>TD2050036</t>
        </is>
      </c>
      <c r="D48" s="2" t="inlineStr">
        <is>
          <t>QLQ_BAOVIE</t>
        </is>
      </c>
      <c r="E48" s="2" t="n">
        <v>3.2</v>
      </c>
      <c r="F48" s="3" t="n">
        <v>270</v>
      </c>
      <c r="G48" s="2" t="inlineStr">
        <is>
          <t>Buy (reverse repo)</t>
        </is>
      </c>
      <c r="H48" s="2" t="n">
        <v>111</v>
      </c>
      <c r="I48" s="4" t="n">
        <v>46301</v>
      </c>
      <c r="J48" s="4" t="n">
        <v>46190</v>
      </c>
      <c r="K48" s="4" t="n">
        <v>46189</v>
      </c>
      <c r="L48" s="4" t="n">
        <v>46189</v>
      </c>
      <c r="M48" s="5" t="n">
        <v>217128600000</v>
      </c>
      <c r="N48" s="5" t="n">
        <v>214520400000</v>
      </c>
      <c r="O48" s="5" t="n">
        <v>2608200000</v>
      </c>
      <c r="P48" s="3" t="n">
        <v>2608.2</v>
      </c>
      <c r="Q48" s="6" t="n">
        <v>0.03997994369539453</v>
      </c>
      <c r="R48" s="2" t="inlineStr">
        <is>
          <t>duong</t>
        </is>
      </c>
      <c r="S48" s="2" t="inlineStr">
        <is>
          <t>Cho vay tien</t>
        </is>
      </c>
      <c r="T48" s="2" t="inlineStr"/>
      <c r="U48" s="2" t="n">
        <v>4.8148</v>
      </c>
      <c r="V48" s="2" t="n">
        <v>4.8</v>
      </c>
      <c r="W48" s="2" t="n">
        <v>-1.480000000000015</v>
      </c>
      <c r="X48" s="2" t="inlineStr">
        <is>
          <t>AFS-DCM</t>
        </is>
      </c>
      <c r="Y48" s="2" t="inlineStr">
        <is>
          <t>AFS-DCM</t>
        </is>
      </c>
    </row>
    <row r="49">
      <c r="A49" s="2" t="n">
        <v>50056</v>
      </c>
      <c r="B49" s="2" t="n">
        <v>50053</v>
      </c>
      <c r="C49" s="2" t="inlineStr">
        <is>
          <t>TD2050036</t>
        </is>
      </c>
      <c r="D49" s="2" t="inlineStr">
        <is>
          <t>QLQ_BAOVIE</t>
        </is>
      </c>
      <c r="E49" s="2" t="n">
        <v>3.2</v>
      </c>
      <c r="F49" s="3" t="n">
        <v>250</v>
      </c>
      <c r="G49" s="2" t="inlineStr">
        <is>
          <t>Buy (reverse repo)</t>
        </is>
      </c>
      <c r="H49" s="2" t="n">
        <v>111</v>
      </c>
      <c r="I49" s="4" t="n">
        <v>46301</v>
      </c>
      <c r="J49" s="4" t="n">
        <v>46190</v>
      </c>
      <c r="K49" s="4" t="n">
        <v>46189</v>
      </c>
      <c r="L49" s="4" t="n">
        <v>46189</v>
      </c>
      <c r="M49" s="5" t="n">
        <v>201045000000</v>
      </c>
      <c r="N49" s="5" t="n">
        <v>198630000000</v>
      </c>
      <c r="O49" s="5" t="n">
        <v>2415000000</v>
      </c>
      <c r="P49" s="3" t="n">
        <v>2415</v>
      </c>
      <c r="Q49" s="6" t="n">
        <v>0.03997994369539454</v>
      </c>
      <c r="R49" s="2" t="inlineStr">
        <is>
          <t>duong</t>
        </is>
      </c>
      <c r="S49" s="2" t="inlineStr">
        <is>
          <t>Cho vay tien</t>
        </is>
      </c>
      <c r="T49" s="2" t="inlineStr">
        <is>
          <t>Co</t>
        </is>
      </c>
      <c r="U49" s="2" t="n">
        <v>4.8148</v>
      </c>
      <c r="V49" s="2" t="n">
        <v>4.8</v>
      </c>
      <c r="W49" s="2" t="n">
        <v>-1.480000000000015</v>
      </c>
      <c r="X49" s="2" t="inlineStr">
        <is>
          <t>AFS-DCM</t>
        </is>
      </c>
      <c r="Y49" s="2" t="inlineStr">
        <is>
          <t>AFS-DCM</t>
        </is>
      </c>
    </row>
    <row r="50">
      <c r="A50" s="2" t="n">
        <v>50061</v>
      </c>
      <c r="B50" s="2" t="n">
        <v>50058</v>
      </c>
      <c r="C50" s="2" t="inlineStr">
        <is>
          <t>TD2237126</t>
        </is>
      </c>
      <c r="D50" s="2" t="inlineStr">
        <is>
          <t>QLQ_BAOVIE</t>
        </is>
      </c>
      <c r="E50" s="2" t="n">
        <v>4.9</v>
      </c>
      <c r="F50" s="3" t="n">
        <v>167</v>
      </c>
      <c r="G50" s="2" t="inlineStr">
        <is>
          <t>Buy (reverse repo)</t>
        </is>
      </c>
      <c r="H50" s="2" t="n">
        <v>145</v>
      </c>
      <c r="I50" s="4" t="n">
        <v>46335</v>
      </c>
      <c r="J50" s="4" t="n">
        <v>46190</v>
      </c>
      <c r="K50" s="4" t="n">
        <v>46189</v>
      </c>
      <c r="L50" s="4" t="n">
        <v>46189</v>
      </c>
      <c r="M50" s="5" t="n">
        <v>178128880000</v>
      </c>
      <c r="N50" s="5" t="n">
        <v>175343320000</v>
      </c>
      <c r="O50" s="5" t="n">
        <v>2785560000</v>
      </c>
      <c r="P50" s="3" t="n">
        <v>2785.56</v>
      </c>
      <c r="Q50" s="6" t="n">
        <v>0.03998970075707317</v>
      </c>
      <c r="R50" s="2" t="inlineStr">
        <is>
          <t>duong</t>
        </is>
      </c>
      <c r="S50" s="2" t="inlineStr">
        <is>
          <t>Cho vay tien</t>
        </is>
      </c>
      <c r="T50" s="2" t="inlineStr">
        <is>
          <t>Co</t>
        </is>
      </c>
      <c r="U50" s="2" t="n">
        <v>4.6785</v>
      </c>
      <c r="V50" s="2" t="n">
        <v>4.65</v>
      </c>
      <c r="W50" s="2" t="n">
        <v>-2.84999999999993</v>
      </c>
      <c r="X50" s="2" t="inlineStr">
        <is>
          <t>AFS-DCM</t>
        </is>
      </c>
      <c r="Y50" s="2" t="inlineStr">
        <is>
          <t>AFS-DCM</t>
        </is>
      </c>
    </row>
    <row r="51">
      <c r="A51" s="2" t="n">
        <v>50061</v>
      </c>
      <c r="B51" s="2" t="n">
        <v>50057</v>
      </c>
      <c r="C51" s="2" t="inlineStr">
        <is>
          <t>TD2237126</t>
        </is>
      </c>
      <c r="D51" s="2" t="inlineStr">
        <is>
          <t>QLQ_BAOVIE</t>
        </is>
      </c>
      <c r="E51" s="2" t="n">
        <v>4.9</v>
      </c>
      <c r="F51" s="3" t="n">
        <v>554</v>
      </c>
      <c r="G51" s="2" t="inlineStr">
        <is>
          <t>Buy (reverse repo)</t>
        </is>
      </c>
      <c r="H51" s="2" t="n">
        <v>145</v>
      </c>
      <c r="I51" s="4" t="n">
        <v>46335</v>
      </c>
      <c r="J51" s="4" t="n">
        <v>46190</v>
      </c>
      <c r="K51" s="4" t="n">
        <v>46189</v>
      </c>
      <c r="L51" s="4" t="n">
        <v>46189</v>
      </c>
      <c r="M51" s="5" t="n">
        <v>590918560000</v>
      </c>
      <c r="N51" s="5" t="n">
        <v>581677840000</v>
      </c>
      <c r="O51" s="5" t="n">
        <v>9240720000</v>
      </c>
      <c r="P51" s="3" t="n">
        <v>9240.719999999999</v>
      </c>
      <c r="Q51" s="6" t="n">
        <v>0.03998970075707317</v>
      </c>
      <c r="R51" s="2" t="inlineStr">
        <is>
          <t>duong</t>
        </is>
      </c>
      <c r="S51" s="2" t="inlineStr">
        <is>
          <t>Cho vay tien</t>
        </is>
      </c>
      <c r="T51" s="2" t="inlineStr"/>
      <c r="U51" s="2" t="n">
        <v>4.6785</v>
      </c>
      <c r="V51" s="2" t="n">
        <v>4.65</v>
      </c>
      <c r="W51" s="2" t="n">
        <v>-2.84999999999993</v>
      </c>
      <c r="X51" s="2" t="inlineStr">
        <is>
          <t>AFS-DCM</t>
        </is>
      </c>
      <c r="Y51" s="2" t="inlineStr">
        <is>
          <t>AFS-DCM</t>
        </is>
      </c>
    </row>
    <row r="52">
      <c r="A52" s="2" t="n">
        <v>50062</v>
      </c>
      <c r="B52" s="2" t="n">
        <v>50057</v>
      </c>
      <c r="C52" s="2" t="inlineStr">
        <is>
          <t>TD2237126</t>
        </is>
      </c>
      <c r="D52" s="2" t="inlineStr">
        <is>
          <t>QLQ_BAOVIE</t>
        </is>
      </c>
      <c r="E52" s="2" t="n">
        <v>4.9</v>
      </c>
      <c r="F52" s="3" t="n">
        <v>167</v>
      </c>
      <c r="G52" s="2" t="inlineStr">
        <is>
          <t>Buy (reverse repo)</t>
        </is>
      </c>
      <c r="H52" s="2" t="n">
        <v>145</v>
      </c>
      <c r="I52" s="4" t="n">
        <v>46335</v>
      </c>
      <c r="J52" s="4" t="n">
        <v>46190</v>
      </c>
      <c r="K52" s="4" t="n">
        <v>46189</v>
      </c>
      <c r="L52" s="4" t="n">
        <v>46189</v>
      </c>
      <c r="M52" s="5" t="n">
        <v>178128880000</v>
      </c>
      <c r="N52" s="5" t="n">
        <v>175343320000</v>
      </c>
      <c r="O52" s="5" t="n">
        <v>2785560000</v>
      </c>
      <c r="P52" s="3" t="n">
        <v>2785.56</v>
      </c>
      <c r="Q52" s="6" t="n">
        <v>0.03998970075707317</v>
      </c>
      <c r="R52" s="2" t="inlineStr">
        <is>
          <t>duong</t>
        </is>
      </c>
      <c r="S52" s="2" t="inlineStr">
        <is>
          <t>Cho vay tien</t>
        </is>
      </c>
      <c r="T52" s="2" t="inlineStr">
        <is>
          <t>Co</t>
        </is>
      </c>
      <c r="U52" s="2" t="n">
        <v>4.6785</v>
      </c>
      <c r="V52" s="2" t="n">
        <v>4.65</v>
      </c>
      <c r="W52" s="2" t="n">
        <v>-2.84999999999993</v>
      </c>
      <c r="X52" s="2" t="inlineStr">
        <is>
          <t>AFS-DCM</t>
        </is>
      </c>
      <c r="Y52" s="2" t="inlineStr">
        <is>
          <t>AFS-DCM</t>
        </is>
      </c>
    </row>
    <row r="53">
      <c r="A53" s="2" t="n">
        <v>50063</v>
      </c>
      <c r="B53" s="2" t="n">
        <v>50060</v>
      </c>
      <c r="C53" s="2" t="inlineStr">
        <is>
          <t>TD2141039</t>
        </is>
      </c>
      <c r="D53" s="2" t="inlineStr">
        <is>
          <t>QLQ_BAOVIE</t>
        </is>
      </c>
      <c r="E53" s="2" t="n">
        <v>2.7</v>
      </c>
      <c r="F53" s="3" t="n">
        <v>200</v>
      </c>
      <c r="G53" s="2" t="inlineStr">
        <is>
          <t>Buy (reverse repo)</t>
        </is>
      </c>
      <c r="H53" s="2" t="n">
        <v>145</v>
      </c>
      <c r="I53" s="4" t="n">
        <v>46335</v>
      </c>
      <c r="J53" s="4" t="n">
        <v>46190</v>
      </c>
      <c r="K53" s="4" t="n">
        <v>46189</v>
      </c>
      <c r="L53" s="4" t="n">
        <v>46189</v>
      </c>
      <c r="M53" s="5" t="n">
        <v>162294000000</v>
      </c>
      <c r="N53" s="5" t="n">
        <v>159756000000</v>
      </c>
      <c r="O53" s="5" t="n">
        <v>2538000000</v>
      </c>
      <c r="P53" s="3" t="n">
        <v>2538</v>
      </c>
      <c r="Q53" s="6" t="n">
        <v>0.03999072723834883</v>
      </c>
      <c r="R53" s="2" t="inlineStr">
        <is>
          <t>duong</t>
        </is>
      </c>
      <c r="S53" s="2" t="inlineStr">
        <is>
          <t>Cho vay tien</t>
        </is>
      </c>
      <c r="T53" s="2" t="inlineStr">
        <is>
          <t>Co</t>
        </is>
      </c>
      <c r="U53" s="2" t="n">
        <v>4.7221</v>
      </c>
      <c r="V53" s="2" t="n">
        <v>4.7</v>
      </c>
      <c r="W53" s="2" t="n">
        <v>-2.210000000000001</v>
      </c>
      <c r="X53" s="2" t="inlineStr">
        <is>
          <t>AFS-DCM</t>
        </is>
      </c>
      <c r="Y53" s="2" t="inlineStr">
        <is>
          <t>AFS-DCM</t>
        </is>
      </c>
    </row>
    <row r="54">
      <c r="A54" s="2" t="n">
        <v>50064</v>
      </c>
      <c r="B54" s="2" t="n">
        <v>50060</v>
      </c>
      <c r="C54" s="2" t="inlineStr">
        <is>
          <t>TD2141039</t>
        </is>
      </c>
      <c r="D54" s="2" t="inlineStr">
        <is>
          <t>QLQ_BAOVIE</t>
        </is>
      </c>
      <c r="E54" s="2" t="n">
        <v>2.7</v>
      </c>
      <c r="F54" s="3" t="n">
        <v>50</v>
      </c>
      <c r="G54" s="2" t="inlineStr">
        <is>
          <t>Buy (reverse repo)</t>
        </is>
      </c>
      <c r="H54" s="2" t="n">
        <v>145</v>
      </c>
      <c r="I54" s="4" t="n">
        <v>46335</v>
      </c>
      <c r="J54" s="4" t="n">
        <v>46190</v>
      </c>
      <c r="K54" s="4" t="n">
        <v>46189</v>
      </c>
      <c r="L54" s="4" t="n">
        <v>46189</v>
      </c>
      <c r="M54" s="5" t="n">
        <v>40573500000</v>
      </c>
      <c r="N54" s="5" t="n">
        <v>39939000000</v>
      </c>
      <c r="O54" s="5" t="n">
        <v>634500000</v>
      </c>
      <c r="P54" s="3" t="n">
        <v>634.5</v>
      </c>
      <c r="Q54" s="6" t="n">
        <v>0.03999072723834883</v>
      </c>
      <c r="R54" s="2" t="inlineStr">
        <is>
          <t>duong</t>
        </is>
      </c>
      <c r="S54" s="2" t="inlineStr">
        <is>
          <t>Cho vay tien</t>
        </is>
      </c>
      <c r="T54" s="2" t="inlineStr"/>
      <c r="U54" s="2" t="n">
        <v>4.7221</v>
      </c>
      <c r="V54" s="2" t="n">
        <v>4.7</v>
      </c>
      <c r="W54" s="2" t="n">
        <v>-2.210000000000001</v>
      </c>
      <c r="X54" s="2" t="inlineStr">
        <is>
          <t>AFS-DCM</t>
        </is>
      </c>
      <c r="Y54" s="2" t="inlineStr">
        <is>
          <t>AFS-DCM</t>
        </is>
      </c>
    </row>
    <row r="55">
      <c r="A55" s="2" t="n">
        <v>50064</v>
      </c>
      <c r="B55" s="2" t="n">
        <v>50059</v>
      </c>
      <c r="C55" s="2" t="inlineStr">
        <is>
          <t>TD2141039</t>
        </is>
      </c>
      <c r="D55" s="2" t="inlineStr">
        <is>
          <t>QLQ_BAOVIE</t>
        </is>
      </c>
      <c r="E55" s="2" t="n">
        <v>2.7</v>
      </c>
      <c r="F55" s="3" t="n">
        <v>200</v>
      </c>
      <c r="G55" s="2" t="inlineStr">
        <is>
          <t>Buy (reverse repo)</t>
        </is>
      </c>
      <c r="H55" s="2" t="n">
        <v>145</v>
      </c>
      <c r="I55" s="4" t="n">
        <v>46335</v>
      </c>
      <c r="J55" s="4" t="n">
        <v>46190</v>
      </c>
      <c r="K55" s="4" t="n">
        <v>46189</v>
      </c>
      <c r="L55" s="4" t="n">
        <v>46189</v>
      </c>
      <c r="M55" s="5" t="n">
        <v>162294000000</v>
      </c>
      <c r="N55" s="5" t="n">
        <v>159756000000</v>
      </c>
      <c r="O55" s="5" t="n">
        <v>2538000000</v>
      </c>
      <c r="P55" s="3" t="n">
        <v>2538</v>
      </c>
      <c r="Q55" s="6" t="n">
        <v>0.03999072723834883</v>
      </c>
      <c r="R55" s="2" t="inlineStr">
        <is>
          <t>duong</t>
        </is>
      </c>
      <c r="S55" s="2" t="inlineStr">
        <is>
          <t>Cho vay tien</t>
        </is>
      </c>
      <c r="T55" s="2" t="inlineStr">
        <is>
          <t>Co</t>
        </is>
      </c>
      <c r="U55" s="2" t="n">
        <v>4.7221</v>
      </c>
      <c r="V55" s="2" t="n">
        <v>4.7</v>
      </c>
      <c r="W55" s="2" t="n">
        <v>-2.210000000000001</v>
      </c>
      <c r="X55" s="2" t="inlineStr">
        <is>
          <t>AFS-DCM</t>
        </is>
      </c>
      <c r="Y55" s="2" t="inlineStr">
        <is>
          <t>AFS-DCM</t>
        </is>
      </c>
    </row>
    <row r="56">
      <c r="A56" s="2" t="n">
        <v>50065</v>
      </c>
      <c r="B56" s="2" t="n">
        <v>50066</v>
      </c>
      <c r="C56" s="2" t="inlineStr">
        <is>
          <t>TD2434026</t>
        </is>
      </c>
      <c r="D56" s="2" t="inlineStr">
        <is>
          <t>CK_LPBS</t>
        </is>
      </c>
      <c r="E56" s="2" t="n">
        <v>2.6</v>
      </c>
      <c r="F56" s="3" t="n">
        <v>150</v>
      </c>
      <c r="G56" s="2" t="inlineStr">
        <is>
          <t>Sell (repo)</t>
        </is>
      </c>
      <c r="H56" s="2" t="n">
        <v>3</v>
      </c>
      <c r="I56" s="4" t="n">
        <v>46192</v>
      </c>
      <c r="J56" s="4" t="n">
        <v>46195</v>
      </c>
      <c r="K56" s="4" t="n">
        <v>46189</v>
      </c>
      <c r="L56" s="4" t="n">
        <v>46189</v>
      </c>
      <c r="M56" s="5" t="n">
        <v>147961500000</v>
      </c>
      <c r="N56" s="5" t="n">
        <v>147939000000</v>
      </c>
      <c r="O56" s="5" t="n">
        <v>22500000</v>
      </c>
      <c r="P56" s="3" t="n">
        <v>22.5</v>
      </c>
      <c r="Q56" s="6" t="n">
        <v>0.01850143449478412</v>
      </c>
      <c r="R56" s="2" t="inlineStr">
        <is>
          <t>duong</t>
        </is>
      </c>
      <c r="S56" s="2" t="inlineStr">
        <is>
          <t>Cho vay bond</t>
        </is>
      </c>
      <c r="T56" s="2" t="inlineStr"/>
      <c r="U56" s="2" t="n">
        <v>3.05</v>
      </c>
      <c r="V56" s="2" t="n">
        <v>3.0555</v>
      </c>
      <c r="W56" s="2" t="n">
        <v>0.550000000000006</v>
      </c>
      <c r="X56" s="2" t="inlineStr">
        <is>
          <t>AFS-HUONG</t>
        </is>
      </c>
      <c r="Y56" s="2" t="inlineStr">
        <is>
          <t>AFS-DCM</t>
        </is>
      </c>
    </row>
    <row r="57">
      <c r="A57" s="2" t="n">
        <v>50067</v>
      </c>
      <c r="B57" s="2" t="n">
        <v>50068</v>
      </c>
      <c r="C57" s="2" t="inlineStr">
        <is>
          <t>TD2535024</t>
        </is>
      </c>
      <c r="D57" s="2" t="inlineStr">
        <is>
          <t>CK_LPBS</t>
        </is>
      </c>
      <c r="E57" s="2" t="n">
        <v>2.9</v>
      </c>
      <c r="F57" s="3" t="n">
        <v>50</v>
      </c>
      <c r="G57" s="2" t="inlineStr">
        <is>
          <t>Sell (repo)</t>
        </is>
      </c>
      <c r="H57" s="2" t="n">
        <v>3</v>
      </c>
      <c r="I57" s="4" t="n">
        <v>46192</v>
      </c>
      <c r="J57" s="4" t="n">
        <v>46195</v>
      </c>
      <c r="K57" s="4" t="n">
        <v>46189</v>
      </c>
      <c r="L57" s="4" t="n">
        <v>46189</v>
      </c>
      <c r="M57" s="5" t="n">
        <v>48486500000</v>
      </c>
      <c r="N57" s="5" t="n">
        <v>48469000000</v>
      </c>
      <c r="O57" s="5" t="n">
        <v>17500000</v>
      </c>
      <c r="P57" s="3" t="n">
        <v>17.5</v>
      </c>
      <c r="Q57" s="6" t="n">
        <v>0.04391256672819582</v>
      </c>
      <c r="R57" s="2" t="inlineStr">
        <is>
          <t>duong</t>
        </is>
      </c>
      <c r="S57" s="2" t="inlineStr">
        <is>
          <t>Cho vay bond</t>
        </is>
      </c>
      <c r="T57" s="2" t="inlineStr"/>
      <c r="U57" s="2" t="n">
        <v>3.41</v>
      </c>
      <c r="V57" s="2" t="n">
        <v>3.4185</v>
      </c>
      <c r="W57" s="2" t="n">
        <v>0.849999999999973</v>
      </c>
      <c r="X57" s="2" t="inlineStr">
        <is>
          <t>AFS-HUONG</t>
        </is>
      </c>
      <c r="Y57" s="2" t="inlineStr">
        <is>
          <t>AFS-DCM</t>
        </is>
      </c>
    </row>
    <row r="58">
      <c r="A58" s="2" t="n">
        <v>50069</v>
      </c>
      <c r="B58" s="2" t="n">
        <v>50070</v>
      </c>
      <c r="C58" s="2" t="inlineStr">
        <is>
          <t>TD1646503</t>
        </is>
      </c>
      <c r="D58" s="2" t="inlineStr">
        <is>
          <t>CK_VIETIN</t>
        </is>
      </c>
      <c r="E58" s="2" t="n">
        <v>7.9</v>
      </c>
      <c r="F58" s="3" t="n">
        <v>95</v>
      </c>
      <c r="G58" s="2" t="inlineStr">
        <is>
          <t>Sell (repo)</t>
        </is>
      </c>
      <c r="H58" s="2" t="n">
        <v>3</v>
      </c>
      <c r="I58" s="4" t="n">
        <v>46196</v>
      </c>
      <c r="J58" s="4" t="n">
        <v>46199</v>
      </c>
      <c r="K58" s="4" t="n">
        <v>46189</v>
      </c>
      <c r="L58" s="4" t="n">
        <v>46189</v>
      </c>
      <c r="M58" s="5" t="n">
        <v>150984450000</v>
      </c>
      <c r="N58" s="5" t="n">
        <v>150999650000</v>
      </c>
      <c r="O58" s="5" t="n">
        <v>-15200000</v>
      </c>
      <c r="P58" s="3" t="n">
        <v>-15.2</v>
      </c>
      <c r="Q58" s="6" t="n">
        <v>-0.01224850197045678</v>
      </c>
      <c r="R58" s="2" t="inlineStr">
        <is>
          <t>am</t>
        </is>
      </c>
      <c r="S58" s="2" t="inlineStr">
        <is>
          <t>Vay tien</t>
        </is>
      </c>
      <c r="T58" s="2" t="inlineStr"/>
      <c r="U58" s="2" t="n">
        <v>4.0025</v>
      </c>
      <c r="V58" s="2" t="n">
        <v>4.0044</v>
      </c>
      <c r="W58" s="2" t="n">
        <v>0.1900000000000013</v>
      </c>
      <c r="X58" s="2" t="inlineStr">
        <is>
          <t>AFS-DCM</t>
        </is>
      </c>
      <c r="Y58" s="2" t="inlineStr">
        <is>
          <t>AFS-DCM</t>
        </is>
      </c>
    </row>
    <row r="59">
      <c r="A59" s="2" t="n">
        <v>50071</v>
      </c>
      <c r="B59" s="2" t="n">
        <v>50072</v>
      </c>
      <c r="C59" s="2" t="inlineStr">
        <is>
          <t>TD1646503</t>
        </is>
      </c>
      <c r="D59" s="2" t="inlineStr">
        <is>
          <t>CK_VIETIN</t>
        </is>
      </c>
      <c r="E59" s="2" t="n">
        <v>7.9</v>
      </c>
      <c r="F59" s="3" t="n">
        <v>95</v>
      </c>
      <c r="G59" s="2" t="inlineStr">
        <is>
          <t>Sell (repo)</t>
        </is>
      </c>
      <c r="H59" s="2" t="n">
        <v>3</v>
      </c>
      <c r="I59" s="4" t="n">
        <v>46202</v>
      </c>
      <c r="J59" s="4" t="n">
        <v>46205</v>
      </c>
      <c r="K59" s="4" t="n">
        <v>46189</v>
      </c>
      <c r="L59" s="4" t="n">
        <v>46189</v>
      </c>
      <c r="M59" s="5" t="n">
        <v>151049050000</v>
      </c>
      <c r="N59" s="5" t="n">
        <v>151087050000</v>
      </c>
      <c r="O59" s="5" t="n">
        <v>-38000000</v>
      </c>
      <c r="P59" s="3" t="n">
        <v>-38</v>
      </c>
      <c r="Q59" s="6" t="n">
        <v>-0.03060815896116747</v>
      </c>
      <c r="R59" s="2" t="inlineStr">
        <is>
          <t>am</t>
        </is>
      </c>
      <c r="S59" s="2" t="inlineStr">
        <is>
          <t>Vay tien</t>
        </is>
      </c>
      <c r="T59" s="2" t="inlineStr"/>
      <c r="U59" s="2" t="n">
        <v>4.0044</v>
      </c>
      <c r="V59" s="2" t="n">
        <v>4.005</v>
      </c>
      <c r="W59" s="2" t="n">
        <v>0.05999999999994898</v>
      </c>
      <c r="X59" s="2" t="inlineStr">
        <is>
          <t>AFS-DCM</t>
        </is>
      </c>
      <c r="Y59" s="2" t="inlineStr">
        <is>
          <t>AFS-DCM</t>
        </is>
      </c>
    </row>
    <row r="60">
      <c r="A60" s="2" t="n">
        <v>50073</v>
      </c>
      <c r="B60" s="2" t="n">
        <v>50074</v>
      </c>
      <c r="C60" s="2" t="inlineStr">
        <is>
          <t>TL1545363</t>
        </is>
      </c>
      <c r="D60" s="2" t="inlineStr">
        <is>
          <t>CK_VIETIN</t>
        </is>
      </c>
      <c r="E60" s="2" t="n">
        <v>8</v>
      </c>
      <c r="F60" s="3" t="n">
        <v>58</v>
      </c>
      <c r="G60" s="2" t="inlineStr">
        <is>
          <t>Sell (repo)</t>
        </is>
      </c>
      <c r="H60" s="2" t="n">
        <v>1</v>
      </c>
      <c r="I60" s="4" t="n">
        <v>46204</v>
      </c>
      <c r="J60" s="4" t="n">
        <v>46205</v>
      </c>
      <c r="K60" s="4" t="n">
        <v>46190</v>
      </c>
      <c r="L60" s="4" t="n">
        <v>46190</v>
      </c>
      <c r="M60" s="5" t="n">
        <v>91235740000</v>
      </c>
      <c r="N60" s="5" t="n">
        <v>91235740000</v>
      </c>
      <c r="O60" s="5" t="n">
        <v>0</v>
      </c>
      <c r="P60" s="3" t="n">
        <v>0</v>
      </c>
      <c r="Q60" s="6" t="n">
        <v>0</v>
      </c>
      <c r="R60" s="2" t="inlineStr">
        <is>
          <t>bang 0</t>
        </is>
      </c>
      <c r="S60" s="2" t="inlineStr">
        <is>
          <t>Cho vay bond</t>
        </is>
      </c>
      <c r="T60" s="2" t="inlineStr"/>
      <c r="U60" s="2" t="n">
        <v>4.0069</v>
      </c>
      <c r="V60" s="2" t="n">
        <v>4.0078</v>
      </c>
      <c r="W60" s="2" t="n">
        <v>0.08999999999996788</v>
      </c>
      <c r="X60" s="2" t="inlineStr">
        <is>
          <t>AFS-DCM</t>
        </is>
      </c>
      <c r="Y60" s="2" t="inlineStr">
        <is>
          <t>AFS-DCM</t>
        </is>
      </c>
    </row>
    <row r="61">
      <c r="A61" s="2" t="n">
        <v>50075</v>
      </c>
      <c r="B61" s="2" t="n">
        <v>50076</v>
      </c>
      <c r="C61" s="2" t="inlineStr">
        <is>
          <t>TD2040031</t>
        </is>
      </c>
      <c r="D61" s="2" t="inlineStr">
        <is>
          <t>CK_SSI</t>
        </is>
      </c>
      <c r="E61" s="2" t="n">
        <v>3.6</v>
      </c>
      <c r="F61" s="3" t="n">
        <v>250</v>
      </c>
      <c r="G61" s="2" t="inlineStr">
        <is>
          <t>Sell (repo)</t>
        </is>
      </c>
      <c r="H61" s="2" t="n">
        <v>8</v>
      </c>
      <c r="I61" s="4" t="n">
        <v>46197</v>
      </c>
      <c r="J61" s="4" t="n">
        <v>46205</v>
      </c>
      <c r="K61" s="4" t="n">
        <v>46190</v>
      </c>
      <c r="L61" s="4" t="n">
        <v>46190</v>
      </c>
      <c r="M61" s="5" t="n">
        <v>234855000000</v>
      </c>
      <c r="N61" s="5" t="n">
        <v>235020000000</v>
      </c>
      <c r="O61" s="5" t="n">
        <v>-165000000</v>
      </c>
      <c r="P61" s="3" t="n">
        <v>-165</v>
      </c>
      <c r="Q61" s="6" t="n">
        <v>-0.03205435268569969</v>
      </c>
      <c r="R61" s="2" t="inlineStr">
        <is>
          <t>am</t>
        </is>
      </c>
      <c r="S61" s="2" t="inlineStr">
        <is>
          <t>Vay tien</t>
        </is>
      </c>
      <c r="T61" s="2" t="inlineStr"/>
      <c r="U61" s="2" t="n">
        <v>4.3625</v>
      </c>
      <c r="V61" s="2" t="n">
        <v>4.3648</v>
      </c>
      <c r="W61" s="2" t="n">
        <v>0.2299999999999969</v>
      </c>
      <c r="X61" s="2" t="inlineStr">
        <is>
          <t>AFS-DCM</t>
        </is>
      </c>
      <c r="Y61" s="2" t="inlineStr">
        <is>
          <t>AFS-DCM</t>
        </is>
      </c>
    </row>
    <row r="62">
      <c r="A62" s="2" t="n">
        <v>50078</v>
      </c>
      <c r="B62" s="2" t="n">
        <v>50077</v>
      </c>
      <c r="C62" s="2" t="inlineStr">
        <is>
          <t>TD1646503</t>
        </is>
      </c>
      <c r="D62" s="2" t="inlineStr">
        <is>
          <t>CK_SSI</t>
        </is>
      </c>
      <c r="E62" s="2" t="n">
        <v>7.9</v>
      </c>
      <c r="F62" s="3" t="n">
        <v>50</v>
      </c>
      <c r="G62" s="2" t="inlineStr">
        <is>
          <t>Sell (repo)</t>
        </is>
      </c>
      <c r="H62" s="2" t="n">
        <v>8</v>
      </c>
      <c r="I62" s="4" t="n">
        <v>46197</v>
      </c>
      <c r="J62" s="4" t="n">
        <v>46205</v>
      </c>
      <c r="K62" s="4" t="n">
        <v>46190</v>
      </c>
      <c r="L62" s="4" t="n">
        <v>46190</v>
      </c>
      <c r="M62" s="5" t="n">
        <v>78578500000</v>
      </c>
      <c r="N62" s="5" t="n">
        <v>78647500000</v>
      </c>
      <c r="O62" s="5" t="n">
        <v>-69000000</v>
      </c>
      <c r="P62" s="3" t="n">
        <v>-69</v>
      </c>
      <c r="Q62" s="6" t="n">
        <v>-0.04006343974496841</v>
      </c>
      <c r="R62" s="2" t="inlineStr">
        <is>
          <t>am</t>
        </is>
      </c>
      <c r="S62" s="2" t="inlineStr">
        <is>
          <t>Vay tien</t>
        </is>
      </c>
      <c r="T62" s="2" t="inlineStr"/>
      <c r="U62" s="2" t="n">
        <v>4.1</v>
      </c>
      <c r="V62" s="2" t="n">
        <v>4.1</v>
      </c>
      <c r="W62" s="2" t="n">
        <v>0</v>
      </c>
      <c r="X62" s="2" t="inlineStr">
        <is>
          <t>AFS-DCM</t>
        </is>
      </c>
      <c r="Y62" s="2" t="inlineStr">
        <is>
          <t>AFS-DCM</t>
        </is>
      </c>
    </row>
    <row r="63">
      <c r="A63" s="2" t="n">
        <v>50081</v>
      </c>
      <c r="B63" s="2" t="n">
        <v>50082</v>
      </c>
      <c r="C63" s="2" t="inlineStr">
        <is>
          <t>TD2535026</t>
        </is>
      </c>
      <c r="D63" s="2" t="inlineStr">
        <is>
          <t>CK_VNDIREC</t>
        </is>
      </c>
      <c r="E63" s="2" t="n">
        <v>2.9</v>
      </c>
      <c r="F63" s="3" t="n">
        <v>200</v>
      </c>
      <c r="G63" s="2" t="inlineStr">
        <is>
          <t>Sell (repo)</t>
        </is>
      </c>
      <c r="H63" s="2" t="n">
        <v>1</v>
      </c>
      <c r="I63" s="4" t="n">
        <v>46196</v>
      </c>
      <c r="J63" s="4" t="n">
        <v>46197</v>
      </c>
      <c r="K63" s="4" t="n">
        <v>46192</v>
      </c>
      <c r="L63" s="4" t="n">
        <v>46192</v>
      </c>
      <c r="M63" s="5" t="n">
        <v>197756000000</v>
      </c>
      <c r="N63" s="5" t="n">
        <v>197734000000</v>
      </c>
      <c r="O63" s="5" t="n">
        <v>22000000</v>
      </c>
      <c r="P63" s="3" t="n">
        <v>22</v>
      </c>
      <c r="Q63" s="6" t="n">
        <v>0.04060559477335707</v>
      </c>
      <c r="R63" s="2" t="inlineStr">
        <is>
          <t>duong</t>
        </is>
      </c>
      <c r="S63" s="2" t="inlineStr">
        <is>
          <t>Cho vay bond</t>
        </is>
      </c>
      <c r="T63" s="2" t="inlineStr"/>
      <c r="U63" s="2" t="n">
        <v>3.14</v>
      </c>
      <c r="V63" s="2" t="n">
        <v>3.1425</v>
      </c>
      <c r="W63" s="2" t="n">
        <v>0.2499999999999947</v>
      </c>
      <c r="X63" s="2" t="inlineStr">
        <is>
          <t>AFS-DCM</t>
        </is>
      </c>
      <c r="Y63" s="2" t="inlineStr">
        <is>
          <t>AFS-DCM</t>
        </is>
      </c>
    </row>
    <row r="64">
      <c r="A64" s="2" t="n">
        <v>50086</v>
      </c>
      <c r="B64" s="2" t="n">
        <v>50083</v>
      </c>
      <c r="C64" s="2" t="inlineStr">
        <is>
          <t>TD2434026</t>
        </is>
      </c>
      <c r="D64" s="2" t="inlineStr">
        <is>
          <t>CK_VNDIREC</t>
        </is>
      </c>
      <c r="E64" s="2" t="n">
        <v>2.6</v>
      </c>
      <c r="F64" s="3" t="n">
        <v>150</v>
      </c>
      <c r="G64" s="2" t="inlineStr">
        <is>
          <t>Sell (repo)</t>
        </is>
      </c>
      <c r="H64" s="2" t="n">
        <v>1</v>
      </c>
      <c r="I64" s="4" t="n">
        <v>46196</v>
      </c>
      <c r="J64" s="4" t="n">
        <v>46197</v>
      </c>
      <c r="K64" s="4" t="n">
        <v>46192</v>
      </c>
      <c r="L64" s="4" t="n">
        <v>46192</v>
      </c>
      <c r="M64" s="5" t="n">
        <v>148009500000</v>
      </c>
      <c r="N64" s="5" t="n">
        <v>147985500000</v>
      </c>
      <c r="O64" s="5" t="n">
        <v>24000000</v>
      </c>
      <c r="P64" s="3" t="n">
        <v>24</v>
      </c>
      <c r="Q64" s="6" t="n">
        <v>0.0591853901269851</v>
      </c>
      <c r="R64" s="2" t="inlineStr">
        <is>
          <t>duong</t>
        </is>
      </c>
      <c r="S64" s="2" t="inlineStr">
        <is>
          <t>Cho vay bond</t>
        </is>
      </c>
      <c r="T64" s="2" t="inlineStr"/>
      <c r="U64" s="2" t="n">
        <v>3.05</v>
      </c>
      <c r="V64" s="2" t="n">
        <v>3.0535</v>
      </c>
      <c r="W64" s="2" t="n">
        <v>0.3500000000000281</v>
      </c>
      <c r="X64" s="2" t="inlineStr">
        <is>
          <t>AFS-DCM</t>
        </is>
      </c>
      <c r="Y64" s="2" t="inlineStr">
        <is>
          <t>AFS-DCM</t>
        </is>
      </c>
    </row>
    <row r="65">
      <c r="A65" s="2" t="n">
        <v>50088</v>
      </c>
      <c r="B65" s="2" t="n">
        <v>50089</v>
      </c>
      <c r="C65" s="2" t="inlineStr">
        <is>
          <t>TD2434024</t>
        </is>
      </c>
      <c r="D65" s="2" t="inlineStr">
        <is>
          <t>CK_VCB</t>
        </is>
      </c>
      <c r="E65" s="2" t="n">
        <v>2.7</v>
      </c>
      <c r="F65" s="3" t="n">
        <v>100</v>
      </c>
      <c r="G65" s="2" t="inlineStr">
        <is>
          <t>Sell (repo)</t>
        </is>
      </c>
      <c r="H65" s="2" t="n">
        <v>17</v>
      </c>
      <c r="I65" s="4" t="n">
        <v>46199</v>
      </c>
      <c r="J65" s="4" t="n">
        <v>46216</v>
      </c>
      <c r="K65" s="4" t="n">
        <v>46192</v>
      </c>
      <c r="L65" s="4" t="n">
        <v>46192</v>
      </c>
      <c r="M65" s="5" t="n">
        <v>99582000000</v>
      </c>
      <c r="N65" s="5" t="n">
        <v>99748000000</v>
      </c>
      <c r="O65" s="5" t="n">
        <v>-166000000</v>
      </c>
      <c r="P65" s="3" t="n">
        <v>-166</v>
      </c>
      <c r="Q65" s="6" t="n">
        <v>-0.03579078193909364</v>
      </c>
      <c r="R65" s="2" t="inlineStr">
        <is>
          <t>am</t>
        </is>
      </c>
      <c r="S65" s="2" t="inlineStr">
        <is>
          <t>Vay tien</t>
        </is>
      </c>
      <c r="T65" s="2" t="inlineStr"/>
      <c r="U65" s="2" t="n">
        <v>3.12</v>
      </c>
      <c r="V65" s="2" t="n">
        <v>3.1166</v>
      </c>
      <c r="W65" s="2" t="n">
        <v>-0.340000000000007</v>
      </c>
      <c r="X65" s="2" t="inlineStr">
        <is>
          <t>AFS-DCM</t>
        </is>
      </c>
      <c r="Y65" s="2" t="inlineStr">
        <is>
          <t>AFS-DCM</t>
        </is>
      </c>
    </row>
    <row r="66">
      <c r="A66" s="2" t="n">
        <v>50090</v>
      </c>
      <c r="B66" s="2" t="n">
        <v>50091</v>
      </c>
      <c r="C66" s="2" t="inlineStr">
        <is>
          <t>TD2131012</t>
        </is>
      </c>
      <c r="D66" s="2" t="inlineStr">
        <is>
          <t>CK_VCB</t>
        </is>
      </c>
      <c r="E66" s="2" t="n">
        <v>2.2</v>
      </c>
      <c r="F66" s="3" t="n">
        <v>100</v>
      </c>
      <c r="G66" s="2" t="inlineStr">
        <is>
          <t>Sell (repo)</t>
        </is>
      </c>
      <c r="H66" s="2" t="n">
        <v>17</v>
      </c>
      <c r="I66" s="4" t="n">
        <v>46199</v>
      </c>
      <c r="J66" s="4" t="n">
        <v>46216</v>
      </c>
      <c r="K66" s="4" t="n">
        <v>46192</v>
      </c>
      <c r="L66" s="4" t="n">
        <v>46192</v>
      </c>
      <c r="M66" s="5" t="n">
        <v>93223000000</v>
      </c>
      <c r="N66" s="5" t="n">
        <v>93398000000</v>
      </c>
      <c r="O66" s="5" t="n">
        <v>-175000000</v>
      </c>
      <c r="P66" s="3" t="n">
        <v>-175</v>
      </c>
      <c r="Q66" s="6" t="n">
        <v>-0.04030499920809747</v>
      </c>
      <c r="R66" s="2" t="inlineStr">
        <is>
          <t>am</t>
        </is>
      </c>
      <c r="S66" s="2" t="inlineStr">
        <is>
          <t>Vay tien</t>
        </is>
      </c>
      <c r="T66" s="2" t="inlineStr"/>
      <c r="U66" s="2" t="n">
        <v>4.1</v>
      </c>
      <c r="V66" s="2" t="n">
        <v>4.0999</v>
      </c>
      <c r="W66" s="2" t="n">
        <v>-0.009999999999976694</v>
      </c>
      <c r="X66" s="2" t="inlineStr">
        <is>
          <t>AFS-DCM</t>
        </is>
      </c>
      <c r="Y66" s="2" t="inlineStr">
        <is>
          <t>AFS-DCM</t>
        </is>
      </c>
    </row>
    <row r="67">
      <c r="A67" s="2" t="n">
        <v>50092</v>
      </c>
      <c r="B67" s="2" t="n">
        <v>50093</v>
      </c>
      <c r="C67" s="2" t="inlineStr">
        <is>
          <t>TL1545363</t>
        </is>
      </c>
      <c r="D67" s="2" t="inlineStr">
        <is>
          <t>CK_VCB</t>
        </is>
      </c>
      <c r="E67" s="2" t="n">
        <v>8</v>
      </c>
      <c r="F67" s="3" t="n">
        <v>265</v>
      </c>
      <c r="G67" s="2" t="inlineStr">
        <is>
          <t>Sell (repo)</t>
        </is>
      </c>
      <c r="H67" s="2" t="n">
        <v>5</v>
      </c>
      <c r="I67" s="4" t="n">
        <v>46198</v>
      </c>
      <c r="J67" s="4" t="n">
        <v>46203</v>
      </c>
      <c r="K67" s="4" t="n">
        <v>46192</v>
      </c>
      <c r="L67" s="4" t="n">
        <v>46192</v>
      </c>
      <c r="M67" s="5" t="n">
        <v>407050600000</v>
      </c>
      <c r="N67" s="5" t="n">
        <v>407246700000</v>
      </c>
      <c r="O67" s="5" t="n">
        <v>-196100000</v>
      </c>
      <c r="P67" s="3" t="n">
        <v>-196.1</v>
      </c>
      <c r="Q67" s="6" t="n">
        <v>-0.03516835499075545</v>
      </c>
      <c r="R67" s="2" t="inlineStr">
        <is>
          <t>am</t>
        </is>
      </c>
      <c r="S67" s="2" t="inlineStr">
        <is>
          <t>Vay tien</t>
        </is>
      </c>
      <c r="T67" s="2" t="inlineStr"/>
      <c r="U67" s="2" t="n">
        <v>4.21</v>
      </c>
      <c r="V67" s="2" t="n">
        <v>4.2107</v>
      </c>
      <c r="W67" s="2" t="n">
        <v>0.0700000000000145</v>
      </c>
      <c r="X67" s="2" t="inlineStr">
        <is>
          <t>AFS-DCM</t>
        </is>
      </c>
      <c r="Y67" s="2" t="inlineStr">
        <is>
          <t>AFS-DCM</t>
        </is>
      </c>
    </row>
    <row r="68">
      <c r="A68" s="2" t="n">
        <v>50094</v>
      </c>
      <c r="B68" s="2" t="n">
        <v>50085</v>
      </c>
      <c r="C68" s="2" t="inlineStr">
        <is>
          <t>TD2353151</t>
        </is>
      </c>
      <c r="D68" s="2" t="inlineStr">
        <is>
          <t>CK_VNDIREC</t>
        </is>
      </c>
      <c r="E68" s="2" t="n">
        <v>4.2</v>
      </c>
      <c r="F68" s="3" t="n">
        <v>70</v>
      </c>
      <c r="G68" s="2" t="inlineStr">
        <is>
          <t>Sell (repo)</t>
        </is>
      </c>
      <c r="H68" s="2" t="n">
        <v>1</v>
      </c>
      <c r="I68" s="4" t="n">
        <v>46196</v>
      </c>
      <c r="J68" s="4" t="n">
        <v>46197</v>
      </c>
      <c r="K68" s="4" t="n">
        <v>46195</v>
      </c>
      <c r="L68" s="4" t="n">
        <v>46192</v>
      </c>
      <c r="M68" s="5" t="n">
        <v>77868000000</v>
      </c>
      <c r="N68" s="5" t="n">
        <v>77829500000</v>
      </c>
      <c r="O68" s="5" t="n">
        <v>38500000</v>
      </c>
      <c r="P68" s="3" t="n">
        <v>38.5</v>
      </c>
      <c r="Q68" s="6" t="n">
        <v>0.1804656598345919</v>
      </c>
      <c r="R68" s="2" t="inlineStr">
        <is>
          <t>duong</t>
        </is>
      </c>
      <c r="S68" s="2" t="inlineStr">
        <is>
          <t>Cho vay bond</t>
        </is>
      </c>
      <c r="T68" s="2" t="inlineStr"/>
      <c r="U68" s="2" t="n">
        <v>3.6</v>
      </c>
      <c r="V68" s="2" t="n">
        <v>3.6036</v>
      </c>
      <c r="W68" s="2" t="n">
        <v>0.3600000000000048</v>
      </c>
      <c r="X68" s="2" t="inlineStr">
        <is>
          <t>AFS-DCM</t>
        </is>
      </c>
      <c r="Y68" s="2" t="inlineStr">
        <is>
          <t>AFS-DCM</t>
        </is>
      </c>
    </row>
    <row r="69">
      <c r="A69" s="2" t="n">
        <v>50099</v>
      </c>
      <c r="B69" s="2" t="n">
        <v>50100</v>
      </c>
      <c r="C69" s="2" t="inlineStr">
        <is>
          <t>TD2535028</t>
        </is>
      </c>
      <c r="D69" s="2" t="inlineStr">
        <is>
          <t>CK_AB</t>
        </is>
      </c>
      <c r="E69" s="2" t="n">
        <v>3.3</v>
      </c>
      <c r="F69" s="3" t="n">
        <v>250</v>
      </c>
      <c r="G69" s="2" t="inlineStr">
        <is>
          <t>Sell (repo)</t>
        </is>
      </c>
      <c r="H69" s="2" t="n">
        <v>3</v>
      </c>
      <c r="I69" s="4" t="n">
        <v>46199</v>
      </c>
      <c r="J69" s="4" t="n">
        <v>46202</v>
      </c>
      <c r="K69" s="4" t="n">
        <v>46196</v>
      </c>
      <c r="L69" s="4" t="n">
        <v>46196</v>
      </c>
      <c r="M69" s="5" t="n">
        <v>253822500000</v>
      </c>
      <c r="N69" s="5" t="n">
        <v>253790000000</v>
      </c>
      <c r="O69" s="5" t="n">
        <v>32500000</v>
      </c>
      <c r="P69" s="3" t="n">
        <v>32.5</v>
      </c>
      <c r="Q69" s="6" t="n">
        <v>0.01557847183235003</v>
      </c>
      <c r="R69" s="2" t="inlineStr">
        <is>
          <t>duong</t>
        </is>
      </c>
      <c r="S69" s="2" t="inlineStr">
        <is>
          <t>Cho vay bond</t>
        </is>
      </c>
      <c r="T69" s="2" t="inlineStr">
        <is>
          <t>Co</t>
        </is>
      </c>
      <c r="U69" s="2" t="n">
        <v>3.48</v>
      </c>
      <c r="V69" s="2" t="n">
        <v>3.4854</v>
      </c>
      <c r="W69" s="2" t="n">
        <v>0.5399999999999849</v>
      </c>
      <c r="X69" s="2" t="inlineStr">
        <is>
          <t>AFS-DCM</t>
        </is>
      </c>
      <c r="Y69" s="2" t="inlineStr">
        <is>
          <t>AFS-DCM</t>
        </is>
      </c>
    </row>
    <row r="70">
      <c r="A70" s="2" t="n">
        <v>50101</v>
      </c>
      <c r="B70" s="2" t="n">
        <v>50102</v>
      </c>
      <c r="C70" s="2" t="inlineStr">
        <is>
          <t>TD2353151</t>
        </is>
      </c>
      <c r="D70" s="2" t="inlineStr">
        <is>
          <t>CK_AB</t>
        </is>
      </c>
      <c r="E70" s="2" t="n">
        <v>4.2</v>
      </c>
      <c r="F70" s="3" t="n">
        <v>70</v>
      </c>
      <c r="G70" s="2" t="inlineStr">
        <is>
          <t>Sell (repo)</t>
        </is>
      </c>
      <c r="H70" s="2" t="n">
        <v>3</v>
      </c>
      <c r="I70" s="4" t="n">
        <v>46199</v>
      </c>
      <c r="J70" s="4" t="n">
        <v>46202</v>
      </c>
      <c r="K70" s="4" t="n">
        <v>46196</v>
      </c>
      <c r="L70" s="4" t="n">
        <v>46196</v>
      </c>
      <c r="M70" s="5" t="n">
        <v>71651300000</v>
      </c>
      <c r="N70" s="5" t="n">
        <v>71612800000</v>
      </c>
      <c r="O70" s="5" t="n">
        <v>38500000</v>
      </c>
      <c r="P70" s="3" t="n">
        <v>38.5</v>
      </c>
      <c r="Q70" s="6" t="n">
        <v>0.06537448262162258</v>
      </c>
      <c r="R70" s="2" t="inlineStr">
        <is>
          <t>duong</t>
        </is>
      </c>
      <c r="S70" s="2" t="inlineStr">
        <is>
          <t>Cho vay bond</t>
        </is>
      </c>
      <c r="T70" s="2" t="inlineStr"/>
      <c r="U70" s="2" t="n">
        <v>4.12</v>
      </c>
      <c r="V70" s="2" t="n">
        <v>4.1255</v>
      </c>
      <c r="W70" s="2" t="n">
        <v>0.5499999999999616</v>
      </c>
      <c r="X70" s="2" t="inlineStr">
        <is>
          <t>AFS-DCM</t>
        </is>
      </c>
      <c r="Y70" s="2" t="inlineStr">
        <is>
          <t>AFS-DCM</t>
        </is>
      </c>
    </row>
    <row r="71">
      <c r="A71" s="2" t="n">
        <v>50103</v>
      </c>
      <c r="B71" s="2" t="n">
        <v>50100</v>
      </c>
      <c r="C71" s="2" t="inlineStr">
        <is>
          <t>TD2535028</t>
        </is>
      </c>
      <c r="D71" s="2" t="inlineStr">
        <is>
          <t>CK_AB</t>
        </is>
      </c>
      <c r="E71" s="2" t="n">
        <v>3.3</v>
      </c>
      <c r="F71" s="3" t="n">
        <v>100</v>
      </c>
      <c r="G71" s="2" t="inlineStr">
        <is>
          <t>Sell (repo)</t>
        </is>
      </c>
      <c r="H71" s="2" t="n">
        <v>3</v>
      </c>
      <c r="I71" s="4" t="n">
        <v>46199</v>
      </c>
      <c r="J71" s="4" t="n">
        <v>46202</v>
      </c>
      <c r="K71" s="4" t="n">
        <v>46196</v>
      </c>
      <c r="L71" s="4" t="n">
        <v>46196</v>
      </c>
      <c r="M71" s="5" t="n">
        <v>101529000000</v>
      </c>
      <c r="N71" s="5" t="n">
        <v>101516000000</v>
      </c>
      <c r="O71" s="5" t="n">
        <v>13000000</v>
      </c>
      <c r="P71" s="3" t="n">
        <v>13</v>
      </c>
      <c r="Q71" s="6" t="n">
        <v>0.01557847183235003</v>
      </c>
      <c r="R71" s="2" t="inlineStr">
        <is>
          <t>duong</t>
        </is>
      </c>
      <c r="S71" s="2" t="inlineStr">
        <is>
          <t>Cho vay bond</t>
        </is>
      </c>
      <c r="T71" s="2" t="inlineStr">
        <is>
          <t>Co</t>
        </is>
      </c>
      <c r="U71" s="2" t="n">
        <v>3.48</v>
      </c>
      <c r="V71" s="2" t="n">
        <v>3.4854</v>
      </c>
      <c r="W71" s="2" t="n">
        <v>0.5399999999999849</v>
      </c>
      <c r="X71" s="2" t="inlineStr">
        <is>
          <t>AFS-HUONG</t>
        </is>
      </c>
      <c r="Y71" s="2" t="inlineStr">
        <is>
          <t>AFS-DCM</t>
        </is>
      </c>
    </row>
    <row r="72">
      <c r="A72" s="2" t="n">
        <v>50104</v>
      </c>
      <c r="B72" s="2" t="n">
        <v>50105</v>
      </c>
      <c r="C72" s="2" t="inlineStr">
        <is>
          <t>TD2535023</t>
        </is>
      </c>
      <c r="D72" s="2" t="inlineStr">
        <is>
          <t>CK_BIDV</t>
        </is>
      </c>
      <c r="E72" s="2" t="n">
        <v>2.9</v>
      </c>
      <c r="F72" s="3" t="n">
        <v>200</v>
      </c>
      <c r="G72" s="2" t="inlineStr">
        <is>
          <t>Sell (repo)</t>
        </is>
      </c>
      <c r="H72" s="2" t="n">
        <v>32</v>
      </c>
      <c r="I72" s="4" t="n">
        <v>46213</v>
      </c>
      <c r="J72" s="4" t="n">
        <v>46245</v>
      </c>
      <c r="K72" s="4" t="n">
        <v>46196</v>
      </c>
      <c r="L72" s="4" t="n">
        <v>46196</v>
      </c>
      <c r="M72" s="5" t="n">
        <v>190022000000</v>
      </c>
      <c r="N72" s="5" t="n">
        <v>190426000000</v>
      </c>
      <c r="O72" s="5" t="n">
        <v>-404000000</v>
      </c>
      <c r="P72" s="3" t="n">
        <v>-404</v>
      </c>
      <c r="Q72" s="6" t="n">
        <v>-0.02425048152319205</v>
      </c>
      <c r="R72" s="2" t="inlineStr">
        <is>
          <t>am</t>
        </is>
      </c>
      <c r="S72" s="2" t="inlineStr">
        <is>
          <t>Vay tien</t>
        </is>
      </c>
      <c r="T72" s="2" t="inlineStr"/>
      <c r="U72" s="2" t="n">
        <v>3.7301</v>
      </c>
      <c r="V72" s="2" t="n">
        <v>3.745</v>
      </c>
      <c r="W72" s="2" t="n">
        <v>1.489999999999991</v>
      </c>
      <c r="X72" s="2" t="inlineStr">
        <is>
          <t>AFS-DCM</t>
        </is>
      </c>
      <c r="Y72" s="2" t="inlineStr">
        <is>
          <t>AFS-DCM</t>
        </is>
      </c>
    </row>
    <row r="73">
      <c r="A73" s="2" t="n">
        <v>50106</v>
      </c>
      <c r="B73" s="2" t="n">
        <v>50107</v>
      </c>
      <c r="C73" s="2" t="inlineStr">
        <is>
          <t>TD1949206</t>
        </is>
      </c>
      <c r="D73" s="2" t="inlineStr">
        <is>
          <t>CK_BIDV</t>
        </is>
      </c>
      <c r="E73" s="2" t="n">
        <v>5.2</v>
      </c>
      <c r="F73" s="3" t="n">
        <v>375</v>
      </c>
      <c r="G73" s="2" t="inlineStr">
        <is>
          <t>Sell (repo)</t>
        </is>
      </c>
      <c r="H73" s="2" t="n">
        <v>32</v>
      </c>
      <c r="I73" s="4" t="n">
        <v>46213</v>
      </c>
      <c r="J73" s="4" t="n">
        <v>46245</v>
      </c>
      <c r="K73" s="4" t="n">
        <v>46196</v>
      </c>
      <c r="L73" s="4" t="n">
        <v>46196</v>
      </c>
      <c r="M73" s="5" t="n">
        <v>427597500000</v>
      </c>
      <c r="N73" s="5" t="n">
        <v>429251250000</v>
      </c>
      <c r="O73" s="5" t="n">
        <v>-1653750000</v>
      </c>
      <c r="P73" s="3" t="n">
        <v>-1653.75</v>
      </c>
      <c r="Q73" s="6" t="n">
        <v>-0.04411411651728554</v>
      </c>
      <c r="R73" s="2" t="inlineStr">
        <is>
          <t>am</t>
        </is>
      </c>
      <c r="S73" s="2" t="inlineStr">
        <is>
          <t>Vay tien</t>
        </is>
      </c>
      <c r="T73" s="2" t="inlineStr"/>
      <c r="U73" s="2" t="n">
        <v>4.5</v>
      </c>
      <c r="V73" s="2" t="n">
        <v>4.5</v>
      </c>
      <c r="W73" s="2" t="n">
        <v>0</v>
      </c>
      <c r="X73" s="2" t="inlineStr">
        <is>
          <t>AFS-DCM</t>
        </is>
      </c>
      <c r="Y73" s="2" t="inlineStr">
        <is>
          <t>AFS-DCM</t>
        </is>
      </c>
    </row>
    <row r="74">
      <c r="A74" s="2" t="n">
        <v>50108</v>
      </c>
      <c r="B74" s="2" t="n">
        <v>50109</v>
      </c>
      <c r="C74" s="2" t="inlineStr">
        <is>
          <t>TD1636466</t>
        </is>
      </c>
      <c r="D74" s="2" t="inlineStr">
        <is>
          <t>CK_BIDV</t>
        </is>
      </c>
      <c r="E74" s="2" t="n">
        <v>7.7</v>
      </c>
      <c r="F74" s="3" t="n">
        <v>155</v>
      </c>
      <c r="G74" s="2" t="inlineStr">
        <is>
          <t>Sell (repo)</t>
        </is>
      </c>
      <c r="H74" s="2" t="n">
        <v>25</v>
      </c>
      <c r="I74" s="4" t="n">
        <v>46216</v>
      </c>
      <c r="J74" s="4" t="n">
        <v>46241</v>
      </c>
      <c r="K74" s="4" t="n">
        <v>46196</v>
      </c>
      <c r="L74" s="4" t="n">
        <v>46196</v>
      </c>
      <c r="M74" s="5" t="n">
        <v>202757050000</v>
      </c>
      <c r="N74" s="5" t="n">
        <v>203501050000</v>
      </c>
      <c r="O74" s="5" t="n">
        <v>-744000000</v>
      </c>
      <c r="P74" s="3" t="n">
        <v>-744</v>
      </c>
      <c r="Q74" s="6" t="n">
        <v>-0.05357347623670792</v>
      </c>
      <c r="R74" s="2" t="inlineStr">
        <is>
          <t>am</t>
        </is>
      </c>
      <c r="S74" s="2" t="inlineStr">
        <is>
          <t>Vay tien</t>
        </is>
      </c>
      <c r="T74" s="2" t="inlineStr"/>
      <c r="U74" s="2" t="n">
        <v>4.18</v>
      </c>
      <c r="V74" s="2" t="n">
        <v>4.1674</v>
      </c>
      <c r="W74" s="2" t="n">
        <v>-1.259999999999994</v>
      </c>
      <c r="X74" s="2" t="inlineStr">
        <is>
          <t>AFS-DCM</t>
        </is>
      </c>
      <c r="Y74" s="2" t="inlineStr">
        <is>
          <t>AFS-DCM</t>
        </is>
      </c>
    </row>
    <row r="75">
      <c r="A75" s="2" t="n">
        <v>50110</v>
      </c>
      <c r="B75" s="2" t="n">
        <v>50111</v>
      </c>
      <c r="C75" s="2" t="inlineStr">
        <is>
          <t>TD1833122</t>
        </is>
      </c>
      <c r="D75" s="2" t="inlineStr">
        <is>
          <t>CK_BIDV</t>
        </is>
      </c>
      <c r="E75" s="2" t="n">
        <v>5.2</v>
      </c>
      <c r="F75" s="3" t="n">
        <v>360</v>
      </c>
      <c r="G75" s="2" t="inlineStr">
        <is>
          <t>Sell (repo)</t>
        </is>
      </c>
      <c r="H75" s="2" t="n">
        <v>25</v>
      </c>
      <c r="I75" s="4" t="n">
        <v>46216</v>
      </c>
      <c r="J75" s="4" t="n">
        <v>46241</v>
      </c>
      <c r="K75" s="4" t="n">
        <v>46196</v>
      </c>
      <c r="L75" s="4" t="n">
        <v>46196</v>
      </c>
      <c r="M75" s="5" t="n">
        <v>413874000000</v>
      </c>
      <c r="N75" s="5" t="n">
        <v>414734400000</v>
      </c>
      <c r="O75" s="5" t="n">
        <v>-860400000</v>
      </c>
      <c r="P75" s="3" t="n">
        <v>-860.4</v>
      </c>
      <c r="Q75" s="6" t="n">
        <v>-0.03035184621406515</v>
      </c>
      <c r="R75" s="2" t="inlineStr">
        <is>
          <t>am</t>
        </is>
      </c>
      <c r="S75" s="2" t="inlineStr">
        <is>
          <t>Vay tien</t>
        </is>
      </c>
      <c r="T75" s="2" t="inlineStr"/>
      <c r="U75" s="2" t="n">
        <v>3.07</v>
      </c>
      <c r="V75" s="2" t="n">
        <v>3.07</v>
      </c>
      <c r="W75" s="2" t="n">
        <v>0</v>
      </c>
      <c r="X75" s="2" t="inlineStr">
        <is>
          <t>AFS-DCM</t>
        </is>
      </c>
      <c r="Y75" s="2" t="inlineStr">
        <is>
          <t>AFS-DCM</t>
        </is>
      </c>
    </row>
    <row r="76">
      <c r="A76" s="2" t="inlineStr">
        <is>
          <t>50127+50128</t>
        </is>
      </c>
      <c r="B76" s="2" t="n">
        <v>50120</v>
      </c>
      <c r="C76" s="2" t="inlineStr">
        <is>
          <t>TD2636023</t>
        </is>
      </c>
      <c r="D76" s="2" t="inlineStr">
        <is>
          <t>PGBV-HO</t>
        </is>
      </c>
      <c r="E76" s="2" t="n">
        <v>4.1</v>
      </c>
      <c r="F76" s="3" t="n">
        <v>600</v>
      </c>
      <c r="G76" s="2" t="inlineStr">
        <is>
          <t>Buy (reverse repo)</t>
        </is>
      </c>
      <c r="H76" s="2" t="n">
        <v>4</v>
      </c>
      <c r="I76" s="4" t="n">
        <v>46202</v>
      </c>
      <c r="J76" s="4" t="n">
        <v>46198</v>
      </c>
      <c r="K76" s="4" t="n">
        <v>46197</v>
      </c>
      <c r="L76" s="4" t="n">
        <v>46197</v>
      </c>
      <c r="M76" s="5" t="n">
        <v>592656000000</v>
      </c>
      <c r="N76" s="5" t="n">
        <v>592380000000</v>
      </c>
      <c r="O76" s="5" t="n">
        <v>276000000</v>
      </c>
      <c r="P76" s="3" t="n">
        <v>276</v>
      </c>
      <c r="Q76" s="6" t="n">
        <v>0.0425149397346298</v>
      </c>
      <c r="R76" s="2" t="inlineStr">
        <is>
          <t>duong</t>
        </is>
      </c>
      <c r="S76" s="2" t="inlineStr">
        <is>
          <t>Cho vay tien</t>
        </is>
      </c>
      <c r="T76" s="2" t="inlineStr"/>
      <c r="U76" s="2" t="n">
        <v>4.35</v>
      </c>
      <c r="V76" s="2" t="n">
        <v>4.35</v>
      </c>
      <c r="W76" s="2" t="n">
        <v>0</v>
      </c>
      <c r="X76" s="2" t="inlineStr">
        <is>
          <t>AFS-DCM</t>
        </is>
      </c>
      <c r="Y76" s="2" t="inlineStr">
        <is>
          <t>AFS-DCM</t>
        </is>
      </c>
    </row>
    <row r="77">
      <c r="A77" s="2" t="n">
        <v>50146</v>
      </c>
      <c r="B77" s="2" t="n">
        <v>50147</v>
      </c>
      <c r="C77" s="2" t="inlineStr">
        <is>
          <t>TD2338137</t>
        </is>
      </c>
      <c r="D77" s="2" t="inlineStr">
        <is>
          <t>CK_SGHN</t>
        </is>
      </c>
      <c r="E77" s="2" t="n">
        <v>2.6</v>
      </c>
      <c r="F77" s="3" t="n">
        <v>50</v>
      </c>
      <c r="G77" s="2" t="inlineStr">
        <is>
          <t>Sell (repo)</t>
        </is>
      </c>
      <c r="H77" s="2" t="n">
        <v>2</v>
      </c>
      <c r="I77" s="4" t="n">
        <v>46203</v>
      </c>
      <c r="J77" s="4" t="n">
        <v>46205</v>
      </c>
      <c r="K77" s="4" t="n">
        <v>46199</v>
      </c>
      <c r="L77" s="4" t="n">
        <v>46199</v>
      </c>
      <c r="M77" s="5" t="n">
        <v>49067000000</v>
      </c>
      <c r="N77" s="5" t="n">
        <v>48975000000</v>
      </c>
      <c r="O77" s="5" t="n">
        <v>92000000</v>
      </c>
      <c r="P77" s="3" t="n">
        <v>92</v>
      </c>
      <c r="Q77" s="6" t="n">
        <v>0.3421851753724499</v>
      </c>
      <c r="R77" s="2" t="inlineStr">
        <is>
          <t>duong</t>
        </is>
      </c>
      <c r="S77" s="2" t="inlineStr">
        <is>
          <t>Cho vay bond</t>
        </is>
      </c>
      <c r="T77" s="2" t="inlineStr"/>
      <c r="U77" s="2" t="n">
        <v>2.96</v>
      </c>
      <c r="V77" s="2" t="n">
        <v>2.98</v>
      </c>
      <c r="W77" s="2" t="n">
        <v>2.000000000000002</v>
      </c>
      <c r="X77" s="2" t="inlineStr">
        <is>
          <t>AFS-DCM</t>
        </is>
      </c>
      <c r="Y77" s="2" t="inlineStr">
        <is>
          <t>AFS-DCM</t>
        </is>
      </c>
    </row>
    <row r="78">
      <c r="A78" s="2" t="n">
        <v>50148</v>
      </c>
      <c r="B78" s="2" t="n">
        <v>50149</v>
      </c>
      <c r="C78" s="2" t="inlineStr">
        <is>
          <t>TD2535023</t>
        </is>
      </c>
      <c r="D78" s="2" t="inlineStr">
        <is>
          <t>CK_SGHN</t>
        </is>
      </c>
      <c r="E78" s="2" t="n">
        <v>2.9</v>
      </c>
      <c r="F78" s="3" t="n">
        <v>150</v>
      </c>
      <c r="G78" s="2" t="inlineStr">
        <is>
          <t>Sell (repo)</t>
        </is>
      </c>
      <c r="H78" s="2" t="n">
        <v>2</v>
      </c>
      <c r="I78" s="4" t="n">
        <v>46203</v>
      </c>
      <c r="J78" s="4" t="n">
        <v>46205</v>
      </c>
      <c r="K78" s="4" t="n">
        <v>46199</v>
      </c>
      <c r="L78" s="4" t="n">
        <v>46199</v>
      </c>
      <c r="M78" s="5" t="n">
        <v>144715500000</v>
      </c>
      <c r="N78" s="5" t="n">
        <v>144742500000</v>
      </c>
      <c r="O78" s="5" t="n">
        <v>-27000000</v>
      </c>
      <c r="P78" s="3" t="n">
        <v>-27</v>
      </c>
      <c r="Q78" s="6" t="n">
        <v>-0.03404956621785504</v>
      </c>
      <c r="R78" s="2" t="inlineStr">
        <is>
          <t>am</t>
        </is>
      </c>
      <c r="S78" s="2" t="inlineStr">
        <is>
          <t>Vay tien</t>
        </is>
      </c>
      <c r="T78" s="2" t="inlineStr"/>
      <c r="U78" s="2" t="n">
        <v>3.5099</v>
      </c>
      <c r="V78" s="2" t="n">
        <v>3.51</v>
      </c>
      <c r="W78" s="2" t="n">
        <v>0.009999999999976694</v>
      </c>
      <c r="X78" s="2" t="inlineStr">
        <is>
          <t>AFS-DCM</t>
        </is>
      </c>
      <c r="Y78" s="2" t="inlineStr">
        <is>
          <t>AFS-DCM</t>
        </is>
      </c>
    </row>
    <row r="79">
      <c r="A79" s="2" t="n">
        <v>50150</v>
      </c>
      <c r="B79" s="2" t="n">
        <v>50151</v>
      </c>
      <c r="C79" s="2" t="inlineStr">
        <is>
          <t>TD2434026</t>
        </is>
      </c>
      <c r="D79" s="2" t="inlineStr">
        <is>
          <t>CK_SGHN</t>
        </is>
      </c>
      <c r="E79" s="2" t="n">
        <v>2.6</v>
      </c>
      <c r="F79" s="3" t="n">
        <v>134</v>
      </c>
      <c r="G79" s="2" t="inlineStr">
        <is>
          <t>Sell (repo)</t>
        </is>
      </c>
      <c r="H79" s="2" t="n">
        <v>2</v>
      </c>
      <c r="I79" s="4" t="n">
        <v>46203</v>
      </c>
      <c r="J79" s="4" t="n">
        <v>46205</v>
      </c>
      <c r="K79" s="4" t="n">
        <v>46199</v>
      </c>
      <c r="L79" s="4" t="n">
        <v>46199</v>
      </c>
      <c r="M79" s="5" t="n">
        <v>132298200000</v>
      </c>
      <c r="N79" s="5" t="n">
        <v>132314280000</v>
      </c>
      <c r="O79" s="5" t="n">
        <v>-16080000</v>
      </c>
      <c r="P79" s="3" t="n">
        <v>-16.08</v>
      </c>
      <c r="Q79" s="6" t="n">
        <v>-0.02218170768763294</v>
      </c>
      <c r="R79" s="2" t="inlineStr">
        <is>
          <t>am</t>
        </is>
      </c>
      <c r="S79" s="2" t="inlineStr">
        <is>
          <t>Vay tien</t>
        </is>
      </c>
      <c r="T79" s="2" t="inlineStr"/>
      <c r="U79" s="2" t="n">
        <v>3.05</v>
      </c>
      <c r="V79" s="2" t="n">
        <v>3.0506</v>
      </c>
      <c r="W79" s="2" t="n">
        <v>0.0600000000000378</v>
      </c>
      <c r="X79" s="2" t="inlineStr">
        <is>
          <t>AFS-DCM</t>
        </is>
      </c>
      <c r="Y79" s="2" t="inlineStr">
        <is>
          <t>AFS-DCM</t>
        </is>
      </c>
    </row>
    <row r="80">
      <c r="A80" s="2" t="n">
        <v>50158</v>
      </c>
      <c r="B80" s="2" t="n">
        <v>50159</v>
      </c>
      <c r="C80" s="2" t="inlineStr">
        <is>
          <t>TD2353151</t>
        </is>
      </c>
      <c r="D80" s="2" t="inlineStr">
        <is>
          <t>CAP_FIG</t>
        </is>
      </c>
      <c r="E80" s="2" t="n">
        <v>4.2</v>
      </c>
      <c r="F80" s="3" t="n">
        <v>160</v>
      </c>
      <c r="G80" s="2" t="inlineStr">
        <is>
          <t>Sell (repo)</t>
        </is>
      </c>
      <c r="H80" s="2" t="n">
        <v>1</v>
      </c>
      <c r="I80" s="4" t="n">
        <v>46210</v>
      </c>
      <c r="J80" s="4" t="n">
        <v>46211</v>
      </c>
      <c r="K80" s="4" t="n">
        <v>46202</v>
      </c>
      <c r="L80" s="4" t="n">
        <v>46202</v>
      </c>
      <c r="M80" s="5" t="n">
        <v>148756800000</v>
      </c>
      <c r="N80" s="5" t="n">
        <v>151979200000</v>
      </c>
      <c r="O80" s="5" t="n">
        <v>-3222400000</v>
      </c>
      <c r="P80" s="3" t="n">
        <v>-3222.4</v>
      </c>
      <c r="Q80" s="6" t="n">
        <v>-7.906704096888343</v>
      </c>
      <c r="R80" s="2" t="inlineStr">
        <is>
          <t>am</t>
        </is>
      </c>
      <c r="S80" s="2" t="inlineStr">
        <is>
          <t>Vay tien</t>
        </is>
      </c>
      <c r="T80" s="2" t="inlineStr"/>
      <c r="U80" s="2" t="n">
        <v>4.75</v>
      </c>
      <c r="V80" s="2" t="n">
        <v>4.61</v>
      </c>
      <c r="W80" s="2" t="n">
        <v>-13.99999999999997</v>
      </c>
      <c r="X80" s="2" t="inlineStr">
        <is>
          <t>AFS-DCM</t>
        </is>
      </c>
      <c r="Y80" s="2" t="inlineStr">
        <is>
          <t>AFS-DCM</t>
        </is>
      </c>
    </row>
    <row r="81">
      <c r="A81" s="2" t="n">
        <v>50160</v>
      </c>
      <c r="B81" s="2" t="n">
        <v>50161</v>
      </c>
      <c r="C81" s="2" t="inlineStr">
        <is>
          <t>TD2535023</t>
        </is>
      </c>
      <c r="D81" s="2" t="inlineStr">
        <is>
          <t>CK_BIDV</t>
        </is>
      </c>
      <c r="E81" s="2" t="n">
        <v>2.9</v>
      </c>
      <c r="F81" s="3" t="n">
        <v>150</v>
      </c>
      <c r="G81" s="2" t="inlineStr">
        <is>
          <t>Sell (repo)</t>
        </is>
      </c>
      <c r="H81" s="2" t="n">
        <v>21</v>
      </c>
      <c r="I81" s="4" t="n">
        <v>46206</v>
      </c>
      <c r="J81" s="4" t="n">
        <v>46227</v>
      </c>
      <c r="K81" s="4" t="n">
        <v>46204</v>
      </c>
      <c r="L81" s="4" t="n">
        <v>46204</v>
      </c>
      <c r="M81" s="5" t="n">
        <v>144756000000</v>
      </c>
      <c r="N81" s="5" t="n">
        <v>145062000000</v>
      </c>
      <c r="O81" s="5" t="n">
        <v>-306000000</v>
      </c>
      <c r="P81" s="3" t="n">
        <v>-306</v>
      </c>
      <c r="Q81" s="6" t="n">
        <v>-0.03674163025070759</v>
      </c>
      <c r="R81" s="2" t="inlineStr">
        <is>
          <t>am</t>
        </is>
      </c>
      <c r="S81" s="2" t="inlineStr">
        <is>
          <t>Vay tien</t>
        </is>
      </c>
      <c r="T81" s="2" t="inlineStr"/>
      <c r="U81" s="2" t="n">
        <v>3.51</v>
      </c>
      <c r="V81" s="2" t="n">
        <v>3.5082</v>
      </c>
      <c r="W81" s="2" t="n">
        <v>-0.1799999999999802</v>
      </c>
      <c r="X81" s="2" t="inlineStr">
        <is>
          <t>AFS-DCM</t>
        </is>
      </c>
      <c r="Y81" s="2" t="inlineStr">
        <is>
          <t>AFS-DCM</t>
        </is>
      </c>
    </row>
    <row r="82">
      <c r="A82" s="2" t="n">
        <v>50162</v>
      </c>
      <c r="B82" s="2" t="n">
        <v>50163</v>
      </c>
      <c r="C82" s="2" t="inlineStr">
        <is>
          <t>TD2338137</t>
        </is>
      </c>
      <c r="D82" s="2" t="inlineStr">
        <is>
          <t>CK_BIDV</t>
        </is>
      </c>
      <c r="E82" s="2" t="n">
        <v>2.6</v>
      </c>
      <c r="F82" s="3" t="n">
        <v>50</v>
      </c>
      <c r="G82" s="2" t="inlineStr">
        <is>
          <t>Sell (repo)</t>
        </is>
      </c>
      <c r="H82" s="2" t="n">
        <v>21</v>
      </c>
      <c r="I82" s="4" t="n">
        <v>46206</v>
      </c>
      <c r="J82" s="4" t="n">
        <v>46227</v>
      </c>
      <c r="K82" s="4" t="n">
        <v>46204</v>
      </c>
      <c r="L82" s="4" t="n">
        <v>46204</v>
      </c>
      <c r="M82" s="5" t="n">
        <v>48979000000</v>
      </c>
      <c r="N82" s="5" t="n">
        <v>49062000000</v>
      </c>
      <c r="O82" s="5" t="n">
        <v>-83000000</v>
      </c>
      <c r="P82" s="3" t="n">
        <v>-83</v>
      </c>
      <c r="Q82" s="6" t="n">
        <v>-0.02945382812264537</v>
      </c>
      <c r="R82" s="2" t="inlineStr">
        <is>
          <t>am</t>
        </is>
      </c>
      <c r="S82" s="2" t="inlineStr">
        <is>
          <t>Vay tien</t>
        </is>
      </c>
      <c r="T82" s="2" t="inlineStr"/>
      <c r="U82" s="2" t="n">
        <v>2.98</v>
      </c>
      <c r="V82" s="2" t="n">
        <v>2.98</v>
      </c>
      <c r="W82" s="2" t="n">
        <v>0</v>
      </c>
      <c r="X82" s="2" t="inlineStr">
        <is>
          <t>AFS-DCM</t>
        </is>
      </c>
      <c r="Y82" s="2" t="inlineStr">
        <is>
          <t>AFS-DCM</t>
        </is>
      </c>
    </row>
    <row r="83">
      <c r="A83" s="2" t="n">
        <v>50164</v>
      </c>
      <c r="B83" s="2" t="n">
        <v>50165</v>
      </c>
      <c r="C83" s="2" t="inlineStr">
        <is>
          <t>TD2535028</t>
        </is>
      </c>
      <c r="D83" s="2" t="inlineStr">
        <is>
          <t>CK_BIDV</t>
        </is>
      </c>
      <c r="E83" s="2" t="n">
        <v>3.3</v>
      </c>
      <c r="F83" s="3" t="n">
        <v>11</v>
      </c>
      <c r="G83" s="2" t="inlineStr">
        <is>
          <t>Sell (repo)</t>
        </is>
      </c>
      <c r="H83" s="2" t="n">
        <v>21</v>
      </c>
      <c r="I83" s="4" t="n">
        <v>46206</v>
      </c>
      <c r="J83" s="4" t="n">
        <v>46227</v>
      </c>
      <c r="K83" s="4" t="n">
        <v>46204</v>
      </c>
      <c r="L83" s="4" t="n">
        <v>46204</v>
      </c>
      <c r="M83" s="5" t="n">
        <v>11175560000</v>
      </c>
      <c r="N83" s="5" t="n">
        <v>11199210000</v>
      </c>
      <c r="O83" s="5" t="n">
        <v>-23650000</v>
      </c>
      <c r="P83" s="3" t="n">
        <v>-23.65</v>
      </c>
      <c r="Q83" s="6" t="n">
        <v>-0.03678200679066855</v>
      </c>
      <c r="R83" s="2" t="inlineStr">
        <is>
          <t>am</t>
        </is>
      </c>
      <c r="S83" s="2" t="inlineStr">
        <is>
          <t>Vay tien</t>
        </is>
      </c>
      <c r="T83" s="2" t="inlineStr"/>
      <c r="U83" s="2" t="n">
        <v>3.48</v>
      </c>
      <c r="V83" s="2" t="n">
        <v>3.478</v>
      </c>
      <c r="W83" s="2" t="n">
        <v>-0.199999999999978</v>
      </c>
      <c r="X83" s="2" t="inlineStr">
        <is>
          <t>AFS-DCM</t>
        </is>
      </c>
      <c r="Y83" s="2" t="inlineStr">
        <is>
          <t>AFS-DCM</t>
        </is>
      </c>
    </row>
    <row r="84">
      <c r="A84" s="2" t="n">
        <v>50166</v>
      </c>
      <c r="B84" s="2" t="n">
        <v>50167</v>
      </c>
      <c r="C84" s="2" t="inlineStr">
        <is>
          <t>TD2040031</t>
        </is>
      </c>
      <c r="D84" s="2" t="inlineStr">
        <is>
          <t>CK_SSI</t>
        </is>
      </c>
      <c r="E84" s="2" t="n">
        <v>3.6</v>
      </c>
      <c r="F84" s="3" t="n">
        <v>700</v>
      </c>
      <c r="G84" s="2" t="inlineStr">
        <is>
          <t>Sell (repo)</t>
        </is>
      </c>
      <c r="H84" s="2" t="n">
        <v>8</v>
      </c>
      <c r="I84" s="4" t="n">
        <v>46212</v>
      </c>
      <c r="J84" s="4" t="n">
        <v>46220</v>
      </c>
      <c r="K84" s="4" t="n">
        <v>46210</v>
      </c>
      <c r="L84" s="4" t="n">
        <v>46210</v>
      </c>
      <c r="M84" s="5" t="n">
        <v>665791000000</v>
      </c>
      <c r="N84" s="5" t="n">
        <v>666127000000</v>
      </c>
      <c r="O84" s="5" t="n">
        <v>-336000000</v>
      </c>
      <c r="P84" s="3" t="n">
        <v>-336</v>
      </c>
      <c r="Q84" s="6" t="n">
        <v>-0.02302524365754418</v>
      </c>
      <c r="R84" s="2" t="inlineStr">
        <is>
          <t>am</t>
        </is>
      </c>
      <c r="S84" s="2" t="inlineStr">
        <is>
          <t>Vay tien</t>
        </is>
      </c>
      <c r="T84" s="2" t="inlineStr"/>
      <c r="U84" s="2" t="n">
        <v>4.258</v>
      </c>
      <c r="V84" s="2" t="n">
        <v>4.262</v>
      </c>
      <c r="W84" s="2" t="n">
        <v>0.3999999999999559</v>
      </c>
      <c r="X84" s="2" t="inlineStr">
        <is>
          <t>AFS-DCM</t>
        </is>
      </c>
      <c r="Y84" s="2" t="inlineStr">
        <is>
          <t>AFS-DCM</t>
        </is>
      </c>
    </row>
    <row r="85">
      <c r="A85" s="2" t="n">
        <v>50168</v>
      </c>
      <c r="B85" s="2" t="n">
        <v>50169</v>
      </c>
      <c r="C85" s="2" t="inlineStr">
        <is>
          <t>TD2353151</t>
        </is>
      </c>
      <c r="D85" s="2" t="inlineStr">
        <is>
          <t>CK_SSI</t>
        </is>
      </c>
      <c r="E85" s="2" t="n">
        <v>4.2</v>
      </c>
      <c r="F85" s="3" t="n">
        <v>80</v>
      </c>
      <c r="G85" s="2" t="inlineStr">
        <is>
          <t>Sell (repo)</t>
        </is>
      </c>
      <c r="H85" s="2" t="n">
        <v>8</v>
      </c>
      <c r="I85" s="4" t="n">
        <v>46212</v>
      </c>
      <c r="J85" s="4" t="n">
        <v>46220</v>
      </c>
      <c r="K85" s="4" t="n">
        <v>46210</v>
      </c>
      <c r="L85" s="4" t="n">
        <v>46210</v>
      </c>
      <c r="M85" s="5" t="n">
        <v>86292000000</v>
      </c>
      <c r="N85" s="5" t="n">
        <v>86483200000</v>
      </c>
      <c r="O85" s="5" t="n">
        <v>-191200000</v>
      </c>
      <c r="P85" s="3" t="n">
        <v>-191.2</v>
      </c>
      <c r="Q85" s="6" t="n">
        <v>-0.1010928011866685</v>
      </c>
      <c r="R85" s="2" t="inlineStr">
        <is>
          <t>am</t>
        </is>
      </c>
      <c r="S85" s="2" t="inlineStr">
        <is>
          <t>Vay tien</t>
        </is>
      </c>
      <c r="T85" s="2" t="inlineStr"/>
      <c r="U85" s="2" t="n">
        <v>3.8</v>
      </c>
      <c r="V85" s="2" t="n">
        <v>3.7913</v>
      </c>
      <c r="W85" s="2" t="n">
        <v>-0.8699999999999708</v>
      </c>
      <c r="X85" s="2" t="inlineStr">
        <is>
          <t>AFS-DCM</t>
        </is>
      </c>
      <c r="Y85" s="2" t="inlineStr">
        <is>
          <t>AFS-DCM</t>
        </is>
      </c>
    </row>
    <row r="86">
      <c r="A86" s="2" t="n">
        <v>50172</v>
      </c>
      <c r="B86" s="2" t="n">
        <v>50171</v>
      </c>
      <c r="C86" s="2" t="inlineStr">
        <is>
          <t>TL1545363</t>
        </is>
      </c>
      <c r="D86" s="2" t="inlineStr">
        <is>
          <t>QLQ_BAOVIE</t>
        </is>
      </c>
      <c r="E86" s="2" t="n">
        <v>8</v>
      </c>
      <c r="F86" s="3" t="n">
        <v>500</v>
      </c>
      <c r="G86" s="2" t="inlineStr">
        <is>
          <t>Buy (reverse repo)</t>
        </is>
      </c>
      <c r="H86" s="2" t="n">
        <v>165</v>
      </c>
      <c r="I86" s="4" t="n">
        <v>46378</v>
      </c>
      <c r="J86" s="4" t="n">
        <v>46213</v>
      </c>
      <c r="K86" s="4" t="n">
        <v>46212</v>
      </c>
      <c r="L86" s="4" t="n">
        <v>46212</v>
      </c>
      <c r="M86" s="5" t="n">
        <v>737110000000</v>
      </c>
      <c r="N86" s="5" t="n">
        <v>724340000000</v>
      </c>
      <c r="O86" s="5" t="n">
        <v>12770000000</v>
      </c>
      <c r="P86" s="3" t="n">
        <v>12769.99999999988</v>
      </c>
      <c r="Q86" s="6" t="n">
        <v>0.03899934820496949</v>
      </c>
      <c r="R86" s="2" t="inlineStr">
        <is>
          <t>duong</t>
        </is>
      </c>
      <c r="S86" s="2" t="inlineStr">
        <is>
          <t>Cho vay tien</t>
        </is>
      </c>
      <c r="T86" s="2" t="inlineStr">
        <is>
          <t>Co</t>
        </is>
      </c>
      <c r="U86" s="2" t="n">
        <v>4.7831443</v>
      </c>
      <c r="V86" s="2" t="n">
        <v>4.75</v>
      </c>
      <c r="W86" s="2" t="n">
        <v>-3.314430000000002</v>
      </c>
      <c r="X86" s="2" t="inlineStr">
        <is>
          <t>AFS-DCM</t>
        </is>
      </c>
      <c r="Y86" s="2" t="inlineStr">
        <is>
          <t>AFS-DCM</t>
        </is>
      </c>
    </row>
    <row r="87">
      <c r="A87" s="2" t="n">
        <v>50173</v>
      </c>
      <c r="B87" s="2" t="n">
        <v>50171</v>
      </c>
      <c r="C87" s="2" t="inlineStr">
        <is>
          <t>TL1545363</t>
        </is>
      </c>
      <c r="D87" s="2" t="inlineStr">
        <is>
          <t>QLQ_BAOVIE</t>
        </is>
      </c>
      <c r="E87" s="2" t="n">
        <v>8</v>
      </c>
      <c r="F87" s="3" t="n">
        <v>380</v>
      </c>
      <c r="G87" s="2" t="inlineStr">
        <is>
          <t>Buy (reverse repo)</t>
        </is>
      </c>
      <c r="H87" s="2" t="n">
        <v>165</v>
      </c>
      <c r="I87" s="4" t="n">
        <v>46378</v>
      </c>
      <c r="J87" s="4" t="n">
        <v>46213</v>
      </c>
      <c r="K87" s="4" t="n">
        <v>46212</v>
      </c>
      <c r="L87" s="4" t="n">
        <v>46212</v>
      </c>
      <c r="M87" s="5" t="n">
        <v>560203600000</v>
      </c>
      <c r="N87" s="5" t="n">
        <v>550498400000</v>
      </c>
      <c r="O87" s="5" t="n">
        <v>9705200000</v>
      </c>
      <c r="P87" s="3" t="n">
        <v>9705.200000000001</v>
      </c>
      <c r="Q87" s="6" t="n">
        <v>0.03899934820496987</v>
      </c>
      <c r="R87" s="2" t="inlineStr">
        <is>
          <t>duong</t>
        </is>
      </c>
      <c r="S87" s="2" t="inlineStr">
        <is>
          <t>Cho vay tien</t>
        </is>
      </c>
      <c r="T87" s="2" t="inlineStr"/>
      <c r="U87" s="2" t="n">
        <v>4.7831443</v>
      </c>
      <c r="V87" s="2" t="n">
        <v>4.75</v>
      </c>
      <c r="W87" s="2" t="n">
        <v>-3.314430000000002</v>
      </c>
      <c r="X87" s="2" t="inlineStr">
        <is>
          <t>AFS-DCM</t>
        </is>
      </c>
      <c r="Y87" s="2" t="inlineStr">
        <is>
          <t>AFS-DCM</t>
        </is>
      </c>
    </row>
    <row r="88">
      <c r="A88" s="2" t="n">
        <v>50173</v>
      </c>
      <c r="B88" s="2" t="n">
        <v>50170</v>
      </c>
      <c r="C88" s="2" t="inlineStr">
        <is>
          <t>TL1545363</t>
        </is>
      </c>
      <c r="D88" s="2" t="inlineStr">
        <is>
          <t>QLQ_BAOVIE</t>
        </is>
      </c>
      <c r="E88" s="2" t="n">
        <v>8</v>
      </c>
      <c r="F88" s="3" t="n">
        <v>500</v>
      </c>
      <c r="G88" s="2" t="inlineStr">
        <is>
          <t>Buy (reverse repo)</t>
        </is>
      </c>
      <c r="H88" s="2" t="n">
        <v>165</v>
      </c>
      <c r="I88" s="4" t="n">
        <v>46378</v>
      </c>
      <c r="J88" s="4" t="n">
        <v>46213</v>
      </c>
      <c r="K88" s="4" t="n">
        <v>46212</v>
      </c>
      <c r="L88" s="4" t="n">
        <v>46212</v>
      </c>
      <c r="M88" s="5" t="n">
        <v>737110000000</v>
      </c>
      <c r="N88" s="5" t="n">
        <v>724340000000</v>
      </c>
      <c r="O88" s="5" t="n">
        <v>12770000000</v>
      </c>
      <c r="P88" s="3" t="n">
        <v>12770.00000000012</v>
      </c>
      <c r="Q88" s="6" t="n">
        <v>0.03899934820497025</v>
      </c>
      <c r="R88" s="2" t="inlineStr">
        <is>
          <t>duong</t>
        </is>
      </c>
      <c r="S88" s="2" t="inlineStr">
        <is>
          <t>Cho vay tien</t>
        </is>
      </c>
      <c r="T88" s="2" t="inlineStr">
        <is>
          <t>Co</t>
        </is>
      </c>
      <c r="U88" s="2" t="n">
        <v>4.7831443</v>
      </c>
      <c r="V88" s="2" t="n">
        <v>4.75</v>
      </c>
      <c r="W88" s="2" t="n">
        <v>-3.314430000000002</v>
      </c>
      <c r="X88" s="2" t="inlineStr">
        <is>
          <t>AFS-DCM</t>
        </is>
      </c>
      <c r="Y88" s="2" t="inlineStr">
        <is>
          <t>AFS-DCM</t>
        </is>
      </c>
    </row>
    <row r="89">
      <c r="A89" s="2" t="n">
        <v>50186</v>
      </c>
      <c r="B89" s="2" t="n">
        <v>50187</v>
      </c>
      <c r="C89" s="2" t="inlineStr">
        <is>
          <t>TD2353151</t>
        </is>
      </c>
      <c r="D89" s="2" t="inlineStr">
        <is>
          <t>CAP_FIG</t>
        </is>
      </c>
      <c r="E89" s="2" t="n">
        <v>4.2</v>
      </c>
      <c r="F89" s="3" t="n">
        <v>48</v>
      </c>
      <c r="G89" s="2" t="inlineStr">
        <is>
          <t>Sell (repo)</t>
        </is>
      </c>
      <c r="H89" s="2" t="n">
        <v>1</v>
      </c>
      <c r="I89" s="4" t="n">
        <v>46224</v>
      </c>
      <c r="J89" s="4" t="n">
        <v>46225</v>
      </c>
      <c r="K89" s="4" t="n">
        <v>46216</v>
      </c>
      <c r="L89" s="4" t="n">
        <v>46216</v>
      </c>
      <c r="M89" s="5" t="n">
        <v>51015840000</v>
      </c>
      <c r="N89" s="5" t="n">
        <v>51005760000</v>
      </c>
      <c r="O89" s="5" t="n">
        <v>10080000</v>
      </c>
      <c r="P89" s="3" t="n">
        <v>10.08</v>
      </c>
      <c r="Q89" s="6" t="n">
        <v>0.07211877722683778</v>
      </c>
      <c r="R89" s="2" t="inlineStr">
        <is>
          <t>duong</t>
        </is>
      </c>
      <c r="S89" s="2" t="inlineStr">
        <is>
          <t>Cho vay bond</t>
        </is>
      </c>
      <c r="T89" s="2" t="inlineStr"/>
      <c r="U89" s="2" t="n">
        <v>3.9</v>
      </c>
      <c r="V89" s="2" t="n">
        <v>3.9019</v>
      </c>
      <c r="W89" s="2" t="n">
        <v>0.1900000000000013</v>
      </c>
      <c r="X89" s="2" t="inlineStr">
        <is>
          <t>AFS-DCM</t>
        </is>
      </c>
      <c r="Y89" s="2" t="inlineStr">
        <is>
          <t>AFS-DCM</t>
        </is>
      </c>
    </row>
    <row r="90">
      <c r="A90" s="2" t="n">
        <v>50189</v>
      </c>
      <c r="B90" s="2" t="n">
        <v>50190</v>
      </c>
      <c r="C90" s="2" t="inlineStr">
        <is>
          <t>TD2232114</t>
        </is>
      </c>
      <c r="D90" s="2" t="inlineStr">
        <is>
          <t>CK_SSI</t>
        </is>
      </c>
      <c r="E90" s="2" t="n">
        <v>4.8</v>
      </c>
      <c r="F90" s="3" t="n">
        <v>200</v>
      </c>
      <c r="G90" s="2" t="inlineStr">
        <is>
          <t>Sell (repo)</t>
        </is>
      </c>
      <c r="H90" s="2" t="n">
        <v>13</v>
      </c>
      <c r="I90" s="4" t="n">
        <v>46219</v>
      </c>
      <c r="J90" s="4" t="n">
        <v>46232</v>
      </c>
      <c r="K90" s="4" t="n">
        <v>46217</v>
      </c>
      <c r="L90" s="4" t="n">
        <v>46217</v>
      </c>
      <c r="M90" s="5" t="n">
        <v>228394000000</v>
      </c>
      <c r="N90" s="5" t="n">
        <v>228622000000</v>
      </c>
      <c r="O90" s="5" t="n">
        <v>-228000000</v>
      </c>
      <c r="P90" s="3" t="n">
        <v>-228</v>
      </c>
      <c r="Q90" s="6" t="n">
        <v>-0.02802848788294991</v>
      </c>
      <c r="R90" s="2" t="inlineStr">
        <is>
          <t>am</t>
        </is>
      </c>
      <c r="S90" s="2" t="inlineStr">
        <is>
          <t>Vay tien</t>
        </is>
      </c>
      <c r="T90" s="2" t="inlineStr"/>
      <c r="U90" s="2" t="n">
        <v>2.8399</v>
      </c>
      <c r="V90" s="2" t="n">
        <v>2.8399</v>
      </c>
      <c r="W90" s="2" t="n">
        <v>0</v>
      </c>
      <c r="X90" s="2" t="inlineStr">
        <is>
          <t>AFS-DCM</t>
        </is>
      </c>
      <c r="Y90" s="2" t="inlineStr">
        <is>
          <t>AFS-DCM</t>
        </is>
      </c>
    </row>
    <row r="91">
      <c r="A91" s="2" t="n">
        <v>50191</v>
      </c>
      <c r="B91" s="2" t="n">
        <v>50192</v>
      </c>
      <c r="C91" s="2" t="inlineStr">
        <is>
          <t>TD2333121</t>
        </is>
      </c>
      <c r="D91" s="2" t="inlineStr">
        <is>
          <t>CK_SSI</t>
        </is>
      </c>
      <c r="E91" s="2" t="n">
        <v>2.3</v>
      </c>
      <c r="F91" s="3" t="n">
        <v>300</v>
      </c>
      <c r="G91" s="2" t="inlineStr">
        <is>
          <t>Sell (repo)</t>
        </is>
      </c>
      <c r="H91" s="2" t="n">
        <v>13</v>
      </c>
      <c r="I91" s="4" t="n">
        <v>46219</v>
      </c>
      <c r="J91" s="4" t="n">
        <v>46232</v>
      </c>
      <c r="K91" s="4" t="n">
        <v>46217</v>
      </c>
      <c r="L91" s="4" t="n">
        <v>46217</v>
      </c>
      <c r="M91" s="5" t="n">
        <v>291465000000</v>
      </c>
      <c r="N91" s="5" t="n">
        <v>291777000000</v>
      </c>
      <c r="O91" s="5" t="n">
        <v>-312000000</v>
      </c>
      <c r="P91" s="3" t="n">
        <v>-312</v>
      </c>
      <c r="Q91" s="6" t="n">
        <v>-0.03005506664608101</v>
      </c>
      <c r="R91" s="2" t="inlineStr">
        <is>
          <t>am</t>
        </is>
      </c>
      <c r="S91" s="2" t="inlineStr">
        <is>
          <t>Vay tien</t>
        </is>
      </c>
      <c r="T91" s="2" t="inlineStr"/>
      <c r="U91" s="2" t="n">
        <v>3.05</v>
      </c>
      <c r="V91" s="2" t="n">
        <v>3.05</v>
      </c>
      <c r="W91" s="2" t="n">
        <v>0</v>
      </c>
      <c r="X91" s="2" t="inlineStr">
        <is>
          <t>AFS-DCM</t>
        </is>
      </c>
      <c r="Y91" s="2" t="inlineStr">
        <is>
          <t>AFS-DCM</t>
        </is>
      </c>
    </row>
    <row r="92">
      <c r="A92" s="2" t="n">
        <v>50193</v>
      </c>
      <c r="B92" s="2" t="n">
        <v>50194</v>
      </c>
      <c r="C92" s="2" t="inlineStr">
        <is>
          <t>TD2434021</t>
        </is>
      </c>
      <c r="D92" s="2" t="inlineStr">
        <is>
          <t>CK_SSI</t>
        </is>
      </c>
      <c r="E92" s="2" t="n">
        <v>2.4</v>
      </c>
      <c r="F92" s="3" t="n">
        <v>100</v>
      </c>
      <c r="G92" s="2" t="inlineStr">
        <is>
          <t>Sell (repo)</t>
        </is>
      </c>
      <c r="H92" s="2" t="n">
        <v>13</v>
      </c>
      <c r="I92" s="4" t="n">
        <v>46219</v>
      </c>
      <c r="J92" s="4" t="n">
        <v>46232</v>
      </c>
      <c r="K92" s="4" t="n">
        <v>46217</v>
      </c>
      <c r="L92" s="4" t="n">
        <v>46217</v>
      </c>
      <c r="M92" s="5" t="n">
        <v>94825000000</v>
      </c>
      <c r="N92" s="5" t="n">
        <v>95030000000</v>
      </c>
      <c r="O92" s="5" t="n">
        <v>-205000000</v>
      </c>
      <c r="P92" s="3" t="n">
        <v>-205</v>
      </c>
      <c r="Q92" s="6" t="n">
        <v>-0.06069885822060882</v>
      </c>
      <c r="R92" s="2" t="inlineStr">
        <is>
          <t>am</t>
        </is>
      </c>
      <c r="S92" s="2" t="inlineStr">
        <is>
          <t>Vay tien</t>
        </is>
      </c>
      <c r="T92" s="2" t="inlineStr"/>
      <c r="U92" s="2" t="n">
        <v>3.2601</v>
      </c>
      <c r="V92" s="2" t="n">
        <v>3.2452</v>
      </c>
      <c r="W92" s="2" t="n">
        <v>-1.489999999999991</v>
      </c>
      <c r="X92" s="2" t="inlineStr">
        <is>
          <t>AFS-DCM</t>
        </is>
      </c>
      <c r="Y92" s="2" t="inlineStr">
        <is>
          <t>AFS-DCM</t>
        </is>
      </c>
    </row>
    <row r="93">
      <c r="A93" s="2" t="n">
        <v>50198</v>
      </c>
      <c r="B93" s="2" t="n">
        <v>50199</v>
      </c>
      <c r="C93" s="2" t="inlineStr">
        <is>
          <t>TD2252132</t>
        </is>
      </c>
      <c r="D93" s="2" t="inlineStr">
        <is>
          <t>CK_VFS</t>
        </is>
      </c>
      <c r="E93" s="2" t="n">
        <v>2.9</v>
      </c>
      <c r="F93" s="3" t="n">
        <v>62</v>
      </c>
      <c r="G93" s="2" t="inlineStr">
        <is>
          <t>Sell (repo)</t>
        </is>
      </c>
      <c r="H93" s="2" t="n">
        <v>1</v>
      </c>
      <c r="I93" s="4" t="n">
        <v>46224</v>
      </c>
      <c r="J93" s="4" t="n">
        <v>46225</v>
      </c>
      <c r="K93" s="4" t="n">
        <v>46220</v>
      </c>
      <c r="L93" s="4" t="n">
        <v>46220</v>
      </c>
      <c r="M93" s="5" t="n">
        <v>48053720000</v>
      </c>
      <c r="N93" s="5" t="n">
        <v>48043800000</v>
      </c>
      <c r="O93" s="5" t="n">
        <v>9920000</v>
      </c>
      <c r="P93" s="3" t="n">
        <v>9.92</v>
      </c>
      <c r="Q93" s="6" t="n">
        <v>0.07534900523830414</v>
      </c>
      <c r="R93" s="2" t="inlineStr">
        <is>
          <t>duong</t>
        </is>
      </c>
      <c r="S93" s="2" t="inlineStr">
        <is>
          <t>Cho vay bond</t>
        </is>
      </c>
      <c r="T93" s="2" t="inlineStr"/>
      <c r="U93" s="2" t="n">
        <v>4.5005</v>
      </c>
      <c r="V93" s="2" t="n">
        <v>4.5025</v>
      </c>
      <c r="W93" s="2" t="n">
        <v>0.2000000000000668</v>
      </c>
      <c r="X93" s="2" t="inlineStr">
        <is>
          <t>AFS-DCM</t>
        </is>
      </c>
      <c r="Y93" s="2" t="inlineStr">
        <is>
          <t>AFS-DCM</t>
        </is>
      </c>
    </row>
    <row r="94">
      <c r="A94" s="2" t="n">
        <v>50202</v>
      </c>
      <c r="B94" s="2" t="n">
        <v>50201</v>
      </c>
      <c r="C94" s="2" t="inlineStr">
        <is>
          <t>TL1545363</t>
        </is>
      </c>
      <c r="D94" s="2" t="inlineStr">
        <is>
          <t>QLQ_BAOVIE</t>
        </is>
      </c>
      <c r="E94" s="2" t="n">
        <v>8</v>
      </c>
      <c r="F94" s="3" t="n">
        <v>800</v>
      </c>
      <c r="G94" s="2" t="inlineStr">
        <is>
          <t>Buy (reverse repo)</t>
        </is>
      </c>
      <c r="H94" s="2" t="n">
        <v>153</v>
      </c>
      <c r="I94" s="4" t="n">
        <v>46378</v>
      </c>
      <c r="J94" s="4" t="n">
        <v>46225</v>
      </c>
      <c r="K94" s="4" t="n">
        <v>46223</v>
      </c>
      <c r="L94" s="4" t="n">
        <v>46223</v>
      </c>
      <c r="M94" s="5" t="n">
        <v>1173240000000</v>
      </c>
      <c r="N94" s="5" t="n">
        <v>1154368000000</v>
      </c>
      <c r="O94" s="5" t="n">
        <v>18872000000</v>
      </c>
      <c r="P94" s="3" t="n">
        <v>18872</v>
      </c>
      <c r="Q94" s="6" t="n">
        <v>0.03900094069525207</v>
      </c>
      <c r="R94" s="2" t="inlineStr">
        <is>
          <t>duong</t>
        </is>
      </c>
      <c r="S94" s="2" t="inlineStr">
        <is>
          <t>Cho vay tien</t>
        </is>
      </c>
      <c r="T94" s="2" t="inlineStr">
        <is>
          <t>Co</t>
        </is>
      </c>
      <c r="U94" s="2" t="n">
        <v>4.8326</v>
      </c>
      <c r="V94" s="2" t="n">
        <v>4.8</v>
      </c>
      <c r="W94" s="2" t="n">
        <v>-3.260000000000041</v>
      </c>
      <c r="X94" s="2" t="inlineStr">
        <is>
          <t>AFS-DCM</t>
        </is>
      </c>
      <c r="Y94" s="2" t="inlineStr">
        <is>
          <t>AFS-DCM</t>
        </is>
      </c>
    </row>
    <row r="95">
      <c r="A95" s="2" t="n">
        <v>50203</v>
      </c>
      <c r="B95" s="2" t="n">
        <v>50201</v>
      </c>
      <c r="C95" s="2" t="inlineStr">
        <is>
          <t>TL1545363</t>
        </is>
      </c>
      <c r="D95" s="2" t="inlineStr">
        <is>
          <t>QLQ_BAOVIE</t>
        </is>
      </c>
      <c r="E95" s="2" t="n">
        <v>8</v>
      </c>
      <c r="F95" s="3" t="n">
        <v>20</v>
      </c>
      <c r="G95" s="2" t="inlineStr">
        <is>
          <t>Buy (reverse repo)</t>
        </is>
      </c>
      <c r="H95" s="2" t="n">
        <v>153</v>
      </c>
      <c r="I95" s="4" t="n">
        <v>46378</v>
      </c>
      <c r="J95" s="4" t="n">
        <v>46225</v>
      </c>
      <c r="K95" s="4" t="n">
        <v>46223</v>
      </c>
      <c r="L95" s="4" t="n">
        <v>46223</v>
      </c>
      <c r="M95" s="5" t="n">
        <v>29331000000</v>
      </c>
      <c r="N95" s="5" t="n">
        <v>28859200000</v>
      </c>
      <c r="O95" s="5" t="n">
        <v>471800000</v>
      </c>
      <c r="P95" s="3" t="n">
        <v>471.8</v>
      </c>
      <c r="Q95" s="6" t="n">
        <v>0.03900094069525207</v>
      </c>
      <c r="R95" s="2" t="inlineStr">
        <is>
          <t>duong</t>
        </is>
      </c>
      <c r="S95" s="2" t="inlineStr">
        <is>
          <t>Cho vay tien</t>
        </is>
      </c>
      <c r="T95" s="2" t="inlineStr"/>
      <c r="U95" s="2" t="n">
        <v>4.8326</v>
      </c>
      <c r="V95" s="2" t="n">
        <v>4.8</v>
      </c>
      <c r="W95" s="2" t="n">
        <v>-3.260000000000041</v>
      </c>
      <c r="X95" s="2" t="inlineStr">
        <is>
          <t>AFS-DCM</t>
        </is>
      </c>
      <c r="Y95" s="2" t="inlineStr">
        <is>
          <t>AFS-DCM</t>
        </is>
      </c>
    </row>
    <row r="96">
      <c r="A96" s="2" t="n">
        <v>50203</v>
      </c>
      <c r="B96" s="2" t="n">
        <v>50200</v>
      </c>
      <c r="C96" s="2" t="inlineStr">
        <is>
          <t>TL1545363</t>
        </is>
      </c>
      <c r="D96" s="2" t="inlineStr">
        <is>
          <t>QLQ_BAOVIE</t>
        </is>
      </c>
      <c r="E96" s="2" t="n">
        <v>8</v>
      </c>
      <c r="F96" s="3" t="n">
        <v>800</v>
      </c>
      <c r="G96" s="2" t="inlineStr">
        <is>
          <t>Buy (reverse repo)</t>
        </is>
      </c>
      <c r="H96" s="2" t="n">
        <v>153</v>
      </c>
      <c r="I96" s="4" t="n">
        <v>46378</v>
      </c>
      <c r="J96" s="4" t="n">
        <v>46225</v>
      </c>
      <c r="K96" s="4" t="n">
        <v>46223</v>
      </c>
      <c r="L96" s="4" t="n">
        <v>46223</v>
      </c>
      <c r="M96" s="5" t="n">
        <v>1173240000000</v>
      </c>
      <c r="N96" s="5" t="n">
        <v>1154368000000</v>
      </c>
      <c r="O96" s="5" t="n">
        <v>18872000000</v>
      </c>
      <c r="P96" s="3" t="n">
        <v>18872</v>
      </c>
      <c r="Q96" s="6" t="n">
        <v>0.03900094069525207</v>
      </c>
      <c r="R96" s="2" t="inlineStr">
        <is>
          <t>duong</t>
        </is>
      </c>
      <c r="S96" s="2" t="inlineStr">
        <is>
          <t>Cho vay tien</t>
        </is>
      </c>
      <c r="T96" s="2" t="inlineStr">
        <is>
          <t>Co</t>
        </is>
      </c>
      <c r="U96" s="2" t="n">
        <v>4.8326</v>
      </c>
      <c r="V96" s="2" t="n">
        <v>4.8</v>
      </c>
      <c r="W96" s="2" t="n">
        <v>-3.260000000000041</v>
      </c>
      <c r="X96" s="2" t="inlineStr">
        <is>
          <t>AFS-DCM</t>
        </is>
      </c>
      <c r="Y96" s="2" t="inlineStr">
        <is>
          <t>AFS-DCM</t>
        </is>
      </c>
    </row>
    <row r="97">
      <c r="A97" s="2" t="n">
        <v>50204</v>
      </c>
      <c r="B97" s="2" t="n">
        <v>50205</v>
      </c>
      <c r="C97" s="2" t="inlineStr">
        <is>
          <t>TD2454043</t>
        </is>
      </c>
      <c r="D97" s="2" t="inlineStr">
        <is>
          <t>CK_SGHN</t>
        </is>
      </c>
      <c r="E97" s="2" t="n">
        <v>2.8</v>
      </c>
      <c r="F97" s="3" t="n">
        <v>225</v>
      </c>
      <c r="G97" s="2" t="inlineStr">
        <is>
          <t>Sell (repo)</t>
        </is>
      </c>
      <c r="H97" s="2" t="n">
        <v>1</v>
      </c>
      <c r="I97" s="4" t="n">
        <v>46225</v>
      </c>
      <c r="J97" s="4" t="n">
        <v>46226</v>
      </c>
      <c r="K97" s="4" t="n">
        <v>46223</v>
      </c>
      <c r="L97" s="4" t="n">
        <v>46223</v>
      </c>
      <c r="M97" s="5" t="n">
        <v>171364500000</v>
      </c>
      <c r="N97" s="5" t="n">
        <v>171333000000</v>
      </c>
      <c r="O97" s="5" t="n">
        <v>31500000</v>
      </c>
      <c r="P97" s="3" t="n">
        <v>31.5</v>
      </c>
      <c r="Q97" s="6" t="n">
        <v>0.06709382631758619</v>
      </c>
      <c r="R97" s="2" t="inlineStr">
        <is>
          <t>duong</t>
        </is>
      </c>
      <c r="S97" s="2" t="inlineStr">
        <is>
          <t>Cho vay bond</t>
        </is>
      </c>
      <c r="T97" s="2" t="inlineStr"/>
      <c r="U97" s="2" t="n">
        <v>4.4007</v>
      </c>
      <c r="V97" s="2" t="n">
        <v>4.4025</v>
      </c>
      <c r="W97" s="2" t="n">
        <v>0.1800000000000246</v>
      </c>
      <c r="X97" s="2" t="inlineStr">
        <is>
          <t>AFS-DCM</t>
        </is>
      </c>
      <c r="Y97" s="2" t="inlineStr">
        <is>
          <t>AFS-DCM</t>
        </is>
      </c>
    </row>
    <row r="98">
      <c r="A98" s="2" t="n">
        <v>50206</v>
      </c>
      <c r="B98" s="2" t="n">
        <v>50207</v>
      </c>
      <c r="C98" s="2" t="inlineStr">
        <is>
          <t>TD2353151</t>
        </is>
      </c>
      <c r="D98" s="2" t="inlineStr">
        <is>
          <t>CK_SGHN</t>
        </is>
      </c>
      <c r="E98" s="2" t="n">
        <v>4.2</v>
      </c>
      <c r="F98" s="3" t="n">
        <v>32</v>
      </c>
      <c r="G98" s="2" t="inlineStr">
        <is>
          <t>Sell (repo)</t>
        </is>
      </c>
      <c r="H98" s="2" t="n">
        <v>1</v>
      </c>
      <c r="I98" s="4" t="n">
        <v>46225</v>
      </c>
      <c r="J98" s="4" t="n">
        <v>46226</v>
      </c>
      <c r="K98" s="4" t="n">
        <v>46223</v>
      </c>
      <c r="L98" s="4" t="n">
        <v>46223</v>
      </c>
      <c r="M98" s="5" t="n">
        <v>33477440000</v>
      </c>
      <c r="N98" s="5" t="n">
        <v>33467840000</v>
      </c>
      <c r="O98" s="5" t="n">
        <v>9600000</v>
      </c>
      <c r="P98" s="3" t="n">
        <v>9.6</v>
      </c>
      <c r="Q98" s="6" t="n">
        <v>0.1046675014576981</v>
      </c>
      <c r="R98" s="2" t="inlineStr">
        <is>
          <t>duong</t>
        </is>
      </c>
      <c r="S98" s="2" t="inlineStr">
        <is>
          <t>Cho vay bond</t>
        </is>
      </c>
      <c r="T98" s="2" t="inlineStr"/>
      <c r="U98" s="2" t="n">
        <v>4</v>
      </c>
      <c r="V98" s="2" t="n">
        <v>4.0025</v>
      </c>
      <c r="W98" s="2" t="n">
        <v>0.2500000000000391</v>
      </c>
      <c r="X98" s="2" t="inlineStr">
        <is>
          <t>AFS-DCM</t>
        </is>
      </c>
      <c r="Y98" s="2" t="inlineStr">
        <is>
          <t>AFS-DCM</t>
        </is>
      </c>
    </row>
    <row r="99">
      <c r="A99" s="2" t="n">
        <v>50208</v>
      </c>
      <c r="B99" s="2" t="n">
        <v>50209</v>
      </c>
      <c r="C99" s="2" t="inlineStr">
        <is>
          <t>TL1535300</t>
        </is>
      </c>
      <c r="D99" s="2" t="inlineStr">
        <is>
          <t>CK_TCBS</t>
        </is>
      </c>
      <c r="E99" s="2" t="n">
        <v>7.75</v>
      </c>
      <c r="F99" s="3" t="n">
        <v>848</v>
      </c>
      <c r="G99" s="2" t="inlineStr">
        <is>
          <t>Sell (repo)</t>
        </is>
      </c>
      <c r="H99" s="2" t="n">
        <v>4</v>
      </c>
      <c r="I99" s="4" t="n">
        <v>46227</v>
      </c>
      <c r="J99" s="4" t="n">
        <v>46231</v>
      </c>
      <c r="K99" s="4" t="n">
        <v>46224</v>
      </c>
      <c r="L99" s="4" t="n">
        <v>46224</v>
      </c>
      <c r="M99" s="5" t="n">
        <v>1115722080000</v>
      </c>
      <c r="N99" s="5" t="n">
        <v>1116256320000</v>
      </c>
      <c r="O99" s="5" t="n">
        <v>-534240000</v>
      </c>
      <c r="P99" s="3" t="n">
        <v>-534.24</v>
      </c>
      <c r="Q99" s="6" t="n">
        <v>-0.04369313906559957</v>
      </c>
      <c r="R99" s="2" t="inlineStr">
        <is>
          <t>am</t>
        </is>
      </c>
      <c r="S99" s="2" t="inlineStr">
        <is>
          <t>Vay tien</t>
        </is>
      </c>
      <c r="T99" s="2" t="inlineStr"/>
      <c r="U99" s="2" t="n">
        <v>4.45</v>
      </c>
      <c r="V99" s="2" t="n">
        <v>4.45</v>
      </c>
      <c r="W99" s="2" t="n">
        <v>0</v>
      </c>
      <c r="X99" s="2" t="inlineStr">
        <is>
          <t>AFS-DCM</t>
        </is>
      </c>
      <c r="Y99" s="2" t="inlineStr">
        <is>
          <t>AFS-DCM</t>
        </is>
      </c>
    </row>
    <row r="100">
      <c r="A100" s="2" t="n">
        <v>50210</v>
      </c>
      <c r="B100" s="2" t="n">
        <v>50211</v>
      </c>
      <c r="C100" s="2" t="inlineStr">
        <is>
          <t>TD2131012</t>
        </is>
      </c>
      <c r="D100" s="2" t="inlineStr">
        <is>
          <t>CK_TCBS</t>
        </is>
      </c>
      <c r="E100" s="2" t="n">
        <v>2.2</v>
      </c>
      <c r="F100" s="3" t="n">
        <v>100</v>
      </c>
      <c r="G100" s="2" t="inlineStr">
        <is>
          <t>Sell (repo)</t>
        </is>
      </c>
      <c r="H100" s="2" t="n">
        <v>4</v>
      </c>
      <c r="I100" s="4" t="n">
        <v>46227</v>
      </c>
      <c r="J100" s="4" t="n">
        <v>46231</v>
      </c>
      <c r="K100" s="4" t="n">
        <v>46224</v>
      </c>
      <c r="L100" s="4" t="n">
        <v>46224</v>
      </c>
      <c r="M100" s="5" t="n">
        <v>93511000000</v>
      </c>
      <c r="N100" s="5" t="n">
        <v>92735000000</v>
      </c>
      <c r="O100" s="5" t="n">
        <v>776000000</v>
      </c>
      <c r="P100" s="3" t="n">
        <v>776</v>
      </c>
      <c r="Q100" s="6" t="n">
        <v>0.7572371164889692</v>
      </c>
      <c r="R100" s="2" t="inlineStr">
        <is>
          <t>duong</t>
        </is>
      </c>
      <c r="S100" s="2" t="inlineStr">
        <is>
          <t>Cho vay bond</t>
        </is>
      </c>
      <c r="T100" s="2" t="inlineStr"/>
      <c r="U100" s="2" t="n">
        <v>4.1</v>
      </c>
      <c r="V100" s="2" t="n">
        <v>4.3155</v>
      </c>
      <c r="W100" s="2" t="n">
        <v>21.55000000000005</v>
      </c>
      <c r="X100" s="2" t="inlineStr">
        <is>
          <t>AFS-DCM</t>
        </is>
      </c>
      <c r="Y100" s="2" t="inlineStr">
        <is>
          <t>AFS-DCM</t>
        </is>
      </c>
    </row>
    <row r="101">
      <c r="A101" s="2" t="n">
        <v>50216</v>
      </c>
      <c r="B101" s="2" t="n">
        <v>50213</v>
      </c>
      <c r="C101" s="2" t="inlineStr">
        <is>
          <t>TD1747409</t>
        </is>
      </c>
      <c r="D101" s="2" t="inlineStr">
        <is>
          <t>QLQ_BAOVIE</t>
        </is>
      </c>
      <c r="E101" s="2" t="n">
        <v>7.9</v>
      </c>
      <c r="F101" s="3" t="n">
        <v>200</v>
      </c>
      <c r="G101" s="2" t="inlineStr">
        <is>
          <t>Buy (reverse repo)</t>
        </is>
      </c>
      <c r="H101" s="2" t="n">
        <v>160</v>
      </c>
      <c r="I101" s="4" t="n">
        <v>46386</v>
      </c>
      <c r="J101" s="4" t="n">
        <v>46226</v>
      </c>
      <c r="K101" s="4" t="n">
        <v>46224</v>
      </c>
      <c r="L101" s="4" t="n">
        <v>46224</v>
      </c>
      <c r="M101" s="5" t="n">
        <v>292846000000</v>
      </c>
      <c r="N101" s="5" t="n">
        <v>287924000000</v>
      </c>
      <c r="O101" s="5" t="n">
        <v>4922000000</v>
      </c>
      <c r="P101" s="3" t="n">
        <v>4922</v>
      </c>
      <c r="Q101" s="6" t="n">
        <v>0.03899748718411804</v>
      </c>
      <c r="R101" s="2" t="inlineStr">
        <is>
          <t>duong</t>
        </is>
      </c>
      <c r="S101" s="2" t="inlineStr">
        <is>
          <t>Cho vay tien</t>
        </is>
      </c>
      <c r="T101" s="2" t="inlineStr">
        <is>
          <t>Co</t>
        </is>
      </c>
      <c r="U101" s="2" t="n">
        <v>4.83295</v>
      </c>
      <c r="V101" s="2" t="n">
        <v>4.8</v>
      </c>
      <c r="W101" s="2" t="n">
        <v>-3.295000000000048</v>
      </c>
      <c r="X101" s="2" t="inlineStr">
        <is>
          <t>AFS-DCM</t>
        </is>
      </c>
      <c r="Y101" s="2" t="inlineStr">
        <is>
          <t>AFS-DCM</t>
        </is>
      </c>
    </row>
    <row r="102">
      <c r="A102" s="2" t="n">
        <v>50217</v>
      </c>
      <c r="B102" s="2" t="n">
        <v>50213</v>
      </c>
      <c r="C102" s="2" t="inlineStr">
        <is>
          <t>TD1747409</t>
        </is>
      </c>
      <c r="D102" s="2" t="inlineStr">
        <is>
          <t>QLQ_BAOVIE</t>
        </is>
      </c>
      <c r="E102" s="2" t="n">
        <v>7.9</v>
      </c>
      <c r="F102" s="3" t="n">
        <v>662</v>
      </c>
      <c r="G102" s="2" t="inlineStr">
        <is>
          <t>Buy (reverse repo)</t>
        </is>
      </c>
      <c r="H102" s="2" t="n">
        <v>160</v>
      </c>
      <c r="I102" s="4" t="n">
        <v>46386</v>
      </c>
      <c r="J102" s="4" t="n">
        <v>46226</v>
      </c>
      <c r="K102" s="4" t="n">
        <v>46224</v>
      </c>
      <c r="L102" s="4" t="n">
        <v>46224</v>
      </c>
      <c r="M102" s="5" t="n">
        <v>969320260000</v>
      </c>
      <c r="N102" s="5" t="n">
        <v>953028440000</v>
      </c>
      <c r="O102" s="5" t="n">
        <v>16291820000</v>
      </c>
      <c r="P102" s="3" t="n">
        <v>16291.82</v>
      </c>
      <c r="Q102" s="6" t="n">
        <v>0.03899748718411804</v>
      </c>
      <c r="R102" s="2" t="inlineStr">
        <is>
          <t>duong</t>
        </is>
      </c>
      <c r="S102" s="2" t="inlineStr">
        <is>
          <t>Cho vay tien</t>
        </is>
      </c>
      <c r="T102" s="2" t="inlineStr"/>
      <c r="U102" s="2" t="n">
        <v>4.83295</v>
      </c>
      <c r="V102" s="2" t="n">
        <v>4.8</v>
      </c>
      <c r="W102" s="2" t="n">
        <v>-3.295000000000048</v>
      </c>
      <c r="X102" s="2" t="inlineStr">
        <is>
          <t>AFS-DCM</t>
        </is>
      </c>
      <c r="Y102" s="2" t="inlineStr">
        <is>
          <t>AFS-DCM</t>
        </is>
      </c>
    </row>
    <row r="103">
      <c r="A103" s="2" t="n">
        <v>50217</v>
      </c>
      <c r="B103" s="2" t="n">
        <v>50212</v>
      </c>
      <c r="C103" s="2" t="inlineStr">
        <is>
          <t>TD1747409</t>
        </is>
      </c>
      <c r="D103" s="2" t="inlineStr">
        <is>
          <t>QLQ_BAOVIE</t>
        </is>
      </c>
      <c r="E103" s="2" t="n">
        <v>7.9</v>
      </c>
      <c r="F103" s="3" t="n">
        <v>200</v>
      </c>
      <c r="G103" s="2" t="inlineStr">
        <is>
          <t>Buy (reverse repo)</t>
        </is>
      </c>
      <c r="H103" s="2" t="n">
        <v>160</v>
      </c>
      <c r="I103" s="4" t="n">
        <v>46386</v>
      </c>
      <c r="J103" s="4" t="n">
        <v>46226</v>
      </c>
      <c r="K103" s="4" t="n">
        <v>46224</v>
      </c>
      <c r="L103" s="4" t="n">
        <v>46224</v>
      </c>
      <c r="M103" s="5" t="n">
        <v>292846000000</v>
      </c>
      <c r="N103" s="5" t="n">
        <v>287924000000</v>
      </c>
      <c r="O103" s="5" t="n">
        <v>4922000000</v>
      </c>
      <c r="P103" s="3" t="n">
        <v>4922</v>
      </c>
      <c r="Q103" s="6" t="n">
        <v>0.03899748718411804</v>
      </c>
      <c r="R103" s="2" t="inlineStr">
        <is>
          <t>duong</t>
        </is>
      </c>
      <c r="S103" s="2" t="inlineStr">
        <is>
          <t>Cho vay tien</t>
        </is>
      </c>
      <c r="T103" s="2" t="inlineStr">
        <is>
          <t>Co</t>
        </is>
      </c>
      <c r="U103" s="2" t="n">
        <v>4.83295</v>
      </c>
      <c r="V103" s="2" t="n">
        <v>4.8</v>
      </c>
      <c r="W103" s="2" t="n">
        <v>-3.295000000000048</v>
      </c>
      <c r="X103" s="2" t="inlineStr">
        <is>
          <t>AFS-DCM</t>
        </is>
      </c>
      <c r="Y103" s="2" t="inlineStr">
        <is>
          <t>AFS-DCM</t>
        </is>
      </c>
    </row>
    <row r="104">
      <c r="A104" s="2" t="n">
        <v>50218</v>
      </c>
      <c r="B104" s="2" t="n">
        <v>50215</v>
      </c>
      <c r="C104" s="2" t="inlineStr">
        <is>
          <t>TD2252132</t>
        </is>
      </c>
      <c r="D104" s="2" t="inlineStr">
        <is>
          <t>QLQ_BAOVIE</t>
        </is>
      </c>
      <c r="E104" s="2" t="n">
        <v>2.9</v>
      </c>
      <c r="F104" s="3" t="n">
        <v>100</v>
      </c>
      <c r="G104" s="2" t="inlineStr">
        <is>
          <t>Buy (reverse repo)</t>
        </is>
      </c>
      <c r="H104" s="2" t="n">
        <v>160</v>
      </c>
      <c r="I104" s="4" t="n">
        <v>46386</v>
      </c>
      <c r="J104" s="4" t="n">
        <v>46226</v>
      </c>
      <c r="K104" s="4" t="n">
        <v>46224</v>
      </c>
      <c r="L104" s="4" t="n">
        <v>46224</v>
      </c>
      <c r="M104" s="5" t="n">
        <v>74344000000</v>
      </c>
      <c r="N104" s="5" t="n">
        <v>73094000000</v>
      </c>
      <c r="O104" s="5" t="n">
        <v>1250000000</v>
      </c>
      <c r="P104" s="3" t="n">
        <v>1250</v>
      </c>
      <c r="Q104" s="6" t="n">
        <v>0.03901226502859333</v>
      </c>
      <c r="R104" s="2" t="inlineStr">
        <is>
          <t>duong</t>
        </is>
      </c>
      <c r="S104" s="2" t="inlineStr">
        <is>
          <t>Cho vay tien</t>
        </is>
      </c>
      <c r="T104" s="2" t="inlineStr">
        <is>
          <t>Co</t>
        </is>
      </c>
      <c r="U104" s="2" t="n">
        <v>4.8953</v>
      </c>
      <c r="V104" s="2" t="n">
        <v>4.87</v>
      </c>
      <c r="W104" s="2" t="n">
        <v>-2.529999999999966</v>
      </c>
      <c r="X104" s="2" t="inlineStr">
        <is>
          <t>AFS-DCM</t>
        </is>
      </c>
      <c r="Y104" s="2" t="inlineStr">
        <is>
          <t>AFS-DCM</t>
        </is>
      </c>
    </row>
    <row r="105">
      <c r="A105" s="2" t="n">
        <v>50218</v>
      </c>
      <c r="B105" s="2" t="n">
        <v>50214</v>
      </c>
      <c r="C105" s="2" t="inlineStr">
        <is>
          <t>TD2252132</t>
        </is>
      </c>
      <c r="D105" s="2" t="inlineStr">
        <is>
          <t>QLQ_BAOVIE</t>
        </is>
      </c>
      <c r="E105" s="2" t="n">
        <v>2.9</v>
      </c>
      <c r="F105" s="3" t="n">
        <v>237</v>
      </c>
      <c r="G105" s="2" t="inlineStr">
        <is>
          <t>Buy (reverse repo)</t>
        </is>
      </c>
      <c r="H105" s="2" t="n">
        <v>160</v>
      </c>
      <c r="I105" s="4" t="n">
        <v>46386</v>
      </c>
      <c r="J105" s="4" t="n">
        <v>46226</v>
      </c>
      <c r="K105" s="4" t="n">
        <v>46224</v>
      </c>
      <c r="L105" s="4" t="n">
        <v>46224</v>
      </c>
      <c r="M105" s="5" t="n">
        <v>176195280000</v>
      </c>
      <c r="N105" s="5" t="n">
        <v>173232780000</v>
      </c>
      <c r="O105" s="5" t="n">
        <v>2962500000</v>
      </c>
      <c r="P105" s="3" t="n">
        <v>2962.5</v>
      </c>
      <c r="Q105" s="6" t="n">
        <v>0.03901226502859333</v>
      </c>
      <c r="R105" s="2" t="inlineStr">
        <is>
          <t>duong</t>
        </is>
      </c>
      <c r="S105" s="2" t="inlineStr">
        <is>
          <t>Cho vay tien</t>
        </is>
      </c>
      <c r="T105" s="2" t="inlineStr"/>
      <c r="U105" s="2" t="n">
        <v>4.8953</v>
      </c>
      <c r="V105" s="2" t="n">
        <v>4.87</v>
      </c>
      <c r="W105" s="2" t="n">
        <v>-2.529999999999966</v>
      </c>
      <c r="X105" s="2" t="inlineStr">
        <is>
          <t>AFS-DCM</t>
        </is>
      </c>
      <c r="Y105" s="2" t="inlineStr">
        <is>
          <t>AFS-DCM</t>
        </is>
      </c>
    </row>
    <row r="106">
      <c r="A106" s="2" t="n">
        <v>50219</v>
      </c>
      <c r="B106" s="2" t="n">
        <v>50214</v>
      </c>
      <c r="C106" s="2" t="inlineStr">
        <is>
          <t>TD2252132</t>
        </is>
      </c>
      <c r="D106" s="2" t="inlineStr">
        <is>
          <t>QLQ_BAOVIE</t>
        </is>
      </c>
      <c r="E106" s="2" t="n">
        <v>2.9</v>
      </c>
      <c r="F106" s="3" t="n">
        <v>100</v>
      </c>
      <c r="G106" s="2" t="inlineStr">
        <is>
          <t>Buy (reverse repo)</t>
        </is>
      </c>
      <c r="H106" s="2" t="n">
        <v>160</v>
      </c>
      <c r="I106" s="4" t="n">
        <v>46386</v>
      </c>
      <c r="J106" s="4" t="n">
        <v>46226</v>
      </c>
      <c r="K106" s="4" t="n">
        <v>46224</v>
      </c>
      <c r="L106" s="4" t="n">
        <v>46224</v>
      </c>
      <c r="M106" s="5" t="n">
        <v>74344000000</v>
      </c>
      <c r="N106" s="5" t="n">
        <v>73094000000</v>
      </c>
      <c r="O106" s="5" t="n">
        <v>1250000000</v>
      </c>
      <c r="P106" s="3" t="n">
        <v>1250</v>
      </c>
      <c r="Q106" s="6" t="n">
        <v>0.03901226502859333</v>
      </c>
      <c r="R106" s="2" t="inlineStr">
        <is>
          <t>duong</t>
        </is>
      </c>
      <c r="S106" s="2" t="inlineStr">
        <is>
          <t>Cho vay tien</t>
        </is>
      </c>
      <c r="T106" s="2" t="inlineStr">
        <is>
          <t>Co</t>
        </is>
      </c>
      <c r="U106" s="2" t="n">
        <v>4.8953</v>
      </c>
      <c r="V106" s="2" t="n">
        <v>4.87</v>
      </c>
      <c r="W106" s="2" t="n">
        <v>-2.529999999999966</v>
      </c>
      <c r="X106" s="2" t="inlineStr">
        <is>
          <t>AFS-DCM</t>
        </is>
      </c>
      <c r="Y106" s="2" t="inlineStr">
        <is>
          <t>AFS-DCM</t>
        </is>
      </c>
    </row>
    <row r="107">
      <c r="A107" s="2" t="n">
        <v>50220</v>
      </c>
      <c r="B107" s="2" t="n">
        <v>50221</v>
      </c>
      <c r="C107" s="2" t="inlineStr">
        <is>
          <t>TD2535023</t>
        </is>
      </c>
      <c r="D107" s="2" t="inlineStr">
        <is>
          <t>CK_VIETIN</t>
        </is>
      </c>
      <c r="E107" s="2" t="n">
        <v>2.9</v>
      </c>
      <c r="F107" s="3" t="n">
        <v>150</v>
      </c>
      <c r="G107" s="2" t="inlineStr">
        <is>
          <t>Sell (repo)</t>
        </is>
      </c>
      <c r="H107" s="2" t="n">
        <v>3</v>
      </c>
      <c r="I107" s="4" t="n">
        <v>46230</v>
      </c>
      <c r="J107" s="4" t="n">
        <v>46233</v>
      </c>
      <c r="K107" s="4" t="n">
        <v>46225</v>
      </c>
      <c r="L107" s="4" t="n">
        <v>46225</v>
      </c>
      <c r="M107" s="5" t="n">
        <v>145405500000</v>
      </c>
      <c r="N107" s="5" t="n">
        <v>145423500000</v>
      </c>
      <c r="O107" s="5" t="n">
        <v>-18000000</v>
      </c>
      <c r="P107" s="3" t="n">
        <v>-18</v>
      </c>
      <c r="Q107" s="6" t="n">
        <v>-0.0150613284917008</v>
      </c>
      <c r="R107" s="2" t="inlineStr">
        <is>
          <t>am</t>
        </is>
      </c>
      <c r="S107" s="2" t="inlineStr">
        <is>
          <t>Vay tien</t>
        </is>
      </c>
      <c r="T107" s="2" t="inlineStr"/>
      <c r="U107" s="2" t="n">
        <v>3.48</v>
      </c>
      <c r="V107" s="2" t="n">
        <v>3.4821</v>
      </c>
      <c r="W107" s="2" t="n">
        <v>0.2099999999999991</v>
      </c>
      <c r="X107" s="2" t="inlineStr">
        <is>
          <t>AFS-DCM</t>
        </is>
      </c>
      <c r="Y107" s="2" t="inlineStr">
        <is>
          <t>AFS-DCM</t>
        </is>
      </c>
    </row>
    <row r="108">
      <c r="A108" s="2" t="n">
        <v>50222</v>
      </c>
      <c r="B108" s="2" t="n">
        <v>50223</v>
      </c>
      <c r="C108" s="2" t="inlineStr">
        <is>
          <t>TD2353151</t>
        </is>
      </c>
      <c r="D108" s="2" t="inlineStr">
        <is>
          <t>CK_BIDV</t>
        </is>
      </c>
      <c r="E108" s="2" t="n">
        <v>4.2</v>
      </c>
      <c r="F108" s="3" t="n">
        <v>450</v>
      </c>
      <c r="G108" s="2" t="inlineStr">
        <is>
          <t>Sell (repo)</t>
        </is>
      </c>
      <c r="H108" s="2" t="n">
        <v>33</v>
      </c>
      <c r="I108" s="4" t="n">
        <v>46239</v>
      </c>
      <c r="J108" s="4" t="n">
        <v>46272</v>
      </c>
      <c r="K108" s="4" t="n">
        <v>46225</v>
      </c>
      <c r="L108" s="4" t="n">
        <v>46225</v>
      </c>
      <c r="M108" s="5" t="n">
        <v>429574500000</v>
      </c>
      <c r="N108" s="5" t="n">
        <v>431001000000</v>
      </c>
      <c r="O108" s="5" t="n">
        <v>-1426500000</v>
      </c>
      <c r="P108" s="3" t="n">
        <v>-1426.5</v>
      </c>
      <c r="Q108" s="6" t="n">
        <v>-0.03672926243400049</v>
      </c>
      <c r="R108" s="2" t="inlineStr">
        <is>
          <t>am</t>
        </is>
      </c>
      <c r="S108" s="2" t="inlineStr">
        <is>
          <t>Vay tien</t>
        </is>
      </c>
      <c r="T108" s="2" t="inlineStr"/>
      <c r="U108" s="2" t="n">
        <v>4.6</v>
      </c>
      <c r="V108" s="2" t="n">
        <v>4.605</v>
      </c>
      <c r="W108" s="2" t="n">
        <v>0.5000000000000782</v>
      </c>
      <c r="X108" s="2" t="inlineStr">
        <is>
          <t>AFS-DCM</t>
        </is>
      </c>
      <c r="Y108" s="2" t="inlineStr">
        <is>
          <t>AFS-DCM</t>
        </is>
      </c>
    </row>
    <row r="109">
      <c r="A109" s="2" t="n">
        <v>50224</v>
      </c>
      <c r="B109" s="2" t="n">
        <v>50225</v>
      </c>
      <c r="C109" s="2" t="inlineStr">
        <is>
          <t>TD2353151</t>
        </is>
      </c>
      <c r="D109" s="2" t="inlineStr">
        <is>
          <t>CK_BIDV</t>
        </is>
      </c>
      <c r="E109" s="2" t="n">
        <v>4.2</v>
      </c>
      <c r="F109" s="3" t="n">
        <v>200</v>
      </c>
      <c r="G109" s="2" t="inlineStr">
        <is>
          <t>Sell (repo)</t>
        </is>
      </c>
      <c r="H109" s="2" t="n">
        <v>33</v>
      </c>
      <c r="I109" s="4" t="n">
        <v>46239</v>
      </c>
      <c r="J109" s="4" t="n">
        <v>46272</v>
      </c>
      <c r="K109" s="4" t="n">
        <v>46225</v>
      </c>
      <c r="L109" s="4" t="n">
        <v>46225</v>
      </c>
      <c r="M109" s="5" t="n">
        <v>190922000000</v>
      </c>
      <c r="N109" s="5" t="n">
        <v>191514000000</v>
      </c>
      <c r="O109" s="5" t="n">
        <v>-592000000</v>
      </c>
      <c r="P109" s="3" t="n">
        <v>-592</v>
      </c>
      <c r="Q109" s="6" t="n">
        <v>-0.03429609362922444</v>
      </c>
      <c r="R109" s="2" t="inlineStr">
        <is>
          <t>am</t>
        </is>
      </c>
      <c r="S109" s="2" t="inlineStr">
        <is>
          <t>Vay tien</t>
        </is>
      </c>
      <c r="T109" s="2" t="inlineStr"/>
      <c r="U109" s="2" t="n">
        <v>4.6</v>
      </c>
      <c r="V109" s="2" t="n">
        <v>4.6064</v>
      </c>
      <c r="W109" s="2" t="n">
        <v>0.6400000000000183</v>
      </c>
      <c r="X109" s="2" t="inlineStr">
        <is>
          <t>AFS-DCM</t>
        </is>
      </c>
      <c r="Y109" s="2" t="inlineStr">
        <is>
          <t>AFS-DCM</t>
        </is>
      </c>
    </row>
    <row r="110">
      <c r="A110" s="2" t="n">
        <v>50226</v>
      </c>
      <c r="B110" s="2" t="n">
        <v>50227</v>
      </c>
      <c r="C110" s="2" t="inlineStr">
        <is>
          <t>TD2353151</t>
        </is>
      </c>
      <c r="D110" s="2" t="inlineStr">
        <is>
          <t>CK_BIDV</t>
        </is>
      </c>
      <c r="E110" s="2" t="n">
        <v>4.2</v>
      </c>
      <c r="F110" s="3" t="n">
        <v>300</v>
      </c>
      <c r="G110" s="2" t="inlineStr">
        <is>
          <t>Sell (repo)</t>
        </is>
      </c>
      <c r="H110" s="2" t="n">
        <v>32</v>
      </c>
      <c r="I110" s="4" t="n">
        <v>46241</v>
      </c>
      <c r="J110" s="4" t="n">
        <v>46273</v>
      </c>
      <c r="K110" s="4" t="n">
        <v>46225</v>
      </c>
      <c r="L110" s="4" t="n">
        <v>46225</v>
      </c>
      <c r="M110" s="5" t="n">
        <v>286455000000</v>
      </c>
      <c r="N110" s="5" t="n">
        <v>287364000000</v>
      </c>
      <c r="O110" s="5" t="n">
        <v>-909000000</v>
      </c>
      <c r="P110" s="3" t="n">
        <v>-909</v>
      </c>
      <c r="Q110" s="6" t="n">
        <v>-0.03619514845263654</v>
      </c>
      <c r="R110" s="2" t="inlineStr">
        <is>
          <t>am</t>
        </is>
      </c>
      <c r="S110" s="2" t="inlineStr">
        <is>
          <t>Vay tien</t>
        </is>
      </c>
      <c r="T110" s="2" t="inlineStr"/>
      <c r="U110" s="2" t="n">
        <v>4.6</v>
      </c>
      <c r="V110" s="2" t="n">
        <v>4.6051</v>
      </c>
      <c r="W110" s="2" t="n">
        <v>0.5100000000000549</v>
      </c>
      <c r="X110" s="2" t="inlineStr">
        <is>
          <t>AFS-DCM</t>
        </is>
      </c>
      <c r="Y110" s="2" t="inlineStr">
        <is>
          <t>AFS-DCM</t>
        </is>
      </c>
    </row>
    <row r="111">
      <c r="A111" s="2" t="n">
        <v>50228</v>
      </c>
      <c r="B111" s="2" t="n">
        <v>50229</v>
      </c>
      <c r="C111" s="2" t="inlineStr">
        <is>
          <t>TD2353151</t>
        </is>
      </c>
      <c r="D111" s="2" t="inlineStr">
        <is>
          <t>CK_BIDV</t>
        </is>
      </c>
      <c r="E111" s="2" t="n">
        <v>4.2</v>
      </c>
      <c r="F111" s="3" t="n">
        <v>350</v>
      </c>
      <c r="G111" s="2" t="inlineStr">
        <is>
          <t>Sell (repo)</t>
        </is>
      </c>
      <c r="H111" s="2" t="n">
        <v>32</v>
      </c>
      <c r="I111" s="4" t="n">
        <v>46241</v>
      </c>
      <c r="J111" s="4" t="n">
        <v>46273</v>
      </c>
      <c r="K111" s="4" t="n">
        <v>46225</v>
      </c>
      <c r="L111" s="4" t="n">
        <v>46225</v>
      </c>
      <c r="M111" s="5" t="n">
        <v>334197500000</v>
      </c>
      <c r="N111" s="5" t="n">
        <v>335247500000</v>
      </c>
      <c r="O111" s="5" t="n">
        <v>-1050000000</v>
      </c>
      <c r="P111" s="3" t="n">
        <v>-1050</v>
      </c>
      <c r="Q111" s="6" t="n">
        <v>-0.03583678064617479</v>
      </c>
      <c r="R111" s="2" t="inlineStr">
        <is>
          <t>am</t>
        </is>
      </c>
      <c r="S111" s="2" t="inlineStr">
        <is>
          <t>Vay tien</t>
        </is>
      </c>
      <c r="T111" s="2" t="inlineStr"/>
      <c r="U111" s="2" t="n">
        <v>4.6</v>
      </c>
      <c r="V111" s="2" t="n">
        <v>4.6053</v>
      </c>
      <c r="W111" s="2" t="n">
        <v>0.5300000000000082</v>
      </c>
      <c r="X111" s="2" t="inlineStr">
        <is>
          <t>AFS-DCM</t>
        </is>
      </c>
      <c r="Y111" s="2" t="inlineStr">
        <is>
          <t>AFS-DCM</t>
        </is>
      </c>
    </row>
    <row r="112">
      <c r="A112" s="2" t="n">
        <v>50236</v>
      </c>
      <c r="B112" s="2" t="n">
        <v>50237</v>
      </c>
      <c r="C112" s="2" t="inlineStr">
        <is>
          <t>TD2353151</t>
        </is>
      </c>
      <c r="D112" s="2" t="inlineStr">
        <is>
          <t>CK_APG</t>
        </is>
      </c>
      <c r="E112" s="2" t="n">
        <v>4.2</v>
      </c>
      <c r="F112" s="3" t="n">
        <v>80</v>
      </c>
      <c r="G112" s="2" t="inlineStr">
        <is>
          <t>Sell (repo)</t>
        </is>
      </c>
      <c r="H112" s="2" t="n">
        <v>1</v>
      </c>
      <c r="I112" s="4" t="n">
        <v>46230</v>
      </c>
      <c r="J112" s="4" t="n">
        <v>46231</v>
      </c>
      <c r="K112" s="4" t="n">
        <v>46226</v>
      </c>
      <c r="L112" s="4" t="n">
        <v>46226</v>
      </c>
      <c r="M112" s="5" t="n">
        <v>78540000000</v>
      </c>
      <c r="N112" s="5" t="n">
        <v>78512800000</v>
      </c>
      <c r="O112" s="5" t="n">
        <v>27200000</v>
      </c>
      <c r="P112" s="3" t="n">
        <v>27.2</v>
      </c>
      <c r="Q112" s="6" t="n">
        <v>0.1264069264069264</v>
      </c>
      <c r="R112" s="2" t="inlineStr">
        <is>
          <t>duong</t>
        </is>
      </c>
      <c r="S112" s="2" t="inlineStr">
        <is>
          <t>Cho vay bond</t>
        </is>
      </c>
      <c r="T112" s="2" t="inlineStr"/>
      <c r="U112" s="2" t="n">
        <v>4.41</v>
      </c>
      <c r="V112" s="2" t="n">
        <v>4.413</v>
      </c>
      <c r="W112" s="2" t="n">
        <v>0.3000000000000114</v>
      </c>
      <c r="X112" s="2" t="inlineStr">
        <is>
          <t>AFS-DCM</t>
        </is>
      </c>
      <c r="Y112" s="2" t="inlineStr">
        <is>
          <t>AFS-DCM</t>
        </is>
      </c>
    </row>
    <row r="113">
      <c r="A113" s="2" t="n">
        <v>50238</v>
      </c>
      <c r="B113" s="2" t="n">
        <v>50239</v>
      </c>
      <c r="C113" s="2" t="inlineStr">
        <is>
          <t>TD1646503</t>
        </is>
      </c>
      <c r="D113" s="2" t="inlineStr">
        <is>
          <t>CK_APG</t>
        </is>
      </c>
      <c r="E113" s="2" t="n">
        <v>7.9</v>
      </c>
      <c r="F113" s="3" t="n">
        <v>50</v>
      </c>
      <c r="G113" s="2" t="inlineStr">
        <is>
          <t>Sell (repo)</t>
        </is>
      </c>
      <c r="H113" s="2" t="n">
        <v>1</v>
      </c>
      <c r="I113" s="4" t="n">
        <v>46230</v>
      </c>
      <c r="J113" s="4" t="n">
        <v>46231</v>
      </c>
      <c r="K113" s="4" t="n">
        <v>46226</v>
      </c>
      <c r="L113" s="4" t="n">
        <v>46226</v>
      </c>
      <c r="M113" s="5" t="n">
        <v>78792500000</v>
      </c>
      <c r="N113" s="5" t="n">
        <v>78788500000</v>
      </c>
      <c r="O113" s="5" t="n">
        <v>4000000</v>
      </c>
      <c r="P113" s="3" t="n">
        <v>4</v>
      </c>
      <c r="Q113" s="6" t="n">
        <v>0.01852968239362883</v>
      </c>
      <c r="R113" s="2" t="inlineStr">
        <is>
          <t>duong</t>
        </is>
      </c>
      <c r="S113" s="2" t="inlineStr">
        <is>
          <t>Cho vay bond</t>
        </is>
      </c>
      <c r="T113" s="2" t="inlineStr"/>
      <c r="U113" s="2" t="n">
        <v>4.1079</v>
      </c>
      <c r="V113" s="2" t="n">
        <v>4.1093</v>
      </c>
      <c r="W113" s="2" t="n">
        <v>0.140000000000029</v>
      </c>
      <c r="X113" s="2" t="inlineStr">
        <is>
          <t>AFS-DCM</t>
        </is>
      </c>
      <c r="Y113" s="2" t="inlineStr">
        <is>
          <t>AFS-DCM</t>
        </is>
      </c>
    </row>
    <row r="114">
      <c r="A114" s="2" t="n">
        <v>50249</v>
      </c>
      <c r="B114" s="2" t="n">
        <v>50247</v>
      </c>
      <c r="C114" s="2" t="inlineStr">
        <is>
          <t>TD2040031</t>
        </is>
      </c>
      <c r="D114" s="2" t="inlineStr">
        <is>
          <t>QLQ_BAOVIE</t>
        </is>
      </c>
      <c r="E114" s="2" t="n">
        <v>3.6</v>
      </c>
      <c r="F114" s="3" t="n">
        <v>150</v>
      </c>
      <c r="G114" s="2" t="inlineStr">
        <is>
          <t>Buy (reverse repo)</t>
        </is>
      </c>
      <c r="H114" s="2" t="n">
        <v>154</v>
      </c>
      <c r="I114" s="4" t="n">
        <v>46385</v>
      </c>
      <c r="J114" s="4" t="n">
        <v>46231</v>
      </c>
      <c r="K114" s="4" t="n">
        <v>46230</v>
      </c>
      <c r="L114" s="4" t="n">
        <v>46230</v>
      </c>
      <c r="M114" s="5" t="n">
        <v>138720000000</v>
      </c>
      <c r="N114" s="5" t="n">
        <v>136474500000</v>
      </c>
      <c r="O114" s="5" t="n">
        <v>2245500000</v>
      </c>
      <c r="P114" s="3" t="n">
        <v>2245.5</v>
      </c>
      <c r="Q114" s="6" t="n">
        <v>0.03899722382845604</v>
      </c>
      <c r="R114" s="2" t="inlineStr">
        <is>
          <t>duong</t>
        </is>
      </c>
      <c r="S114" s="2" t="inlineStr">
        <is>
          <t>Cho vay tien</t>
        </is>
      </c>
      <c r="T114" s="2" t="inlineStr">
        <is>
          <t>Co</t>
        </is>
      </c>
      <c r="U114" s="2" t="n">
        <v>4.7526</v>
      </c>
      <c r="V114" s="2" t="n">
        <v>4.72</v>
      </c>
      <c r="W114" s="2" t="n">
        <v>-3.260000000000041</v>
      </c>
      <c r="X114" s="2" t="inlineStr">
        <is>
          <t>AFS-DCM</t>
        </is>
      </c>
      <c r="Y114" s="2" t="inlineStr">
        <is>
          <t>AFS-DCM</t>
        </is>
      </c>
    </row>
    <row r="115">
      <c r="A115" s="2" t="n">
        <v>50249</v>
      </c>
      <c r="B115" s="2" t="n">
        <v>50244</v>
      </c>
      <c r="C115" s="2" t="inlineStr">
        <is>
          <t>TD2040031</t>
        </is>
      </c>
      <c r="D115" s="2" t="inlineStr">
        <is>
          <t>QLQ_BAOVIE</t>
        </is>
      </c>
      <c r="E115" s="2" t="n">
        <v>3.6</v>
      </c>
      <c r="F115" s="3" t="n">
        <v>800</v>
      </c>
      <c r="G115" s="2" t="inlineStr">
        <is>
          <t>Buy (reverse repo)</t>
        </is>
      </c>
      <c r="H115" s="2" t="n">
        <v>154</v>
      </c>
      <c r="I115" s="4" t="n">
        <v>46385</v>
      </c>
      <c r="J115" s="4" t="n">
        <v>46231</v>
      </c>
      <c r="K115" s="4" t="n">
        <v>46230</v>
      </c>
      <c r="L115" s="4" t="n">
        <v>46230</v>
      </c>
      <c r="M115" s="5" t="n">
        <v>739840000000</v>
      </c>
      <c r="N115" s="5" t="n">
        <v>727864000000</v>
      </c>
      <c r="O115" s="5" t="n">
        <v>11976000000</v>
      </c>
      <c r="P115" s="3" t="n">
        <v>11976</v>
      </c>
      <c r="Q115" s="6" t="n">
        <v>0.03899722382845604</v>
      </c>
      <c r="R115" s="2" t="inlineStr">
        <is>
          <t>duong</t>
        </is>
      </c>
      <c r="S115" s="2" t="inlineStr">
        <is>
          <t>Cho vay tien</t>
        </is>
      </c>
      <c r="T115" s="2" t="inlineStr"/>
      <c r="U115" s="2" t="n">
        <v>4.7526</v>
      </c>
      <c r="V115" s="2" t="n">
        <v>4.72</v>
      </c>
      <c r="W115" s="2" t="n">
        <v>-3.260000000000041</v>
      </c>
      <c r="X115" s="2" t="inlineStr">
        <is>
          <t>AFS-DCM</t>
        </is>
      </c>
      <c r="Y115" s="2" t="inlineStr">
        <is>
          <t>AFS-DCM</t>
        </is>
      </c>
    </row>
    <row r="116">
      <c r="A116" s="2" t="n">
        <v>50250</v>
      </c>
      <c r="B116" s="2" t="n">
        <v>50245</v>
      </c>
      <c r="C116" s="2" t="inlineStr">
        <is>
          <t>TD2237118</t>
        </is>
      </c>
      <c r="D116" s="2" t="inlineStr">
        <is>
          <t>QLQ_BAOVIE</t>
        </is>
      </c>
      <c r="E116" s="2" t="n">
        <v>2.3</v>
      </c>
      <c r="F116" s="3" t="n">
        <v>50</v>
      </c>
      <c r="G116" s="2" t="inlineStr">
        <is>
          <t>Buy (reverse repo)</t>
        </is>
      </c>
      <c r="H116" s="2" t="n">
        <v>154</v>
      </c>
      <c r="I116" s="4" t="n">
        <v>46385</v>
      </c>
      <c r="J116" s="4" t="n">
        <v>46231</v>
      </c>
      <c r="K116" s="4" t="n">
        <v>46230</v>
      </c>
      <c r="L116" s="4" t="n">
        <v>46230</v>
      </c>
      <c r="M116" s="5" t="n">
        <v>42235500000</v>
      </c>
      <c r="N116" s="5" t="n">
        <v>41552000000</v>
      </c>
      <c r="O116" s="5" t="n">
        <v>683500000</v>
      </c>
      <c r="P116" s="3" t="n">
        <v>683.5</v>
      </c>
      <c r="Q116" s="6" t="n">
        <v>0.03898690234486345</v>
      </c>
      <c r="R116" s="2" t="inlineStr">
        <is>
          <t>duong</t>
        </is>
      </c>
      <c r="S116" s="2" t="inlineStr">
        <is>
          <t>Cho vay tien</t>
        </is>
      </c>
      <c r="T116" s="2" t="inlineStr"/>
      <c r="U116" s="2" t="n">
        <v>4.5481</v>
      </c>
      <c r="V116" s="2" t="n">
        <v>4.52</v>
      </c>
      <c r="W116" s="2" t="n">
        <v>-2.810000000000024</v>
      </c>
      <c r="X116" s="2" t="inlineStr">
        <is>
          <t>AFS-DCM</t>
        </is>
      </c>
      <c r="Y116" s="2" t="inlineStr">
        <is>
          <t>AFS-DCM</t>
        </is>
      </c>
    </row>
    <row r="117">
      <c r="A117" s="2" t="n">
        <v>50251</v>
      </c>
      <c r="B117" s="2" t="n">
        <v>50246</v>
      </c>
      <c r="C117" s="2" t="inlineStr">
        <is>
          <t>TD1949205</t>
        </is>
      </c>
      <c r="D117" s="2" t="inlineStr">
        <is>
          <t>QLQ_BAOVIE</t>
        </is>
      </c>
      <c r="E117" s="2" t="n">
        <v>5.8</v>
      </c>
      <c r="F117" s="3" t="n">
        <v>50</v>
      </c>
      <c r="G117" s="2" t="inlineStr">
        <is>
          <t>Buy (reverse repo)</t>
        </is>
      </c>
      <c r="H117" s="2" t="n">
        <v>154</v>
      </c>
      <c r="I117" s="4" t="n">
        <v>46385</v>
      </c>
      <c r="J117" s="4" t="n">
        <v>46231</v>
      </c>
      <c r="K117" s="4" t="n">
        <v>46230</v>
      </c>
      <c r="L117" s="4" t="n">
        <v>46230</v>
      </c>
      <c r="M117" s="5" t="n">
        <v>58674500000</v>
      </c>
      <c r="N117" s="5" t="n">
        <v>57724500000</v>
      </c>
      <c r="O117" s="5" t="n">
        <v>950000000</v>
      </c>
      <c r="P117" s="3" t="n">
        <v>950</v>
      </c>
      <c r="Q117" s="6" t="n">
        <v>0.03900637297202014</v>
      </c>
      <c r="R117" s="2" t="inlineStr">
        <is>
          <t>duong</t>
        </is>
      </c>
      <c r="S117" s="2" t="inlineStr">
        <is>
          <t>Cho vay tien</t>
        </is>
      </c>
      <c r="T117" s="2" t="inlineStr"/>
      <c r="U117" s="2" t="n">
        <v>4.9004</v>
      </c>
      <c r="V117" s="2" t="n">
        <v>4.87</v>
      </c>
      <c r="W117" s="2" t="n">
        <v>-3.04000000000002</v>
      </c>
      <c r="X117" s="2" t="inlineStr">
        <is>
          <t>AFS-DCM</t>
        </is>
      </c>
      <c r="Y117" s="2" t="inlineStr">
        <is>
          <t>AFS-DCM</t>
        </is>
      </c>
    </row>
    <row r="118">
      <c r="A118" s="2" t="n">
        <v>50252</v>
      </c>
      <c r="B118" s="2" t="n">
        <v>50244</v>
      </c>
      <c r="C118" s="2" t="inlineStr">
        <is>
          <t>TD2040031</t>
        </is>
      </c>
      <c r="D118" s="2" t="inlineStr">
        <is>
          <t>QLQ_BAOVIE</t>
        </is>
      </c>
      <c r="E118" s="2" t="n">
        <v>3.6</v>
      </c>
      <c r="F118" s="3" t="n">
        <v>150</v>
      </c>
      <c r="G118" s="2" t="inlineStr">
        <is>
          <t>Buy (reverse repo)</t>
        </is>
      </c>
      <c r="H118" s="2" t="n">
        <v>154</v>
      </c>
      <c r="I118" s="4" t="n">
        <v>46385</v>
      </c>
      <c r="J118" s="4" t="n">
        <v>46231</v>
      </c>
      <c r="K118" s="4" t="n">
        <v>46230</v>
      </c>
      <c r="L118" s="4" t="n">
        <v>46230</v>
      </c>
      <c r="M118" s="5" t="n">
        <v>138720000000</v>
      </c>
      <c r="N118" s="5" t="n">
        <v>136474500000</v>
      </c>
      <c r="O118" s="5" t="n">
        <v>2245500000</v>
      </c>
      <c r="P118" s="3" t="n">
        <v>2245.5</v>
      </c>
      <c r="Q118" s="6" t="n">
        <v>0.03899722382845604</v>
      </c>
      <c r="R118" s="2" t="inlineStr">
        <is>
          <t>duong</t>
        </is>
      </c>
      <c r="S118" s="2" t="inlineStr">
        <is>
          <t>Cho vay tien</t>
        </is>
      </c>
      <c r="T118" s="2" t="inlineStr">
        <is>
          <t>Co</t>
        </is>
      </c>
      <c r="U118" s="2" t="n">
        <v>4.7526</v>
      </c>
      <c r="V118" s="2" t="n">
        <v>4.72</v>
      </c>
      <c r="W118" s="2" t="n">
        <v>-3.260000000000041</v>
      </c>
      <c r="X118" s="2" t="inlineStr">
        <is>
          <t>AFS-DCM</t>
        </is>
      </c>
      <c r="Y118" s="2" t="inlineStr">
        <is>
          <t>AFS-DCM</t>
        </is>
      </c>
    </row>
    <row r="119">
      <c r="A119" s="2" t="n">
        <v>50253</v>
      </c>
      <c r="B119" s="2" t="n">
        <v>50248</v>
      </c>
      <c r="C119" s="2" t="inlineStr">
        <is>
          <t>TD1939200</t>
        </is>
      </c>
      <c r="D119" s="2" t="inlineStr">
        <is>
          <t>QLQ_BAOVIE</t>
        </is>
      </c>
      <c r="E119" s="2" t="n">
        <v>5.6</v>
      </c>
      <c r="F119" s="3" t="n">
        <v>100</v>
      </c>
      <c r="G119" s="2" t="inlineStr">
        <is>
          <t>Buy (reverse repo)</t>
        </is>
      </c>
      <c r="H119" s="2" t="n">
        <v>154</v>
      </c>
      <c r="I119" s="4" t="n">
        <v>46385</v>
      </c>
      <c r="J119" s="4" t="n">
        <v>46231</v>
      </c>
      <c r="K119" s="4" t="n">
        <v>46230</v>
      </c>
      <c r="L119" s="4" t="n">
        <v>46230</v>
      </c>
      <c r="M119" s="5" t="n">
        <v>112898000000</v>
      </c>
      <c r="N119" s="5" t="n">
        <v>111070000000</v>
      </c>
      <c r="O119" s="5" t="n">
        <v>1828000000</v>
      </c>
      <c r="P119" s="3" t="n">
        <v>1828</v>
      </c>
      <c r="Q119" s="6" t="n">
        <v>0.0390078095128964</v>
      </c>
      <c r="R119" s="2" t="inlineStr">
        <is>
          <t>duong</t>
        </is>
      </c>
      <c r="S119" s="2" t="inlineStr">
        <is>
          <t>Cho vay tien</t>
        </is>
      </c>
      <c r="T119" s="2" t="inlineStr"/>
      <c r="U119" s="2" t="n">
        <v>4.7574</v>
      </c>
      <c r="V119" s="2" t="n">
        <v>4.72</v>
      </c>
      <c r="W119" s="2" t="n">
        <v>-3.739999999999988</v>
      </c>
      <c r="X119" s="2" t="inlineStr">
        <is>
          <t>AFS-DCM</t>
        </is>
      </c>
      <c r="Y119" s="2" t="inlineStr">
        <is>
          <t>AFS-DCM</t>
        </is>
      </c>
    </row>
    <row r="120">
      <c r="A120" s="2" t="n">
        <v>50261</v>
      </c>
      <c r="B120" s="2" t="n">
        <v>50262</v>
      </c>
      <c r="C120" s="2" t="inlineStr">
        <is>
          <t>TD2353151</t>
        </is>
      </c>
      <c r="D120" s="2" t="inlineStr">
        <is>
          <t>CK_VIETIN</t>
        </is>
      </c>
      <c r="E120" s="2" t="n">
        <v>4.2</v>
      </c>
      <c r="F120" s="3" t="n">
        <v>80</v>
      </c>
      <c r="G120" s="2" t="inlineStr">
        <is>
          <t>Sell (repo)</t>
        </is>
      </c>
      <c r="H120" s="2" t="n">
        <v>3</v>
      </c>
      <c r="I120" s="4" t="n">
        <v>46237</v>
      </c>
      <c r="J120" s="4" t="n">
        <v>46240</v>
      </c>
      <c r="K120" s="4" t="n">
        <v>46232</v>
      </c>
      <c r="L120" s="4" t="n">
        <v>46232</v>
      </c>
      <c r="M120" s="5" t="n">
        <v>83801600000</v>
      </c>
      <c r="N120" s="5" t="n">
        <v>83820000000</v>
      </c>
      <c r="O120" s="5" t="n">
        <v>-18400000</v>
      </c>
      <c r="P120" s="3" t="n">
        <v>-18.4</v>
      </c>
      <c r="Q120" s="6" t="n">
        <v>-0.02671388931317142</v>
      </c>
      <c r="R120" s="2" t="inlineStr">
        <is>
          <t>am</t>
        </is>
      </c>
      <c r="S120" s="2" t="inlineStr">
        <is>
          <t>Vay tien</t>
        </is>
      </c>
      <c r="T120" s="2" t="inlineStr"/>
      <c r="U120" s="2" t="n">
        <v>4</v>
      </c>
      <c r="V120" s="2" t="n">
        <v>4.0007</v>
      </c>
      <c r="W120" s="2" t="n">
        <v>0.0700000000000145</v>
      </c>
      <c r="X120" s="2" t="inlineStr">
        <is>
          <t>AFS-DCM</t>
        </is>
      </c>
      <c r="Y120" s="2" t="inlineStr">
        <is>
          <t>AFS-DCM</t>
        </is>
      </c>
    </row>
    <row r="121">
      <c r="A121" s="2" t="n">
        <v>50263</v>
      </c>
      <c r="B121" s="2" t="n">
        <v>50264</v>
      </c>
      <c r="C121" s="2" t="inlineStr">
        <is>
          <t>TD2232114</t>
        </is>
      </c>
      <c r="D121" s="2" t="inlineStr">
        <is>
          <t>CK_VIETIN</t>
        </is>
      </c>
      <c r="E121" s="2" t="n">
        <v>4.8</v>
      </c>
      <c r="F121" s="3" t="n">
        <v>200</v>
      </c>
      <c r="G121" s="2" t="inlineStr">
        <is>
          <t>Sell (repo)</t>
        </is>
      </c>
      <c r="H121" s="2" t="n">
        <v>3</v>
      </c>
      <c r="I121" s="4" t="n">
        <v>46237</v>
      </c>
      <c r="J121" s="4" t="n">
        <v>46240</v>
      </c>
      <c r="K121" s="4" t="n">
        <v>46232</v>
      </c>
      <c r="L121" s="4" t="n">
        <v>46232</v>
      </c>
      <c r="M121" s="5" t="n">
        <v>228710000000</v>
      </c>
      <c r="N121" s="5" t="n">
        <v>228738000000</v>
      </c>
      <c r="O121" s="5" t="n">
        <v>-28000000</v>
      </c>
      <c r="P121" s="3" t="n">
        <v>-28</v>
      </c>
      <c r="Q121" s="6" t="n">
        <v>-0.0148951364901695</v>
      </c>
      <c r="R121" s="2" t="inlineStr">
        <is>
          <t>am</t>
        </is>
      </c>
      <c r="S121" s="2" t="inlineStr">
        <is>
          <t>Vay tien</t>
        </is>
      </c>
      <c r="T121" s="2" t="inlineStr"/>
      <c r="U121" s="2" t="n">
        <v>2.8399</v>
      </c>
      <c r="V121" s="2" t="n">
        <v>2.8419</v>
      </c>
      <c r="W121" s="2" t="n">
        <v>0.199999999999978</v>
      </c>
      <c r="X121" s="2" t="inlineStr">
        <is>
          <t>AFS-DCM</t>
        </is>
      </c>
      <c r="Y121" s="2" t="inlineStr">
        <is>
          <t>AFS-DCM</t>
        </is>
      </c>
    </row>
    <row r="122">
      <c r="A122" s="2" t="n">
        <v>50265</v>
      </c>
      <c r="B122" s="2" t="n">
        <v>50266</v>
      </c>
      <c r="C122" s="2" t="inlineStr">
        <is>
          <t>TD1646503</t>
        </is>
      </c>
      <c r="D122" s="2" t="inlineStr">
        <is>
          <t>CK_SSI</t>
        </is>
      </c>
      <c r="E122" s="2" t="n">
        <v>7.9</v>
      </c>
      <c r="F122" s="3" t="n">
        <v>455</v>
      </c>
      <c r="G122" s="2" t="inlineStr">
        <is>
          <t>Sell (repo)</t>
        </is>
      </c>
      <c r="H122" s="2" t="n">
        <v>3</v>
      </c>
      <c r="I122" s="4" t="n">
        <v>46238</v>
      </c>
      <c r="J122" s="4" t="n">
        <v>46241</v>
      </c>
      <c r="K122" s="4" t="n">
        <v>46233</v>
      </c>
      <c r="L122" s="4" t="n">
        <v>46233</v>
      </c>
      <c r="M122" s="5" t="n">
        <v>721611800000</v>
      </c>
      <c r="N122" s="5" t="n">
        <v>721721000000</v>
      </c>
      <c r="O122" s="5" t="n">
        <v>-109200000</v>
      </c>
      <c r="P122" s="3" t="n">
        <v>-109.2</v>
      </c>
      <c r="Q122" s="6" t="n">
        <v>-0.01841156145173901</v>
      </c>
      <c r="R122" s="2" t="inlineStr">
        <is>
          <t>am</t>
        </is>
      </c>
      <c r="S122" s="2" t="inlineStr">
        <is>
          <t>Vay tien</t>
        </is>
      </c>
      <c r="T122" s="2" t="inlineStr"/>
      <c r="U122" s="2" t="n">
        <v>4.06</v>
      </c>
      <c r="V122" s="2" t="n">
        <v>4.0615</v>
      </c>
      <c r="W122" s="2" t="n">
        <v>0.1500000000000057</v>
      </c>
      <c r="X122" s="2" t="inlineStr">
        <is>
          <t>AFS-DCM</t>
        </is>
      </c>
      <c r="Y122" s="2" t="inlineStr">
        <is>
          <t>AFS-DCM</t>
        </is>
      </c>
    </row>
    <row r="123">
      <c r="A123" s="2" t="n">
        <v>50269</v>
      </c>
      <c r="B123" s="2" t="n">
        <v>50270</v>
      </c>
      <c r="C123" s="2" t="inlineStr">
        <is>
          <t>TD1646468</t>
        </is>
      </c>
      <c r="D123" s="2" t="inlineStr">
        <is>
          <t>CK_AGRIBAN</t>
        </is>
      </c>
      <c r="E123" s="2" t="n">
        <v>8</v>
      </c>
      <c r="F123" s="3" t="n">
        <v>70</v>
      </c>
      <c r="G123" s="2" t="inlineStr">
        <is>
          <t>Sell (repo)</t>
        </is>
      </c>
      <c r="H123" s="2" t="n">
        <v>8</v>
      </c>
      <c r="I123" s="4" t="n">
        <v>46237</v>
      </c>
      <c r="J123" s="4" t="n">
        <v>46245</v>
      </c>
      <c r="K123" s="4" t="n">
        <v>46233</v>
      </c>
      <c r="L123" s="4" t="n">
        <v>46233</v>
      </c>
      <c r="M123" s="5" t="n">
        <v>105011200000</v>
      </c>
      <c r="N123" s="5" t="n">
        <v>105012600000</v>
      </c>
      <c r="O123" s="5" t="n">
        <v>-1400000</v>
      </c>
      <c r="P123" s="3" t="n">
        <v>-1.4</v>
      </c>
      <c r="Q123" s="6" t="n">
        <v>-0.0006082684513651878</v>
      </c>
      <c r="R123" s="2" t="inlineStr">
        <is>
          <t>am</t>
        </is>
      </c>
      <c r="S123" s="2" t="inlineStr">
        <is>
          <t>Vay tien</t>
        </is>
      </c>
      <c r="T123" s="2" t="inlineStr"/>
      <c r="U123" s="2" t="n">
        <v>4.43</v>
      </c>
      <c r="V123" s="2" t="n">
        <v>4.4384</v>
      </c>
      <c r="W123" s="2" t="n">
        <v>0.8399999999999963</v>
      </c>
      <c r="X123" s="2" t="inlineStr">
        <is>
          <t>AFS-DCM</t>
        </is>
      </c>
      <c r="Y123" s="2" t="inlineStr">
        <is>
          <t>AFS-DCM</t>
        </is>
      </c>
    </row>
    <row r="124">
      <c r="A124" s="2" t="n">
        <v>50271</v>
      </c>
      <c r="B124" s="2" t="n">
        <v>50272</v>
      </c>
      <c r="C124" s="2" t="inlineStr">
        <is>
          <t>TD1646468</t>
        </is>
      </c>
      <c r="D124" s="2" t="inlineStr">
        <is>
          <t>CK_AGRIBAN</t>
        </is>
      </c>
      <c r="E124" s="2" t="n">
        <v>8</v>
      </c>
      <c r="F124" s="3" t="n">
        <v>220</v>
      </c>
      <c r="G124" s="2" t="inlineStr">
        <is>
          <t>Sell (repo)</t>
        </is>
      </c>
      <c r="H124" s="2" t="n">
        <v>1</v>
      </c>
      <c r="I124" s="4" t="n">
        <v>46237</v>
      </c>
      <c r="J124" s="4" t="n">
        <v>46238</v>
      </c>
      <c r="K124" s="4" t="n">
        <v>46233</v>
      </c>
      <c r="L124" s="4" t="n">
        <v>46233</v>
      </c>
      <c r="M124" s="5" t="n">
        <v>330035200000</v>
      </c>
      <c r="N124" s="5" t="n">
        <v>330037400000</v>
      </c>
      <c r="O124" s="5" t="n">
        <v>-2200000</v>
      </c>
      <c r="P124" s="3" t="n">
        <v>-2.2</v>
      </c>
      <c r="Q124" s="6" t="n">
        <v>-0.002433073805460751</v>
      </c>
      <c r="R124" s="2" t="inlineStr">
        <is>
          <t>am</t>
        </is>
      </c>
      <c r="S124" s="2" t="inlineStr">
        <is>
          <t>Vay tien</t>
        </is>
      </c>
      <c r="T124" s="2" t="inlineStr"/>
      <c r="U124" s="2" t="n">
        <v>4.43</v>
      </c>
      <c r="V124" s="2" t="n">
        <v>4.431</v>
      </c>
      <c r="W124" s="2" t="n">
        <v>0.1000000000000334</v>
      </c>
      <c r="X124" s="2" t="inlineStr">
        <is>
          <t>AFS-DCM</t>
        </is>
      </c>
      <c r="Y124" s="2" t="inlineStr">
        <is>
          <t>AFS-DCM</t>
        </is>
      </c>
    </row>
    <row r="125">
      <c r="A125" s="2" t="n">
        <v>50273</v>
      </c>
      <c r="B125" s="2" t="n">
        <v>50274</v>
      </c>
      <c r="C125" s="2" t="inlineStr">
        <is>
          <t>TD1646468</t>
        </is>
      </c>
      <c r="D125" s="2" t="inlineStr">
        <is>
          <t>CK_TCBS</t>
        </is>
      </c>
      <c r="E125" s="2" t="n">
        <v>8</v>
      </c>
      <c r="F125" s="3" t="n">
        <v>135</v>
      </c>
      <c r="G125" s="2" t="inlineStr">
        <is>
          <t>Sell (repo)</t>
        </is>
      </c>
      <c r="H125" s="2" t="n">
        <v>2</v>
      </c>
      <c r="I125" s="4" t="n">
        <v>46239</v>
      </c>
      <c r="J125" s="4" t="n">
        <v>46241</v>
      </c>
      <c r="K125" s="4" t="n">
        <v>46237</v>
      </c>
      <c r="L125" s="4" t="n">
        <v>46237</v>
      </c>
      <c r="M125" s="5" t="n">
        <v>202547250000</v>
      </c>
      <c r="N125" s="5" t="n">
        <v>202506750000</v>
      </c>
      <c r="O125" s="5" t="n">
        <v>40500000</v>
      </c>
      <c r="P125" s="3" t="n">
        <v>40.5</v>
      </c>
      <c r="Q125" s="6" t="n">
        <v>0.03649148532009198</v>
      </c>
      <c r="R125" s="2" t="inlineStr">
        <is>
          <t>duong</t>
        </is>
      </c>
      <c r="S125" s="2" t="inlineStr">
        <is>
          <t>Cho vay bond</t>
        </is>
      </c>
      <c r="T125" s="2" t="inlineStr"/>
      <c r="U125" s="2" t="n">
        <v>4.431</v>
      </c>
      <c r="V125" s="2" t="n">
        <v>4.4349</v>
      </c>
      <c r="W125" s="2" t="n">
        <v>0.3899999999999793</v>
      </c>
      <c r="X125" s="2" t="inlineStr">
        <is>
          <t>AFS-DCM</t>
        </is>
      </c>
      <c r="Y125" s="2" t="inlineStr">
        <is>
          <t>AFS-DCM</t>
        </is>
      </c>
    </row>
    <row r="126">
      <c r="A126" s="2" t="n">
        <v>50275</v>
      </c>
      <c r="B126" s="2" t="n">
        <v>50276</v>
      </c>
      <c r="C126" s="2" t="inlineStr">
        <is>
          <t>TD1646503</t>
        </is>
      </c>
      <c r="D126" s="2" t="inlineStr">
        <is>
          <t>CK_SSI</t>
        </is>
      </c>
      <c r="E126" s="2" t="n">
        <v>7.9</v>
      </c>
      <c r="F126" s="3" t="n">
        <v>55</v>
      </c>
      <c r="G126" s="2" t="inlineStr">
        <is>
          <t>Sell (repo)</t>
        </is>
      </c>
      <c r="H126" s="2" t="n">
        <v>1</v>
      </c>
      <c r="I126" s="4" t="n">
        <v>46240</v>
      </c>
      <c r="J126" s="4" t="n">
        <v>46241</v>
      </c>
      <c r="K126" s="4" t="n">
        <v>46238</v>
      </c>
      <c r="L126" s="4" t="n">
        <v>46238</v>
      </c>
      <c r="M126" s="5" t="n">
        <v>87801450000</v>
      </c>
      <c r="N126" s="5" t="n">
        <v>87810800000</v>
      </c>
      <c r="O126" s="5" t="n">
        <v>-9350000</v>
      </c>
      <c r="P126" s="3" t="n">
        <v>-9.35</v>
      </c>
      <c r="Q126" s="6" t="n">
        <v>-0.03886894806406956</v>
      </c>
      <c r="R126" s="2" t="inlineStr">
        <is>
          <t>am</t>
        </is>
      </c>
      <c r="S126" s="2" t="inlineStr">
        <is>
          <t>Vay tien</t>
        </is>
      </c>
      <c r="T126" s="2" t="inlineStr"/>
      <c r="U126" s="2" t="n">
        <v>4.005</v>
      </c>
      <c r="V126" s="2" t="n">
        <v>4.005</v>
      </c>
      <c r="W126" s="2" t="n">
        <v>0</v>
      </c>
      <c r="X126" s="2" t="inlineStr">
        <is>
          <t>AFS-DCM</t>
        </is>
      </c>
      <c r="Y126" s="2" t="inlineStr">
        <is>
          <t>AFS-DCM</t>
        </is>
      </c>
    </row>
    <row r="127">
      <c r="A127" s="2" t="n">
        <v>50277</v>
      </c>
      <c r="B127" s="2" t="n">
        <v>50278</v>
      </c>
      <c r="C127" s="2" t="inlineStr">
        <is>
          <t>TD1646468</t>
        </is>
      </c>
      <c r="D127" s="2" t="inlineStr">
        <is>
          <t>CK_SSI</t>
        </is>
      </c>
      <c r="E127" s="2" t="n">
        <v>8</v>
      </c>
      <c r="F127" s="3" t="n">
        <v>196</v>
      </c>
      <c r="G127" s="2" t="inlineStr">
        <is>
          <t>Sell (repo)</t>
        </is>
      </c>
      <c r="H127" s="2" t="n">
        <v>1</v>
      </c>
      <c r="I127" s="4" t="n">
        <v>46240</v>
      </c>
      <c r="J127" s="4" t="n">
        <v>46241</v>
      </c>
      <c r="K127" s="4" t="n">
        <v>46238</v>
      </c>
      <c r="L127" s="4" t="n">
        <v>46238</v>
      </c>
      <c r="M127" s="5" t="n">
        <v>293909840000</v>
      </c>
      <c r="N127" s="5" t="n">
        <v>293945120000</v>
      </c>
      <c r="O127" s="5" t="n">
        <v>-35280000</v>
      </c>
      <c r="P127" s="3" t="n">
        <v>-35.28</v>
      </c>
      <c r="Q127" s="6" t="n">
        <v>-0.04381343612041026</v>
      </c>
      <c r="R127" s="2" t="inlineStr">
        <is>
          <t>am</t>
        </is>
      </c>
      <c r="S127" s="2" t="inlineStr">
        <is>
          <t>Vay tien</t>
        </is>
      </c>
      <c r="T127" s="2" t="inlineStr"/>
      <c r="U127" s="2" t="n">
        <v>4.4369</v>
      </c>
      <c r="V127" s="2" t="n">
        <v>4.4369</v>
      </c>
      <c r="W127" s="2" t="n">
        <v>0</v>
      </c>
      <c r="X127" s="2" t="inlineStr">
        <is>
          <t>AFS-DCM</t>
        </is>
      </c>
      <c r="Y127" s="2" t="inlineStr">
        <is>
          <t>AFS-DCM</t>
        </is>
      </c>
    </row>
    <row r="128">
      <c r="A128" s="2" t="n">
        <v>50279</v>
      </c>
      <c r="B128" s="2" t="n">
        <v>50280</v>
      </c>
      <c r="C128" s="2" t="inlineStr">
        <is>
          <t>TD1949206</t>
        </is>
      </c>
      <c r="D128" s="2" t="inlineStr">
        <is>
          <t>CK_SSI</t>
        </is>
      </c>
      <c r="E128" s="2" t="n">
        <v>5.2</v>
      </c>
      <c r="F128" s="3" t="n">
        <v>50</v>
      </c>
      <c r="G128" s="2" t="inlineStr">
        <is>
          <t>Sell (repo)</t>
        </is>
      </c>
      <c r="H128" s="2" t="n">
        <v>1</v>
      </c>
      <c r="I128" s="4" t="n">
        <v>46240</v>
      </c>
      <c r="J128" s="4" t="n">
        <v>46241</v>
      </c>
      <c r="K128" s="4" t="n">
        <v>46238</v>
      </c>
      <c r="L128" s="4" t="n">
        <v>46238</v>
      </c>
      <c r="M128" s="5" t="n">
        <v>61011500000</v>
      </c>
      <c r="N128" s="5" t="n">
        <v>61018000000</v>
      </c>
      <c r="O128" s="5" t="n">
        <v>-6500000</v>
      </c>
      <c r="P128" s="3" t="n">
        <v>-6.5</v>
      </c>
      <c r="Q128" s="6" t="n">
        <v>-0.03888611163469182</v>
      </c>
      <c r="R128" s="2" t="inlineStr">
        <is>
          <t>am</t>
        </is>
      </c>
      <c r="S128" s="2" t="inlineStr">
        <is>
          <t>Vay tien</t>
        </is>
      </c>
      <c r="T128" s="2" t="inlineStr"/>
      <c r="U128" s="2" t="n">
        <v>4.02</v>
      </c>
      <c r="V128" s="2" t="n">
        <v>4.02</v>
      </c>
      <c r="W128" s="2" t="n">
        <v>0</v>
      </c>
      <c r="X128" s="2" t="inlineStr">
        <is>
          <t>AFS-DCM</t>
        </is>
      </c>
      <c r="Y128" s="2" t="inlineStr">
        <is>
          <t>AFS-DCM</t>
        </is>
      </c>
    </row>
    <row r="129">
      <c r="A129" s="2" t="n">
        <v>50281</v>
      </c>
      <c r="B129" s="2" t="n">
        <v>50282</v>
      </c>
      <c r="C129" s="2" t="inlineStr">
        <is>
          <t>TD1949206</t>
        </is>
      </c>
      <c r="D129" s="2" t="inlineStr">
        <is>
          <t>CK_SSI</t>
        </is>
      </c>
      <c r="E129" s="2" t="n">
        <v>5.2</v>
      </c>
      <c r="F129" s="3" t="n">
        <v>25</v>
      </c>
      <c r="G129" s="2" t="inlineStr">
        <is>
          <t>Sell (repo)</t>
        </is>
      </c>
      <c r="H129" s="2" t="n">
        <v>1</v>
      </c>
      <c r="I129" s="4" t="n">
        <v>46240</v>
      </c>
      <c r="J129" s="4" t="n">
        <v>46241</v>
      </c>
      <c r="K129" s="4" t="n">
        <v>46238</v>
      </c>
      <c r="L129" s="4" t="n">
        <v>46238</v>
      </c>
      <c r="M129" s="5" t="n">
        <v>28038750000</v>
      </c>
      <c r="N129" s="5" t="n">
        <v>28042250000</v>
      </c>
      <c r="O129" s="5" t="n">
        <v>-3500000</v>
      </c>
      <c r="P129" s="3" t="n">
        <v>-3.5</v>
      </c>
      <c r="Q129" s="6" t="n">
        <v>-0.04556194552182247</v>
      </c>
      <c r="R129" s="2" t="inlineStr">
        <is>
          <t>am</t>
        </is>
      </c>
      <c r="S129" s="2" t="inlineStr">
        <is>
          <t>Vay tien</t>
        </is>
      </c>
      <c r="T129" s="2" t="inlineStr"/>
      <c r="U129" s="2" t="n">
        <v>4.65</v>
      </c>
      <c r="V129" s="2" t="n">
        <v>4.65</v>
      </c>
      <c r="W129" s="2" t="n">
        <v>0</v>
      </c>
      <c r="X129" s="2" t="inlineStr">
        <is>
          <t>AFS-DCM</t>
        </is>
      </c>
      <c r="Y129" s="2" t="inlineStr">
        <is>
          <t>AFS-DCM</t>
        </is>
      </c>
    </row>
    <row r="130">
      <c r="A130" s="2" t="n">
        <v>50283</v>
      </c>
      <c r="B130" s="2" t="n">
        <v>50284</v>
      </c>
      <c r="C130" s="2" t="inlineStr">
        <is>
          <t>TD1636466</t>
        </is>
      </c>
      <c r="D130" s="2" t="inlineStr">
        <is>
          <t>CK_SSI</t>
        </is>
      </c>
      <c r="E130" s="2" t="n">
        <v>7.7</v>
      </c>
      <c r="F130" s="3" t="n">
        <v>95</v>
      </c>
      <c r="G130" s="2" t="inlineStr">
        <is>
          <t>Sell (repo)</t>
        </is>
      </c>
      <c r="H130" s="2" t="n">
        <v>1</v>
      </c>
      <c r="I130" s="4" t="n">
        <v>46240</v>
      </c>
      <c r="J130" s="4" t="n">
        <v>46241</v>
      </c>
      <c r="K130" s="4" t="n">
        <v>46238</v>
      </c>
      <c r="L130" s="4" t="n">
        <v>46238</v>
      </c>
      <c r="M130" s="5" t="n">
        <v>124604850000</v>
      </c>
      <c r="N130" s="5" t="n">
        <v>124619100000</v>
      </c>
      <c r="O130" s="5" t="n">
        <v>-14250000</v>
      </c>
      <c r="P130" s="3" t="n">
        <v>-14.25</v>
      </c>
      <c r="Q130" s="6" t="n">
        <v>-0.04174195466709361</v>
      </c>
      <c r="R130" s="2" t="inlineStr">
        <is>
          <t>am</t>
        </is>
      </c>
      <c r="S130" s="2" t="inlineStr">
        <is>
          <t>Vay tien</t>
        </is>
      </c>
      <c r="T130" s="2" t="inlineStr"/>
      <c r="U130" s="2" t="n">
        <v>4.18</v>
      </c>
      <c r="V130" s="2" t="n">
        <v>4.18</v>
      </c>
      <c r="W130" s="2" t="n">
        <v>0</v>
      </c>
      <c r="X130" s="2" t="inlineStr">
        <is>
          <t>AFS-DCM</t>
        </is>
      </c>
      <c r="Y130" s="2" t="inlineStr">
        <is>
          <t>AFS-DCM</t>
        </is>
      </c>
    </row>
    <row r="131">
      <c r="A131" s="2" t="n">
        <v>50285</v>
      </c>
      <c r="B131" s="2" t="n">
        <v>50286</v>
      </c>
      <c r="C131" s="2" t="inlineStr">
        <is>
          <t>TD2131012</t>
        </is>
      </c>
      <c r="D131" s="2" t="inlineStr">
        <is>
          <t>CK_SSI</t>
        </is>
      </c>
      <c r="E131" s="2" t="n">
        <v>2.2</v>
      </c>
      <c r="F131" s="3" t="n">
        <v>100</v>
      </c>
      <c r="G131" s="2" t="inlineStr">
        <is>
          <t>Sell (repo)</t>
        </is>
      </c>
      <c r="H131" s="2" t="n">
        <v>1</v>
      </c>
      <c r="I131" s="4" t="n">
        <v>46240</v>
      </c>
      <c r="J131" s="4" t="n">
        <v>46241</v>
      </c>
      <c r="K131" s="4" t="n">
        <v>46238</v>
      </c>
      <c r="L131" s="4" t="n">
        <v>46238</v>
      </c>
      <c r="M131" s="5" t="n">
        <v>91802000000</v>
      </c>
      <c r="N131" s="5" t="n">
        <v>92842000000</v>
      </c>
      <c r="O131" s="5" t="n">
        <v>-1040000000</v>
      </c>
      <c r="P131" s="3" t="n">
        <v>-1040</v>
      </c>
      <c r="Q131" s="6" t="n">
        <v>-4.134986165878739</v>
      </c>
      <c r="R131" s="2" t="inlineStr">
        <is>
          <t>am</t>
        </is>
      </c>
      <c r="S131" s="2" t="inlineStr">
        <is>
          <t>Vay tien</t>
        </is>
      </c>
      <c r="T131" s="2" t="inlineStr"/>
      <c r="U131" s="2" t="n">
        <v>4.5917</v>
      </c>
      <c r="V131" s="2" t="n">
        <v>4.3156</v>
      </c>
      <c r="W131" s="2" t="n">
        <v>-27.61000000000005</v>
      </c>
      <c r="X131" s="2" t="inlineStr">
        <is>
          <t>AFS-DCM</t>
        </is>
      </c>
      <c r="Y131" s="2" t="inlineStr">
        <is>
          <t>AFS-DCM</t>
        </is>
      </c>
    </row>
    <row r="132">
      <c r="A132" s="2" t="n">
        <v>50287</v>
      </c>
      <c r="B132" s="2" t="n">
        <v>50288</v>
      </c>
      <c r="C132" s="2" t="inlineStr">
        <is>
          <t>TD1636466</t>
        </is>
      </c>
      <c r="D132" s="2" t="inlineStr">
        <is>
          <t>CK_LPBS</t>
        </is>
      </c>
      <c r="E132" s="2" t="n">
        <v>7.7</v>
      </c>
      <c r="F132" s="3" t="n">
        <v>100</v>
      </c>
      <c r="G132" s="2" t="inlineStr">
        <is>
          <t>Sell (repo)</t>
        </is>
      </c>
      <c r="H132" s="2" t="n">
        <v>3</v>
      </c>
      <c r="I132" s="4" t="n">
        <v>46241</v>
      </c>
      <c r="J132" s="4" t="n">
        <v>46244</v>
      </c>
      <c r="K132" s="4" t="n">
        <v>46238</v>
      </c>
      <c r="L132" s="4" t="n">
        <v>46238</v>
      </c>
      <c r="M132" s="5" t="n">
        <v>134276000000</v>
      </c>
      <c r="N132" s="5" t="n">
        <v>134257000000</v>
      </c>
      <c r="O132" s="5" t="n">
        <v>19000000</v>
      </c>
      <c r="P132" s="3" t="n">
        <v>19</v>
      </c>
      <c r="Q132" s="6" t="n">
        <v>0.01721578440426187</v>
      </c>
      <c r="R132" s="2" t="inlineStr">
        <is>
          <t>duong</t>
        </is>
      </c>
      <c r="S132" s="2" t="inlineStr">
        <is>
          <t>Cho vay bond</t>
        </is>
      </c>
      <c r="T132" s="2" t="inlineStr"/>
      <c r="U132" s="2" t="n">
        <v>3.84</v>
      </c>
      <c r="V132" s="2" t="n">
        <v>3.8465</v>
      </c>
      <c r="W132" s="2" t="n">
        <v>0.649999999999995</v>
      </c>
      <c r="X132" s="2" t="inlineStr">
        <is>
          <t>AFS-DCM</t>
        </is>
      </c>
      <c r="Y132" s="2" t="inlineStr">
        <is>
          <t>AFS-DCM</t>
        </is>
      </c>
    </row>
    <row r="133">
      <c r="A133" s="2" t="n">
        <v>50289</v>
      </c>
      <c r="B133" s="2" t="n">
        <v>50290</v>
      </c>
      <c r="C133" s="2" t="inlineStr">
        <is>
          <t>TD1646503</t>
        </is>
      </c>
      <c r="D133" s="2" t="inlineStr">
        <is>
          <t>CK_LPBS</t>
        </is>
      </c>
      <c r="E133" s="2" t="n">
        <v>7.9</v>
      </c>
      <c r="F133" s="3" t="n">
        <v>100</v>
      </c>
      <c r="G133" s="2" t="inlineStr">
        <is>
          <t>Sell (repo)</t>
        </is>
      </c>
      <c r="H133" s="2" t="n">
        <v>3</v>
      </c>
      <c r="I133" s="4" t="n">
        <v>46241</v>
      </c>
      <c r="J133" s="4" t="n">
        <v>46244</v>
      </c>
      <c r="K133" s="4" t="n">
        <v>46238</v>
      </c>
      <c r="L133" s="4" t="n">
        <v>46238</v>
      </c>
      <c r="M133" s="5" t="n">
        <v>159702000000</v>
      </c>
      <c r="N133" s="5" t="n">
        <v>159661000000</v>
      </c>
      <c r="O133" s="5" t="n">
        <v>41000000</v>
      </c>
      <c r="P133" s="3" t="n">
        <v>41</v>
      </c>
      <c r="Q133" s="6" t="n">
        <v>0.03123525900322684</v>
      </c>
      <c r="R133" s="2" t="inlineStr">
        <is>
          <t>duong</t>
        </is>
      </c>
      <c r="S133" s="2" t="inlineStr">
        <is>
          <t>Cho vay bond</t>
        </is>
      </c>
      <c r="T133" s="2" t="inlineStr"/>
      <c r="U133" s="2" t="n">
        <v>4.0025</v>
      </c>
      <c r="V133" s="2" t="n">
        <v>4.0075</v>
      </c>
      <c r="W133" s="2" t="n">
        <v>0.4999999999999893</v>
      </c>
      <c r="X133" s="2" t="inlineStr">
        <is>
          <t>AFS-DCM</t>
        </is>
      </c>
      <c r="Y133" s="2" t="inlineStr">
        <is>
          <t>AFS-DCM</t>
        </is>
      </c>
    </row>
    <row r="134">
      <c r="A134" s="2" t="n">
        <v>50301</v>
      </c>
      <c r="B134" s="2" t="n">
        <v>50302</v>
      </c>
      <c r="C134" s="2" t="inlineStr">
        <is>
          <t>TD1646468</t>
        </is>
      </c>
      <c r="D134" s="2" t="inlineStr">
        <is>
          <t>CK_THIENVI</t>
        </is>
      </c>
      <c r="E134" s="2" t="n">
        <v>8</v>
      </c>
      <c r="F134" s="3" t="n">
        <v>33.5</v>
      </c>
      <c r="G134" s="2" t="inlineStr">
        <is>
          <t>Sell (repo)</t>
        </is>
      </c>
      <c r="H134" s="2" t="n">
        <v>1</v>
      </c>
      <c r="I134" s="4" t="n">
        <v>46244</v>
      </c>
      <c r="J134" s="4" t="n">
        <v>46245</v>
      </c>
      <c r="K134" s="4" t="n">
        <v>46239</v>
      </c>
      <c r="L134" s="4" t="n">
        <v>46239</v>
      </c>
      <c r="M134" s="5" t="n">
        <v>50269765000</v>
      </c>
      <c r="N134" s="5" t="n">
        <v>50260050000</v>
      </c>
      <c r="O134" s="5" t="n">
        <v>9715000</v>
      </c>
      <c r="P134" s="3" t="n">
        <v>9.715</v>
      </c>
      <c r="Q134" s="6" t="n">
        <v>0.07053892135759934</v>
      </c>
      <c r="R134" s="2" t="inlineStr">
        <is>
          <t>duong</t>
        </is>
      </c>
      <c r="S134" s="2" t="inlineStr">
        <is>
          <t>Cho vay bond</t>
        </is>
      </c>
      <c r="T134" s="2" t="inlineStr"/>
      <c r="U134" s="2" t="n">
        <v>4.4349</v>
      </c>
      <c r="V134" s="2" t="n">
        <v>4.4377</v>
      </c>
      <c r="W134" s="2" t="n">
        <v>0.280000000000058</v>
      </c>
      <c r="X134" s="2" t="inlineStr">
        <is>
          <t>AFS-DCM</t>
        </is>
      </c>
      <c r="Y134" s="2" t="inlineStr">
        <is>
          <t>AFS-DCM</t>
        </is>
      </c>
    </row>
    <row r="135">
      <c r="A135" s="2" t="n">
        <v>50303</v>
      </c>
      <c r="B135" s="2" t="n">
        <v>50304</v>
      </c>
      <c r="C135" s="2" t="inlineStr">
        <is>
          <t>TD2434022</t>
        </is>
      </c>
      <c r="D135" s="2" t="inlineStr">
        <is>
          <t>CK_AGRIBAN</t>
        </is>
      </c>
      <c r="E135" s="2" t="n">
        <v>2.7</v>
      </c>
      <c r="F135" s="3" t="n">
        <v>100</v>
      </c>
      <c r="G135" s="2" t="inlineStr">
        <is>
          <t>Sell (repo)</t>
        </is>
      </c>
      <c r="H135" s="2" t="n">
        <v>14</v>
      </c>
      <c r="I135" s="4" t="n">
        <v>46245</v>
      </c>
      <c r="J135" s="4" t="n">
        <v>46259</v>
      </c>
      <c r="K135" s="4" t="n">
        <v>46239</v>
      </c>
      <c r="L135" s="4" t="n">
        <v>46239</v>
      </c>
      <c r="M135" s="5" t="n">
        <v>98924000000</v>
      </c>
      <c r="N135" s="5" t="n">
        <v>98927000000</v>
      </c>
      <c r="O135" s="5" t="n">
        <v>-3000000</v>
      </c>
      <c r="P135" s="3" t="n">
        <v>-3</v>
      </c>
      <c r="Q135" s="6" t="n">
        <v>-0.0007906502538745473</v>
      </c>
      <c r="R135" s="2" t="inlineStr">
        <is>
          <t>am</t>
        </is>
      </c>
      <c r="S135" s="2" t="inlineStr">
        <is>
          <t>Vay tien</t>
        </is>
      </c>
      <c r="T135" s="2" t="inlineStr"/>
      <c r="U135" s="2" t="n">
        <v>2.91</v>
      </c>
      <c r="V135" s="2" t="n">
        <v>2.9254</v>
      </c>
      <c r="W135" s="2" t="n">
        <v>1.539999999999964</v>
      </c>
      <c r="X135" s="2" t="inlineStr">
        <is>
          <t>AFS-DCM</t>
        </is>
      </c>
      <c r="Y135" s="2" t="inlineStr">
        <is>
          <t>AFS-DCM</t>
        </is>
      </c>
    </row>
    <row r="136">
      <c r="A136" s="2" t="n">
        <v>50305</v>
      </c>
      <c r="B136" s="2" t="n">
        <v>50307</v>
      </c>
      <c r="C136" s="2" t="inlineStr">
        <is>
          <t>TD1631461</t>
        </is>
      </c>
      <c r="D136" s="2" t="inlineStr">
        <is>
          <t>CK_AGRIBAN</t>
        </is>
      </c>
      <c r="E136" s="2" t="n">
        <v>7.6</v>
      </c>
      <c r="F136" s="3" t="n">
        <v>40</v>
      </c>
      <c r="G136" s="2" t="inlineStr">
        <is>
          <t>Sell (repo)</t>
        </is>
      </c>
      <c r="H136" s="2" t="n">
        <v>1</v>
      </c>
      <c r="I136" s="4" t="n">
        <v>46244</v>
      </c>
      <c r="J136" s="4" t="n">
        <v>46245</v>
      </c>
      <c r="K136" s="4" t="n">
        <v>46239</v>
      </c>
      <c r="L136" s="4" t="n">
        <v>46239</v>
      </c>
      <c r="M136" s="5" t="n">
        <v>47844400000</v>
      </c>
      <c r="N136" s="5" t="n">
        <v>47845600000</v>
      </c>
      <c r="O136" s="5" t="n">
        <v>-1200000</v>
      </c>
      <c r="P136" s="3" t="n">
        <v>-1.2</v>
      </c>
      <c r="Q136" s="6" t="n">
        <v>-0.009154676409360343</v>
      </c>
      <c r="R136" s="2" t="inlineStr">
        <is>
          <t>am</t>
        </is>
      </c>
      <c r="S136" s="2" t="inlineStr">
        <is>
          <t>Vay tien</t>
        </is>
      </c>
      <c r="T136" s="2" t="inlineStr"/>
      <c r="U136" s="2" t="n">
        <v>3.8001</v>
      </c>
      <c r="V136" s="2" t="n">
        <v>3.8022</v>
      </c>
      <c r="W136" s="2" t="n">
        <v>0.2099999999999991</v>
      </c>
      <c r="X136" s="2" t="inlineStr">
        <is>
          <t>AFS-DCM</t>
        </is>
      </c>
      <c r="Y136" s="2" t="inlineStr">
        <is>
          <t>AFS-DCM</t>
        </is>
      </c>
    </row>
    <row r="137">
      <c r="A137" s="2" t="n">
        <v>50305</v>
      </c>
      <c r="B137" s="2" t="n">
        <v>50321</v>
      </c>
      <c r="C137" s="2" t="inlineStr">
        <is>
          <t>TD1631461</t>
        </is>
      </c>
      <c r="D137" s="2" t="inlineStr">
        <is>
          <t>CK_AGRIBAN</t>
        </is>
      </c>
      <c r="E137" s="2" t="n">
        <v>7.6</v>
      </c>
      <c r="F137" s="3" t="n">
        <v>45</v>
      </c>
      <c r="G137" s="2" t="inlineStr">
        <is>
          <t>Sell (repo)</t>
        </is>
      </c>
      <c r="H137" s="2" t="n">
        <v>1</v>
      </c>
      <c r="I137" s="4" t="n">
        <v>46244</v>
      </c>
      <c r="J137" s="4" t="n">
        <v>46245</v>
      </c>
      <c r="K137" s="4" t="n">
        <v>46239</v>
      </c>
      <c r="L137" s="4" t="n">
        <v>46240</v>
      </c>
      <c r="M137" s="5" t="n">
        <v>53824950000</v>
      </c>
      <c r="N137" s="5" t="n">
        <v>53826300000</v>
      </c>
      <c r="O137" s="5" t="n">
        <v>-1350000</v>
      </c>
      <c r="P137" s="3" t="n">
        <v>-1.35</v>
      </c>
      <c r="Q137" s="6" t="n">
        <v>-0.009154676409360343</v>
      </c>
      <c r="R137" s="2" t="inlineStr">
        <is>
          <t>am</t>
        </is>
      </c>
      <c r="S137" s="2" t="inlineStr">
        <is>
          <t>Vay tien</t>
        </is>
      </c>
      <c r="T137" s="2" t="inlineStr">
        <is>
          <t>Co</t>
        </is>
      </c>
      <c r="U137" s="2" t="n">
        <v>3.8001</v>
      </c>
      <c r="V137" s="2" t="n">
        <v>3.8022</v>
      </c>
      <c r="W137" s="2" t="n">
        <v>0.2099999999999991</v>
      </c>
      <c r="X137" s="2" t="inlineStr">
        <is>
          <t>AFS-DCM</t>
        </is>
      </c>
      <c r="Y137" s="2" t="inlineStr">
        <is>
          <t>AFS-DCM</t>
        </is>
      </c>
    </row>
    <row r="138">
      <c r="A138" s="2" t="n">
        <v>50306</v>
      </c>
      <c r="B138" s="2" t="n">
        <v>50307</v>
      </c>
      <c r="C138" s="2" t="inlineStr">
        <is>
          <t>TD1631461</t>
        </is>
      </c>
      <c r="D138" s="2" t="inlineStr">
        <is>
          <t>CK_AGRIBAN</t>
        </is>
      </c>
      <c r="E138" s="2" t="n">
        <v>7.6</v>
      </c>
      <c r="F138" s="3" t="n">
        <v>45</v>
      </c>
      <c r="G138" s="2" t="inlineStr">
        <is>
          <t>Sell (repo)</t>
        </is>
      </c>
      <c r="H138" s="2" t="n">
        <v>1</v>
      </c>
      <c r="I138" s="4" t="n">
        <v>46244</v>
      </c>
      <c r="J138" s="4" t="n">
        <v>46245</v>
      </c>
      <c r="K138" s="4" t="n">
        <v>46239</v>
      </c>
      <c r="L138" s="4" t="n">
        <v>46239</v>
      </c>
      <c r="M138" s="5" t="n">
        <v>53824950000</v>
      </c>
      <c r="N138" s="5" t="n">
        <v>53826300000</v>
      </c>
      <c r="O138" s="5" t="n">
        <v>-1350000</v>
      </c>
      <c r="P138" s="3" t="n">
        <v>-1.35</v>
      </c>
      <c r="Q138" s="6" t="n">
        <v>-0.009154676409360343</v>
      </c>
      <c r="R138" s="2" t="inlineStr">
        <is>
          <t>am</t>
        </is>
      </c>
      <c r="S138" s="2" t="inlineStr">
        <is>
          <t>Vay tien</t>
        </is>
      </c>
      <c r="T138" s="2" t="inlineStr">
        <is>
          <t>Co</t>
        </is>
      </c>
      <c r="U138" s="2" t="n">
        <v>3.8001</v>
      </c>
      <c r="V138" s="2" t="n">
        <v>3.8022</v>
      </c>
      <c r="W138" s="2" t="n">
        <v>0.2099999999999991</v>
      </c>
      <c r="X138" s="2" t="inlineStr">
        <is>
          <t>AFS-DCM</t>
        </is>
      </c>
      <c r="Y138" s="2" t="inlineStr">
        <is>
          <t>AFS-DCM</t>
        </is>
      </c>
    </row>
    <row r="139">
      <c r="A139" s="2" t="n">
        <v>50308</v>
      </c>
      <c r="B139" s="2" t="n">
        <v>50309</v>
      </c>
      <c r="C139" s="2" t="inlineStr">
        <is>
          <t>TD2535023</t>
        </is>
      </c>
      <c r="D139" s="2" t="inlineStr">
        <is>
          <t>CK_BIDV</t>
        </is>
      </c>
      <c r="E139" s="2" t="n">
        <v>2.9</v>
      </c>
      <c r="F139" s="3" t="n">
        <v>160</v>
      </c>
      <c r="G139" s="2" t="inlineStr">
        <is>
          <t>Sell (repo)</t>
        </is>
      </c>
      <c r="H139" s="2" t="n">
        <v>12</v>
      </c>
      <c r="I139" s="4" t="n">
        <v>46248</v>
      </c>
      <c r="J139" s="4" t="n">
        <v>46260</v>
      </c>
      <c r="K139" s="4" t="n">
        <v>46239</v>
      </c>
      <c r="L139" s="4" t="n">
        <v>46239</v>
      </c>
      <c r="M139" s="5" t="n">
        <v>152331200000</v>
      </c>
      <c r="N139" s="5" t="n">
        <v>152481600000</v>
      </c>
      <c r="O139" s="5" t="n">
        <v>-150400000</v>
      </c>
      <c r="P139" s="3" t="n">
        <v>-150.4</v>
      </c>
      <c r="Q139" s="6" t="n">
        <v>-0.03003105513950305</v>
      </c>
      <c r="R139" s="2" t="inlineStr">
        <is>
          <t>am</t>
        </is>
      </c>
      <c r="S139" s="2" t="inlineStr">
        <is>
          <t>Vay tien</t>
        </is>
      </c>
      <c r="T139" s="2" t="inlineStr"/>
      <c r="U139" s="2" t="n">
        <v>3.75</v>
      </c>
      <c r="V139" s="2" t="n">
        <v>3.7531</v>
      </c>
      <c r="W139" s="2" t="n">
        <v>0.3099999999999881</v>
      </c>
      <c r="X139" s="2" t="inlineStr">
        <is>
          <t>AFS-DCM</t>
        </is>
      </c>
      <c r="Y139" s="2" t="inlineStr">
        <is>
          <t>AFS-DCM</t>
        </is>
      </c>
    </row>
    <row r="140">
      <c r="A140" s="2" t="n">
        <v>50310</v>
      </c>
      <c r="B140" s="2" t="n">
        <v>50311</v>
      </c>
      <c r="C140" s="2" t="inlineStr">
        <is>
          <t>TD1646468</t>
        </is>
      </c>
      <c r="D140" s="2" t="inlineStr">
        <is>
          <t>CK_THIENVI</t>
        </is>
      </c>
      <c r="E140" s="2" t="n">
        <v>8</v>
      </c>
      <c r="F140" s="3" t="n">
        <v>33.5</v>
      </c>
      <c r="G140" s="2" t="inlineStr">
        <is>
          <t>Sell (repo)</t>
        </is>
      </c>
      <c r="H140" s="2" t="n">
        <v>1</v>
      </c>
      <c r="I140" s="4" t="n">
        <v>46244</v>
      </c>
      <c r="J140" s="4" t="n">
        <v>46245</v>
      </c>
      <c r="K140" s="4" t="n">
        <v>46239</v>
      </c>
      <c r="L140" s="4" t="n">
        <v>46239</v>
      </c>
      <c r="M140" s="5" t="n">
        <v>50269765000</v>
      </c>
      <c r="N140" s="5" t="n">
        <v>50260050000</v>
      </c>
      <c r="O140" s="5" t="n">
        <v>9715000</v>
      </c>
      <c r="P140" s="3" t="n">
        <v>9.715</v>
      </c>
      <c r="Q140" s="6" t="n">
        <v>0.07053892135759934</v>
      </c>
      <c r="R140" s="2" t="inlineStr">
        <is>
          <t>duong</t>
        </is>
      </c>
      <c r="S140" s="2" t="inlineStr">
        <is>
          <t>Cho vay bond</t>
        </is>
      </c>
      <c r="T140" s="2" t="inlineStr"/>
      <c r="U140" s="2" t="n">
        <v>4.4349</v>
      </c>
      <c r="V140" s="2" t="n">
        <v>4.4377</v>
      </c>
      <c r="W140" s="2" t="n">
        <v>0.280000000000058</v>
      </c>
      <c r="X140" s="2" t="inlineStr">
        <is>
          <t>AFS-DCM</t>
        </is>
      </c>
      <c r="Y140" s="2" t="inlineStr">
        <is>
          <t>AFS-DCM</t>
        </is>
      </c>
    </row>
    <row r="141">
      <c r="A141" s="2" t="n">
        <v>50312</v>
      </c>
      <c r="B141" s="2" t="n">
        <v>50313</v>
      </c>
      <c r="C141" s="2" t="inlineStr">
        <is>
          <t>TD2353151</t>
        </is>
      </c>
      <c r="D141" s="2" t="inlineStr">
        <is>
          <t>CK_NHVN</t>
        </is>
      </c>
      <c r="E141" s="2" t="n">
        <v>4.2</v>
      </c>
      <c r="F141" s="3" t="n">
        <v>80</v>
      </c>
      <c r="G141" s="2" t="inlineStr">
        <is>
          <t>Sell (repo)</t>
        </is>
      </c>
      <c r="H141" s="2" t="n">
        <v>1</v>
      </c>
      <c r="I141" s="4" t="n">
        <v>46246</v>
      </c>
      <c r="J141" s="4" t="n">
        <v>46247</v>
      </c>
      <c r="K141" s="4" t="n">
        <v>46239</v>
      </c>
      <c r="L141" s="4" t="n">
        <v>46239</v>
      </c>
      <c r="M141" s="5" t="n">
        <v>81290400000</v>
      </c>
      <c r="N141" s="5" t="n">
        <v>81265600000</v>
      </c>
      <c r="O141" s="5" t="n">
        <v>24800000</v>
      </c>
      <c r="P141" s="3" t="n">
        <v>24.8</v>
      </c>
      <c r="Q141" s="6" t="n">
        <v>0.1113538622026709</v>
      </c>
      <c r="R141" s="2" t="inlineStr">
        <is>
          <t>duong</t>
        </is>
      </c>
      <c r="S141" s="2" t="inlineStr">
        <is>
          <t>Cho vay bond</t>
        </is>
      </c>
      <c r="T141" s="2" t="inlineStr"/>
      <c r="U141" s="2" t="n">
        <v>4.2</v>
      </c>
      <c r="V141" s="2" t="n">
        <v>4.2027</v>
      </c>
      <c r="W141" s="2" t="n">
        <v>0.2699999999999925</v>
      </c>
      <c r="X141" s="2" t="inlineStr">
        <is>
          <t>AFS-DCM</t>
        </is>
      </c>
      <c r="Y141" s="2" t="inlineStr">
        <is>
          <t>AFS-DCM</t>
        </is>
      </c>
    </row>
    <row r="142">
      <c r="A142" s="2" t="n">
        <v>50314</v>
      </c>
      <c r="B142" s="2" t="n">
        <v>50315</v>
      </c>
      <c r="C142" s="2" t="inlineStr">
        <is>
          <t>TD1949206</t>
        </is>
      </c>
      <c r="D142" s="2" t="inlineStr">
        <is>
          <t>CK_NHVN</t>
        </is>
      </c>
      <c r="E142" s="2" t="n">
        <v>5.2</v>
      </c>
      <c r="F142" s="3" t="n">
        <v>25</v>
      </c>
      <c r="G142" s="2" t="inlineStr">
        <is>
          <t>Sell (repo)</t>
        </is>
      </c>
      <c r="H142" s="2" t="n">
        <v>1</v>
      </c>
      <c r="I142" s="4" t="n">
        <v>46246</v>
      </c>
      <c r="J142" s="4" t="n">
        <v>46247</v>
      </c>
      <c r="K142" s="4" t="n">
        <v>46239</v>
      </c>
      <c r="L142" s="4" t="n">
        <v>46239</v>
      </c>
      <c r="M142" s="5" t="n">
        <v>28059750000</v>
      </c>
      <c r="N142" s="5" t="n">
        <v>28063250000</v>
      </c>
      <c r="O142" s="5" t="n">
        <v>-3500000</v>
      </c>
      <c r="P142" s="3" t="n">
        <v>-3.5</v>
      </c>
      <c r="Q142" s="6" t="n">
        <v>-0.04552784682686054</v>
      </c>
      <c r="R142" s="2" t="inlineStr">
        <is>
          <t>am</t>
        </is>
      </c>
      <c r="S142" s="2" t="inlineStr">
        <is>
          <t>Vay tien</t>
        </is>
      </c>
      <c r="T142" s="2" t="inlineStr"/>
      <c r="U142" s="2" t="n">
        <v>4.65</v>
      </c>
      <c r="V142" s="2" t="n">
        <v>4.65</v>
      </c>
      <c r="W142" s="2" t="n">
        <v>0</v>
      </c>
      <c r="X142" s="2" t="inlineStr">
        <is>
          <t>AFS-DCM</t>
        </is>
      </c>
      <c r="Y142" s="2" t="inlineStr">
        <is>
          <t>AFS-DCM</t>
        </is>
      </c>
    </row>
    <row r="143">
      <c r="A143" s="2" t="n">
        <v>50316</v>
      </c>
      <c r="B143" s="2" t="n">
        <v>50317</v>
      </c>
      <c r="C143" s="2" t="inlineStr">
        <is>
          <t>TD1646468</t>
        </is>
      </c>
      <c r="D143" s="2" t="inlineStr">
        <is>
          <t>CK_SISI</t>
        </is>
      </c>
      <c r="E143" s="2" t="n">
        <v>8</v>
      </c>
      <c r="F143" s="3" t="n">
        <v>70</v>
      </c>
      <c r="G143" s="2" t="inlineStr">
        <is>
          <t>Sell (repo)</t>
        </is>
      </c>
      <c r="H143" s="2" t="n">
        <v>1</v>
      </c>
      <c r="I143" s="4" t="n">
        <v>46244</v>
      </c>
      <c r="J143" s="4" t="n">
        <v>46245</v>
      </c>
      <c r="K143" s="4" t="n">
        <v>46239</v>
      </c>
      <c r="L143" s="4" t="n">
        <v>46239</v>
      </c>
      <c r="M143" s="5" t="n">
        <v>105041300000</v>
      </c>
      <c r="N143" s="5" t="n">
        <v>105021000000</v>
      </c>
      <c r="O143" s="5" t="n">
        <v>20300000</v>
      </c>
      <c r="P143" s="3" t="n">
        <v>20.3</v>
      </c>
      <c r="Q143" s="6" t="n">
        <v>0.07053892135759934</v>
      </c>
      <c r="R143" s="2" t="inlineStr">
        <is>
          <t>duong</t>
        </is>
      </c>
      <c r="S143" s="2" t="inlineStr">
        <is>
          <t>Cho vay bond</t>
        </is>
      </c>
      <c r="T143" s="2" t="inlineStr"/>
      <c r="U143" s="2" t="n">
        <v>4.4349</v>
      </c>
      <c r="V143" s="2" t="n">
        <v>4.4377</v>
      </c>
      <c r="W143" s="2" t="n">
        <v>0.280000000000058</v>
      </c>
      <c r="X143" s="2" t="inlineStr">
        <is>
          <t>AFS-DCM</t>
        </is>
      </c>
      <c r="Y143" s="2" t="inlineStr">
        <is>
          <t>AFS-DCM</t>
        </is>
      </c>
    </row>
    <row r="144">
      <c r="A144" s="2" t="n">
        <v>50318</v>
      </c>
      <c r="B144" s="2" t="n">
        <v>50319</v>
      </c>
      <c r="C144" s="2" t="inlineStr">
        <is>
          <t>TD1636466</t>
        </is>
      </c>
      <c r="D144" s="2" t="inlineStr">
        <is>
          <t>CK_VIETCAP</t>
        </is>
      </c>
      <c r="E144" s="2" t="n">
        <v>7.7</v>
      </c>
      <c r="F144" s="3" t="n">
        <v>230</v>
      </c>
      <c r="G144" s="2" t="inlineStr">
        <is>
          <t>Sell (repo)</t>
        </is>
      </c>
      <c r="H144" s="2" t="n">
        <v>1</v>
      </c>
      <c r="I144" s="4" t="n">
        <v>46245</v>
      </c>
      <c r="J144" s="4" t="n">
        <v>46246</v>
      </c>
      <c r="K144" s="4" t="n">
        <v>46239</v>
      </c>
      <c r="L144" s="4" t="n">
        <v>46239</v>
      </c>
      <c r="M144" s="5" t="n">
        <v>301996900000</v>
      </c>
      <c r="N144" s="5" t="n">
        <v>301937100000</v>
      </c>
      <c r="O144" s="5" t="n">
        <v>59800000</v>
      </c>
      <c r="P144" s="3" t="n">
        <v>59.8</v>
      </c>
      <c r="Q144" s="6" t="n">
        <v>0.07227557633869752</v>
      </c>
      <c r="R144" s="2" t="inlineStr">
        <is>
          <t>duong</t>
        </is>
      </c>
      <c r="S144" s="2" t="inlineStr">
        <is>
          <t>Cho vay bond</t>
        </is>
      </c>
      <c r="T144" s="2" t="inlineStr"/>
      <c r="U144" s="2" t="n">
        <v>4.1726</v>
      </c>
      <c r="V144" s="2" t="n">
        <v>4.1772</v>
      </c>
      <c r="W144" s="2" t="n">
        <v>0.4599999999999937</v>
      </c>
      <c r="X144" s="2" t="inlineStr">
        <is>
          <t>AFS-DCM</t>
        </is>
      </c>
      <c r="Y144" s="2" t="inlineStr">
        <is>
          <t>AFS-DCM</t>
        </is>
      </c>
    </row>
    <row r="145">
      <c r="A145" s="2" t="n">
        <v>50322</v>
      </c>
      <c r="B145" s="2" t="n">
        <v>50323</v>
      </c>
      <c r="C145" s="2" t="inlineStr">
        <is>
          <t>TD2434024</t>
        </is>
      </c>
      <c r="D145" s="2" t="inlineStr">
        <is>
          <t>CK_VIETIN</t>
        </is>
      </c>
      <c r="E145" s="2" t="n">
        <v>2.7</v>
      </c>
      <c r="F145" s="3" t="n">
        <v>200</v>
      </c>
      <c r="G145" s="2" t="inlineStr">
        <is>
          <t>Sell (repo)</t>
        </is>
      </c>
      <c r="H145" s="2" t="n">
        <v>3</v>
      </c>
      <c r="I145" s="4" t="n">
        <v>46252</v>
      </c>
      <c r="J145" s="4" t="n">
        <v>46255</v>
      </c>
      <c r="K145" s="4" t="n">
        <v>46240</v>
      </c>
      <c r="L145" s="4" t="n">
        <v>46240</v>
      </c>
      <c r="M145" s="5" t="n">
        <v>195732000000</v>
      </c>
      <c r="N145" s="5" t="n">
        <v>195770000000</v>
      </c>
      <c r="O145" s="5" t="n">
        <v>-38000000</v>
      </c>
      <c r="P145" s="3" t="n">
        <v>-38</v>
      </c>
      <c r="Q145" s="6" t="n">
        <v>-0.02362073311126098</v>
      </c>
      <c r="R145" s="2" t="inlineStr">
        <is>
          <t>am</t>
        </is>
      </c>
      <c r="S145" s="2" t="inlineStr">
        <is>
          <t>Vay tien</t>
        </is>
      </c>
      <c r="T145" s="2" t="inlineStr"/>
      <c r="U145" s="2" t="n">
        <v>3.04</v>
      </c>
      <c r="V145" s="2" t="n">
        <v>3.0407</v>
      </c>
      <c r="W145" s="2" t="n">
        <v>0.0700000000000145</v>
      </c>
      <c r="X145" s="2" t="inlineStr">
        <is>
          <t>AFS-DCM</t>
        </is>
      </c>
      <c r="Y145" s="2" t="inlineStr">
        <is>
          <t>AFS-DCM</t>
        </is>
      </c>
    </row>
    <row r="146">
      <c r="A146" s="2" t="n">
        <v>50324</v>
      </c>
      <c r="B146" s="2" t="n">
        <v>50325</v>
      </c>
      <c r="C146" s="2" t="inlineStr">
        <is>
          <t>TD2434026</t>
        </is>
      </c>
      <c r="D146" s="2" t="inlineStr">
        <is>
          <t>CK_VIETIN</t>
        </is>
      </c>
      <c r="E146" s="2" t="n">
        <v>2.6</v>
      </c>
      <c r="F146" s="3" t="n">
        <v>134</v>
      </c>
      <c r="G146" s="2" t="inlineStr">
        <is>
          <t>Sell (repo)</t>
        </is>
      </c>
      <c r="H146" s="2" t="n">
        <v>3</v>
      </c>
      <c r="I146" s="4" t="n">
        <v>46252</v>
      </c>
      <c r="J146" s="4" t="n">
        <v>46255</v>
      </c>
      <c r="K146" s="4" t="n">
        <v>46240</v>
      </c>
      <c r="L146" s="4" t="n">
        <v>46240</v>
      </c>
      <c r="M146" s="5" t="n">
        <v>132832860000</v>
      </c>
      <c r="N146" s="5" t="n">
        <v>132848940000</v>
      </c>
      <c r="O146" s="5" t="n">
        <v>-16080000</v>
      </c>
      <c r="P146" s="3" t="n">
        <v>-16.08</v>
      </c>
      <c r="Q146" s="6" t="n">
        <v>-0.01472828334796074</v>
      </c>
      <c r="R146" s="2" t="inlineStr">
        <is>
          <t>am</t>
        </is>
      </c>
      <c r="S146" s="2" t="inlineStr">
        <is>
          <t>Vay tien</t>
        </is>
      </c>
      <c r="T146" s="2" t="inlineStr"/>
      <c r="U146" s="2" t="n">
        <v>3.05</v>
      </c>
      <c r="V146" s="2" t="n">
        <v>3.0518</v>
      </c>
      <c r="W146" s="2" t="n">
        <v>0.1800000000000246</v>
      </c>
      <c r="X146" s="2" t="inlineStr">
        <is>
          <t>AFS-DCM</t>
        </is>
      </c>
      <c r="Y146" s="2" t="inlineStr">
        <is>
          <t>AFS-DCM</t>
        </is>
      </c>
    </row>
    <row r="147">
      <c r="A147" s="2" t="n">
        <v>50328</v>
      </c>
      <c r="B147" s="2" t="n">
        <v>50329</v>
      </c>
      <c r="C147" s="2" t="inlineStr">
        <is>
          <t>TD1949206</t>
        </is>
      </c>
      <c r="D147" s="2" t="inlineStr">
        <is>
          <t>CK_LPBS</t>
        </is>
      </c>
      <c r="E147" s="2" t="n">
        <v>5.2</v>
      </c>
      <c r="F147" s="3" t="n">
        <v>175</v>
      </c>
      <c r="G147" s="2" t="inlineStr">
        <is>
          <t>Sell (repo)</t>
        </is>
      </c>
      <c r="H147" s="2" t="n">
        <v>1</v>
      </c>
      <c r="I147" s="4" t="n">
        <v>46246</v>
      </c>
      <c r="J147" s="4" t="n">
        <v>46247</v>
      </c>
      <c r="K147" s="4" t="n">
        <v>46244</v>
      </c>
      <c r="L147" s="4" t="n">
        <v>46244</v>
      </c>
      <c r="M147" s="5" t="n">
        <v>200340000000</v>
      </c>
      <c r="N147" s="5" t="n">
        <v>200301500000</v>
      </c>
      <c r="O147" s="5" t="n">
        <v>38500000</v>
      </c>
      <c r="P147" s="3" t="n">
        <v>38.5</v>
      </c>
      <c r="Q147" s="6" t="n">
        <v>0.07014325646401118</v>
      </c>
      <c r="R147" s="2" t="inlineStr">
        <is>
          <t>duong</t>
        </is>
      </c>
      <c r="S147" s="2" t="inlineStr">
        <is>
          <t>Cho vay bond</t>
        </is>
      </c>
      <c r="T147" s="2" t="inlineStr"/>
      <c r="U147" s="2" t="n">
        <v>4.5</v>
      </c>
      <c r="V147" s="2" t="n">
        <v>4.5024</v>
      </c>
      <c r="W147" s="2" t="n">
        <v>0.2399999999999736</v>
      </c>
      <c r="X147" s="2" t="inlineStr">
        <is>
          <t>AFS-DCM</t>
        </is>
      </c>
      <c r="Y147" s="2" t="inlineStr">
        <is>
          <t>AFS-DCM</t>
        </is>
      </c>
    </row>
    <row r="148">
      <c r="A148" s="2" t="n">
        <v>50333</v>
      </c>
      <c r="B148" s="2" t="n">
        <v>50332</v>
      </c>
      <c r="C148" s="2" t="inlineStr">
        <is>
          <t>TD2136028</t>
        </is>
      </c>
      <c r="D148" s="2" t="inlineStr">
        <is>
          <t>QLQ_BAOVIE</t>
        </is>
      </c>
      <c r="E148" s="2" t="n">
        <v>2.3</v>
      </c>
      <c r="F148" s="3" t="n">
        <v>50</v>
      </c>
      <c r="G148" s="2" t="inlineStr">
        <is>
          <t>Buy (reverse repo)</t>
        </is>
      </c>
      <c r="H148" s="2" t="n">
        <v>351</v>
      </c>
      <c r="I148" s="4" t="n">
        <v>46598</v>
      </c>
      <c r="J148" s="4" t="n">
        <v>46247</v>
      </c>
      <c r="K148" s="4" t="n">
        <v>46245</v>
      </c>
      <c r="L148" s="4" t="n">
        <v>46245</v>
      </c>
      <c r="M148" s="5" t="n">
        <v>43770500000</v>
      </c>
      <c r="N148" s="5" t="n">
        <v>41195500000</v>
      </c>
      <c r="O148" s="5" t="n">
        <v>2575000000</v>
      </c>
      <c r="P148" s="3" t="n">
        <v>2575</v>
      </c>
      <c r="Q148" s="6" t="n">
        <v>0.064999977004929</v>
      </c>
      <c r="R148" s="2" t="inlineStr">
        <is>
          <t>duong</t>
        </is>
      </c>
      <c r="S148" s="2" t="inlineStr">
        <is>
          <t>Cho vay tien</t>
        </is>
      </c>
      <c r="T148" s="2" t="inlineStr"/>
      <c r="U148" s="2" t="n">
        <v>4.2937</v>
      </c>
      <c r="V148" s="2" t="n">
        <v>4.53</v>
      </c>
      <c r="W148" s="2" t="n">
        <v>23.63</v>
      </c>
      <c r="X148" s="2" t="inlineStr">
        <is>
          <t>AFS-DCM</t>
        </is>
      </c>
      <c r="Y148" s="2" t="inlineStr">
        <is>
          <t>AFS-DCM</t>
        </is>
      </c>
    </row>
    <row r="149">
      <c r="A149" s="2" t="n">
        <v>50334</v>
      </c>
      <c r="B149" s="2" t="n">
        <v>50331</v>
      </c>
      <c r="C149" s="2" t="inlineStr">
        <is>
          <t>TL1535300</t>
        </is>
      </c>
      <c r="D149" s="2" t="inlineStr">
        <is>
          <t>QLQ_BAOVIE</t>
        </is>
      </c>
      <c r="E149" s="2" t="n">
        <v>7.75</v>
      </c>
      <c r="F149" s="3" t="n">
        <v>200</v>
      </c>
      <c r="G149" s="2" t="inlineStr">
        <is>
          <t>Buy (reverse repo)</t>
        </is>
      </c>
      <c r="H149" s="2" t="n">
        <v>351</v>
      </c>
      <c r="I149" s="4" t="n">
        <v>46598</v>
      </c>
      <c r="J149" s="4" t="n">
        <v>46247</v>
      </c>
      <c r="K149" s="4" t="n">
        <v>46245</v>
      </c>
      <c r="L149" s="4" t="n">
        <v>46245</v>
      </c>
      <c r="M149" s="5" t="n">
        <v>262362000000</v>
      </c>
      <c r="N149" s="5" t="n">
        <v>246928000000</v>
      </c>
      <c r="O149" s="5" t="n">
        <v>15434000000</v>
      </c>
      <c r="P149" s="3" t="n">
        <v>15434</v>
      </c>
      <c r="Q149" s="6" t="n">
        <v>0.06499708878539955</v>
      </c>
      <c r="R149" s="2" t="inlineStr">
        <is>
          <t>duong</t>
        </is>
      </c>
      <c r="S149" s="2" t="inlineStr">
        <is>
          <t>Cho vay tien</t>
        </is>
      </c>
      <c r="T149" s="2" t="inlineStr">
        <is>
          <t>Co</t>
        </is>
      </c>
      <c r="U149" s="2" t="n">
        <v>4.2203</v>
      </c>
      <c r="V149" s="2" t="n">
        <v>4.53</v>
      </c>
      <c r="W149" s="2" t="n">
        <v>30.97000000000003</v>
      </c>
      <c r="X149" s="2" t="inlineStr">
        <is>
          <t>AFS-DCM</t>
        </is>
      </c>
      <c r="Y149" s="2" t="inlineStr">
        <is>
          <t>AFS-DCM</t>
        </is>
      </c>
    </row>
    <row r="150">
      <c r="A150" s="2" t="n">
        <v>50335</v>
      </c>
      <c r="B150" s="2" t="n">
        <v>50331</v>
      </c>
      <c r="C150" s="2" t="inlineStr">
        <is>
          <t>TL1535300</t>
        </is>
      </c>
      <c r="D150" s="2" t="inlineStr">
        <is>
          <t>QLQ_BAOVIE</t>
        </is>
      </c>
      <c r="E150" s="2" t="n">
        <v>7.75</v>
      </c>
      <c r="F150" s="3" t="n">
        <v>800</v>
      </c>
      <c r="G150" s="2" t="inlineStr">
        <is>
          <t>Buy (reverse repo)</t>
        </is>
      </c>
      <c r="H150" s="2" t="n">
        <v>351</v>
      </c>
      <c r="I150" s="4" t="n">
        <v>46598</v>
      </c>
      <c r="J150" s="4" t="n">
        <v>46247</v>
      </c>
      <c r="K150" s="4" t="n">
        <v>46245</v>
      </c>
      <c r="L150" s="4" t="n">
        <v>46245</v>
      </c>
      <c r="M150" s="5" t="n">
        <v>1049448000000</v>
      </c>
      <c r="N150" s="5" t="n">
        <v>987712000000</v>
      </c>
      <c r="O150" s="5" t="n">
        <v>61736000000</v>
      </c>
      <c r="P150" s="3" t="n">
        <v>61736</v>
      </c>
      <c r="Q150" s="6" t="n">
        <v>0.06499708878539955</v>
      </c>
      <c r="R150" s="2" t="inlineStr">
        <is>
          <t>duong</t>
        </is>
      </c>
      <c r="S150" s="2" t="inlineStr">
        <is>
          <t>Cho vay tien</t>
        </is>
      </c>
      <c r="T150" s="2" t="inlineStr"/>
      <c r="U150" s="2" t="n">
        <v>4.2203</v>
      </c>
      <c r="V150" s="2" t="n">
        <v>4.53</v>
      </c>
      <c r="W150" s="2" t="n">
        <v>30.97000000000003</v>
      </c>
      <c r="X150" s="2" t="inlineStr">
        <is>
          <t>AFS-DCM</t>
        </is>
      </c>
      <c r="Y150" s="2" t="inlineStr">
        <is>
          <t>AFS-DCM</t>
        </is>
      </c>
    </row>
    <row r="151">
      <c r="A151" s="2" t="n">
        <v>50335</v>
      </c>
      <c r="B151" s="2" t="n">
        <v>50330</v>
      </c>
      <c r="C151" s="2" t="inlineStr">
        <is>
          <t>TL1535300</t>
        </is>
      </c>
      <c r="D151" s="2" t="inlineStr">
        <is>
          <t>QLQ_BAOVIE</t>
        </is>
      </c>
      <c r="E151" s="2" t="n">
        <v>7.75</v>
      </c>
      <c r="F151" s="3" t="n">
        <v>200</v>
      </c>
      <c r="G151" s="2" t="inlineStr">
        <is>
          <t>Buy (reverse repo)</t>
        </is>
      </c>
      <c r="H151" s="2" t="n">
        <v>351</v>
      </c>
      <c r="I151" s="4" t="n">
        <v>46598</v>
      </c>
      <c r="J151" s="4" t="n">
        <v>46247</v>
      </c>
      <c r="K151" s="4" t="n">
        <v>46245</v>
      </c>
      <c r="L151" s="4" t="n">
        <v>46245</v>
      </c>
      <c r="M151" s="5" t="n">
        <v>262362000000</v>
      </c>
      <c r="N151" s="5" t="n">
        <v>246928000000</v>
      </c>
      <c r="O151" s="5" t="n">
        <v>15434000000</v>
      </c>
      <c r="P151" s="3" t="n">
        <v>15434</v>
      </c>
      <c r="Q151" s="6" t="n">
        <v>0.06499708878539955</v>
      </c>
      <c r="R151" s="2" t="inlineStr">
        <is>
          <t>duong</t>
        </is>
      </c>
      <c r="S151" s="2" t="inlineStr">
        <is>
          <t>Cho vay tien</t>
        </is>
      </c>
      <c r="T151" s="2" t="inlineStr">
        <is>
          <t>Co</t>
        </is>
      </c>
      <c r="U151" s="2" t="n">
        <v>4.2203</v>
      </c>
      <c r="V151" s="2" t="n">
        <v>4.53</v>
      </c>
      <c r="W151" s="2" t="n">
        <v>30.97000000000003</v>
      </c>
      <c r="X151" s="2" t="inlineStr">
        <is>
          <t>AFS-DCM</t>
        </is>
      </c>
      <c r="Y151" s="2" t="inlineStr">
        <is>
          <t>AFS-DCM</t>
        </is>
      </c>
    </row>
    <row r="152">
      <c r="A152" s="2" t="n">
        <v>50379</v>
      </c>
      <c r="B152" s="2" t="n">
        <v>50380</v>
      </c>
      <c r="C152" s="2" t="inlineStr">
        <is>
          <t>TD2353151</t>
        </is>
      </c>
      <c r="D152" s="2" t="inlineStr">
        <is>
          <t>CK_VNDIREC</t>
        </is>
      </c>
      <c r="E152" s="2" t="n">
        <v>4.2</v>
      </c>
      <c r="F152" s="3" t="n">
        <v>80</v>
      </c>
      <c r="G152" s="2" t="inlineStr">
        <is>
          <t>Sell (repo)</t>
        </is>
      </c>
      <c r="H152" s="2" t="n">
        <v>3</v>
      </c>
      <c r="I152" s="4" t="n">
        <v>46248</v>
      </c>
      <c r="J152" s="4" t="n">
        <v>46251</v>
      </c>
      <c r="K152" s="4" t="n">
        <v>46246</v>
      </c>
      <c r="L152" s="4" t="n">
        <v>46246</v>
      </c>
      <c r="M152" s="5" t="n">
        <v>86609600000</v>
      </c>
      <c r="N152" s="5" t="n">
        <v>86636000000</v>
      </c>
      <c r="O152" s="5" t="n">
        <v>-26400000</v>
      </c>
      <c r="P152" s="3" t="n">
        <v>-26.4</v>
      </c>
      <c r="Q152" s="6" t="n">
        <v>-0.03708595813858972</v>
      </c>
      <c r="R152" s="2" t="inlineStr">
        <is>
          <t>am</t>
        </is>
      </c>
      <c r="S152" s="2" t="inlineStr">
        <is>
          <t>Vay tien</t>
        </is>
      </c>
      <c r="T152" s="2" t="inlineStr"/>
      <c r="U152" s="2" t="n">
        <v>3.8</v>
      </c>
      <c r="V152" s="2" t="n">
        <v>3.8</v>
      </c>
      <c r="W152" s="2" t="n">
        <v>0</v>
      </c>
      <c r="X152" s="2" t="inlineStr">
        <is>
          <t>AFS-DCM</t>
        </is>
      </c>
      <c r="Y152" s="2" t="inlineStr">
        <is>
          <t>AFS-DCM</t>
        </is>
      </c>
    </row>
    <row r="153">
      <c r="A153" s="2" t="n">
        <v>50381</v>
      </c>
      <c r="B153" s="2" t="n">
        <v>50382</v>
      </c>
      <c r="C153" s="2" t="inlineStr">
        <is>
          <t>TD2136028</t>
        </is>
      </c>
      <c r="D153" s="2" t="inlineStr">
        <is>
          <t>CK_VNDIREC</t>
        </is>
      </c>
      <c r="E153" s="2" t="n">
        <v>2.3</v>
      </c>
      <c r="F153" s="3" t="n">
        <v>50</v>
      </c>
      <c r="G153" s="2" t="inlineStr">
        <is>
          <t>Sell (repo)</t>
        </is>
      </c>
      <c r="H153" s="2" t="n">
        <v>3</v>
      </c>
      <c r="I153" s="4" t="n">
        <v>46248</v>
      </c>
      <c r="J153" s="4" t="n">
        <v>46251</v>
      </c>
      <c r="K153" s="4" t="n">
        <v>46246</v>
      </c>
      <c r="L153" s="4" t="n">
        <v>46246</v>
      </c>
      <c r="M153" s="5" t="n">
        <v>41483000000</v>
      </c>
      <c r="N153" s="5" t="n">
        <v>41380500000</v>
      </c>
      <c r="O153" s="5" t="n">
        <v>102500000</v>
      </c>
      <c r="P153" s="3" t="n">
        <v>102.5</v>
      </c>
      <c r="Q153" s="6" t="n">
        <v>0.3006251556862651</v>
      </c>
      <c r="R153" s="2" t="inlineStr">
        <is>
          <t>duong</t>
        </is>
      </c>
      <c r="S153" s="2" t="inlineStr">
        <is>
          <t>Cho vay bond</t>
        </is>
      </c>
      <c r="T153" s="2" t="inlineStr"/>
      <c r="U153" s="2" t="n">
        <v>4.4499</v>
      </c>
      <c r="V153" s="2" t="n">
        <v>4.4831</v>
      </c>
      <c r="W153" s="2" t="n">
        <v>3.31999999999999</v>
      </c>
      <c r="X153" s="2" t="inlineStr">
        <is>
          <t>AFS-DCM</t>
        </is>
      </c>
      <c r="Y153" s="2" t="inlineStr">
        <is>
          <t>AFS-DCM</t>
        </is>
      </c>
    </row>
    <row r="154">
      <c r="A154" s="2" t="n">
        <v>50383</v>
      </c>
      <c r="B154" s="2" t="n">
        <v>50384</v>
      </c>
      <c r="C154" s="2" t="inlineStr">
        <is>
          <t>TD2131012</t>
        </is>
      </c>
      <c r="D154" s="2" t="inlineStr">
        <is>
          <t>CK_VNDIREC</t>
        </is>
      </c>
      <c r="E154" s="2" t="n">
        <v>2.2</v>
      </c>
      <c r="F154" s="3" t="n">
        <v>100</v>
      </c>
      <c r="G154" s="2" t="inlineStr">
        <is>
          <t>Sell (repo)</t>
        </is>
      </c>
      <c r="H154" s="2" t="n">
        <v>3</v>
      </c>
      <c r="I154" s="4" t="n">
        <v>46248</v>
      </c>
      <c r="J154" s="4" t="n">
        <v>46251</v>
      </c>
      <c r="K154" s="4" t="n">
        <v>46246</v>
      </c>
      <c r="L154" s="4" t="n">
        <v>46246</v>
      </c>
      <c r="M154" s="5" t="n">
        <v>92901000000</v>
      </c>
      <c r="N154" s="5" t="n">
        <v>92933000000</v>
      </c>
      <c r="O154" s="5" t="n">
        <v>-32000000</v>
      </c>
      <c r="P154" s="3" t="n">
        <v>-32</v>
      </c>
      <c r="Q154" s="6" t="n">
        <v>-0.04190841146309872</v>
      </c>
      <c r="R154" s="2" t="inlineStr">
        <is>
          <t>am</t>
        </is>
      </c>
      <c r="S154" s="2" t="inlineStr">
        <is>
          <t>Vay tien</t>
        </is>
      </c>
      <c r="T154" s="2" t="inlineStr"/>
      <c r="U154" s="2" t="n">
        <v>4.3199</v>
      </c>
      <c r="V154" s="2" t="n">
        <v>4.32</v>
      </c>
      <c r="W154" s="2" t="n">
        <v>0.01000000000006551</v>
      </c>
      <c r="X154" s="2" t="inlineStr">
        <is>
          <t>AFS-DCM</t>
        </is>
      </c>
      <c r="Y154" s="2" t="inlineStr">
        <is>
          <t>AFS-DCM</t>
        </is>
      </c>
    </row>
    <row r="155">
      <c r="A155" s="2" t="n">
        <v>50397</v>
      </c>
      <c r="B155" s="2" t="n">
        <v>50400</v>
      </c>
      <c r="C155" s="2" t="inlineStr">
        <is>
          <t>TL1535300</t>
        </is>
      </c>
      <c r="D155" s="2" t="inlineStr">
        <is>
          <t>CK_THIENVI</t>
        </is>
      </c>
      <c r="E155" s="2" t="n">
        <v>7.75</v>
      </c>
      <c r="F155" s="3" t="n">
        <v>81</v>
      </c>
      <c r="G155" s="2" t="inlineStr">
        <is>
          <t>Sell (repo)</t>
        </is>
      </c>
      <c r="H155" s="2" t="n">
        <v>3</v>
      </c>
      <c r="I155" s="4" t="n">
        <v>46258</v>
      </c>
      <c r="J155" s="4" t="n">
        <v>46261</v>
      </c>
      <c r="K155" s="4" t="n">
        <v>46247</v>
      </c>
      <c r="L155" s="4" t="n">
        <v>46247</v>
      </c>
      <c r="M155" s="5" t="n">
        <v>100677330000</v>
      </c>
      <c r="N155" s="5" t="n">
        <v>100679760000</v>
      </c>
      <c r="O155" s="5" t="n">
        <v>-2430000</v>
      </c>
      <c r="P155" s="3" t="n">
        <v>-2.43</v>
      </c>
      <c r="Q155" s="6" t="n">
        <v>-0.002936609463123427</v>
      </c>
      <c r="R155" s="2" t="inlineStr">
        <is>
          <t>am</t>
        </is>
      </c>
      <c r="S155" s="2" t="inlineStr">
        <is>
          <t>Vay tien</t>
        </is>
      </c>
      <c r="T155" s="2" t="inlineStr"/>
      <c r="U155" s="2" t="n">
        <v>4.45</v>
      </c>
      <c r="V155" s="2" t="n">
        <v>4.455</v>
      </c>
      <c r="W155" s="2" t="n">
        <v>0.4999999999999893</v>
      </c>
      <c r="X155" s="2" t="inlineStr">
        <is>
          <t>AFS-DCM</t>
        </is>
      </c>
      <c r="Y155" s="2" t="inlineStr">
        <is>
          <t>AFS-DCM</t>
        </is>
      </c>
    </row>
    <row r="156">
      <c r="A156" s="2" t="n">
        <v>50398</v>
      </c>
      <c r="B156" s="2" t="n">
        <v>50399</v>
      </c>
      <c r="C156" s="2" t="inlineStr">
        <is>
          <t>TL1535300</t>
        </is>
      </c>
      <c r="D156" s="2" t="inlineStr">
        <is>
          <t>CK_THIENVI</t>
        </is>
      </c>
      <c r="E156" s="2" t="n">
        <v>7.75</v>
      </c>
      <c r="F156" s="3" t="n">
        <v>81</v>
      </c>
      <c r="G156" s="2" t="inlineStr">
        <is>
          <t>Buy (reverse repo)</t>
        </is>
      </c>
      <c r="H156" s="2" t="n">
        <v>1</v>
      </c>
      <c r="I156" s="4" t="n">
        <v>46260</v>
      </c>
      <c r="J156" s="4" t="n">
        <v>46259</v>
      </c>
      <c r="K156" s="4" t="n">
        <v>46247</v>
      </c>
      <c r="L156" s="4" t="n">
        <v>46247</v>
      </c>
      <c r="M156" s="5" t="n">
        <v>100701630000</v>
      </c>
      <c r="N156" s="5" t="n">
        <v>100658700000</v>
      </c>
      <c r="O156" s="5" t="n">
        <v>42930000</v>
      </c>
      <c r="P156" s="3" t="n">
        <v>42.93</v>
      </c>
      <c r="Q156" s="6" t="n">
        <v>0.1556691075883158</v>
      </c>
      <c r="R156" s="2" t="inlineStr">
        <is>
          <t>duong</t>
        </is>
      </c>
      <c r="S156" s="2" t="inlineStr">
        <is>
          <t>Cho vay tien</t>
        </is>
      </c>
      <c r="T156" s="2" t="inlineStr"/>
      <c r="U156" s="2" t="n">
        <v>4.45</v>
      </c>
      <c r="V156" s="2" t="n">
        <v>4.4545</v>
      </c>
      <c r="W156" s="2" t="n">
        <v>0.4500000000000171</v>
      </c>
      <c r="X156" s="2" t="inlineStr">
        <is>
          <t>AFS-DCM</t>
        </is>
      </c>
      <c r="Y156" s="2" t="inlineStr">
        <is>
          <t>AFS-DCM</t>
        </is>
      </c>
    </row>
    <row r="157">
      <c r="A157" s="2" t="n">
        <v>50401</v>
      </c>
      <c r="B157" s="2" t="n">
        <v>50402</v>
      </c>
      <c r="C157" s="2" t="inlineStr">
        <is>
          <t>TD2131012</t>
        </is>
      </c>
      <c r="D157" s="2" t="inlineStr">
        <is>
          <t>CAP_FIG</t>
        </is>
      </c>
      <c r="E157" s="2" t="n">
        <v>2.2</v>
      </c>
      <c r="F157" s="3" t="n">
        <v>100</v>
      </c>
      <c r="G157" s="2" t="inlineStr">
        <is>
          <t>Sell (repo)</t>
        </is>
      </c>
      <c r="H157" s="2" t="n">
        <v>1</v>
      </c>
      <c r="I157" s="4" t="n">
        <v>46254</v>
      </c>
      <c r="J157" s="4" t="n">
        <v>46255</v>
      </c>
      <c r="K157" s="4" t="n">
        <v>46247</v>
      </c>
      <c r="L157" s="4" t="n">
        <v>46247</v>
      </c>
      <c r="M157" s="5" t="n">
        <v>92520000000</v>
      </c>
      <c r="N157" s="5" t="n">
        <v>94026000000</v>
      </c>
      <c r="O157" s="5" t="n">
        <v>-1506000000</v>
      </c>
      <c r="P157" s="3" t="n">
        <v>-1506</v>
      </c>
      <c r="Q157" s="6" t="n">
        <v>-5.941309987029831</v>
      </c>
      <c r="R157" s="2" t="inlineStr">
        <is>
          <t>am</t>
        </is>
      </c>
      <c r="S157" s="2" t="inlineStr">
        <is>
          <t>Vay tien</t>
        </is>
      </c>
      <c r="T157" s="2" t="inlineStr"/>
      <c r="U157" s="2" t="n">
        <v>4.4399</v>
      </c>
      <c r="V157" s="2" t="n">
        <v>4.04</v>
      </c>
      <c r="W157" s="2" t="n">
        <v>-39.98999999999997</v>
      </c>
      <c r="X157" s="2" t="inlineStr">
        <is>
          <t>AFS-DCM</t>
        </is>
      </c>
      <c r="Y157" s="2" t="inlineStr">
        <is>
          <t>AFS-DCM</t>
        </is>
      </c>
    </row>
    <row r="158">
      <c r="A158" s="2" t="n">
        <v>50403</v>
      </c>
      <c r="B158" s="2" t="n">
        <v>50404</v>
      </c>
      <c r="C158" s="2" t="inlineStr">
        <is>
          <t>TD2353151</t>
        </is>
      </c>
      <c r="D158" s="2" t="inlineStr">
        <is>
          <t>CK_RONGVIE</t>
        </is>
      </c>
      <c r="E158" s="2" t="n">
        <v>4.2</v>
      </c>
      <c r="F158" s="3" t="n">
        <v>80</v>
      </c>
      <c r="G158" s="2" t="inlineStr">
        <is>
          <t>Sell (repo)</t>
        </is>
      </c>
      <c r="H158" s="2" t="n">
        <v>1</v>
      </c>
      <c r="I158" s="4" t="n">
        <v>46258</v>
      </c>
      <c r="J158" s="4" t="n">
        <v>46259</v>
      </c>
      <c r="K158" s="4" t="n">
        <v>46247</v>
      </c>
      <c r="L158" s="4" t="n">
        <v>46247</v>
      </c>
      <c r="M158" s="5" t="n">
        <v>83991200000</v>
      </c>
      <c r="N158" s="5" t="n">
        <v>83967200000</v>
      </c>
      <c r="O158" s="5" t="n">
        <v>24000000</v>
      </c>
      <c r="P158" s="3" t="n">
        <v>24</v>
      </c>
      <c r="Q158" s="6" t="n">
        <v>0.1042966406004439</v>
      </c>
      <c r="R158" s="2" t="inlineStr">
        <is>
          <t>duong</t>
        </is>
      </c>
      <c r="S158" s="2" t="inlineStr">
        <is>
          <t>Cho vay bond</t>
        </is>
      </c>
      <c r="T158" s="2" t="inlineStr"/>
      <c r="U158" s="2" t="n">
        <v>4</v>
      </c>
      <c r="V158" s="2" t="n">
        <v>4.0025</v>
      </c>
      <c r="W158" s="2" t="n">
        <v>0.2500000000000391</v>
      </c>
      <c r="X158" s="2" t="inlineStr">
        <is>
          <t>AFS-DCM</t>
        </is>
      </c>
      <c r="Y158" s="2" t="inlineStr">
        <is>
          <t>AFS-DCM</t>
        </is>
      </c>
    </row>
    <row r="159">
      <c r="A159" s="2" t="n">
        <v>50405</v>
      </c>
      <c r="B159" s="2" t="n">
        <v>50406</v>
      </c>
      <c r="C159" s="2" t="inlineStr">
        <is>
          <t>TL1535300</t>
        </is>
      </c>
      <c r="D159" s="2" t="inlineStr">
        <is>
          <t>CK_RONGVIE</t>
        </is>
      </c>
      <c r="E159" s="2" t="n">
        <v>7.75</v>
      </c>
      <c r="F159" s="3" t="n">
        <v>19</v>
      </c>
      <c r="G159" s="2" t="inlineStr">
        <is>
          <t>Sell (repo)</t>
        </is>
      </c>
      <c r="H159" s="2" t="n">
        <v>1</v>
      </c>
      <c r="I159" s="4" t="n">
        <v>46258</v>
      </c>
      <c r="J159" s="4" t="n">
        <v>46259</v>
      </c>
      <c r="K159" s="4" t="n">
        <v>46247</v>
      </c>
      <c r="L159" s="4" t="n">
        <v>46247</v>
      </c>
      <c r="M159" s="5" t="n">
        <v>23489510000</v>
      </c>
      <c r="N159" s="5" t="n">
        <v>23492360000</v>
      </c>
      <c r="O159" s="5" t="n">
        <v>-2850000</v>
      </c>
      <c r="P159" s="3" t="n">
        <v>-2.85</v>
      </c>
      <c r="Q159" s="6" t="n">
        <v>-0.04428572584102435</v>
      </c>
      <c r="R159" s="2" t="inlineStr">
        <is>
          <t>am</t>
        </is>
      </c>
      <c r="S159" s="2" t="inlineStr">
        <is>
          <t>Vay tien</t>
        </is>
      </c>
      <c r="T159" s="2" t="inlineStr"/>
      <c r="U159" s="2" t="n">
        <v>4.53</v>
      </c>
      <c r="V159" s="2" t="n">
        <v>4.53</v>
      </c>
      <c r="W159" s="2" t="n">
        <v>0</v>
      </c>
      <c r="X159" s="2" t="inlineStr">
        <is>
          <t>AFS-DCM</t>
        </is>
      </c>
      <c r="Y159" s="2" t="inlineStr">
        <is>
          <t>AFS-DCM</t>
        </is>
      </c>
    </row>
    <row r="160">
      <c r="A160" s="2" t="n">
        <v>50407</v>
      </c>
      <c r="B160" s="2" t="n">
        <v>50408</v>
      </c>
      <c r="C160" s="2" t="inlineStr">
        <is>
          <t>TD2530010</t>
        </is>
      </c>
      <c r="D160" s="2" t="inlineStr">
        <is>
          <t>CK_VNDIREC</t>
        </is>
      </c>
      <c r="E160" s="2" t="n">
        <v>2.7</v>
      </c>
      <c r="F160" s="3" t="n">
        <v>200</v>
      </c>
      <c r="G160" s="2" t="inlineStr">
        <is>
          <t>Sell (repo)</t>
        </is>
      </c>
      <c r="H160" s="2" t="n">
        <v>1</v>
      </c>
      <c r="I160" s="4" t="n">
        <v>46252</v>
      </c>
      <c r="J160" s="4" t="n">
        <v>46253</v>
      </c>
      <c r="K160" s="4" t="n">
        <v>46247</v>
      </c>
      <c r="L160" s="4" t="n">
        <v>46247</v>
      </c>
      <c r="M160" s="5" t="n">
        <v>197084000000</v>
      </c>
      <c r="N160" s="5" t="n">
        <v>197044000000</v>
      </c>
      <c r="O160" s="5" t="n">
        <v>40000000</v>
      </c>
      <c r="P160" s="3" t="n">
        <v>40</v>
      </c>
      <c r="Q160" s="6" t="n">
        <v>0.07408008767835035</v>
      </c>
      <c r="R160" s="2" t="inlineStr">
        <is>
          <t>duong</t>
        </is>
      </c>
      <c r="S160" s="2" t="inlineStr">
        <is>
          <t>Cho vay bond</t>
        </is>
      </c>
      <c r="T160" s="2" t="inlineStr"/>
      <c r="U160" s="2" t="n">
        <v>3.1501</v>
      </c>
      <c r="V160" s="2" t="n">
        <v>3.158</v>
      </c>
      <c r="W160" s="2" t="n">
        <v>0.7899999999999796</v>
      </c>
      <c r="X160" s="2" t="inlineStr">
        <is>
          <t>AFS-DCM</t>
        </is>
      </c>
      <c r="Y160" s="2" t="inlineStr">
        <is>
          <t>AFS-DCM</t>
        </is>
      </c>
    </row>
    <row r="161">
      <c r="A161" s="2" t="n">
        <v>50417</v>
      </c>
      <c r="B161" s="2" t="n">
        <v>50418</v>
      </c>
      <c r="C161" s="2" t="inlineStr">
        <is>
          <t>TD2232114</t>
        </is>
      </c>
      <c r="D161" s="2" t="inlineStr">
        <is>
          <t>CK_HDB</t>
        </is>
      </c>
      <c r="E161" s="2" t="n">
        <v>4.8</v>
      </c>
      <c r="F161" s="3" t="n">
        <v>100</v>
      </c>
      <c r="G161" s="2" t="inlineStr">
        <is>
          <t>Sell (repo)</t>
        </is>
      </c>
      <c r="H161" s="2" t="n">
        <v>5</v>
      </c>
      <c r="I161" s="4" t="n">
        <v>46254</v>
      </c>
      <c r="J161" s="4" t="n">
        <v>46259</v>
      </c>
      <c r="K161" s="4" t="n">
        <v>46251</v>
      </c>
      <c r="L161" s="4" t="n">
        <v>46251</v>
      </c>
      <c r="M161" s="5" t="n">
        <v>114565000000</v>
      </c>
      <c r="N161" s="5" t="n">
        <v>114536000000</v>
      </c>
      <c r="O161" s="5" t="n">
        <v>29000000</v>
      </c>
      <c r="P161" s="3" t="n">
        <v>29</v>
      </c>
      <c r="Q161" s="6" t="n">
        <v>0.01847859293850652</v>
      </c>
      <c r="R161" s="2" t="inlineStr">
        <is>
          <t>duong</t>
        </is>
      </c>
      <c r="S161" s="2" t="inlineStr">
        <is>
          <t>Cho vay bond</t>
        </is>
      </c>
      <c r="T161" s="2" t="inlineStr"/>
      <c r="U161" s="2" t="n">
        <v>2.8299</v>
      </c>
      <c r="V161" s="2" t="n">
        <v>2.8419</v>
      </c>
      <c r="W161" s="2" t="n">
        <v>1.200000000000001</v>
      </c>
      <c r="X161" s="2" t="inlineStr">
        <is>
          <t>AFS-DCM</t>
        </is>
      </c>
      <c r="Y161" s="2" t="inlineStr">
        <is>
          <t>AFS-DCM</t>
        </is>
      </c>
    </row>
    <row r="162">
      <c r="A162" s="2" t="n">
        <v>50419</v>
      </c>
      <c r="B162" s="2" t="n">
        <v>50420</v>
      </c>
      <c r="C162" s="2" t="inlineStr">
        <is>
          <t>TD2333118</t>
        </is>
      </c>
      <c r="D162" s="2" t="inlineStr">
        <is>
          <t>CK_HDB</t>
        </is>
      </c>
      <c r="E162" s="2" t="n">
        <v>4.1</v>
      </c>
      <c r="F162" s="3" t="n">
        <v>50</v>
      </c>
      <c r="G162" s="2" t="inlineStr">
        <is>
          <t>Sell (repo)</t>
        </is>
      </c>
      <c r="H162" s="2" t="n">
        <v>5</v>
      </c>
      <c r="I162" s="4" t="n">
        <v>46254</v>
      </c>
      <c r="J162" s="4" t="n">
        <v>46259</v>
      </c>
      <c r="K162" s="4" t="n">
        <v>46251</v>
      </c>
      <c r="L162" s="4" t="n">
        <v>46251</v>
      </c>
      <c r="M162" s="5" t="n">
        <v>55433500000</v>
      </c>
      <c r="N162" s="5" t="n">
        <v>55422500000</v>
      </c>
      <c r="O162" s="5" t="n">
        <v>11000000</v>
      </c>
      <c r="P162" s="3" t="n">
        <v>11</v>
      </c>
      <c r="Q162" s="6" t="n">
        <v>0.01448582535831221</v>
      </c>
      <c r="R162" s="2" t="inlineStr">
        <is>
          <t>duong</t>
        </is>
      </c>
      <c r="S162" s="2" t="inlineStr">
        <is>
          <t>Cho vay bond</t>
        </is>
      </c>
      <c r="T162" s="2" t="inlineStr"/>
      <c r="U162" s="2" t="n">
        <v>2.6</v>
      </c>
      <c r="V162" s="2" t="n">
        <v>2.6098</v>
      </c>
      <c r="W162" s="2" t="n">
        <v>0.9799999999999809</v>
      </c>
      <c r="X162" s="2" t="inlineStr">
        <is>
          <t>AFS-DCM</t>
        </is>
      </c>
      <c r="Y162" s="2" t="inlineStr">
        <is>
          <t>AFS-DCM</t>
        </is>
      </c>
    </row>
    <row r="163">
      <c r="A163" s="2" t="n">
        <v>50421</v>
      </c>
      <c r="B163" s="2" t="n">
        <v>50422</v>
      </c>
      <c r="C163" s="2" t="inlineStr">
        <is>
          <t>TD2530010</t>
        </is>
      </c>
      <c r="D163" s="2" t="inlineStr">
        <is>
          <t>CK_HDB</t>
        </is>
      </c>
      <c r="E163" s="2" t="n">
        <v>2.7</v>
      </c>
      <c r="F163" s="3" t="n">
        <v>200</v>
      </c>
      <c r="G163" s="2" t="inlineStr">
        <is>
          <t>Sell (repo)</t>
        </is>
      </c>
      <c r="H163" s="2" t="n">
        <v>5</v>
      </c>
      <c r="I163" s="4" t="n">
        <v>46254</v>
      </c>
      <c r="J163" s="4" t="n">
        <v>46259</v>
      </c>
      <c r="K163" s="4" t="n">
        <v>46251</v>
      </c>
      <c r="L163" s="4" t="n">
        <v>46251</v>
      </c>
      <c r="M163" s="5" t="n">
        <v>197046000000</v>
      </c>
      <c r="N163" s="5" t="n">
        <v>197012000000</v>
      </c>
      <c r="O163" s="5" t="n">
        <v>34000000</v>
      </c>
      <c r="P163" s="3" t="n">
        <v>34</v>
      </c>
      <c r="Q163" s="6" t="n">
        <v>0.01259604356343189</v>
      </c>
      <c r="R163" s="2" t="inlineStr">
        <is>
          <t>duong</t>
        </is>
      </c>
      <c r="S163" s="2" t="inlineStr">
        <is>
          <t>Cho vay bond</t>
        </is>
      </c>
      <c r="T163" s="2" t="inlineStr"/>
      <c r="U163" s="2" t="n">
        <v>3.16</v>
      </c>
      <c r="V163" s="2" t="n">
        <v>3.1765</v>
      </c>
      <c r="W163" s="2" t="n">
        <v>1.649999999999974</v>
      </c>
      <c r="X163" s="2" t="inlineStr">
        <is>
          <t>AFS-DCM</t>
        </is>
      </c>
      <c r="Y163" s="2" t="inlineStr">
        <is>
          <t>AFS-DCM</t>
        </is>
      </c>
    </row>
    <row r="164">
      <c r="A164" s="2" t="n">
        <v>50423</v>
      </c>
      <c r="B164" s="2" t="n">
        <v>50424</v>
      </c>
      <c r="C164" s="2" t="inlineStr">
        <is>
          <t>TD2136028</t>
        </is>
      </c>
      <c r="D164" s="2" t="inlineStr">
        <is>
          <t>CK_SSI</t>
        </is>
      </c>
      <c r="E164" s="2" t="n">
        <v>2.3</v>
      </c>
      <c r="F164" s="3" t="n">
        <v>50</v>
      </c>
      <c r="G164" s="2" t="inlineStr">
        <is>
          <t>Sell (repo)</t>
        </is>
      </c>
      <c r="H164" s="2" t="n">
        <v>7</v>
      </c>
      <c r="I164" s="4" t="n">
        <v>46255</v>
      </c>
      <c r="J164" s="4" t="n">
        <v>46262</v>
      </c>
      <c r="K164" s="4" t="n">
        <v>46251</v>
      </c>
      <c r="L164" s="4" t="n">
        <v>46251</v>
      </c>
      <c r="M164" s="5" t="n">
        <v>41400500000</v>
      </c>
      <c r="N164" s="5" t="n">
        <v>41435500000</v>
      </c>
      <c r="O164" s="5" t="n">
        <v>-35000000</v>
      </c>
      <c r="P164" s="3" t="n">
        <v>-35</v>
      </c>
      <c r="Q164" s="6" t="n">
        <v>-0.04408159321747322</v>
      </c>
      <c r="R164" s="2" t="inlineStr">
        <is>
          <t>am</t>
        </is>
      </c>
      <c r="S164" s="2" t="inlineStr">
        <is>
          <t>Vay tien</t>
        </is>
      </c>
      <c r="T164" s="2" t="inlineStr"/>
      <c r="U164" s="2" t="n">
        <v>4.4831</v>
      </c>
      <c r="V164" s="2" t="n">
        <v>4.483</v>
      </c>
      <c r="W164" s="2" t="n">
        <v>-0.01000000000006551</v>
      </c>
      <c r="X164" s="2" t="inlineStr">
        <is>
          <t>AFS-DCM</t>
        </is>
      </c>
      <c r="Y164" s="2" t="inlineStr">
        <is>
          <t>AFS-DCM</t>
        </is>
      </c>
    </row>
    <row r="165">
      <c r="A165" s="2" t="n">
        <v>50425</v>
      </c>
      <c r="B165" s="2" t="n">
        <v>50426</v>
      </c>
      <c r="C165" s="2" t="inlineStr">
        <is>
          <t>TD2131012</t>
        </is>
      </c>
      <c r="D165" s="2" t="inlineStr">
        <is>
          <t>CK_SSI</t>
        </is>
      </c>
      <c r="E165" s="2" t="n">
        <v>2.2</v>
      </c>
      <c r="F165" s="3" t="n">
        <v>100</v>
      </c>
      <c r="G165" s="2" t="inlineStr">
        <is>
          <t>Sell (repo)</t>
        </is>
      </c>
      <c r="H165" s="2" t="n">
        <v>7</v>
      </c>
      <c r="I165" s="4" t="n">
        <v>46255</v>
      </c>
      <c r="J165" s="4" t="n">
        <v>46262</v>
      </c>
      <c r="K165" s="4" t="n">
        <v>46251</v>
      </c>
      <c r="L165" s="4" t="n">
        <v>46251</v>
      </c>
      <c r="M165" s="5" t="n">
        <v>97941000000</v>
      </c>
      <c r="N165" s="5" t="n">
        <v>97997000000</v>
      </c>
      <c r="O165" s="5" t="n">
        <v>-56000000</v>
      </c>
      <c r="P165" s="3" t="n">
        <v>-56</v>
      </c>
      <c r="Q165" s="6" t="n">
        <v>-0.02981386753249405</v>
      </c>
      <c r="R165" s="2" t="inlineStr">
        <is>
          <t>am</t>
        </is>
      </c>
      <c r="S165" s="2" t="inlineStr">
        <is>
          <t>Vay tien</t>
        </is>
      </c>
      <c r="T165" s="2" t="inlineStr"/>
      <c r="U165" s="2" t="n">
        <v>3.0299</v>
      </c>
      <c r="V165" s="2" t="n">
        <v>3.0299</v>
      </c>
      <c r="W165" s="2" t="n">
        <v>0</v>
      </c>
      <c r="X165" s="2" t="inlineStr">
        <is>
          <t>AFS-DCM</t>
        </is>
      </c>
      <c r="Y165" s="2" t="inlineStr">
        <is>
          <t>AFS-DCM</t>
        </is>
      </c>
    </row>
    <row r="166">
      <c r="A166" s="2" t="n">
        <v>50427</v>
      </c>
      <c r="B166" s="2" t="n">
        <v>50428</v>
      </c>
      <c r="C166" s="2" t="inlineStr">
        <is>
          <t>TD2434022</t>
        </is>
      </c>
      <c r="D166" s="2" t="inlineStr">
        <is>
          <t>CK_SSI</t>
        </is>
      </c>
      <c r="E166" s="2" t="n">
        <v>2.7</v>
      </c>
      <c r="F166" s="3" t="n">
        <v>300</v>
      </c>
      <c r="G166" s="2" t="inlineStr">
        <is>
          <t>Sell (repo)</t>
        </is>
      </c>
      <c r="H166" s="2" t="n">
        <v>7</v>
      </c>
      <c r="I166" s="4" t="n">
        <v>46255</v>
      </c>
      <c r="J166" s="4" t="n">
        <v>46262</v>
      </c>
      <c r="K166" s="4" t="n">
        <v>46251</v>
      </c>
      <c r="L166" s="4" t="n">
        <v>46251</v>
      </c>
      <c r="M166" s="5" t="n">
        <v>294549000000</v>
      </c>
      <c r="N166" s="5" t="n">
        <v>294711000000</v>
      </c>
      <c r="O166" s="5" t="n">
        <v>-162000000</v>
      </c>
      <c r="P166" s="3" t="n">
        <v>-162</v>
      </c>
      <c r="Q166" s="6" t="n">
        <v>-0.02867822622770016</v>
      </c>
      <c r="R166" s="2" t="inlineStr">
        <is>
          <t>am</t>
        </is>
      </c>
      <c r="S166" s="2" t="inlineStr">
        <is>
          <t>Vay tien</t>
        </is>
      </c>
      <c r="T166" s="2" t="inlineStr"/>
      <c r="U166" s="2" t="n">
        <v>3.03</v>
      </c>
      <c r="V166" s="2" t="n">
        <v>3.0303</v>
      </c>
      <c r="W166" s="2" t="n">
        <v>0.0300000000000189</v>
      </c>
      <c r="X166" s="2" t="inlineStr">
        <is>
          <t>AFS-DCM</t>
        </is>
      </c>
      <c r="Y166" s="2" t="inlineStr">
        <is>
          <t>AFS-DCM</t>
        </is>
      </c>
    </row>
    <row r="167">
      <c r="A167" s="2" t="n">
        <v>50429</v>
      </c>
      <c r="B167" s="2" t="n">
        <v>50430</v>
      </c>
      <c r="C167" s="2" t="inlineStr">
        <is>
          <t>TD2353151</t>
        </is>
      </c>
      <c r="D167" s="2" t="inlineStr">
        <is>
          <t>CK_SSI</t>
        </is>
      </c>
      <c r="E167" s="2" t="n">
        <v>4.2</v>
      </c>
      <c r="F167" s="3" t="n">
        <v>80</v>
      </c>
      <c r="G167" s="2" t="inlineStr">
        <is>
          <t>Sell (repo)</t>
        </is>
      </c>
      <c r="H167" s="2" t="n">
        <v>7</v>
      </c>
      <c r="I167" s="4" t="n">
        <v>46255</v>
      </c>
      <c r="J167" s="4" t="n">
        <v>46262</v>
      </c>
      <c r="K167" s="4" t="n">
        <v>46251</v>
      </c>
      <c r="L167" s="4" t="n">
        <v>46251</v>
      </c>
      <c r="M167" s="5" t="n">
        <v>81373600000</v>
      </c>
      <c r="N167" s="5" t="n">
        <v>81437600000</v>
      </c>
      <c r="O167" s="5" t="n">
        <v>-64000000</v>
      </c>
      <c r="P167" s="3" t="n">
        <v>-64</v>
      </c>
      <c r="Q167" s="6" t="n">
        <v>-0.04101014158330045</v>
      </c>
      <c r="R167" s="2" t="inlineStr">
        <is>
          <t>am</t>
        </is>
      </c>
      <c r="S167" s="2" t="inlineStr">
        <is>
          <t>Vay tien</t>
        </is>
      </c>
      <c r="T167" s="2" t="inlineStr"/>
      <c r="U167" s="2" t="n">
        <v>4.2</v>
      </c>
      <c r="V167" s="2" t="n">
        <v>4.2</v>
      </c>
      <c r="W167" s="2" t="n">
        <v>0</v>
      </c>
      <c r="X167" s="2" t="inlineStr">
        <is>
          <t>AFS-DCM</t>
        </is>
      </c>
      <c r="Y167" s="2" t="inlineStr">
        <is>
          <t>AFS-DCM</t>
        </is>
      </c>
    </row>
    <row r="168">
      <c r="A168" s="2" t="n">
        <v>50431</v>
      </c>
      <c r="B168" s="2" t="n">
        <v>50432</v>
      </c>
      <c r="C168" s="2" t="inlineStr">
        <is>
          <t>TD1934188</t>
        </is>
      </c>
      <c r="D168" s="2" t="inlineStr">
        <is>
          <t>CK_AGRIBAN</t>
        </is>
      </c>
      <c r="E168" s="2" t="n">
        <v>5</v>
      </c>
      <c r="F168" s="3" t="n">
        <v>50</v>
      </c>
      <c r="G168" s="2" t="inlineStr">
        <is>
          <t>Sell (repo)</t>
        </is>
      </c>
      <c r="H168" s="2" t="n">
        <v>1</v>
      </c>
      <c r="I168" s="4" t="n">
        <v>46258</v>
      </c>
      <c r="J168" s="4" t="n">
        <v>46259</v>
      </c>
      <c r="K168" s="4" t="n">
        <v>46251</v>
      </c>
      <c r="L168" s="4" t="n">
        <v>46251</v>
      </c>
      <c r="M168" s="5" t="n">
        <v>59109000000</v>
      </c>
      <c r="N168" s="5" t="n">
        <v>59111000000</v>
      </c>
      <c r="O168" s="5" t="n">
        <v>-2000000</v>
      </c>
      <c r="P168" s="3" t="n">
        <v>-2</v>
      </c>
      <c r="Q168" s="6" t="n">
        <v>-0.01235006513390516</v>
      </c>
      <c r="R168" s="2" t="inlineStr">
        <is>
          <t>am</t>
        </is>
      </c>
      <c r="S168" s="2" t="inlineStr">
        <is>
          <t>Vay tien</t>
        </is>
      </c>
      <c r="T168" s="2" t="inlineStr"/>
      <c r="U168" s="2" t="n">
        <v>2.66</v>
      </c>
      <c r="V168" s="2" t="n">
        <v>2.6607</v>
      </c>
      <c r="W168" s="2" t="n">
        <v>0.06999999999997009</v>
      </c>
      <c r="X168" s="2" t="inlineStr">
        <is>
          <t>AFS-DCM</t>
        </is>
      </c>
      <c r="Y168" s="2" t="inlineStr">
        <is>
          <t>AFS-DCM</t>
        </is>
      </c>
    </row>
    <row r="169">
      <c r="A169" s="2" t="n">
        <v>50433</v>
      </c>
      <c r="B169" s="2" t="n">
        <v>50434</v>
      </c>
      <c r="C169" s="2" t="inlineStr">
        <is>
          <t>TD2434026</t>
        </is>
      </c>
      <c r="D169" s="2" t="inlineStr">
        <is>
          <t>CK_AGRIBAN</t>
        </is>
      </c>
      <c r="E169" s="2" t="n">
        <v>2.6</v>
      </c>
      <c r="F169" s="3" t="n">
        <v>134</v>
      </c>
      <c r="G169" s="2" t="inlineStr">
        <is>
          <t>Sell (repo)</t>
        </is>
      </c>
      <c r="H169" s="2" t="n">
        <v>1</v>
      </c>
      <c r="I169" s="4" t="n">
        <v>46258</v>
      </c>
      <c r="J169" s="4" t="n">
        <v>46259</v>
      </c>
      <c r="K169" s="4" t="n">
        <v>46251</v>
      </c>
      <c r="L169" s="4" t="n">
        <v>46251</v>
      </c>
      <c r="M169" s="5" t="n">
        <v>132898520000</v>
      </c>
      <c r="N169" s="5" t="n">
        <v>132899860000</v>
      </c>
      <c r="O169" s="5" t="n">
        <v>-1340000</v>
      </c>
      <c r="P169" s="3" t="n">
        <v>-1.34</v>
      </c>
      <c r="Q169" s="6" t="n">
        <v>-0.003680251668716853</v>
      </c>
      <c r="R169" s="2" t="inlineStr">
        <is>
          <t>am</t>
        </is>
      </c>
      <c r="S169" s="2" t="inlineStr">
        <is>
          <t>Vay tien</t>
        </is>
      </c>
      <c r="T169" s="2" t="inlineStr"/>
      <c r="U169" s="2" t="n">
        <v>3.05</v>
      </c>
      <c r="V169" s="2" t="n">
        <v>3.051</v>
      </c>
      <c r="W169" s="2" t="n">
        <v>0.1000000000000334</v>
      </c>
      <c r="X169" s="2" t="inlineStr">
        <is>
          <t>AFS-DCM</t>
        </is>
      </c>
      <c r="Y169" s="2" t="inlineStr">
        <is>
          <t>AFS-DCM</t>
        </is>
      </c>
    </row>
    <row r="170">
      <c r="A170" s="2" t="n">
        <v>50435</v>
      </c>
      <c r="B170" s="2" t="n">
        <v>50436</v>
      </c>
      <c r="C170" s="2" t="inlineStr">
        <is>
          <t>TD2434024</t>
        </is>
      </c>
      <c r="D170" s="2" t="inlineStr">
        <is>
          <t>CK_AGRIBAN</t>
        </is>
      </c>
      <c r="E170" s="2" t="n">
        <v>2.7</v>
      </c>
      <c r="F170" s="3" t="n">
        <v>105</v>
      </c>
      <c r="G170" s="2" t="inlineStr">
        <is>
          <t>Sell (repo)</t>
        </is>
      </c>
      <c r="H170" s="2" t="n">
        <v>3</v>
      </c>
      <c r="I170" s="4" t="n">
        <v>46259</v>
      </c>
      <c r="J170" s="4" t="n">
        <v>46262</v>
      </c>
      <c r="K170" s="4" t="n">
        <v>46251</v>
      </c>
      <c r="L170" s="4" t="n">
        <v>46251</v>
      </c>
      <c r="M170" s="5" t="n">
        <v>102818100000</v>
      </c>
      <c r="N170" s="5" t="n">
        <v>102819150000</v>
      </c>
      <c r="O170" s="5" t="n">
        <v>-1050000</v>
      </c>
      <c r="P170" s="3" t="n">
        <v>-1.05</v>
      </c>
      <c r="Q170" s="6" t="n">
        <v>-0.00124248551568255</v>
      </c>
      <c r="R170" s="2" t="inlineStr">
        <is>
          <t>am</t>
        </is>
      </c>
      <c r="S170" s="2" t="inlineStr">
        <is>
          <t>Vay tien</t>
        </is>
      </c>
      <c r="T170" s="2" t="inlineStr"/>
      <c r="U170" s="2" t="n">
        <v>3.04</v>
      </c>
      <c r="V170" s="2" t="n">
        <v>3.0434</v>
      </c>
      <c r="W170" s="2" t="n">
        <v>0.340000000000007</v>
      </c>
      <c r="X170" s="2" t="inlineStr">
        <is>
          <t>AFS-DCM</t>
        </is>
      </c>
      <c r="Y170" s="2" t="inlineStr">
        <is>
          <t>AFS-DCM</t>
        </is>
      </c>
    </row>
    <row r="171">
      <c r="A171" s="2" t="n">
        <v>50437</v>
      </c>
      <c r="B171" s="2" t="n">
        <v>50438</v>
      </c>
      <c r="C171" s="2" t="inlineStr">
        <is>
          <t>TD2535028</t>
        </is>
      </c>
      <c r="D171" s="2" t="inlineStr">
        <is>
          <t>CK_AGRIBAN</t>
        </is>
      </c>
      <c r="E171" s="2" t="n">
        <v>3.3</v>
      </c>
      <c r="F171" s="3" t="n">
        <v>11</v>
      </c>
      <c r="G171" s="2" t="inlineStr">
        <is>
          <t>Sell (repo)</t>
        </is>
      </c>
      <c r="H171" s="2" t="n">
        <v>3</v>
      </c>
      <c r="I171" s="4" t="n">
        <v>46259</v>
      </c>
      <c r="J171" s="4" t="n">
        <v>46262</v>
      </c>
      <c r="K171" s="4" t="n">
        <v>46251</v>
      </c>
      <c r="L171" s="4" t="n">
        <v>46251</v>
      </c>
      <c r="M171" s="5" t="n">
        <v>10867560000</v>
      </c>
      <c r="N171" s="5" t="n">
        <v>10867560000</v>
      </c>
      <c r="O171" s="5" t="n">
        <v>0</v>
      </c>
      <c r="P171" s="3" t="n">
        <v>0</v>
      </c>
      <c r="Q171" s="6" t="n">
        <v>0</v>
      </c>
      <c r="R171" s="2" t="inlineStr">
        <is>
          <t>bang 0</t>
        </is>
      </c>
      <c r="S171" s="2" t="inlineStr">
        <is>
          <t>Cho vay bond</t>
        </is>
      </c>
      <c r="T171" s="2" t="inlineStr"/>
      <c r="U171" s="2" t="n">
        <v>3.48</v>
      </c>
      <c r="V171" s="2" t="n">
        <v>3.4837</v>
      </c>
      <c r="W171" s="2" t="n">
        <v>0.3699999999999815</v>
      </c>
      <c r="X171" s="2" t="inlineStr">
        <is>
          <t>AFS-DCM</t>
        </is>
      </c>
      <c r="Y171" s="2" t="inlineStr">
        <is>
          <t>AFS-DCM</t>
        </is>
      </c>
    </row>
    <row r="172">
      <c r="A172" s="2" t="n">
        <v>50439</v>
      </c>
      <c r="B172" s="2" t="n">
        <v>50440</v>
      </c>
      <c r="C172" s="2" t="inlineStr">
        <is>
          <t>TD2535023</t>
        </is>
      </c>
      <c r="D172" s="2" t="inlineStr">
        <is>
          <t>CK_KAFI</t>
        </is>
      </c>
      <c r="E172" s="2" t="n">
        <v>2.9</v>
      </c>
      <c r="F172" s="3" t="n">
        <v>160</v>
      </c>
      <c r="G172" s="2" t="inlineStr">
        <is>
          <t>Sell (repo)</t>
        </is>
      </c>
      <c r="H172" s="2" t="n">
        <v>1</v>
      </c>
      <c r="I172" s="4" t="n">
        <v>46261</v>
      </c>
      <c r="J172" s="4" t="n">
        <v>46262</v>
      </c>
      <c r="K172" s="4" t="n">
        <v>46252</v>
      </c>
      <c r="L172" s="4" t="n">
        <v>46252</v>
      </c>
      <c r="M172" s="5" t="n">
        <v>152531200000</v>
      </c>
      <c r="N172" s="5" t="n">
        <v>152513600000</v>
      </c>
      <c r="O172" s="5" t="n">
        <v>17600000</v>
      </c>
      <c r="P172" s="3" t="n">
        <v>17.6</v>
      </c>
      <c r="Q172" s="6" t="n">
        <v>0.04211597364998112</v>
      </c>
      <c r="R172" s="2" t="inlineStr">
        <is>
          <t>duong</t>
        </is>
      </c>
      <c r="S172" s="2" t="inlineStr">
        <is>
          <t>Cho vay bond</t>
        </is>
      </c>
      <c r="T172" s="2" t="inlineStr"/>
      <c r="U172" s="2" t="n">
        <v>3.75</v>
      </c>
      <c r="V172" s="2" t="n">
        <v>3.753</v>
      </c>
      <c r="W172" s="2" t="n">
        <v>0.3000000000000114</v>
      </c>
      <c r="X172" s="2" t="inlineStr">
        <is>
          <t>AFS-DCM</t>
        </is>
      </c>
      <c r="Y172" s="2" t="inlineStr">
        <is>
          <t>AFS-DCM</t>
        </is>
      </c>
    </row>
    <row r="173">
      <c r="A173" s="2" t="n">
        <v>50443</v>
      </c>
      <c r="B173" s="2" t="n">
        <v>50444</v>
      </c>
      <c r="C173" s="2" t="inlineStr">
        <is>
          <t>TD2353151</t>
        </is>
      </c>
      <c r="D173" s="2" t="inlineStr">
        <is>
          <t>CK_KAFI</t>
        </is>
      </c>
      <c r="E173" s="2" t="n">
        <v>4.2</v>
      </c>
      <c r="F173" s="3" t="n">
        <v>80</v>
      </c>
      <c r="G173" s="2" t="inlineStr">
        <is>
          <t>Sell (repo)</t>
        </is>
      </c>
      <c r="H173" s="2" t="n">
        <v>1</v>
      </c>
      <c r="I173" s="4" t="n">
        <v>46261</v>
      </c>
      <c r="J173" s="4" t="n">
        <v>46262</v>
      </c>
      <c r="K173" s="4" t="n">
        <v>46252</v>
      </c>
      <c r="L173" s="4" t="n">
        <v>46252</v>
      </c>
      <c r="M173" s="5" t="n">
        <v>77868800000</v>
      </c>
      <c r="N173" s="5" t="n">
        <v>77840000000</v>
      </c>
      <c r="O173" s="5" t="n">
        <v>28800000</v>
      </c>
      <c r="P173" s="3" t="n">
        <v>28.8</v>
      </c>
      <c r="Q173" s="6" t="n">
        <v>0.1349963014711926</v>
      </c>
      <c r="R173" s="2" t="inlineStr">
        <is>
          <t>duong</t>
        </is>
      </c>
      <c r="S173" s="2" t="inlineStr">
        <is>
          <t>Cho vay bond</t>
        </is>
      </c>
      <c r="T173" s="2" t="inlineStr"/>
      <c r="U173" s="2" t="n">
        <v>4.49</v>
      </c>
      <c r="V173" s="2" t="n">
        <v>4.4932</v>
      </c>
      <c r="W173" s="2" t="n">
        <v>0.3199999999999648</v>
      </c>
      <c r="X173" s="2" t="inlineStr">
        <is>
          <t>AFS-DCM</t>
        </is>
      </c>
      <c r="Y173" s="2" t="inlineStr">
        <is>
          <t>AFS-DCM</t>
        </is>
      </c>
    </row>
    <row r="174">
      <c r="A174" s="2" t="n">
        <v>50445</v>
      </c>
      <c r="B174" s="2" t="n">
        <v>50446</v>
      </c>
      <c r="C174" s="2" t="inlineStr">
        <is>
          <t>TD2353151</t>
        </is>
      </c>
      <c r="D174" s="2" t="inlineStr">
        <is>
          <t>CK_THIENVI</t>
        </is>
      </c>
      <c r="E174" s="2" t="n">
        <v>4.2</v>
      </c>
      <c r="F174" s="3" t="n">
        <v>80</v>
      </c>
      <c r="G174" s="2" t="inlineStr">
        <is>
          <t>Sell (repo)</t>
        </is>
      </c>
      <c r="H174" s="2" t="n">
        <v>1</v>
      </c>
      <c r="I174" s="4" t="n">
        <v>46268</v>
      </c>
      <c r="J174" s="4" t="n">
        <v>46269</v>
      </c>
      <c r="K174" s="4" t="n">
        <v>46252</v>
      </c>
      <c r="L174" s="4" t="n">
        <v>46252</v>
      </c>
      <c r="M174" s="5" t="n">
        <v>81492800000</v>
      </c>
      <c r="N174" s="5" t="n">
        <v>81451200000</v>
      </c>
      <c r="O174" s="5" t="n">
        <v>41600000</v>
      </c>
      <c r="P174" s="3" t="n">
        <v>41.6</v>
      </c>
      <c r="Q174" s="6" t="n">
        <v>0.1863232089215243</v>
      </c>
      <c r="R174" s="2" t="inlineStr">
        <is>
          <t>duong</t>
        </is>
      </c>
      <c r="S174" s="2" t="inlineStr">
        <is>
          <t>Cho vay bond</t>
        </is>
      </c>
      <c r="T174" s="2" t="inlineStr"/>
      <c r="U174" s="2" t="n">
        <v>4.2</v>
      </c>
      <c r="V174" s="2" t="n">
        <v>4.204</v>
      </c>
      <c r="W174" s="2" t="n">
        <v>0.3999999999999559</v>
      </c>
      <c r="X174" s="2" t="inlineStr">
        <is>
          <t>AFS-DCM</t>
        </is>
      </c>
      <c r="Y174" s="2" t="inlineStr">
        <is>
          <t>AFS-DCM</t>
        </is>
      </c>
    </row>
    <row r="175">
      <c r="A175" s="2" t="n">
        <v>50447</v>
      </c>
      <c r="B175" s="2" t="n">
        <v>50448</v>
      </c>
      <c r="C175" s="2" t="inlineStr">
        <is>
          <t>TL1535300</t>
        </is>
      </c>
      <c r="D175" s="2" t="inlineStr">
        <is>
          <t>CK_THIENVI</t>
        </is>
      </c>
      <c r="E175" s="2" t="n">
        <v>7.75</v>
      </c>
      <c r="F175" s="3" t="n">
        <v>56</v>
      </c>
      <c r="G175" s="2" t="inlineStr">
        <is>
          <t>Sell (repo)</t>
        </is>
      </c>
      <c r="H175" s="2" t="n">
        <v>1</v>
      </c>
      <c r="I175" s="4" t="n">
        <v>46268</v>
      </c>
      <c r="J175" s="4" t="n">
        <v>46269</v>
      </c>
      <c r="K175" s="4" t="n">
        <v>46252</v>
      </c>
      <c r="L175" s="4" t="n">
        <v>46252</v>
      </c>
      <c r="M175" s="5" t="n">
        <v>69664000000</v>
      </c>
      <c r="N175" s="5" t="n">
        <v>69672400000</v>
      </c>
      <c r="O175" s="5" t="n">
        <v>-8400000</v>
      </c>
      <c r="P175" s="3" t="n">
        <v>-8.4</v>
      </c>
      <c r="Q175" s="6" t="n">
        <v>-0.0440112540192926</v>
      </c>
      <c r="R175" s="2" t="inlineStr">
        <is>
          <t>am</t>
        </is>
      </c>
      <c r="S175" s="2" t="inlineStr">
        <is>
          <t>Vay tien</t>
        </is>
      </c>
      <c r="T175" s="2" t="inlineStr"/>
      <c r="U175" s="2" t="n">
        <v>4.455</v>
      </c>
      <c r="V175" s="2" t="n">
        <v>4.455</v>
      </c>
      <c r="W175" s="2" t="n">
        <v>0</v>
      </c>
      <c r="X175" s="2" t="inlineStr">
        <is>
          <t>AFS-DCM</t>
        </is>
      </c>
      <c r="Y175" s="2" t="inlineStr">
        <is>
          <t>AFS-DCM</t>
        </is>
      </c>
    </row>
    <row r="176">
      <c r="A176" s="2" t="n">
        <v>50481</v>
      </c>
      <c r="B176" s="2" t="n">
        <v>50482</v>
      </c>
      <c r="C176" s="2" t="inlineStr">
        <is>
          <t>TD2434024</t>
        </is>
      </c>
      <c r="D176" s="2" t="inlineStr">
        <is>
          <t>CK_VIETIN</t>
        </is>
      </c>
      <c r="E176" s="2" t="n">
        <v>2.7</v>
      </c>
      <c r="F176" s="3" t="n">
        <v>200</v>
      </c>
      <c r="G176" s="2" t="inlineStr">
        <is>
          <t>Sell (repo)</t>
        </is>
      </c>
      <c r="H176" s="2" t="n">
        <v>7</v>
      </c>
      <c r="I176" s="4" t="n">
        <v>46268</v>
      </c>
      <c r="J176" s="4" t="n">
        <v>46275</v>
      </c>
      <c r="K176" s="4" t="n">
        <v>46253</v>
      </c>
      <c r="L176" s="4" t="n">
        <v>46253</v>
      </c>
      <c r="M176" s="5" t="n">
        <v>195988000000</v>
      </c>
      <c r="N176" s="5" t="n">
        <v>196068000000</v>
      </c>
      <c r="O176" s="5" t="n">
        <v>-80000000</v>
      </c>
      <c r="P176" s="3" t="n">
        <v>-80</v>
      </c>
      <c r="Q176" s="6" t="n">
        <v>-0.02128410194210141</v>
      </c>
      <c r="R176" s="2" t="inlineStr">
        <is>
          <t>am</t>
        </is>
      </c>
      <c r="S176" s="2" t="inlineStr">
        <is>
          <t>Vay tien</t>
        </is>
      </c>
      <c r="T176" s="2" t="inlineStr"/>
      <c r="U176" s="2" t="n">
        <v>3.0401</v>
      </c>
      <c r="V176" s="2" t="n">
        <v>3.0425</v>
      </c>
      <c r="W176" s="2" t="n">
        <v>0.240000000000018</v>
      </c>
      <c r="X176" s="2" t="inlineStr">
        <is>
          <t>AFS-DCM</t>
        </is>
      </c>
      <c r="Y176" s="2" t="inlineStr">
        <is>
          <t>AFS-DCM</t>
        </is>
      </c>
    </row>
    <row r="177">
      <c r="A177" s="2" t="n">
        <v>50483</v>
      </c>
      <c r="B177" s="2" t="n">
        <v>50484</v>
      </c>
      <c r="C177" s="2" t="inlineStr">
        <is>
          <t>TD2131012</t>
        </is>
      </c>
      <c r="D177" s="2" t="inlineStr">
        <is>
          <t>CK_VIETIN</t>
        </is>
      </c>
      <c r="E177" s="2" t="n">
        <v>2.2</v>
      </c>
      <c r="F177" s="3" t="n">
        <v>100</v>
      </c>
      <c r="G177" s="2" t="inlineStr">
        <is>
          <t>Sell (repo)</t>
        </is>
      </c>
      <c r="H177" s="2" t="n">
        <v>7</v>
      </c>
      <c r="I177" s="4" t="n">
        <v>46268</v>
      </c>
      <c r="J177" s="4" t="n">
        <v>46275</v>
      </c>
      <c r="K177" s="4" t="n">
        <v>46253</v>
      </c>
      <c r="L177" s="4" t="n">
        <v>46253</v>
      </c>
      <c r="M177" s="5" t="n">
        <v>98045000000</v>
      </c>
      <c r="N177" s="5" t="n">
        <v>98091000000</v>
      </c>
      <c r="O177" s="5" t="n">
        <v>-46000000</v>
      </c>
      <c r="P177" s="3" t="n">
        <v>-46</v>
      </c>
      <c r="Q177" s="6" t="n">
        <v>-0.02446398519630199</v>
      </c>
      <c r="R177" s="2" t="inlineStr">
        <is>
          <t>am</t>
        </is>
      </c>
      <c r="S177" s="2" t="inlineStr">
        <is>
          <t>Vay tien</t>
        </is>
      </c>
      <c r="T177" s="2" t="inlineStr"/>
      <c r="U177" s="2" t="n">
        <v>3.0299</v>
      </c>
      <c r="V177" s="2" t="n">
        <v>3.0325</v>
      </c>
      <c r="W177" s="2" t="n">
        <v>0.2600000000000158</v>
      </c>
      <c r="X177" s="2" t="inlineStr">
        <is>
          <t>AFS-DCM</t>
        </is>
      </c>
      <c r="Y177" s="2" t="inlineStr">
        <is>
          <t>AFS-DCM</t>
        </is>
      </c>
    </row>
    <row r="178">
      <c r="A178" s="2" t="n">
        <v>50485</v>
      </c>
      <c r="B178" s="2" t="n">
        <v>50486</v>
      </c>
      <c r="C178" s="2" t="inlineStr">
        <is>
          <t>TD2353151</t>
        </is>
      </c>
      <c r="D178" s="2" t="inlineStr">
        <is>
          <t>CK_VIETIN</t>
        </is>
      </c>
      <c r="E178" s="2" t="n">
        <v>4.2</v>
      </c>
      <c r="F178" s="3" t="n">
        <v>80</v>
      </c>
      <c r="G178" s="2" t="inlineStr">
        <is>
          <t>Sell (repo)</t>
        </is>
      </c>
      <c r="H178" s="2" t="n">
        <v>7</v>
      </c>
      <c r="I178" s="4" t="n">
        <v>46268</v>
      </c>
      <c r="J178" s="4" t="n">
        <v>46275</v>
      </c>
      <c r="K178" s="4" t="n">
        <v>46253</v>
      </c>
      <c r="L178" s="4" t="n">
        <v>46253</v>
      </c>
      <c r="M178" s="5" t="n">
        <v>77934400000</v>
      </c>
      <c r="N178" s="5" t="n">
        <v>78036000000</v>
      </c>
      <c r="O178" s="5" t="n">
        <v>-101600000</v>
      </c>
      <c r="P178" s="3" t="n">
        <v>-101.6</v>
      </c>
      <c r="Q178" s="6" t="n">
        <v>-0.06797658396952162</v>
      </c>
      <c r="R178" s="2" t="inlineStr">
        <is>
          <t>am</t>
        </is>
      </c>
      <c r="S178" s="2" t="inlineStr">
        <is>
          <t>Vay tien</t>
        </is>
      </c>
      <c r="T178" s="2" t="inlineStr"/>
      <c r="U178" s="2" t="n">
        <v>4.49</v>
      </c>
      <c r="V178" s="2" t="n">
        <v>4.487</v>
      </c>
      <c r="W178" s="2" t="n">
        <v>-0.3000000000000114</v>
      </c>
      <c r="X178" s="2" t="inlineStr">
        <is>
          <t>AFS-DCM</t>
        </is>
      </c>
      <c r="Y178" s="2" t="inlineStr">
        <is>
          <t>AFS-DCM</t>
        </is>
      </c>
    </row>
    <row r="179">
      <c r="A179" s="2" t="n">
        <v>50487</v>
      </c>
      <c r="B179" s="2" t="n">
        <v>50488</v>
      </c>
      <c r="C179" s="2" t="inlineStr">
        <is>
          <t>TD2353151</t>
        </is>
      </c>
      <c r="D179" s="2" t="inlineStr">
        <is>
          <t>CK_THIENVI</t>
        </is>
      </c>
      <c r="E179" s="2" t="n">
        <v>4.2</v>
      </c>
      <c r="F179" s="3" t="n">
        <v>80</v>
      </c>
      <c r="G179" s="2" t="inlineStr">
        <is>
          <t>Sell (repo)</t>
        </is>
      </c>
      <c r="H179" s="2" t="n">
        <v>1</v>
      </c>
      <c r="I179" s="4" t="n">
        <v>46272</v>
      </c>
      <c r="J179" s="4" t="n">
        <v>46273</v>
      </c>
      <c r="K179" s="4" t="n">
        <v>46253</v>
      </c>
      <c r="L179" s="4" t="n">
        <v>46253</v>
      </c>
      <c r="M179" s="5" t="n">
        <v>81529600000</v>
      </c>
      <c r="N179" s="5" t="n">
        <v>81488000000</v>
      </c>
      <c r="O179" s="5" t="n">
        <v>41600000</v>
      </c>
      <c r="P179" s="3" t="n">
        <v>41.6</v>
      </c>
      <c r="Q179" s="6" t="n">
        <v>0.1862391082502551</v>
      </c>
      <c r="R179" s="2" t="inlineStr">
        <is>
          <t>duong</t>
        </is>
      </c>
      <c r="S179" s="2" t="inlineStr">
        <is>
          <t>Cho vay bond</t>
        </is>
      </c>
      <c r="T179" s="2" t="inlineStr"/>
      <c r="U179" s="2" t="n">
        <v>4.2</v>
      </c>
      <c r="V179" s="2" t="n">
        <v>4.204</v>
      </c>
      <c r="W179" s="2" t="n">
        <v>0.3999999999999559</v>
      </c>
      <c r="X179" s="2" t="inlineStr">
        <is>
          <t>AFS-DCM</t>
        </is>
      </c>
      <c r="Y179" s="2" t="inlineStr">
        <is>
          <t>AFS-DCM</t>
        </is>
      </c>
    </row>
    <row r="180">
      <c r="A180" s="2" t="n">
        <v>50489</v>
      </c>
      <c r="B180" s="2" t="n">
        <v>50490</v>
      </c>
      <c r="C180" s="2" t="inlineStr">
        <is>
          <t>TL1535300</t>
        </is>
      </c>
      <c r="D180" s="2" t="inlineStr">
        <is>
          <t>CK_THIENVI</t>
        </is>
      </c>
      <c r="E180" s="2" t="n">
        <v>7.75</v>
      </c>
      <c r="F180" s="3" t="n">
        <v>56</v>
      </c>
      <c r="G180" s="2" t="inlineStr">
        <is>
          <t>Sell (repo)</t>
        </is>
      </c>
      <c r="H180" s="2" t="n">
        <v>1</v>
      </c>
      <c r="I180" s="4" t="n">
        <v>46272</v>
      </c>
      <c r="J180" s="4" t="n">
        <v>46273</v>
      </c>
      <c r="K180" s="4" t="n">
        <v>46253</v>
      </c>
      <c r="L180" s="4" t="n">
        <v>46253</v>
      </c>
      <c r="M180" s="5" t="n">
        <v>69697040000</v>
      </c>
      <c r="N180" s="5" t="n">
        <v>69709920000</v>
      </c>
      <c r="O180" s="5" t="n">
        <v>-12880000</v>
      </c>
      <c r="P180" s="3" t="n">
        <v>-12.88</v>
      </c>
      <c r="Q180" s="6" t="n">
        <v>-0.0674519319615295</v>
      </c>
      <c r="R180" s="2" t="inlineStr">
        <is>
          <t>am</t>
        </is>
      </c>
      <c r="S180" s="2" t="inlineStr">
        <is>
          <t>Vay tien</t>
        </is>
      </c>
      <c r="T180" s="2" t="inlineStr"/>
      <c r="U180" s="2" t="n">
        <v>4.455</v>
      </c>
      <c r="V180" s="2" t="n">
        <v>4.454</v>
      </c>
      <c r="W180" s="2" t="n">
        <v>-0.1000000000000334</v>
      </c>
      <c r="X180" s="2" t="inlineStr">
        <is>
          <t>AFS-DCM</t>
        </is>
      </c>
      <c r="Y180" s="2" t="inlineStr">
        <is>
          <t>AFS-DCM</t>
        </is>
      </c>
    </row>
    <row r="181">
      <c r="A181" s="2" t="n">
        <v>50491</v>
      </c>
      <c r="B181" s="2" t="n">
        <v>50492</v>
      </c>
      <c r="C181" s="2" t="inlineStr">
        <is>
          <t>TL1535300</t>
        </is>
      </c>
      <c r="D181" s="2" t="inlineStr">
        <is>
          <t>CK_BIDV</t>
        </is>
      </c>
      <c r="E181" s="2" t="n">
        <v>7.75</v>
      </c>
      <c r="F181" s="3" t="n">
        <v>44</v>
      </c>
      <c r="G181" s="2" t="inlineStr">
        <is>
          <t>Sell (repo)</t>
        </is>
      </c>
      <c r="H181" s="2" t="n">
        <v>30</v>
      </c>
      <c r="I181" s="4" t="n">
        <v>46272</v>
      </c>
      <c r="J181" s="4" t="n">
        <v>46302</v>
      </c>
      <c r="K181" s="4" t="n">
        <v>46253</v>
      </c>
      <c r="L181" s="4" t="n">
        <v>46253</v>
      </c>
      <c r="M181" s="5" t="n">
        <v>54645360000</v>
      </c>
      <c r="N181" s="5" t="n">
        <v>54842920000</v>
      </c>
      <c r="O181" s="5" t="n">
        <v>-197560000</v>
      </c>
      <c r="P181" s="3" t="n">
        <v>-197.56</v>
      </c>
      <c r="Q181" s="6" t="n">
        <v>-0.04398629026630378</v>
      </c>
      <c r="R181" s="2" t="inlineStr">
        <is>
          <t>am</t>
        </is>
      </c>
      <c r="S181" s="2" t="inlineStr">
        <is>
          <t>Vay tien</t>
        </is>
      </c>
      <c r="T181" s="2" t="inlineStr"/>
      <c r="U181" s="2" t="n">
        <v>4.487</v>
      </c>
      <c r="V181" s="2" t="n">
        <v>4.487</v>
      </c>
      <c r="W181" s="2" t="n">
        <v>0</v>
      </c>
      <c r="X181" s="2" t="inlineStr">
        <is>
          <t>AFS-DCM</t>
        </is>
      </c>
      <c r="Y181" s="2" t="inlineStr">
        <is>
          <t>AFS-DCM</t>
        </is>
      </c>
    </row>
    <row r="182">
      <c r="A182" s="2" t="n">
        <v>50493</v>
      </c>
      <c r="B182" s="2" t="n">
        <v>50494</v>
      </c>
      <c r="C182" s="2" t="inlineStr">
        <is>
          <t>TD2535023</t>
        </is>
      </c>
      <c r="D182" s="2" t="inlineStr">
        <is>
          <t>CK_BIDV</t>
        </is>
      </c>
      <c r="E182" s="2" t="n">
        <v>2.9</v>
      </c>
      <c r="F182" s="3" t="n">
        <v>150</v>
      </c>
      <c r="G182" s="2" t="inlineStr">
        <is>
          <t>Sell (repo)</t>
        </is>
      </c>
      <c r="H182" s="2" t="n">
        <v>30</v>
      </c>
      <c r="I182" s="4" t="n">
        <v>46272</v>
      </c>
      <c r="J182" s="4" t="n">
        <v>46302</v>
      </c>
      <c r="K182" s="4" t="n">
        <v>46253</v>
      </c>
      <c r="L182" s="4" t="n">
        <v>46253</v>
      </c>
      <c r="M182" s="5" t="n">
        <v>145956000000</v>
      </c>
      <c r="N182" s="5" t="n">
        <v>146352000000</v>
      </c>
      <c r="O182" s="5" t="n">
        <v>-396000000</v>
      </c>
      <c r="P182" s="3" t="n">
        <v>-396</v>
      </c>
      <c r="Q182" s="6" t="n">
        <v>-0.03300994820356819</v>
      </c>
      <c r="R182" s="2" t="inlineStr">
        <is>
          <t>am</t>
        </is>
      </c>
      <c r="S182" s="2" t="inlineStr">
        <is>
          <t>Vay tien</t>
        </is>
      </c>
      <c r="T182" s="2" t="inlineStr"/>
      <c r="U182" s="2" t="n">
        <v>3.4821</v>
      </c>
      <c r="V182" s="2" t="n">
        <v>3.4836</v>
      </c>
      <c r="W182" s="2" t="n">
        <v>0.1500000000000057</v>
      </c>
      <c r="X182" s="2" t="inlineStr">
        <is>
          <t>AFS-DCM</t>
        </is>
      </c>
      <c r="Y182" s="2" t="inlineStr">
        <is>
          <t>AFS-DCM</t>
        </is>
      </c>
    </row>
    <row r="183">
      <c r="A183" s="2" t="n">
        <v>50509</v>
      </c>
      <c r="B183" s="2" t="n">
        <v>50510</v>
      </c>
      <c r="C183" s="2" t="inlineStr">
        <is>
          <t>TD2434022</t>
        </is>
      </c>
      <c r="D183" s="2" t="inlineStr">
        <is>
          <t>CK_HAIPHON</t>
        </is>
      </c>
      <c r="E183" s="2" t="n">
        <v>2.7</v>
      </c>
      <c r="F183" s="3" t="n">
        <v>100</v>
      </c>
      <c r="G183" s="2" t="inlineStr">
        <is>
          <t>Sell (repo)</t>
        </is>
      </c>
      <c r="H183" s="2" t="n">
        <v>1</v>
      </c>
      <c r="I183" s="4" t="n">
        <v>46260</v>
      </c>
      <c r="J183" s="4" t="n">
        <v>46261</v>
      </c>
      <c r="K183" s="4" t="n">
        <v>46254</v>
      </c>
      <c r="L183" s="4" t="n">
        <v>46254</v>
      </c>
      <c r="M183" s="5" t="n">
        <v>98904000000</v>
      </c>
      <c r="N183" s="5" t="n">
        <v>98868000000</v>
      </c>
      <c r="O183" s="5" t="n">
        <v>36000000</v>
      </c>
      <c r="P183" s="3" t="n">
        <v>36</v>
      </c>
      <c r="Q183" s="6" t="n">
        <v>0.1328561028876486</v>
      </c>
      <c r="R183" s="2" t="inlineStr">
        <is>
          <t>duong</t>
        </is>
      </c>
      <c r="S183" s="2" t="inlineStr">
        <is>
          <t>Cho vay bond</t>
        </is>
      </c>
      <c r="T183" s="2" t="inlineStr"/>
      <c r="U183" s="2" t="n">
        <v>2.93</v>
      </c>
      <c r="V183" s="2" t="n">
        <v>2.9363</v>
      </c>
      <c r="W183" s="2" t="n">
        <v>0.6299999999999972</v>
      </c>
      <c r="X183" s="2" t="inlineStr">
        <is>
          <t>AFS-DCM</t>
        </is>
      </c>
      <c r="Y183" s="2" t="inlineStr">
        <is>
          <t>AFS-DCM</t>
        </is>
      </c>
    </row>
    <row r="184">
      <c r="A184" s="2" t="n">
        <v>50511</v>
      </c>
      <c r="B184" s="2" t="n">
        <v>50512</v>
      </c>
      <c r="C184" s="2" t="inlineStr">
        <is>
          <t>TD1934188</t>
        </is>
      </c>
      <c r="D184" s="2" t="inlineStr">
        <is>
          <t>CK_HAIPHON</t>
        </is>
      </c>
      <c r="E184" s="2" t="n">
        <v>5</v>
      </c>
      <c r="F184" s="3" t="n">
        <v>50</v>
      </c>
      <c r="G184" s="2" t="inlineStr">
        <is>
          <t>Sell (repo)</t>
        </is>
      </c>
      <c r="H184" s="2" t="n">
        <v>1</v>
      </c>
      <c r="I184" s="4" t="n">
        <v>46260</v>
      </c>
      <c r="J184" s="4" t="n">
        <v>46261</v>
      </c>
      <c r="K184" s="4" t="n">
        <v>46254</v>
      </c>
      <c r="L184" s="4" t="n">
        <v>46254</v>
      </c>
      <c r="M184" s="5" t="n">
        <v>57351500000</v>
      </c>
      <c r="N184" s="5" t="n">
        <v>57356500000</v>
      </c>
      <c r="O184" s="5" t="n">
        <v>-5000000</v>
      </c>
      <c r="P184" s="3" t="n">
        <v>-5</v>
      </c>
      <c r="Q184" s="6" t="n">
        <v>-0.03182131243297909</v>
      </c>
      <c r="R184" s="2" t="inlineStr">
        <is>
          <t>am</t>
        </is>
      </c>
      <c r="S184" s="2" t="inlineStr">
        <is>
          <t>Vay tien</t>
        </is>
      </c>
      <c r="T184" s="2" t="inlineStr"/>
      <c r="U184" s="2" t="n">
        <v>3.15</v>
      </c>
      <c r="V184" s="2" t="n">
        <v>3.15</v>
      </c>
      <c r="W184" s="2" t="n">
        <v>0</v>
      </c>
      <c r="X184" s="2" t="inlineStr">
        <is>
          <t>AFS-DCM</t>
        </is>
      </c>
      <c r="Y184" s="2" t="inlineStr">
        <is>
          <t>AFS-DCM</t>
        </is>
      </c>
    </row>
    <row r="185">
      <c r="A185" s="2" t="n">
        <v>50513</v>
      </c>
      <c r="B185" s="2" t="n">
        <v>50514</v>
      </c>
      <c r="C185" s="2" t="inlineStr">
        <is>
          <t>TD2434024</t>
        </is>
      </c>
      <c r="D185" s="2" t="inlineStr">
        <is>
          <t>CK_AGRIBAN</t>
        </is>
      </c>
      <c r="E185" s="2" t="n">
        <v>2.7</v>
      </c>
      <c r="F185" s="3" t="n">
        <v>95</v>
      </c>
      <c r="G185" s="2" t="inlineStr">
        <is>
          <t>Sell (repo)</t>
        </is>
      </c>
      <c r="H185" s="2" t="n">
        <v>3</v>
      </c>
      <c r="I185" s="4" t="n">
        <v>46259</v>
      </c>
      <c r="J185" s="4" t="n">
        <v>46262</v>
      </c>
      <c r="K185" s="4" t="n">
        <v>46254</v>
      </c>
      <c r="L185" s="4" t="n">
        <v>46254</v>
      </c>
      <c r="M185" s="5" t="n">
        <v>93025900000</v>
      </c>
      <c r="N185" s="5" t="n">
        <v>93026850000</v>
      </c>
      <c r="O185" s="5" t="n">
        <v>-950000</v>
      </c>
      <c r="P185" s="3" t="n">
        <v>-0.95</v>
      </c>
      <c r="Q185" s="6" t="n">
        <v>-0.00124248551568255</v>
      </c>
      <c r="R185" s="2" t="inlineStr">
        <is>
          <t>am</t>
        </is>
      </c>
      <c r="S185" s="2" t="inlineStr">
        <is>
          <t>Vay tien</t>
        </is>
      </c>
      <c r="T185" s="2" t="inlineStr"/>
      <c r="U185" s="2" t="n">
        <v>3.04</v>
      </c>
      <c r="V185" s="2" t="n">
        <v>3.0434</v>
      </c>
      <c r="W185" s="2" t="n">
        <v>0.340000000000007</v>
      </c>
      <c r="X185" s="2" t="inlineStr">
        <is>
          <t>AFS-DCM</t>
        </is>
      </c>
      <c r="Y185" s="2" t="inlineStr">
        <is>
          <t>AFS-DCM</t>
        </is>
      </c>
    </row>
    <row r="186">
      <c r="A186" s="2" t="n">
        <v>50551</v>
      </c>
      <c r="B186" s="2" t="n">
        <v>50552</v>
      </c>
      <c r="C186" s="2" t="inlineStr">
        <is>
          <t>TD2333120</t>
        </is>
      </c>
      <c r="D186" s="2" t="inlineStr">
        <is>
          <t>CK_LPBS</t>
        </is>
      </c>
      <c r="E186" s="2" t="n">
        <v>2.4</v>
      </c>
      <c r="F186" s="3" t="n">
        <v>200</v>
      </c>
      <c r="G186" s="2" t="inlineStr">
        <is>
          <t>Sell (repo)</t>
        </is>
      </c>
      <c r="H186" s="2" t="n">
        <v>1</v>
      </c>
      <c r="I186" s="4" t="n">
        <v>46260</v>
      </c>
      <c r="J186" s="4" t="n">
        <v>46261</v>
      </c>
      <c r="K186" s="4" t="n">
        <v>46255</v>
      </c>
      <c r="L186" s="4" t="n">
        <v>46255</v>
      </c>
      <c r="M186" s="5" t="n">
        <v>193320000000</v>
      </c>
      <c r="N186" s="5" t="n">
        <v>193282000000</v>
      </c>
      <c r="O186" s="5" t="n">
        <v>38000000</v>
      </c>
      <c r="P186" s="3" t="n">
        <v>38</v>
      </c>
      <c r="Q186" s="6" t="n">
        <v>0.07174632733291951</v>
      </c>
      <c r="R186" s="2" t="inlineStr">
        <is>
          <t>duong</t>
        </is>
      </c>
      <c r="S186" s="2" t="inlineStr">
        <is>
          <t>Cho vay bond</t>
        </is>
      </c>
      <c r="T186" s="2" t="inlineStr"/>
      <c r="U186" s="2" t="n">
        <v>3</v>
      </c>
      <c r="V186" s="2" t="n">
        <v>3.0045</v>
      </c>
      <c r="W186" s="2" t="n">
        <v>0.4500000000000171</v>
      </c>
      <c r="X186" s="2" t="inlineStr">
        <is>
          <t>AFS-DCM</t>
        </is>
      </c>
      <c r="Y186" s="2" t="inlineStr">
        <is>
          <t>AFS-DCM</t>
        </is>
      </c>
    </row>
    <row r="187">
      <c r="A187" s="2" t="n">
        <v>50553</v>
      </c>
      <c r="B187" s="2" t="n">
        <v>50554</v>
      </c>
      <c r="C187" s="2" t="inlineStr">
        <is>
          <t>TD2333117</t>
        </is>
      </c>
      <c r="D187" s="2" t="inlineStr">
        <is>
          <t>CK_LPBS</t>
        </is>
      </c>
      <c r="E187" s="2" t="n">
        <v>4.2</v>
      </c>
      <c r="F187" s="3" t="n">
        <v>100</v>
      </c>
      <c r="G187" s="2" t="inlineStr">
        <is>
          <t>Sell (repo)</t>
        </is>
      </c>
      <c r="H187" s="2" t="n">
        <v>1</v>
      </c>
      <c r="I187" s="4" t="n">
        <v>46260</v>
      </c>
      <c r="J187" s="4" t="n">
        <v>46261</v>
      </c>
      <c r="K187" s="4" t="n">
        <v>46255</v>
      </c>
      <c r="L187" s="4" t="n">
        <v>46255</v>
      </c>
      <c r="M187" s="5" t="n">
        <v>109336000000</v>
      </c>
      <c r="N187" s="5" t="n">
        <v>109316000000</v>
      </c>
      <c r="O187" s="5" t="n">
        <v>20000000</v>
      </c>
      <c r="P187" s="3" t="n">
        <v>20</v>
      </c>
      <c r="Q187" s="6" t="n">
        <v>0.06676666422770176</v>
      </c>
      <c r="R187" s="2" t="inlineStr">
        <is>
          <t>duong</t>
        </is>
      </c>
      <c r="S187" s="2" t="inlineStr">
        <is>
          <t>Cho vay bond</t>
        </is>
      </c>
      <c r="T187" s="2" t="inlineStr"/>
      <c r="U187" s="2" t="n">
        <v>2.99</v>
      </c>
      <c r="V187" s="2" t="n">
        <v>2.9948</v>
      </c>
      <c r="W187" s="2" t="n">
        <v>0.4799999999999915</v>
      </c>
      <c r="X187" s="2" t="inlineStr">
        <is>
          <t>AFS-DCM</t>
        </is>
      </c>
      <c r="Y187" s="2" t="inlineStr">
        <is>
          <t>AFS-DCM</t>
        </is>
      </c>
    </row>
    <row r="188">
      <c r="A188" s="2" t="n">
        <v>50555</v>
      </c>
      <c r="B188" s="2" t="n">
        <v>50557</v>
      </c>
      <c r="C188" s="2" t="inlineStr">
        <is>
          <t>TD2333118</t>
        </is>
      </c>
      <c r="D188" s="2" t="inlineStr">
        <is>
          <t>CK_LPBS</t>
        </is>
      </c>
      <c r="E188" s="2" t="n">
        <v>4.1</v>
      </c>
      <c r="F188" s="3" t="n">
        <v>50</v>
      </c>
      <c r="G188" s="2" t="inlineStr">
        <is>
          <t>Sell (repo)</t>
        </is>
      </c>
      <c r="H188" s="2" t="n">
        <v>1</v>
      </c>
      <c r="I188" s="4" t="n">
        <v>46260</v>
      </c>
      <c r="J188" s="4" t="n">
        <v>46261</v>
      </c>
      <c r="K188" s="4" t="n">
        <v>46255</v>
      </c>
      <c r="L188" s="4" t="n">
        <v>46255</v>
      </c>
      <c r="M188" s="5" t="n">
        <v>55426000000</v>
      </c>
      <c r="N188" s="5" t="n">
        <v>55412500000</v>
      </c>
      <c r="O188" s="5" t="n">
        <v>13500000</v>
      </c>
      <c r="P188" s="3" t="n">
        <v>13.5</v>
      </c>
      <c r="Q188" s="6" t="n">
        <v>0.08890232021073143</v>
      </c>
      <c r="R188" s="2" t="inlineStr">
        <is>
          <t>duong</t>
        </is>
      </c>
      <c r="S188" s="2" t="inlineStr">
        <is>
          <t>Cho vay bond</t>
        </is>
      </c>
      <c r="T188" s="2" t="inlineStr"/>
      <c r="U188" s="2" t="n">
        <v>2.6099</v>
      </c>
      <c r="V188" s="2" t="n">
        <v>2.6155</v>
      </c>
      <c r="W188" s="2" t="n">
        <v>0.5599999999999827</v>
      </c>
      <c r="X188" s="2" t="inlineStr">
        <is>
          <t>AFS-DCM</t>
        </is>
      </c>
      <c r="Y188" s="2" t="inlineStr">
        <is>
          <t>AFS-DCM</t>
        </is>
      </c>
    </row>
    <row r="189">
      <c r="A189" s="2" t="n">
        <v>50558</v>
      </c>
      <c r="B189" s="2" t="n">
        <v>50559</v>
      </c>
      <c r="C189" s="2" t="inlineStr">
        <is>
          <t>TD2353151</t>
        </is>
      </c>
      <c r="D189" s="2" t="inlineStr">
        <is>
          <t>CK_BIDV</t>
        </is>
      </c>
      <c r="E189" s="2" t="n">
        <v>4.2</v>
      </c>
      <c r="F189" s="3" t="n">
        <v>623.4</v>
      </c>
      <c r="G189" s="2" t="inlineStr">
        <is>
          <t>Sell (repo)</t>
        </is>
      </c>
      <c r="H189" s="2" t="n">
        <v>27</v>
      </c>
      <c r="I189" s="4" t="n">
        <v>46273</v>
      </c>
      <c r="J189" s="4" t="n">
        <v>46300</v>
      </c>
      <c r="K189" s="4" t="n">
        <v>46255</v>
      </c>
      <c r="L189" s="4" t="n">
        <v>46255</v>
      </c>
      <c r="M189" s="5" t="n">
        <v>619728174000</v>
      </c>
      <c r="N189" s="5" t="n">
        <v>621380184000</v>
      </c>
      <c r="O189" s="5" t="n">
        <v>-1652010000</v>
      </c>
      <c r="P189" s="3" t="n">
        <v>-1652.01</v>
      </c>
      <c r="Q189" s="6" t="n">
        <v>-0.03603632804626659</v>
      </c>
      <c r="R189" s="2" t="inlineStr">
        <is>
          <t>am</t>
        </is>
      </c>
      <c r="S189" s="2" t="inlineStr">
        <is>
          <t>Vay tien</t>
        </is>
      </c>
      <c r="T189" s="2" t="inlineStr"/>
      <c r="U189" s="2" t="n">
        <v>4.3616</v>
      </c>
      <c r="V189" s="2" t="n">
        <v>4.3648</v>
      </c>
      <c r="W189" s="2" t="n">
        <v>0.3199999999999648</v>
      </c>
      <c r="X189" s="2" t="inlineStr">
        <is>
          <t>AFS-DCM</t>
        </is>
      </c>
      <c r="Y189" s="2" t="inlineStr">
        <is>
          <t>AFS-DCM</t>
        </is>
      </c>
    </row>
    <row r="190">
      <c r="A190" s="2" t="n">
        <v>50560</v>
      </c>
      <c r="B190" s="2" t="n">
        <v>50561</v>
      </c>
      <c r="C190" s="2" t="inlineStr">
        <is>
          <t>TD2353151</t>
        </is>
      </c>
      <c r="D190" s="2" t="inlineStr">
        <is>
          <t>CK_BIDV</t>
        </is>
      </c>
      <c r="E190" s="2" t="n">
        <v>4.2</v>
      </c>
      <c r="F190" s="3" t="n">
        <v>650</v>
      </c>
      <c r="G190" s="2" t="inlineStr">
        <is>
          <t>Sell (repo)</t>
        </is>
      </c>
      <c r="H190" s="2" t="n">
        <v>28</v>
      </c>
      <c r="I190" s="4" t="n">
        <v>46274</v>
      </c>
      <c r="J190" s="4" t="n">
        <v>46302</v>
      </c>
      <c r="K190" s="4" t="n">
        <v>46255</v>
      </c>
      <c r="L190" s="4" t="n">
        <v>46255</v>
      </c>
      <c r="M190" s="5" t="n">
        <v>622687000000</v>
      </c>
      <c r="N190" s="5" t="n">
        <v>624403000000</v>
      </c>
      <c r="O190" s="5" t="n">
        <v>-1716000000</v>
      </c>
      <c r="P190" s="3" t="n">
        <v>-1716</v>
      </c>
      <c r="Q190" s="6" t="n">
        <v>-0.0359238039565395</v>
      </c>
      <c r="R190" s="2" t="inlineStr">
        <is>
          <t>am</t>
        </is>
      </c>
      <c r="S190" s="2" t="inlineStr">
        <is>
          <t>Vay tien</t>
        </is>
      </c>
      <c r="T190" s="2" t="inlineStr"/>
      <c r="U190" s="2" t="n">
        <v>4.6052</v>
      </c>
      <c r="V190" s="2" t="n">
        <v>4.6099</v>
      </c>
      <c r="W190" s="2" t="n">
        <v>0.4699999999999704</v>
      </c>
      <c r="X190" s="2" t="inlineStr">
        <is>
          <t>AFS-DCM</t>
        </is>
      </c>
      <c r="Y190" s="2" t="inlineStr">
        <is>
          <t>AFS-DCM</t>
        </is>
      </c>
    </row>
    <row r="191">
      <c r="A191" s="2" t="n">
        <v>50563</v>
      </c>
      <c r="B191" s="2" t="n">
        <v>50564</v>
      </c>
      <c r="C191" s="2" t="inlineStr">
        <is>
          <t>TD1934188</t>
        </is>
      </c>
      <c r="D191" s="2" t="inlineStr">
        <is>
          <t>CK_OCBS</t>
        </is>
      </c>
      <c r="E191" s="2" t="n">
        <v>5</v>
      </c>
      <c r="F191" s="3" t="n">
        <v>50</v>
      </c>
      <c r="G191" s="2" t="inlineStr">
        <is>
          <t>Sell (repo)</t>
        </is>
      </c>
      <c r="H191" s="2" t="n">
        <v>1</v>
      </c>
      <c r="I191" s="4" t="n">
        <v>46260</v>
      </c>
      <c r="J191" s="4" t="n">
        <v>46261</v>
      </c>
      <c r="K191" s="4" t="n">
        <v>46258</v>
      </c>
      <c r="L191" s="4" t="n">
        <v>46258</v>
      </c>
      <c r="M191" s="5" t="n">
        <v>59117500000</v>
      </c>
      <c r="N191" s="5" t="n">
        <v>59105500000</v>
      </c>
      <c r="O191" s="5" t="n">
        <v>12000000</v>
      </c>
      <c r="P191" s="3" t="n">
        <v>12</v>
      </c>
      <c r="Q191" s="6" t="n">
        <v>0.07408973654163319</v>
      </c>
      <c r="R191" s="2" t="inlineStr">
        <is>
          <t>duong</t>
        </is>
      </c>
      <c r="S191" s="2" t="inlineStr">
        <is>
          <t>Cho vay bond</t>
        </is>
      </c>
      <c r="T191" s="2" t="inlineStr"/>
      <c r="U191" s="2" t="n">
        <v>2.6601</v>
      </c>
      <c r="V191" s="2" t="n">
        <v>2.6645</v>
      </c>
      <c r="W191" s="2" t="n">
        <v>0.4399999999999959</v>
      </c>
      <c r="X191" s="2" t="inlineStr">
        <is>
          <t>AFS-DCM</t>
        </is>
      </c>
      <c r="Y191" s="2" t="inlineStr">
        <is>
          <t>AFS-DCM</t>
        </is>
      </c>
    </row>
    <row r="192">
      <c r="A192" s="2" t="n">
        <v>50565</v>
      </c>
      <c r="B192" s="2" t="n">
        <v>50566</v>
      </c>
      <c r="C192" s="2" t="inlineStr">
        <is>
          <t>TD2232114</t>
        </is>
      </c>
      <c r="D192" s="2" t="inlineStr">
        <is>
          <t>CK_OCBS</t>
        </is>
      </c>
      <c r="E192" s="2" t="n">
        <v>4.8</v>
      </c>
      <c r="F192" s="3" t="n">
        <v>100</v>
      </c>
      <c r="G192" s="2" t="inlineStr">
        <is>
          <t>Sell (repo)</t>
        </is>
      </c>
      <c r="H192" s="2" t="n">
        <v>1</v>
      </c>
      <c r="I192" s="4" t="n">
        <v>46260</v>
      </c>
      <c r="J192" s="4" t="n">
        <v>46261</v>
      </c>
      <c r="K192" s="4" t="n">
        <v>46258</v>
      </c>
      <c r="L192" s="4" t="n">
        <v>46258</v>
      </c>
      <c r="M192" s="5" t="n">
        <v>114556000000</v>
      </c>
      <c r="N192" s="5" t="n">
        <v>114533000000</v>
      </c>
      <c r="O192" s="5" t="n">
        <v>23000000</v>
      </c>
      <c r="P192" s="3" t="n">
        <v>23</v>
      </c>
      <c r="Q192" s="6" t="n">
        <v>0.0732829358566989</v>
      </c>
      <c r="R192" s="2" t="inlineStr">
        <is>
          <t>duong</t>
        </is>
      </c>
      <c r="S192" s="2" t="inlineStr">
        <is>
          <t>Cho vay bond</t>
        </is>
      </c>
      <c r="T192" s="2" t="inlineStr"/>
      <c r="U192" s="2" t="n">
        <v>2.8401</v>
      </c>
      <c r="V192" s="2" t="n">
        <v>2.8453</v>
      </c>
      <c r="W192" s="2" t="n">
        <v>0.5199999999999871</v>
      </c>
      <c r="X192" s="2" t="inlineStr">
        <is>
          <t>AFS-DCM</t>
        </is>
      </c>
      <c r="Y192" s="2" t="inlineStr">
        <is>
          <t>AFS-DCM</t>
        </is>
      </c>
    </row>
    <row r="193">
      <c r="A193" s="2" t="n">
        <v>50567</v>
      </c>
      <c r="B193" s="2" t="n">
        <v>50568</v>
      </c>
      <c r="C193" s="2" t="inlineStr">
        <is>
          <t>TD2131012</t>
        </is>
      </c>
      <c r="D193" s="2" t="inlineStr">
        <is>
          <t>CK_MAYBANK</t>
        </is>
      </c>
      <c r="E193" s="2" t="n">
        <v>2.2</v>
      </c>
      <c r="F193" s="3" t="n">
        <v>100</v>
      </c>
      <c r="G193" s="2" t="inlineStr">
        <is>
          <t>Sell (repo)</t>
        </is>
      </c>
      <c r="H193" s="2" t="n">
        <v>1</v>
      </c>
      <c r="I193" s="4" t="n">
        <v>46261</v>
      </c>
      <c r="J193" s="4" t="n">
        <v>46262</v>
      </c>
      <c r="K193" s="4" t="n">
        <v>46258</v>
      </c>
      <c r="L193" s="4" t="n">
        <v>46258</v>
      </c>
      <c r="M193" s="5" t="n">
        <v>94087000000</v>
      </c>
      <c r="N193" s="5" t="n">
        <v>94069000000</v>
      </c>
      <c r="O193" s="5" t="n">
        <v>18000000</v>
      </c>
      <c r="P193" s="3" t="n">
        <v>18</v>
      </c>
      <c r="Q193" s="6" t="n">
        <v>0.06982898806423841</v>
      </c>
      <c r="R193" s="2" t="inlineStr">
        <is>
          <t>duong</t>
        </is>
      </c>
      <c r="S193" s="2" t="inlineStr">
        <is>
          <t>Cho vay bond</t>
        </is>
      </c>
      <c r="T193" s="2" t="inlineStr"/>
      <c r="U193" s="2" t="n">
        <v>4.04</v>
      </c>
      <c r="V193" s="2" t="n">
        <v>4.0475</v>
      </c>
      <c r="W193" s="2" t="n">
        <v>0.7500000000000284</v>
      </c>
      <c r="X193" s="2" t="inlineStr">
        <is>
          <t>AFS-DCM</t>
        </is>
      </c>
      <c r="Y193" s="2" t="inlineStr">
        <is>
          <t>AFS-DCM</t>
        </is>
      </c>
    </row>
    <row r="194">
      <c r="A194" s="2" t="n">
        <v>50598</v>
      </c>
      <c r="B194" s="2" t="n">
        <v>50599</v>
      </c>
      <c r="C194" s="2" t="inlineStr">
        <is>
          <t>TD2434019</t>
        </is>
      </c>
      <c r="D194" s="2" t="inlineStr">
        <is>
          <t>CK_MAYBANK</t>
        </is>
      </c>
      <c r="E194" s="2" t="n">
        <v>2.1</v>
      </c>
      <c r="F194" s="3" t="n">
        <v>250</v>
      </c>
      <c r="G194" s="2" t="inlineStr">
        <is>
          <t>Sell (repo)</t>
        </is>
      </c>
      <c r="H194" s="2" t="n">
        <v>1</v>
      </c>
      <c r="I194" s="4" t="n">
        <v>46273</v>
      </c>
      <c r="J194" s="4" t="n">
        <v>46274</v>
      </c>
      <c r="K194" s="4" t="n">
        <v>46259</v>
      </c>
      <c r="L194" s="4" t="n">
        <v>46259</v>
      </c>
      <c r="M194" s="5" t="n">
        <v>241805000000</v>
      </c>
      <c r="N194" s="5" t="n">
        <v>241762500000</v>
      </c>
      <c r="O194" s="5" t="n">
        <v>42500000</v>
      </c>
      <c r="P194" s="3" t="n">
        <v>42.5</v>
      </c>
      <c r="Q194" s="6" t="n">
        <v>0.06415293314861148</v>
      </c>
      <c r="R194" s="2" t="inlineStr">
        <is>
          <t>duong</t>
        </is>
      </c>
      <c r="S194" s="2" t="inlineStr">
        <is>
          <t>Cho vay bond</t>
        </is>
      </c>
      <c r="T194" s="2" t="inlineStr"/>
      <c r="U194" s="2" t="n">
        <v>2.8101</v>
      </c>
      <c r="V194" s="2" t="n">
        <v>2.8139</v>
      </c>
      <c r="W194" s="2" t="n">
        <v>0.3800000000000026</v>
      </c>
      <c r="X194" s="2" t="inlineStr">
        <is>
          <t>AFS-DCM</t>
        </is>
      </c>
      <c r="Y194" s="2" t="inlineStr">
        <is>
          <t>AFS-DCM</t>
        </is>
      </c>
    </row>
    <row r="195">
      <c r="A195" s="2" t="n">
        <v>50600</v>
      </c>
      <c r="B195" s="2" t="n">
        <v>50601</v>
      </c>
      <c r="C195" s="2" t="inlineStr">
        <is>
          <t>TD2353151</t>
        </is>
      </c>
      <c r="D195" s="2" t="inlineStr">
        <is>
          <t>CK_MAYBANK</t>
        </is>
      </c>
      <c r="E195" s="2" t="n">
        <v>4.2</v>
      </c>
      <c r="F195" s="3" t="n">
        <v>120</v>
      </c>
      <c r="G195" s="2" t="inlineStr">
        <is>
          <t>Sell (repo)</t>
        </is>
      </c>
      <c r="H195" s="2" t="n">
        <v>1</v>
      </c>
      <c r="I195" s="4" t="n">
        <v>46273</v>
      </c>
      <c r="J195" s="4" t="n">
        <v>46274</v>
      </c>
      <c r="K195" s="4" t="n">
        <v>46259</v>
      </c>
      <c r="L195" s="4" t="n">
        <v>46259</v>
      </c>
      <c r="M195" s="5" t="n">
        <v>119955600000</v>
      </c>
      <c r="N195" s="5" t="n">
        <v>119924400000</v>
      </c>
      <c r="O195" s="5" t="n">
        <v>31200000</v>
      </c>
      <c r="P195" s="3" t="n">
        <v>31.2</v>
      </c>
      <c r="Q195" s="6" t="n">
        <v>0.09493512599661874</v>
      </c>
      <c r="R195" s="2" t="inlineStr">
        <is>
          <t>duong</t>
        </is>
      </c>
      <c r="S195" s="2" t="inlineStr">
        <is>
          <t>Cho vay bond</t>
        </is>
      </c>
      <c r="T195" s="2" t="inlineStr"/>
      <c r="U195" s="2" t="n">
        <v>4.3256</v>
      </c>
      <c r="V195" s="2" t="n">
        <v>4.328</v>
      </c>
      <c r="W195" s="2" t="n">
        <v>0.2400000000000624</v>
      </c>
      <c r="X195" s="2" t="inlineStr">
        <is>
          <t>AFS-DCM</t>
        </is>
      </c>
      <c r="Y195" s="2" t="inlineStr">
        <is>
          <t>AFS-DCM</t>
        </is>
      </c>
    </row>
    <row r="196">
      <c r="A196" s="2" t="n">
        <v>50614</v>
      </c>
      <c r="B196" s="2" t="n">
        <v>50615</v>
      </c>
      <c r="C196" s="2" t="inlineStr">
        <is>
          <t>TD2353151</t>
        </is>
      </c>
      <c r="D196" s="2" t="inlineStr">
        <is>
          <t>CK_VCB</t>
        </is>
      </c>
      <c r="E196" s="2" t="n">
        <v>4.2</v>
      </c>
      <c r="F196" s="3" t="n">
        <v>200</v>
      </c>
      <c r="G196" s="2" t="inlineStr">
        <is>
          <t>Sell (repo)</t>
        </is>
      </c>
      <c r="H196" s="2" t="n">
        <v>30</v>
      </c>
      <c r="I196" s="4" t="n">
        <v>46273</v>
      </c>
      <c r="J196" s="4" t="n">
        <v>46303</v>
      </c>
      <c r="K196" s="4" t="n">
        <v>46268</v>
      </c>
      <c r="L196" s="4" t="n">
        <v>46268</v>
      </c>
      <c r="M196" s="5" t="n">
        <v>208640000000</v>
      </c>
      <c r="N196" s="5" t="n">
        <v>209240000000</v>
      </c>
      <c r="O196" s="5" t="n">
        <v>-600000000</v>
      </c>
      <c r="P196" s="3" t="n">
        <v>-600</v>
      </c>
      <c r="Q196" s="6" t="n">
        <v>-0.03498849693251534</v>
      </c>
      <c r="R196" s="2" t="inlineStr">
        <is>
          <t>am</t>
        </is>
      </c>
      <c r="S196" s="2" t="inlineStr">
        <is>
          <t>Vay tien</t>
        </is>
      </c>
      <c r="T196" s="2" t="inlineStr"/>
      <c r="U196" s="2" t="n">
        <v>4.051</v>
      </c>
      <c r="V196" s="2" t="n">
        <v>4.0535</v>
      </c>
      <c r="W196" s="2" t="n">
        <v>0.2499999999999503</v>
      </c>
      <c r="X196" s="2" t="inlineStr">
        <is>
          <t>AFS-DCM</t>
        </is>
      </c>
      <c r="Y196" s="2" t="inlineStr">
        <is>
          <t>AFS-DCM</t>
        </is>
      </c>
    </row>
    <row r="197">
      <c r="A197" s="2" t="n">
        <v>50616</v>
      </c>
      <c r="B197" s="2" t="n">
        <v>50617</v>
      </c>
      <c r="C197" s="2" t="inlineStr">
        <is>
          <t>TD2353151</t>
        </is>
      </c>
      <c r="D197" s="2" t="inlineStr">
        <is>
          <t>CK_AGRIBAN</t>
        </is>
      </c>
      <c r="E197" s="2" t="n">
        <v>4.2</v>
      </c>
      <c r="F197" s="3" t="n">
        <v>80</v>
      </c>
      <c r="G197" s="2" t="inlineStr">
        <is>
          <t>Sell (repo)</t>
        </is>
      </c>
      <c r="H197" s="2" t="n">
        <v>6</v>
      </c>
      <c r="I197" s="4" t="n">
        <v>46274</v>
      </c>
      <c r="J197" s="4" t="n">
        <v>46280</v>
      </c>
      <c r="K197" s="4" t="n">
        <v>46269</v>
      </c>
      <c r="L197" s="4" t="n">
        <v>46269</v>
      </c>
      <c r="M197" s="5" t="n">
        <v>81496800000</v>
      </c>
      <c r="N197" s="5" t="n">
        <v>81520800000</v>
      </c>
      <c r="O197" s="5" t="n">
        <v>-24000000</v>
      </c>
      <c r="P197" s="3" t="n">
        <v>-24</v>
      </c>
      <c r="Q197" s="6" t="n">
        <v>-0.01791481383318118</v>
      </c>
      <c r="R197" s="2" t="inlineStr">
        <is>
          <t>am</t>
        </is>
      </c>
      <c r="S197" s="2" t="inlineStr">
        <is>
          <t>Vay tien</t>
        </is>
      </c>
      <c r="T197" s="2" t="inlineStr"/>
      <c r="U197" s="2" t="n">
        <v>4.204</v>
      </c>
      <c r="V197" s="2" t="n">
        <v>4.2065</v>
      </c>
      <c r="W197" s="2" t="n">
        <v>0.2500000000000391</v>
      </c>
      <c r="X197" s="2" t="inlineStr">
        <is>
          <t>AFS-DCM</t>
        </is>
      </c>
      <c r="Y197" s="2" t="inlineStr">
        <is>
          <t>AFS-DCM</t>
        </is>
      </c>
    </row>
    <row r="198">
      <c r="A198" s="2" t="n">
        <v>50618</v>
      </c>
      <c r="B198" s="2" t="n">
        <v>50619</v>
      </c>
      <c r="C198" s="2" t="inlineStr">
        <is>
          <t>TD2434023</t>
        </is>
      </c>
      <c r="D198" s="2" t="inlineStr">
        <is>
          <t>CK_AGRIBAN</t>
        </is>
      </c>
      <c r="E198" s="2" t="n">
        <v>2.7</v>
      </c>
      <c r="F198" s="3" t="n">
        <v>100</v>
      </c>
      <c r="G198" s="2" t="inlineStr">
        <is>
          <t>Sell (repo)</t>
        </is>
      </c>
      <c r="H198" s="2" t="n">
        <v>6</v>
      </c>
      <c r="I198" s="4" t="n">
        <v>46274</v>
      </c>
      <c r="J198" s="4" t="n">
        <v>46280</v>
      </c>
      <c r="K198" s="4" t="n">
        <v>46269</v>
      </c>
      <c r="L198" s="4" t="n">
        <v>46269</v>
      </c>
      <c r="M198" s="5" t="n">
        <v>98288000000</v>
      </c>
      <c r="N198" s="5" t="n">
        <v>98315000000</v>
      </c>
      <c r="O198" s="5" t="n">
        <v>-27000000</v>
      </c>
      <c r="P198" s="3" t="n">
        <v>-27</v>
      </c>
      <c r="Q198" s="6" t="n">
        <v>-0.01671109392804819</v>
      </c>
      <c r="R198" s="2" t="inlineStr">
        <is>
          <t>am</t>
        </is>
      </c>
      <c r="S198" s="2" t="inlineStr">
        <is>
          <t>Vay tien</t>
        </is>
      </c>
      <c r="T198" s="2" t="inlineStr"/>
      <c r="U198" s="2" t="n">
        <v>3.0204</v>
      </c>
      <c r="V198" s="2" t="n">
        <v>3.0236</v>
      </c>
      <c r="W198" s="2" t="n">
        <v>0.3200000000000092</v>
      </c>
      <c r="X198" s="2" t="inlineStr">
        <is>
          <t>AFS-DCM</t>
        </is>
      </c>
      <c r="Y198" s="2" t="inlineStr">
        <is>
          <t>AFS-DCM</t>
        </is>
      </c>
    </row>
    <row r="199">
      <c r="A199" s="2" t="n">
        <v>50620</v>
      </c>
      <c r="B199" s="2" t="n">
        <v>50621</v>
      </c>
      <c r="C199" s="2" t="inlineStr">
        <is>
          <t>TD2333118</t>
        </is>
      </c>
      <c r="D199" s="2" t="inlineStr">
        <is>
          <t>CK_AGRIBAN</t>
        </is>
      </c>
      <c r="E199" s="2" t="n">
        <v>4.1</v>
      </c>
      <c r="F199" s="3" t="n">
        <v>31</v>
      </c>
      <c r="G199" s="2" t="inlineStr">
        <is>
          <t>Sell (repo)</t>
        </is>
      </c>
      <c r="H199" s="2" t="n">
        <v>6</v>
      </c>
      <c r="I199" s="4" t="n">
        <v>46274</v>
      </c>
      <c r="J199" s="4" t="n">
        <v>46280</v>
      </c>
      <c r="K199" s="4" t="n">
        <v>46269</v>
      </c>
      <c r="L199" s="4" t="n">
        <v>46269</v>
      </c>
      <c r="M199" s="5" t="n">
        <v>34378690000</v>
      </c>
      <c r="N199" s="5" t="n">
        <v>34386750000</v>
      </c>
      <c r="O199" s="5" t="n">
        <v>-8060000</v>
      </c>
      <c r="P199" s="3" t="n">
        <v>-8.06</v>
      </c>
      <c r="Q199" s="6" t="n">
        <v>-0.01426222659056138</v>
      </c>
      <c r="R199" s="2" t="inlineStr">
        <is>
          <t>am</t>
        </is>
      </c>
      <c r="S199" s="2" t="inlineStr">
        <is>
          <t>Vay tien</t>
        </is>
      </c>
      <c r="T199" s="2" t="inlineStr"/>
      <c r="U199" s="2" t="n">
        <v>2.62</v>
      </c>
      <c r="V199" s="2" t="n">
        <v>2.6235</v>
      </c>
      <c r="W199" s="2" t="n">
        <v>0.3499999999999837</v>
      </c>
      <c r="X199" s="2" t="inlineStr">
        <is>
          <t>AFS-DCM</t>
        </is>
      </c>
      <c r="Y199" s="2" t="inlineStr">
        <is>
          <t>AFS-DCM</t>
        </is>
      </c>
    </row>
  </sheetData>
  <autoFilter ref="A1:Y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Deal id</t>
        </is>
      </c>
      <c r="B1" s="1" t="inlineStr">
        <is>
          <t>Loai</t>
        </is>
      </c>
      <c r="C1" s="1" t="inlineStr">
        <is>
          <t>Ma TP</t>
        </is>
      </c>
      <c r="D1" s="1" t="inlineStr">
        <is>
          <t>Doi tac</t>
        </is>
      </c>
      <c r="E1" s="1" t="inlineStr">
        <is>
          <t>Coupon (%)</t>
        </is>
      </c>
      <c r="F1" s="1" t="inlineStr">
        <is>
          <t>Quantity</t>
        </is>
      </c>
      <c r="G1" s="1" t="inlineStr">
        <is>
          <t>FaceValue</t>
        </is>
      </c>
      <c r="H1" s="1" t="inlineStr">
        <is>
          <t>Gross da chuan hoa (VND)</t>
        </is>
      </c>
      <c r="I1" s="1" t="inlineStr">
        <is>
          <t>Gross goc la CHU?</t>
        </is>
      </c>
      <c r="J1" s="1" t="inlineStr">
        <is>
          <t>Settlement</t>
        </is>
      </c>
      <c r="K1" s="1" t="inlineStr">
        <is>
          <t>CaptureDate</t>
        </is>
      </c>
      <c r="L1" s="1" t="inlineStr">
        <is>
          <t>Folder</t>
        </is>
      </c>
      <c r="M1" s="1" t="inlineStr">
        <is>
          <t>Yield</t>
        </is>
      </c>
    </row>
    <row r="2">
      <c r="A2" s="2" t="n">
        <v>49972</v>
      </c>
      <c r="B2" s="2" t="inlineStr">
        <is>
          <t>S</t>
        </is>
      </c>
      <c r="C2" s="2" t="inlineStr">
        <is>
          <t>TD2434024</t>
        </is>
      </c>
      <c r="D2" s="2" t="inlineStr">
        <is>
          <t>CK_VFS</t>
        </is>
      </c>
      <c r="E2" s="2" t="n">
        <v>2.7</v>
      </c>
      <c r="F2" s="5" t="n">
        <v>1000000</v>
      </c>
      <c r="G2" s="2" t="n">
        <v>100000</v>
      </c>
      <c r="H2" s="5" t="n">
        <v>100301000000</v>
      </c>
      <c r="I2" s="2" t="inlineStr"/>
      <c r="J2" s="4" t="n">
        <v>46185</v>
      </c>
      <c r="K2" s="4" t="n">
        <v>46182</v>
      </c>
      <c r="L2" s="2" t="inlineStr">
        <is>
          <t>AFS-HUONG</t>
        </is>
      </c>
      <c r="M2" s="2" t="n">
        <v>3</v>
      </c>
    </row>
    <row r="3">
      <c r="A3" s="2" t="n">
        <v>49973</v>
      </c>
      <c r="B3" s="2" t="inlineStr">
        <is>
          <t>B</t>
        </is>
      </c>
      <c r="C3" s="2" t="inlineStr">
        <is>
          <t>TD2434024</t>
        </is>
      </c>
      <c r="D3" s="2" t="inlineStr">
        <is>
          <t>CK_VFS</t>
        </is>
      </c>
      <c r="E3" s="2" t="n">
        <v>2.7</v>
      </c>
      <c r="F3" s="5" t="n">
        <v>1000000</v>
      </c>
      <c r="G3" s="2" t="n">
        <v>100000</v>
      </c>
      <c r="H3" s="5" t="n">
        <v>100281000000</v>
      </c>
      <c r="I3" s="2" t="inlineStr"/>
      <c r="J3" s="4" t="n">
        <v>46188</v>
      </c>
      <c r="K3" s="4" t="n">
        <v>46182</v>
      </c>
      <c r="L3" s="2" t="inlineStr">
        <is>
          <t>AFS-HUONG</t>
        </is>
      </c>
      <c r="M3" s="2" t="n">
        <v>3.0064</v>
      </c>
    </row>
    <row r="4">
      <c r="A4" s="2" t="n">
        <v>49993</v>
      </c>
      <c r="B4" s="2" t="inlineStr">
        <is>
          <t>B</t>
        </is>
      </c>
      <c r="C4" s="2" t="inlineStr">
        <is>
          <t>TD2353151</t>
        </is>
      </c>
      <c r="D4" s="2" t="inlineStr">
        <is>
          <t>CK_LPBS</t>
        </is>
      </c>
      <c r="E4" s="2" t="n">
        <v>4.2</v>
      </c>
      <c r="F4" s="5" t="n">
        <v>700000</v>
      </c>
      <c r="G4" s="2" t="n">
        <v>100000</v>
      </c>
      <c r="H4" s="5" t="n">
        <v>72888900000</v>
      </c>
      <c r="I4" s="2" t="inlineStr"/>
      <c r="J4" s="4" t="n">
        <v>46188</v>
      </c>
      <c r="K4" s="4" t="n">
        <v>46184</v>
      </c>
      <c r="L4" s="2" t="inlineStr">
        <is>
          <t>AFS-DCM</t>
        </is>
      </c>
      <c r="M4" s="2" t="n">
        <v>4.0045</v>
      </c>
    </row>
    <row r="5">
      <c r="A5" s="2" t="n">
        <v>50204</v>
      </c>
      <c r="B5" s="2" t="inlineStr">
        <is>
          <t>S</t>
        </is>
      </c>
      <c r="C5" s="2" t="inlineStr">
        <is>
          <t>TD2454043</t>
        </is>
      </c>
      <c r="D5" s="2" t="inlineStr">
        <is>
          <t>CK_SGHN</t>
        </is>
      </c>
      <c r="E5" s="2" t="n">
        <v>2.8</v>
      </c>
      <c r="F5" s="5" t="n">
        <v>2250000</v>
      </c>
      <c r="G5" s="2" t="n">
        <v>100000</v>
      </c>
      <c r="H5" s="5" t="n">
        <v>171364500000</v>
      </c>
      <c r="I5" s="2" t="inlineStr"/>
      <c r="J5" s="4" t="n">
        <v>46225</v>
      </c>
      <c r="K5" s="4" t="n">
        <v>46223</v>
      </c>
      <c r="L5" s="2" t="inlineStr">
        <is>
          <t>AFS-DCM</t>
        </is>
      </c>
      <c r="M5" s="2" t="n">
        <v>4.4007</v>
      </c>
    </row>
    <row r="6">
      <c r="A6" s="2" t="n">
        <v>50205</v>
      </c>
      <c r="B6" s="2" t="inlineStr">
        <is>
          <t>B</t>
        </is>
      </c>
      <c r="C6" s="2" t="inlineStr">
        <is>
          <t>TD2454043</t>
        </is>
      </c>
      <c r="D6" s="2" t="inlineStr">
        <is>
          <t>CK_SGHN</t>
        </is>
      </c>
      <c r="E6" s="2" t="n">
        <v>2.8</v>
      </c>
      <c r="F6" s="5" t="n">
        <v>2250000</v>
      </c>
      <c r="G6" s="2" t="n">
        <v>100000</v>
      </c>
      <c r="H6" s="5" t="n">
        <v>171333000000</v>
      </c>
      <c r="I6" s="2" t="inlineStr"/>
      <c r="J6" s="4" t="n">
        <v>46226</v>
      </c>
      <c r="K6" s="4" t="n">
        <v>46223</v>
      </c>
      <c r="L6" s="2" t="inlineStr">
        <is>
          <t>AFS-DCM</t>
        </is>
      </c>
      <c r="M6" s="2" t="n">
        <v>4.4025</v>
      </c>
    </row>
    <row r="7">
      <c r="A7" s="2" t="n">
        <v>50206</v>
      </c>
      <c r="B7" s="2" t="inlineStr">
        <is>
          <t>S</t>
        </is>
      </c>
      <c r="C7" s="2" t="inlineStr">
        <is>
          <t>TD2353151</t>
        </is>
      </c>
      <c r="D7" s="2" t="inlineStr">
        <is>
          <t>CK_SGHN</t>
        </is>
      </c>
      <c r="E7" s="2" t="n">
        <v>4.2</v>
      </c>
      <c r="F7" s="5" t="n">
        <v>320000</v>
      </c>
      <c r="G7" s="2" t="n">
        <v>100000</v>
      </c>
      <c r="H7" s="5" t="n">
        <v>33477440000</v>
      </c>
      <c r="I7" s="2" t="inlineStr"/>
      <c r="J7" s="4" t="n">
        <v>46225</v>
      </c>
      <c r="K7" s="4" t="n">
        <v>46223</v>
      </c>
      <c r="L7" s="2" t="inlineStr">
        <is>
          <t>AFS-DCM</t>
        </is>
      </c>
      <c r="M7" s="2" t="n">
        <v>4</v>
      </c>
    </row>
    <row r="8">
      <c r="A8" s="2" t="n">
        <v>50207</v>
      </c>
      <c r="B8" s="2" t="inlineStr">
        <is>
          <t>B</t>
        </is>
      </c>
      <c r="C8" s="2" t="inlineStr">
        <is>
          <t>TD2353151</t>
        </is>
      </c>
      <c r="D8" s="2" t="inlineStr">
        <is>
          <t>CK_SGHN</t>
        </is>
      </c>
      <c r="E8" s="2" t="n">
        <v>4.2</v>
      </c>
      <c r="F8" s="5" t="n">
        <v>320000</v>
      </c>
      <c r="G8" s="2" t="n">
        <v>100000</v>
      </c>
      <c r="H8" s="5" t="n">
        <v>33467840000</v>
      </c>
      <c r="I8" s="2" t="inlineStr"/>
      <c r="J8" s="4" t="n">
        <v>46226</v>
      </c>
      <c r="K8" s="4" t="n">
        <v>46223</v>
      </c>
      <c r="L8" s="2" t="inlineStr">
        <is>
          <t>AFS-DCM</t>
        </is>
      </c>
      <c r="M8" s="2" t="n">
        <v>4.0025</v>
      </c>
    </row>
    <row r="9">
      <c r="A9" s="2" t="n">
        <v>50222</v>
      </c>
      <c r="B9" s="2" t="inlineStr">
        <is>
          <t>S</t>
        </is>
      </c>
      <c r="C9" s="2" t="inlineStr">
        <is>
          <t>TD2353151</t>
        </is>
      </c>
      <c r="D9" s="2" t="inlineStr">
        <is>
          <t>CK_BIDV</t>
        </is>
      </c>
      <c r="E9" s="2" t="n">
        <v>4.2</v>
      </c>
      <c r="F9" s="5" t="n">
        <v>4500000</v>
      </c>
      <c r="G9" s="2" t="n">
        <v>100000</v>
      </c>
      <c r="H9" s="5" t="n">
        <v>429574500000</v>
      </c>
      <c r="I9" s="2" t="inlineStr"/>
      <c r="J9" s="4" t="n">
        <v>46239</v>
      </c>
      <c r="K9" s="4" t="n">
        <v>46225</v>
      </c>
      <c r="L9" s="2" t="inlineStr">
        <is>
          <t>AFS-DCM</t>
        </is>
      </c>
      <c r="M9" s="2" t="n">
        <v>4.6</v>
      </c>
    </row>
    <row r="10">
      <c r="A10" s="2" t="n">
        <v>50223</v>
      </c>
      <c r="B10" s="2" t="inlineStr">
        <is>
          <t>B</t>
        </is>
      </c>
      <c r="C10" s="2" t="inlineStr">
        <is>
          <t>TD2353151</t>
        </is>
      </c>
      <c r="D10" s="2" t="inlineStr">
        <is>
          <t>CK_BIDV</t>
        </is>
      </c>
      <c r="E10" s="2" t="n">
        <v>4.2</v>
      </c>
      <c r="F10" s="5" t="n">
        <v>4500000</v>
      </c>
      <c r="G10" s="2" t="n">
        <v>100000</v>
      </c>
      <c r="H10" s="5" t="n">
        <v>431001000000</v>
      </c>
      <c r="I10" s="2" t="inlineStr"/>
      <c r="J10" s="4" t="n">
        <v>46272</v>
      </c>
      <c r="K10" s="4" t="n">
        <v>46225</v>
      </c>
      <c r="L10" s="2" t="inlineStr">
        <is>
          <t>AFS-DCM</t>
        </is>
      </c>
      <c r="M10" s="2" t="n">
        <v>4.605</v>
      </c>
    </row>
    <row r="11">
      <c r="A11" s="2" t="n">
        <v>50224</v>
      </c>
      <c r="B11" s="2" t="inlineStr">
        <is>
          <t>S</t>
        </is>
      </c>
      <c r="C11" s="2" t="inlineStr">
        <is>
          <t>TD2353151</t>
        </is>
      </c>
      <c r="D11" s="2" t="inlineStr">
        <is>
          <t>CK_BIDV</t>
        </is>
      </c>
      <c r="E11" s="2" t="n">
        <v>4.2</v>
      </c>
      <c r="F11" s="5" t="n">
        <v>2000000</v>
      </c>
      <c r="G11" s="2" t="n">
        <v>100000</v>
      </c>
      <c r="H11" s="5" t="n">
        <v>190922000000</v>
      </c>
      <c r="I11" s="2" t="inlineStr"/>
      <c r="J11" s="4" t="n">
        <v>46239</v>
      </c>
      <c r="K11" s="4" t="n">
        <v>46225</v>
      </c>
      <c r="L11" s="2" t="inlineStr">
        <is>
          <t>AFS-DCM</t>
        </is>
      </c>
      <c r="M11" s="2" t="n">
        <v>4.6</v>
      </c>
    </row>
    <row r="12">
      <c r="A12" s="2" t="n">
        <v>50225</v>
      </c>
      <c r="B12" s="2" t="inlineStr">
        <is>
          <t>B</t>
        </is>
      </c>
      <c r="C12" s="2" t="inlineStr">
        <is>
          <t>TD2353151</t>
        </is>
      </c>
      <c r="D12" s="2" t="inlineStr">
        <is>
          <t>CK_BIDV</t>
        </is>
      </c>
      <c r="E12" s="2" t="n">
        <v>4.2</v>
      </c>
      <c r="F12" s="5" t="n">
        <v>2000000</v>
      </c>
      <c r="G12" s="2" t="n">
        <v>100000</v>
      </c>
      <c r="H12" s="5" t="n">
        <v>191514000000</v>
      </c>
      <c r="I12" s="2" t="inlineStr"/>
      <c r="J12" s="4" t="n">
        <v>46272</v>
      </c>
      <c r="K12" s="4" t="n">
        <v>46225</v>
      </c>
      <c r="L12" s="2" t="inlineStr">
        <is>
          <t>AFS-DCM</t>
        </is>
      </c>
      <c r="M12" s="2" t="n">
        <v>4.6064</v>
      </c>
    </row>
    <row r="13">
      <c r="A13" s="2" t="n">
        <v>50226</v>
      </c>
      <c r="B13" s="2" t="inlineStr">
        <is>
          <t>S</t>
        </is>
      </c>
      <c r="C13" s="2" t="inlineStr">
        <is>
          <t>TD2353151</t>
        </is>
      </c>
      <c r="D13" s="2" t="inlineStr">
        <is>
          <t>CK_BIDV</t>
        </is>
      </c>
      <c r="E13" s="2" t="n">
        <v>4.2</v>
      </c>
      <c r="F13" s="5" t="n">
        <v>3000000</v>
      </c>
      <c r="G13" s="2" t="n">
        <v>100000</v>
      </c>
      <c r="H13" s="5" t="n">
        <v>286455000000</v>
      </c>
      <c r="I13" s="2" t="inlineStr"/>
      <c r="J13" s="4" t="n">
        <v>46241</v>
      </c>
      <c r="K13" s="4" t="n">
        <v>46225</v>
      </c>
      <c r="L13" s="2" t="inlineStr">
        <is>
          <t>AFS-DCM</t>
        </is>
      </c>
      <c r="M13" s="2" t="n">
        <v>4.6</v>
      </c>
    </row>
    <row r="14">
      <c r="A14" s="2" t="n">
        <v>50227</v>
      </c>
      <c r="B14" s="2" t="inlineStr">
        <is>
          <t>B</t>
        </is>
      </c>
      <c r="C14" s="2" t="inlineStr">
        <is>
          <t>TD2353151</t>
        </is>
      </c>
      <c r="D14" s="2" t="inlineStr">
        <is>
          <t>CK_BIDV</t>
        </is>
      </c>
      <c r="E14" s="2" t="n">
        <v>4.2</v>
      </c>
      <c r="F14" s="5" t="n">
        <v>3000000</v>
      </c>
      <c r="G14" s="2" t="n">
        <v>100000</v>
      </c>
      <c r="H14" s="5" t="n">
        <v>287364000000</v>
      </c>
      <c r="I14" s="2" t="inlineStr"/>
      <c r="J14" s="4" t="n">
        <v>46273</v>
      </c>
      <c r="K14" s="4" t="n">
        <v>46225</v>
      </c>
      <c r="L14" s="2" t="inlineStr">
        <is>
          <t>AFS-DCM</t>
        </is>
      </c>
      <c r="M14" s="2" t="n">
        <v>4.6051</v>
      </c>
    </row>
    <row r="15">
      <c r="A15" s="2" t="n">
        <v>50228</v>
      </c>
      <c r="B15" s="2" t="inlineStr">
        <is>
          <t>S</t>
        </is>
      </c>
      <c r="C15" s="2" t="inlineStr">
        <is>
          <t>TD2353151</t>
        </is>
      </c>
      <c r="D15" s="2" t="inlineStr">
        <is>
          <t>CK_BIDV</t>
        </is>
      </c>
      <c r="E15" s="2" t="n">
        <v>4.2</v>
      </c>
      <c r="F15" s="5" t="n">
        <v>3500000</v>
      </c>
      <c r="G15" s="2" t="n">
        <v>100000</v>
      </c>
      <c r="H15" s="5" t="n">
        <v>334197500000</v>
      </c>
      <c r="I15" s="2" t="inlineStr"/>
      <c r="J15" s="4" t="n">
        <v>46241</v>
      </c>
      <c r="K15" s="4" t="n">
        <v>46225</v>
      </c>
      <c r="L15" s="2" t="inlineStr">
        <is>
          <t>AFS-DCM</t>
        </is>
      </c>
      <c r="M15" s="2" t="n">
        <v>4.6</v>
      </c>
    </row>
    <row r="16">
      <c r="A16" s="2" t="n">
        <v>50229</v>
      </c>
      <c r="B16" s="2" t="inlineStr">
        <is>
          <t>B</t>
        </is>
      </c>
      <c r="C16" s="2" t="inlineStr">
        <is>
          <t>TD2353151</t>
        </is>
      </c>
      <c r="D16" s="2" t="inlineStr">
        <is>
          <t>CK_BIDV</t>
        </is>
      </c>
      <c r="E16" s="2" t="n">
        <v>4.2</v>
      </c>
      <c r="F16" s="5" t="n">
        <v>3500000</v>
      </c>
      <c r="G16" s="2" t="n">
        <v>100000</v>
      </c>
      <c r="H16" s="5" t="n">
        <v>335247500000</v>
      </c>
      <c r="I16" s="2" t="inlineStr"/>
      <c r="J16" s="4" t="n">
        <v>46273</v>
      </c>
      <c r="K16" s="4" t="n">
        <v>46225</v>
      </c>
      <c r="L16" s="2" t="inlineStr">
        <is>
          <t>AFS-DCM</t>
        </is>
      </c>
      <c r="M16" s="2" t="n">
        <v>4.6053</v>
      </c>
    </row>
    <row r="17">
      <c r="A17" s="2" t="n">
        <v>50253</v>
      </c>
      <c r="B17" s="2" t="inlineStr">
        <is>
          <t>S</t>
        </is>
      </c>
      <c r="C17" s="2" t="inlineStr">
        <is>
          <t>TD1939200</t>
        </is>
      </c>
      <c r="D17" s="2" t="inlineStr">
        <is>
          <t>QLQ_BAOVIE</t>
        </is>
      </c>
      <c r="E17" s="2" t="n">
        <v>5.6</v>
      </c>
      <c r="F17" s="5" t="n">
        <v>1000000</v>
      </c>
      <c r="G17" s="2" t="n">
        <v>100000</v>
      </c>
      <c r="H17" s="5" t="n">
        <v>112898000000</v>
      </c>
      <c r="I17" s="2" t="inlineStr"/>
      <c r="J17" s="4" t="n">
        <v>46385</v>
      </c>
      <c r="K17" s="4" t="n">
        <v>46230</v>
      </c>
      <c r="L17" s="2" t="inlineStr">
        <is>
          <t>AFS-DCM</t>
        </is>
      </c>
      <c r="M17" s="2" t="n">
        <v>4.7574</v>
      </c>
    </row>
    <row r="18">
      <c r="A18" s="2" t="n">
        <v>50252</v>
      </c>
      <c r="B18" s="2" t="inlineStr">
        <is>
          <t>S</t>
        </is>
      </c>
      <c r="C18" s="2" t="inlineStr">
        <is>
          <t>TD2040031</t>
        </is>
      </c>
      <c r="D18" s="2" t="inlineStr">
        <is>
          <t>QLQ_BAOVIE</t>
        </is>
      </c>
      <c r="E18" s="2" t="n">
        <v>3.6</v>
      </c>
      <c r="F18" s="5" t="n">
        <v>1500000</v>
      </c>
      <c r="G18" s="2" t="n">
        <v>100000</v>
      </c>
      <c r="H18" s="5" t="n">
        <v>138720000000</v>
      </c>
      <c r="I18" s="2" t="inlineStr"/>
      <c r="J18" s="4" t="n">
        <v>46385</v>
      </c>
      <c r="K18" s="4" t="n">
        <v>46230</v>
      </c>
      <c r="L18" s="2" t="inlineStr">
        <is>
          <t>AFS-DCM</t>
        </is>
      </c>
      <c r="M18" s="2" t="n">
        <v>4.7526</v>
      </c>
    </row>
    <row r="19">
      <c r="A19" s="2" t="n">
        <v>50251</v>
      </c>
      <c r="B19" s="2" t="inlineStr">
        <is>
          <t>S</t>
        </is>
      </c>
      <c r="C19" s="2" t="inlineStr">
        <is>
          <t>TD1949205</t>
        </is>
      </c>
      <c r="D19" s="2" t="inlineStr">
        <is>
          <t>QLQ_BAOVIE</t>
        </is>
      </c>
      <c r="E19" s="2" t="n">
        <v>5.8</v>
      </c>
      <c r="F19" s="5" t="n">
        <v>500000</v>
      </c>
      <c r="G19" s="2" t="n">
        <v>100000</v>
      </c>
      <c r="H19" s="5" t="n">
        <v>58674500000</v>
      </c>
      <c r="I19" s="2" t="inlineStr"/>
      <c r="J19" s="4" t="n">
        <v>46385</v>
      </c>
      <c r="K19" s="4" t="n">
        <v>46230</v>
      </c>
      <c r="L19" s="2" t="inlineStr">
        <is>
          <t>AFS-DCM</t>
        </is>
      </c>
      <c r="M19" s="2" t="n">
        <v>4.9004</v>
      </c>
    </row>
    <row r="20">
      <c r="A20" s="2" t="n">
        <v>50250</v>
      </c>
      <c r="B20" s="2" t="inlineStr">
        <is>
          <t>S</t>
        </is>
      </c>
      <c r="C20" s="2" t="inlineStr">
        <is>
          <t>TD2237118</t>
        </is>
      </c>
      <c r="D20" s="2" t="inlineStr">
        <is>
          <t>QLQ_BAOVIE</t>
        </is>
      </c>
      <c r="E20" s="2" t="n">
        <v>2.3</v>
      </c>
      <c r="F20" s="5" t="n">
        <v>500000</v>
      </c>
      <c r="G20" s="2" t="n">
        <v>100000</v>
      </c>
      <c r="H20" s="5" t="n">
        <v>42235500000</v>
      </c>
      <c r="I20" s="2" t="inlineStr"/>
      <c r="J20" s="4" t="n">
        <v>46385</v>
      </c>
      <c r="K20" s="4" t="n">
        <v>46230</v>
      </c>
      <c r="L20" s="2" t="inlineStr">
        <is>
          <t>AFS-DCM</t>
        </is>
      </c>
      <c r="M20" s="2" t="n">
        <v>4.5481</v>
      </c>
    </row>
    <row r="21">
      <c r="A21" s="2" t="n">
        <v>50249</v>
      </c>
      <c r="B21" s="2" t="inlineStr">
        <is>
          <t>S</t>
        </is>
      </c>
      <c r="C21" s="2" t="inlineStr">
        <is>
          <t>TD2040031</t>
        </is>
      </c>
      <c r="D21" s="2" t="inlineStr">
        <is>
          <t>QLQ_BAOVIE</t>
        </is>
      </c>
      <c r="E21" s="2" t="n">
        <v>3.6</v>
      </c>
      <c r="F21" s="5" t="n">
        <v>9500000</v>
      </c>
      <c r="G21" s="2" t="n">
        <v>100000</v>
      </c>
      <c r="H21" s="5" t="n">
        <v>878560000000</v>
      </c>
      <c r="I21" s="2" t="inlineStr"/>
      <c r="J21" s="4" t="n">
        <v>46385</v>
      </c>
      <c r="K21" s="4" t="n">
        <v>46230</v>
      </c>
      <c r="L21" s="2" t="inlineStr">
        <is>
          <t>AFS-DCM</t>
        </is>
      </c>
      <c r="M21" s="2" t="n">
        <v>4.7526</v>
      </c>
    </row>
    <row r="22">
      <c r="A22" s="2" t="n">
        <v>50248</v>
      </c>
      <c r="B22" s="2" t="inlineStr">
        <is>
          <t>B</t>
        </is>
      </c>
      <c r="C22" s="2" t="inlineStr">
        <is>
          <t>TD1939200</t>
        </is>
      </c>
      <c r="D22" s="2" t="inlineStr">
        <is>
          <t>QLQ_BAOVIE</t>
        </is>
      </c>
      <c r="E22" s="2" t="n">
        <v>5.6</v>
      </c>
      <c r="F22" s="5" t="n">
        <v>1000000</v>
      </c>
      <c r="G22" s="2" t="n">
        <v>100000</v>
      </c>
      <c r="H22" s="5" t="n">
        <v>111070000000</v>
      </c>
      <c r="I22" s="2" t="inlineStr"/>
      <c r="J22" s="4" t="n">
        <v>46231</v>
      </c>
      <c r="K22" s="4" t="n">
        <v>46230</v>
      </c>
      <c r="L22" s="2" t="inlineStr">
        <is>
          <t>AFS-DCM</t>
        </is>
      </c>
      <c r="M22" s="2" t="n">
        <v>4.72</v>
      </c>
    </row>
    <row r="23">
      <c r="A23" s="2" t="n">
        <v>50247</v>
      </c>
      <c r="B23" s="2" t="inlineStr">
        <is>
          <t>B</t>
        </is>
      </c>
      <c r="C23" s="2" t="inlineStr">
        <is>
          <t>TD2040031</t>
        </is>
      </c>
      <c r="D23" s="2" t="inlineStr">
        <is>
          <t>QLQ_BAOVIE</t>
        </is>
      </c>
      <c r="E23" s="2" t="n">
        <v>3.6</v>
      </c>
      <c r="F23" s="5" t="n">
        <v>1500000</v>
      </c>
      <c r="G23" s="2" t="n">
        <v>100000</v>
      </c>
      <c r="H23" s="5" t="n">
        <v>136474500000</v>
      </c>
      <c r="I23" s="2" t="inlineStr"/>
      <c r="J23" s="4" t="n">
        <v>46231</v>
      </c>
      <c r="K23" s="4" t="n">
        <v>46230</v>
      </c>
      <c r="L23" s="2" t="inlineStr">
        <is>
          <t>AFS-DCM</t>
        </is>
      </c>
      <c r="M23" s="2" t="n">
        <v>4.72</v>
      </c>
    </row>
    <row r="24">
      <c r="A24" s="2" t="n">
        <v>50246</v>
      </c>
      <c r="B24" s="2" t="inlineStr">
        <is>
          <t>B</t>
        </is>
      </c>
      <c r="C24" s="2" t="inlineStr">
        <is>
          <t>TD1949205</t>
        </is>
      </c>
      <c r="D24" s="2" t="inlineStr">
        <is>
          <t>QLQ_BAOVIE</t>
        </is>
      </c>
      <c r="E24" s="2" t="n">
        <v>5.8</v>
      </c>
      <c r="F24" s="5" t="n">
        <v>500000</v>
      </c>
      <c r="G24" s="2" t="n">
        <v>100000</v>
      </c>
      <c r="H24" s="5" t="n">
        <v>57724500000</v>
      </c>
      <c r="I24" s="2" t="inlineStr"/>
      <c r="J24" s="4" t="n">
        <v>46231</v>
      </c>
      <c r="K24" s="4" t="n">
        <v>46230</v>
      </c>
      <c r="L24" s="2" t="inlineStr">
        <is>
          <t>AFS-DCM</t>
        </is>
      </c>
      <c r="M24" s="2" t="n">
        <v>4.87</v>
      </c>
    </row>
    <row r="25">
      <c r="A25" s="2" t="n">
        <v>50245</v>
      </c>
      <c r="B25" s="2" t="inlineStr">
        <is>
          <t>B</t>
        </is>
      </c>
      <c r="C25" s="2" t="inlineStr">
        <is>
          <t>TD2237118</t>
        </is>
      </c>
      <c r="D25" s="2" t="inlineStr">
        <is>
          <t>QLQ_BAOVIE</t>
        </is>
      </c>
      <c r="E25" s="2" t="n">
        <v>2.3</v>
      </c>
      <c r="F25" s="5" t="n">
        <v>500000</v>
      </c>
      <c r="G25" s="2" t="n">
        <v>100000</v>
      </c>
      <c r="H25" s="5" t="n">
        <v>41552000000</v>
      </c>
      <c r="I25" s="2" t="inlineStr"/>
      <c r="J25" s="4" t="n">
        <v>46231</v>
      </c>
      <c r="K25" s="4" t="n">
        <v>46230</v>
      </c>
      <c r="L25" s="2" t="inlineStr">
        <is>
          <t>AFS-DCM</t>
        </is>
      </c>
      <c r="M25" s="2" t="n">
        <v>4.52</v>
      </c>
    </row>
    <row r="26">
      <c r="A26" s="2" t="n">
        <v>50244</v>
      </c>
      <c r="B26" s="2" t="inlineStr">
        <is>
          <t>B</t>
        </is>
      </c>
      <c r="C26" s="2" t="inlineStr">
        <is>
          <t>TD2040031</t>
        </is>
      </c>
      <c r="D26" s="2" t="inlineStr">
        <is>
          <t>QLQ_BAOVIE</t>
        </is>
      </c>
      <c r="E26" s="2" t="n">
        <v>3.6</v>
      </c>
      <c r="F26" s="5" t="n">
        <v>9500000</v>
      </c>
      <c r="G26" s="2" t="n">
        <v>100000</v>
      </c>
      <c r="H26" s="5" t="n">
        <v>864338500000</v>
      </c>
      <c r="I26" s="2" t="inlineStr"/>
      <c r="J26" s="4" t="n">
        <v>46231</v>
      </c>
      <c r="K26" s="4" t="n">
        <v>46230</v>
      </c>
      <c r="L26" s="2" t="inlineStr">
        <is>
          <t>AFS-DCM</t>
        </is>
      </c>
      <c r="M26" s="2" t="n">
        <v>4.72</v>
      </c>
    </row>
    <row r="27">
      <c r="A27" s="2" t="n">
        <v>50239</v>
      </c>
      <c r="B27" s="2" t="inlineStr">
        <is>
          <t>B</t>
        </is>
      </c>
      <c r="C27" s="2" t="inlineStr">
        <is>
          <t>TD1646503</t>
        </is>
      </c>
      <c r="D27" s="2" t="inlineStr">
        <is>
          <t>CK_APG</t>
        </is>
      </c>
      <c r="E27" s="2" t="n">
        <v>7.9</v>
      </c>
      <c r="F27" s="5" t="n">
        <v>500000</v>
      </c>
      <c r="G27" s="2" t="n">
        <v>100000</v>
      </c>
      <c r="H27" s="5" t="n">
        <v>78788500000</v>
      </c>
      <c r="I27" s="2" t="inlineStr"/>
      <c r="J27" s="4" t="n">
        <v>46231</v>
      </c>
      <c r="K27" s="4" t="n">
        <v>46226</v>
      </c>
      <c r="L27" s="2" t="inlineStr">
        <is>
          <t>AFS-DCM</t>
        </is>
      </c>
      <c r="M27" s="2" t="n">
        <v>4.1093</v>
      </c>
    </row>
    <row r="28">
      <c r="A28" s="2" t="n">
        <v>50238</v>
      </c>
      <c r="B28" s="2" t="inlineStr">
        <is>
          <t>S</t>
        </is>
      </c>
      <c r="C28" s="2" t="inlineStr">
        <is>
          <t>TD1646503</t>
        </is>
      </c>
      <c r="D28" s="2" t="inlineStr">
        <is>
          <t>CK_APG</t>
        </is>
      </c>
      <c r="E28" s="2" t="n">
        <v>7.9</v>
      </c>
      <c r="F28" s="5" t="n">
        <v>500000</v>
      </c>
      <c r="G28" s="2" t="n">
        <v>100000</v>
      </c>
      <c r="H28" s="5" t="n">
        <v>78792500000</v>
      </c>
      <c r="I28" s="2" t="inlineStr"/>
      <c r="J28" s="4" t="n">
        <v>46230</v>
      </c>
      <c r="K28" s="4" t="n">
        <v>46226</v>
      </c>
      <c r="L28" s="2" t="inlineStr">
        <is>
          <t>AFS-DCM</t>
        </is>
      </c>
      <c r="M28" s="2" t="n">
        <v>4.1079</v>
      </c>
    </row>
    <row r="29">
      <c r="A29" s="2" t="n">
        <v>50237</v>
      </c>
      <c r="B29" s="2" t="inlineStr">
        <is>
          <t>B</t>
        </is>
      </c>
      <c r="C29" s="2" t="inlineStr">
        <is>
          <t>TD2353151</t>
        </is>
      </c>
      <c r="D29" s="2" t="inlineStr">
        <is>
          <t>CK_APG</t>
        </is>
      </c>
      <c r="E29" s="2" t="n">
        <v>4.2</v>
      </c>
      <c r="F29" s="5" t="n">
        <v>800000</v>
      </c>
      <c r="G29" s="2" t="n">
        <v>100000</v>
      </c>
      <c r="H29" s="5" t="n">
        <v>78512800000</v>
      </c>
      <c r="I29" s="2" t="inlineStr"/>
      <c r="J29" s="4" t="n">
        <v>46231</v>
      </c>
      <c r="K29" s="4" t="n">
        <v>46226</v>
      </c>
      <c r="L29" s="2" t="inlineStr">
        <is>
          <t>AFS-DCM</t>
        </is>
      </c>
      <c r="M29" s="2" t="n">
        <v>4.413</v>
      </c>
    </row>
    <row r="30">
      <c r="A30" s="2" t="n">
        <v>50236</v>
      </c>
      <c r="B30" s="2" t="inlineStr">
        <is>
          <t>S</t>
        </is>
      </c>
      <c r="C30" s="2" t="inlineStr">
        <is>
          <t>TD2353151</t>
        </is>
      </c>
      <c r="D30" s="2" t="inlineStr">
        <is>
          <t>CK_APG</t>
        </is>
      </c>
      <c r="E30" s="2" t="n">
        <v>4.2</v>
      </c>
      <c r="F30" s="5" t="n">
        <v>800000</v>
      </c>
      <c r="G30" s="2" t="n">
        <v>100000</v>
      </c>
      <c r="H30" s="5" t="n">
        <v>78540000000</v>
      </c>
      <c r="I30" s="2" t="inlineStr"/>
      <c r="J30" s="4" t="n">
        <v>46230</v>
      </c>
      <c r="K30" s="4" t="n">
        <v>46226</v>
      </c>
      <c r="L30" s="2" t="inlineStr">
        <is>
          <t>AFS-DCM</t>
        </is>
      </c>
      <c r="M30" s="2" t="n">
        <v>4.41</v>
      </c>
    </row>
    <row r="31">
      <c r="A31" s="2" t="n">
        <v>50221</v>
      </c>
      <c r="B31" s="2" t="inlineStr">
        <is>
          <t>B</t>
        </is>
      </c>
      <c r="C31" s="2" t="inlineStr">
        <is>
          <t>TD2535023</t>
        </is>
      </c>
      <c r="D31" s="2" t="inlineStr">
        <is>
          <t>CK_VIETIN</t>
        </is>
      </c>
      <c r="E31" s="2" t="n">
        <v>2.9</v>
      </c>
      <c r="F31" s="5" t="n">
        <v>1500000</v>
      </c>
      <c r="G31" s="2" t="n">
        <v>100000</v>
      </c>
      <c r="H31" s="5" t="n">
        <v>145423500000</v>
      </c>
      <c r="I31" s="2" t="inlineStr"/>
      <c r="J31" s="4" t="n">
        <v>46233</v>
      </c>
      <c r="K31" s="4" t="n">
        <v>46225</v>
      </c>
      <c r="L31" s="2" t="inlineStr">
        <is>
          <t>AFS-DCM</t>
        </is>
      </c>
      <c r="M31" s="2" t="n">
        <v>3.4821</v>
      </c>
    </row>
    <row r="32">
      <c r="A32" s="2" t="n">
        <v>50220</v>
      </c>
      <c r="B32" s="2" t="inlineStr">
        <is>
          <t>S</t>
        </is>
      </c>
      <c r="C32" s="2" t="inlineStr">
        <is>
          <t>TD2535023</t>
        </is>
      </c>
      <c r="D32" s="2" t="inlineStr">
        <is>
          <t>CK_VIETIN</t>
        </is>
      </c>
      <c r="E32" s="2" t="n">
        <v>2.9</v>
      </c>
      <c r="F32" s="5" t="n">
        <v>1500000</v>
      </c>
      <c r="G32" s="2" t="n">
        <v>100000</v>
      </c>
      <c r="H32" s="5" t="n">
        <v>145405500000</v>
      </c>
      <c r="I32" s="2" t="inlineStr"/>
      <c r="J32" s="4" t="n">
        <v>46230</v>
      </c>
      <c r="K32" s="4" t="n">
        <v>46225</v>
      </c>
      <c r="L32" s="2" t="inlineStr">
        <is>
          <t>AFS-DCM</t>
        </is>
      </c>
      <c r="M32" s="2" t="n">
        <v>3.48</v>
      </c>
    </row>
    <row r="33">
      <c r="A33" s="2" t="n">
        <v>50219</v>
      </c>
      <c r="B33" s="2" t="inlineStr">
        <is>
          <t>S</t>
        </is>
      </c>
      <c r="C33" s="2" t="inlineStr">
        <is>
          <t>TD2252132</t>
        </is>
      </c>
      <c r="D33" s="2" t="inlineStr">
        <is>
          <t>QLQ_BAOVIE</t>
        </is>
      </c>
      <c r="E33" s="2" t="n">
        <v>2.9</v>
      </c>
      <c r="F33" s="5" t="n">
        <v>1000000</v>
      </c>
      <c r="G33" s="2" t="n">
        <v>100000</v>
      </c>
      <c r="H33" s="5" t="n">
        <v>74344000000</v>
      </c>
      <c r="I33" s="2" t="inlineStr"/>
      <c r="J33" s="4" t="n">
        <v>46386</v>
      </c>
      <c r="K33" s="4" t="n">
        <v>46224</v>
      </c>
      <c r="L33" s="2" t="inlineStr">
        <is>
          <t>AFS-DCM</t>
        </is>
      </c>
      <c r="M33" s="2" t="n">
        <v>4.8953</v>
      </c>
    </row>
    <row r="34">
      <c r="A34" s="2" t="n">
        <v>50218</v>
      </c>
      <c r="B34" s="2" t="inlineStr">
        <is>
          <t>S</t>
        </is>
      </c>
      <c r="C34" s="2" t="inlineStr">
        <is>
          <t>TD2252132</t>
        </is>
      </c>
      <c r="D34" s="2" t="inlineStr">
        <is>
          <t>QLQ_BAOVIE</t>
        </is>
      </c>
      <c r="E34" s="2" t="n">
        <v>2.9</v>
      </c>
      <c r="F34" s="5" t="n">
        <v>3370000</v>
      </c>
      <c r="G34" s="2" t="n">
        <v>100000</v>
      </c>
      <c r="H34" s="5" t="n">
        <v>250539280000</v>
      </c>
      <c r="I34" s="2" t="inlineStr"/>
      <c r="J34" s="4" t="n">
        <v>46386</v>
      </c>
      <c r="K34" s="4" t="n">
        <v>46224</v>
      </c>
      <c r="L34" s="2" t="inlineStr">
        <is>
          <t>AFS-DCM</t>
        </is>
      </c>
      <c r="M34" s="2" t="n">
        <v>4.8953</v>
      </c>
    </row>
    <row r="35">
      <c r="A35" s="2" t="n">
        <v>50217</v>
      </c>
      <c r="B35" s="2" t="inlineStr">
        <is>
          <t>S</t>
        </is>
      </c>
      <c r="C35" s="2" t="inlineStr">
        <is>
          <t>TD1747409</t>
        </is>
      </c>
      <c r="D35" s="2" t="inlineStr">
        <is>
          <t>QLQ_BAOVIE</t>
        </is>
      </c>
      <c r="E35" s="2" t="n">
        <v>7.9</v>
      </c>
      <c r="F35" s="5" t="n">
        <v>8620000</v>
      </c>
      <c r="G35" s="2" t="n">
        <v>100000</v>
      </c>
      <c r="H35" s="5" t="n">
        <v>1262166260000</v>
      </c>
      <c r="I35" s="2" t="inlineStr">
        <is>
          <t>CHU (x1000)</t>
        </is>
      </c>
      <c r="J35" s="4" t="n">
        <v>46386</v>
      </c>
      <c r="K35" s="4" t="n">
        <v>46224</v>
      </c>
      <c r="L35" s="2" t="inlineStr">
        <is>
          <t>AFS-DCM</t>
        </is>
      </c>
      <c r="M35" s="2" t="n">
        <v>4.83295</v>
      </c>
    </row>
    <row r="36">
      <c r="A36" s="2" t="n">
        <v>50216</v>
      </c>
      <c r="B36" s="2" t="inlineStr">
        <is>
          <t>S</t>
        </is>
      </c>
      <c r="C36" s="2" t="inlineStr">
        <is>
          <t>TD1747409</t>
        </is>
      </c>
      <c r="D36" s="2" t="inlineStr">
        <is>
          <t>QLQ_BAOVIE</t>
        </is>
      </c>
      <c r="E36" s="2" t="n">
        <v>7.9</v>
      </c>
      <c r="F36" s="5" t="n">
        <v>2000000</v>
      </c>
      <c r="G36" s="2" t="n">
        <v>100000</v>
      </c>
      <c r="H36" s="5" t="n">
        <v>292846000000</v>
      </c>
      <c r="I36" s="2" t="inlineStr"/>
      <c r="J36" s="4" t="n">
        <v>46386</v>
      </c>
      <c r="K36" s="4" t="n">
        <v>46224</v>
      </c>
      <c r="L36" s="2" t="inlineStr">
        <is>
          <t>AFS-DCM</t>
        </is>
      </c>
      <c r="M36" s="2" t="n">
        <v>4.83295</v>
      </c>
    </row>
    <row r="37">
      <c r="A37" s="2" t="n">
        <v>50215</v>
      </c>
      <c r="B37" s="2" t="inlineStr">
        <is>
          <t>B</t>
        </is>
      </c>
      <c r="C37" s="2" t="inlineStr">
        <is>
          <t>TD2252132</t>
        </is>
      </c>
      <c r="D37" s="2" t="inlineStr">
        <is>
          <t>QLQ_BAOVIE</t>
        </is>
      </c>
      <c r="E37" s="2" t="n">
        <v>2.9</v>
      </c>
      <c r="F37" s="5" t="n">
        <v>1000000</v>
      </c>
      <c r="G37" s="2" t="n">
        <v>100000</v>
      </c>
      <c r="H37" s="5" t="n">
        <v>73094000000</v>
      </c>
      <c r="I37" s="2" t="inlineStr"/>
      <c r="J37" s="4" t="n">
        <v>46226</v>
      </c>
      <c r="K37" s="4" t="n">
        <v>46224</v>
      </c>
      <c r="L37" s="2" t="inlineStr">
        <is>
          <t>AFS-DCM</t>
        </is>
      </c>
      <c r="M37" s="2" t="n">
        <v>4.87</v>
      </c>
    </row>
    <row r="38">
      <c r="A38" s="2" t="n">
        <v>50214</v>
      </c>
      <c r="B38" s="2" t="inlineStr">
        <is>
          <t>B</t>
        </is>
      </c>
      <c r="C38" s="2" t="inlineStr">
        <is>
          <t>TD2252132</t>
        </is>
      </c>
      <c r="D38" s="2" t="inlineStr">
        <is>
          <t>QLQ_BAOVIE</t>
        </is>
      </c>
      <c r="E38" s="2" t="n">
        <v>2.9</v>
      </c>
      <c r="F38" s="5" t="n">
        <v>3370000</v>
      </c>
      <c r="G38" s="2" t="n">
        <v>100000</v>
      </c>
      <c r="H38" s="5" t="n">
        <v>246326780000</v>
      </c>
      <c r="I38" s="2" t="inlineStr"/>
      <c r="J38" s="4" t="n">
        <v>46226</v>
      </c>
      <c r="K38" s="4" t="n">
        <v>46224</v>
      </c>
      <c r="L38" s="2" t="inlineStr">
        <is>
          <t>AFS-DCM</t>
        </is>
      </c>
      <c r="M38" s="2" t="n">
        <v>4.87</v>
      </c>
    </row>
    <row r="39">
      <c r="A39" s="2" t="n">
        <v>50213</v>
      </c>
      <c r="B39" s="2" t="inlineStr">
        <is>
          <t>B</t>
        </is>
      </c>
      <c r="C39" s="2" t="inlineStr">
        <is>
          <t>TD1747409</t>
        </is>
      </c>
      <c r="D39" s="2" t="inlineStr">
        <is>
          <t>QLQ_BAOVIE</t>
        </is>
      </c>
      <c r="E39" s="2" t="n">
        <v>7.9</v>
      </c>
      <c r="F39" s="5" t="n">
        <v>8620000</v>
      </c>
      <c r="G39" s="2" t="n">
        <v>100000</v>
      </c>
      <c r="H39" s="5" t="n">
        <v>1240952440000</v>
      </c>
      <c r="I39" s="2" t="inlineStr">
        <is>
          <t>CHU (x1000)</t>
        </is>
      </c>
      <c r="J39" s="4" t="n">
        <v>46226</v>
      </c>
      <c r="K39" s="4" t="n">
        <v>46224</v>
      </c>
      <c r="L39" s="2" t="inlineStr">
        <is>
          <t>AFS-DCM</t>
        </is>
      </c>
      <c r="M39" s="2" t="n">
        <v>4.8</v>
      </c>
    </row>
    <row r="40">
      <c r="A40" s="2" t="n">
        <v>50212</v>
      </c>
      <c r="B40" s="2" t="inlineStr">
        <is>
          <t>B</t>
        </is>
      </c>
      <c r="C40" s="2" t="inlineStr">
        <is>
          <t>TD1747409</t>
        </is>
      </c>
      <c r="D40" s="2" t="inlineStr">
        <is>
          <t>QLQ_BAOVIE</t>
        </is>
      </c>
      <c r="E40" s="2" t="n">
        <v>7.9</v>
      </c>
      <c r="F40" s="5" t="n">
        <v>2000000</v>
      </c>
      <c r="G40" s="2" t="n">
        <v>100000</v>
      </c>
      <c r="H40" s="5" t="n">
        <v>287924000000</v>
      </c>
      <c r="I40" s="2" t="inlineStr"/>
      <c r="J40" s="4" t="n">
        <v>46226</v>
      </c>
      <c r="K40" s="4" t="n">
        <v>46224</v>
      </c>
      <c r="L40" s="2" t="inlineStr">
        <is>
          <t>AFS-DCM</t>
        </is>
      </c>
      <c r="M40" s="2" t="n">
        <v>4.8</v>
      </c>
    </row>
    <row r="41">
      <c r="A41" s="2" t="n">
        <v>50211</v>
      </c>
      <c r="B41" s="2" t="inlineStr">
        <is>
          <t>B</t>
        </is>
      </c>
      <c r="C41" s="2" t="inlineStr">
        <is>
          <t>TD2131012</t>
        </is>
      </c>
      <c r="D41" s="2" t="inlineStr">
        <is>
          <t>CK_TCBS</t>
        </is>
      </c>
      <c r="E41" s="2" t="n">
        <v>2.2</v>
      </c>
      <c r="F41" s="5" t="n">
        <v>1000000</v>
      </c>
      <c r="G41" s="2" t="n">
        <v>100000</v>
      </c>
      <c r="H41" s="5" t="n">
        <v>92735000000</v>
      </c>
      <c r="I41" s="2" t="inlineStr"/>
      <c r="J41" s="4" t="n">
        <v>46231</v>
      </c>
      <c r="K41" s="4" t="n">
        <v>46224</v>
      </c>
      <c r="L41" s="2" t="inlineStr">
        <is>
          <t>AFS-DCM</t>
        </is>
      </c>
      <c r="M41" s="2" t="n">
        <v>4.3155</v>
      </c>
    </row>
    <row r="42">
      <c r="A42" s="2" t="n">
        <v>50210</v>
      </c>
      <c r="B42" s="2" t="inlineStr">
        <is>
          <t>S</t>
        </is>
      </c>
      <c r="C42" s="2" t="inlineStr">
        <is>
          <t>TD2131012</t>
        </is>
      </c>
      <c r="D42" s="2" t="inlineStr">
        <is>
          <t>CK_TCBS</t>
        </is>
      </c>
      <c r="E42" s="2" t="n">
        <v>2.2</v>
      </c>
      <c r="F42" s="5" t="n">
        <v>1000000</v>
      </c>
      <c r="G42" s="2" t="n">
        <v>100000</v>
      </c>
      <c r="H42" s="5" t="n">
        <v>93511000000</v>
      </c>
      <c r="I42" s="2" t="inlineStr"/>
      <c r="J42" s="4" t="n">
        <v>46227</v>
      </c>
      <c r="K42" s="4" t="n">
        <v>46224</v>
      </c>
      <c r="L42" s="2" t="inlineStr">
        <is>
          <t>AFS-DCM</t>
        </is>
      </c>
      <c r="M42" s="2" t="n">
        <v>4.1</v>
      </c>
    </row>
    <row r="43">
      <c r="A43" s="2" t="n">
        <v>50209</v>
      </c>
      <c r="B43" s="2" t="inlineStr">
        <is>
          <t>B</t>
        </is>
      </c>
      <c r="C43" s="2" t="inlineStr">
        <is>
          <t>TL1535300</t>
        </is>
      </c>
      <c r="D43" s="2" t="inlineStr">
        <is>
          <t>CK_TCBS</t>
        </is>
      </c>
      <c r="E43" s="2" t="n">
        <v>7.75</v>
      </c>
      <c r="F43" s="5" t="n">
        <v>8480000</v>
      </c>
      <c r="G43" s="2" t="n">
        <v>100000</v>
      </c>
      <c r="H43" s="5" t="n">
        <v>1116256320000</v>
      </c>
      <c r="I43" s="2" t="inlineStr">
        <is>
          <t>CHU (x1000)</t>
        </is>
      </c>
      <c r="J43" s="4" t="n">
        <v>46231</v>
      </c>
      <c r="K43" s="4" t="n">
        <v>46224</v>
      </c>
      <c r="L43" s="2" t="inlineStr">
        <is>
          <t>AFS-DCM</t>
        </is>
      </c>
      <c r="M43" s="2" t="n">
        <v>4.45</v>
      </c>
    </row>
    <row r="44">
      <c r="A44" s="2" t="n">
        <v>50208</v>
      </c>
      <c r="B44" s="2" t="inlineStr">
        <is>
          <t>S</t>
        </is>
      </c>
      <c r="C44" s="2" t="inlineStr">
        <is>
          <t>TL1535300</t>
        </is>
      </c>
      <c r="D44" s="2" t="inlineStr">
        <is>
          <t>CK_TCBS</t>
        </is>
      </c>
      <c r="E44" s="2" t="n">
        <v>7.75</v>
      </c>
      <c r="F44" s="5" t="n">
        <v>8480000</v>
      </c>
      <c r="G44" s="2" t="n">
        <v>100000</v>
      </c>
      <c r="H44" s="5" t="n">
        <v>1115722080000</v>
      </c>
      <c r="I44" s="2" t="inlineStr">
        <is>
          <t>CHU (x1000)</t>
        </is>
      </c>
      <c r="J44" s="4" t="n">
        <v>46227</v>
      </c>
      <c r="K44" s="4" t="n">
        <v>46224</v>
      </c>
      <c r="L44" s="2" t="inlineStr">
        <is>
          <t>AFS-DCM</t>
        </is>
      </c>
      <c r="M44" s="2" t="n">
        <v>4.45</v>
      </c>
    </row>
    <row r="45">
      <c r="A45" s="2" t="n">
        <v>50203</v>
      </c>
      <c r="B45" s="2" t="inlineStr">
        <is>
          <t>S</t>
        </is>
      </c>
      <c r="C45" s="2" t="inlineStr">
        <is>
          <t>TL1545363</t>
        </is>
      </c>
      <c r="D45" s="2" t="inlineStr">
        <is>
          <t>QLQ_BAOVIE</t>
        </is>
      </c>
      <c r="E45" s="2" t="n">
        <v>8</v>
      </c>
      <c r="F45" s="5" t="n">
        <v>8200000</v>
      </c>
      <c r="G45" s="2" t="n">
        <v>100000</v>
      </c>
      <c r="H45" s="5" t="n">
        <v>1202571000000</v>
      </c>
      <c r="I45" s="2" t="inlineStr">
        <is>
          <t>CHU (x1000)</t>
        </is>
      </c>
      <c r="J45" s="4" t="n">
        <v>46378</v>
      </c>
      <c r="K45" s="4" t="n">
        <v>46223</v>
      </c>
      <c r="L45" s="2" t="inlineStr">
        <is>
          <t>AFS-DCM</t>
        </is>
      </c>
      <c r="M45" s="2" t="n">
        <v>4.8326</v>
      </c>
    </row>
    <row r="46">
      <c r="A46" s="2" t="n">
        <v>50301</v>
      </c>
      <c r="B46" s="2" t="inlineStr">
        <is>
          <t>S</t>
        </is>
      </c>
      <c r="C46" s="2" t="inlineStr">
        <is>
          <t>TD1646468</t>
        </is>
      </c>
      <c r="D46" s="2" t="inlineStr">
        <is>
          <t>CK_THIENVI</t>
        </is>
      </c>
      <c r="E46" s="2" t="n">
        <v>8</v>
      </c>
      <c r="F46" s="5" t="n">
        <v>335000</v>
      </c>
      <c r="G46" s="2" t="n">
        <v>100000</v>
      </c>
      <c r="H46" s="5" t="n">
        <v>50269765000</v>
      </c>
      <c r="I46" s="2" t="inlineStr"/>
      <c r="J46" s="4" t="n">
        <v>46244</v>
      </c>
      <c r="K46" s="4" t="n">
        <v>46239</v>
      </c>
      <c r="L46" s="2" t="inlineStr">
        <is>
          <t>AFS-DCM</t>
        </is>
      </c>
      <c r="M46" s="2" t="n">
        <v>4.4349</v>
      </c>
    </row>
    <row r="47">
      <c r="A47" s="2" t="n">
        <v>50302</v>
      </c>
      <c r="B47" s="2" t="inlineStr">
        <is>
          <t>B</t>
        </is>
      </c>
      <c r="C47" s="2" t="inlineStr">
        <is>
          <t>TD1646468</t>
        </is>
      </c>
      <c r="D47" s="2" t="inlineStr">
        <is>
          <t>CK_THIENVI</t>
        </is>
      </c>
      <c r="E47" s="2" t="n">
        <v>8</v>
      </c>
      <c r="F47" s="5" t="n">
        <v>335000</v>
      </c>
      <c r="G47" s="2" t="n">
        <v>100000</v>
      </c>
      <c r="H47" s="5" t="n">
        <v>50260050000</v>
      </c>
      <c r="I47" s="2" t="inlineStr"/>
      <c r="J47" s="4" t="n">
        <v>46245</v>
      </c>
      <c r="K47" s="4" t="n">
        <v>46239</v>
      </c>
      <c r="L47" s="2" t="inlineStr">
        <is>
          <t>AFS-DCM</t>
        </is>
      </c>
      <c r="M47" s="2" t="n">
        <v>4.4377</v>
      </c>
    </row>
    <row r="48">
      <c r="A48" s="2" t="n">
        <v>50303</v>
      </c>
      <c r="B48" s="2" t="inlineStr">
        <is>
          <t>S</t>
        </is>
      </c>
      <c r="C48" s="2" t="inlineStr">
        <is>
          <t>TD2434022</t>
        </is>
      </c>
      <c r="D48" s="2" t="inlineStr">
        <is>
          <t>CK_AGRIBAN</t>
        </is>
      </c>
      <c r="E48" s="2" t="n">
        <v>2.7</v>
      </c>
      <c r="F48" s="5" t="n">
        <v>1000000</v>
      </c>
      <c r="G48" s="2" t="n">
        <v>100000</v>
      </c>
      <c r="H48" s="5" t="n">
        <v>98924000000</v>
      </c>
      <c r="I48" s="2" t="inlineStr"/>
      <c r="J48" s="4" t="n">
        <v>46245</v>
      </c>
      <c r="K48" s="4" t="n">
        <v>46239</v>
      </c>
      <c r="L48" s="2" t="inlineStr">
        <is>
          <t>AFS-DCM</t>
        </is>
      </c>
      <c r="M48" s="2" t="n">
        <v>2.91</v>
      </c>
    </row>
    <row r="49">
      <c r="A49" s="2" t="n">
        <v>50304</v>
      </c>
      <c r="B49" s="2" t="inlineStr">
        <is>
          <t>B</t>
        </is>
      </c>
      <c r="C49" s="2" t="inlineStr">
        <is>
          <t>TD2434022</t>
        </is>
      </c>
      <c r="D49" s="2" t="inlineStr">
        <is>
          <t>CK_AGRIBAN</t>
        </is>
      </c>
      <c r="E49" s="2" t="n">
        <v>2.7</v>
      </c>
      <c r="F49" s="5" t="n">
        <v>1000000</v>
      </c>
      <c r="G49" s="2" t="n">
        <v>100000</v>
      </c>
      <c r="H49" s="5" t="n">
        <v>98927000000</v>
      </c>
      <c r="I49" s="2" t="inlineStr"/>
      <c r="J49" s="4" t="n">
        <v>46259</v>
      </c>
      <c r="K49" s="4" t="n">
        <v>46239</v>
      </c>
      <c r="L49" s="2" t="inlineStr">
        <is>
          <t>AFS-DCM</t>
        </is>
      </c>
      <c r="M49" s="2" t="n">
        <v>2.9254</v>
      </c>
    </row>
    <row r="50">
      <c r="A50" s="2" t="n">
        <v>50305</v>
      </c>
      <c r="B50" s="2" t="inlineStr">
        <is>
          <t>S</t>
        </is>
      </c>
      <c r="C50" s="2" t="inlineStr">
        <is>
          <t>TD1631461</t>
        </is>
      </c>
      <c r="D50" s="2" t="inlineStr">
        <is>
          <t>CK_AGRIBAN</t>
        </is>
      </c>
      <c r="E50" s="2" t="n">
        <v>7.6</v>
      </c>
      <c r="F50" s="5" t="n">
        <v>850000</v>
      </c>
      <c r="G50" s="2" t="n">
        <v>100000</v>
      </c>
      <c r="H50" s="5" t="n">
        <v>101669350000</v>
      </c>
      <c r="I50" s="2" t="inlineStr"/>
      <c r="J50" s="4" t="n">
        <v>46244</v>
      </c>
      <c r="K50" s="4" t="n">
        <v>46239</v>
      </c>
      <c r="L50" s="2" t="inlineStr">
        <is>
          <t>AFS-DCM</t>
        </is>
      </c>
      <c r="M50" s="2" t="n">
        <v>3.8001</v>
      </c>
    </row>
    <row r="51">
      <c r="A51" s="2" t="n">
        <v>50306</v>
      </c>
      <c r="B51" s="2" t="inlineStr">
        <is>
          <t>S</t>
        </is>
      </c>
      <c r="C51" s="2" t="inlineStr">
        <is>
          <t>TD1631461</t>
        </is>
      </c>
      <c r="D51" s="2" t="inlineStr">
        <is>
          <t>CK_AGRIBAN</t>
        </is>
      </c>
      <c r="E51" s="2" t="n">
        <v>7.6</v>
      </c>
      <c r="F51" s="5" t="n">
        <v>450000</v>
      </c>
      <c r="G51" s="2" t="n">
        <v>100000</v>
      </c>
      <c r="H51" s="5" t="n">
        <v>53824950000</v>
      </c>
      <c r="I51" s="2" t="inlineStr"/>
      <c r="J51" s="4" t="n">
        <v>46244</v>
      </c>
      <c r="K51" s="4" t="n">
        <v>46239</v>
      </c>
      <c r="L51" s="2" t="inlineStr">
        <is>
          <t>AFS-DCM</t>
        </is>
      </c>
      <c r="M51" s="2" t="n">
        <v>3.8001</v>
      </c>
    </row>
    <row r="52">
      <c r="A52" s="2" t="n">
        <v>50307</v>
      </c>
      <c r="B52" s="2" t="inlineStr">
        <is>
          <t>B</t>
        </is>
      </c>
      <c r="C52" s="2" t="inlineStr">
        <is>
          <t>TD1631461</t>
        </is>
      </c>
      <c r="D52" s="2" t="inlineStr">
        <is>
          <t>CK_AGRIBAN</t>
        </is>
      </c>
      <c r="E52" s="2" t="n">
        <v>7.6</v>
      </c>
      <c r="F52" s="5" t="n">
        <v>850000</v>
      </c>
      <c r="G52" s="2" t="n">
        <v>100000</v>
      </c>
      <c r="H52" s="5" t="n">
        <v>101671900000</v>
      </c>
      <c r="I52" s="2" t="inlineStr"/>
      <c r="J52" s="4" t="n">
        <v>46245</v>
      </c>
      <c r="K52" s="4" t="n">
        <v>46239</v>
      </c>
      <c r="L52" s="2" t="inlineStr">
        <is>
          <t>AFS-DCM</t>
        </is>
      </c>
      <c r="M52" s="2" t="n">
        <v>3.8022</v>
      </c>
    </row>
    <row r="53">
      <c r="A53" s="2" t="n">
        <v>50308</v>
      </c>
      <c r="B53" s="2" t="inlineStr">
        <is>
          <t>S</t>
        </is>
      </c>
      <c r="C53" s="2" t="inlineStr">
        <is>
          <t>TD2535023</t>
        </is>
      </c>
      <c r="D53" s="2" t="inlineStr">
        <is>
          <t>CK_BIDV</t>
        </is>
      </c>
      <c r="E53" s="2" t="n">
        <v>2.9</v>
      </c>
      <c r="F53" s="5" t="n">
        <v>1600000</v>
      </c>
      <c r="G53" s="2" t="n">
        <v>100000</v>
      </c>
      <c r="H53" s="5" t="n">
        <v>152331200000</v>
      </c>
      <c r="I53" s="2" t="inlineStr"/>
      <c r="J53" s="4" t="n">
        <v>46248</v>
      </c>
      <c r="K53" s="4" t="n">
        <v>46239</v>
      </c>
      <c r="L53" s="2" t="inlineStr">
        <is>
          <t>AFS-DCM</t>
        </is>
      </c>
      <c r="M53" s="2" t="n">
        <v>3.75</v>
      </c>
    </row>
    <row r="54">
      <c r="A54" s="2" t="n">
        <v>50309</v>
      </c>
      <c r="B54" s="2" t="inlineStr">
        <is>
          <t>B</t>
        </is>
      </c>
      <c r="C54" s="2" t="inlineStr">
        <is>
          <t>TD2535023</t>
        </is>
      </c>
      <c r="D54" s="2" t="inlineStr">
        <is>
          <t>CK_BIDV</t>
        </is>
      </c>
      <c r="E54" s="2" t="n">
        <v>2.9</v>
      </c>
      <c r="F54" s="5" t="n">
        <v>1600000</v>
      </c>
      <c r="G54" s="2" t="n">
        <v>100000</v>
      </c>
      <c r="H54" s="5" t="n">
        <v>152481600000</v>
      </c>
      <c r="I54" s="2" t="inlineStr"/>
      <c r="J54" s="4" t="n">
        <v>46260</v>
      </c>
      <c r="K54" s="4" t="n">
        <v>46239</v>
      </c>
      <c r="L54" s="2" t="inlineStr">
        <is>
          <t>AFS-DCM</t>
        </is>
      </c>
      <c r="M54" s="2" t="n">
        <v>3.7531</v>
      </c>
    </row>
    <row r="55">
      <c r="A55" s="2" t="n">
        <v>50202</v>
      </c>
      <c r="B55" s="2" t="inlineStr">
        <is>
          <t>S</t>
        </is>
      </c>
      <c r="C55" s="2" t="inlineStr">
        <is>
          <t>TL1545363</t>
        </is>
      </c>
      <c r="D55" s="2" t="inlineStr">
        <is>
          <t>QLQ_BAOVIE</t>
        </is>
      </c>
      <c r="E55" s="2" t="n">
        <v>8</v>
      </c>
      <c r="F55" s="5" t="n">
        <v>8000000</v>
      </c>
      <c r="G55" s="2" t="n">
        <v>100000</v>
      </c>
      <c r="H55" s="5" t="n">
        <v>1173240000000</v>
      </c>
      <c r="I55" s="2" t="inlineStr">
        <is>
          <t>CHU (x1000)</t>
        </is>
      </c>
      <c r="J55" s="4" t="n">
        <v>46378</v>
      </c>
      <c r="K55" s="4" t="n">
        <v>46223</v>
      </c>
      <c r="L55" s="2" t="inlineStr">
        <is>
          <t>AFS-DCM</t>
        </is>
      </c>
      <c r="M55" s="2" t="n">
        <v>4.8326</v>
      </c>
    </row>
    <row r="56">
      <c r="A56" s="2" t="n">
        <v>50201</v>
      </c>
      <c r="B56" s="2" t="inlineStr">
        <is>
          <t>B</t>
        </is>
      </c>
      <c r="C56" s="2" t="inlineStr">
        <is>
          <t>TL1545363</t>
        </is>
      </c>
      <c r="D56" s="2" t="inlineStr">
        <is>
          <t>QLQ_BAOVIE</t>
        </is>
      </c>
      <c r="E56" s="2" t="n">
        <v>8</v>
      </c>
      <c r="F56" s="5" t="n">
        <v>8200000</v>
      </c>
      <c r="G56" s="2" t="n">
        <v>100000</v>
      </c>
      <c r="H56" s="5" t="n">
        <v>1183227200000</v>
      </c>
      <c r="I56" s="2" t="inlineStr">
        <is>
          <t>CHU (x1000)</t>
        </is>
      </c>
      <c r="J56" s="4" t="n">
        <v>46225</v>
      </c>
      <c r="K56" s="4" t="n">
        <v>46223</v>
      </c>
      <c r="L56" s="2" t="inlineStr">
        <is>
          <t>AFS-DCM</t>
        </is>
      </c>
      <c r="M56" s="2" t="n">
        <v>4.8</v>
      </c>
    </row>
    <row r="57">
      <c r="A57" s="2" t="n">
        <v>50200</v>
      </c>
      <c r="B57" s="2" t="inlineStr">
        <is>
          <t>B</t>
        </is>
      </c>
      <c r="C57" s="2" t="inlineStr">
        <is>
          <t>TL1545363</t>
        </is>
      </c>
      <c r="D57" s="2" t="inlineStr">
        <is>
          <t>QLQ_BAOVIE</t>
        </is>
      </c>
      <c r="E57" s="2" t="n">
        <v>8</v>
      </c>
      <c r="F57" s="5" t="n">
        <v>8000000</v>
      </c>
      <c r="G57" s="2" t="n">
        <v>100000</v>
      </c>
      <c r="H57" s="5" t="n">
        <v>1154368000000</v>
      </c>
      <c r="I57" s="2" t="inlineStr">
        <is>
          <t>CHU (x1000)</t>
        </is>
      </c>
      <c r="J57" s="4" t="n">
        <v>46225</v>
      </c>
      <c r="K57" s="4" t="n">
        <v>46223</v>
      </c>
      <c r="L57" s="2" t="inlineStr">
        <is>
          <t>AFS-DCM</t>
        </is>
      </c>
      <c r="M57" s="2" t="n">
        <v>4.8</v>
      </c>
    </row>
    <row r="58">
      <c r="A58" s="2" t="n">
        <v>50199</v>
      </c>
      <c r="B58" s="2" t="inlineStr">
        <is>
          <t>B</t>
        </is>
      </c>
      <c r="C58" s="2" t="inlineStr">
        <is>
          <t>TD2252132</t>
        </is>
      </c>
      <c r="D58" s="2" t="inlineStr">
        <is>
          <t>CK_VFS</t>
        </is>
      </c>
      <c r="E58" s="2" t="n">
        <v>2.9</v>
      </c>
      <c r="F58" s="5" t="n">
        <v>620000</v>
      </c>
      <c r="G58" s="2" t="n">
        <v>100000</v>
      </c>
      <c r="H58" s="5" t="n">
        <v>48043800000</v>
      </c>
      <c r="I58" s="2" t="inlineStr"/>
      <c r="J58" s="4" t="n">
        <v>46225</v>
      </c>
      <c r="K58" s="4" t="n">
        <v>46220</v>
      </c>
      <c r="L58" s="2" t="inlineStr">
        <is>
          <t>AFS-DCM</t>
        </is>
      </c>
      <c r="M58" s="2" t="n">
        <v>4.5025</v>
      </c>
    </row>
    <row r="59">
      <c r="A59" s="2" t="n">
        <v>50198</v>
      </c>
      <c r="B59" s="2" t="inlineStr">
        <is>
          <t>S</t>
        </is>
      </c>
      <c r="C59" s="2" t="inlineStr">
        <is>
          <t>TD2252132</t>
        </is>
      </c>
      <c r="D59" s="2" t="inlineStr">
        <is>
          <t>CK_VFS</t>
        </is>
      </c>
      <c r="E59" s="2" t="n">
        <v>2.9</v>
      </c>
      <c r="F59" s="5" t="n">
        <v>620000</v>
      </c>
      <c r="G59" s="2" t="n">
        <v>100000</v>
      </c>
      <c r="H59" s="5" t="n">
        <v>48053720000</v>
      </c>
      <c r="I59" s="2" t="inlineStr"/>
      <c r="J59" s="4" t="n">
        <v>46224</v>
      </c>
      <c r="K59" s="4" t="n">
        <v>46220</v>
      </c>
      <c r="L59" s="2" t="inlineStr">
        <is>
          <t>AFS-DCM</t>
        </is>
      </c>
      <c r="M59" s="2" t="n">
        <v>4.5005</v>
      </c>
    </row>
    <row r="60">
      <c r="A60" s="2" t="n">
        <v>50194</v>
      </c>
      <c r="B60" s="2" t="inlineStr">
        <is>
          <t>B</t>
        </is>
      </c>
      <c r="C60" s="2" t="inlineStr">
        <is>
          <t>TD2434021</t>
        </is>
      </c>
      <c r="D60" s="2" t="inlineStr">
        <is>
          <t>CK_SSI</t>
        </is>
      </c>
      <c r="E60" s="2" t="n">
        <v>2.4</v>
      </c>
      <c r="F60" s="5" t="n">
        <v>1000000</v>
      </c>
      <c r="G60" s="2" t="n">
        <v>100000</v>
      </c>
      <c r="H60" s="5" t="n">
        <v>95030000000</v>
      </c>
      <c r="I60" s="2" t="inlineStr"/>
      <c r="J60" s="4" t="n">
        <v>46232</v>
      </c>
      <c r="K60" s="4" t="n">
        <v>46217</v>
      </c>
      <c r="L60" s="2" t="inlineStr">
        <is>
          <t>AFS-DCM</t>
        </is>
      </c>
      <c r="M60" s="2" t="n">
        <v>3.2452</v>
      </c>
    </row>
    <row r="61">
      <c r="A61" s="2" t="n">
        <v>50193</v>
      </c>
      <c r="B61" s="2" t="inlineStr">
        <is>
          <t>S</t>
        </is>
      </c>
      <c r="C61" s="2" t="inlineStr">
        <is>
          <t>TD2434021</t>
        </is>
      </c>
      <c r="D61" s="2" t="inlineStr">
        <is>
          <t>CK_SSI</t>
        </is>
      </c>
      <c r="E61" s="2" t="n">
        <v>2.4</v>
      </c>
      <c r="F61" s="5" t="n">
        <v>1000000</v>
      </c>
      <c r="G61" s="2" t="n">
        <v>100000</v>
      </c>
      <c r="H61" s="5" t="n">
        <v>94825000000</v>
      </c>
      <c r="I61" s="2" t="inlineStr"/>
      <c r="J61" s="4" t="n">
        <v>46219</v>
      </c>
      <c r="K61" s="4" t="n">
        <v>46217</v>
      </c>
      <c r="L61" s="2" t="inlineStr">
        <is>
          <t>AFS-DCM</t>
        </is>
      </c>
      <c r="M61" s="2" t="n">
        <v>3.2601</v>
      </c>
    </row>
    <row r="62">
      <c r="A62" s="2" t="n">
        <v>50192</v>
      </c>
      <c r="B62" s="2" t="inlineStr">
        <is>
          <t>B</t>
        </is>
      </c>
      <c r="C62" s="2" t="inlineStr">
        <is>
          <t>TD2333121</t>
        </is>
      </c>
      <c r="D62" s="2" t="inlineStr">
        <is>
          <t>CK_SSI</t>
        </is>
      </c>
      <c r="E62" s="2" t="n">
        <v>2.3</v>
      </c>
      <c r="F62" s="5" t="n">
        <v>3000000</v>
      </c>
      <c r="G62" s="2" t="n">
        <v>100000</v>
      </c>
      <c r="H62" s="5" t="n">
        <v>291777000000</v>
      </c>
      <c r="I62" s="2" t="inlineStr"/>
      <c r="J62" s="4" t="n">
        <v>46232</v>
      </c>
      <c r="K62" s="4" t="n">
        <v>46217</v>
      </c>
      <c r="L62" s="2" t="inlineStr">
        <is>
          <t>AFS-DCM</t>
        </is>
      </c>
      <c r="M62" s="2" t="n">
        <v>3.05</v>
      </c>
    </row>
    <row r="63">
      <c r="A63" s="2" t="n">
        <v>50191</v>
      </c>
      <c r="B63" s="2" t="inlineStr">
        <is>
          <t>S</t>
        </is>
      </c>
      <c r="C63" s="2" t="inlineStr">
        <is>
          <t>TD2333121</t>
        </is>
      </c>
      <c r="D63" s="2" t="inlineStr">
        <is>
          <t>CK_SSI</t>
        </is>
      </c>
      <c r="E63" s="2" t="n">
        <v>2.3</v>
      </c>
      <c r="F63" s="5" t="n">
        <v>3000000</v>
      </c>
      <c r="G63" s="2" t="n">
        <v>100000</v>
      </c>
      <c r="H63" s="5" t="n">
        <v>291465000000</v>
      </c>
      <c r="I63" s="2" t="inlineStr"/>
      <c r="J63" s="4" t="n">
        <v>46219</v>
      </c>
      <c r="K63" s="4" t="n">
        <v>46217</v>
      </c>
      <c r="L63" s="2" t="inlineStr">
        <is>
          <t>AFS-DCM</t>
        </is>
      </c>
      <c r="M63" s="2" t="n">
        <v>3.05</v>
      </c>
    </row>
    <row r="64">
      <c r="A64" s="2" t="n">
        <v>50321</v>
      </c>
      <c r="B64" s="2" t="inlineStr">
        <is>
          <t>B</t>
        </is>
      </c>
      <c r="C64" s="2" t="inlineStr">
        <is>
          <t>TD1631461</t>
        </is>
      </c>
      <c r="D64" s="2" t="inlineStr">
        <is>
          <t>CK_AGRIBAN</t>
        </is>
      </c>
      <c r="E64" s="2" t="n">
        <v>7.6</v>
      </c>
      <c r="F64" s="5" t="n">
        <v>450000</v>
      </c>
      <c r="G64" s="2" t="n">
        <v>100000</v>
      </c>
      <c r="H64" s="5" t="n">
        <v>53826300000</v>
      </c>
      <c r="I64" s="2" t="inlineStr"/>
      <c r="J64" s="4" t="n">
        <v>46245</v>
      </c>
      <c r="K64" s="4" t="n">
        <v>46240</v>
      </c>
      <c r="L64" s="2" t="inlineStr">
        <is>
          <t>AFS-DCM</t>
        </is>
      </c>
      <c r="M64" s="2" t="n">
        <v>3.8022</v>
      </c>
    </row>
    <row r="65">
      <c r="A65" s="2" t="n">
        <v>50322</v>
      </c>
      <c r="B65" s="2" t="inlineStr">
        <is>
          <t>S</t>
        </is>
      </c>
      <c r="C65" s="2" t="inlineStr">
        <is>
          <t>TD2434024</t>
        </is>
      </c>
      <c r="D65" s="2" t="inlineStr">
        <is>
          <t>CK_VIETIN</t>
        </is>
      </c>
      <c r="E65" s="2" t="n">
        <v>2.7</v>
      </c>
      <c r="F65" s="5" t="n">
        <v>2000000</v>
      </c>
      <c r="G65" s="2" t="n">
        <v>100000</v>
      </c>
      <c r="H65" s="5" t="n">
        <v>195732000000</v>
      </c>
      <c r="I65" s="2" t="inlineStr"/>
      <c r="J65" s="4" t="n">
        <v>46252</v>
      </c>
      <c r="K65" s="4" t="n">
        <v>46240</v>
      </c>
      <c r="L65" s="2" t="inlineStr">
        <is>
          <t>AFS-DCM</t>
        </is>
      </c>
      <c r="M65" s="2" t="n">
        <v>3.04</v>
      </c>
    </row>
    <row r="66">
      <c r="A66" s="2" t="n">
        <v>50323</v>
      </c>
      <c r="B66" s="2" t="inlineStr">
        <is>
          <t>B</t>
        </is>
      </c>
      <c r="C66" s="2" t="inlineStr">
        <is>
          <t>TD2434024</t>
        </is>
      </c>
      <c r="D66" s="2" t="inlineStr">
        <is>
          <t>CK_VIETIN</t>
        </is>
      </c>
      <c r="E66" s="2" t="n">
        <v>2.7</v>
      </c>
      <c r="F66" s="5" t="n">
        <v>2000000</v>
      </c>
      <c r="G66" s="2" t="n">
        <v>100000</v>
      </c>
      <c r="H66" s="5" t="n">
        <v>195770000000</v>
      </c>
      <c r="I66" s="2" t="inlineStr"/>
      <c r="J66" s="4" t="n">
        <v>46255</v>
      </c>
      <c r="K66" s="4" t="n">
        <v>46240</v>
      </c>
      <c r="L66" s="2" t="inlineStr">
        <is>
          <t>AFS-DCM</t>
        </is>
      </c>
      <c r="M66" s="2" t="n">
        <v>3.0407</v>
      </c>
    </row>
    <row r="67">
      <c r="A67" s="2" t="n">
        <v>50324</v>
      </c>
      <c r="B67" s="2" t="inlineStr">
        <is>
          <t>S</t>
        </is>
      </c>
      <c r="C67" s="2" t="inlineStr">
        <is>
          <t>TD2434026</t>
        </is>
      </c>
      <c r="D67" s="2" t="inlineStr">
        <is>
          <t>CK_VIETIN</t>
        </is>
      </c>
      <c r="E67" s="2" t="n">
        <v>2.6</v>
      </c>
      <c r="F67" s="5" t="n">
        <v>1340000</v>
      </c>
      <c r="G67" s="2" t="n">
        <v>100000</v>
      </c>
      <c r="H67" s="5" t="n">
        <v>132832860000</v>
      </c>
      <c r="I67" s="2" t="inlineStr"/>
      <c r="J67" s="4" t="n">
        <v>46252</v>
      </c>
      <c r="K67" s="4" t="n">
        <v>46240</v>
      </c>
      <c r="L67" s="2" t="inlineStr">
        <is>
          <t>AFS-DCM</t>
        </is>
      </c>
      <c r="M67" s="2" t="n">
        <v>3.05</v>
      </c>
    </row>
    <row r="68">
      <c r="A68" s="2" t="n">
        <v>50325</v>
      </c>
      <c r="B68" s="2" t="inlineStr">
        <is>
          <t>B</t>
        </is>
      </c>
      <c r="C68" s="2" t="inlineStr">
        <is>
          <t>TD2434026</t>
        </is>
      </c>
      <c r="D68" s="2" t="inlineStr">
        <is>
          <t>CK_VIETIN</t>
        </is>
      </c>
      <c r="E68" s="2" t="n">
        <v>2.6</v>
      </c>
      <c r="F68" s="5" t="n">
        <v>1340000</v>
      </c>
      <c r="G68" s="2" t="n">
        <v>100000</v>
      </c>
      <c r="H68" s="5" t="n">
        <v>132848940000</v>
      </c>
      <c r="I68" s="2" t="inlineStr"/>
      <c r="J68" s="4" t="n">
        <v>46255</v>
      </c>
      <c r="K68" s="4" t="n">
        <v>46240</v>
      </c>
      <c r="L68" s="2" t="inlineStr">
        <is>
          <t>AFS-DCM</t>
        </is>
      </c>
      <c r="M68" s="2" t="n">
        <v>3.0518</v>
      </c>
    </row>
    <row r="69">
      <c r="A69" s="2" t="n">
        <v>50190</v>
      </c>
      <c r="B69" s="2" t="inlineStr">
        <is>
          <t>B</t>
        </is>
      </c>
      <c r="C69" s="2" t="inlineStr">
        <is>
          <t>TD2232114</t>
        </is>
      </c>
      <c r="D69" s="2" t="inlineStr">
        <is>
          <t>CK_SSI</t>
        </is>
      </c>
      <c r="E69" s="2" t="n">
        <v>4.8</v>
      </c>
      <c r="F69" s="5" t="n">
        <v>2000000</v>
      </c>
      <c r="G69" s="2" t="n">
        <v>100000</v>
      </c>
      <c r="H69" s="5" t="n">
        <v>228622000000</v>
      </c>
      <c r="I69" s="2" t="inlineStr"/>
      <c r="J69" s="4" t="n">
        <v>46232</v>
      </c>
      <c r="K69" s="4" t="n">
        <v>46217</v>
      </c>
      <c r="L69" s="2" t="inlineStr">
        <is>
          <t>AFS-DCM</t>
        </is>
      </c>
      <c r="M69" s="2" t="n">
        <v>2.8399</v>
      </c>
    </row>
    <row r="70">
      <c r="A70" s="2" t="n">
        <v>50189</v>
      </c>
      <c r="B70" s="2" t="inlineStr">
        <is>
          <t>S</t>
        </is>
      </c>
      <c r="C70" s="2" t="inlineStr">
        <is>
          <t>TD2232114</t>
        </is>
      </c>
      <c r="D70" s="2" t="inlineStr">
        <is>
          <t>CK_SSI</t>
        </is>
      </c>
      <c r="E70" s="2" t="n">
        <v>4.8</v>
      </c>
      <c r="F70" s="5" t="n">
        <v>2000000</v>
      </c>
      <c r="G70" s="2" t="n">
        <v>100000</v>
      </c>
      <c r="H70" s="5" t="n">
        <v>228394000000</v>
      </c>
      <c r="I70" s="2" t="inlineStr"/>
      <c r="J70" s="4" t="n">
        <v>46219</v>
      </c>
      <c r="K70" s="4" t="n">
        <v>46217</v>
      </c>
      <c r="L70" s="2" t="inlineStr">
        <is>
          <t>AFS-DCM</t>
        </is>
      </c>
      <c r="M70" s="2" t="n">
        <v>2.8399</v>
      </c>
    </row>
    <row r="71">
      <c r="A71" s="2" t="n">
        <v>50328</v>
      </c>
      <c r="B71" s="2" t="inlineStr">
        <is>
          <t>S</t>
        </is>
      </c>
      <c r="C71" s="2" t="inlineStr">
        <is>
          <t>TD1949206</t>
        </is>
      </c>
      <c r="D71" s="2" t="inlineStr">
        <is>
          <t>CK_LPBS</t>
        </is>
      </c>
      <c r="E71" s="2" t="n">
        <v>5.2</v>
      </c>
      <c r="F71" s="5" t="n">
        <v>1750000</v>
      </c>
      <c r="G71" s="2" t="n">
        <v>100000</v>
      </c>
      <c r="H71" s="5" t="n">
        <v>200340000000</v>
      </c>
      <c r="I71" s="2" t="inlineStr"/>
      <c r="J71" s="4" t="n">
        <v>46246</v>
      </c>
      <c r="K71" s="4" t="n">
        <v>46244</v>
      </c>
      <c r="L71" s="2" t="inlineStr">
        <is>
          <t>AFS-DCM</t>
        </is>
      </c>
      <c r="M71" s="2" t="n">
        <v>4.5</v>
      </c>
    </row>
    <row r="72">
      <c r="A72" s="2" t="n">
        <v>50329</v>
      </c>
      <c r="B72" s="2" t="inlineStr">
        <is>
          <t>B</t>
        </is>
      </c>
      <c r="C72" s="2" t="inlineStr">
        <is>
          <t>TD1949206</t>
        </is>
      </c>
      <c r="D72" s="2" t="inlineStr">
        <is>
          <t>CK_LPBS</t>
        </is>
      </c>
      <c r="E72" s="2" t="n">
        <v>5.2</v>
      </c>
      <c r="F72" s="5" t="n">
        <v>1750000</v>
      </c>
      <c r="G72" s="2" t="n">
        <v>100000</v>
      </c>
      <c r="H72" s="5" t="n">
        <v>200301500000</v>
      </c>
      <c r="I72" s="2" t="inlineStr"/>
      <c r="J72" s="4" t="n">
        <v>46247</v>
      </c>
      <c r="K72" s="4" t="n">
        <v>46244</v>
      </c>
      <c r="L72" s="2" t="inlineStr">
        <is>
          <t>AFS-DCM</t>
        </is>
      </c>
      <c r="M72" s="2" t="n">
        <v>4.5024</v>
      </c>
    </row>
    <row r="73">
      <c r="A73" s="2" t="n">
        <v>50330</v>
      </c>
      <c r="B73" s="2" t="inlineStr">
        <is>
          <t>B</t>
        </is>
      </c>
      <c r="C73" s="2" t="inlineStr">
        <is>
          <t>TL1535300</t>
        </is>
      </c>
      <c r="D73" s="2" t="inlineStr">
        <is>
          <t>QLQ_BAOVIE</t>
        </is>
      </c>
      <c r="E73" s="2" t="n">
        <v>7.75</v>
      </c>
      <c r="F73" s="5" t="n">
        <v>2000000</v>
      </c>
      <c r="G73" s="2" t="n">
        <v>100000</v>
      </c>
      <c r="H73" s="5" t="n">
        <v>246928000000</v>
      </c>
      <c r="I73" s="2" t="inlineStr"/>
      <c r="J73" s="4" t="n">
        <v>46247</v>
      </c>
      <c r="K73" s="4" t="n">
        <v>46245</v>
      </c>
      <c r="L73" s="2" t="inlineStr">
        <is>
          <t>AFS-DCM</t>
        </is>
      </c>
      <c r="M73" s="2" t="n">
        <v>4.53</v>
      </c>
    </row>
    <row r="74">
      <c r="A74" s="2" t="n">
        <v>50331</v>
      </c>
      <c r="B74" s="2" t="inlineStr">
        <is>
          <t>B</t>
        </is>
      </c>
      <c r="C74" s="2" t="inlineStr">
        <is>
          <t>TL1535300</t>
        </is>
      </c>
      <c r="D74" s="2" t="inlineStr">
        <is>
          <t>QLQ_BAOVIE</t>
        </is>
      </c>
      <c r="E74" s="2" t="n">
        <v>7.75</v>
      </c>
      <c r="F74" s="5" t="n">
        <v>10000000</v>
      </c>
      <c r="G74" s="2" t="n">
        <v>100000</v>
      </c>
      <c r="H74" s="5" t="n">
        <v>1234640000000</v>
      </c>
      <c r="I74" s="2" t="inlineStr">
        <is>
          <t>CHU (x1000)</t>
        </is>
      </c>
      <c r="J74" s="4" t="n">
        <v>46247</v>
      </c>
      <c r="K74" s="4" t="n">
        <v>46245</v>
      </c>
      <c r="L74" s="2" t="inlineStr">
        <is>
          <t>AFS-DCM</t>
        </is>
      </c>
      <c r="M74" s="2" t="n">
        <v>4.53</v>
      </c>
    </row>
    <row r="75">
      <c r="A75" s="2" t="n">
        <v>50332</v>
      </c>
      <c r="B75" s="2" t="inlineStr">
        <is>
          <t>B</t>
        </is>
      </c>
      <c r="C75" s="2" t="inlineStr">
        <is>
          <t>TD2136028</t>
        </is>
      </c>
      <c r="D75" s="2" t="inlineStr">
        <is>
          <t>QLQ_BAOVIE</t>
        </is>
      </c>
      <c r="E75" s="2" t="n">
        <v>2.3</v>
      </c>
      <c r="F75" s="5" t="n">
        <v>500000</v>
      </c>
      <c r="G75" s="2" t="n">
        <v>100000</v>
      </c>
      <c r="H75" s="5" t="n">
        <v>41195500000</v>
      </c>
      <c r="I75" s="2" t="inlineStr"/>
      <c r="J75" s="4" t="n">
        <v>46247</v>
      </c>
      <c r="K75" s="4" t="n">
        <v>46245</v>
      </c>
      <c r="L75" s="2" t="inlineStr">
        <is>
          <t>AFS-DCM</t>
        </is>
      </c>
      <c r="M75" s="2" t="n">
        <v>4.53</v>
      </c>
    </row>
    <row r="76">
      <c r="A76" s="2" t="n">
        <v>50333</v>
      </c>
      <c r="B76" s="2" t="inlineStr">
        <is>
          <t>S</t>
        </is>
      </c>
      <c r="C76" s="2" t="inlineStr">
        <is>
          <t>TD2136028</t>
        </is>
      </c>
      <c r="D76" s="2" t="inlineStr">
        <is>
          <t>QLQ_BAOVIE</t>
        </is>
      </c>
      <c r="E76" s="2" t="n">
        <v>2.3</v>
      </c>
      <c r="F76" s="5" t="n">
        <v>500000</v>
      </c>
      <c r="G76" s="2" t="n">
        <v>100000</v>
      </c>
      <c r="H76" s="5" t="n">
        <v>43770500000</v>
      </c>
      <c r="I76" s="2" t="inlineStr"/>
      <c r="J76" s="4" t="n">
        <v>46598</v>
      </c>
      <c r="K76" s="4" t="n">
        <v>46245</v>
      </c>
      <c r="L76" s="2" t="inlineStr">
        <is>
          <t>AFS-DCM</t>
        </is>
      </c>
      <c r="M76" s="2" t="n">
        <v>4.2937</v>
      </c>
    </row>
    <row r="77">
      <c r="A77" s="2" t="n">
        <v>50334</v>
      </c>
      <c r="B77" s="2" t="inlineStr">
        <is>
          <t>S</t>
        </is>
      </c>
      <c r="C77" s="2" t="inlineStr">
        <is>
          <t>TL1535300</t>
        </is>
      </c>
      <c r="D77" s="2" t="inlineStr">
        <is>
          <t>QLQ_BAOVIE</t>
        </is>
      </c>
      <c r="E77" s="2" t="n">
        <v>7.75</v>
      </c>
      <c r="F77" s="5" t="n">
        <v>2000000</v>
      </c>
      <c r="G77" s="2" t="n">
        <v>100000</v>
      </c>
      <c r="H77" s="5" t="n">
        <v>262362000000</v>
      </c>
      <c r="I77" s="2" t="inlineStr"/>
      <c r="J77" s="4" t="n">
        <v>46598</v>
      </c>
      <c r="K77" s="4" t="n">
        <v>46245</v>
      </c>
      <c r="L77" s="2" t="inlineStr">
        <is>
          <t>AFS-DCM</t>
        </is>
      </c>
      <c r="M77" s="2" t="n">
        <v>4.2203</v>
      </c>
    </row>
    <row r="78">
      <c r="A78" s="2" t="n">
        <v>50335</v>
      </c>
      <c r="B78" s="2" t="inlineStr">
        <is>
          <t>S</t>
        </is>
      </c>
      <c r="C78" s="2" t="inlineStr">
        <is>
          <t>TL1535300</t>
        </is>
      </c>
      <c r="D78" s="2" t="inlineStr">
        <is>
          <t>QLQ_BAOVIE</t>
        </is>
      </c>
      <c r="E78" s="2" t="n">
        <v>7.75</v>
      </c>
      <c r="F78" s="5" t="n">
        <v>10000000</v>
      </c>
      <c r="G78" s="2" t="n">
        <v>100000</v>
      </c>
      <c r="H78" s="5" t="n">
        <v>1311810000000</v>
      </c>
      <c r="I78" s="2" t="inlineStr">
        <is>
          <t>CHU (x1000)</t>
        </is>
      </c>
      <c r="J78" s="4" t="n">
        <v>46598</v>
      </c>
      <c r="K78" s="4" t="n">
        <v>46245</v>
      </c>
      <c r="L78" s="2" t="inlineStr">
        <is>
          <t>AFS-DCM</t>
        </is>
      </c>
      <c r="M78" s="2" t="n">
        <v>4.2203</v>
      </c>
    </row>
    <row r="79">
      <c r="A79" s="2" t="n">
        <v>50187</v>
      </c>
      <c r="B79" s="2" t="inlineStr">
        <is>
          <t>B</t>
        </is>
      </c>
      <c r="C79" s="2" t="inlineStr">
        <is>
          <t>TD2353151</t>
        </is>
      </c>
      <c r="D79" s="2" t="inlineStr">
        <is>
          <t>CAP_FIG</t>
        </is>
      </c>
      <c r="E79" s="2" t="n">
        <v>4.2</v>
      </c>
      <c r="F79" s="5" t="n">
        <v>480000</v>
      </c>
      <c r="G79" s="2" t="n">
        <v>100000</v>
      </c>
      <c r="H79" s="5" t="n">
        <v>51005760000</v>
      </c>
      <c r="I79" s="2" t="inlineStr"/>
      <c r="J79" s="4" t="n">
        <v>46225</v>
      </c>
      <c r="K79" s="4" t="n">
        <v>46216</v>
      </c>
      <c r="L79" s="2" t="inlineStr">
        <is>
          <t>AFS-DCM</t>
        </is>
      </c>
      <c r="M79" s="2" t="n">
        <v>3.9019</v>
      </c>
    </row>
    <row r="80">
      <c r="A80" s="2" t="n">
        <v>50186</v>
      </c>
      <c r="B80" s="2" t="inlineStr">
        <is>
          <t>S</t>
        </is>
      </c>
      <c r="C80" s="2" t="inlineStr">
        <is>
          <t>TD2353151</t>
        </is>
      </c>
      <c r="D80" s="2" t="inlineStr">
        <is>
          <t>CAP_FIG</t>
        </is>
      </c>
      <c r="E80" s="2" t="n">
        <v>4.2</v>
      </c>
      <c r="F80" s="5" t="n">
        <v>480000</v>
      </c>
      <c r="G80" s="2" t="n">
        <v>100000</v>
      </c>
      <c r="H80" s="5" t="n">
        <v>51015840000</v>
      </c>
      <c r="I80" s="2" t="inlineStr"/>
      <c r="J80" s="4" t="n">
        <v>46224</v>
      </c>
      <c r="K80" s="4" t="n">
        <v>46216</v>
      </c>
      <c r="L80" s="2" t="inlineStr">
        <is>
          <t>AFS-DCM</t>
        </is>
      </c>
      <c r="M80" s="2" t="n">
        <v>3.9</v>
      </c>
    </row>
    <row r="81">
      <c r="A81" s="2" t="n">
        <v>50173</v>
      </c>
      <c r="B81" s="2" t="inlineStr">
        <is>
          <t>S</t>
        </is>
      </c>
      <c r="C81" s="2" t="inlineStr">
        <is>
          <t>TL1545363</t>
        </is>
      </c>
      <c r="D81" s="2" t="inlineStr">
        <is>
          <t>QLQ_BAOVIE</t>
        </is>
      </c>
      <c r="E81" s="2" t="n">
        <v>8</v>
      </c>
      <c r="F81" s="5" t="n">
        <v>8800000</v>
      </c>
      <c r="G81" s="2" t="n">
        <v>100000</v>
      </c>
      <c r="H81" s="5" t="n">
        <v>1297313600000</v>
      </c>
      <c r="I81" s="2" t="inlineStr">
        <is>
          <t>CHU (x1000)</t>
        </is>
      </c>
      <c r="J81" s="4" t="n">
        <v>46378</v>
      </c>
      <c r="K81" s="4" t="n">
        <v>46212</v>
      </c>
      <c r="L81" s="2" t="inlineStr">
        <is>
          <t>AFS-DCM</t>
        </is>
      </c>
      <c r="M81" s="2" t="n">
        <v>4.7831443</v>
      </c>
    </row>
    <row r="82">
      <c r="A82" s="2" t="n">
        <v>50172</v>
      </c>
      <c r="B82" s="2" t="inlineStr">
        <is>
          <t>S</t>
        </is>
      </c>
      <c r="C82" s="2" t="inlineStr">
        <is>
          <t>TL1545363</t>
        </is>
      </c>
      <c r="D82" s="2" t="inlineStr">
        <is>
          <t>QLQ_BAOVIE</t>
        </is>
      </c>
      <c r="E82" s="2" t="n">
        <v>8</v>
      </c>
      <c r="F82" s="5" t="n">
        <v>5000000</v>
      </c>
      <c r="G82" s="2" t="n">
        <v>100000</v>
      </c>
      <c r="H82" s="5" t="n">
        <v>737110000000</v>
      </c>
      <c r="I82" s="2" t="inlineStr"/>
      <c r="J82" s="4" t="n">
        <v>46378</v>
      </c>
      <c r="K82" s="4" t="n">
        <v>46212</v>
      </c>
      <c r="L82" s="2" t="inlineStr">
        <is>
          <t>AFS-DCM</t>
        </is>
      </c>
      <c r="M82" s="2" t="n">
        <v>4.7831443</v>
      </c>
    </row>
    <row r="83">
      <c r="A83" s="2" t="n">
        <v>50171</v>
      </c>
      <c r="B83" s="2" t="inlineStr">
        <is>
          <t>B</t>
        </is>
      </c>
      <c r="C83" s="2" t="inlineStr">
        <is>
          <t>TL1545363</t>
        </is>
      </c>
      <c r="D83" s="2" t="inlineStr">
        <is>
          <t>QLQ_BAOVIE</t>
        </is>
      </c>
      <c r="E83" s="2" t="n">
        <v>8</v>
      </c>
      <c r="F83" s="5" t="n">
        <v>8800000</v>
      </c>
      <c r="G83" s="2" t="n">
        <v>100000</v>
      </c>
      <c r="H83" s="5" t="n">
        <v>1274838400000</v>
      </c>
      <c r="I83" s="2" t="inlineStr">
        <is>
          <t>CHU (x1000)</t>
        </is>
      </c>
      <c r="J83" s="4" t="n">
        <v>46213</v>
      </c>
      <c r="K83" s="4" t="n">
        <v>46212</v>
      </c>
      <c r="L83" s="2" t="inlineStr">
        <is>
          <t>AFS-DCM</t>
        </is>
      </c>
      <c r="M83" s="2" t="n">
        <v>4.75</v>
      </c>
    </row>
    <row r="84">
      <c r="A84" s="2" t="n">
        <v>50170</v>
      </c>
      <c r="B84" s="2" t="inlineStr">
        <is>
          <t>B</t>
        </is>
      </c>
      <c r="C84" s="2" t="inlineStr">
        <is>
          <t>TL1545363</t>
        </is>
      </c>
      <c r="D84" s="2" t="inlineStr">
        <is>
          <t>QLQ_BAOVIE</t>
        </is>
      </c>
      <c r="E84" s="2" t="n">
        <v>8</v>
      </c>
      <c r="F84" s="5" t="n">
        <v>5000000</v>
      </c>
      <c r="G84" s="2" t="n">
        <v>100000</v>
      </c>
      <c r="H84" s="5" t="n">
        <v>724340000000</v>
      </c>
      <c r="I84" s="2" t="inlineStr"/>
      <c r="J84" s="4" t="n">
        <v>46213</v>
      </c>
      <c r="K84" s="4" t="n">
        <v>46212</v>
      </c>
      <c r="L84" s="2" t="inlineStr">
        <is>
          <t>AFS-DCM</t>
        </is>
      </c>
      <c r="M84" s="2" t="n">
        <v>4.75</v>
      </c>
    </row>
    <row r="85">
      <c r="A85" s="2" t="n">
        <v>50169</v>
      </c>
      <c r="B85" s="2" t="inlineStr">
        <is>
          <t>B</t>
        </is>
      </c>
      <c r="C85" s="2" t="inlineStr">
        <is>
          <t>TD2353151</t>
        </is>
      </c>
      <c r="D85" s="2" t="inlineStr">
        <is>
          <t>CK_SSI</t>
        </is>
      </c>
      <c r="E85" s="2" t="n">
        <v>4.2</v>
      </c>
      <c r="F85" s="5" t="n">
        <v>800000</v>
      </c>
      <c r="G85" s="2" t="n">
        <v>100000</v>
      </c>
      <c r="H85" s="5" t="n">
        <v>86483200000</v>
      </c>
      <c r="I85" s="2" t="inlineStr"/>
      <c r="J85" s="4" t="n">
        <v>46220</v>
      </c>
      <c r="K85" s="4" t="n">
        <v>46210</v>
      </c>
      <c r="L85" s="2" t="inlineStr">
        <is>
          <t>AFS-DCM</t>
        </is>
      </c>
      <c r="M85" s="2" t="n">
        <v>3.7913</v>
      </c>
    </row>
    <row r="86">
      <c r="A86" s="2" t="n">
        <v>50168</v>
      </c>
      <c r="B86" s="2" t="inlineStr">
        <is>
          <t>S</t>
        </is>
      </c>
      <c r="C86" s="2" t="inlineStr">
        <is>
          <t>TD2353151</t>
        </is>
      </c>
      <c r="D86" s="2" t="inlineStr">
        <is>
          <t>CK_SSI</t>
        </is>
      </c>
      <c r="E86" s="2" t="n">
        <v>4.2</v>
      </c>
      <c r="F86" s="5" t="n">
        <v>800000</v>
      </c>
      <c r="G86" s="2" t="n">
        <v>100000</v>
      </c>
      <c r="H86" s="5" t="n">
        <v>86292000000</v>
      </c>
      <c r="I86" s="2" t="inlineStr"/>
      <c r="J86" s="4" t="n">
        <v>46212</v>
      </c>
      <c r="K86" s="4" t="n">
        <v>46210</v>
      </c>
      <c r="L86" s="2" t="inlineStr">
        <is>
          <t>AFS-DCM</t>
        </is>
      </c>
      <c r="M86" s="2" t="n">
        <v>3.8</v>
      </c>
    </row>
    <row r="87">
      <c r="A87" s="2" t="n">
        <v>50167</v>
      </c>
      <c r="B87" s="2" t="inlineStr">
        <is>
          <t>B</t>
        </is>
      </c>
      <c r="C87" s="2" t="inlineStr">
        <is>
          <t>TD2040031</t>
        </is>
      </c>
      <c r="D87" s="2" t="inlineStr">
        <is>
          <t>CK_SSI</t>
        </is>
      </c>
      <c r="E87" s="2" t="n">
        <v>3.6</v>
      </c>
      <c r="F87" s="5" t="n">
        <v>7000000</v>
      </c>
      <c r="G87" s="2" t="n">
        <v>100000</v>
      </c>
      <c r="H87" s="5" t="n">
        <v>666127000000</v>
      </c>
      <c r="I87" s="2" t="inlineStr"/>
      <c r="J87" s="4" t="n">
        <v>46220</v>
      </c>
      <c r="K87" s="4" t="n">
        <v>46210</v>
      </c>
      <c r="L87" s="2" t="inlineStr">
        <is>
          <t>AFS-DCM</t>
        </is>
      </c>
      <c r="M87" s="2" t="n">
        <v>4.262</v>
      </c>
    </row>
    <row r="88">
      <c r="A88" s="2" t="n">
        <v>50166</v>
      </c>
      <c r="B88" s="2" t="inlineStr">
        <is>
          <t>S</t>
        </is>
      </c>
      <c r="C88" s="2" t="inlineStr">
        <is>
          <t>TD2040031</t>
        </is>
      </c>
      <c r="D88" s="2" t="inlineStr">
        <is>
          <t>CK_SSI</t>
        </is>
      </c>
      <c r="E88" s="2" t="n">
        <v>3.6</v>
      </c>
      <c r="F88" s="5" t="n">
        <v>7000000</v>
      </c>
      <c r="G88" s="2" t="n">
        <v>100000</v>
      </c>
      <c r="H88" s="5" t="n">
        <v>665791000000</v>
      </c>
      <c r="I88" s="2" t="inlineStr"/>
      <c r="J88" s="4" t="n">
        <v>46212</v>
      </c>
      <c r="K88" s="4" t="n">
        <v>46210</v>
      </c>
      <c r="L88" s="2" t="inlineStr">
        <is>
          <t>AFS-DCM</t>
        </is>
      </c>
      <c r="M88" s="2" t="n">
        <v>4.258</v>
      </c>
    </row>
    <row r="89">
      <c r="A89" s="2" t="n">
        <v>50165</v>
      </c>
      <c r="B89" s="2" t="inlineStr">
        <is>
          <t>B</t>
        </is>
      </c>
      <c r="C89" s="2" t="inlineStr">
        <is>
          <t>TD2535028</t>
        </is>
      </c>
      <c r="D89" s="2" t="inlineStr">
        <is>
          <t>CK_BIDV</t>
        </is>
      </c>
      <c r="E89" s="2" t="n">
        <v>3.3</v>
      </c>
      <c r="F89" s="5" t="n">
        <v>110000</v>
      </c>
      <c r="G89" s="2" t="n">
        <v>100000</v>
      </c>
      <c r="H89" s="5" t="n">
        <v>11199210000</v>
      </c>
      <c r="I89" s="2" t="inlineStr"/>
      <c r="J89" s="4" t="n">
        <v>46227</v>
      </c>
      <c r="K89" s="4" t="n">
        <v>46204</v>
      </c>
      <c r="L89" s="2" t="inlineStr">
        <is>
          <t>AFS-DCM</t>
        </is>
      </c>
      <c r="M89" s="2" t="n">
        <v>3.478</v>
      </c>
    </row>
    <row r="90">
      <c r="A90" s="2" t="n">
        <v>50164</v>
      </c>
      <c r="B90" s="2" t="inlineStr">
        <is>
          <t>S</t>
        </is>
      </c>
      <c r="C90" s="2" t="inlineStr">
        <is>
          <t>TD2535028</t>
        </is>
      </c>
      <c r="D90" s="2" t="inlineStr">
        <is>
          <t>CK_BIDV</t>
        </is>
      </c>
      <c r="E90" s="2" t="n">
        <v>3.3</v>
      </c>
      <c r="F90" s="5" t="n">
        <v>110000</v>
      </c>
      <c r="G90" s="2" t="n">
        <v>100000</v>
      </c>
      <c r="H90" s="5" t="n">
        <v>11175560000</v>
      </c>
      <c r="I90" s="2" t="inlineStr"/>
      <c r="J90" s="4" t="n">
        <v>46206</v>
      </c>
      <c r="K90" s="4" t="n">
        <v>46204</v>
      </c>
      <c r="L90" s="2" t="inlineStr">
        <is>
          <t>AFS-DCM</t>
        </is>
      </c>
      <c r="M90" s="2" t="n">
        <v>3.48</v>
      </c>
    </row>
    <row r="91">
      <c r="A91" s="2" t="n">
        <v>50163</v>
      </c>
      <c r="B91" s="2" t="inlineStr">
        <is>
          <t>B</t>
        </is>
      </c>
      <c r="C91" s="2" t="inlineStr">
        <is>
          <t>TD2338137</t>
        </is>
      </c>
      <c r="D91" s="2" t="inlineStr">
        <is>
          <t>CK_BIDV</t>
        </is>
      </c>
      <c r="E91" s="2" t="n">
        <v>2.6</v>
      </c>
      <c r="F91" s="5" t="n">
        <v>500000</v>
      </c>
      <c r="G91" s="2" t="n">
        <v>100000</v>
      </c>
      <c r="H91" s="5" t="n">
        <v>49062000000</v>
      </c>
      <c r="I91" s="2" t="inlineStr"/>
      <c r="J91" s="4" t="n">
        <v>46227</v>
      </c>
      <c r="K91" s="4" t="n">
        <v>46204</v>
      </c>
      <c r="L91" s="2" t="inlineStr">
        <is>
          <t>AFS-DCM</t>
        </is>
      </c>
      <c r="M91" s="2" t="n">
        <v>2.98</v>
      </c>
    </row>
    <row r="92">
      <c r="A92" s="2" t="n">
        <v>50162</v>
      </c>
      <c r="B92" s="2" t="inlineStr">
        <is>
          <t>S</t>
        </is>
      </c>
      <c r="C92" s="2" t="inlineStr">
        <is>
          <t>TD2338137</t>
        </is>
      </c>
      <c r="D92" s="2" t="inlineStr">
        <is>
          <t>CK_BIDV</t>
        </is>
      </c>
      <c r="E92" s="2" t="n">
        <v>2.6</v>
      </c>
      <c r="F92" s="5" t="n">
        <v>500000</v>
      </c>
      <c r="G92" s="2" t="n">
        <v>100000</v>
      </c>
      <c r="H92" s="5" t="n">
        <v>48979000000</v>
      </c>
      <c r="I92" s="2" t="inlineStr"/>
      <c r="J92" s="4" t="n">
        <v>46206</v>
      </c>
      <c r="K92" s="4" t="n">
        <v>46204</v>
      </c>
      <c r="L92" s="2" t="inlineStr">
        <is>
          <t>AFS-DCM</t>
        </is>
      </c>
      <c r="M92" s="2" t="n">
        <v>2.98</v>
      </c>
    </row>
    <row r="93">
      <c r="A93" s="2" t="n">
        <v>50161</v>
      </c>
      <c r="B93" s="2" t="inlineStr">
        <is>
          <t>B</t>
        </is>
      </c>
      <c r="C93" s="2" t="inlineStr">
        <is>
          <t>TD2535023</t>
        </is>
      </c>
      <c r="D93" s="2" t="inlineStr">
        <is>
          <t>CK_BIDV</t>
        </is>
      </c>
      <c r="E93" s="2" t="n">
        <v>2.9</v>
      </c>
      <c r="F93" s="5" t="n">
        <v>1500000</v>
      </c>
      <c r="G93" s="2" t="n">
        <v>100000</v>
      </c>
      <c r="H93" s="5" t="n">
        <v>145062000000</v>
      </c>
      <c r="I93" s="2" t="inlineStr"/>
      <c r="J93" s="4" t="n">
        <v>46227</v>
      </c>
      <c r="K93" s="4" t="n">
        <v>46204</v>
      </c>
      <c r="L93" s="2" t="inlineStr">
        <is>
          <t>AFS-DCM</t>
        </is>
      </c>
      <c r="M93" s="2" t="n">
        <v>3.5082</v>
      </c>
    </row>
    <row r="94">
      <c r="A94" s="2" t="n">
        <v>50160</v>
      </c>
      <c r="B94" s="2" t="inlineStr">
        <is>
          <t>S</t>
        </is>
      </c>
      <c r="C94" s="2" t="inlineStr">
        <is>
          <t>TD2535023</t>
        </is>
      </c>
      <c r="D94" s="2" t="inlineStr">
        <is>
          <t>CK_BIDV</t>
        </is>
      </c>
      <c r="E94" s="2" t="n">
        <v>2.9</v>
      </c>
      <c r="F94" s="5" t="n">
        <v>1500000</v>
      </c>
      <c r="G94" s="2" t="n">
        <v>100000</v>
      </c>
      <c r="H94" s="5" t="n">
        <v>144756000000</v>
      </c>
      <c r="I94" s="2" t="inlineStr"/>
      <c r="J94" s="4" t="n">
        <v>46206</v>
      </c>
      <c r="K94" s="4" t="n">
        <v>46204</v>
      </c>
      <c r="L94" s="2" t="inlineStr">
        <is>
          <t>AFS-DCM</t>
        </is>
      </c>
      <c r="M94" s="2" t="n">
        <v>3.51</v>
      </c>
    </row>
    <row r="95">
      <c r="A95" s="2" t="n">
        <v>50159</v>
      </c>
      <c r="B95" s="2" t="inlineStr">
        <is>
          <t>B</t>
        </is>
      </c>
      <c r="C95" s="2" t="inlineStr">
        <is>
          <t>TD2353151</t>
        </is>
      </c>
      <c r="D95" s="2" t="inlineStr">
        <is>
          <t>CAP_FIG</t>
        </is>
      </c>
      <c r="E95" s="2" t="n">
        <v>4.2</v>
      </c>
      <c r="F95" s="5" t="n">
        <v>1600000</v>
      </c>
      <c r="G95" s="2" t="n">
        <v>100000</v>
      </c>
      <c r="H95" s="5" t="n">
        <v>151979200000</v>
      </c>
      <c r="I95" s="2" t="inlineStr"/>
      <c r="J95" s="4" t="n">
        <v>46211</v>
      </c>
      <c r="K95" s="4" t="n">
        <v>46202</v>
      </c>
      <c r="L95" s="2" t="inlineStr">
        <is>
          <t>AFS-DCM</t>
        </is>
      </c>
      <c r="M95" s="2" t="n">
        <v>4.61</v>
      </c>
    </row>
    <row r="96">
      <c r="A96" s="2" t="n">
        <v>50158</v>
      </c>
      <c r="B96" s="2" t="inlineStr">
        <is>
          <t>S</t>
        </is>
      </c>
      <c r="C96" s="2" t="inlineStr">
        <is>
          <t>TD2353151</t>
        </is>
      </c>
      <c r="D96" s="2" t="inlineStr">
        <is>
          <t>CAP_FIG</t>
        </is>
      </c>
      <c r="E96" s="2" t="n">
        <v>4.2</v>
      </c>
      <c r="F96" s="5" t="n">
        <v>1600000</v>
      </c>
      <c r="G96" s="2" t="n">
        <v>100000</v>
      </c>
      <c r="H96" s="5" t="n">
        <v>148756800000</v>
      </c>
      <c r="I96" s="2" t="inlineStr"/>
      <c r="J96" s="4" t="n">
        <v>46210</v>
      </c>
      <c r="K96" s="4" t="n">
        <v>46202</v>
      </c>
      <c r="L96" s="2" t="inlineStr">
        <is>
          <t>AFS-DCM</t>
        </is>
      </c>
      <c r="M96" s="2" t="n">
        <v>4.75</v>
      </c>
    </row>
    <row r="97">
      <c r="A97" s="2" t="n">
        <v>50379</v>
      </c>
      <c r="B97" s="2" t="inlineStr">
        <is>
          <t>S</t>
        </is>
      </c>
      <c r="C97" s="2" t="inlineStr">
        <is>
          <t>TD2353151</t>
        </is>
      </c>
      <c r="D97" s="2" t="inlineStr">
        <is>
          <t>CK_VNDIREC</t>
        </is>
      </c>
      <c r="E97" s="2" t="n">
        <v>4.2</v>
      </c>
      <c r="F97" s="5" t="n">
        <v>800000</v>
      </c>
      <c r="G97" s="2" t="n">
        <v>100000</v>
      </c>
      <c r="H97" s="5" t="n">
        <v>86609600000</v>
      </c>
      <c r="I97" s="2" t="inlineStr"/>
      <c r="J97" s="4" t="n">
        <v>46248</v>
      </c>
      <c r="K97" s="4" t="n">
        <v>46246</v>
      </c>
      <c r="L97" s="2" t="inlineStr">
        <is>
          <t>AFS-DCM</t>
        </is>
      </c>
      <c r="M97" s="2" t="n">
        <v>3.8</v>
      </c>
    </row>
    <row r="98">
      <c r="A98" s="2" t="n">
        <v>50380</v>
      </c>
      <c r="B98" s="2" t="inlineStr">
        <is>
          <t>B</t>
        </is>
      </c>
      <c r="C98" s="2" t="inlineStr">
        <is>
          <t>TD2353151</t>
        </is>
      </c>
      <c r="D98" s="2" t="inlineStr">
        <is>
          <t>CK_VNDIREC</t>
        </is>
      </c>
      <c r="E98" s="2" t="n">
        <v>4.2</v>
      </c>
      <c r="F98" s="5" t="n">
        <v>800000</v>
      </c>
      <c r="G98" s="2" t="n">
        <v>100000</v>
      </c>
      <c r="H98" s="5" t="n">
        <v>86636000000</v>
      </c>
      <c r="I98" s="2" t="inlineStr"/>
      <c r="J98" s="4" t="n">
        <v>46251</v>
      </c>
      <c r="K98" s="4" t="n">
        <v>46246</v>
      </c>
      <c r="L98" s="2" t="inlineStr">
        <is>
          <t>AFS-DCM</t>
        </is>
      </c>
      <c r="M98" s="2" t="n">
        <v>3.8</v>
      </c>
    </row>
    <row r="99">
      <c r="A99" s="2" t="n">
        <v>50381</v>
      </c>
      <c r="B99" s="2" t="inlineStr">
        <is>
          <t>S</t>
        </is>
      </c>
      <c r="C99" s="2" t="inlineStr">
        <is>
          <t>TD2136028</t>
        </is>
      </c>
      <c r="D99" s="2" t="inlineStr">
        <is>
          <t>CK_VNDIREC</t>
        </is>
      </c>
      <c r="E99" s="2" t="n">
        <v>2.3</v>
      </c>
      <c r="F99" s="5" t="n">
        <v>500000</v>
      </c>
      <c r="G99" s="2" t="n">
        <v>100000</v>
      </c>
      <c r="H99" s="5" t="n">
        <v>41483000000</v>
      </c>
      <c r="I99" s="2" t="inlineStr"/>
      <c r="J99" s="4" t="n">
        <v>46248</v>
      </c>
      <c r="K99" s="4" t="n">
        <v>46246</v>
      </c>
      <c r="L99" s="2" t="inlineStr">
        <is>
          <t>AFS-DCM</t>
        </is>
      </c>
      <c r="M99" s="2" t="n">
        <v>4.4499</v>
      </c>
    </row>
    <row r="100">
      <c r="A100" s="2" t="n">
        <v>50382</v>
      </c>
      <c r="B100" s="2" t="inlineStr">
        <is>
          <t>B</t>
        </is>
      </c>
      <c r="C100" s="2" t="inlineStr">
        <is>
          <t>TD2136028</t>
        </is>
      </c>
      <c r="D100" s="2" t="inlineStr">
        <is>
          <t>CK_VNDIREC</t>
        </is>
      </c>
      <c r="E100" s="2" t="n">
        <v>2.3</v>
      </c>
      <c r="F100" s="5" t="n">
        <v>500000</v>
      </c>
      <c r="G100" s="2" t="n">
        <v>100000</v>
      </c>
      <c r="H100" s="5" t="n">
        <v>41380500000</v>
      </c>
      <c r="I100" s="2" t="inlineStr"/>
      <c r="J100" s="4" t="n">
        <v>46251</v>
      </c>
      <c r="K100" s="4" t="n">
        <v>46246</v>
      </c>
      <c r="L100" s="2" t="inlineStr">
        <is>
          <t>AFS-DCM</t>
        </is>
      </c>
      <c r="M100" s="2" t="n">
        <v>4.4831</v>
      </c>
    </row>
    <row r="101">
      <c r="A101" s="2" t="n">
        <v>50383</v>
      </c>
      <c r="B101" s="2" t="inlineStr">
        <is>
          <t>S</t>
        </is>
      </c>
      <c r="C101" s="2" t="inlineStr">
        <is>
          <t>TD2131012</t>
        </is>
      </c>
      <c r="D101" s="2" t="inlineStr">
        <is>
          <t>CK_VNDIREC</t>
        </is>
      </c>
      <c r="E101" s="2" t="n">
        <v>2.2</v>
      </c>
      <c r="F101" s="5" t="n">
        <v>1000000</v>
      </c>
      <c r="G101" s="2" t="n">
        <v>100000</v>
      </c>
      <c r="H101" s="5" t="n">
        <v>92901000000</v>
      </c>
      <c r="I101" s="2" t="inlineStr"/>
      <c r="J101" s="4" t="n">
        <v>46248</v>
      </c>
      <c r="K101" s="4" t="n">
        <v>46246</v>
      </c>
      <c r="L101" s="2" t="inlineStr">
        <is>
          <t>AFS-DCM</t>
        </is>
      </c>
      <c r="M101" s="2" t="n">
        <v>4.3199</v>
      </c>
    </row>
    <row r="102">
      <c r="A102" s="2" t="n">
        <v>50384</v>
      </c>
      <c r="B102" s="2" t="inlineStr">
        <is>
          <t>B</t>
        </is>
      </c>
      <c r="C102" s="2" t="inlineStr">
        <is>
          <t>TD2131012</t>
        </is>
      </c>
      <c r="D102" s="2" t="inlineStr">
        <is>
          <t>CK_VNDIREC</t>
        </is>
      </c>
      <c r="E102" s="2" t="n">
        <v>2.2</v>
      </c>
      <c r="F102" s="5" t="n">
        <v>1000000</v>
      </c>
      <c r="G102" s="2" t="n">
        <v>100000</v>
      </c>
      <c r="H102" s="5" t="n">
        <v>92933000000</v>
      </c>
      <c r="I102" s="2" t="inlineStr"/>
      <c r="J102" s="4" t="n">
        <v>46251</v>
      </c>
      <c r="K102" s="4" t="n">
        <v>46246</v>
      </c>
      <c r="L102" s="2" t="inlineStr">
        <is>
          <t>AFS-DCM</t>
        </is>
      </c>
      <c r="M102" s="2" t="n">
        <v>4.32</v>
      </c>
    </row>
    <row r="103">
      <c r="A103" s="2" t="n">
        <v>50151</v>
      </c>
      <c r="B103" s="2" t="inlineStr">
        <is>
          <t>B</t>
        </is>
      </c>
      <c r="C103" s="2" t="inlineStr">
        <is>
          <t>TD2434026</t>
        </is>
      </c>
      <c r="D103" s="2" t="inlineStr">
        <is>
          <t>CK_SGHN</t>
        </is>
      </c>
      <c r="E103" s="2" t="n">
        <v>2.6</v>
      </c>
      <c r="F103" s="5" t="n">
        <v>1340000</v>
      </c>
      <c r="G103" s="2" t="n">
        <v>100000</v>
      </c>
      <c r="H103" s="5" t="n">
        <v>132314280000</v>
      </c>
      <c r="I103" s="2" t="inlineStr"/>
      <c r="J103" s="4" t="n">
        <v>46205</v>
      </c>
      <c r="K103" s="4" t="n">
        <v>46199</v>
      </c>
      <c r="L103" s="2" t="inlineStr">
        <is>
          <t>AFS-DCM</t>
        </is>
      </c>
      <c r="M103" s="2" t="n">
        <v>3.0506</v>
      </c>
    </row>
    <row r="104">
      <c r="A104" s="2" t="n">
        <v>50150</v>
      </c>
      <c r="B104" s="2" t="inlineStr">
        <is>
          <t>S</t>
        </is>
      </c>
      <c r="C104" s="2" t="inlineStr">
        <is>
          <t>TD2434026</t>
        </is>
      </c>
      <c r="D104" s="2" t="inlineStr">
        <is>
          <t>CK_SGHN</t>
        </is>
      </c>
      <c r="E104" s="2" t="n">
        <v>2.6</v>
      </c>
      <c r="F104" s="5" t="n">
        <v>1340000</v>
      </c>
      <c r="G104" s="2" t="n">
        <v>100000</v>
      </c>
      <c r="H104" s="5" t="n">
        <v>132298200000</v>
      </c>
      <c r="I104" s="2" t="inlineStr"/>
      <c r="J104" s="4" t="n">
        <v>46203</v>
      </c>
      <c r="K104" s="4" t="n">
        <v>46199</v>
      </c>
      <c r="L104" s="2" t="inlineStr">
        <is>
          <t>AFS-DCM</t>
        </is>
      </c>
      <c r="M104" s="2" t="n">
        <v>3.05</v>
      </c>
    </row>
    <row r="105">
      <c r="A105" s="2" t="n">
        <v>50149</v>
      </c>
      <c r="B105" s="2" t="inlineStr">
        <is>
          <t>B</t>
        </is>
      </c>
      <c r="C105" s="2" t="inlineStr">
        <is>
          <t>TD2535023</t>
        </is>
      </c>
      <c r="D105" s="2" t="inlineStr">
        <is>
          <t>CK_SGHN</t>
        </is>
      </c>
      <c r="E105" s="2" t="n">
        <v>2.9</v>
      </c>
      <c r="F105" s="5" t="n">
        <v>1500000</v>
      </c>
      <c r="G105" s="2" t="n">
        <v>100000</v>
      </c>
      <c r="H105" s="5" t="n">
        <v>144742500000</v>
      </c>
      <c r="I105" s="2" t="inlineStr"/>
      <c r="J105" s="4" t="n">
        <v>46205</v>
      </c>
      <c r="K105" s="4" t="n">
        <v>46199</v>
      </c>
      <c r="L105" s="2" t="inlineStr">
        <is>
          <t>AFS-DCM</t>
        </is>
      </c>
      <c r="M105" s="2" t="n">
        <v>3.51</v>
      </c>
    </row>
    <row r="106">
      <c r="A106" s="2" t="n">
        <v>50148</v>
      </c>
      <c r="B106" s="2" t="inlineStr">
        <is>
          <t>S</t>
        </is>
      </c>
      <c r="C106" s="2" t="inlineStr">
        <is>
          <t>TD2535023</t>
        </is>
      </c>
      <c r="D106" s="2" t="inlineStr">
        <is>
          <t>CK_SGHN</t>
        </is>
      </c>
      <c r="E106" s="2" t="n">
        <v>2.9</v>
      </c>
      <c r="F106" s="5" t="n">
        <v>1500000</v>
      </c>
      <c r="G106" s="2" t="n">
        <v>100000</v>
      </c>
      <c r="H106" s="5" t="n">
        <v>144715500000</v>
      </c>
      <c r="I106" s="2" t="inlineStr"/>
      <c r="J106" s="4" t="n">
        <v>46203</v>
      </c>
      <c r="K106" s="4" t="n">
        <v>46199</v>
      </c>
      <c r="L106" s="2" t="inlineStr">
        <is>
          <t>AFS-DCM</t>
        </is>
      </c>
      <c r="M106" s="2" t="n">
        <v>3.5099</v>
      </c>
    </row>
    <row r="107">
      <c r="A107" s="2" t="n">
        <v>50147</v>
      </c>
      <c r="B107" s="2" t="inlineStr">
        <is>
          <t>B</t>
        </is>
      </c>
      <c r="C107" s="2" t="inlineStr">
        <is>
          <t>TD2338137</t>
        </is>
      </c>
      <c r="D107" s="2" t="inlineStr">
        <is>
          <t>CK_SGHN</t>
        </is>
      </c>
      <c r="E107" s="2" t="n">
        <v>2.6</v>
      </c>
      <c r="F107" s="5" t="n">
        <v>500000</v>
      </c>
      <c r="G107" s="2" t="n">
        <v>100000</v>
      </c>
      <c r="H107" s="5" t="n">
        <v>48975000000</v>
      </c>
      <c r="I107" s="2" t="inlineStr"/>
      <c r="J107" s="4" t="n">
        <v>46205</v>
      </c>
      <c r="K107" s="4" t="n">
        <v>46199</v>
      </c>
      <c r="L107" s="2" t="inlineStr">
        <is>
          <t>AFS-DCM</t>
        </is>
      </c>
      <c r="M107" s="2" t="n">
        <v>2.98</v>
      </c>
    </row>
    <row r="108">
      <c r="A108" s="2" t="n">
        <v>50146</v>
      </c>
      <c r="B108" s="2" t="inlineStr">
        <is>
          <t>S</t>
        </is>
      </c>
      <c r="C108" s="2" t="inlineStr">
        <is>
          <t>TD2338137</t>
        </is>
      </c>
      <c r="D108" s="2" t="inlineStr">
        <is>
          <t>CK_SGHN</t>
        </is>
      </c>
      <c r="E108" s="2" t="n">
        <v>2.6</v>
      </c>
      <c r="F108" s="5" t="n">
        <v>500000</v>
      </c>
      <c r="G108" s="2" t="n">
        <v>100000</v>
      </c>
      <c r="H108" s="5" t="n">
        <v>49067000000</v>
      </c>
      <c r="I108" s="2" t="inlineStr"/>
      <c r="J108" s="4" t="n">
        <v>46203</v>
      </c>
      <c r="K108" s="4" t="n">
        <v>46199</v>
      </c>
      <c r="L108" s="2" t="inlineStr">
        <is>
          <t>AFS-DCM</t>
        </is>
      </c>
      <c r="M108" s="2" t="n">
        <v>2.96</v>
      </c>
    </row>
    <row r="109">
      <c r="A109" s="2" t="n">
        <v>50128</v>
      </c>
      <c r="B109" s="2" t="inlineStr">
        <is>
          <t>S</t>
        </is>
      </c>
      <c r="C109" s="2" t="inlineStr">
        <is>
          <t>TD2636023</t>
        </is>
      </c>
      <c r="D109" s="2" t="inlineStr">
        <is>
          <t>PGBV-HO</t>
        </is>
      </c>
      <c r="E109" s="2" t="n">
        <v>4.1</v>
      </c>
      <c r="F109" s="5" t="n">
        <v>3000000</v>
      </c>
      <c r="G109" s="2" t="n">
        <v>100000</v>
      </c>
      <c r="H109" s="5" t="n">
        <v>296328000000</v>
      </c>
      <c r="I109" s="2" t="inlineStr"/>
      <c r="J109" s="4" t="n">
        <v>46202</v>
      </c>
      <c r="K109" s="4" t="n">
        <v>46197</v>
      </c>
      <c r="L109" s="2" t="inlineStr">
        <is>
          <t>AFS-DCM</t>
        </is>
      </c>
      <c r="M109" s="2" t="n">
        <v>4.35</v>
      </c>
    </row>
    <row r="110">
      <c r="A110" s="2" t="n">
        <v>50127</v>
      </c>
      <c r="B110" s="2" t="inlineStr">
        <is>
          <t>S</t>
        </is>
      </c>
      <c r="C110" s="2" t="inlineStr">
        <is>
          <t>TD2636023</t>
        </is>
      </c>
      <c r="D110" s="2" t="inlineStr">
        <is>
          <t>PGBV-HO</t>
        </is>
      </c>
      <c r="E110" s="2" t="n">
        <v>4.1</v>
      </c>
      <c r="F110" s="5" t="n">
        <v>3000000</v>
      </c>
      <c r="G110" s="2" t="n">
        <v>100000</v>
      </c>
      <c r="H110" s="5" t="n">
        <v>296328000000</v>
      </c>
      <c r="I110" s="2" t="inlineStr"/>
      <c r="J110" s="4" t="n">
        <v>46202</v>
      </c>
      <c r="K110" s="4" t="n">
        <v>46197</v>
      </c>
      <c r="L110" s="2" t="inlineStr">
        <is>
          <t>AFS-DCM</t>
        </is>
      </c>
      <c r="M110" s="2" t="n">
        <v>4.35</v>
      </c>
    </row>
    <row r="111">
      <c r="A111" s="2" t="n">
        <v>50408</v>
      </c>
      <c r="B111" s="2" t="inlineStr">
        <is>
          <t>B</t>
        </is>
      </c>
      <c r="C111" s="2" t="inlineStr">
        <is>
          <t>TD2530010</t>
        </is>
      </c>
      <c r="D111" s="2" t="inlineStr">
        <is>
          <t>CK_VNDIREC</t>
        </is>
      </c>
      <c r="E111" s="2" t="n">
        <v>2.7</v>
      </c>
      <c r="F111" s="5" t="n">
        <v>2000000</v>
      </c>
      <c r="G111" s="2" t="n">
        <v>100000</v>
      </c>
      <c r="H111" s="5" t="n">
        <v>197044000000</v>
      </c>
      <c r="I111" s="2" t="inlineStr"/>
      <c r="J111" s="4" t="n">
        <v>46253</v>
      </c>
      <c r="K111" s="4" t="n">
        <v>46247</v>
      </c>
      <c r="L111" s="2" t="inlineStr">
        <is>
          <t>AFS-DCM</t>
        </is>
      </c>
      <c r="M111" s="2" t="n">
        <v>3.158</v>
      </c>
    </row>
    <row r="112">
      <c r="A112" s="2" t="n">
        <v>50423</v>
      </c>
      <c r="B112" s="2" t="inlineStr">
        <is>
          <t>S</t>
        </is>
      </c>
      <c r="C112" s="2" t="inlineStr">
        <is>
          <t>TD2136028</t>
        </is>
      </c>
      <c r="D112" s="2" t="inlineStr">
        <is>
          <t>CK_SSI</t>
        </is>
      </c>
      <c r="E112" s="2" t="n">
        <v>2.3</v>
      </c>
      <c r="F112" s="5" t="n">
        <v>500000</v>
      </c>
      <c r="G112" s="2" t="n">
        <v>100000</v>
      </c>
      <c r="H112" s="5" t="n">
        <v>41400500000</v>
      </c>
      <c r="I112" s="2" t="inlineStr"/>
      <c r="J112" s="4" t="n">
        <v>46255</v>
      </c>
      <c r="K112" s="4" t="n">
        <v>46251</v>
      </c>
      <c r="L112" s="2" t="inlineStr">
        <is>
          <t>AFS-DCM</t>
        </is>
      </c>
      <c r="M112" s="2" t="n">
        <v>4.4831</v>
      </c>
    </row>
    <row r="113">
      <c r="A113" s="2" t="n">
        <v>50424</v>
      </c>
      <c r="B113" s="2" t="inlineStr">
        <is>
          <t>B</t>
        </is>
      </c>
      <c r="C113" s="2" t="inlineStr">
        <is>
          <t>TD2136028</t>
        </is>
      </c>
      <c r="D113" s="2" t="inlineStr">
        <is>
          <t>CK_SSI</t>
        </is>
      </c>
      <c r="E113" s="2" t="n">
        <v>2.3</v>
      </c>
      <c r="F113" s="5" t="n">
        <v>500000</v>
      </c>
      <c r="G113" s="2" t="n">
        <v>100000</v>
      </c>
      <c r="H113" s="5" t="n">
        <v>41435500000</v>
      </c>
      <c r="I113" s="2" t="inlineStr"/>
      <c r="J113" s="4" t="n">
        <v>46262</v>
      </c>
      <c r="K113" s="4" t="n">
        <v>46251</v>
      </c>
      <c r="L113" s="2" t="inlineStr">
        <is>
          <t>AFS-DCM</t>
        </is>
      </c>
      <c r="M113" s="2" t="n">
        <v>4.483</v>
      </c>
    </row>
    <row r="114">
      <c r="A114" s="2" t="n">
        <v>50425</v>
      </c>
      <c r="B114" s="2" t="inlineStr">
        <is>
          <t>S</t>
        </is>
      </c>
      <c r="C114" s="2" t="inlineStr">
        <is>
          <t>TD2131012</t>
        </is>
      </c>
      <c r="D114" s="2" t="inlineStr">
        <is>
          <t>CK_SSI</t>
        </is>
      </c>
      <c r="E114" s="2" t="n">
        <v>2.2</v>
      </c>
      <c r="F114" s="5" t="n">
        <v>1000000</v>
      </c>
      <c r="G114" s="2" t="n">
        <v>100000</v>
      </c>
      <c r="H114" s="5" t="n">
        <v>97941000000</v>
      </c>
      <c r="I114" s="2" t="inlineStr"/>
      <c r="J114" s="4" t="n">
        <v>46255</v>
      </c>
      <c r="K114" s="4" t="n">
        <v>46251</v>
      </c>
      <c r="L114" s="2" t="inlineStr">
        <is>
          <t>AFS-DCM</t>
        </is>
      </c>
      <c r="M114" s="2" t="n">
        <v>3.0299</v>
      </c>
    </row>
    <row r="115">
      <c r="A115" s="2" t="n">
        <v>50426</v>
      </c>
      <c r="B115" s="2" t="inlineStr">
        <is>
          <t>B</t>
        </is>
      </c>
      <c r="C115" s="2" t="inlineStr">
        <is>
          <t>TD2131012</t>
        </is>
      </c>
      <c r="D115" s="2" t="inlineStr">
        <is>
          <t>CK_SSI</t>
        </is>
      </c>
      <c r="E115" s="2" t="n">
        <v>2.2</v>
      </c>
      <c r="F115" s="5" t="n">
        <v>1000000</v>
      </c>
      <c r="G115" s="2" t="n">
        <v>100000</v>
      </c>
      <c r="H115" s="5" t="n">
        <v>97997000000</v>
      </c>
      <c r="I115" s="2" t="inlineStr"/>
      <c r="J115" s="4" t="n">
        <v>46262</v>
      </c>
      <c r="K115" s="4" t="n">
        <v>46251</v>
      </c>
      <c r="L115" s="2" t="inlineStr">
        <is>
          <t>AFS-DCM</t>
        </is>
      </c>
      <c r="M115" s="2" t="n">
        <v>3.0299</v>
      </c>
    </row>
    <row r="116">
      <c r="A116" s="2" t="n">
        <v>50427</v>
      </c>
      <c r="B116" s="2" t="inlineStr">
        <is>
          <t>S</t>
        </is>
      </c>
      <c r="C116" s="2" t="inlineStr">
        <is>
          <t>TD2434022</t>
        </is>
      </c>
      <c r="D116" s="2" t="inlineStr">
        <is>
          <t>CK_SSI</t>
        </is>
      </c>
      <c r="E116" s="2" t="n">
        <v>2.7</v>
      </c>
      <c r="F116" s="5" t="n">
        <v>3000000</v>
      </c>
      <c r="G116" s="2" t="n">
        <v>100000</v>
      </c>
      <c r="H116" s="5" t="n">
        <v>294549000000</v>
      </c>
      <c r="I116" s="2" t="inlineStr"/>
      <c r="J116" s="4" t="n">
        <v>46255</v>
      </c>
      <c r="K116" s="4" t="n">
        <v>46251</v>
      </c>
      <c r="L116" s="2" t="inlineStr">
        <is>
          <t>AFS-DCM</t>
        </is>
      </c>
      <c r="M116" s="2" t="n">
        <v>3.03</v>
      </c>
    </row>
    <row r="117">
      <c r="A117" s="2" t="n">
        <v>50428</v>
      </c>
      <c r="B117" s="2" t="inlineStr">
        <is>
          <t>B</t>
        </is>
      </c>
      <c r="C117" s="2" t="inlineStr">
        <is>
          <t>TD2434022</t>
        </is>
      </c>
      <c r="D117" s="2" t="inlineStr">
        <is>
          <t>CK_SSI</t>
        </is>
      </c>
      <c r="E117" s="2" t="n">
        <v>2.7</v>
      </c>
      <c r="F117" s="5" t="n">
        <v>3000000</v>
      </c>
      <c r="G117" s="2" t="n">
        <v>100000</v>
      </c>
      <c r="H117" s="5" t="n">
        <v>294711000000</v>
      </c>
      <c r="I117" s="2" t="inlineStr"/>
      <c r="J117" s="4" t="n">
        <v>46262</v>
      </c>
      <c r="K117" s="4" t="n">
        <v>46251</v>
      </c>
      <c r="L117" s="2" t="inlineStr">
        <is>
          <t>AFS-DCM</t>
        </is>
      </c>
      <c r="M117" s="2" t="n">
        <v>3.0303</v>
      </c>
    </row>
    <row r="118">
      <c r="A118" s="2" t="n">
        <v>50429</v>
      </c>
      <c r="B118" s="2" t="inlineStr">
        <is>
          <t>S</t>
        </is>
      </c>
      <c r="C118" s="2" t="inlineStr">
        <is>
          <t>TD2353151</t>
        </is>
      </c>
      <c r="D118" s="2" t="inlineStr">
        <is>
          <t>CK_SSI</t>
        </is>
      </c>
      <c r="E118" s="2" t="n">
        <v>4.2</v>
      </c>
      <c r="F118" s="5" t="n">
        <v>800000</v>
      </c>
      <c r="G118" s="2" t="n">
        <v>100000</v>
      </c>
      <c r="H118" s="5" t="n">
        <v>81373600000</v>
      </c>
      <c r="I118" s="2" t="inlineStr"/>
      <c r="J118" s="4" t="n">
        <v>46255</v>
      </c>
      <c r="K118" s="4" t="n">
        <v>46251</v>
      </c>
      <c r="L118" s="2" t="inlineStr">
        <is>
          <t>AFS-DCM</t>
        </is>
      </c>
      <c r="M118" s="2" t="n">
        <v>4.2</v>
      </c>
    </row>
    <row r="119">
      <c r="A119" s="2" t="n">
        <v>50430</v>
      </c>
      <c r="B119" s="2" t="inlineStr">
        <is>
          <t>B</t>
        </is>
      </c>
      <c r="C119" s="2" t="inlineStr">
        <is>
          <t>TD2353151</t>
        </is>
      </c>
      <c r="D119" s="2" t="inlineStr">
        <is>
          <t>CK_SSI</t>
        </is>
      </c>
      <c r="E119" s="2" t="n">
        <v>4.2</v>
      </c>
      <c r="F119" s="5" t="n">
        <v>800000</v>
      </c>
      <c r="G119" s="2" t="n">
        <v>100000</v>
      </c>
      <c r="H119" s="5" t="n">
        <v>81437600000</v>
      </c>
      <c r="I119" s="2" t="inlineStr"/>
      <c r="J119" s="4" t="n">
        <v>46262</v>
      </c>
      <c r="K119" s="4" t="n">
        <v>46251</v>
      </c>
      <c r="L119" s="2" t="inlineStr">
        <is>
          <t>AFS-DCM</t>
        </is>
      </c>
      <c r="M119" s="2" t="n">
        <v>4.2</v>
      </c>
    </row>
    <row r="120">
      <c r="A120" s="2" t="n">
        <v>50120</v>
      </c>
      <c r="B120" s="2" t="inlineStr">
        <is>
          <t>B</t>
        </is>
      </c>
      <c r="C120" s="2" t="inlineStr">
        <is>
          <t>TD2636023</t>
        </is>
      </c>
      <c r="D120" s="2" t="inlineStr">
        <is>
          <t>KBNN</t>
        </is>
      </c>
      <c r="E120" s="2" t="n">
        <v>4.1</v>
      </c>
      <c r="F120" s="5" t="n">
        <v>6000000</v>
      </c>
      <c r="G120" s="2" t="n">
        <v>100000</v>
      </c>
      <c r="H120" s="5" t="n">
        <v>592380000000</v>
      </c>
      <c r="I120" s="2" t="inlineStr"/>
      <c r="J120" s="4" t="n">
        <v>46198</v>
      </c>
      <c r="K120" s="4" t="n">
        <v>46197</v>
      </c>
      <c r="L120" s="2" t="inlineStr">
        <is>
          <t>AFS-DCM</t>
        </is>
      </c>
      <c r="M120" s="2" t="n">
        <v>4.35</v>
      </c>
    </row>
    <row r="121">
      <c r="A121" s="2" t="n">
        <v>50111</v>
      </c>
      <c r="B121" s="2" t="inlineStr">
        <is>
          <t>B</t>
        </is>
      </c>
      <c r="C121" s="2" t="inlineStr">
        <is>
          <t>TD1833122</t>
        </is>
      </c>
      <c r="D121" s="2" t="inlineStr">
        <is>
          <t>CK_BIDV</t>
        </is>
      </c>
      <c r="E121" s="2" t="n">
        <v>5.2</v>
      </c>
      <c r="F121" s="5" t="n">
        <v>3600000</v>
      </c>
      <c r="G121" s="2" t="n">
        <v>100000</v>
      </c>
      <c r="H121" s="5" t="n">
        <v>414734400000</v>
      </c>
      <c r="I121" s="2" t="inlineStr"/>
      <c r="J121" s="4" t="n">
        <v>46241</v>
      </c>
      <c r="K121" s="4" t="n">
        <v>46196</v>
      </c>
      <c r="L121" s="2" t="inlineStr">
        <is>
          <t>AFS-DCM</t>
        </is>
      </c>
      <c r="M121" s="2" t="n">
        <v>3.07</v>
      </c>
    </row>
    <row r="122">
      <c r="A122" s="2" t="n">
        <v>50110</v>
      </c>
      <c r="B122" s="2" t="inlineStr">
        <is>
          <t>S</t>
        </is>
      </c>
      <c r="C122" s="2" t="inlineStr">
        <is>
          <t>TD1833122</t>
        </is>
      </c>
      <c r="D122" s="2" t="inlineStr">
        <is>
          <t>CK_BIDV</t>
        </is>
      </c>
      <c r="E122" s="2" t="n">
        <v>5.2</v>
      </c>
      <c r="F122" s="5" t="n">
        <v>3600000</v>
      </c>
      <c r="G122" s="2" t="n">
        <v>100000</v>
      </c>
      <c r="H122" s="5" t="n">
        <v>413874000000</v>
      </c>
      <c r="I122" s="2" t="inlineStr"/>
      <c r="J122" s="4" t="n">
        <v>46216</v>
      </c>
      <c r="K122" s="4" t="n">
        <v>46196</v>
      </c>
      <c r="L122" s="2" t="inlineStr">
        <is>
          <t>AFS-DCM</t>
        </is>
      </c>
      <c r="M122" s="2" t="n">
        <v>3.07</v>
      </c>
    </row>
    <row r="123">
      <c r="A123" s="2" t="n">
        <v>50109</v>
      </c>
      <c r="B123" s="2" t="inlineStr">
        <is>
          <t>B</t>
        </is>
      </c>
      <c r="C123" s="2" t="inlineStr">
        <is>
          <t>TD1636466</t>
        </is>
      </c>
      <c r="D123" s="2" t="inlineStr">
        <is>
          <t>CK_BIDV</t>
        </is>
      </c>
      <c r="E123" s="2" t="n">
        <v>7.7</v>
      </c>
      <c r="F123" s="5" t="n">
        <v>1550000</v>
      </c>
      <c r="G123" s="2" t="n">
        <v>100000</v>
      </c>
      <c r="H123" s="5" t="n">
        <v>203501050000</v>
      </c>
      <c r="I123" s="2" t="inlineStr"/>
      <c r="J123" s="4" t="n">
        <v>46241</v>
      </c>
      <c r="K123" s="4" t="n">
        <v>46196</v>
      </c>
      <c r="L123" s="2" t="inlineStr">
        <is>
          <t>AFS-DCM</t>
        </is>
      </c>
      <c r="M123" s="2" t="n">
        <v>4.1674</v>
      </c>
    </row>
    <row r="124">
      <c r="A124" s="2" t="n">
        <v>50108</v>
      </c>
      <c r="B124" s="2" t="inlineStr">
        <is>
          <t>S</t>
        </is>
      </c>
      <c r="C124" s="2" t="inlineStr">
        <is>
          <t>TD1636466</t>
        </is>
      </c>
      <c r="D124" s="2" t="inlineStr">
        <is>
          <t>CK_BIDV</t>
        </is>
      </c>
      <c r="E124" s="2" t="n">
        <v>7.7</v>
      </c>
      <c r="F124" s="5" t="n">
        <v>1550000</v>
      </c>
      <c r="G124" s="2" t="n">
        <v>100000</v>
      </c>
      <c r="H124" s="5" t="n">
        <v>202757050000</v>
      </c>
      <c r="I124" s="2" t="inlineStr"/>
      <c r="J124" s="4" t="n">
        <v>46216</v>
      </c>
      <c r="K124" s="4" t="n">
        <v>46196</v>
      </c>
      <c r="L124" s="2" t="inlineStr">
        <is>
          <t>AFS-DCM</t>
        </is>
      </c>
      <c r="M124" s="2" t="n">
        <v>4.18</v>
      </c>
    </row>
    <row r="125">
      <c r="A125" s="2" t="n">
        <v>50107</v>
      </c>
      <c r="B125" s="2" t="inlineStr">
        <is>
          <t>B</t>
        </is>
      </c>
      <c r="C125" s="2" t="inlineStr">
        <is>
          <t>TD1949206</t>
        </is>
      </c>
      <c r="D125" s="2" t="inlineStr">
        <is>
          <t>CK_BIDV</t>
        </is>
      </c>
      <c r="E125" s="2" t="n">
        <v>5.2</v>
      </c>
      <c r="F125" s="5" t="n">
        <v>3750000</v>
      </c>
      <c r="G125" s="2" t="n">
        <v>100000</v>
      </c>
      <c r="H125" s="5" t="n">
        <v>429251250000</v>
      </c>
      <c r="I125" s="2" t="inlineStr"/>
      <c r="J125" s="4" t="n">
        <v>46245</v>
      </c>
      <c r="K125" s="4" t="n">
        <v>46196</v>
      </c>
      <c r="L125" s="2" t="inlineStr">
        <is>
          <t>AFS-DCM</t>
        </is>
      </c>
      <c r="M125" s="2" t="n">
        <v>4.5</v>
      </c>
    </row>
    <row r="126">
      <c r="A126" s="2" t="n">
        <v>50106</v>
      </c>
      <c r="B126" s="2" t="inlineStr">
        <is>
          <t>S</t>
        </is>
      </c>
      <c r="C126" s="2" t="inlineStr">
        <is>
          <t>TD1949206</t>
        </is>
      </c>
      <c r="D126" s="2" t="inlineStr">
        <is>
          <t>CK_BIDV</t>
        </is>
      </c>
      <c r="E126" s="2" t="n">
        <v>5.2</v>
      </c>
      <c r="F126" s="5" t="n">
        <v>3750000</v>
      </c>
      <c r="G126" s="2" t="n">
        <v>100000</v>
      </c>
      <c r="H126" s="5" t="n">
        <v>427597500000</v>
      </c>
      <c r="I126" s="2" t="inlineStr"/>
      <c r="J126" s="4" t="n">
        <v>46213</v>
      </c>
      <c r="K126" s="4" t="n">
        <v>46196</v>
      </c>
      <c r="L126" s="2" t="inlineStr">
        <is>
          <t>AFS-DCM</t>
        </is>
      </c>
      <c r="M126" s="2" t="n">
        <v>4.5</v>
      </c>
    </row>
    <row r="127">
      <c r="A127" s="2" t="n">
        <v>50105</v>
      </c>
      <c r="B127" s="2" t="inlineStr">
        <is>
          <t>B</t>
        </is>
      </c>
      <c r="C127" s="2" t="inlineStr">
        <is>
          <t>TD2535023</t>
        </is>
      </c>
      <c r="D127" s="2" t="inlineStr">
        <is>
          <t>CK_BIDV</t>
        </is>
      </c>
      <c r="E127" s="2" t="n">
        <v>2.9</v>
      </c>
      <c r="F127" s="5" t="n">
        <v>2000000</v>
      </c>
      <c r="G127" s="2" t="n">
        <v>100000</v>
      </c>
      <c r="H127" s="5" t="n">
        <v>190426000000</v>
      </c>
      <c r="I127" s="2" t="inlineStr"/>
      <c r="J127" s="4" t="n">
        <v>46245</v>
      </c>
      <c r="K127" s="4" t="n">
        <v>46196</v>
      </c>
      <c r="L127" s="2" t="inlineStr">
        <is>
          <t>AFS-DCM</t>
        </is>
      </c>
      <c r="M127" s="2" t="n">
        <v>3.745</v>
      </c>
    </row>
    <row r="128">
      <c r="A128" s="2" t="n">
        <v>50104</v>
      </c>
      <c r="B128" s="2" t="inlineStr">
        <is>
          <t>S</t>
        </is>
      </c>
      <c r="C128" s="2" t="inlineStr">
        <is>
          <t>TD2535023</t>
        </is>
      </c>
      <c r="D128" s="2" t="inlineStr">
        <is>
          <t>CK_BIDV</t>
        </is>
      </c>
      <c r="E128" s="2" t="n">
        <v>2.9</v>
      </c>
      <c r="F128" s="5" t="n">
        <v>2000000</v>
      </c>
      <c r="G128" s="2" t="n">
        <v>100000</v>
      </c>
      <c r="H128" s="5" t="n">
        <v>190022000000</v>
      </c>
      <c r="I128" s="2" t="inlineStr"/>
      <c r="J128" s="4" t="n">
        <v>46213</v>
      </c>
      <c r="K128" s="4" t="n">
        <v>46196</v>
      </c>
      <c r="L128" s="2" t="inlineStr">
        <is>
          <t>AFS-DCM</t>
        </is>
      </c>
      <c r="M128" s="2" t="n">
        <v>3.7301</v>
      </c>
    </row>
    <row r="129">
      <c r="A129" s="2" t="n">
        <v>50103</v>
      </c>
      <c r="B129" s="2" t="inlineStr">
        <is>
          <t>S</t>
        </is>
      </c>
      <c r="C129" s="2" t="inlineStr">
        <is>
          <t>TD2535028</t>
        </is>
      </c>
      <c r="D129" s="2" t="inlineStr">
        <is>
          <t>CK_AB</t>
        </is>
      </c>
      <c r="E129" s="2" t="n">
        <v>3.3</v>
      </c>
      <c r="F129" s="5" t="n">
        <v>1000000</v>
      </c>
      <c r="G129" s="2" t="n">
        <v>100000</v>
      </c>
      <c r="H129" s="5" t="n">
        <v>101529000000</v>
      </c>
      <c r="I129" s="2" t="inlineStr"/>
      <c r="J129" s="4" t="n">
        <v>46199</v>
      </c>
      <c r="K129" s="4" t="n">
        <v>46196</v>
      </c>
      <c r="L129" s="2" t="inlineStr">
        <is>
          <t>AFS-HUONG</t>
        </is>
      </c>
      <c r="M129" s="2" t="n">
        <v>3.48</v>
      </c>
    </row>
    <row r="130">
      <c r="A130" s="2" t="n">
        <v>50481</v>
      </c>
      <c r="B130" s="2" t="inlineStr">
        <is>
          <t>S</t>
        </is>
      </c>
      <c r="C130" s="2" t="inlineStr">
        <is>
          <t>TD2434024</t>
        </is>
      </c>
      <c r="D130" s="2" t="inlineStr">
        <is>
          <t>CK_VIETIN</t>
        </is>
      </c>
      <c r="E130" s="2" t="n">
        <v>2.7</v>
      </c>
      <c r="F130" s="5" t="n">
        <v>2000000</v>
      </c>
      <c r="G130" s="2" t="n">
        <v>100000</v>
      </c>
      <c r="H130" s="5" t="n">
        <v>195988000000</v>
      </c>
      <c r="I130" s="2" t="inlineStr"/>
      <c r="J130" s="4" t="n">
        <v>46268</v>
      </c>
      <c r="K130" s="4" t="n">
        <v>46253</v>
      </c>
      <c r="L130" s="2" t="inlineStr">
        <is>
          <t>AFS-DCM</t>
        </is>
      </c>
      <c r="M130" s="2" t="n">
        <v>3.0401</v>
      </c>
    </row>
    <row r="131">
      <c r="A131" s="2" t="n">
        <v>50482</v>
      </c>
      <c r="B131" s="2" t="inlineStr">
        <is>
          <t>B</t>
        </is>
      </c>
      <c r="C131" s="2" t="inlineStr">
        <is>
          <t>TD2434024</t>
        </is>
      </c>
      <c r="D131" s="2" t="inlineStr">
        <is>
          <t>CK_VIETIN</t>
        </is>
      </c>
      <c r="E131" s="2" t="n">
        <v>2.7</v>
      </c>
      <c r="F131" s="5" t="n">
        <v>2000000</v>
      </c>
      <c r="G131" s="2" t="n">
        <v>100000</v>
      </c>
      <c r="H131" s="5" t="n">
        <v>196068000000</v>
      </c>
      <c r="I131" s="2" t="inlineStr"/>
      <c r="J131" s="4" t="n">
        <v>46275</v>
      </c>
      <c r="K131" s="4" t="n">
        <v>46253</v>
      </c>
      <c r="L131" s="2" t="inlineStr">
        <is>
          <t>AFS-DCM</t>
        </is>
      </c>
      <c r="M131" s="2" t="n">
        <v>3.0425</v>
      </c>
    </row>
    <row r="132">
      <c r="A132" s="2" t="n">
        <v>50483</v>
      </c>
      <c r="B132" s="2" t="inlineStr">
        <is>
          <t>S</t>
        </is>
      </c>
      <c r="C132" s="2" t="inlineStr">
        <is>
          <t>TD2131012</t>
        </is>
      </c>
      <c r="D132" s="2" t="inlineStr">
        <is>
          <t>CK_VIETIN</t>
        </is>
      </c>
      <c r="E132" s="2" t="n">
        <v>2.2</v>
      </c>
      <c r="F132" s="5" t="n">
        <v>1000000</v>
      </c>
      <c r="G132" s="2" t="n">
        <v>100000</v>
      </c>
      <c r="H132" s="5" t="n">
        <v>98045000000</v>
      </c>
      <c r="I132" s="2" t="inlineStr"/>
      <c r="J132" s="4" t="n">
        <v>46268</v>
      </c>
      <c r="K132" s="4" t="n">
        <v>46253</v>
      </c>
      <c r="L132" s="2" t="inlineStr">
        <is>
          <t>AFS-DCM</t>
        </is>
      </c>
      <c r="M132" s="2" t="n">
        <v>3.0299</v>
      </c>
    </row>
    <row r="133">
      <c r="A133" s="2" t="n">
        <v>50484</v>
      </c>
      <c r="B133" s="2" t="inlineStr">
        <is>
          <t>B</t>
        </is>
      </c>
      <c r="C133" s="2" t="inlineStr">
        <is>
          <t>TD2131012</t>
        </is>
      </c>
      <c r="D133" s="2" t="inlineStr">
        <is>
          <t>CK_VIETIN</t>
        </is>
      </c>
      <c r="E133" s="2" t="n">
        <v>2.2</v>
      </c>
      <c r="F133" s="5" t="n">
        <v>1000000</v>
      </c>
      <c r="G133" s="2" t="n">
        <v>100000</v>
      </c>
      <c r="H133" s="5" t="n">
        <v>98091000000</v>
      </c>
      <c r="I133" s="2" t="inlineStr"/>
      <c r="J133" s="4" t="n">
        <v>46275</v>
      </c>
      <c r="K133" s="4" t="n">
        <v>46253</v>
      </c>
      <c r="L133" s="2" t="inlineStr">
        <is>
          <t>AFS-DCM</t>
        </is>
      </c>
      <c r="M133" s="2" t="n">
        <v>3.0325</v>
      </c>
    </row>
    <row r="134">
      <c r="A134" s="2" t="n">
        <v>50485</v>
      </c>
      <c r="B134" s="2" t="inlineStr">
        <is>
          <t>S</t>
        </is>
      </c>
      <c r="C134" s="2" t="inlineStr">
        <is>
          <t>TD2353151</t>
        </is>
      </c>
      <c r="D134" s="2" t="inlineStr">
        <is>
          <t>CK_VIETIN</t>
        </is>
      </c>
      <c r="E134" s="2" t="n">
        <v>4.2</v>
      </c>
      <c r="F134" s="5" t="n">
        <v>800000</v>
      </c>
      <c r="G134" s="2" t="n">
        <v>100000</v>
      </c>
      <c r="H134" s="5" t="n">
        <v>77934400000</v>
      </c>
      <c r="I134" s="2" t="inlineStr"/>
      <c r="J134" s="4" t="n">
        <v>46268</v>
      </c>
      <c r="K134" s="4" t="n">
        <v>46253</v>
      </c>
      <c r="L134" s="2" t="inlineStr">
        <is>
          <t>AFS-DCM</t>
        </is>
      </c>
      <c r="M134" s="2" t="n">
        <v>4.49</v>
      </c>
    </row>
    <row r="135">
      <c r="A135" s="2" t="n">
        <v>50486</v>
      </c>
      <c r="B135" s="2" t="inlineStr">
        <is>
          <t>B</t>
        </is>
      </c>
      <c r="C135" s="2" t="inlineStr">
        <is>
          <t>TD2353151</t>
        </is>
      </c>
      <c r="D135" s="2" t="inlineStr">
        <is>
          <t>CK_VIETIN</t>
        </is>
      </c>
      <c r="E135" s="2" t="n">
        <v>4.2</v>
      </c>
      <c r="F135" s="5" t="n">
        <v>800000</v>
      </c>
      <c r="G135" s="2" t="n">
        <v>100000</v>
      </c>
      <c r="H135" s="5" t="n">
        <v>78036000000</v>
      </c>
      <c r="I135" s="2" t="inlineStr"/>
      <c r="J135" s="4" t="n">
        <v>46275</v>
      </c>
      <c r="K135" s="4" t="n">
        <v>46253</v>
      </c>
      <c r="L135" s="2" t="inlineStr">
        <is>
          <t>AFS-DCM</t>
        </is>
      </c>
      <c r="M135" s="2" t="n">
        <v>4.487</v>
      </c>
    </row>
    <row r="136">
      <c r="A136" s="2" t="n">
        <v>50487</v>
      </c>
      <c r="B136" s="2" t="inlineStr">
        <is>
          <t>S</t>
        </is>
      </c>
      <c r="C136" s="2" t="inlineStr">
        <is>
          <t>TD2353151</t>
        </is>
      </c>
      <c r="D136" s="2" t="inlineStr">
        <is>
          <t>CK_THIENVI</t>
        </is>
      </c>
      <c r="E136" s="2" t="n">
        <v>4.2</v>
      </c>
      <c r="F136" s="5" t="n">
        <v>800000</v>
      </c>
      <c r="G136" s="2" t="n">
        <v>100000</v>
      </c>
      <c r="H136" s="5" t="n">
        <v>81529600000</v>
      </c>
      <c r="I136" s="2" t="inlineStr"/>
      <c r="J136" s="4" t="n">
        <v>46272</v>
      </c>
      <c r="K136" s="4" t="n">
        <v>46253</v>
      </c>
      <c r="L136" s="2" t="inlineStr">
        <is>
          <t>AFS-DCM</t>
        </is>
      </c>
      <c r="M136" s="2" t="n">
        <v>4.2</v>
      </c>
    </row>
    <row r="137">
      <c r="A137" s="2" t="n">
        <v>50488</v>
      </c>
      <c r="B137" s="2" t="inlineStr">
        <is>
          <t>B</t>
        </is>
      </c>
      <c r="C137" s="2" t="inlineStr">
        <is>
          <t>TD2353151</t>
        </is>
      </c>
      <c r="D137" s="2" t="inlineStr">
        <is>
          <t>CK_THIENVI</t>
        </is>
      </c>
      <c r="E137" s="2" t="n">
        <v>4.2</v>
      </c>
      <c r="F137" s="5" t="n">
        <v>800000</v>
      </c>
      <c r="G137" s="2" t="n">
        <v>100000</v>
      </c>
      <c r="H137" s="5" t="n">
        <v>81488000000</v>
      </c>
      <c r="I137" s="2" t="inlineStr"/>
      <c r="J137" s="4" t="n">
        <v>46273</v>
      </c>
      <c r="K137" s="4" t="n">
        <v>46253</v>
      </c>
      <c r="L137" s="2" t="inlineStr">
        <is>
          <t>AFS-DCM</t>
        </is>
      </c>
      <c r="M137" s="2" t="n">
        <v>4.204</v>
      </c>
    </row>
    <row r="138">
      <c r="A138" s="2" t="n">
        <v>50489</v>
      </c>
      <c r="B138" s="2" t="inlineStr">
        <is>
          <t>S</t>
        </is>
      </c>
      <c r="C138" s="2" t="inlineStr">
        <is>
          <t>TL1535300</t>
        </is>
      </c>
      <c r="D138" s="2" t="inlineStr">
        <is>
          <t>CK_THIENVI</t>
        </is>
      </c>
      <c r="E138" s="2" t="n">
        <v>7.75</v>
      </c>
      <c r="F138" s="5" t="n">
        <v>560000</v>
      </c>
      <c r="G138" s="2" t="n">
        <v>100000</v>
      </c>
      <c r="H138" s="5" t="n">
        <v>69697040000</v>
      </c>
      <c r="I138" s="2" t="inlineStr"/>
      <c r="J138" s="4" t="n">
        <v>46272</v>
      </c>
      <c r="K138" s="4" t="n">
        <v>46253</v>
      </c>
      <c r="L138" s="2" t="inlineStr">
        <is>
          <t>AFS-DCM</t>
        </is>
      </c>
      <c r="M138" s="2" t="n">
        <v>4.455</v>
      </c>
    </row>
    <row r="139">
      <c r="A139" s="2" t="n">
        <v>50490</v>
      </c>
      <c r="B139" s="2" t="inlineStr">
        <is>
          <t>B</t>
        </is>
      </c>
      <c r="C139" s="2" t="inlineStr">
        <is>
          <t>TL1535300</t>
        </is>
      </c>
      <c r="D139" s="2" t="inlineStr">
        <is>
          <t>CK_THIENVI</t>
        </is>
      </c>
      <c r="E139" s="2" t="n">
        <v>7.75</v>
      </c>
      <c r="F139" s="5" t="n">
        <v>560000</v>
      </c>
      <c r="G139" s="2" t="n">
        <v>100000</v>
      </c>
      <c r="H139" s="5" t="n">
        <v>69709920000</v>
      </c>
      <c r="I139" s="2" t="inlineStr"/>
      <c r="J139" s="4" t="n">
        <v>46273</v>
      </c>
      <c r="K139" s="4" t="n">
        <v>46253</v>
      </c>
      <c r="L139" s="2" t="inlineStr">
        <is>
          <t>AFS-DCM</t>
        </is>
      </c>
      <c r="M139" s="2" t="n">
        <v>4.454</v>
      </c>
    </row>
    <row r="140">
      <c r="A140" s="2" t="n">
        <v>50491</v>
      </c>
      <c r="B140" s="2" t="inlineStr">
        <is>
          <t>S</t>
        </is>
      </c>
      <c r="C140" s="2" t="inlineStr">
        <is>
          <t>TL1535300</t>
        </is>
      </c>
      <c r="D140" s="2" t="inlineStr">
        <is>
          <t>CK_BIDV</t>
        </is>
      </c>
      <c r="E140" s="2" t="n">
        <v>7.75</v>
      </c>
      <c r="F140" s="5" t="n">
        <v>440000</v>
      </c>
      <c r="G140" s="2" t="n">
        <v>100000</v>
      </c>
      <c r="H140" s="5" t="n">
        <v>54645360000</v>
      </c>
      <c r="I140" s="2" t="inlineStr"/>
      <c r="J140" s="4" t="n">
        <v>46272</v>
      </c>
      <c r="K140" s="4" t="n">
        <v>46253</v>
      </c>
      <c r="L140" s="2" t="inlineStr">
        <is>
          <t>AFS-DCM</t>
        </is>
      </c>
      <c r="M140" s="2" t="n">
        <v>4.487</v>
      </c>
    </row>
    <row r="141">
      <c r="A141" s="2" t="n">
        <v>50492</v>
      </c>
      <c r="B141" s="2" t="inlineStr">
        <is>
          <t>B</t>
        </is>
      </c>
      <c r="C141" s="2" t="inlineStr">
        <is>
          <t>TL1535300</t>
        </is>
      </c>
      <c r="D141" s="2" t="inlineStr">
        <is>
          <t>CK_BIDV</t>
        </is>
      </c>
      <c r="E141" s="2" t="n">
        <v>7.75</v>
      </c>
      <c r="F141" s="5" t="n">
        <v>440000</v>
      </c>
      <c r="G141" s="2" t="n">
        <v>100000</v>
      </c>
      <c r="H141" s="5" t="n">
        <v>54842920000</v>
      </c>
      <c r="I141" s="2" t="inlineStr"/>
      <c r="J141" s="4" t="n">
        <v>46302</v>
      </c>
      <c r="K141" s="4" t="n">
        <v>46253</v>
      </c>
      <c r="L141" s="2" t="inlineStr">
        <is>
          <t>AFS-DCM</t>
        </is>
      </c>
      <c r="M141" s="2" t="n">
        <v>4.487</v>
      </c>
    </row>
    <row r="142">
      <c r="A142" s="2" t="n">
        <v>50493</v>
      </c>
      <c r="B142" s="2" t="inlineStr">
        <is>
          <t>S</t>
        </is>
      </c>
      <c r="C142" s="2" t="inlineStr">
        <is>
          <t>TD2535023</t>
        </is>
      </c>
      <c r="D142" s="2" t="inlineStr">
        <is>
          <t>CK_BIDV</t>
        </is>
      </c>
      <c r="E142" s="2" t="n">
        <v>2.9</v>
      </c>
      <c r="F142" s="5" t="n">
        <v>1500000</v>
      </c>
      <c r="G142" s="2" t="n">
        <v>100000</v>
      </c>
      <c r="H142" s="5" t="n">
        <v>145956000000</v>
      </c>
      <c r="I142" s="2" t="inlineStr"/>
      <c r="J142" s="4" t="n">
        <v>46272</v>
      </c>
      <c r="K142" s="4" t="n">
        <v>46253</v>
      </c>
      <c r="L142" s="2" t="inlineStr">
        <is>
          <t>AFS-DCM</t>
        </is>
      </c>
      <c r="M142" s="2" t="n">
        <v>3.4821</v>
      </c>
    </row>
    <row r="143">
      <c r="A143" s="2" t="n">
        <v>50494</v>
      </c>
      <c r="B143" s="2" t="inlineStr">
        <is>
          <t>B</t>
        </is>
      </c>
      <c r="C143" s="2" t="inlineStr">
        <is>
          <t>TD2535023</t>
        </is>
      </c>
      <c r="D143" s="2" t="inlineStr">
        <is>
          <t>CK_BIDV</t>
        </is>
      </c>
      <c r="E143" s="2" t="n">
        <v>2.9</v>
      </c>
      <c r="F143" s="5" t="n">
        <v>1500000</v>
      </c>
      <c r="G143" s="2" t="n">
        <v>100000</v>
      </c>
      <c r="H143" s="5" t="n">
        <v>146352000000</v>
      </c>
      <c r="I143" s="2" t="inlineStr"/>
      <c r="J143" s="4" t="n">
        <v>46302</v>
      </c>
      <c r="K143" s="4" t="n">
        <v>46253</v>
      </c>
      <c r="L143" s="2" t="inlineStr">
        <is>
          <t>AFS-DCM</t>
        </is>
      </c>
      <c r="M143" s="2" t="n">
        <v>3.4836</v>
      </c>
    </row>
    <row r="144">
      <c r="A144" s="2" t="n">
        <v>50102</v>
      </c>
      <c r="B144" s="2" t="inlineStr">
        <is>
          <t>B</t>
        </is>
      </c>
      <c r="C144" s="2" t="inlineStr">
        <is>
          <t>TD2353151</t>
        </is>
      </c>
      <c r="D144" s="2" t="inlineStr">
        <is>
          <t>CK_AB</t>
        </is>
      </c>
      <c r="E144" s="2" t="n">
        <v>4.2</v>
      </c>
      <c r="F144" s="5" t="n">
        <v>700000</v>
      </c>
      <c r="G144" s="2" t="n">
        <v>100000</v>
      </c>
      <c r="H144" s="5" t="n">
        <v>71612800000</v>
      </c>
      <c r="I144" s="2" t="inlineStr"/>
      <c r="J144" s="4" t="n">
        <v>46202</v>
      </c>
      <c r="K144" s="4" t="n">
        <v>46196</v>
      </c>
      <c r="L144" s="2" t="inlineStr">
        <is>
          <t>AFS-DCM</t>
        </is>
      </c>
      <c r="M144" s="2" t="n">
        <v>4.1255</v>
      </c>
    </row>
    <row r="145">
      <c r="A145" s="2" t="n">
        <v>50101</v>
      </c>
      <c r="B145" s="2" t="inlineStr">
        <is>
          <t>S</t>
        </is>
      </c>
      <c r="C145" s="2" t="inlineStr">
        <is>
          <t>TD2353151</t>
        </is>
      </c>
      <c r="D145" s="2" t="inlineStr">
        <is>
          <t>CK_AB</t>
        </is>
      </c>
      <c r="E145" s="2" t="n">
        <v>4.2</v>
      </c>
      <c r="F145" s="5" t="n">
        <v>700000</v>
      </c>
      <c r="G145" s="2" t="n">
        <v>100000</v>
      </c>
      <c r="H145" s="5" t="n">
        <v>71651300000</v>
      </c>
      <c r="I145" s="2" t="inlineStr"/>
      <c r="J145" s="4" t="n">
        <v>46199</v>
      </c>
      <c r="K145" s="4" t="n">
        <v>46196</v>
      </c>
      <c r="L145" s="2" t="inlineStr">
        <is>
          <t>AFS-DCM</t>
        </is>
      </c>
      <c r="M145" s="2" t="n">
        <v>4.12</v>
      </c>
    </row>
    <row r="146">
      <c r="A146" s="2" t="n">
        <v>50100</v>
      </c>
      <c r="B146" s="2" t="inlineStr">
        <is>
          <t>B</t>
        </is>
      </c>
      <c r="C146" s="2" t="inlineStr">
        <is>
          <t>TD2535028</t>
        </is>
      </c>
      <c r="D146" s="2" t="inlineStr">
        <is>
          <t>CK_AB</t>
        </is>
      </c>
      <c r="E146" s="2" t="n">
        <v>3.3</v>
      </c>
      <c r="F146" s="5" t="n">
        <v>3500000</v>
      </c>
      <c r="G146" s="2" t="n">
        <v>100000</v>
      </c>
      <c r="H146" s="5" t="n">
        <v>355306000000</v>
      </c>
      <c r="I146" s="2" t="inlineStr"/>
      <c r="J146" s="4" t="n">
        <v>46202</v>
      </c>
      <c r="K146" s="4" t="n">
        <v>46196</v>
      </c>
      <c r="L146" s="2" t="inlineStr">
        <is>
          <t>AFS-DCM</t>
        </is>
      </c>
      <c r="M146" s="2" t="n">
        <v>3.4854</v>
      </c>
    </row>
    <row r="147">
      <c r="A147" s="2" t="n">
        <v>50099</v>
      </c>
      <c r="B147" s="2" t="inlineStr">
        <is>
          <t>S</t>
        </is>
      </c>
      <c r="C147" s="2" t="inlineStr">
        <is>
          <t>TD2535028</t>
        </is>
      </c>
      <c r="D147" s="2" t="inlineStr">
        <is>
          <t>CK_AB</t>
        </is>
      </c>
      <c r="E147" s="2" t="n">
        <v>3.3</v>
      </c>
      <c r="F147" s="5" t="n">
        <v>2500000</v>
      </c>
      <c r="G147" s="2" t="n">
        <v>100000</v>
      </c>
      <c r="H147" s="5" t="n">
        <v>253822500000</v>
      </c>
      <c r="I147" s="2" t="inlineStr"/>
      <c r="J147" s="4" t="n">
        <v>46199</v>
      </c>
      <c r="K147" s="4" t="n">
        <v>46196</v>
      </c>
      <c r="L147" s="2" t="inlineStr">
        <is>
          <t>AFS-DCM</t>
        </is>
      </c>
      <c r="M147" s="2" t="n">
        <v>3.48</v>
      </c>
    </row>
    <row r="148">
      <c r="A148" s="2" t="n">
        <v>50094</v>
      </c>
      <c r="B148" s="2" t="inlineStr">
        <is>
          <t>S</t>
        </is>
      </c>
      <c r="C148" s="2" t="inlineStr">
        <is>
          <t>TD2353151</t>
        </is>
      </c>
      <c r="D148" s="2" t="inlineStr">
        <is>
          <t>CK_VNDIREC</t>
        </is>
      </c>
      <c r="E148" s="2" t="n">
        <v>4.2</v>
      </c>
      <c r="F148" s="5" t="n">
        <v>700000</v>
      </c>
      <c r="G148" s="2" t="n">
        <v>100000</v>
      </c>
      <c r="H148" s="5" t="n">
        <v>77868000000</v>
      </c>
      <c r="I148" s="2" t="inlineStr"/>
      <c r="J148" s="4" t="n">
        <v>46196</v>
      </c>
      <c r="K148" s="4" t="n">
        <v>46195</v>
      </c>
      <c r="L148" s="2" t="inlineStr">
        <is>
          <t>AFS-DCM</t>
        </is>
      </c>
      <c r="M148" s="2" t="n">
        <v>3.6</v>
      </c>
    </row>
    <row r="149">
      <c r="A149" s="2" t="n">
        <v>50093</v>
      </c>
      <c r="B149" s="2" t="inlineStr">
        <is>
          <t>B</t>
        </is>
      </c>
      <c r="C149" s="2" t="inlineStr">
        <is>
          <t>TL1545363</t>
        </is>
      </c>
      <c r="D149" s="2" t="inlineStr">
        <is>
          <t>CK_VCB</t>
        </is>
      </c>
      <c r="E149" s="2" t="n">
        <v>8</v>
      </c>
      <c r="F149" s="5" t="n">
        <v>2650000</v>
      </c>
      <c r="G149" s="2" t="n">
        <v>100000</v>
      </c>
      <c r="H149" s="5" t="n">
        <v>407246700000</v>
      </c>
      <c r="I149" s="2" t="inlineStr"/>
      <c r="J149" s="4" t="n">
        <v>46203</v>
      </c>
      <c r="K149" s="4" t="n">
        <v>46192</v>
      </c>
      <c r="L149" s="2" t="inlineStr">
        <is>
          <t>AFS-DCM</t>
        </is>
      </c>
      <c r="M149" s="2" t="n">
        <v>4.2107</v>
      </c>
    </row>
    <row r="150">
      <c r="A150" s="2" t="n">
        <v>50092</v>
      </c>
      <c r="B150" s="2" t="inlineStr">
        <is>
          <t>S</t>
        </is>
      </c>
      <c r="C150" s="2" t="inlineStr">
        <is>
          <t>TL1545363</t>
        </is>
      </c>
      <c r="D150" s="2" t="inlineStr">
        <is>
          <t>CK_VCB</t>
        </is>
      </c>
      <c r="E150" s="2" t="n">
        <v>8</v>
      </c>
      <c r="F150" s="5" t="n">
        <v>2650000</v>
      </c>
      <c r="G150" s="2" t="n">
        <v>100000</v>
      </c>
      <c r="H150" s="5" t="n">
        <v>407050600000</v>
      </c>
      <c r="I150" s="2" t="inlineStr"/>
      <c r="J150" s="4" t="n">
        <v>46198</v>
      </c>
      <c r="K150" s="4" t="n">
        <v>46192</v>
      </c>
      <c r="L150" s="2" t="inlineStr">
        <is>
          <t>AFS-DCM</t>
        </is>
      </c>
      <c r="M150" s="2" t="n">
        <v>4.21</v>
      </c>
    </row>
    <row r="151">
      <c r="A151" s="2" t="n">
        <v>50091</v>
      </c>
      <c r="B151" s="2" t="inlineStr">
        <is>
          <t>B</t>
        </is>
      </c>
      <c r="C151" s="2" t="inlineStr">
        <is>
          <t>TD2131012</t>
        </is>
      </c>
      <c r="D151" s="2" t="inlineStr">
        <is>
          <t>CK_VCB</t>
        </is>
      </c>
      <c r="E151" s="2" t="n">
        <v>2.2</v>
      </c>
      <c r="F151" s="5" t="n">
        <v>1000000</v>
      </c>
      <c r="G151" s="2" t="n">
        <v>100000</v>
      </c>
      <c r="H151" s="5" t="n">
        <v>93398000000</v>
      </c>
      <c r="I151" s="2" t="inlineStr"/>
      <c r="J151" s="4" t="n">
        <v>46216</v>
      </c>
      <c r="K151" s="4" t="n">
        <v>46192</v>
      </c>
      <c r="L151" s="2" t="inlineStr">
        <is>
          <t>AFS-DCM</t>
        </is>
      </c>
      <c r="M151" s="2" t="n">
        <v>4.0999</v>
      </c>
    </row>
    <row r="152">
      <c r="A152" s="2" t="n">
        <v>50090</v>
      </c>
      <c r="B152" s="2" t="inlineStr">
        <is>
          <t>S</t>
        </is>
      </c>
      <c r="C152" s="2" t="inlineStr">
        <is>
          <t>TD2131012</t>
        </is>
      </c>
      <c r="D152" s="2" t="inlineStr">
        <is>
          <t>CK_VCB</t>
        </is>
      </c>
      <c r="E152" s="2" t="n">
        <v>2.2</v>
      </c>
      <c r="F152" s="5" t="n">
        <v>1000000</v>
      </c>
      <c r="G152" s="2" t="n">
        <v>100000</v>
      </c>
      <c r="H152" s="5" t="n">
        <v>93223000000</v>
      </c>
      <c r="I152" s="2" t="inlineStr"/>
      <c r="J152" s="4" t="n">
        <v>46199</v>
      </c>
      <c r="K152" s="4" t="n">
        <v>46192</v>
      </c>
      <c r="L152" s="2" t="inlineStr">
        <is>
          <t>AFS-DCM</t>
        </is>
      </c>
      <c r="M152" s="2" t="n">
        <v>4.1</v>
      </c>
    </row>
    <row r="153">
      <c r="A153" s="2" t="n">
        <v>50089</v>
      </c>
      <c r="B153" s="2" t="inlineStr">
        <is>
          <t>B</t>
        </is>
      </c>
      <c r="C153" s="2" t="inlineStr">
        <is>
          <t>TD2434024</t>
        </is>
      </c>
      <c r="D153" s="2" t="inlineStr">
        <is>
          <t>CK_VCB</t>
        </is>
      </c>
      <c r="E153" s="2" t="n">
        <v>2.7</v>
      </c>
      <c r="F153" s="5" t="n">
        <v>1000000</v>
      </c>
      <c r="G153" s="2" t="n">
        <v>100000</v>
      </c>
      <c r="H153" s="5" t="n">
        <v>99748000000</v>
      </c>
      <c r="I153" s="2" t="inlineStr"/>
      <c r="J153" s="4" t="n">
        <v>46216</v>
      </c>
      <c r="K153" s="4" t="n">
        <v>46192</v>
      </c>
      <c r="L153" s="2" t="inlineStr">
        <is>
          <t>AFS-DCM</t>
        </is>
      </c>
      <c r="M153" s="2" t="n">
        <v>3.1166</v>
      </c>
    </row>
    <row r="154">
      <c r="A154" s="2" t="n">
        <v>50551</v>
      </c>
      <c r="B154" s="2" t="inlineStr">
        <is>
          <t>S</t>
        </is>
      </c>
      <c r="C154" s="2" t="inlineStr">
        <is>
          <t>TD2333120</t>
        </is>
      </c>
      <c r="D154" s="2" t="inlineStr">
        <is>
          <t>CK_LPBS</t>
        </is>
      </c>
      <c r="E154" s="2" t="n">
        <v>2.4</v>
      </c>
      <c r="F154" s="5" t="n">
        <v>2000000</v>
      </c>
      <c r="G154" s="2" t="n">
        <v>100000</v>
      </c>
      <c r="H154" s="5" t="n">
        <v>193320000000</v>
      </c>
      <c r="I154" s="2" t="inlineStr"/>
      <c r="J154" s="4" t="n">
        <v>46260</v>
      </c>
      <c r="K154" s="4" t="n">
        <v>46255</v>
      </c>
      <c r="L154" s="2" t="inlineStr">
        <is>
          <t>AFS-DCM</t>
        </is>
      </c>
      <c r="M154" s="2" t="n">
        <v>3</v>
      </c>
    </row>
    <row r="155">
      <c r="A155" s="2" t="n">
        <v>50552</v>
      </c>
      <c r="B155" s="2" t="inlineStr">
        <is>
          <t>B</t>
        </is>
      </c>
      <c r="C155" s="2" t="inlineStr">
        <is>
          <t>TD2333120</t>
        </is>
      </c>
      <c r="D155" s="2" t="inlineStr">
        <is>
          <t>CK_LPBS</t>
        </is>
      </c>
      <c r="E155" s="2" t="n">
        <v>2.4</v>
      </c>
      <c r="F155" s="5" t="n">
        <v>2000000</v>
      </c>
      <c r="G155" s="2" t="n">
        <v>100000</v>
      </c>
      <c r="H155" s="5" t="n">
        <v>193282000000</v>
      </c>
      <c r="I155" s="2" t="inlineStr"/>
      <c r="J155" s="4" t="n">
        <v>46261</v>
      </c>
      <c r="K155" s="4" t="n">
        <v>46255</v>
      </c>
      <c r="L155" s="2" t="inlineStr">
        <is>
          <t>AFS-DCM</t>
        </is>
      </c>
      <c r="M155" s="2" t="n">
        <v>3.0045</v>
      </c>
    </row>
    <row r="156">
      <c r="A156" s="2" t="n">
        <v>50553</v>
      </c>
      <c r="B156" s="2" t="inlineStr">
        <is>
          <t>S</t>
        </is>
      </c>
      <c r="C156" s="2" t="inlineStr">
        <is>
          <t>TD2333117</t>
        </is>
      </c>
      <c r="D156" s="2" t="inlineStr">
        <is>
          <t>CK_LPBS</t>
        </is>
      </c>
      <c r="E156" s="2" t="n">
        <v>4.2</v>
      </c>
      <c r="F156" s="5" t="n">
        <v>1000000</v>
      </c>
      <c r="G156" s="2" t="n">
        <v>100000</v>
      </c>
      <c r="H156" s="5" t="n">
        <v>109336000000</v>
      </c>
      <c r="I156" s="2" t="inlineStr"/>
      <c r="J156" s="4" t="n">
        <v>46260</v>
      </c>
      <c r="K156" s="4" t="n">
        <v>46255</v>
      </c>
      <c r="L156" s="2" t="inlineStr">
        <is>
          <t>AFS-DCM</t>
        </is>
      </c>
      <c r="M156" s="2" t="n">
        <v>2.99</v>
      </c>
    </row>
    <row r="157">
      <c r="A157" s="2" t="n">
        <v>50554</v>
      </c>
      <c r="B157" s="2" t="inlineStr">
        <is>
          <t>B</t>
        </is>
      </c>
      <c r="C157" s="2" t="inlineStr">
        <is>
          <t>TD2333117</t>
        </is>
      </c>
      <c r="D157" s="2" t="inlineStr">
        <is>
          <t>CK_LPBS</t>
        </is>
      </c>
      <c r="E157" s="2" t="n">
        <v>4.2</v>
      </c>
      <c r="F157" s="5" t="n">
        <v>1000000</v>
      </c>
      <c r="G157" s="2" t="n">
        <v>100000</v>
      </c>
      <c r="H157" s="5" t="n">
        <v>109316000000</v>
      </c>
      <c r="I157" s="2" t="inlineStr"/>
      <c r="J157" s="4" t="n">
        <v>46261</v>
      </c>
      <c r="K157" s="4" t="n">
        <v>46255</v>
      </c>
      <c r="L157" s="2" t="inlineStr">
        <is>
          <t>AFS-DCM</t>
        </is>
      </c>
      <c r="M157" s="2" t="n">
        <v>2.9948</v>
      </c>
    </row>
    <row r="158">
      <c r="A158" s="2" t="n">
        <v>50555</v>
      </c>
      <c r="B158" s="2" t="inlineStr">
        <is>
          <t>S</t>
        </is>
      </c>
      <c r="C158" s="2" t="inlineStr">
        <is>
          <t>TD2333118</t>
        </is>
      </c>
      <c r="D158" s="2" t="inlineStr">
        <is>
          <t>CK_LPBS</t>
        </is>
      </c>
      <c r="E158" s="2" t="n">
        <v>4.1</v>
      </c>
      <c r="F158" s="5" t="n">
        <v>500000</v>
      </c>
      <c r="G158" s="2" t="n">
        <v>100000</v>
      </c>
      <c r="H158" s="5" t="n">
        <v>55426000000</v>
      </c>
      <c r="I158" s="2" t="inlineStr"/>
      <c r="J158" s="4" t="n">
        <v>46260</v>
      </c>
      <c r="K158" s="4" t="n">
        <v>46255</v>
      </c>
      <c r="L158" s="2" t="inlineStr">
        <is>
          <t>AFS-DCM</t>
        </is>
      </c>
      <c r="M158" s="2" t="n">
        <v>2.6099</v>
      </c>
    </row>
    <row r="159">
      <c r="A159" s="2" t="n">
        <v>50557</v>
      </c>
      <c r="B159" s="2" t="inlineStr">
        <is>
          <t>B</t>
        </is>
      </c>
      <c r="C159" s="2" t="inlineStr">
        <is>
          <t>TD2333118</t>
        </is>
      </c>
      <c r="D159" s="2" t="inlineStr">
        <is>
          <t>CK_LPBS</t>
        </is>
      </c>
      <c r="E159" s="2" t="n">
        <v>4.1</v>
      </c>
      <c r="F159" s="5" t="n">
        <v>500000</v>
      </c>
      <c r="G159" s="2" t="n">
        <v>100000</v>
      </c>
      <c r="H159" s="5" t="n">
        <v>55412500000</v>
      </c>
      <c r="I159" s="2" t="inlineStr"/>
      <c r="J159" s="4" t="n">
        <v>46261</v>
      </c>
      <c r="K159" s="4" t="n">
        <v>46255</v>
      </c>
      <c r="L159" s="2" t="inlineStr">
        <is>
          <t>AFS-DCM</t>
        </is>
      </c>
      <c r="M159" s="2" t="n">
        <v>2.6155</v>
      </c>
    </row>
    <row r="160">
      <c r="A160" s="2" t="n">
        <v>50558</v>
      </c>
      <c r="B160" s="2" t="inlineStr">
        <is>
          <t>S</t>
        </is>
      </c>
      <c r="C160" s="2" t="inlineStr">
        <is>
          <t>TD2353151</t>
        </is>
      </c>
      <c r="D160" s="2" t="inlineStr">
        <is>
          <t>CK_BIDV</t>
        </is>
      </c>
      <c r="E160" s="2" t="n">
        <v>4.2</v>
      </c>
      <c r="F160" s="5" t="n">
        <v>6234000</v>
      </c>
      <c r="G160" s="2" t="n">
        <v>100000</v>
      </c>
      <c r="H160" s="5" t="n">
        <v>619728174000</v>
      </c>
      <c r="I160" s="2" t="inlineStr"/>
      <c r="J160" s="4" t="n">
        <v>46273</v>
      </c>
      <c r="K160" s="4" t="n">
        <v>46255</v>
      </c>
      <c r="L160" s="2" t="inlineStr">
        <is>
          <t>AFS-DCM</t>
        </is>
      </c>
      <c r="M160" s="2" t="n">
        <v>4.3616</v>
      </c>
    </row>
    <row r="161">
      <c r="A161" s="2" t="n">
        <v>50559</v>
      </c>
      <c r="B161" s="2" t="inlineStr">
        <is>
          <t>B</t>
        </is>
      </c>
      <c r="C161" s="2" t="inlineStr">
        <is>
          <t>TD2353151</t>
        </is>
      </c>
      <c r="D161" s="2" t="inlineStr">
        <is>
          <t>CK_BIDV</t>
        </is>
      </c>
      <c r="E161" s="2" t="n">
        <v>4.2</v>
      </c>
      <c r="F161" s="5" t="n">
        <v>6234000</v>
      </c>
      <c r="G161" s="2" t="n">
        <v>100000</v>
      </c>
      <c r="H161" s="5" t="n">
        <v>621380184000</v>
      </c>
      <c r="I161" s="2" t="inlineStr"/>
      <c r="J161" s="4" t="n">
        <v>46300</v>
      </c>
      <c r="K161" s="4" t="n">
        <v>46255</v>
      </c>
      <c r="L161" s="2" t="inlineStr">
        <is>
          <t>AFS-DCM</t>
        </is>
      </c>
      <c r="M161" s="2" t="n">
        <v>4.3648</v>
      </c>
    </row>
    <row r="162">
      <c r="A162" s="2" t="n">
        <v>50560</v>
      </c>
      <c r="B162" s="2" t="inlineStr">
        <is>
          <t>S</t>
        </is>
      </c>
      <c r="C162" s="2" t="inlineStr">
        <is>
          <t>TD2353151</t>
        </is>
      </c>
      <c r="D162" s="2" t="inlineStr">
        <is>
          <t>CK_BIDV</t>
        </is>
      </c>
      <c r="E162" s="2" t="n">
        <v>4.2</v>
      </c>
      <c r="F162" s="5" t="n">
        <v>6500000</v>
      </c>
      <c r="G162" s="2" t="n">
        <v>100000</v>
      </c>
      <c r="H162" s="5" t="n">
        <v>622687000000</v>
      </c>
      <c r="I162" s="2" t="inlineStr"/>
      <c r="J162" s="4" t="n">
        <v>46274</v>
      </c>
      <c r="K162" s="4" t="n">
        <v>46255</v>
      </c>
      <c r="L162" s="2" t="inlineStr">
        <is>
          <t>AFS-DCM</t>
        </is>
      </c>
      <c r="M162" s="2" t="n">
        <v>4.6052</v>
      </c>
    </row>
    <row r="163">
      <c r="A163" s="2" t="n">
        <v>50561</v>
      </c>
      <c r="B163" s="2" t="inlineStr">
        <is>
          <t>B</t>
        </is>
      </c>
      <c r="C163" s="2" t="inlineStr">
        <is>
          <t>TD2353151</t>
        </is>
      </c>
      <c r="D163" s="2" t="inlineStr">
        <is>
          <t>CK_BIDV</t>
        </is>
      </c>
      <c r="E163" s="2" t="n">
        <v>4.2</v>
      </c>
      <c r="F163" s="5" t="n">
        <v>6500000</v>
      </c>
      <c r="G163" s="2" t="n">
        <v>100000</v>
      </c>
      <c r="H163" s="5" t="n">
        <v>624403000000</v>
      </c>
      <c r="I163" s="2" t="inlineStr"/>
      <c r="J163" s="4" t="n">
        <v>46302</v>
      </c>
      <c r="K163" s="4" t="n">
        <v>46255</v>
      </c>
      <c r="L163" s="2" t="inlineStr">
        <is>
          <t>AFS-DCM</t>
        </is>
      </c>
      <c r="M163" s="2" t="n">
        <v>4.6099</v>
      </c>
    </row>
    <row r="164">
      <c r="A164" s="2" t="n">
        <v>50088</v>
      </c>
      <c r="B164" s="2" t="inlineStr">
        <is>
          <t>S</t>
        </is>
      </c>
      <c r="C164" s="2" t="inlineStr">
        <is>
          <t>TD2434024</t>
        </is>
      </c>
      <c r="D164" s="2" t="inlineStr">
        <is>
          <t>CK_VCB</t>
        </is>
      </c>
      <c r="E164" s="2" t="n">
        <v>2.7</v>
      </c>
      <c r="F164" s="5" t="n">
        <v>1000000</v>
      </c>
      <c r="G164" s="2" t="n">
        <v>100000</v>
      </c>
      <c r="H164" s="5" t="n">
        <v>99582000000</v>
      </c>
      <c r="I164" s="2" t="inlineStr"/>
      <c r="J164" s="4" t="n">
        <v>46199</v>
      </c>
      <c r="K164" s="4" t="n">
        <v>46192</v>
      </c>
      <c r="L164" s="2" t="inlineStr">
        <is>
          <t>AFS-DCM</t>
        </is>
      </c>
      <c r="M164" s="2" t="n">
        <v>3.12</v>
      </c>
    </row>
    <row r="165">
      <c r="A165" s="2" t="n">
        <v>50086</v>
      </c>
      <c r="B165" s="2" t="inlineStr">
        <is>
          <t>S</t>
        </is>
      </c>
      <c r="C165" s="2" t="inlineStr">
        <is>
          <t>TD2434026</t>
        </is>
      </c>
      <c r="D165" s="2" t="inlineStr">
        <is>
          <t>CK_VNDIREC</t>
        </is>
      </c>
      <c r="E165" s="2" t="n">
        <v>2.6</v>
      </c>
      <c r="F165" s="5" t="n">
        <v>1500000</v>
      </c>
      <c r="G165" s="2" t="n">
        <v>100000</v>
      </c>
      <c r="H165" s="5" t="n">
        <v>148009500000</v>
      </c>
      <c r="I165" s="2" t="inlineStr"/>
      <c r="J165" s="4" t="n">
        <v>46196</v>
      </c>
      <c r="K165" s="4" t="n">
        <v>46192</v>
      </c>
      <c r="L165" s="2" t="inlineStr">
        <is>
          <t>AFS-DCM</t>
        </is>
      </c>
      <c r="M165" s="2" t="n">
        <v>3.05</v>
      </c>
    </row>
    <row r="166">
      <c r="A166" s="2" t="n">
        <v>50085</v>
      </c>
      <c r="B166" s="2" t="inlineStr">
        <is>
          <t>B</t>
        </is>
      </c>
      <c r="C166" s="2" t="inlineStr">
        <is>
          <t>TD2353151</t>
        </is>
      </c>
      <c r="D166" s="2" t="inlineStr">
        <is>
          <t>CK_VNDIREC</t>
        </is>
      </c>
      <c r="E166" s="2" t="n">
        <v>4.2</v>
      </c>
      <c r="F166" s="5" t="n">
        <v>700000</v>
      </c>
      <c r="G166" s="2" t="n">
        <v>100000</v>
      </c>
      <c r="H166" s="5" t="n">
        <v>77829500000</v>
      </c>
      <c r="I166" s="2" t="inlineStr"/>
      <c r="J166" s="4" t="n">
        <v>46197</v>
      </c>
      <c r="K166" s="4" t="n">
        <v>46192</v>
      </c>
      <c r="L166" s="2" t="inlineStr">
        <is>
          <t>AFS-DCM</t>
        </is>
      </c>
      <c r="M166" s="2" t="n">
        <v>3.6036</v>
      </c>
    </row>
    <row r="167">
      <c r="A167" s="2" t="n">
        <v>50083</v>
      </c>
      <c r="B167" s="2" t="inlineStr">
        <is>
          <t>B</t>
        </is>
      </c>
      <c r="C167" s="2" t="inlineStr">
        <is>
          <t>TD2434026</t>
        </is>
      </c>
      <c r="D167" s="2" t="inlineStr">
        <is>
          <t>CK_VNDIREC</t>
        </is>
      </c>
      <c r="E167" s="2" t="n">
        <v>2.6</v>
      </c>
      <c r="F167" s="5" t="n">
        <v>1500000</v>
      </c>
      <c r="G167" s="2" t="n">
        <v>100000</v>
      </c>
      <c r="H167" s="5" t="n">
        <v>147985500000</v>
      </c>
      <c r="I167" s="2" t="inlineStr"/>
      <c r="J167" s="4" t="n">
        <v>46197</v>
      </c>
      <c r="K167" s="4" t="n">
        <v>46192</v>
      </c>
      <c r="L167" s="2" t="inlineStr">
        <is>
          <t>AFS-DCM</t>
        </is>
      </c>
      <c r="M167" s="2" t="n">
        <v>3.0535</v>
      </c>
    </row>
    <row r="168">
      <c r="A168" s="2" t="n">
        <v>50082</v>
      </c>
      <c r="B168" s="2" t="inlineStr">
        <is>
          <t>B</t>
        </is>
      </c>
      <c r="C168" s="2" t="inlineStr">
        <is>
          <t>TD2535026</t>
        </is>
      </c>
      <c r="D168" s="2" t="inlineStr">
        <is>
          <t>CK_VNDIREC</t>
        </is>
      </c>
      <c r="E168" s="2" t="n">
        <v>2.9</v>
      </c>
      <c r="F168" s="5" t="n">
        <v>2000000</v>
      </c>
      <c r="G168" s="2" t="n">
        <v>100000</v>
      </c>
      <c r="H168" s="5" t="n">
        <v>197734000000</v>
      </c>
      <c r="I168" s="2" t="inlineStr"/>
      <c r="J168" s="4" t="n">
        <v>46197</v>
      </c>
      <c r="K168" s="4" t="n">
        <v>46192</v>
      </c>
      <c r="L168" s="2" t="inlineStr">
        <is>
          <t>AFS-DCM</t>
        </is>
      </c>
      <c r="M168" s="2" t="n">
        <v>3.1425</v>
      </c>
    </row>
    <row r="169">
      <c r="A169" s="2" t="n">
        <v>50081</v>
      </c>
      <c r="B169" s="2" t="inlineStr">
        <is>
          <t>S</t>
        </is>
      </c>
      <c r="C169" s="2" t="inlineStr">
        <is>
          <t>TD2535026</t>
        </is>
      </c>
      <c r="D169" s="2" t="inlineStr">
        <is>
          <t>CK_VNDIREC</t>
        </is>
      </c>
      <c r="E169" s="2" t="n">
        <v>2.9</v>
      </c>
      <c r="F169" s="5" t="n">
        <v>2000000</v>
      </c>
      <c r="G169" s="2" t="n">
        <v>100000</v>
      </c>
      <c r="H169" s="5" t="n">
        <v>197756000000</v>
      </c>
      <c r="I169" s="2" t="inlineStr"/>
      <c r="J169" s="4" t="n">
        <v>46196</v>
      </c>
      <c r="K169" s="4" t="n">
        <v>46192</v>
      </c>
      <c r="L169" s="2" t="inlineStr">
        <is>
          <t>AFS-DCM</t>
        </is>
      </c>
      <c r="M169" s="2" t="n">
        <v>3.14</v>
      </c>
    </row>
    <row r="170">
      <c r="A170" s="2" t="n">
        <v>50078</v>
      </c>
      <c r="B170" s="2" t="inlineStr">
        <is>
          <t>S</t>
        </is>
      </c>
      <c r="C170" s="2" t="inlineStr">
        <is>
          <t>TD1646503</t>
        </is>
      </c>
      <c r="D170" s="2" t="inlineStr">
        <is>
          <t>CK_SSI</t>
        </is>
      </c>
      <c r="E170" s="2" t="n">
        <v>7.9</v>
      </c>
      <c r="F170" s="5" t="n">
        <v>500000</v>
      </c>
      <c r="G170" s="2" t="n">
        <v>100000</v>
      </c>
      <c r="H170" s="5" t="n">
        <v>78578500000</v>
      </c>
      <c r="I170" s="2" t="inlineStr"/>
      <c r="J170" s="4" t="n">
        <v>46197</v>
      </c>
      <c r="K170" s="4" t="n">
        <v>46190</v>
      </c>
      <c r="L170" s="2" t="inlineStr">
        <is>
          <t>AFS-DCM</t>
        </is>
      </c>
      <c r="M170" s="2" t="n">
        <v>4.1</v>
      </c>
    </row>
    <row r="171">
      <c r="A171" s="2" t="n">
        <v>50077</v>
      </c>
      <c r="B171" s="2" t="inlineStr">
        <is>
          <t>B</t>
        </is>
      </c>
      <c r="C171" s="2" t="inlineStr">
        <is>
          <t>TD1646503</t>
        </is>
      </c>
      <c r="D171" s="2" t="inlineStr">
        <is>
          <t>CK_SSI</t>
        </is>
      </c>
      <c r="E171" s="2" t="n">
        <v>7.9</v>
      </c>
      <c r="F171" s="5" t="n">
        <v>500000</v>
      </c>
      <c r="G171" s="2" t="n">
        <v>100000</v>
      </c>
      <c r="H171" s="5" t="n">
        <v>78647500000</v>
      </c>
      <c r="I171" s="2" t="inlineStr"/>
      <c r="J171" s="4" t="n">
        <v>46205</v>
      </c>
      <c r="K171" s="4" t="n">
        <v>46190</v>
      </c>
      <c r="L171" s="2" t="inlineStr">
        <is>
          <t>AFS-DCM</t>
        </is>
      </c>
      <c r="M171" s="2" t="n">
        <v>4.1</v>
      </c>
    </row>
    <row r="172">
      <c r="A172" s="2" t="n">
        <v>50076</v>
      </c>
      <c r="B172" s="2" t="inlineStr">
        <is>
          <t>B</t>
        </is>
      </c>
      <c r="C172" s="2" t="inlineStr">
        <is>
          <t>TD2040031</t>
        </is>
      </c>
      <c r="D172" s="2" t="inlineStr">
        <is>
          <t>CK_SSI</t>
        </is>
      </c>
      <c r="E172" s="2" t="n">
        <v>3.6</v>
      </c>
      <c r="F172" s="5" t="n">
        <v>2500000</v>
      </c>
      <c r="G172" s="2" t="n">
        <v>100000</v>
      </c>
      <c r="H172" s="5" t="n">
        <v>235020000000</v>
      </c>
      <c r="I172" s="2" t="inlineStr"/>
      <c r="J172" s="4" t="n">
        <v>46205</v>
      </c>
      <c r="K172" s="4" t="n">
        <v>46190</v>
      </c>
      <c r="L172" s="2" t="inlineStr">
        <is>
          <t>AFS-DCM</t>
        </is>
      </c>
      <c r="M172" s="2" t="n">
        <v>4.3648</v>
      </c>
    </row>
    <row r="173">
      <c r="A173" s="2" t="n">
        <v>50075</v>
      </c>
      <c r="B173" s="2" t="inlineStr">
        <is>
          <t>S</t>
        </is>
      </c>
      <c r="C173" s="2" t="inlineStr">
        <is>
          <t>TD2040031</t>
        </is>
      </c>
      <c r="D173" s="2" t="inlineStr">
        <is>
          <t>CK_SSI</t>
        </is>
      </c>
      <c r="E173" s="2" t="n">
        <v>3.6</v>
      </c>
      <c r="F173" s="5" t="n">
        <v>2500000</v>
      </c>
      <c r="G173" s="2" t="n">
        <v>100000</v>
      </c>
      <c r="H173" s="5" t="n">
        <v>234855000000</v>
      </c>
      <c r="I173" s="2" t="inlineStr"/>
      <c r="J173" s="4" t="n">
        <v>46197</v>
      </c>
      <c r="K173" s="4" t="n">
        <v>46190</v>
      </c>
      <c r="L173" s="2" t="inlineStr">
        <is>
          <t>AFS-DCM</t>
        </is>
      </c>
      <c r="M173" s="2" t="n">
        <v>4.3625</v>
      </c>
    </row>
    <row r="174">
      <c r="A174" s="2" t="n">
        <v>50074</v>
      </c>
      <c r="B174" s="2" t="inlineStr">
        <is>
          <t>B</t>
        </is>
      </c>
      <c r="C174" s="2" t="inlineStr">
        <is>
          <t>TL1545363</t>
        </is>
      </c>
      <c r="D174" s="2" t="inlineStr">
        <is>
          <t>CK_VIETIN</t>
        </is>
      </c>
      <c r="E174" s="2" t="n">
        <v>8</v>
      </c>
      <c r="F174" s="5" t="n">
        <v>580000</v>
      </c>
      <c r="G174" s="2" t="n">
        <v>100000</v>
      </c>
      <c r="H174" s="5" t="n">
        <v>91235740000</v>
      </c>
      <c r="I174" s="2" t="inlineStr"/>
      <c r="J174" s="4" t="n">
        <v>46205</v>
      </c>
      <c r="K174" s="4" t="n">
        <v>46190</v>
      </c>
      <c r="L174" s="2" t="inlineStr">
        <is>
          <t>AFS-DCM</t>
        </is>
      </c>
      <c r="M174" s="2" t="n">
        <v>4.0078</v>
      </c>
    </row>
    <row r="175">
      <c r="A175" s="2" t="n">
        <v>50073</v>
      </c>
      <c r="B175" s="2" t="inlineStr">
        <is>
          <t>S</t>
        </is>
      </c>
      <c r="C175" s="2" t="inlineStr">
        <is>
          <t>TL1545363</t>
        </is>
      </c>
      <c r="D175" s="2" t="inlineStr">
        <is>
          <t>CK_VIETIN</t>
        </is>
      </c>
      <c r="E175" s="2" t="n">
        <v>8</v>
      </c>
      <c r="F175" s="5" t="n">
        <v>580000</v>
      </c>
      <c r="G175" s="2" t="n">
        <v>100000</v>
      </c>
      <c r="H175" s="5" t="n">
        <v>91235740000</v>
      </c>
      <c r="I175" s="2" t="inlineStr"/>
      <c r="J175" s="4" t="n">
        <v>46204</v>
      </c>
      <c r="K175" s="4" t="n">
        <v>46190</v>
      </c>
      <c r="L175" s="2" t="inlineStr">
        <is>
          <t>AFS-DCM</t>
        </is>
      </c>
      <c r="M175" s="2" t="n">
        <v>4.0069</v>
      </c>
    </row>
    <row r="176">
      <c r="A176" s="2" t="n">
        <v>50072</v>
      </c>
      <c r="B176" s="2" t="inlineStr">
        <is>
          <t>B</t>
        </is>
      </c>
      <c r="C176" s="2" t="inlineStr">
        <is>
          <t>TD1646503</t>
        </is>
      </c>
      <c r="D176" s="2" t="inlineStr">
        <is>
          <t>CK_VIETIN</t>
        </is>
      </c>
      <c r="E176" s="2" t="n">
        <v>7.9</v>
      </c>
      <c r="F176" s="5" t="n">
        <v>950000</v>
      </c>
      <c r="G176" s="2" t="n">
        <v>100000</v>
      </c>
      <c r="H176" s="5" t="n">
        <v>151087050000</v>
      </c>
      <c r="I176" s="2" t="inlineStr"/>
      <c r="J176" s="4" t="n">
        <v>46205</v>
      </c>
      <c r="K176" s="4" t="n">
        <v>46189</v>
      </c>
      <c r="L176" s="2" t="inlineStr">
        <is>
          <t>AFS-DCM</t>
        </is>
      </c>
      <c r="M176" s="2" t="n">
        <v>4.005</v>
      </c>
    </row>
    <row r="177">
      <c r="A177" s="2" t="n">
        <v>50071</v>
      </c>
      <c r="B177" s="2" t="inlineStr">
        <is>
          <t>S</t>
        </is>
      </c>
      <c r="C177" s="2" t="inlineStr">
        <is>
          <t>TD1646503</t>
        </is>
      </c>
      <c r="D177" s="2" t="inlineStr">
        <is>
          <t>CK_VIETIN</t>
        </is>
      </c>
      <c r="E177" s="2" t="n">
        <v>7.9</v>
      </c>
      <c r="F177" s="5" t="n">
        <v>950000</v>
      </c>
      <c r="G177" s="2" t="n">
        <v>100000</v>
      </c>
      <c r="H177" s="5" t="n">
        <v>151049050000</v>
      </c>
      <c r="I177" s="2" t="inlineStr"/>
      <c r="J177" s="4" t="n">
        <v>46202</v>
      </c>
      <c r="K177" s="4" t="n">
        <v>46189</v>
      </c>
      <c r="L177" s="2" t="inlineStr">
        <is>
          <t>AFS-DCM</t>
        </is>
      </c>
      <c r="M177" s="2" t="n">
        <v>4.0044</v>
      </c>
    </row>
    <row r="178">
      <c r="A178" s="2" t="n">
        <v>50070</v>
      </c>
      <c r="B178" s="2" t="inlineStr">
        <is>
          <t>B</t>
        </is>
      </c>
      <c r="C178" s="2" t="inlineStr">
        <is>
          <t>TD1646503</t>
        </is>
      </c>
      <c r="D178" s="2" t="inlineStr">
        <is>
          <t>CK_VIETIN</t>
        </is>
      </c>
      <c r="E178" s="2" t="n">
        <v>7.9</v>
      </c>
      <c r="F178" s="5" t="n">
        <v>950000</v>
      </c>
      <c r="G178" s="2" t="n">
        <v>100000</v>
      </c>
      <c r="H178" s="5" t="n">
        <v>150999650000</v>
      </c>
      <c r="I178" s="2" t="inlineStr"/>
      <c r="J178" s="4" t="n">
        <v>46199</v>
      </c>
      <c r="K178" s="4" t="n">
        <v>46189</v>
      </c>
      <c r="L178" s="2" t="inlineStr">
        <is>
          <t>AFS-DCM</t>
        </is>
      </c>
      <c r="M178" s="2" t="n">
        <v>4.0044</v>
      </c>
    </row>
    <row r="179">
      <c r="A179" s="2" t="n">
        <v>50069</v>
      </c>
      <c r="B179" s="2" t="inlineStr">
        <is>
          <t>S</t>
        </is>
      </c>
      <c r="C179" s="2" t="inlineStr">
        <is>
          <t>TD1646503</t>
        </is>
      </c>
      <c r="D179" s="2" t="inlineStr">
        <is>
          <t>CK_VIETIN</t>
        </is>
      </c>
      <c r="E179" s="2" t="n">
        <v>7.9</v>
      </c>
      <c r="F179" s="5" t="n">
        <v>950000</v>
      </c>
      <c r="G179" s="2" t="n">
        <v>100000</v>
      </c>
      <c r="H179" s="5" t="n">
        <v>150984450000</v>
      </c>
      <c r="I179" s="2" t="inlineStr"/>
      <c r="J179" s="4" t="n">
        <v>46196</v>
      </c>
      <c r="K179" s="4" t="n">
        <v>46189</v>
      </c>
      <c r="L179" s="2" t="inlineStr">
        <is>
          <t>AFS-DCM</t>
        </is>
      </c>
      <c r="M179" s="2" t="n">
        <v>4.0025</v>
      </c>
    </row>
    <row r="180">
      <c r="A180" s="2" t="n">
        <v>50068</v>
      </c>
      <c r="B180" s="2" t="inlineStr">
        <is>
          <t>B</t>
        </is>
      </c>
      <c r="C180" s="2" t="inlineStr">
        <is>
          <t>TD2535024</t>
        </is>
      </c>
      <c r="D180" s="2" t="inlineStr">
        <is>
          <t>CK_LPBS</t>
        </is>
      </c>
      <c r="E180" s="2" t="n">
        <v>2.9</v>
      </c>
      <c r="F180" s="5" t="n">
        <v>500000</v>
      </c>
      <c r="G180" s="2" t="n">
        <v>100000</v>
      </c>
      <c r="H180" s="5" t="n">
        <v>48469000000</v>
      </c>
      <c r="I180" s="2" t="inlineStr"/>
      <c r="J180" s="4" t="n">
        <v>46195</v>
      </c>
      <c r="K180" s="4" t="n">
        <v>46189</v>
      </c>
      <c r="L180" s="2" t="inlineStr">
        <is>
          <t>AFS-DCM</t>
        </is>
      </c>
      <c r="M180" s="2" t="n">
        <v>3.4185</v>
      </c>
    </row>
    <row r="181">
      <c r="A181" s="2" t="n">
        <v>50067</v>
      </c>
      <c r="B181" s="2" t="inlineStr">
        <is>
          <t>S</t>
        </is>
      </c>
      <c r="C181" s="2" t="inlineStr">
        <is>
          <t>TD2535024</t>
        </is>
      </c>
      <c r="D181" s="2" t="inlineStr">
        <is>
          <t>CK_LPBS</t>
        </is>
      </c>
      <c r="E181" s="2" t="n">
        <v>2.9</v>
      </c>
      <c r="F181" s="5" t="n">
        <v>500000</v>
      </c>
      <c r="G181" s="2" t="n">
        <v>100000</v>
      </c>
      <c r="H181" s="5" t="n">
        <v>48486500000</v>
      </c>
      <c r="I181" s="2" t="inlineStr"/>
      <c r="J181" s="4" t="n">
        <v>46192</v>
      </c>
      <c r="K181" s="4" t="n">
        <v>46189</v>
      </c>
      <c r="L181" s="2" t="inlineStr">
        <is>
          <t>AFS-HUONG</t>
        </is>
      </c>
      <c r="M181" s="2" t="n">
        <v>3.41</v>
      </c>
    </row>
    <row r="182">
      <c r="A182" s="2" t="n">
        <v>50066</v>
      </c>
      <c r="B182" s="2" t="inlineStr">
        <is>
          <t>B</t>
        </is>
      </c>
      <c r="C182" s="2" t="inlineStr">
        <is>
          <t>TD2434026</t>
        </is>
      </c>
      <c r="D182" s="2" t="inlineStr">
        <is>
          <t>CK_LPBS</t>
        </is>
      </c>
      <c r="E182" s="2" t="n">
        <v>2.6</v>
      </c>
      <c r="F182" s="5" t="n">
        <v>1500000</v>
      </c>
      <c r="G182" s="2" t="n">
        <v>100000</v>
      </c>
      <c r="H182" s="5" t="n">
        <v>147939000000</v>
      </c>
      <c r="I182" s="2" t="inlineStr"/>
      <c r="J182" s="4" t="n">
        <v>46195</v>
      </c>
      <c r="K182" s="4" t="n">
        <v>46189</v>
      </c>
      <c r="L182" s="2" t="inlineStr">
        <is>
          <t>AFS-DCM</t>
        </is>
      </c>
      <c r="M182" s="2" t="n">
        <v>3.0555</v>
      </c>
    </row>
    <row r="183">
      <c r="A183" s="2" t="n">
        <v>50065</v>
      </c>
      <c r="B183" s="2" t="inlineStr">
        <is>
          <t>S</t>
        </is>
      </c>
      <c r="C183" s="2" t="inlineStr">
        <is>
          <t>TD2434026</t>
        </is>
      </c>
      <c r="D183" s="2" t="inlineStr">
        <is>
          <t>CK_LPBS</t>
        </is>
      </c>
      <c r="E183" s="2" t="n">
        <v>2.6</v>
      </c>
      <c r="F183" s="5" t="n">
        <v>1500000</v>
      </c>
      <c r="G183" s="2" t="n">
        <v>100000</v>
      </c>
      <c r="H183" s="5" t="n">
        <v>147961500000</v>
      </c>
      <c r="I183" s="2" t="inlineStr"/>
      <c r="J183" s="4" t="n">
        <v>46192</v>
      </c>
      <c r="K183" s="4" t="n">
        <v>46189</v>
      </c>
      <c r="L183" s="2" t="inlineStr">
        <is>
          <t>AFS-HUONG</t>
        </is>
      </c>
      <c r="M183" s="2" t="n">
        <v>3.05</v>
      </c>
    </row>
    <row r="184">
      <c r="A184" s="2" t="n">
        <v>50064</v>
      </c>
      <c r="B184" s="2" t="inlineStr">
        <is>
          <t>S</t>
        </is>
      </c>
      <c r="C184" s="2" t="inlineStr">
        <is>
          <t>TD2141039</t>
        </is>
      </c>
      <c r="D184" s="2" t="inlineStr">
        <is>
          <t>QLQ_BAOVIE</t>
        </is>
      </c>
      <c r="E184" s="2" t="n">
        <v>2.7</v>
      </c>
      <c r="F184" s="5" t="n">
        <v>2500000</v>
      </c>
      <c r="G184" s="2" t="n">
        <v>100000</v>
      </c>
      <c r="H184" s="5" t="n">
        <v>202867500000</v>
      </c>
      <c r="I184" s="2" t="inlineStr"/>
      <c r="J184" s="4" t="n">
        <v>46335</v>
      </c>
      <c r="K184" s="4" t="n">
        <v>46189</v>
      </c>
      <c r="L184" s="2" t="inlineStr">
        <is>
          <t>AFS-DCM</t>
        </is>
      </c>
      <c r="M184" s="2" t="n">
        <v>4.7221</v>
      </c>
    </row>
    <row r="185">
      <c r="A185" s="2" t="n">
        <v>50063</v>
      </c>
      <c r="B185" s="2" t="inlineStr">
        <is>
          <t>S</t>
        </is>
      </c>
      <c r="C185" s="2" t="inlineStr">
        <is>
          <t>TD2141039</t>
        </is>
      </c>
      <c r="D185" s="2" t="inlineStr">
        <is>
          <t>QLQ_BAOVIE</t>
        </is>
      </c>
      <c r="E185" s="2" t="n">
        <v>2.7</v>
      </c>
      <c r="F185" s="5" t="n">
        <v>2000000</v>
      </c>
      <c r="G185" s="2" t="n">
        <v>100000</v>
      </c>
      <c r="H185" s="5" t="n">
        <v>162294000000</v>
      </c>
      <c r="I185" s="2" t="inlineStr"/>
      <c r="J185" s="4" t="n">
        <v>46335</v>
      </c>
      <c r="K185" s="4" t="n">
        <v>46189</v>
      </c>
      <c r="L185" s="2" t="inlineStr">
        <is>
          <t>AFS-DCM</t>
        </is>
      </c>
      <c r="M185" s="2" t="n">
        <v>4.7221</v>
      </c>
    </row>
    <row r="186">
      <c r="A186" s="2" t="n">
        <v>50062</v>
      </c>
      <c r="B186" s="2" t="inlineStr">
        <is>
          <t>S</t>
        </is>
      </c>
      <c r="C186" s="2" t="inlineStr">
        <is>
          <t>TD2237126</t>
        </is>
      </c>
      <c r="D186" s="2" t="inlineStr">
        <is>
          <t>QLQ_BAOVIE</t>
        </is>
      </c>
      <c r="E186" s="2" t="n">
        <v>4.9</v>
      </c>
      <c r="F186" s="5" t="n">
        <v>1670000</v>
      </c>
      <c r="G186" s="2" t="n">
        <v>100000</v>
      </c>
      <c r="H186" s="5" t="n">
        <v>178128880000</v>
      </c>
      <c r="I186" s="2" t="inlineStr"/>
      <c r="J186" s="4" t="n">
        <v>46335</v>
      </c>
      <c r="K186" s="4" t="n">
        <v>46189</v>
      </c>
      <c r="L186" s="2" t="inlineStr">
        <is>
          <t>AFS-DCM</t>
        </is>
      </c>
      <c r="M186" s="2" t="n">
        <v>4.6785</v>
      </c>
    </row>
    <row r="187">
      <c r="A187" s="2" t="n">
        <v>50061</v>
      </c>
      <c r="B187" s="2" t="inlineStr">
        <is>
          <t>S</t>
        </is>
      </c>
      <c r="C187" s="2" t="inlineStr">
        <is>
          <t>TD2237126</t>
        </is>
      </c>
      <c r="D187" s="2" t="inlineStr">
        <is>
          <t>QLQ_BAOVIE</t>
        </is>
      </c>
      <c r="E187" s="2" t="n">
        <v>4.9</v>
      </c>
      <c r="F187" s="5" t="n">
        <v>7210000</v>
      </c>
      <c r="G187" s="2" t="n">
        <v>100000</v>
      </c>
      <c r="H187" s="5" t="n">
        <v>769047440000</v>
      </c>
      <c r="I187" s="2" t="inlineStr"/>
      <c r="J187" s="4" t="n">
        <v>46335</v>
      </c>
      <c r="K187" s="4" t="n">
        <v>46189</v>
      </c>
      <c r="L187" s="2" t="inlineStr">
        <is>
          <t>AFS-DCM</t>
        </is>
      </c>
      <c r="M187" s="2" t="n">
        <v>4.6785</v>
      </c>
    </row>
    <row r="188">
      <c r="A188" s="2" t="n">
        <v>50060</v>
      </c>
      <c r="B188" s="2" t="inlineStr">
        <is>
          <t>B</t>
        </is>
      </c>
      <c r="C188" s="2" t="inlineStr">
        <is>
          <t>TD2141039</t>
        </is>
      </c>
      <c r="D188" s="2" t="inlineStr">
        <is>
          <t>QLQ_BAOVIE</t>
        </is>
      </c>
      <c r="E188" s="2" t="n">
        <v>2.7</v>
      </c>
      <c r="F188" s="5" t="n">
        <v>2500000</v>
      </c>
      <c r="G188" s="2" t="n">
        <v>100000</v>
      </c>
      <c r="H188" s="5" t="n">
        <v>199695000000</v>
      </c>
      <c r="I188" s="2" t="inlineStr"/>
      <c r="J188" s="4" t="n">
        <v>46190</v>
      </c>
      <c r="K188" s="4" t="n">
        <v>46189</v>
      </c>
      <c r="L188" s="2" t="inlineStr">
        <is>
          <t>AFS-DCM</t>
        </is>
      </c>
      <c r="M188" s="2" t="n">
        <v>4.7</v>
      </c>
    </row>
    <row r="189">
      <c r="A189" s="2" t="n">
        <v>50059</v>
      </c>
      <c r="B189" s="2" t="inlineStr">
        <is>
          <t>B</t>
        </is>
      </c>
      <c r="C189" s="2" t="inlineStr">
        <is>
          <t>TD2141039</t>
        </is>
      </c>
      <c r="D189" s="2" t="inlineStr">
        <is>
          <t>QLQ_BAOVIE</t>
        </is>
      </c>
      <c r="E189" s="2" t="n">
        <v>2.7</v>
      </c>
      <c r="F189" s="5" t="n">
        <v>2000000</v>
      </c>
      <c r="G189" s="2" t="n">
        <v>100000</v>
      </c>
      <c r="H189" s="5" t="n">
        <v>159756000000</v>
      </c>
      <c r="I189" s="2" t="inlineStr"/>
      <c r="J189" s="4" t="n">
        <v>46190</v>
      </c>
      <c r="K189" s="4" t="n">
        <v>46189</v>
      </c>
      <c r="L189" s="2" t="inlineStr">
        <is>
          <t>AFS-DCM</t>
        </is>
      </c>
      <c r="M189" s="2" t="n">
        <v>4.7</v>
      </c>
    </row>
    <row r="190">
      <c r="A190" s="2" t="n">
        <v>50058</v>
      </c>
      <c r="B190" s="2" t="inlineStr">
        <is>
          <t>B</t>
        </is>
      </c>
      <c r="C190" s="2" t="inlineStr">
        <is>
          <t>TD2237126</t>
        </is>
      </c>
      <c r="D190" s="2" t="inlineStr">
        <is>
          <t>QLQ_BAOVIE</t>
        </is>
      </c>
      <c r="E190" s="2" t="n">
        <v>4.9</v>
      </c>
      <c r="F190" s="5" t="n">
        <v>1670000</v>
      </c>
      <c r="G190" s="2" t="n">
        <v>100000</v>
      </c>
      <c r="H190" s="5" t="n">
        <v>175343320000</v>
      </c>
      <c r="I190" s="2" t="inlineStr"/>
      <c r="J190" s="4" t="n">
        <v>46190</v>
      </c>
      <c r="K190" s="4" t="n">
        <v>46189</v>
      </c>
      <c r="L190" s="2" t="inlineStr">
        <is>
          <t>AFS-DCM</t>
        </is>
      </c>
      <c r="M190" s="2" t="n">
        <v>4.65</v>
      </c>
    </row>
    <row r="191">
      <c r="A191" s="2" t="n">
        <v>50057</v>
      </c>
      <c r="B191" s="2" t="inlineStr">
        <is>
          <t>B</t>
        </is>
      </c>
      <c r="C191" s="2" t="inlineStr">
        <is>
          <t>TD2237126</t>
        </is>
      </c>
      <c r="D191" s="2" t="inlineStr">
        <is>
          <t>QLQ_BAOVIE</t>
        </is>
      </c>
      <c r="E191" s="2" t="n">
        <v>4.9</v>
      </c>
      <c r="F191" s="5" t="n">
        <v>7210000</v>
      </c>
      <c r="G191" s="2" t="n">
        <v>100000</v>
      </c>
      <c r="H191" s="5" t="n">
        <v>757021160000</v>
      </c>
      <c r="I191" s="2" t="inlineStr"/>
      <c r="J191" s="4" t="n">
        <v>46190</v>
      </c>
      <c r="K191" s="4" t="n">
        <v>46189</v>
      </c>
      <c r="L191" s="2" t="inlineStr">
        <is>
          <t>AFS-DCM</t>
        </is>
      </c>
      <c r="M191" s="2" t="n">
        <v>4.65</v>
      </c>
    </row>
    <row r="192">
      <c r="A192" s="2" t="n">
        <v>50056</v>
      </c>
      <c r="B192" s="2" t="inlineStr">
        <is>
          <t>S</t>
        </is>
      </c>
      <c r="C192" s="2" t="inlineStr">
        <is>
          <t>TD2050036</t>
        </is>
      </c>
      <c r="D192" s="2" t="inlineStr">
        <is>
          <t>QLQ_BAOVIE</t>
        </is>
      </c>
      <c r="E192" s="2" t="n">
        <v>3.2</v>
      </c>
      <c r="F192" s="5" t="n">
        <v>2500000</v>
      </c>
      <c r="G192" s="2" t="n">
        <v>100000</v>
      </c>
      <c r="H192" s="5" t="n">
        <v>201045000000</v>
      </c>
      <c r="I192" s="2" t="inlineStr"/>
      <c r="J192" s="4" t="n">
        <v>46301</v>
      </c>
      <c r="K192" s="4" t="n">
        <v>46189</v>
      </c>
      <c r="L192" s="2" t="inlineStr">
        <is>
          <t>AFS-DCM</t>
        </is>
      </c>
      <c r="M192" s="2" t="n">
        <v>4.8148</v>
      </c>
    </row>
    <row r="193">
      <c r="A193" s="2" t="n">
        <v>50055</v>
      </c>
      <c r="B193" s="2" t="inlineStr">
        <is>
          <t>S</t>
        </is>
      </c>
      <c r="C193" s="2" t="inlineStr">
        <is>
          <t>TD2050036</t>
        </is>
      </c>
      <c r="D193" s="2" t="inlineStr">
        <is>
          <t>QLQ_BAOVIE</t>
        </is>
      </c>
      <c r="E193" s="2" t="n">
        <v>3.2</v>
      </c>
      <c r="F193" s="5" t="n">
        <v>5200000</v>
      </c>
      <c r="G193" s="2" t="n">
        <v>100000</v>
      </c>
      <c r="H193" s="5" t="n">
        <v>418173600000</v>
      </c>
      <c r="I193" s="2" t="inlineStr"/>
      <c r="J193" s="4" t="n">
        <v>46301</v>
      </c>
      <c r="K193" s="4" t="n">
        <v>46189</v>
      </c>
      <c r="L193" s="2" t="inlineStr">
        <is>
          <t>AFS-DCM</t>
        </is>
      </c>
      <c r="M193" s="2" t="n">
        <v>4.8148</v>
      </c>
    </row>
    <row r="194">
      <c r="A194" s="2" t="n">
        <v>50054</v>
      </c>
      <c r="B194" s="2" t="inlineStr">
        <is>
          <t>B</t>
        </is>
      </c>
      <c r="C194" s="2" t="inlineStr">
        <is>
          <t>TD2050036</t>
        </is>
      </c>
      <c r="D194" s="2" t="inlineStr">
        <is>
          <t>QLQ_BAOVIE</t>
        </is>
      </c>
      <c r="E194" s="2" t="n">
        <v>3.2</v>
      </c>
      <c r="F194" s="5" t="n">
        <v>2500000</v>
      </c>
      <c r="G194" s="2" t="n">
        <v>100000</v>
      </c>
      <c r="H194" s="5" t="n">
        <v>198630000000</v>
      </c>
      <c r="I194" s="2" t="inlineStr"/>
      <c r="J194" s="4" t="n">
        <v>46190</v>
      </c>
      <c r="K194" s="4" t="n">
        <v>46189</v>
      </c>
      <c r="L194" s="2" t="inlineStr">
        <is>
          <t>AFS-DCM</t>
        </is>
      </c>
      <c r="M194" s="2" t="n">
        <v>4.8</v>
      </c>
    </row>
    <row r="195">
      <c r="A195" s="2" t="n">
        <v>50053</v>
      </c>
      <c r="B195" s="2" t="inlineStr">
        <is>
          <t>B</t>
        </is>
      </c>
      <c r="C195" s="2" t="inlineStr">
        <is>
          <t>TD2050036</t>
        </is>
      </c>
      <c r="D195" s="2" t="inlineStr">
        <is>
          <t>QLQ_BAOVIE</t>
        </is>
      </c>
      <c r="E195" s="2" t="n">
        <v>3.2</v>
      </c>
      <c r="F195" s="5" t="n">
        <v>5200000</v>
      </c>
      <c r="G195" s="2" t="n">
        <v>100000</v>
      </c>
      <c r="H195" s="5" t="n">
        <v>413150400000</v>
      </c>
      <c r="I195" s="2" t="inlineStr"/>
      <c r="J195" s="4" t="n">
        <v>46190</v>
      </c>
      <c r="K195" s="4" t="n">
        <v>46189</v>
      </c>
      <c r="L195" s="2" t="inlineStr">
        <is>
          <t>AFS-DCM</t>
        </is>
      </c>
      <c r="M195" s="2" t="n">
        <v>4.8</v>
      </c>
    </row>
    <row r="196">
      <c r="A196" s="2" t="n">
        <v>50052</v>
      </c>
      <c r="B196" s="2" t="inlineStr">
        <is>
          <t>S</t>
        </is>
      </c>
      <c r="C196" s="2" t="inlineStr">
        <is>
          <t>TL1535300</t>
        </is>
      </c>
      <c r="D196" s="2" t="inlineStr">
        <is>
          <t>QLQ_BAOVIE</t>
        </is>
      </c>
      <c r="E196" s="2" t="n">
        <v>7.75</v>
      </c>
      <c r="F196" s="5" t="n">
        <v>8480000</v>
      </c>
      <c r="G196" s="2" t="n">
        <v>100000</v>
      </c>
      <c r="H196" s="5" t="n">
        <v>1115925600000</v>
      </c>
      <c r="I196" s="2" t="inlineStr">
        <is>
          <t>CHU (x1000)</t>
        </is>
      </c>
      <c r="J196" s="4" t="n">
        <v>46232</v>
      </c>
      <c r="K196" s="4" t="n">
        <v>46189</v>
      </c>
      <c r="L196" s="2" t="inlineStr">
        <is>
          <t>AFS-DCM</t>
        </is>
      </c>
      <c r="M196" s="2" t="n">
        <v>4.4565</v>
      </c>
    </row>
    <row r="197">
      <c r="A197" s="2" t="n">
        <v>50051</v>
      </c>
      <c r="B197" s="2" t="inlineStr">
        <is>
          <t>B</t>
        </is>
      </c>
      <c r="C197" s="2" t="inlineStr">
        <is>
          <t>TL1535300</t>
        </is>
      </c>
      <c r="D197" s="2" t="inlineStr">
        <is>
          <t>QLQ_BAOVIE</t>
        </is>
      </c>
      <c r="E197" s="2" t="n">
        <v>7.75</v>
      </c>
      <c r="F197" s="5" t="n">
        <v>8480000</v>
      </c>
      <c r="G197" s="2" t="n">
        <v>100000</v>
      </c>
      <c r="H197" s="5" t="n">
        <v>1110812160000</v>
      </c>
      <c r="I197" s="2" t="inlineStr">
        <is>
          <t>CHU (x1000)</t>
        </is>
      </c>
      <c r="J197" s="4" t="n">
        <v>46190</v>
      </c>
      <c r="K197" s="4" t="n">
        <v>46189</v>
      </c>
      <c r="L197" s="2" t="inlineStr">
        <is>
          <t>AFS-DCM</t>
        </is>
      </c>
      <c r="M197" s="2" t="n">
        <v>4.45</v>
      </c>
    </row>
    <row r="198">
      <c r="A198" s="2" t="n">
        <v>50050</v>
      </c>
      <c r="B198" s="2" t="inlineStr">
        <is>
          <t>B</t>
        </is>
      </c>
      <c r="C198" s="2" t="inlineStr">
        <is>
          <t>TD1646503</t>
        </is>
      </c>
      <c r="D198" s="2" t="inlineStr">
        <is>
          <t>CK_VIETIN</t>
        </is>
      </c>
      <c r="E198" s="2" t="n">
        <v>7.9</v>
      </c>
      <c r="F198" s="5" t="n">
        <v>1650000</v>
      </c>
      <c r="G198" s="2" t="n">
        <v>100000</v>
      </c>
      <c r="H198" s="5" t="n">
        <v>262508400000</v>
      </c>
      <c r="I198" s="2" t="inlineStr"/>
      <c r="J198" s="4" t="n">
        <v>46205</v>
      </c>
      <c r="K198" s="4" t="n">
        <v>46188</v>
      </c>
      <c r="L198" s="2" t="inlineStr">
        <is>
          <t>AFS-DCM</t>
        </is>
      </c>
      <c r="M198" s="2" t="n">
        <v>4.0019</v>
      </c>
    </row>
    <row r="199">
      <c r="A199" s="2" t="n">
        <v>50049</v>
      </c>
      <c r="B199" s="2" t="inlineStr">
        <is>
          <t>S</t>
        </is>
      </c>
      <c r="C199" s="2" t="inlineStr">
        <is>
          <t>TD1646503</t>
        </is>
      </c>
      <c r="D199" s="2" t="inlineStr">
        <is>
          <t>CK_VIETIN</t>
        </is>
      </c>
      <c r="E199" s="2" t="n">
        <v>7.9</v>
      </c>
      <c r="F199" s="5" t="n">
        <v>1650000</v>
      </c>
      <c r="G199" s="2" t="n">
        <v>100000</v>
      </c>
      <c r="H199" s="5" t="n">
        <v>262449000000</v>
      </c>
      <c r="I199" s="2" t="inlineStr"/>
      <c r="J199" s="4" t="n">
        <v>46202</v>
      </c>
      <c r="K199" s="4" t="n">
        <v>46188</v>
      </c>
      <c r="L199" s="2" t="inlineStr">
        <is>
          <t>AFS-DCM</t>
        </is>
      </c>
      <c r="M199" s="2" t="n">
        <v>4.0011</v>
      </c>
    </row>
    <row r="200">
      <c r="A200" s="2" t="n">
        <v>50048</v>
      </c>
      <c r="B200" s="2" t="inlineStr">
        <is>
          <t>B</t>
        </is>
      </c>
      <c r="C200" s="2" t="inlineStr">
        <is>
          <t>TD2535028</t>
        </is>
      </c>
      <c r="D200" s="2" t="inlineStr">
        <is>
          <t>CK_OCBS</t>
        </is>
      </c>
      <c r="E200" s="2" t="n">
        <v>3.3</v>
      </c>
      <c r="F200" s="5" t="n">
        <v>110000</v>
      </c>
      <c r="G200" s="2" t="n">
        <v>100000</v>
      </c>
      <c r="H200" s="5" t="n">
        <v>11159170000</v>
      </c>
      <c r="I200" s="2" t="inlineStr"/>
      <c r="J200" s="4" t="n">
        <v>46191</v>
      </c>
      <c r="K200" s="4" t="n">
        <v>46188</v>
      </c>
      <c r="L200" s="2" t="inlineStr">
        <is>
          <t>AFS-DCM</t>
        </is>
      </c>
      <c r="M200" s="2" t="n">
        <v>3.4808</v>
      </c>
    </row>
    <row r="201">
      <c r="A201" s="2" t="n">
        <v>50047</v>
      </c>
      <c r="B201" s="2" t="inlineStr">
        <is>
          <t>S</t>
        </is>
      </c>
      <c r="C201" s="2" t="inlineStr">
        <is>
          <t>TD2535028</t>
        </is>
      </c>
      <c r="D201" s="2" t="inlineStr">
        <is>
          <t>CK_OCBS</t>
        </is>
      </c>
      <c r="E201" s="2" t="n">
        <v>3.3</v>
      </c>
      <c r="F201" s="5" t="n">
        <v>110000</v>
      </c>
      <c r="G201" s="2" t="n">
        <v>100000</v>
      </c>
      <c r="H201" s="5" t="n">
        <v>11158730000</v>
      </c>
      <c r="I201" s="2" t="inlineStr"/>
      <c r="J201" s="4" t="n">
        <v>46190</v>
      </c>
      <c r="K201" s="4" t="n">
        <v>46188</v>
      </c>
      <c r="L201" s="2" t="inlineStr">
        <is>
          <t>AFS-DCM</t>
        </is>
      </c>
      <c r="M201" s="2" t="n">
        <v>3.48</v>
      </c>
    </row>
    <row r="202">
      <c r="A202" s="2" t="n">
        <v>50046</v>
      </c>
      <c r="B202" s="2" t="inlineStr">
        <is>
          <t>B</t>
        </is>
      </c>
      <c r="C202" s="2" t="inlineStr">
        <is>
          <t>TD2434026</t>
        </is>
      </c>
      <c r="D202" s="2" t="inlineStr">
        <is>
          <t>CK_OCBS</t>
        </is>
      </c>
      <c r="E202" s="2" t="n">
        <v>2.6</v>
      </c>
      <c r="F202" s="5" t="n">
        <v>1500000</v>
      </c>
      <c r="G202" s="2" t="n">
        <v>100000</v>
      </c>
      <c r="H202" s="5" t="n">
        <v>147996000000</v>
      </c>
      <c r="I202" s="2" t="inlineStr"/>
      <c r="J202" s="4" t="n">
        <v>46191</v>
      </c>
      <c r="K202" s="4" t="n">
        <v>46188</v>
      </c>
      <c r="L202" s="2" t="inlineStr">
        <is>
          <t>AFS-HUONG</t>
        </is>
      </c>
      <c r="M202" s="2" t="n">
        <v>3.0456</v>
      </c>
    </row>
    <row r="203">
      <c r="A203" s="2" t="n">
        <v>50045</v>
      </c>
      <c r="B203" s="2" t="inlineStr">
        <is>
          <t>S</t>
        </is>
      </c>
      <c r="C203" s="2" t="inlineStr">
        <is>
          <t>TD2434026</t>
        </is>
      </c>
      <c r="D203" s="2" t="inlineStr">
        <is>
          <t>CK_OCBS</t>
        </is>
      </c>
      <c r="E203" s="2" t="n">
        <v>2.6</v>
      </c>
      <c r="F203" s="5" t="n">
        <v>1500000</v>
      </c>
      <c r="G203" s="2" t="n">
        <v>100000</v>
      </c>
      <c r="H203" s="5" t="n">
        <v>148042500000</v>
      </c>
      <c r="I203" s="2" t="inlineStr"/>
      <c r="J203" s="4" t="n">
        <v>46190</v>
      </c>
      <c r="K203" s="4" t="n">
        <v>46188</v>
      </c>
      <c r="L203" s="2" t="inlineStr">
        <is>
          <t>AFS-HUONG</t>
        </is>
      </c>
      <c r="M203" s="2" t="n">
        <v>3.04</v>
      </c>
    </row>
    <row r="204">
      <c r="A204" s="2" t="n">
        <v>50044</v>
      </c>
      <c r="B204" s="2" t="inlineStr">
        <is>
          <t>B</t>
        </is>
      </c>
      <c r="C204" s="2" t="inlineStr">
        <is>
          <t>TD2535024</t>
        </is>
      </c>
      <c r="D204" s="2" t="inlineStr">
        <is>
          <t>CK_OCBS</t>
        </is>
      </c>
      <c r="E204" s="2" t="n">
        <v>2.9</v>
      </c>
      <c r="F204" s="5" t="n">
        <v>500000</v>
      </c>
      <c r="G204" s="2" t="n">
        <v>100000</v>
      </c>
      <c r="H204" s="5" t="n">
        <v>48482000000</v>
      </c>
      <c r="I204" s="2" t="inlineStr"/>
      <c r="J204" s="4" t="n">
        <v>46191</v>
      </c>
      <c r="K204" s="4" t="n">
        <v>46188</v>
      </c>
      <c r="L204" s="2" t="inlineStr">
        <is>
          <t>AFS-HUONG</t>
        </is>
      </c>
      <c r="M204" s="2" t="n">
        <v>3.41</v>
      </c>
    </row>
    <row r="205">
      <c r="A205" s="2" t="n">
        <v>50043</v>
      </c>
      <c r="B205" s="2" t="inlineStr">
        <is>
          <t>S</t>
        </is>
      </c>
      <c r="C205" s="2" t="inlineStr">
        <is>
          <t>TD2535024</t>
        </is>
      </c>
      <c r="D205" s="2" t="inlineStr">
        <is>
          <t>CK_OCBS</t>
        </is>
      </c>
      <c r="E205" s="2" t="n">
        <v>2.9</v>
      </c>
      <c r="F205" s="5" t="n">
        <v>500000</v>
      </c>
      <c r="G205" s="2" t="n">
        <v>100000</v>
      </c>
      <c r="H205" s="5" t="n">
        <v>48477500000</v>
      </c>
      <c r="I205" s="2" t="inlineStr"/>
      <c r="J205" s="4" t="n">
        <v>46190</v>
      </c>
      <c r="K205" s="4" t="n">
        <v>46188</v>
      </c>
      <c r="L205" s="2" t="inlineStr">
        <is>
          <t>AFS-HUONG</t>
        </is>
      </c>
      <c r="M205" s="2" t="n">
        <v>3.41</v>
      </c>
    </row>
    <row r="206">
      <c r="A206" s="2" t="n">
        <v>50042</v>
      </c>
      <c r="B206" s="2" t="inlineStr">
        <is>
          <t>B</t>
        </is>
      </c>
      <c r="C206" s="2" t="inlineStr">
        <is>
          <t>TL1545363</t>
        </is>
      </c>
      <c r="D206" s="2" t="inlineStr">
        <is>
          <t>CK_HDB</t>
        </is>
      </c>
      <c r="E206" s="2" t="n">
        <v>8</v>
      </c>
      <c r="F206" s="5" t="n">
        <v>580000</v>
      </c>
      <c r="G206" s="2" t="n">
        <v>100000</v>
      </c>
      <c r="H206" s="5" t="n">
        <v>91225880000</v>
      </c>
      <c r="I206" s="2" t="inlineStr"/>
      <c r="J206" s="4" t="n">
        <v>46203</v>
      </c>
      <c r="K206" s="4" t="n">
        <v>46188</v>
      </c>
      <c r="L206" s="2" t="inlineStr">
        <is>
          <t>AFS-DCM</t>
        </is>
      </c>
      <c r="M206" s="2" t="n">
        <v>4.0069</v>
      </c>
    </row>
    <row r="207">
      <c r="A207" s="2" t="n">
        <v>50041</v>
      </c>
      <c r="B207" s="2" t="inlineStr">
        <is>
          <t>S</t>
        </is>
      </c>
      <c r="C207" s="2" t="inlineStr">
        <is>
          <t>TL1545363</t>
        </is>
      </c>
      <c r="D207" s="2" t="inlineStr">
        <is>
          <t>CK_HDB</t>
        </is>
      </c>
      <c r="E207" s="2" t="n">
        <v>8</v>
      </c>
      <c r="F207" s="5" t="n">
        <v>580000</v>
      </c>
      <c r="G207" s="2" t="n">
        <v>100000</v>
      </c>
      <c r="H207" s="5" t="n">
        <v>91263000000</v>
      </c>
      <c r="I207" s="2" t="inlineStr"/>
      <c r="J207" s="4" t="n">
        <v>46195</v>
      </c>
      <c r="K207" s="4" t="n">
        <v>46188</v>
      </c>
      <c r="L207" s="2" t="inlineStr">
        <is>
          <t>AFS-DCM</t>
        </is>
      </c>
      <c r="M207" s="2" t="n">
        <v>3.9958</v>
      </c>
    </row>
    <row r="208">
      <c r="A208" s="2" t="n">
        <v>50040</v>
      </c>
      <c r="B208" s="2" t="inlineStr">
        <is>
          <t>B</t>
        </is>
      </c>
      <c r="C208" s="2" t="inlineStr">
        <is>
          <t>TD1631461</t>
        </is>
      </c>
      <c r="D208" s="2" t="inlineStr">
        <is>
          <t>CK_HDB</t>
        </is>
      </c>
      <c r="E208" s="2" t="n">
        <v>7.6</v>
      </c>
      <c r="F208" s="5" t="n">
        <v>3660000</v>
      </c>
      <c r="G208" s="2" t="n">
        <v>100000</v>
      </c>
      <c r="H208" s="5" t="n">
        <v>439210980000</v>
      </c>
      <c r="I208" s="2" t="inlineStr"/>
      <c r="J208" s="4" t="n">
        <v>46203</v>
      </c>
      <c r="K208" s="4" t="n">
        <v>46188</v>
      </c>
      <c r="L208" s="2" t="inlineStr">
        <is>
          <t>AFS-DCM</t>
        </is>
      </c>
      <c r="M208" s="2" t="n">
        <v>3.6028</v>
      </c>
    </row>
    <row r="209">
      <c r="A209" s="2" t="n">
        <v>50039</v>
      </c>
      <c r="B209" s="2" t="inlineStr">
        <is>
          <t>S</t>
        </is>
      </c>
      <c r="C209" s="2" t="inlineStr">
        <is>
          <t>TD1631461</t>
        </is>
      </c>
      <c r="D209" s="2" t="inlineStr">
        <is>
          <t>CK_HDB</t>
        </is>
      </c>
      <c r="E209" s="2" t="n">
        <v>7.6</v>
      </c>
      <c r="F209" s="5" t="n">
        <v>3660000</v>
      </c>
      <c r="G209" s="2" t="n">
        <v>100000</v>
      </c>
      <c r="H209" s="5" t="n">
        <v>439251240000</v>
      </c>
      <c r="I209" s="2" t="inlineStr"/>
      <c r="J209" s="4" t="n">
        <v>46195</v>
      </c>
      <c r="K209" s="4" t="n">
        <v>46188</v>
      </c>
      <c r="L209" s="2" t="inlineStr">
        <is>
          <t>AFS-DCM</t>
        </is>
      </c>
      <c r="M209" s="2" t="n">
        <v>3.58</v>
      </c>
    </row>
    <row r="210">
      <c r="A210" s="2" t="n">
        <v>50038</v>
      </c>
      <c r="B210" s="2" t="inlineStr">
        <is>
          <t>B</t>
        </is>
      </c>
      <c r="C210" s="2" t="inlineStr">
        <is>
          <t>TD2535023</t>
        </is>
      </c>
      <c r="D210" s="2" t="inlineStr">
        <is>
          <t>CK_THIENVI</t>
        </is>
      </c>
      <c r="E210" s="2" t="n">
        <v>2.9</v>
      </c>
      <c r="F210" s="5" t="n">
        <v>1500000</v>
      </c>
      <c r="G210" s="2" t="n">
        <v>100000</v>
      </c>
      <c r="H210" s="5" t="n">
        <v>144607500000</v>
      </c>
      <c r="I210" s="2" t="inlineStr"/>
      <c r="J210" s="4" t="n">
        <v>46192</v>
      </c>
      <c r="K210" s="4" t="n">
        <v>46188</v>
      </c>
      <c r="L210" s="2" t="inlineStr">
        <is>
          <t>AFS-DCM</t>
        </is>
      </c>
      <c r="M210" s="2" t="n">
        <v>3.506</v>
      </c>
    </row>
    <row r="211">
      <c r="A211" s="2" t="n">
        <v>50037</v>
      </c>
      <c r="B211" s="2" t="inlineStr">
        <is>
          <t>S</t>
        </is>
      </c>
      <c r="C211" s="2" t="inlineStr">
        <is>
          <t>TD2535023</t>
        </is>
      </c>
      <c r="D211" s="2" t="inlineStr">
        <is>
          <t>CK_THIENVI</t>
        </is>
      </c>
      <c r="E211" s="2" t="n">
        <v>2.9</v>
      </c>
      <c r="F211" s="5" t="n">
        <v>1500000</v>
      </c>
      <c r="G211" s="2" t="n">
        <v>100000</v>
      </c>
      <c r="H211" s="5" t="n">
        <v>144658500000</v>
      </c>
      <c r="I211" s="2" t="inlineStr"/>
      <c r="J211" s="4" t="n">
        <v>46191</v>
      </c>
      <c r="K211" s="4" t="n">
        <v>46188</v>
      </c>
      <c r="L211" s="2" t="inlineStr">
        <is>
          <t>AFS-DCM</t>
        </is>
      </c>
      <c r="M211" s="2" t="n">
        <v>3.5</v>
      </c>
    </row>
    <row r="212">
      <c r="A212" s="2" t="n">
        <v>50036</v>
      </c>
      <c r="B212" s="2" t="inlineStr">
        <is>
          <t>B</t>
        </is>
      </c>
      <c r="C212" s="2" t="inlineStr">
        <is>
          <t>TD2353151</t>
        </is>
      </c>
      <c r="D212" s="2" t="inlineStr">
        <is>
          <t>CK_THIENVI</t>
        </is>
      </c>
      <c r="E212" s="2" t="n">
        <v>4.2</v>
      </c>
      <c r="F212" s="5" t="n">
        <v>700000</v>
      </c>
      <c r="G212" s="2" t="n">
        <v>100000</v>
      </c>
      <c r="H212" s="5" t="n">
        <v>72972900000</v>
      </c>
      <c r="I212" s="2" t="inlineStr"/>
      <c r="J212" s="4" t="n">
        <v>46192</v>
      </c>
      <c r="K212" s="4" t="n">
        <v>46188</v>
      </c>
      <c r="L212" s="2" t="inlineStr">
        <is>
          <t>AFS-DCM</t>
        </is>
      </c>
      <c r="M212" s="2" t="n">
        <v>4</v>
      </c>
    </row>
    <row r="213">
      <c r="A213" s="2" t="n">
        <v>50035</v>
      </c>
      <c r="B213" s="2" t="inlineStr">
        <is>
          <t>S</t>
        </is>
      </c>
      <c r="C213" s="2" t="inlineStr">
        <is>
          <t>TD2353151</t>
        </is>
      </c>
      <c r="D213" s="2" t="inlineStr">
        <is>
          <t>CK_THIENVI</t>
        </is>
      </c>
      <c r="E213" s="2" t="n">
        <v>4.2</v>
      </c>
      <c r="F213" s="5" t="n">
        <v>700000</v>
      </c>
      <c r="G213" s="2" t="n">
        <v>100000</v>
      </c>
      <c r="H213" s="5" t="n">
        <v>72965200000</v>
      </c>
      <c r="I213" s="2" t="inlineStr"/>
      <c r="J213" s="4" t="n">
        <v>46191</v>
      </c>
      <c r="K213" s="4" t="n">
        <v>46188</v>
      </c>
      <c r="L213" s="2" t="inlineStr">
        <is>
          <t>AFS-DCM</t>
        </is>
      </c>
      <c r="M213" s="2" t="n">
        <v>4</v>
      </c>
    </row>
    <row r="214">
      <c r="A214" s="2" t="n">
        <v>50023</v>
      </c>
      <c r="B214" s="2" t="inlineStr">
        <is>
          <t>B</t>
        </is>
      </c>
      <c r="C214" s="2" t="inlineStr">
        <is>
          <t>TD2333120</t>
        </is>
      </c>
      <c r="D214" s="2" t="inlineStr">
        <is>
          <t>CK_SSI</t>
        </is>
      </c>
      <c r="E214" s="2" t="n">
        <v>2.4</v>
      </c>
      <c r="F214" s="5" t="n">
        <v>2000000</v>
      </c>
      <c r="G214" s="2" t="n">
        <v>100000</v>
      </c>
      <c r="H214" s="5" t="n">
        <v>197148000000</v>
      </c>
      <c r="I214" s="2" t="inlineStr"/>
      <c r="J214" s="4" t="n">
        <v>46198</v>
      </c>
      <c r="K214" s="4" t="n">
        <v>46185</v>
      </c>
      <c r="L214" s="2" t="inlineStr">
        <is>
          <t>AFS-DCM</t>
        </is>
      </c>
      <c r="M214" s="2" t="n">
        <v>3</v>
      </c>
    </row>
    <row r="215">
      <c r="A215" s="2" t="n">
        <v>50022</v>
      </c>
      <c r="B215" s="2" t="inlineStr">
        <is>
          <t>S</t>
        </is>
      </c>
      <c r="C215" s="2" t="inlineStr">
        <is>
          <t>TD2333120</t>
        </is>
      </c>
      <c r="D215" s="2" t="inlineStr">
        <is>
          <t>CK_SSI</t>
        </is>
      </c>
      <c r="E215" s="2" t="n">
        <v>2.4</v>
      </c>
      <c r="F215" s="5" t="n">
        <v>2000000</v>
      </c>
      <c r="G215" s="2" t="n">
        <v>100000</v>
      </c>
      <c r="H215" s="5" t="n">
        <v>197100000000</v>
      </c>
      <c r="I215" s="2" t="inlineStr"/>
      <c r="J215" s="4" t="n">
        <v>46195</v>
      </c>
      <c r="K215" s="4" t="n">
        <v>46185</v>
      </c>
      <c r="L215" s="2" t="inlineStr">
        <is>
          <t>AFS-DCM</t>
        </is>
      </c>
      <c r="M215" s="2" t="n">
        <v>3</v>
      </c>
    </row>
    <row r="216">
      <c r="A216" s="2" t="n">
        <v>50021</v>
      </c>
      <c r="B216" s="2" t="inlineStr">
        <is>
          <t>B</t>
        </is>
      </c>
      <c r="C216" s="2" t="inlineStr">
        <is>
          <t>TD2333117</t>
        </is>
      </c>
      <c r="D216" s="2" t="inlineStr">
        <is>
          <t>CK_SSI</t>
        </is>
      </c>
      <c r="E216" s="2" t="n">
        <v>4.2</v>
      </c>
      <c r="F216" s="5" t="n">
        <v>1000000</v>
      </c>
      <c r="G216" s="2" t="n">
        <v>100000</v>
      </c>
      <c r="H216" s="5" t="n">
        <v>108786000000</v>
      </c>
      <c r="I216" s="2" t="inlineStr"/>
      <c r="J216" s="4" t="n">
        <v>46198</v>
      </c>
      <c r="K216" s="4" t="n">
        <v>46185</v>
      </c>
      <c r="L216" s="2" t="inlineStr">
        <is>
          <t>AFS-DCM</t>
        </is>
      </c>
      <c r="M216" s="2" t="n">
        <v>2.9906</v>
      </c>
    </row>
    <row r="217">
      <c r="A217" s="2" t="n">
        <v>50020</v>
      </c>
      <c r="B217" s="2" t="inlineStr">
        <is>
          <t>S</t>
        </is>
      </c>
      <c r="C217" s="2" t="inlineStr">
        <is>
          <t>TD2333117</t>
        </is>
      </c>
      <c r="D217" s="2" t="inlineStr">
        <is>
          <t>CK_SSI</t>
        </is>
      </c>
      <c r="E217" s="2" t="n">
        <v>4.2</v>
      </c>
      <c r="F217" s="5" t="n">
        <v>1000000</v>
      </c>
      <c r="G217" s="2" t="n">
        <v>100000</v>
      </c>
      <c r="H217" s="5" t="n">
        <v>108764000000</v>
      </c>
      <c r="I217" s="2" t="inlineStr"/>
      <c r="J217" s="4" t="n">
        <v>46195</v>
      </c>
      <c r="K217" s="4" t="n">
        <v>46185</v>
      </c>
      <c r="L217" s="2" t="inlineStr">
        <is>
          <t>AFS-DCM</t>
        </is>
      </c>
      <c r="M217" s="2" t="n">
        <v>2.9899</v>
      </c>
    </row>
    <row r="218">
      <c r="A218" s="2" t="n">
        <v>50019</v>
      </c>
      <c r="B218" s="2" t="inlineStr">
        <is>
          <t>B</t>
        </is>
      </c>
      <c r="C218" s="2" t="inlineStr">
        <is>
          <t>TD2535028</t>
        </is>
      </c>
      <c r="D218" s="2" t="inlineStr">
        <is>
          <t>CK_SSI</t>
        </is>
      </c>
      <c r="E218" s="2" t="n">
        <v>3.3</v>
      </c>
      <c r="F218" s="5" t="n">
        <v>1000000</v>
      </c>
      <c r="G218" s="2" t="n">
        <v>100000</v>
      </c>
      <c r="H218" s="5" t="n">
        <v>101519000000</v>
      </c>
      <c r="I218" s="2" t="inlineStr"/>
      <c r="J218" s="4" t="n">
        <v>46198</v>
      </c>
      <c r="K218" s="4" t="n">
        <v>46185</v>
      </c>
      <c r="L218" s="2" t="inlineStr">
        <is>
          <t>AFS-HUONG</t>
        </is>
      </c>
      <c r="M218" s="2" t="n">
        <v>3.4801</v>
      </c>
    </row>
    <row r="219">
      <c r="A219" s="2" t="n">
        <v>50018</v>
      </c>
      <c r="B219" s="2" t="inlineStr">
        <is>
          <t>S</t>
        </is>
      </c>
      <c r="C219" s="2" t="inlineStr">
        <is>
          <t>TD2535028</t>
        </is>
      </c>
      <c r="D219" s="2" t="inlineStr">
        <is>
          <t>CK_SSI</t>
        </is>
      </c>
      <c r="E219" s="2" t="n">
        <v>3.3</v>
      </c>
      <c r="F219" s="5" t="n">
        <v>1000000</v>
      </c>
      <c r="G219" s="2" t="n">
        <v>100000</v>
      </c>
      <c r="H219" s="5" t="n">
        <v>101443000000</v>
      </c>
      <c r="I219" s="2" t="inlineStr"/>
      <c r="J219" s="4" t="n">
        <v>46190</v>
      </c>
      <c r="K219" s="4" t="n">
        <v>46185</v>
      </c>
      <c r="L219" s="2" t="inlineStr">
        <is>
          <t>AFS-HUY</t>
        </is>
      </c>
      <c r="M219" s="2" t="n">
        <v>3.48</v>
      </c>
    </row>
    <row r="220">
      <c r="A220" s="2" t="n">
        <v>50017</v>
      </c>
      <c r="B220" s="2" t="inlineStr">
        <is>
          <t>B</t>
        </is>
      </c>
      <c r="C220" s="2" t="inlineStr">
        <is>
          <t>TD2535028</t>
        </is>
      </c>
      <c r="D220" s="2" t="inlineStr">
        <is>
          <t>CK_SSI</t>
        </is>
      </c>
      <c r="E220" s="2" t="n">
        <v>3.3</v>
      </c>
      <c r="F220" s="5" t="n">
        <v>2500000</v>
      </c>
      <c r="G220" s="2" t="n">
        <v>100000</v>
      </c>
      <c r="H220" s="5" t="n">
        <v>253797500000</v>
      </c>
      <c r="I220" s="2" t="inlineStr"/>
      <c r="J220" s="4" t="n">
        <v>46198</v>
      </c>
      <c r="K220" s="4" t="n">
        <v>46185</v>
      </c>
      <c r="L220" s="2" t="inlineStr">
        <is>
          <t>AFS-DCM</t>
        </is>
      </c>
      <c r="M220" s="2" t="n">
        <v>3.4801</v>
      </c>
    </row>
    <row r="221">
      <c r="A221" s="2" t="n">
        <v>50016</v>
      </c>
      <c r="B221" s="2" t="inlineStr">
        <is>
          <t>S</t>
        </is>
      </c>
      <c r="C221" s="2" t="inlineStr">
        <is>
          <t>TD2535028</t>
        </is>
      </c>
      <c r="D221" s="2" t="inlineStr">
        <is>
          <t>CK_SSI</t>
        </is>
      </c>
      <c r="E221" s="2" t="n">
        <v>3.3</v>
      </c>
      <c r="F221" s="5" t="n">
        <v>2500000</v>
      </c>
      <c r="G221" s="2" t="n">
        <v>100000</v>
      </c>
      <c r="H221" s="5" t="n">
        <v>253607500000</v>
      </c>
      <c r="I221" s="2" t="inlineStr"/>
      <c r="J221" s="4" t="n">
        <v>46190</v>
      </c>
      <c r="K221" s="4" t="n">
        <v>46185</v>
      </c>
      <c r="L221" s="2" t="inlineStr">
        <is>
          <t>AFS-DCM</t>
        </is>
      </c>
      <c r="M221" s="2" t="n">
        <v>3.48</v>
      </c>
    </row>
    <row r="222">
      <c r="A222" s="2" t="n">
        <v>50015</v>
      </c>
      <c r="B222" s="2" t="inlineStr">
        <is>
          <t>B</t>
        </is>
      </c>
      <c r="C222" s="2" t="inlineStr">
        <is>
          <t>TD2434024</t>
        </is>
      </c>
      <c r="D222" s="2" t="inlineStr">
        <is>
          <t>CK_SSI</t>
        </is>
      </c>
      <c r="E222" s="2" t="n">
        <v>2.7</v>
      </c>
      <c r="F222" s="5" t="n">
        <v>1000000</v>
      </c>
      <c r="G222" s="2" t="n">
        <v>100000</v>
      </c>
      <c r="H222" s="5" t="n">
        <v>99574000000</v>
      </c>
      <c r="I222" s="2" t="inlineStr"/>
      <c r="J222" s="4" t="n">
        <v>46198</v>
      </c>
      <c r="K222" s="4" t="n">
        <v>46185</v>
      </c>
      <c r="L222" s="2" t="inlineStr">
        <is>
          <t>AFS-DCM</t>
        </is>
      </c>
      <c r="M222" s="2" t="n">
        <v>3.12</v>
      </c>
    </row>
    <row r="223">
      <c r="A223" s="2" t="n">
        <v>50014</v>
      </c>
      <c r="B223" s="2" t="inlineStr">
        <is>
          <t>S</t>
        </is>
      </c>
      <c r="C223" s="2" t="inlineStr">
        <is>
          <t>TD2434024</t>
        </is>
      </c>
      <c r="D223" s="2" t="inlineStr">
        <is>
          <t>CK_SSI</t>
        </is>
      </c>
      <c r="E223" s="2" t="n">
        <v>2.7</v>
      </c>
      <c r="F223" s="5" t="n">
        <v>1000000</v>
      </c>
      <c r="G223" s="2" t="n">
        <v>100000</v>
      </c>
      <c r="H223" s="5" t="n">
        <v>99507000000</v>
      </c>
      <c r="I223" s="2" t="inlineStr"/>
      <c r="J223" s="4" t="n">
        <v>46190</v>
      </c>
      <c r="K223" s="4" t="n">
        <v>46185</v>
      </c>
      <c r="L223" s="2" t="inlineStr">
        <is>
          <t>AFS-DCM</t>
        </is>
      </c>
      <c r="M223" s="2" t="n">
        <v>3.1199</v>
      </c>
    </row>
    <row r="224">
      <c r="A224" s="2" t="n">
        <v>50013</v>
      </c>
      <c r="B224" s="2" t="inlineStr">
        <is>
          <t>B</t>
        </is>
      </c>
      <c r="C224" s="2" t="inlineStr">
        <is>
          <t>TD2131012</t>
        </is>
      </c>
      <c r="D224" s="2" t="inlineStr">
        <is>
          <t>CK_SSI</t>
        </is>
      </c>
      <c r="E224" s="2" t="n">
        <v>2.2</v>
      </c>
      <c r="F224" s="5" t="n">
        <v>500000</v>
      </c>
      <c r="G224" s="2" t="n">
        <v>100000</v>
      </c>
      <c r="H224" s="5" t="n">
        <v>46606000000</v>
      </c>
      <c r="I224" s="2" t="inlineStr"/>
      <c r="J224" s="4" t="n">
        <v>46198</v>
      </c>
      <c r="K224" s="4" t="n">
        <v>46185</v>
      </c>
      <c r="L224" s="2" t="inlineStr">
        <is>
          <t>AFS-DCM</t>
        </is>
      </c>
      <c r="M224" s="2" t="n">
        <v>4.1002</v>
      </c>
    </row>
    <row r="225">
      <c r="A225" s="2" t="n">
        <v>50012</v>
      </c>
      <c r="B225" s="2" t="inlineStr">
        <is>
          <t>S</t>
        </is>
      </c>
      <c r="C225" s="2" t="inlineStr">
        <is>
          <t>TD2131012</t>
        </is>
      </c>
      <c r="D225" s="2" t="inlineStr">
        <is>
          <t>CK_SSI</t>
        </is>
      </c>
      <c r="E225" s="2" t="n">
        <v>2.2</v>
      </c>
      <c r="F225" s="5" t="n">
        <v>500000</v>
      </c>
      <c r="G225" s="2" t="n">
        <v>100000</v>
      </c>
      <c r="H225" s="5" t="n">
        <v>46565500000</v>
      </c>
      <c r="I225" s="2" t="inlineStr"/>
      <c r="J225" s="4" t="n">
        <v>46190</v>
      </c>
      <c r="K225" s="4" t="n">
        <v>46185</v>
      </c>
      <c r="L225" s="2" t="inlineStr">
        <is>
          <t>AFS-DCM</t>
        </is>
      </c>
      <c r="M225" s="2" t="n">
        <v>4.1</v>
      </c>
    </row>
    <row r="226">
      <c r="A226" s="2" t="n">
        <v>50011</v>
      </c>
      <c r="B226" s="2" t="inlineStr">
        <is>
          <t>S</t>
        </is>
      </c>
      <c r="C226" s="2" t="inlineStr">
        <is>
          <t>TD2237126</t>
        </is>
      </c>
      <c r="D226" s="2" t="inlineStr">
        <is>
          <t>QLQ_BAOVIE</t>
        </is>
      </c>
      <c r="E226" s="2" t="n">
        <v>4.9</v>
      </c>
      <c r="F226" s="5" t="n">
        <v>9640000</v>
      </c>
      <c r="G226" s="2" t="n">
        <v>100000</v>
      </c>
      <c r="H226" s="5" t="n">
        <v>1027672200000</v>
      </c>
      <c r="I226" s="2" t="inlineStr">
        <is>
          <t>CHU (x1000)</t>
        </is>
      </c>
      <c r="J226" s="4" t="n">
        <v>46330</v>
      </c>
      <c r="K226" s="4" t="n">
        <v>46185</v>
      </c>
      <c r="L226" s="2" t="inlineStr">
        <is>
          <t>AFS-DCM</t>
        </is>
      </c>
      <c r="M226" s="2" t="n">
        <v>4.6776</v>
      </c>
    </row>
    <row r="227">
      <c r="A227" s="2" t="n">
        <v>50010</v>
      </c>
      <c r="B227" s="2" t="inlineStr">
        <is>
          <t>S</t>
        </is>
      </c>
      <c r="C227" s="2" t="inlineStr">
        <is>
          <t>TD2237126</t>
        </is>
      </c>
      <c r="D227" s="2" t="inlineStr">
        <is>
          <t>QLQ_BAOVIE</t>
        </is>
      </c>
      <c r="E227" s="2" t="n">
        <v>4.9</v>
      </c>
      <c r="F227" s="5" t="n">
        <v>9000000</v>
      </c>
      <c r="G227" s="2" t="n">
        <v>100000</v>
      </c>
      <c r="H227" s="5" t="n">
        <v>959445000000</v>
      </c>
      <c r="I227" s="2" t="inlineStr"/>
      <c r="J227" s="4" t="n">
        <v>46330</v>
      </c>
      <c r="K227" s="4" t="n">
        <v>46185</v>
      </c>
      <c r="L227" s="2" t="inlineStr">
        <is>
          <t>AFS-DCM</t>
        </is>
      </c>
      <c r="M227" s="2" t="n">
        <v>4.6776</v>
      </c>
    </row>
    <row r="228">
      <c r="A228" s="2" t="n">
        <v>50009</v>
      </c>
      <c r="B228" s="2" t="inlineStr">
        <is>
          <t>B</t>
        </is>
      </c>
      <c r="C228" s="2" t="inlineStr">
        <is>
          <t>TD2237126</t>
        </is>
      </c>
      <c r="D228" s="2" t="inlineStr">
        <is>
          <t>QLQ_BAOVIE</t>
        </is>
      </c>
      <c r="E228" s="2" t="n">
        <v>4.9</v>
      </c>
      <c r="F228" s="5" t="n">
        <v>9640000</v>
      </c>
      <c r="G228" s="2" t="n">
        <v>100000</v>
      </c>
      <c r="H228" s="5" t="n">
        <v>1012036120000</v>
      </c>
      <c r="I228" s="2" t="inlineStr">
        <is>
          <t>CHU (x1000)</t>
        </is>
      </c>
      <c r="J228" s="4" t="n">
        <v>46189</v>
      </c>
      <c r="K228" s="4" t="n">
        <v>46185</v>
      </c>
      <c r="L228" s="2" t="inlineStr">
        <is>
          <t>AFS-DCM</t>
        </is>
      </c>
      <c r="M228" s="2" t="n">
        <v>4.65</v>
      </c>
    </row>
    <row r="229">
      <c r="A229" s="2" t="n">
        <v>50008</v>
      </c>
      <c r="B229" s="2" t="inlineStr">
        <is>
          <t>B</t>
        </is>
      </c>
      <c r="C229" s="2" t="inlineStr">
        <is>
          <t>TD2237126</t>
        </is>
      </c>
      <c r="D229" s="2" t="inlineStr">
        <is>
          <t>QLQ_BAOVIE</t>
        </is>
      </c>
      <c r="E229" s="2" t="n">
        <v>4.9</v>
      </c>
      <c r="F229" s="5" t="n">
        <v>9000000</v>
      </c>
      <c r="G229" s="2" t="n">
        <v>100000</v>
      </c>
      <c r="H229" s="5" t="n">
        <v>944847000000</v>
      </c>
      <c r="I229" s="2" t="inlineStr"/>
      <c r="J229" s="4" t="n">
        <v>46189</v>
      </c>
      <c r="K229" s="4" t="n">
        <v>46185</v>
      </c>
      <c r="L229" s="2" t="inlineStr">
        <is>
          <t>AFS-DCM</t>
        </is>
      </c>
      <c r="M229" s="2" t="n">
        <v>4.65</v>
      </c>
    </row>
    <row r="230">
      <c r="A230" s="2" t="n">
        <v>50007</v>
      </c>
      <c r="B230" s="2" t="inlineStr">
        <is>
          <t>B</t>
        </is>
      </c>
      <c r="C230" s="2" t="inlineStr">
        <is>
          <t>TD1646503</t>
        </is>
      </c>
      <c r="D230" s="2" t="inlineStr">
        <is>
          <t>CK_VIETIN</t>
        </is>
      </c>
      <c r="E230" s="2" t="n">
        <v>7.9</v>
      </c>
      <c r="F230" s="5" t="n">
        <v>1650000</v>
      </c>
      <c r="G230" s="2" t="n">
        <v>100000</v>
      </c>
      <c r="H230" s="5" t="n">
        <v>262363200000</v>
      </c>
      <c r="I230" s="2" t="inlineStr"/>
      <c r="J230" s="4" t="n">
        <v>46199</v>
      </c>
      <c r="K230" s="4" t="n">
        <v>46185</v>
      </c>
      <c r="L230" s="2" t="inlineStr">
        <is>
          <t>AFS-DCM</t>
        </is>
      </c>
      <c r="M230" s="2" t="n">
        <v>4.0011</v>
      </c>
    </row>
    <row r="231">
      <c r="A231" s="2" t="n">
        <v>50006</v>
      </c>
      <c r="B231" s="2" t="inlineStr">
        <is>
          <t>S</t>
        </is>
      </c>
      <c r="C231" s="2" t="inlineStr">
        <is>
          <t>TD1646503</t>
        </is>
      </c>
      <c r="D231" s="2" t="inlineStr">
        <is>
          <t>CK_VIETIN</t>
        </is>
      </c>
      <c r="E231" s="2" t="n">
        <v>7.9</v>
      </c>
      <c r="F231" s="5" t="n">
        <v>1650000</v>
      </c>
      <c r="G231" s="2" t="n">
        <v>100000</v>
      </c>
      <c r="H231" s="5" t="n">
        <v>262312050000</v>
      </c>
      <c r="I231" s="2" t="inlineStr"/>
      <c r="J231" s="4" t="n">
        <v>46196</v>
      </c>
      <c r="K231" s="4" t="n">
        <v>46185</v>
      </c>
      <c r="L231" s="2" t="inlineStr">
        <is>
          <t>AFS-DCM</t>
        </is>
      </c>
      <c r="M231" s="2" t="n">
        <v>4</v>
      </c>
    </row>
    <row r="232">
      <c r="A232" s="2" t="n">
        <v>50005</v>
      </c>
      <c r="B232" s="2" t="inlineStr">
        <is>
          <t>B</t>
        </is>
      </c>
      <c r="C232" s="2" t="inlineStr">
        <is>
          <t>TD2535024</t>
        </is>
      </c>
      <c r="D232" s="2" t="inlineStr">
        <is>
          <t>CK_VNDIREC</t>
        </is>
      </c>
      <c r="E232" s="2" t="n">
        <v>2.9</v>
      </c>
      <c r="F232" s="5" t="n">
        <v>500000</v>
      </c>
      <c r="G232" s="2" t="n">
        <v>100000</v>
      </c>
      <c r="H232" s="5" t="n">
        <v>48473000000</v>
      </c>
      <c r="I232" s="2" t="inlineStr"/>
      <c r="J232" s="4" t="n">
        <v>46189</v>
      </c>
      <c r="K232" s="4" t="n">
        <v>46185</v>
      </c>
      <c r="L232" s="2" t="inlineStr">
        <is>
          <t>AFS-HUONG</t>
        </is>
      </c>
      <c r="M232" s="2" t="n">
        <v>3.41</v>
      </c>
    </row>
    <row r="233">
      <c r="A233" s="2" t="n">
        <v>50004</v>
      </c>
      <c r="B233" s="2" t="inlineStr">
        <is>
          <t>S</t>
        </is>
      </c>
      <c r="C233" s="2" t="inlineStr">
        <is>
          <t>TD2535024</t>
        </is>
      </c>
      <c r="D233" s="2" t="inlineStr">
        <is>
          <t>CK_VNDIREC</t>
        </is>
      </c>
      <c r="E233" s="2" t="n">
        <v>2.9</v>
      </c>
      <c r="F233" s="5" t="n">
        <v>500000</v>
      </c>
      <c r="G233" s="2" t="n">
        <v>100000</v>
      </c>
      <c r="H233" s="5" t="n">
        <v>48468500000</v>
      </c>
      <c r="I233" s="2" t="inlineStr"/>
      <c r="J233" s="4" t="n">
        <v>46188</v>
      </c>
      <c r="K233" s="4" t="n">
        <v>46185</v>
      </c>
      <c r="L233" s="2" t="inlineStr">
        <is>
          <t>AFS-HUY</t>
        </is>
      </c>
      <c r="M233" s="2" t="n">
        <v>3.41</v>
      </c>
    </row>
    <row r="234">
      <c r="A234" s="2" t="n">
        <v>50003</v>
      </c>
      <c r="B234" s="2" t="inlineStr">
        <is>
          <t>B</t>
        </is>
      </c>
      <c r="C234" s="2" t="inlineStr">
        <is>
          <t>TD2535023</t>
        </is>
      </c>
      <c r="D234" s="2" t="inlineStr">
        <is>
          <t>CK_VNDIREC</t>
        </is>
      </c>
      <c r="E234" s="2" t="n">
        <v>2.9</v>
      </c>
      <c r="F234" s="5" t="n">
        <v>1500000</v>
      </c>
      <c r="G234" s="2" t="n">
        <v>100000</v>
      </c>
      <c r="H234" s="5" t="n">
        <v>144631500000</v>
      </c>
      <c r="I234" s="2" t="inlineStr"/>
      <c r="J234" s="4" t="n">
        <v>46189</v>
      </c>
      <c r="K234" s="4" t="n">
        <v>46185</v>
      </c>
      <c r="L234" s="2" t="inlineStr">
        <is>
          <t>AFS-DCM</t>
        </is>
      </c>
      <c r="M234" s="2" t="n">
        <v>3.5</v>
      </c>
    </row>
    <row r="235">
      <c r="A235" s="2" t="n">
        <v>50002</v>
      </c>
      <c r="B235" s="2" t="inlineStr">
        <is>
          <t>S</t>
        </is>
      </c>
      <c r="C235" s="2" t="inlineStr">
        <is>
          <t>TD2535023</t>
        </is>
      </c>
      <c r="D235" s="2" t="inlineStr">
        <is>
          <t>CK_VNDIREC</t>
        </is>
      </c>
      <c r="E235" s="2" t="n">
        <v>2.9</v>
      </c>
      <c r="F235" s="5" t="n">
        <v>1500000</v>
      </c>
      <c r="G235" s="2" t="n">
        <v>100000</v>
      </c>
      <c r="H235" s="5" t="n">
        <v>144618000000</v>
      </c>
      <c r="I235" s="2" t="inlineStr"/>
      <c r="J235" s="4" t="n">
        <v>46188</v>
      </c>
      <c r="K235" s="4" t="n">
        <v>46185</v>
      </c>
      <c r="L235" s="2" t="inlineStr">
        <is>
          <t>AFS-DCM</t>
        </is>
      </c>
      <c r="M235" s="2" t="n">
        <v>3.5</v>
      </c>
    </row>
    <row r="236">
      <c r="A236" s="2" t="n">
        <v>50001</v>
      </c>
      <c r="B236" s="2" t="inlineStr">
        <is>
          <t>B</t>
        </is>
      </c>
      <c r="C236" s="2" t="inlineStr">
        <is>
          <t>TD2434026</t>
        </is>
      </c>
      <c r="D236" s="2" t="inlineStr">
        <is>
          <t>CK_VNDIREC</t>
        </is>
      </c>
      <c r="E236" s="2" t="n">
        <v>2.6</v>
      </c>
      <c r="F236" s="5" t="n">
        <v>1500000</v>
      </c>
      <c r="G236" s="2" t="n">
        <v>100000</v>
      </c>
      <c r="H236" s="5" t="n">
        <v>148038000000</v>
      </c>
      <c r="I236" s="2" t="inlineStr"/>
      <c r="J236" s="4" t="n">
        <v>46189</v>
      </c>
      <c r="K236" s="4" t="n">
        <v>46185</v>
      </c>
      <c r="L236" s="2" t="inlineStr">
        <is>
          <t>AFS-HUONG</t>
        </is>
      </c>
      <c r="M236" s="2" t="n">
        <v>3.0393</v>
      </c>
    </row>
    <row r="237">
      <c r="A237" s="2" t="n">
        <v>50000</v>
      </c>
      <c r="B237" s="2" t="inlineStr">
        <is>
          <t>S</t>
        </is>
      </c>
      <c r="C237" s="2" t="inlineStr">
        <is>
          <t>TD2434026</t>
        </is>
      </c>
      <c r="D237" s="2" t="inlineStr">
        <is>
          <t>CK_VNDIREC</t>
        </is>
      </c>
      <c r="E237" s="2" t="n">
        <v>2.6</v>
      </c>
      <c r="F237" s="5" t="n">
        <v>1500000</v>
      </c>
      <c r="G237" s="2" t="n">
        <v>100000</v>
      </c>
      <c r="H237" s="5" t="n">
        <v>148125000000</v>
      </c>
      <c r="I237" s="2" t="inlineStr"/>
      <c r="J237" s="4" t="n">
        <v>46188</v>
      </c>
      <c r="K237" s="4" t="n">
        <v>46185</v>
      </c>
      <c r="L237" s="2" t="inlineStr">
        <is>
          <t>AFS-HUONG</t>
        </is>
      </c>
      <c r="M237" s="2" t="n">
        <v>3.03</v>
      </c>
    </row>
    <row r="238">
      <c r="A238" s="2" t="n">
        <v>49999</v>
      </c>
      <c r="B238" s="2" t="inlineStr">
        <is>
          <t>B</t>
        </is>
      </c>
      <c r="C238" s="2" t="inlineStr">
        <is>
          <t>TD1934188</t>
        </is>
      </c>
      <c r="D238" s="2" t="inlineStr">
        <is>
          <t>CK_VIETIN</t>
        </is>
      </c>
      <c r="E238" s="2" t="n">
        <v>5</v>
      </c>
      <c r="F238" s="5" t="n">
        <v>500000</v>
      </c>
      <c r="G238" s="2" t="n">
        <v>100000</v>
      </c>
      <c r="H238" s="5" t="n">
        <v>57026500000</v>
      </c>
      <c r="I238" s="2" t="inlineStr"/>
      <c r="J238" s="4" t="n">
        <v>46196</v>
      </c>
      <c r="K238" s="4" t="n">
        <v>46184</v>
      </c>
      <c r="L238" s="2" t="inlineStr">
        <is>
          <t>AFS-DCM</t>
        </is>
      </c>
      <c r="M238" s="2" t="n">
        <v>3.1539</v>
      </c>
    </row>
    <row r="239">
      <c r="A239" s="2" t="n">
        <v>49998</v>
      </c>
      <c r="B239" s="2" t="inlineStr">
        <is>
          <t>S</t>
        </is>
      </c>
      <c r="C239" s="2" t="inlineStr">
        <is>
          <t>TD1934188</t>
        </is>
      </c>
      <c r="D239" s="2" t="inlineStr">
        <is>
          <t>CK_VIETIN</t>
        </is>
      </c>
      <c r="E239" s="2" t="n">
        <v>5</v>
      </c>
      <c r="F239" s="5" t="n">
        <v>500000</v>
      </c>
      <c r="G239" s="2" t="n">
        <v>100000</v>
      </c>
      <c r="H239" s="5" t="n">
        <v>57016500000</v>
      </c>
      <c r="I239" s="2" t="inlineStr"/>
      <c r="J239" s="4" t="n">
        <v>46191</v>
      </c>
      <c r="K239" s="4" t="n">
        <v>46184</v>
      </c>
      <c r="L239" s="2" t="inlineStr">
        <is>
          <t>AFS-DCM</t>
        </is>
      </c>
      <c r="M239" s="2" t="n">
        <v>3.15</v>
      </c>
    </row>
    <row r="240">
      <c r="A240" s="2" t="n">
        <v>49997</v>
      </c>
      <c r="B240" s="2" t="inlineStr">
        <is>
          <t>B</t>
        </is>
      </c>
      <c r="C240" s="2" t="inlineStr">
        <is>
          <t>TD2252132</t>
        </is>
      </c>
      <c r="D240" s="2" t="inlineStr">
        <is>
          <t>CK_VIETIN</t>
        </is>
      </c>
      <c r="E240" s="2" t="n">
        <v>2.9</v>
      </c>
      <c r="F240" s="5" t="n">
        <v>2010000</v>
      </c>
      <c r="G240" s="2" t="n">
        <v>100000</v>
      </c>
      <c r="H240" s="5" t="n">
        <v>160395990000</v>
      </c>
      <c r="I240" s="2" t="inlineStr"/>
      <c r="J240" s="4" t="n">
        <v>46205</v>
      </c>
      <c r="K240" s="4" t="n">
        <v>46184</v>
      </c>
      <c r="L240" s="2" t="inlineStr">
        <is>
          <t>AFS-DCM</t>
        </is>
      </c>
      <c r="M240" s="2" t="n">
        <v>4.3069</v>
      </c>
    </row>
    <row r="241">
      <c r="A241" s="2" t="n">
        <v>49996</v>
      </c>
      <c r="B241" s="2" t="inlineStr">
        <is>
          <t>S</t>
        </is>
      </c>
      <c r="C241" s="2" t="inlineStr">
        <is>
          <t>TD2252132</t>
        </is>
      </c>
      <c r="D241" s="2" t="inlineStr">
        <is>
          <t>CK_VIETIN</t>
        </is>
      </c>
      <c r="E241" s="2" t="n">
        <v>2.9</v>
      </c>
      <c r="F241" s="5" t="n">
        <v>2010000</v>
      </c>
      <c r="G241" s="2" t="n">
        <v>100000</v>
      </c>
      <c r="H241" s="5" t="n">
        <v>160363830000</v>
      </c>
      <c r="I241" s="2" t="inlineStr"/>
      <c r="J241" s="4" t="n">
        <v>46202</v>
      </c>
      <c r="K241" s="4" t="n">
        <v>46184</v>
      </c>
      <c r="L241" s="2" t="inlineStr">
        <is>
          <t>AFS-DCM</t>
        </is>
      </c>
      <c r="M241" s="2" t="n">
        <v>4.306</v>
      </c>
    </row>
    <row r="242">
      <c r="A242" s="2" t="n">
        <v>49995</v>
      </c>
      <c r="B242" s="2" t="inlineStr">
        <is>
          <t>B</t>
        </is>
      </c>
      <c r="C242" s="2" t="inlineStr">
        <is>
          <t>TD2454043</t>
        </is>
      </c>
      <c r="D242" s="2" t="inlineStr">
        <is>
          <t>CK_VIETIN</t>
        </is>
      </c>
      <c r="E242" s="2" t="n">
        <v>2.8</v>
      </c>
      <c r="F242" s="5" t="n">
        <v>1550000</v>
      </c>
      <c r="G242" s="2" t="n">
        <v>100000</v>
      </c>
      <c r="H242" s="5" t="n">
        <v>116578600000</v>
      </c>
      <c r="I242" s="2" t="inlineStr"/>
      <c r="J242" s="4" t="n">
        <v>46205</v>
      </c>
      <c r="K242" s="4" t="n">
        <v>46184</v>
      </c>
      <c r="L242" s="2" t="inlineStr">
        <is>
          <t>AFS-DCM</t>
        </is>
      </c>
      <c r="M242" s="2" t="n">
        <v>4.4605</v>
      </c>
    </row>
    <row r="243">
      <c r="A243" s="2" t="n">
        <v>49994</v>
      </c>
      <c r="B243" s="2" t="inlineStr">
        <is>
          <t>S</t>
        </is>
      </c>
      <c r="C243" s="2" t="inlineStr">
        <is>
          <t>TD2454043</t>
        </is>
      </c>
      <c r="D243" s="2" t="inlineStr">
        <is>
          <t>CK_VIETIN</t>
        </is>
      </c>
      <c r="E243" s="2" t="n">
        <v>2.8</v>
      </c>
      <c r="F243" s="5" t="n">
        <v>1550000</v>
      </c>
      <c r="G243" s="2" t="n">
        <v>100000</v>
      </c>
      <c r="H243" s="5" t="n">
        <v>116547600000</v>
      </c>
      <c r="I243" s="2" t="inlineStr"/>
      <c r="J243" s="4" t="n">
        <v>46202</v>
      </c>
      <c r="K243" s="4" t="n">
        <v>46184</v>
      </c>
      <c r="L243" s="2" t="inlineStr">
        <is>
          <t>AFS-DCM</t>
        </is>
      </c>
      <c r="M243" s="2" t="n">
        <v>4.46</v>
      </c>
    </row>
    <row r="244">
      <c r="A244" s="2" t="n">
        <v>49992</v>
      </c>
      <c r="B244" s="2" t="inlineStr">
        <is>
          <t>S</t>
        </is>
      </c>
      <c r="C244" s="2" t="inlineStr">
        <is>
          <t>TD2353151</t>
        </is>
      </c>
      <c r="D244" s="2" t="inlineStr">
        <is>
          <t>CK_LPBS</t>
        </is>
      </c>
      <c r="E244" s="2" t="n">
        <v>4.2</v>
      </c>
      <c r="F244" s="5" t="n">
        <v>700000</v>
      </c>
      <c r="G244" s="2" t="n">
        <v>100000</v>
      </c>
      <c r="H244" s="5" t="n">
        <v>72918300000</v>
      </c>
      <c r="I244" s="2" t="inlineStr"/>
      <c r="J244" s="4" t="n">
        <v>46185</v>
      </c>
      <c r="K244" s="4" t="n">
        <v>46184</v>
      </c>
      <c r="L244" s="2" t="inlineStr">
        <is>
          <t>AFS-DCM</t>
        </is>
      </c>
      <c r="M244" s="2" t="n">
        <v>4</v>
      </c>
    </row>
    <row r="245">
      <c r="A245" s="2" t="n">
        <v>49989</v>
      </c>
      <c r="B245" s="2" t="inlineStr">
        <is>
          <t>B</t>
        </is>
      </c>
      <c r="C245" s="2" t="inlineStr">
        <is>
          <t>TD2434023</t>
        </is>
      </c>
      <c r="D245" s="2" t="inlineStr">
        <is>
          <t>CK_LPBS</t>
        </is>
      </c>
      <c r="E245" s="2" t="n">
        <v>2.7</v>
      </c>
      <c r="F245" s="5" t="n">
        <v>2500000</v>
      </c>
      <c r="G245" s="2" t="n">
        <v>100000</v>
      </c>
      <c r="H245" s="5" t="n">
        <v>250460000000</v>
      </c>
      <c r="I245" s="2" t="inlineStr"/>
      <c r="J245" s="4" t="n">
        <v>46188</v>
      </c>
      <c r="K245" s="4" t="n">
        <v>46183</v>
      </c>
      <c r="L245" s="2" t="inlineStr">
        <is>
          <t>AFS-HUONG</t>
        </is>
      </c>
      <c r="M245" s="2" t="n">
        <v>3.0367</v>
      </c>
    </row>
    <row r="246">
      <c r="A246" s="2" t="n">
        <v>49988</v>
      </c>
      <c r="B246" s="2" t="inlineStr">
        <is>
          <t>S</t>
        </is>
      </c>
      <c r="C246" s="2" t="inlineStr">
        <is>
          <t>TD2434023</t>
        </is>
      </c>
      <c r="D246" s="2" t="inlineStr">
        <is>
          <t>CK_LPBS</t>
        </is>
      </c>
      <c r="E246" s="2" t="n">
        <v>2.7</v>
      </c>
      <c r="F246" s="5" t="n">
        <v>2500000</v>
      </c>
      <c r="G246" s="2" t="n">
        <v>100000</v>
      </c>
      <c r="H246" s="5" t="n">
        <v>250515000000</v>
      </c>
      <c r="I246" s="2" t="inlineStr"/>
      <c r="J246" s="4" t="n">
        <v>46185</v>
      </c>
      <c r="K246" s="4" t="n">
        <v>46183</v>
      </c>
      <c r="L246" s="2" t="inlineStr">
        <is>
          <t>AFS-DCM</t>
        </is>
      </c>
      <c r="M246" s="2" t="n">
        <v>3.03</v>
      </c>
    </row>
    <row r="247">
      <c r="A247" s="2" t="n">
        <v>49987</v>
      </c>
      <c r="B247" s="2" t="inlineStr">
        <is>
          <t>B</t>
        </is>
      </c>
      <c r="C247" s="2" t="inlineStr">
        <is>
          <t>TD2434022</t>
        </is>
      </c>
      <c r="D247" s="2" t="inlineStr">
        <is>
          <t>CK_LPBS</t>
        </is>
      </c>
      <c r="E247" s="2" t="n">
        <v>2.7</v>
      </c>
      <c r="F247" s="5" t="n">
        <v>3000000</v>
      </c>
      <c r="G247" s="2" t="n">
        <v>100000</v>
      </c>
      <c r="H247" s="5" t="n">
        <v>301131000000</v>
      </c>
      <c r="I247" s="2" t="inlineStr"/>
      <c r="J247" s="4" t="n">
        <v>46188</v>
      </c>
      <c r="K247" s="4" t="n">
        <v>46183</v>
      </c>
      <c r="L247" s="2" t="inlineStr">
        <is>
          <t>AFS-DCM</t>
        </is>
      </c>
      <c r="M247" s="2" t="n">
        <v>3.0255</v>
      </c>
    </row>
    <row r="248">
      <c r="A248" s="2" t="n">
        <v>49986</v>
      </c>
      <c r="B248" s="2" t="inlineStr">
        <is>
          <t>S</t>
        </is>
      </c>
      <c r="C248" s="2" t="inlineStr">
        <is>
          <t>TD2434022</t>
        </is>
      </c>
      <c r="D248" s="2" t="inlineStr">
        <is>
          <t>CK_LPBS</t>
        </is>
      </c>
      <c r="E248" s="2" t="n">
        <v>2.7</v>
      </c>
      <c r="F248" s="5" t="n">
        <v>3000000</v>
      </c>
      <c r="G248" s="2" t="n">
        <v>100000</v>
      </c>
      <c r="H248" s="5" t="n">
        <v>301170000000</v>
      </c>
      <c r="I248" s="2" t="inlineStr"/>
      <c r="J248" s="4" t="n">
        <v>46185</v>
      </c>
      <c r="K248" s="4" t="n">
        <v>46183</v>
      </c>
      <c r="L248" s="2" t="inlineStr">
        <is>
          <t>AFS-DCM</t>
        </is>
      </c>
      <c r="M248" s="2" t="n">
        <v>3.02</v>
      </c>
    </row>
    <row r="249">
      <c r="A249" s="2" t="n">
        <v>49985</v>
      </c>
      <c r="B249" s="2" t="inlineStr">
        <is>
          <t>B</t>
        </is>
      </c>
      <c r="C249" s="2" t="inlineStr">
        <is>
          <t>TD2252132</t>
        </is>
      </c>
      <c r="D249" s="2" t="inlineStr">
        <is>
          <t>CK_VIETCAP</t>
        </is>
      </c>
      <c r="E249" s="2" t="n">
        <v>2.9</v>
      </c>
      <c r="F249" s="5" t="n">
        <v>1120000</v>
      </c>
      <c r="G249" s="2" t="n">
        <v>100000</v>
      </c>
      <c r="H249" s="5" t="n">
        <v>86451680000</v>
      </c>
      <c r="I249" s="2" t="inlineStr"/>
      <c r="J249" s="4" t="n">
        <v>46190</v>
      </c>
      <c r="K249" s="4" t="n">
        <v>46183</v>
      </c>
      <c r="L249" s="2" t="inlineStr">
        <is>
          <t>AFS-DCM</t>
        </is>
      </c>
      <c r="M249" s="2" t="n">
        <v>4.5005</v>
      </c>
    </row>
    <row r="250">
      <c r="A250" s="2" t="n">
        <v>49984</v>
      </c>
      <c r="B250" s="2" t="inlineStr">
        <is>
          <t>S</t>
        </is>
      </c>
      <c r="C250" s="2" t="inlineStr">
        <is>
          <t>TD2252132</t>
        </is>
      </c>
      <c r="D250" s="2" t="inlineStr">
        <is>
          <t>CK_VIETCAP</t>
        </is>
      </c>
      <c r="E250" s="2" t="n">
        <v>2.9</v>
      </c>
      <c r="F250" s="5" t="n">
        <v>1120000</v>
      </c>
      <c r="G250" s="2" t="n">
        <v>100000</v>
      </c>
      <c r="H250" s="5" t="n">
        <v>86448320000</v>
      </c>
      <c r="I250" s="2" t="inlineStr"/>
      <c r="J250" s="4" t="n">
        <v>46189</v>
      </c>
      <c r="K250" s="4" t="n">
        <v>46183</v>
      </c>
      <c r="L250" s="2" t="inlineStr">
        <is>
          <t>AFS-DCM</t>
        </is>
      </c>
      <c r="M250" s="2" t="n">
        <v>4.5</v>
      </c>
    </row>
    <row r="251">
      <c r="A251" s="2" t="n">
        <v>49983</v>
      </c>
      <c r="B251" s="2" t="inlineStr">
        <is>
          <t>B</t>
        </is>
      </c>
      <c r="C251" s="2" t="inlineStr">
        <is>
          <t>TD1934189</t>
        </is>
      </c>
      <c r="D251" s="2" t="inlineStr">
        <is>
          <t>CK_VIETCAP</t>
        </is>
      </c>
      <c r="E251" s="2" t="n">
        <v>5.1</v>
      </c>
      <c r="F251" s="5" t="n">
        <v>1500000</v>
      </c>
      <c r="G251" s="2" t="n">
        <v>100000</v>
      </c>
      <c r="H251" s="5" t="n">
        <v>172825500000</v>
      </c>
      <c r="I251" s="2" t="inlineStr"/>
      <c r="J251" s="4" t="n">
        <v>46190</v>
      </c>
      <c r="K251" s="4" t="n">
        <v>46183</v>
      </c>
      <c r="L251" s="2" t="inlineStr">
        <is>
          <t>AFS-HUONG</t>
        </is>
      </c>
      <c r="M251" s="2" t="n">
        <v>3.12</v>
      </c>
    </row>
    <row r="252">
      <c r="A252" s="2" t="n">
        <v>49982</v>
      </c>
      <c r="B252" s="2" t="inlineStr">
        <is>
          <t>S</t>
        </is>
      </c>
      <c r="C252" s="2" t="inlineStr">
        <is>
          <t>TD1934189</t>
        </is>
      </c>
      <c r="D252" s="2" t="inlineStr">
        <is>
          <t>CK_VIETCAP</t>
        </is>
      </c>
      <c r="E252" s="2" t="n">
        <v>5.1</v>
      </c>
      <c r="F252" s="5" t="n">
        <v>1500000</v>
      </c>
      <c r="G252" s="2" t="n">
        <v>100000</v>
      </c>
      <c r="H252" s="5" t="n">
        <v>172810500000</v>
      </c>
      <c r="I252" s="2" t="inlineStr"/>
      <c r="J252" s="4" t="n">
        <v>46189</v>
      </c>
      <c r="K252" s="4" t="n">
        <v>46183</v>
      </c>
      <c r="L252" s="2" t="inlineStr">
        <is>
          <t>AFS-HUY</t>
        </is>
      </c>
      <c r="M252" s="2" t="n">
        <v>3.12</v>
      </c>
    </row>
    <row r="253">
      <c r="A253" s="2" t="n">
        <v>49981</v>
      </c>
      <c r="B253" s="2" t="inlineStr">
        <is>
          <t>B</t>
        </is>
      </c>
      <c r="C253" s="2" t="inlineStr">
        <is>
          <t>TD1934188</t>
        </is>
      </c>
      <c r="D253" s="2" t="inlineStr">
        <is>
          <t>CK_VIETCAP</t>
        </is>
      </c>
      <c r="E253" s="2" t="n">
        <v>5</v>
      </c>
      <c r="F253" s="5" t="n">
        <v>500000</v>
      </c>
      <c r="G253" s="2" t="n">
        <v>100000</v>
      </c>
      <c r="H253" s="5" t="n">
        <v>57010500000</v>
      </c>
      <c r="I253" s="2" t="inlineStr"/>
      <c r="J253" s="4" t="n">
        <v>46190</v>
      </c>
      <c r="K253" s="4" t="n">
        <v>46183</v>
      </c>
      <c r="L253" s="2" t="inlineStr">
        <is>
          <t>AFS-DCM</t>
        </is>
      </c>
      <c r="M253" s="2" t="n">
        <v>3.1503</v>
      </c>
    </row>
    <row r="254">
      <c r="A254" s="2" t="n">
        <v>49980</v>
      </c>
      <c r="B254" s="2" t="inlineStr">
        <is>
          <t>S</t>
        </is>
      </c>
      <c r="C254" s="2" t="inlineStr">
        <is>
          <t>TD1934188</t>
        </is>
      </c>
      <c r="D254" s="2" t="inlineStr">
        <is>
          <t>CK_VIETCAP</t>
        </is>
      </c>
      <c r="E254" s="2" t="n">
        <v>5</v>
      </c>
      <c r="F254" s="5" t="n">
        <v>500000</v>
      </c>
      <c r="G254" s="2" t="n">
        <v>100000</v>
      </c>
      <c r="H254" s="5" t="n">
        <v>57006500000</v>
      </c>
      <c r="I254" s="2" t="inlineStr"/>
      <c r="J254" s="4" t="n">
        <v>46189</v>
      </c>
      <c r="K254" s="4" t="n">
        <v>46183</v>
      </c>
      <c r="L254" s="2" t="inlineStr">
        <is>
          <t>AFS-DCM</t>
        </is>
      </c>
      <c r="M254" s="2" t="n">
        <v>3.15</v>
      </c>
    </row>
    <row r="255">
      <c r="A255" s="2" t="n">
        <v>49979</v>
      </c>
      <c r="B255" s="2" t="inlineStr">
        <is>
          <t>B</t>
        </is>
      </c>
      <c r="C255" s="2" t="inlineStr">
        <is>
          <t>TD2333120</t>
        </is>
      </c>
      <c r="D255" s="2" t="inlineStr">
        <is>
          <t>CK_VIETCAP</t>
        </is>
      </c>
      <c r="E255" s="2" t="n">
        <v>2.4</v>
      </c>
      <c r="F255" s="5" t="n">
        <v>2000000</v>
      </c>
      <c r="G255" s="2" t="n">
        <v>100000</v>
      </c>
      <c r="H255" s="5" t="n">
        <v>197020000000</v>
      </c>
      <c r="I255" s="2" t="inlineStr"/>
      <c r="J255" s="4" t="n">
        <v>46190</v>
      </c>
      <c r="K255" s="4" t="n">
        <v>46183</v>
      </c>
      <c r="L255" s="2" t="inlineStr">
        <is>
          <t>AFS-DCM</t>
        </is>
      </c>
      <c r="M255" s="2" t="n">
        <v>3</v>
      </c>
    </row>
    <row r="256">
      <c r="A256" s="2" t="n">
        <v>49978</v>
      </c>
      <c r="B256" s="2" t="inlineStr">
        <is>
          <t>S</t>
        </is>
      </c>
      <c r="C256" s="2" t="inlineStr">
        <is>
          <t>TD2333120</t>
        </is>
      </c>
      <c r="D256" s="2" t="inlineStr">
        <is>
          <t>CK_VIETCAP</t>
        </is>
      </c>
      <c r="E256" s="2" t="n">
        <v>2.4</v>
      </c>
      <c r="F256" s="5" t="n">
        <v>2000000</v>
      </c>
      <c r="G256" s="2" t="n">
        <v>100000</v>
      </c>
      <c r="H256" s="5" t="n">
        <v>197004000000</v>
      </c>
      <c r="I256" s="2" t="inlineStr"/>
      <c r="J256" s="4" t="n">
        <v>46189</v>
      </c>
      <c r="K256" s="4" t="n">
        <v>46183</v>
      </c>
      <c r="L256" s="2" t="inlineStr">
        <is>
          <t>AFS-DCM</t>
        </is>
      </c>
      <c r="M256" s="2" t="n">
        <v>3</v>
      </c>
    </row>
    <row r="257">
      <c r="A257" s="2" t="n">
        <v>49977</v>
      </c>
      <c r="B257" s="2" t="inlineStr">
        <is>
          <t>B</t>
        </is>
      </c>
      <c r="C257" s="2" t="inlineStr">
        <is>
          <t>TD2333121</t>
        </is>
      </c>
      <c r="D257" s="2" t="inlineStr">
        <is>
          <t>CK_VIETCAP</t>
        </is>
      </c>
      <c r="E257" s="2" t="n">
        <v>2.3</v>
      </c>
      <c r="F257" s="5" t="n">
        <v>2000000</v>
      </c>
      <c r="G257" s="2" t="n">
        <v>100000</v>
      </c>
      <c r="H257" s="5" t="n">
        <v>193846000000</v>
      </c>
      <c r="I257" s="2" t="inlineStr"/>
      <c r="J257" s="4" t="n">
        <v>46190</v>
      </c>
      <c r="K257" s="4" t="n">
        <v>46183</v>
      </c>
      <c r="L257" s="2" t="inlineStr">
        <is>
          <t>AFS-DCM</t>
        </is>
      </c>
      <c r="M257" s="2" t="n">
        <v>3.05</v>
      </c>
    </row>
    <row r="258">
      <c r="A258" s="2" t="n">
        <v>49976</v>
      </c>
      <c r="B258" s="2" t="inlineStr">
        <is>
          <t>S</t>
        </is>
      </c>
      <c r="C258" s="2" t="inlineStr">
        <is>
          <t>TD2333121</t>
        </is>
      </c>
      <c r="D258" s="2" t="inlineStr">
        <is>
          <t>CK_VIETCAP</t>
        </is>
      </c>
      <c r="E258" s="2" t="n">
        <v>2.3</v>
      </c>
      <c r="F258" s="5" t="n">
        <v>2000000</v>
      </c>
      <c r="G258" s="2" t="n">
        <v>100000</v>
      </c>
      <c r="H258" s="5" t="n">
        <v>193830000000</v>
      </c>
      <c r="I258" s="2" t="inlineStr"/>
      <c r="J258" s="4" t="n">
        <v>46189</v>
      </c>
      <c r="K258" s="4" t="n">
        <v>46183</v>
      </c>
      <c r="L258" s="2" t="inlineStr">
        <is>
          <t>AFS-DCM</t>
        </is>
      </c>
      <c r="M258" s="2" t="n">
        <v>3.05</v>
      </c>
    </row>
    <row r="259">
      <c r="A259" s="2" t="n">
        <v>49975</v>
      </c>
      <c r="B259" s="2" t="inlineStr">
        <is>
          <t>B</t>
        </is>
      </c>
      <c r="C259" s="2" t="inlineStr">
        <is>
          <t>TD2333117</t>
        </is>
      </c>
      <c r="D259" s="2" t="inlineStr">
        <is>
          <t>CK_VIETCAP</t>
        </is>
      </c>
      <c r="E259" s="2" t="n">
        <v>4.2</v>
      </c>
      <c r="F259" s="5" t="n">
        <v>1000000</v>
      </c>
      <c r="G259" s="2" t="n">
        <v>100000</v>
      </c>
      <c r="H259" s="5" t="n">
        <v>108720000000</v>
      </c>
      <c r="I259" s="2" t="inlineStr"/>
      <c r="J259" s="4" t="n">
        <v>46190</v>
      </c>
      <c r="K259" s="4" t="n">
        <v>46183</v>
      </c>
      <c r="L259" s="2" t="inlineStr">
        <is>
          <t>AFS-DCM</t>
        </is>
      </c>
      <c r="M259" s="2" t="n">
        <v>2.99</v>
      </c>
    </row>
    <row r="260">
      <c r="A260" s="2" t="n">
        <v>49974</v>
      </c>
      <c r="B260" s="2" t="inlineStr">
        <is>
          <t>S</t>
        </is>
      </c>
      <c r="C260" s="2" t="inlineStr">
        <is>
          <t>TD2333117</t>
        </is>
      </c>
      <c r="D260" s="2" t="inlineStr">
        <is>
          <t>CK_VIETCAP</t>
        </is>
      </c>
      <c r="E260" s="2" t="n">
        <v>4.2</v>
      </c>
      <c r="F260" s="5" t="n">
        <v>1000000</v>
      </c>
      <c r="G260" s="2" t="n">
        <v>100000</v>
      </c>
      <c r="H260" s="5" t="n">
        <v>108897000000</v>
      </c>
      <c r="I260" s="2" t="inlineStr"/>
      <c r="J260" s="4" t="n">
        <v>46189</v>
      </c>
      <c r="K260" s="4" t="n">
        <v>46183</v>
      </c>
      <c r="L260" s="2" t="inlineStr">
        <is>
          <t>AFS-DCM</t>
        </is>
      </c>
      <c r="M260" s="2" t="n">
        <v>2.96</v>
      </c>
    </row>
    <row r="261">
      <c r="A261" s="2" t="n">
        <v>49963</v>
      </c>
      <c r="B261" s="2" t="inlineStr">
        <is>
          <t>B</t>
        </is>
      </c>
      <c r="C261" s="2" t="inlineStr">
        <is>
          <t>TD2050035</t>
        </is>
      </c>
      <c r="D261" s="2" t="inlineStr">
        <is>
          <t>CK_VNDIREC</t>
        </is>
      </c>
      <c r="E261" s="2" t="n">
        <v>3.8</v>
      </c>
      <c r="F261" s="5" t="n">
        <v>2700000</v>
      </c>
      <c r="G261" s="2" t="n">
        <v>100000</v>
      </c>
      <c r="H261" s="5" t="n">
        <v>246863700000</v>
      </c>
      <c r="I261" s="2" t="inlineStr"/>
      <c r="J261" s="4" t="n">
        <v>46185</v>
      </c>
      <c r="K261" s="4" t="n">
        <v>46181</v>
      </c>
      <c r="L261" s="2" t="inlineStr">
        <is>
          <t>AFS-DCM</t>
        </is>
      </c>
      <c r="M261" s="2" t="n">
        <v>4.5022</v>
      </c>
    </row>
    <row r="262">
      <c r="A262" s="2" t="n">
        <v>49962</v>
      </c>
      <c r="B262" s="2" t="inlineStr">
        <is>
          <t>S</t>
        </is>
      </c>
      <c r="C262" s="2" t="inlineStr">
        <is>
          <t>TD2050035</t>
        </is>
      </c>
      <c r="D262" s="2" t="inlineStr">
        <is>
          <t>CK_VNDIREC</t>
        </is>
      </c>
      <c r="E262" s="2" t="n">
        <v>3.8</v>
      </c>
      <c r="F262" s="5" t="n">
        <v>2700000</v>
      </c>
      <c r="G262" s="2" t="n">
        <v>100000</v>
      </c>
      <c r="H262" s="5" t="n">
        <v>246912300000</v>
      </c>
      <c r="I262" s="2" t="inlineStr"/>
      <c r="J262" s="4" t="n">
        <v>46184</v>
      </c>
      <c r="K262" s="4" t="n">
        <v>46181</v>
      </c>
      <c r="L262" s="2" t="inlineStr">
        <is>
          <t>AFS-DCM</t>
        </is>
      </c>
      <c r="M262" s="2" t="n">
        <v>4.5</v>
      </c>
    </row>
    <row r="263">
      <c r="A263" s="2" t="n">
        <v>49961</v>
      </c>
      <c r="B263" s="2" t="inlineStr">
        <is>
          <t>B</t>
        </is>
      </c>
      <c r="C263" s="2" t="inlineStr">
        <is>
          <t>TL1545363</t>
        </is>
      </c>
      <c r="D263" s="2" t="inlineStr">
        <is>
          <t>CK_VIETIN</t>
        </is>
      </c>
      <c r="E263" s="2" t="n">
        <v>8</v>
      </c>
      <c r="F263" s="5" t="n">
        <v>200000</v>
      </c>
      <c r="G263" s="2" t="n">
        <v>100000</v>
      </c>
      <c r="H263" s="5" t="n">
        <v>31103200000</v>
      </c>
      <c r="I263" s="2" t="inlineStr"/>
      <c r="J263" s="4" t="n">
        <v>46198</v>
      </c>
      <c r="K263" s="4" t="n">
        <v>46181</v>
      </c>
      <c r="L263" s="2" t="inlineStr">
        <is>
          <t>AFS-DCM</t>
        </is>
      </c>
      <c r="M263" s="2" t="n">
        <v>4.1012</v>
      </c>
    </row>
    <row r="264">
      <c r="A264" s="2" t="n">
        <v>49960</v>
      </c>
      <c r="B264" s="2" t="inlineStr">
        <is>
          <t>S</t>
        </is>
      </c>
      <c r="C264" s="2" t="inlineStr">
        <is>
          <t>TL1545363</t>
        </is>
      </c>
      <c r="D264" s="2" t="inlineStr">
        <is>
          <t>CK_VIETIN</t>
        </is>
      </c>
      <c r="E264" s="2" t="n">
        <v>8</v>
      </c>
      <c r="F264" s="5" t="n">
        <v>200000</v>
      </c>
      <c r="G264" s="2" t="n">
        <v>100000</v>
      </c>
      <c r="H264" s="5" t="n">
        <v>31087600000</v>
      </c>
      <c r="I264" s="2" t="inlineStr"/>
      <c r="J264" s="4" t="n">
        <v>46195</v>
      </c>
      <c r="K264" s="4" t="n">
        <v>46181</v>
      </c>
      <c r="L264" s="2" t="inlineStr">
        <is>
          <t>AFS-DCM</t>
        </is>
      </c>
      <c r="M264" s="2" t="n">
        <v>4.1027</v>
      </c>
    </row>
    <row r="265">
      <c r="A265" s="2" t="n">
        <v>49959</v>
      </c>
      <c r="B265" s="2" t="inlineStr">
        <is>
          <t>B</t>
        </is>
      </c>
      <c r="C265" s="2" t="inlineStr">
        <is>
          <t>TD2252132</t>
        </is>
      </c>
      <c r="D265" s="2" t="inlineStr">
        <is>
          <t>CK_VIETIN</t>
        </is>
      </c>
      <c r="E265" s="2" t="n">
        <v>2.9</v>
      </c>
      <c r="F265" s="5" t="n">
        <v>2010000</v>
      </c>
      <c r="G265" s="2" t="n">
        <v>100000</v>
      </c>
      <c r="H265" s="5" t="n">
        <v>160289460000</v>
      </c>
      <c r="I265" s="2" t="inlineStr"/>
      <c r="J265" s="4" t="n">
        <v>46198</v>
      </c>
      <c r="K265" s="4" t="n">
        <v>46181</v>
      </c>
      <c r="L265" s="2" t="inlineStr">
        <is>
          <t>AFS-DCM</t>
        </is>
      </c>
      <c r="M265" s="2" t="n">
        <v>4.306</v>
      </c>
    </row>
    <row r="266">
      <c r="A266" s="2" t="n">
        <v>49958</v>
      </c>
      <c r="B266" s="2" t="inlineStr">
        <is>
          <t>S</t>
        </is>
      </c>
      <c r="C266" s="2" t="inlineStr">
        <is>
          <t>TD2252132</t>
        </is>
      </c>
      <c r="D266" s="2" t="inlineStr">
        <is>
          <t>CK_VIETIN</t>
        </is>
      </c>
      <c r="E266" s="2" t="n">
        <v>2.9</v>
      </c>
      <c r="F266" s="5" t="n">
        <v>2010000</v>
      </c>
      <c r="G266" s="2" t="n">
        <v>100000</v>
      </c>
      <c r="H266" s="5" t="n">
        <v>160261320000</v>
      </c>
      <c r="I266" s="2" t="inlineStr"/>
      <c r="J266" s="4" t="n">
        <v>46195</v>
      </c>
      <c r="K266" s="4" t="n">
        <v>46181</v>
      </c>
      <c r="L266" s="2" t="inlineStr">
        <is>
          <t>AFS-DCM</t>
        </is>
      </c>
      <c r="M266" s="2" t="n">
        <v>4.305</v>
      </c>
    </row>
    <row r="267">
      <c r="A267" s="2" t="n">
        <v>49957</v>
      </c>
      <c r="B267" s="2" t="inlineStr">
        <is>
          <t>B</t>
        </is>
      </c>
      <c r="C267" s="2" t="inlineStr">
        <is>
          <t>TD1646503</t>
        </is>
      </c>
      <c r="D267" s="2" t="inlineStr">
        <is>
          <t>CK_VIETIN</t>
        </is>
      </c>
      <c r="E267" s="2" t="n">
        <v>7.9</v>
      </c>
      <c r="F267" s="5" t="n">
        <v>800000</v>
      </c>
      <c r="G267" s="2" t="n">
        <v>100000</v>
      </c>
      <c r="H267" s="5" t="n">
        <v>125514400000</v>
      </c>
      <c r="I267" s="2" t="inlineStr"/>
      <c r="J267" s="4" t="n">
        <v>46191</v>
      </c>
      <c r="K267" s="4" t="n">
        <v>46181</v>
      </c>
      <c r="L267" s="2" t="inlineStr">
        <is>
          <t>AFS-DCM</t>
        </is>
      </c>
      <c r="M267" s="2" t="n">
        <v>4.1088</v>
      </c>
    </row>
    <row r="268">
      <c r="A268" s="2" t="n">
        <v>49956</v>
      </c>
      <c r="B268" s="2" t="inlineStr">
        <is>
          <t>S</t>
        </is>
      </c>
      <c r="C268" s="2" t="inlineStr">
        <is>
          <t>TD1646503</t>
        </is>
      </c>
      <c r="D268" s="2" t="inlineStr">
        <is>
          <t>CK_VIETIN</t>
        </is>
      </c>
      <c r="E268" s="2" t="n">
        <v>7.9</v>
      </c>
      <c r="F268" s="5" t="n">
        <v>800000</v>
      </c>
      <c r="G268" s="2" t="n">
        <v>100000</v>
      </c>
      <c r="H268" s="5" t="n">
        <v>125485600000</v>
      </c>
      <c r="I268" s="2" t="inlineStr"/>
      <c r="J268" s="4" t="n">
        <v>46188</v>
      </c>
      <c r="K268" s="4" t="n">
        <v>46181</v>
      </c>
      <c r="L268" s="2" t="inlineStr">
        <is>
          <t>AFS-DCM</t>
        </is>
      </c>
      <c r="M268" s="2" t="n">
        <v>4.1079</v>
      </c>
    </row>
    <row r="269">
      <c r="A269" s="2" t="n">
        <v>49955</v>
      </c>
      <c r="B269" s="2" t="inlineStr">
        <is>
          <t>B</t>
        </is>
      </c>
      <c r="C269" s="2" t="inlineStr">
        <is>
          <t>TD2434026</t>
        </is>
      </c>
      <c r="D269" s="2" t="inlineStr">
        <is>
          <t>CK_VNDIREC</t>
        </is>
      </c>
      <c r="E269" s="2" t="n">
        <v>2.6</v>
      </c>
      <c r="F269" s="5" t="n">
        <v>1500000</v>
      </c>
      <c r="G269" s="2" t="n">
        <v>100000</v>
      </c>
      <c r="H269" s="5" t="n">
        <v>148123500000</v>
      </c>
      <c r="I269" s="2" t="inlineStr"/>
      <c r="J269" s="4" t="n">
        <v>46184</v>
      </c>
      <c r="K269" s="4" t="n">
        <v>46181</v>
      </c>
      <c r="L269" s="2" t="inlineStr">
        <is>
          <t>AFS-HUONG</t>
        </is>
      </c>
      <c r="M269" s="2" t="n">
        <v>3.0256</v>
      </c>
    </row>
    <row r="270">
      <c r="A270" s="2" t="n">
        <v>49954</v>
      </c>
      <c r="B270" s="2" t="inlineStr">
        <is>
          <t>S</t>
        </is>
      </c>
      <c r="C270" s="2" t="inlineStr">
        <is>
          <t>TD2434026</t>
        </is>
      </c>
      <c r="D270" s="2" t="inlineStr">
        <is>
          <t>CK_VNDIREC</t>
        </is>
      </c>
      <c r="E270" s="2" t="n">
        <v>2.6</v>
      </c>
      <c r="F270" s="5" t="n">
        <v>1500000</v>
      </c>
      <c r="G270" s="2" t="n">
        <v>100000</v>
      </c>
      <c r="H270" s="5" t="n">
        <v>148171500000</v>
      </c>
      <c r="I270" s="2" t="inlineStr"/>
      <c r="J270" s="4" t="n">
        <v>46183</v>
      </c>
      <c r="K270" s="4" t="n">
        <v>46181</v>
      </c>
      <c r="L270" s="2" t="inlineStr">
        <is>
          <t>AFS-HUONG</t>
        </is>
      </c>
      <c r="M270" s="2" t="n">
        <v>3.02</v>
      </c>
    </row>
    <row r="271">
      <c r="A271" s="2" t="n">
        <v>49953</v>
      </c>
      <c r="B271" s="2" t="inlineStr">
        <is>
          <t>B</t>
        </is>
      </c>
      <c r="C271" s="2" t="inlineStr">
        <is>
          <t>TD1429095</t>
        </is>
      </c>
      <c r="D271" s="2" t="inlineStr">
        <is>
          <t>CK_VNDIREC</t>
        </is>
      </c>
      <c r="E271" s="2" t="n">
        <v>7</v>
      </c>
      <c r="F271" s="5" t="n">
        <v>510000</v>
      </c>
      <c r="G271" s="2" t="n">
        <v>100000</v>
      </c>
      <c r="H271" s="5" t="n">
        <v>58073190000</v>
      </c>
      <c r="I271" s="2" t="inlineStr"/>
      <c r="J271" s="4" t="n">
        <v>46184</v>
      </c>
      <c r="K271" s="4" t="n">
        <v>46181</v>
      </c>
      <c r="L271" s="2" t="inlineStr">
        <is>
          <t>AFS-DCM</t>
        </is>
      </c>
      <c r="M271" s="2" t="n">
        <v>3.9711</v>
      </c>
    </row>
    <row r="272">
      <c r="A272" s="2" t="n">
        <v>49952</v>
      </c>
      <c r="B272" s="2" t="inlineStr">
        <is>
          <t>S</t>
        </is>
      </c>
      <c r="C272" s="2" t="inlineStr">
        <is>
          <t>TD1429095</t>
        </is>
      </c>
      <c r="D272" s="2" t="inlineStr">
        <is>
          <t>CK_VNDIREC</t>
        </is>
      </c>
      <c r="E272" s="2" t="n">
        <v>7</v>
      </c>
      <c r="F272" s="5" t="n">
        <v>510000</v>
      </c>
      <c r="G272" s="2" t="n">
        <v>100000</v>
      </c>
      <c r="H272" s="5" t="n">
        <v>58067070000</v>
      </c>
      <c r="I272" s="2" t="inlineStr"/>
      <c r="J272" s="4" t="n">
        <v>46183</v>
      </c>
      <c r="K272" s="4" t="n">
        <v>46181</v>
      </c>
      <c r="L272" s="2" t="inlineStr">
        <is>
          <t>AFS-DCM</t>
        </is>
      </c>
      <c r="M272" s="2" t="n">
        <v>3.971</v>
      </c>
    </row>
    <row r="273">
      <c r="A273" s="2" t="n">
        <v>49951</v>
      </c>
      <c r="B273" s="2" t="inlineStr">
        <is>
          <t>B</t>
        </is>
      </c>
      <c r="C273" s="2" t="inlineStr">
        <is>
          <t>TD1429095</t>
        </is>
      </c>
      <c r="D273" s="2" t="inlineStr">
        <is>
          <t>CK_SGHN</t>
        </is>
      </c>
      <c r="E273" s="2" t="n">
        <v>7</v>
      </c>
      <c r="F273" s="5" t="n">
        <v>390000</v>
      </c>
      <c r="G273" s="2" t="n">
        <v>100000</v>
      </c>
      <c r="H273" s="5" t="n">
        <v>44406960000</v>
      </c>
      <c r="I273" s="2" t="inlineStr"/>
      <c r="J273" s="4" t="n">
        <v>46184</v>
      </c>
      <c r="K273" s="4" t="n">
        <v>46181</v>
      </c>
      <c r="L273" s="2" t="inlineStr">
        <is>
          <t>AFS-DCM</t>
        </is>
      </c>
      <c r="M273" s="2" t="n">
        <v>3.9725</v>
      </c>
    </row>
    <row r="274">
      <c r="A274" s="2" t="n">
        <v>49950</v>
      </c>
      <c r="B274" s="2" t="inlineStr">
        <is>
          <t>S</t>
        </is>
      </c>
      <c r="C274" s="2" t="inlineStr">
        <is>
          <t>TD1429095</t>
        </is>
      </c>
      <c r="D274" s="2" t="inlineStr">
        <is>
          <t>CK_SGHN</t>
        </is>
      </c>
      <c r="E274" s="2" t="n">
        <v>7</v>
      </c>
      <c r="F274" s="5" t="n">
        <v>390000</v>
      </c>
      <c r="G274" s="2" t="n">
        <v>100000</v>
      </c>
      <c r="H274" s="5" t="n">
        <v>44404230000</v>
      </c>
      <c r="I274" s="2" t="inlineStr"/>
      <c r="J274" s="4" t="n">
        <v>46183</v>
      </c>
      <c r="K274" s="4" t="n">
        <v>46181</v>
      </c>
      <c r="L274" s="2" t="inlineStr">
        <is>
          <t>AFS-DCM</t>
        </is>
      </c>
      <c r="M274" s="2" t="n">
        <v>3.971</v>
      </c>
    </row>
    <row r="275">
      <c r="A275" s="2" t="n">
        <v>49949</v>
      </c>
      <c r="B275" s="2" t="inlineStr">
        <is>
          <t>B</t>
        </is>
      </c>
      <c r="C275" s="2" t="inlineStr">
        <is>
          <t>TD2434024</t>
        </is>
      </c>
      <c r="D275" s="2" t="inlineStr">
        <is>
          <t>CK_SGHN</t>
        </is>
      </c>
      <c r="E275" s="2" t="n">
        <v>2.7</v>
      </c>
      <c r="F275" s="5" t="n">
        <v>1000000</v>
      </c>
      <c r="G275" s="2" t="n">
        <v>100000</v>
      </c>
      <c r="H275" s="5" t="n">
        <v>100293000000</v>
      </c>
      <c r="I275" s="2" t="inlineStr"/>
      <c r="J275" s="4" t="n">
        <v>46184</v>
      </c>
      <c r="K275" s="4" t="n">
        <v>46181</v>
      </c>
      <c r="L275" s="2" t="inlineStr">
        <is>
          <t>AFS-HUONG</t>
        </is>
      </c>
      <c r="M275" s="2" t="n">
        <v>3</v>
      </c>
    </row>
    <row r="276">
      <c r="A276" s="2" t="n">
        <v>49948</v>
      </c>
      <c r="B276" s="2" t="inlineStr">
        <is>
          <t>S</t>
        </is>
      </c>
      <c r="C276" s="2" t="inlineStr">
        <is>
          <t>TD2434024</t>
        </is>
      </c>
      <c r="D276" s="2" t="inlineStr">
        <is>
          <t>CK_SGHN</t>
        </is>
      </c>
      <c r="E276" s="2" t="n">
        <v>2.7</v>
      </c>
      <c r="F276" s="5" t="n">
        <v>1000000</v>
      </c>
      <c r="G276" s="2" t="n">
        <v>100000</v>
      </c>
      <c r="H276" s="5" t="n">
        <v>100285000000</v>
      </c>
      <c r="I276" s="2" t="inlineStr"/>
      <c r="J276" s="4" t="n">
        <v>46183</v>
      </c>
      <c r="K276" s="4" t="n">
        <v>46181</v>
      </c>
      <c r="L276" s="2" t="inlineStr">
        <is>
          <t>AFS-HUONG</t>
        </is>
      </c>
      <c r="M276" s="2" t="n">
        <v>3</v>
      </c>
    </row>
    <row r="277">
      <c r="A277" s="2" t="n">
        <v>49947</v>
      </c>
      <c r="B277" s="2" t="inlineStr">
        <is>
          <t>B</t>
        </is>
      </c>
      <c r="C277" s="2" t="inlineStr">
        <is>
          <t>TD2353151</t>
        </is>
      </c>
      <c r="D277" s="2" t="inlineStr">
        <is>
          <t>CK_SGHN</t>
        </is>
      </c>
      <c r="E277" s="2" t="n">
        <v>4.2</v>
      </c>
      <c r="F277" s="5" t="n">
        <v>1500000</v>
      </c>
      <c r="G277" s="2" t="n">
        <v>100000</v>
      </c>
      <c r="H277" s="5" t="n">
        <v>156111000000</v>
      </c>
      <c r="I277" s="2" t="inlineStr"/>
      <c r="J277" s="4" t="n">
        <v>46184</v>
      </c>
      <c r="K277" s="4" t="n">
        <v>46181</v>
      </c>
      <c r="L277" s="2" t="inlineStr">
        <is>
          <t>AFS-DCM</t>
        </is>
      </c>
      <c r="M277" s="2" t="n">
        <v>4.005</v>
      </c>
    </row>
    <row r="278">
      <c r="A278" s="2" t="n">
        <v>49946</v>
      </c>
      <c r="B278" s="2" t="inlineStr">
        <is>
          <t>S</t>
        </is>
      </c>
      <c r="C278" s="2" t="inlineStr">
        <is>
          <t>TD2353151</t>
        </is>
      </c>
      <c r="D278" s="2" t="inlineStr">
        <is>
          <t>CK_SGHN</t>
        </is>
      </c>
      <c r="E278" s="2" t="n">
        <v>4.2</v>
      </c>
      <c r="F278" s="5" t="n">
        <v>1500000</v>
      </c>
      <c r="G278" s="2" t="n">
        <v>100000</v>
      </c>
      <c r="H278" s="5" t="n">
        <v>156219000000</v>
      </c>
      <c r="I278" s="2" t="inlineStr"/>
      <c r="J278" s="4" t="n">
        <v>46183</v>
      </c>
      <c r="K278" s="4" t="n">
        <v>46181</v>
      </c>
      <c r="L278" s="2" t="inlineStr">
        <is>
          <t>AFS-DCM</t>
        </is>
      </c>
      <c r="M278" s="2" t="n">
        <v>4</v>
      </c>
    </row>
    <row r="279">
      <c r="A279" s="2" t="n">
        <v>49945</v>
      </c>
      <c r="B279" s="2" t="inlineStr">
        <is>
          <t>B</t>
        </is>
      </c>
      <c r="C279" s="2" t="inlineStr">
        <is>
          <t>TD2454043</t>
        </is>
      </c>
      <c r="D279" s="2" t="inlineStr">
        <is>
          <t>CK_SGHN</t>
        </is>
      </c>
      <c r="E279" s="2" t="n">
        <v>2.8</v>
      </c>
      <c r="F279" s="5" t="n">
        <v>2500000</v>
      </c>
      <c r="G279" s="2" t="n">
        <v>100000</v>
      </c>
      <c r="H279" s="5" t="n">
        <v>180102500000</v>
      </c>
      <c r="I279" s="2" t="inlineStr"/>
      <c r="J279" s="4" t="n">
        <v>46184</v>
      </c>
      <c r="K279" s="4" t="n">
        <v>46181</v>
      </c>
      <c r="L279" s="2" t="inlineStr">
        <is>
          <t>AFS-DCM</t>
        </is>
      </c>
      <c r="M279" s="2" t="n">
        <v>4.7</v>
      </c>
    </row>
    <row r="280">
      <c r="A280" s="2" t="n">
        <v>49944</v>
      </c>
      <c r="B280" s="2" t="inlineStr">
        <is>
          <t>S</t>
        </is>
      </c>
      <c r="C280" s="2" t="inlineStr">
        <is>
          <t>TD2454043</t>
        </is>
      </c>
      <c r="D280" s="2" t="inlineStr">
        <is>
          <t>CK_SGHN</t>
        </is>
      </c>
      <c r="E280" s="2" t="n">
        <v>2.8</v>
      </c>
      <c r="F280" s="5" t="n">
        <v>2500000</v>
      </c>
      <c r="G280" s="2" t="n">
        <v>100000</v>
      </c>
      <c r="H280" s="5" t="n">
        <v>180077500000</v>
      </c>
      <c r="I280" s="2" t="inlineStr"/>
      <c r="J280" s="4" t="n">
        <v>46183</v>
      </c>
      <c r="K280" s="4" t="n">
        <v>46181</v>
      </c>
      <c r="L280" s="2" t="inlineStr">
        <is>
          <t>AFS-DCM</t>
        </is>
      </c>
      <c r="M280" s="2" t="n">
        <v>4.7</v>
      </c>
    </row>
    <row r="281">
      <c r="A281" s="2" t="n">
        <v>50261</v>
      </c>
      <c r="B281" s="2" t="inlineStr">
        <is>
          <t>S</t>
        </is>
      </c>
      <c r="C281" s="2" t="inlineStr">
        <is>
          <t>TD2353151</t>
        </is>
      </c>
      <c r="D281" s="2" t="inlineStr">
        <is>
          <t>CK_VIETIN</t>
        </is>
      </c>
      <c r="E281" s="2" t="n">
        <v>4.2</v>
      </c>
      <c r="F281" s="5" t="n">
        <v>800000</v>
      </c>
      <c r="G281" s="2" t="n">
        <v>100000</v>
      </c>
      <c r="H281" s="5" t="n">
        <v>83801600000</v>
      </c>
      <c r="I281" s="2" t="inlineStr"/>
      <c r="J281" s="4" t="n">
        <v>46237</v>
      </c>
      <c r="K281" s="4" t="n">
        <v>46232</v>
      </c>
      <c r="L281" s="2" t="inlineStr">
        <is>
          <t>AFS-DCM</t>
        </is>
      </c>
      <c r="M281" s="2" t="n">
        <v>4</v>
      </c>
    </row>
    <row r="282">
      <c r="A282" s="2" t="n">
        <v>50262</v>
      </c>
      <c r="B282" s="2" t="inlineStr">
        <is>
          <t>B</t>
        </is>
      </c>
      <c r="C282" s="2" t="inlineStr">
        <is>
          <t>TD2353151</t>
        </is>
      </c>
      <c r="D282" s="2" t="inlineStr">
        <is>
          <t>CK_VIETIN</t>
        </is>
      </c>
      <c r="E282" s="2" t="n">
        <v>4.2</v>
      </c>
      <c r="F282" s="5" t="n">
        <v>800000</v>
      </c>
      <c r="G282" s="2" t="n">
        <v>100000</v>
      </c>
      <c r="H282" s="5" t="n">
        <v>83820000000</v>
      </c>
      <c r="I282" s="2" t="inlineStr"/>
      <c r="J282" s="4" t="n">
        <v>46240</v>
      </c>
      <c r="K282" s="4" t="n">
        <v>46232</v>
      </c>
      <c r="L282" s="2" t="inlineStr">
        <is>
          <t>AFS-DCM</t>
        </is>
      </c>
      <c r="M282" s="2" t="n">
        <v>4.0007</v>
      </c>
    </row>
    <row r="283">
      <c r="A283" s="2" t="n">
        <v>50263</v>
      </c>
      <c r="B283" s="2" t="inlineStr">
        <is>
          <t>S</t>
        </is>
      </c>
      <c r="C283" s="2" t="inlineStr">
        <is>
          <t>TD2232114</t>
        </is>
      </c>
      <c r="D283" s="2" t="inlineStr">
        <is>
          <t>CK_VIETIN</t>
        </is>
      </c>
      <c r="E283" s="2" t="n">
        <v>4.8</v>
      </c>
      <c r="F283" s="5" t="n">
        <v>2000000</v>
      </c>
      <c r="G283" s="2" t="n">
        <v>100000</v>
      </c>
      <c r="H283" s="5" t="n">
        <v>228710000000</v>
      </c>
      <c r="I283" s="2" t="inlineStr"/>
      <c r="J283" s="4" t="n">
        <v>46237</v>
      </c>
      <c r="K283" s="4" t="n">
        <v>46232</v>
      </c>
      <c r="L283" s="2" t="inlineStr">
        <is>
          <t>AFS-DCM</t>
        </is>
      </c>
      <c r="M283" s="2" t="n">
        <v>2.8399</v>
      </c>
    </row>
    <row r="284">
      <c r="A284" s="2" t="n">
        <v>50264</v>
      </c>
      <c r="B284" s="2" t="inlineStr">
        <is>
          <t>B</t>
        </is>
      </c>
      <c r="C284" s="2" t="inlineStr">
        <is>
          <t>TD2232114</t>
        </is>
      </c>
      <c r="D284" s="2" t="inlineStr">
        <is>
          <t>CK_VIETIN</t>
        </is>
      </c>
      <c r="E284" s="2" t="n">
        <v>4.8</v>
      </c>
      <c r="F284" s="5" t="n">
        <v>2000000</v>
      </c>
      <c r="G284" s="2" t="n">
        <v>100000</v>
      </c>
      <c r="H284" s="5" t="n">
        <v>228738000000</v>
      </c>
      <c r="I284" s="2" t="inlineStr"/>
      <c r="J284" s="4" t="n">
        <v>46240</v>
      </c>
      <c r="K284" s="4" t="n">
        <v>46232</v>
      </c>
      <c r="L284" s="2" t="inlineStr">
        <is>
          <t>AFS-DCM</t>
        </is>
      </c>
      <c r="M284" s="2" t="n">
        <v>2.8419</v>
      </c>
    </row>
    <row r="285">
      <c r="A285" s="2" t="n">
        <v>50265</v>
      </c>
      <c r="B285" s="2" t="inlineStr">
        <is>
          <t>S</t>
        </is>
      </c>
      <c r="C285" s="2" t="inlineStr">
        <is>
          <t>TD1646503</t>
        </is>
      </c>
      <c r="D285" s="2" t="inlineStr">
        <is>
          <t>CK_SSI</t>
        </is>
      </c>
      <c r="E285" s="2" t="n">
        <v>7.9</v>
      </c>
      <c r="F285" s="5" t="n">
        <v>4550000</v>
      </c>
      <c r="G285" s="2" t="n">
        <v>100000</v>
      </c>
      <c r="H285" s="5" t="n">
        <v>721611800000</v>
      </c>
      <c r="I285" s="2" t="inlineStr"/>
      <c r="J285" s="4" t="n">
        <v>46238</v>
      </c>
      <c r="K285" s="4" t="n">
        <v>46233</v>
      </c>
      <c r="L285" s="2" t="inlineStr">
        <is>
          <t>AFS-DCM</t>
        </is>
      </c>
      <c r="M285" s="2" t="n">
        <v>4.06</v>
      </c>
    </row>
    <row r="286">
      <c r="A286" s="2" t="n">
        <v>50266</v>
      </c>
      <c r="B286" s="2" t="inlineStr">
        <is>
          <t>B</t>
        </is>
      </c>
      <c r="C286" s="2" t="inlineStr">
        <is>
          <t>TD1646503</t>
        </is>
      </c>
      <c r="D286" s="2" t="inlineStr">
        <is>
          <t>CK_SSI</t>
        </is>
      </c>
      <c r="E286" s="2" t="n">
        <v>7.9</v>
      </c>
      <c r="F286" s="5" t="n">
        <v>4550000</v>
      </c>
      <c r="G286" s="2" t="n">
        <v>100000</v>
      </c>
      <c r="H286" s="5" t="n">
        <v>721721000000</v>
      </c>
      <c r="I286" s="2" t="inlineStr"/>
      <c r="J286" s="4" t="n">
        <v>46241</v>
      </c>
      <c r="K286" s="4" t="n">
        <v>46233</v>
      </c>
      <c r="L286" s="2" t="inlineStr">
        <is>
          <t>AFS-DCM</t>
        </is>
      </c>
      <c r="M286" s="2" t="n">
        <v>4.0615</v>
      </c>
    </row>
    <row r="287">
      <c r="A287" s="2" t="n">
        <v>50269</v>
      </c>
      <c r="B287" s="2" t="inlineStr">
        <is>
          <t>S</t>
        </is>
      </c>
      <c r="C287" s="2" t="inlineStr">
        <is>
          <t>TD1646468</t>
        </is>
      </c>
      <c r="D287" s="2" t="inlineStr">
        <is>
          <t>CK_AGRIBAN</t>
        </is>
      </c>
      <c r="E287" s="2" t="n">
        <v>8</v>
      </c>
      <c r="F287" s="5" t="n">
        <v>700000</v>
      </c>
      <c r="G287" s="2" t="n">
        <v>100000</v>
      </c>
      <c r="H287" s="5" t="n">
        <v>105011200000</v>
      </c>
      <c r="I287" s="2" t="inlineStr"/>
      <c r="J287" s="4" t="n">
        <v>46237</v>
      </c>
      <c r="K287" s="4" t="n">
        <v>46233</v>
      </c>
      <c r="L287" s="2" t="inlineStr">
        <is>
          <t>AFS-DCM</t>
        </is>
      </c>
      <c r="M287" s="2" t="n">
        <v>4.43</v>
      </c>
    </row>
    <row r="288">
      <c r="A288" s="2" t="n">
        <v>50270</v>
      </c>
      <c r="B288" s="2" t="inlineStr">
        <is>
          <t>B</t>
        </is>
      </c>
      <c r="C288" s="2" t="inlineStr">
        <is>
          <t>TD1646468</t>
        </is>
      </c>
      <c r="D288" s="2" t="inlineStr">
        <is>
          <t>CK_AGRIBAN</t>
        </is>
      </c>
      <c r="E288" s="2" t="n">
        <v>8</v>
      </c>
      <c r="F288" s="5" t="n">
        <v>700000</v>
      </c>
      <c r="G288" s="2" t="n">
        <v>100000</v>
      </c>
      <c r="H288" s="5" t="n">
        <v>105012600000</v>
      </c>
      <c r="I288" s="2" t="inlineStr"/>
      <c r="J288" s="4" t="n">
        <v>46245</v>
      </c>
      <c r="K288" s="4" t="n">
        <v>46233</v>
      </c>
      <c r="L288" s="2" t="inlineStr">
        <is>
          <t>AFS-DCM</t>
        </is>
      </c>
      <c r="M288" s="2" t="n">
        <v>4.4384</v>
      </c>
    </row>
    <row r="289">
      <c r="A289" s="2" t="n">
        <v>50271</v>
      </c>
      <c r="B289" s="2" t="inlineStr">
        <is>
          <t>S</t>
        </is>
      </c>
      <c r="C289" s="2" t="inlineStr">
        <is>
          <t>TD1646468</t>
        </is>
      </c>
      <c r="D289" s="2" t="inlineStr">
        <is>
          <t>CK_AGRIBAN</t>
        </is>
      </c>
      <c r="E289" s="2" t="n">
        <v>8</v>
      </c>
      <c r="F289" s="5" t="n">
        <v>2200000</v>
      </c>
      <c r="G289" s="2" t="n">
        <v>100000</v>
      </c>
      <c r="H289" s="5" t="n">
        <v>330035200000</v>
      </c>
      <c r="I289" s="2" t="inlineStr"/>
      <c r="J289" s="4" t="n">
        <v>46237</v>
      </c>
      <c r="K289" s="4" t="n">
        <v>46233</v>
      </c>
      <c r="L289" s="2" t="inlineStr">
        <is>
          <t>AFS-DCM</t>
        </is>
      </c>
      <c r="M289" s="2" t="n">
        <v>4.43</v>
      </c>
    </row>
    <row r="290">
      <c r="A290" s="2" t="n">
        <v>50272</v>
      </c>
      <c r="B290" s="2" t="inlineStr">
        <is>
          <t>B</t>
        </is>
      </c>
      <c r="C290" s="2" t="inlineStr">
        <is>
          <t>TD1646468</t>
        </is>
      </c>
      <c r="D290" s="2" t="inlineStr">
        <is>
          <t>CK_AGRIBAN</t>
        </is>
      </c>
      <c r="E290" s="2" t="n">
        <v>8</v>
      </c>
      <c r="F290" s="5" t="n">
        <v>2200000</v>
      </c>
      <c r="G290" s="2" t="n">
        <v>100000</v>
      </c>
      <c r="H290" s="5" t="n">
        <v>330037400000</v>
      </c>
      <c r="I290" s="2" t="inlineStr"/>
      <c r="J290" s="4" t="n">
        <v>46238</v>
      </c>
      <c r="K290" s="4" t="n">
        <v>46233</v>
      </c>
      <c r="L290" s="2" t="inlineStr">
        <is>
          <t>AFS-DCM</t>
        </is>
      </c>
      <c r="M290" s="2" t="n">
        <v>4.431</v>
      </c>
    </row>
    <row r="291">
      <c r="A291" s="2" t="n">
        <v>50273</v>
      </c>
      <c r="B291" s="2" t="inlineStr">
        <is>
          <t>S</t>
        </is>
      </c>
      <c r="C291" s="2" t="inlineStr">
        <is>
          <t>TD1646468</t>
        </is>
      </c>
      <c r="D291" s="2" t="inlineStr">
        <is>
          <t>CK_TCBS</t>
        </is>
      </c>
      <c r="E291" s="2" t="n">
        <v>8</v>
      </c>
      <c r="F291" s="5" t="n">
        <v>1350000</v>
      </c>
      <c r="G291" s="2" t="n">
        <v>100000</v>
      </c>
      <c r="H291" s="5" t="n">
        <v>202547250000</v>
      </c>
      <c r="I291" s="2" t="inlineStr"/>
      <c r="J291" s="4" t="n">
        <v>46239</v>
      </c>
      <c r="K291" s="4" t="n">
        <v>46237</v>
      </c>
      <c r="L291" s="2" t="inlineStr">
        <is>
          <t>AFS-DCM</t>
        </is>
      </c>
      <c r="M291" s="2" t="n">
        <v>4.431</v>
      </c>
    </row>
    <row r="292">
      <c r="A292" s="2" t="n">
        <v>50274</v>
      </c>
      <c r="B292" s="2" t="inlineStr">
        <is>
          <t>B</t>
        </is>
      </c>
      <c r="C292" s="2" t="inlineStr">
        <is>
          <t>TD1646468</t>
        </is>
      </c>
      <c r="D292" s="2" t="inlineStr">
        <is>
          <t>CK_TCBS</t>
        </is>
      </c>
      <c r="E292" s="2" t="n">
        <v>8</v>
      </c>
      <c r="F292" s="5" t="n">
        <v>1350000</v>
      </c>
      <c r="G292" s="2" t="n">
        <v>100000</v>
      </c>
      <c r="H292" s="5" t="n">
        <v>202506750000</v>
      </c>
      <c r="I292" s="2" t="inlineStr"/>
      <c r="J292" s="4" t="n">
        <v>46241</v>
      </c>
      <c r="K292" s="4" t="n">
        <v>46237</v>
      </c>
      <c r="L292" s="2" t="inlineStr">
        <is>
          <t>AFS-DCM</t>
        </is>
      </c>
      <c r="M292" s="2" t="n">
        <v>4.4349</v>
      </c>
    </row>
    <row r="293">
      <c r="A293" s="2" t="n">
        <v>50275</v>
      </c>
      <c r="B293" s="2" t="inlineStr">
        <is>
          <t>S</t>
        </is>
      </c>
      <c r="C293" s="2" t="inlineStr">
        <is>
          <t>TD1646503</t>
        </is>
      </c>
      <c r="D293" s="2" t="inlineStr">
        <is>
          <t>CK_SSI</t>
        </is>
      </c>
      <c r="E293" s="2" t="n">
        <v>7.9</v>
      </c>
      <c r="F293" s="5" t="n">
        <v>550000</v>
      </c>
      <c r="G293" s="2" t="n">
        <v>100000</v>
      </c>
      <c r="H293" s="5" t="n">
        <v>87801450000</v>
      </c>
      <c r="I293" s="2" t="inlineStr"/>
      <c r="J293" s="4" t="n">
        <v>46240</v>
      </c>
      <c r="K293" s="4" t="n">
        <v>46238</v>
      </c>
      <c r="L293" s="2" t="inlineStr">
        <is>
          <t>AFS-DCM</t>
        </is>
      </c>
      <c r="M293" s="2" t="n">
        <v>4.005</v>
      </c>
    </row>
    <row r="294">
      <c r="A294" s="2" t="n">
        <v>50276</v>
      </c>
      <c r="B294" s="2" t="inlineStr">
        <is>
          <t>B</t>
        </is>
      </c>
      <c r="C294" s="2" t="inlineStr">
        <is>
          <t>TD1646503</t>
        </is>
      </c>
      <c r="D294" s="2" t="inlineStr">
        <is>
          <t>CK_SSI</t>
        </is>
      </c>
      <c r="E294" s="2" t="n">
        <v>7.9</v>
      </c>
      <c r="F294" s="5" t="n">
        <v>550000</v>
      </c>
      <c r="G294" s="2" t="n">
        <v>100000</v>
      </c>
      <c r="H294" s="5" t="n">
        <v>87810800000</v>
      </c>
      <c r="I294" s="2" t="inlineStr"/>
      <c r="J294" s="4" t="n">
        <v>46241</v>
      </c>
      <c r="K294" s="4" t="n">
        <v>46238</v>
      </c>
      <c r="L294" s="2" t="inlineStr">
        <is>
          <t>AFS-DCM</t>
        </is>
      </c>
      <c r="M294" s="2" t="n">
        <v>4.005</v>
      </c>
    </row>
    <row r="295">
      <c r="A295" s="2" t="n">
        <v>50277</v>
      </c>
      <c r="B295" s="2" t="inlineStr">
        <is>
          <t>S</t>
        </is>
      </c>
      <c r="C295" s="2" t="inlineStr">
        <is>
          <t>TD1646468</t>
        </is>
      </c>
      <c r="D295" s="2" t="inlineStr">
        <is>
          <t>CK_SSI</t>
        </is>
      </c>
      <c r="E295" s="2" t="n">
        <v>8</v>
      </c>
      <c r="F295" s="5" t="n">
        <v>1960000</v>
      </c>
      <c r="G295" s="2" t="n">
        <v>100000</v>
      </c>
      <c r="H295" s="5" t="n">
        <v>293909840000</v>
      </c>
      <c r="I295" s="2" t="inlineStr"/>
      <c r="J295" s="4" t="n">
        <v>46240</v>
      </c>
      <c r="K295" s="4" t="n">
        <v>46238</v>
      </c>
      <c r="L295" s="2" t="inlineStr">
        <is>
          <t>AFS-DCM</t>
        </is>
      </c>
      <c r="M295" s="2" t="n">
        <v>4.4369</v>
      </c>
    </row>
    <row r="296">
      <c r="A296" s="2" t="n">
        <v>50278</v>
      </c>
      <c r="B296" s="2" t="inlineStr">
        <is>
          <t>B</t>
        </is>
      </c>
      <c r="C296" s="2" t="inlineStr">
        <is>
          <t>TD1646468</t>
        </is>
      </c>
      <c r="D296" s="2" t="inlineStr">
        <is>
          <t>CK_SSI</t>
        </is>
      </c>
      <c r="E296" s="2" t="n">
        <v>8</v>
      </c>
      <c r="F296" s="5" t="n">
        <v>1960000</v>
      </c>
      <c r="G296" s="2" t="n">
        <v>100000</v>
      </c>
      <c r="H296" s="5" t="n">
        <v>293945120000</v>
      </c>
      <c r="I296" s="2" t="inlineStr"/>
      <c r="J296" s="4" t="n">
        <v>46241</v>
      </c>
      <c r="K296" s="4" t="n">
        <v>46238</v>
      </c>
      <c r="L296" s="2" t="inlineStr">
        <is>
          <t>AFS-DCM</t>
        </is>
      </c>
      <c r="M296" s="2" t="n">
        <v>4.4369</v>
      </c>
    </row>
    <row r="297">
      <c r="A297" s="2" t="n">
        <v>50279</v>
      </c>
      <c r="B297" s="2" t="inlineStr">
        <is>
          <t>S</t>
        </is>
      </c>
      <c r="C297" s="2" t="inlineStr">
        <is>
          <t>TD1949206</t>
        </is>
      </c>
      <c r="D297" s="2" t="inlineStr">
        <is>
          <t>CK_SSI</t>
        </is>
      </c>
      <c r="E297" s="2" t="n">
        <v>5.2</v>
      </c>
      <c r="F297" s="5" t="n">
        <v>500000</v>
      </c>
      <c r="G297" s="2" t="n">
        <v>100000</v>
      </c>
      <c r="H297" s="5" t="n">
        <v>61011500000</v>
      </c>
      <c r="I297" s="2" t="inlineStr"/>
      <c r="J297" s="4" t="n">
        <v>46240</v>
      </c>
      <c r="K297" s="4" t="n">
        <v>46238</v>
      </c>
      <c r="L297" s="2" t="inlineStr">
        <is>
          <t>AFS-DCM</t>
        </is>
      </c>
      <c r="M297" s="2" t="n">
        <v>4.02</v>
      </c>
    </row>
    <row r="298">
      <c r="A298" s="2" t="n">
        <v>50280</v>
      </c>
      <c r="B298" s="2" t="inlineStr">
        <is>
          <t>B</t>
        </is>
      </c>
      <c r="C298" s="2" t="inlineStr">
        <is>
          <t>TD1949206</t>
        </is>
      </c>
      <c r="D298" s="2" t="inlineStr">
        <is>
          <t>CK_SSI</t>
        </is>
      </c>
      <c r="E298" s="2" t="n">
        <v>5.2</v>
      </c>
      <c r="F298" s="5" t="n">
        <v>500000</v>
      </c>
      <c r="G298" s="2" t="n">
        <v>100000</v>
      </c>
      <c r="H298" s="5" t="n">
        <v>61018000000</v>
      </c>
      <c r="I298" s="2" t="inlineStr"/>
      <c r="J298" s="4" t="n">
        <v>46241</v>
      </c>
      <c r="K298" s="4" t="n">
        <v>46238</v>
      </c>
      <c r="L298" s="2" t="inlineStr">
        <is>
          <t>AFS-DCM</t>
        </is>
      </c>
      <c r="M298" s="2" t="n">
        <v>4.02</v>
      </c>
    </row>
    <row r="299">
      <c r="A299" s="2" t="n">
        <v>50281</v>
      </c>
      <c r="B299" s="2" t="inlineStr">
        <is>
          <t>S</t>
        </is>
      </c>
      <c r="C299" s="2" t="inlineStr">
        <is>
          <t>TD1949206</t>
        </is>
      </c>
      <c r="D299" s="2" t="inlineStr">
        <is>
          <t>CK_SSI</t>
        </is>
      </c>
      <c r="E299" s="2" t="n">
        <v>5.2</v>
      </c>
      <c r="F299" s="5" t="n">
        <v>250000</v>
      </c>
      <c r="G299" s="2" t="n">
        <v>100000</v>
      </c>
      <c r="H299" s="5" t="n">
        <v>28038750000</v>
      </c>
      <c r="I299" s="2" t="inlineStr"/>
      <c r="J299" s="4" t="n">
        <v>46240</v>
      </c>
      <c r="K299" s="4" t="n">
        <v>46238</v>
      </c>
      <c r="L299" s="2" t="inlineStr">
        <is>
          <t>AFS-DCM</t>
        </is>
      </c>
      <c r="M299" s="2" t="n">
        <v>4.65</v>
      </c>
    </row>
    <row r="300">
      <c r="A300" s="2" t="n">
        <v>50282</v>
      </c>
      <c r="B300" s="2" t="inlineStr">
        <is>
          <t>B</t>
        </is>
      </c>
      <c r="C300" s="2" t="inlineStr">
        <is>
          <t>TD1949206</t>
        </is>
      </c>
      <c r="D300" s="2" t="inlineStr">
        <is>
          <t>CK_SSI</t>
        </is>
      </c>
      <c r="E300" s="2" t="n">
        <v>5.2</v>
      </c>
      <c r="F300" s="5" t="n">
        <v>250000</v>
      </c>
      <c r="G300" s="2" t="n">
        <v>100000</v>
      </c>
      <c r="H300" s="5" t="n">
        <v>28042250000</v>
      </c>
      <c r="I300" s="2" t="inlineStr"/>
      <c r="J300" s="4" t="n">
        <v>46241</v>
      </c>
      <c r="K300" s="4" t="n">
        <v>46238</v>
      </c>
      <c r="L300" s="2" t="inlineStr">
        <is>
          <t>AFS-DCM</t>
        </is>
      </c>
      <c r="M300" s="2" t="n">
        <v>4.65</v>
      </c>
    </row>
    <row r="301">
      <c r="A301" s="2" t="n">
        <v>50283</v>
      </c>
      <c r="B301" s="2" t="inlineStr">
        <is>
          <t>S</t>
        </is>
      </c>
      <c r="C301" s="2" t="inlineStr">
        <is>
          <t>TD1636466</t>
        </is>
      </c>
      <c r="D301" s="2" t="inlineStr">
        <is>
          <t>CK_SSI</t>
        </is>
      </c>
      <c r="E301" s="2" t="n">
        <v>7.7</v>
      </c>
      <c r="F301" s="5" t="n">
        <v>950000</v>
      </c>
      <c r="G301" s="2" t="n">
        <v>100000</v>
      </c>
      <c r="H301" s="5" t="n">
        <v>124604850000</v>
      </c>
      <c r="I301" s="2" t="inlineStr"/>
      <c r="J301" s="4" t="n">
        <v>46240</v>
      </c>
      <c r="K301" s="4" t="n">
        <v>46238</v>
      </c>
      <c r="L301" s="2" t="inlineStr">
        <is>
          <t>AFS-DCM</t>
        </is>
      </c>
      <c r="M301" s="2" t="n">
        <v>4.18</v>
      </c>
    </row>
    <row r="302">
      <c r="A302" s="2" t="n">
        <v>50284</v>
      </c>
      <c r="B302" s="2" t="inlineStr">
        <is>
          <t>B</t>
        </is>
      </c>
      <c r="C302" s="2" t="inlineStr">
        <is>
          <t>TD1636466</t>
        </is>
      </c>
      <c r="D302" s="2" t="inlineStr">
        <is>
          <t>CK_SSI</t>
        </is>
      </c>
      <c r="E302" s="2" t="n">
        <v>7.7</v>
      </c>
      <c r="F302" s="5" t="n">
        <v>950000</v>
      </c>
      <c r="G302" s="2" t="n">
        <v>100000</v>
      </c>
      <c r="H302" s="5" t="n">
        <v>124619100000</v>
      </c>
      <c r="I302" s="2" t="inlineStr"/>
      <c r="J302" s="4" t="n">
        <v>46241</v>
      </c>
      <c r="K302" s="4" t="n">
        <v>46238</v>
      </c>
      <c r="L302" s="2" t="inlineStr">
        <is>
          <t>AFS-DCM</t>
        </is>
      </c>
      <c r="M302" s="2" t="n">
        <v>4.18</v>
      </c>
    </row>
    <row r="303">
      <c r="A303" s="2" t="n">
        <v>50285</v>
      </c>
      <c r="B303" s="2" t="inlineStr">
        <is>
          <t>S</t>
        </is>
      </c>
      <c r="C303" s="2" t="inlineStr">
        <is>
          <t>TD2131012</t>
        </is>
      </c>
      <c r="D303" s="2" t="inlineStr">
        <is>
          <t>CK_SSI</t>
        </is>
      </c>
      <c r="E303" s="2" t="n">
        <v>2.2</v>
      </c>
      <c r="F303" s="5" t="n">
        <v>1000000</v>
      </c>
      <c r="G303" s="2" t="n">
        <v>100000</v>
      </c>
      <c r="H303" s="5" t="n">
        <v>91802000000</v>
      </c>
      <c r="I303" s="2" t="inlineStr"/>
      <c r="J303" s="4" t="n">
        <v>46240</v>
      </c>
      <c r="K303" s="4" t="n">
        <v>46238</v>
      </c>
      <c r="L303" s="2" t="inlineStr">
        <is>
          <t>AFS-DCM</t>
        </is>
      </c>
      <c r="M303" s="2" t="n">
        <v>4.5917</v>
      </c>
    </row>
    <row r="304">
      <c r="A304" s="2" t="n">
        <v>50286</v>
      </c>
      <c r="B304" s="2" t="inlineStr">
        <is>
          <t>B</t>
        </is>
      </c>
      <c r="C304" s="2" t="inlineStr">
        <is>
          <t>TD2131012</t>
        </is>
      </c>
      <c r="D304" s="2" t="inlineStr">
        <is>
          <t>CK_SSI</t>
        </is>
      </c>
      <c r="E304" s="2" t="n">
        <v>2.2</v>
      </c>
      <c r="F304" s="5" t="n">
        <v>1000000</v>
      </c>
      <c r="G304" s="2" t="n">
        <v>100000</v>
      </c>
      <c r="H304" s="5" t="n">
        <v>92842000000</v>
      </c>
      <c r="I304" s="2" t="inlineStr"/>
      <c r="J304" s="4" t="n">
        <v>46241</v>
      </c>
      <c r="K304" s="4" t="n">
        <v>46238</v>
      </c>
      <c r="L304" s="2" t="inlineStr">
        <is>
          <t>AFS-DCM</t>
        </is>
      </c>
      <c r="M304" s="2" t="n">
        <v>4.3156</v>
      </c>
    </row>
    <row r="305">
      <c r="A305" s="2" t="n">
        <v>50287</v>
      </c>
      <c r="B305" s="2" t="inlineStr">
        <is>
          <t>S</t>
        </is>
      </c>
      <c r="C305" s="2" t="inlineStr">
        <is>
          <t>TD1636466</t>
        </is>
      </c>
      <c r="D305" s="2" t="inlineStr">
        <is>
          <t>CK_LPBS</t>
        </is>
      </c>
      <c r="E305" s="2" t="n">
        <v>7.7</v>
      </c>
      <c r="F305" s="5" t="n">
        <v>1000000</v>
      </c>
      <c r="G305" s="2" t="n">
        <v>100000</v>
      </c>
      <c r="H305" s="5" t="n">
        <v>134276000000</v>
      </c>
      <c r="I305" s="2" t="inlineStr"/>
      <c r="J305" s="4" t="n">
        <v>46241</v>
      </c>
      <c r="K305" s="4" t="n">
        <v>46238</v>
      </c>
      <c r="L305" s="2" t="inlineStr">
        <is>
          <t>AFS-DCM</t>
        </is>
      </c>
      <c r="M305" s="2" t="n">
        <v>3.84</v>
      </c>
    </row>
    <row r="306">
      <c r="A306" s="2" t="n">
        <v>50288</v>
      </c>
      <c r="B306" s="2" t="inlineStr">
        <is>
          <t>B</t>
        </is>
      </c>
      <c r="C306" s="2" t="inlineStr">
        <is>
          <t>TD1636466</t>
        </is>
      </c>
      <c r="D306" s="2" t="inlineStr">
        <is>
          <t>CK_LPBS</t>
        </is>
      </c>
      <c r="E306" s="2" t="n">
        <v>7.7</v>
      </c>
      <c r="F306" s="5" t="n">
        <v>1000000</v>
      </c>
      <c r="G306" s="2" t="n">
        <v>100000</v>
      </c>
      <c r="H306" s="5" t="n">
        <v>134257000000</v>
      </c>
      <c r="I306" s="2" t="inlineStr"/>
      <c r="J306" s="4" t="n">
        <v>46244</v>
      </c>
      <c r="K306" s="4" t="n">
        <v>46238</v>
      </c>
      <c r="L306" s="2" t="inlineStr">
        <is>
          <t>AFS-DCM</t>
        </is>
      </c>
      <c r="M306" s="2" t="n">
        <v>3.8465</v>
      </c>
    </row>
    <row r="307">
      <c r="A307" s="2" t="n">
        <v>50289</v>
      </c>
      <c r="B307" s="2" t="inlineStr">
        <is>
          <t>S</t>
        </is>
      </c>
      <c r="C307" s="2" t="inlineStr">
        <is>
          <t>TD1646503</t>
        </is>
      </c>
      <c r="D307" s="2" t="inlineStr">
        <is>
          <t>CK_LPBS</t>
        </is>
      </c>
      <c r="E307" s="2" t="n">
        <v>7.9</v>
      </c>
      <c r="F307" s="5" t="n">
        <v>1000000</v>
      </c>
      <c r="G307" s="2" t="n">
        <v>100000</v>
      </c>
      <c r="H307" s="5" t="n">
        <v>159702000000</v>
      </c>
      <c r="I307" s="2" t="inlineStr"/>
      <c r="J307" s="4" t="n">
        <v>46241</v>
      </c>
      <c r="K307" s="4" t="n">
        <v>46238</v>
      </c>
      <c r="L307" s="2" t="inlineStr">
        <is>
          <t>AFS-DCM</t>
        </is>
      </c>
      <c r="M307" s="2" t="n">
        <v>4.0025</v>
      </c>
    </row>
    <row r="308">
      <c r="A308" s="2" t="n">
        <v>50290</v>
      </c>
      <c r="B308" s="2" t="inlineStr">
        <is>
          <t>B</t>
        </is>
      </c>
      <c r="C308" s="2" t="inlineStr">
        <is>
          <t>TD1646503</t>
        </is>
      </c>
      <c r="D308" s="2" t="inlineStr">
        <is>
          <t>CK_LPBS</t>
        </is>
      </c>
      <c r="E308" s="2" t="n">
        <v>7.9</v>
      </c>
      <c r="F308" s="5" t="n">
        <v>1000000</v>
      </c>
      <c r="G308" s="2" t="n">
        <v>100000</v>
      </c>
      <c r="H308" s="5" t="n">
        <v>159661000000</v>
      </c>
      <c r="I308" s="2" t="inlineStr"/>
      <c r="J308" s="4" t="n">
        <v>46244</v>
      </c>
      <c r="K308" s="4" t="n">
        <v>46238</v>
      </c>
      <c r="L308" s="2" t="inlineStr">
        <is>
          <t>AFS-DCM</t>
        </is>
      </c>
      <c r="M308" s="2" t="n">
        <v>4.0075</v>
      </c>
    </row>
    <row r="309">
      <c r="A309" s="2" t="n">
        <v>50310</v>
      </c>
      <c r="B309" s="2" t="inlineStr">
        <is>
          <t>S</t>
        </is>
      </c>
      <c r="C309" s="2" t="inlineStr">
        <is>
          <t>TD1646468</t>
        </is>
      </c>
      <c r="D309" s="2" t="inlineStr">
        <is>
          <t>CK_THIENVI</t>
        </is>
      </c>
      <c r="E309" s="2" t="n">
        <v>8</v>
      </c>
      <c r="F309" s="5" t="n">
        <v>335000</v>
      </c>
      <c r="G309" s="2" t="n">
        <v>100000</v>
      </c>
      <c r="H309" s="5" t="n">
        <v>50269765000</v>
      </c>
      <c r="I309" s="2" t="inlineStr"/>
      <c r="J309" s="4" t="n">
        <v>46244</v>
      </c>
      <c r="K309" s="4" t="n">
        <v>46239</v>
      </c>
      <c r="L309" s="2" t="inlineStr">
        <is>
          <t>AFS-DCM</t>
        </is>
      </c>
      <c r="M309" s="2" t="n">
        <v>4.4349</v>
      </c>
    </row>
    <row r="310">
      <c r="A310" s="2" t="n">
        <v>50311</v>
      </c>
      <c r="B310" s="2" t="inlineStr">
        <is>
          <t>B</t>
        </is>
      </c>
      <c r="C310" s="2" t="inlineStr">
        <is>
          <t>TD1646468</t>
        </is>
      </c>
      <c r="D310" s="2" t="inlineStr">
        <is>
          <t>CK_THIENVI</t>
        </is>
      </c>
      <c r="E310" s="2" t="n">
        <v>8</v>
      </c>
      <c r="F310" s="5" t="n">
        <v>335000</v>
      </c>
      <c r="G310" s="2" t="n">
        <v>100000</v>
      </c>
      <c r="H310" s="5" t="n">
        <v>50260050000</v>
      </c>
      <c r="I310" s="2" t="inlineStr"/>
      <c r="J310" s="4" t="n">
        <v>46245</v>
      </c>
      <c r="K310" s="4" t="n">
        <v>46239</v>
      </c>
      <c r="L310" s="2" t="inlineStr">
        <is>
          <t>AFS-DCM</t>
        </is>
      </c>
      <c r="M310" s="2" t="n">
        <v>4.4377</v>
      </c>
    </row>
    <row r="311">
      <c r="A311" s="2" t="n">
        <v>50312</v>
      </c>
      <c r="B311" s="2" t="inlineStr">
        <is>
          <t>S</t>
        </is>
      </c>
      <c r="C311" s="2" t="inlineStr">
        <is>
          <t>TD2353151</t>
        </is>
      </c>
      <c r="D311" s="2" t="inlineStr">
        <is>
          <t>CK_NHVN</t>
        </is>
      </c>
      <c r="E311" s="2" t="n">
        <v>4.2</v>
      </c>
      <c r="F311" s="5" t="n">
        <v>800000</v>
      </c>
      <c r="G311" s="2" t="n">
        <v>100000</v>
      </c>
      <c r="H311" s="5" t="n">
        <v>81290400000</v>
      </c>
      <c r="I311" s="2" t="inlineStr"/>
      <c r="J311" s="4" t="n">
        <v>46246</v>
      </c>
      <c r="K311" s="4" t="n">
        <v>46239</v>
      </c>
      <c r="L311" s="2" t="inlineStr">
        <is>
          <t>AFS-DCM</t>
        </is>
      </c>
      <c r="M311" s="2" t="n">
        <v>4.2</v>
      </c>
    </row>
    <row r="312">
      <c r="A312" s="2" t="n">
        <v>50313</v>
      </c>
      <c r="B312" s="2" t="inlineStr">
        <is>
          <t>B</t>
        </is>
      </c>
      <c r="C312" s="2" t="inlineStr">
        <is>
          <t>TD2353151</t>
        </is>
      </c>
      <c r="D312" s="2" t="inlineStr">
        <is>
          <t>CK_NHVN</t>
        </is>
      </c>
      <c r="E312" s="2" t="n">
        <v>4.2</v>
      </c>
      <c r="F312" s="5" t="n">
        <v>800000</v>
      </c>
      <c r="G312" s="2" t="n">
        <v>100000</v>
      </c>
      <c r="H312" s="5" t="n">
        <v>81265600000</v>
      </c>
      <c r="I312" s="2" t="inlineStr"/>
      <c r="J312" s="4" t="n">
        <v>46247</v>
      </c>
      <c r="K312" s="4" t="n">
        <v>46239</v>
      </c>
      <c r="L312" s="2" t="inlineStr">
        <is>
          <t>AFS-DCM</t>
        </is>
      </c>
      <c r="M312" s="2" t="n">
        <v>4.2027</v>
      </c>
    </row>
    <row r="313">
      <c r="A313" s="2" t="n">
        <v>50314</v>
      </c>
      <c r="B313" s="2" t="inlineStr">
        <is>
          <t>S</t>
        </is>
      </c>
      <c r="C313" s="2" t="inlineStr">
        <is>
          <t>TD1949206</t>
        </is>
      </c>
      <c r="D313" s="2" t="inlineStr">
        <is>
          <t>CK_NHVN</t>
        </is>
      </c>
      <c r="E313" s="2" t="n">
        <v>5.2</v>
      </c>
      <c r="F313" s="5" t="n">
        <v>250000</v>
      </c>
      <c r="G313" s="2" t="n">
        <v>100000</v>
      </c>
      <c r="H313" s="5" t="n">
        <v>28059750000</v>
      </c>
      <c r="I313" s="2" t="inlineStr"/>
      <c r="J313" s="4" t="n">
        <v>46246</v>
      </c>
      <c r="K313" s="4" t="n">
        <v>46239</v>
      </c>
      <c r="L313" s="2" t="inlineStr">
        <is>
          <t>AFS-DCM</t>
        </is>
      </c>
      <c r="M313" s="2" t="n">
        <v>4.65</v>
      </c>
    </row>
    <row r="314">
      <c r="A314" s="2" t="n">
        <v>50315</v>
      </c>
      <c r="B314" s="2" t="inlineStr">
        <is>
          <t>B</t>
        </is>
      </c>
      <c r="C314" s="2" t="inlineStr">
        <is>
          <t>TD1949206</t>
        </is>
      </c>
      <c r="D314" s="2" t="inlineStr">
        <is>
          <t>CK_NHVN</t>
        </is>
      </c>
      <c r="E314" s="2" t="n">
        <v>5.2</v>
      </c>
      <c r="F314" s="5" t="n">
        <v>250000</v>
      </c>
      <c r="G314" s="2" t="n">
        <v>100000</v>
      </c>
      <c r="H314" s="5" t="n">
        <v>28063250000</v>
      </c>
      <c r="I314" s="2" t="inlineStr"/>
      <c r="J314" s="4" t="n">
        <v>46247</v>
      </c>
      <c r="K314" s="4" t="n">
        <v>46239</v>
      </c>
      <c r="L314" s="2" t="inlineStr">
        <is>
          <t>AFS-DCM</t>
        </is>
      </c>
      <c r="M314" s="2" t="n">
        <v>4.65</v>
      </c>
    </row>
    <row r="315">
      <c r="A315" s="2" t="n">
        <v>50316</v>
      </c>
      <c r="B315" s="2" t="inlineStr">
        <is>
          <t>S</t>
        </is>
      </c>
      <c r="C315" s="2" t="inlineStr">
        <is>
          <t>TD1646468</t>
        </is>
      </c>
      <c r="D315" s="2" t="inlineStr">
        <is>
          <t>CK_SISI</t>
        </is>
      </c>
      <c r="E315" s="2" t="n">
        <v>8</v>
      </c>
      <c r="F315" s="5" t="n">
        <v>700000</v>
      </c>
      <c r="G315" s="2" t="n">
        <v>100000</v>
      </c>
      <c r="H315" s="5" t="n">
        <v>105041300000</v>
      </c>
      <c r="I315" s="2" t="inlineStr"/>
      <c r="J315" s="4" t="n">
        <v>46244</v>
      </c>
      <c r="K315" s="4" t="n">
        <v>46239</v>
      </c>
      <c r="L315" s="2" t="inlineStr">
        <is>
          <t>AFS-DCM</t>
        </is>
      </c>
      <c r="M315" s="2" t="n">
        <v>4.4349</v>
      </c>
    </row>
    <row r="316">
      <c r="A316" s="2" t="n">
        <v>50317</v>
      </c>
      <c r="B316" s="2" t="inlineStr">
        <is>
          <t>B</t>
        </is>
      </c>
      <c r="C316" s="2" t="inlineStr">
        <is>
          <t>TD1646468</t>
        </is>
      </c>
      <c r="D316" s="2" t="inlineStr">
        <is>
          <t>CK_SISI</t>
        </is>
      </c>
      <c r="E316" s="2" t="n">
        <v>8</v>
      </c>
      <c r="F316" s="5" t="n">
        <v>700000</v>
      </c>
      <c r="G316" s="2" t="n">
        <v>100000</v>
      </c>
      <c r="H316" s="5" t="n">
        <v>105021000000</v>
      </c>
      <c r="I316" s="2" t="inlineStr"/>
      <c r="J316" s="4" t="n">
        <v>46245</v>
      </c>
      <c r="K316" s="4" t="n">
        <v>46239</v>
      </c>
      <c r="L316" s="2" t="inlineStr">
        <is>
          <t>AFS-DCM</t>
        </is>
      </c>
      <c r="M316" s="2" t="n">
        <v>4.4377</v>
      </c>
    </row>
    <row r="317">
      <c r="A317" s="2" t="n">
        <v>50318</v>
      </c>
      <c r="B317" s="2" t="inlineStr">
        <is>
          <t>S</t>
        </is>
      </c>
      <c r="C317" s="2" t="inlineStr">
        <is>
          <t>TD1636466</t>
        </is>
      </c>
      <c r="D317" s="2" t="inlineStr">
        <is>
          <t>CK_VIETCAP</t>
        </is>
      </c>
      <c r="E317" s="2" t="n">
        <v>7.7</v>
      </c>
      <c r="F317" s="5" t="n">
        <v>2300000</v>
      </c>
      <c r="G317" s="2" t="n">
        <v>100000</v>
      </c>
      <c r="H317" s="5" t="n">
        <v>301996900000</v>
      </c>
      <c r="I317" s="2" t="inlineStr"/>
      <c r="J317" s="4" t="n">
        <v>46245</v>
      </c>
      <c r="K317" s="4" t="n">
        <v>46239</v>
      </c>
      <c r="L317" s="2" t="inlineStr">
        <is>
          <t>AFS-DCM</t>
        </is>
      </c>
      <c r="M317" s="2" t="n">
        <v>4.1726</v>
      </c>
    </row>
    <row r="318">
      <c r="A318" s="2" t="n">
        <v>50319</v>
      </c>
      <c r="B318" s="2" t="inlineStr">
        <is>
          <t>B</t>
        </is>
      </c>
      <c r="C318" s="2" t="inlineStr">
        <is>
          <t>TD1636466</t>
        </is>
      </c>
      <c r="D318" s="2" t="inlineStr">
        <is>
          <t>CK_VIETCAP</t>
        </is>
      </c>
      <c r="E318" s="2" t="n">
        <v>7.7</v>
      </c>
      <c r="F318" s="5" t="n">
        <v>2300000</v>
      </c>
      <c r="G318" s="2" t="n">
        <v>100000</v>
      </c>
      <c r="H318" s="5" t="n">
        <v>301937100000</v>
      </c>
      <c r="I318" s="2" t="inlineStr"/>
      <c r="J318" s="4" t="n">
        <v>46246</v>
      </c>
      <c r="K318" s="4" t="n">
        <v>46239</v>
      </c>
      <c r="L318" s="2" t="inlineStr">
        <is>
          <t>AFS-DCM</t>
        </is>
      </c>
      <c r="M318" s="2" t="n">
        <v>4.1772</v>
      </c>
    </row>
    <row r="319">
      <c r="A319" s="2" t="n">
        <v>50397</v>
      </c>
      <c r="B319" s="2" t="inlineStr">
        <is>
          <t>S</t>
        </is>
      </c>
      <c r="C319" s="2" t="inlineStr">
        <is>
          <t>TL1535300</t>
        </is>
      </c>
      <c r="D319" s="2" t="inlineStr">
        <is>
          <t>CK_THIENVI</t>
        </is>
      </c>
      <c r="E319" s="2" t="n">
        <v>7.75</v>
      </c>
      <c r="F319" s="5" t="n">
        <v>810000</v>
      </c>
      <c r="G319" s="2" t="n">
        <v>100000</v>
      </c>
      <c r="H319" s="5" t="n">
        <v>100677330000</v>
      </c>
      <c r="I319" s="2" t="inlineStr"/>
      <c r="J319" s="4" t="n">
        <v>46258</v>
      </c>
      <c r="K319" s="4" t="n">
        <v>46247</v>
      </c>
      <c r="L319" s="2" t="inlineStr">
        <is>
          <t>AFS-DCM</t>
        </is>
      </c>
      <c r="M319" s="2" t="n">
        <v>4.45</v>
      </c>
    </row>
    <row r="320">
      <c r="A320" s="2" t="n">
        <v>50398</v>
      </c>
      <c r="B320" s="2" t="inlineStr">
        <is>
          <t>S</t>
        </is>
      </c>
      <c r="C320" s="2" t="inlineStr">
        <is>
          <t>TL1535300</t>
        </is>
      </c>
      <c r="D320" s="2" t="inlineStr">
        <is>
          <t>CK_THIENVI</t>
        </is>
      </c>
      <c r="E320" s="2" t="n">
        <v>7.75</v>
      </c>
      <c r="F320" s="5" t="n">
        <v>810000</v>
      </c>
      <c r="G320" s="2" t="n">
        <v>100000</v>
      </c>
      <c r="H320" s="5" t="n">
        <v>100701630000</v>
      </c>
      <c r="I320" s="2" t="inlineStr"/>
      <c r="J320" s="4" t="n">
        <v>46260</v>
      </c>
      <c r="K320" s="4" t="n">
        <v>46247</v>
      </c>
      <c r="L320" s="2" t="inlineStr">
        <is>
          <t>AFS-DCM</t>
        </is>
      </c>
      <c r="M320" s="2" t="n">
        <v>4.45</v>
      </c>
    </row>
    <row r="321">
      <c r="A321" s="2" t="n">
        <v>50399</v>
      </c>
      <c r="B321" s="2" t="inlineStr">
        <is>
          <t>B</t>
        </is>
      </c>
      <c r="C321" s="2" t="inlineStr">
        <is>
          <t>TL1535300</t>
        </is>
      </c>
      <c r="D321" s="2" t="inlineStr">
        <is>
          <t>CK_THIENVI</t>
        </is>
      </c>
      <c r="E321" s="2" t="n">
        <v>7.75</v>
      </c>
      <c r="F321" s="5" t="n">
        <v>810000</v>
      </c>
      <c r="G321" s="2" t="n">
        <v>100000</v>
      </c>
      <c r="H321" s="5" t="n">
        <v>100658700000</v>
      </c>
      <c r="I321" s="2" t="inlineStr"/>
      <c r="J321" s="4" t="n">
        <v>46259</v>
      </c>
      <c r="K321" s="4" t="n">
        <v>46247</v>
      </c>
      <c r="L321" s="2" t="inlineStr">
        <is>
          <t>AFS-DCM</t>
        </is>
      </c>
      <c r="M321" s="2" t="n">
        <v>4.4545</v>
      </c>
    </row>
    <row r="322">
      <c r="A322" s="2" t="n">
        <v>50400</v>
      </c>
      <c r="B322" s="2" t="inlineStr">
        <is>
          <t>B</t>
        </is>
      </c>
      <c r="C322" s="2" t="inlineStr">
        <is>
          <t>TL1535300</t>
        </is>
      </c>
      <c r="D322" s="2" t="inlineStr">
        <is>
          <t>CK_THIENVI</t>
        </is>
      </c>
      <c r="E322" s="2" t="n">
        <v>7.75</v>
      </c>
      <c r="F322" s="5" t="n">
        <v>810000</v>
      </c>
      <c r="G322" s="2" t="n">
        <v>100000</v>
      </c>
      <c r="H322" s="5" t="n">
        <v>100679760000</v>
      </c>
      <c r="I322" s="2" t="inlineStr"/>
      <c r="J322" s="4" t="n">
        <v>46261</v>
      </c>
      <c r="K322" s="4" t="n">
        <v>46247</v>
      </c>
      <c r="L322" s="2" t="inlineStr">
        <is>
          <t>AFS-DCM</t>
        </is>
      </c>
      <c r="M322" s="2" t="n">
        <v>4.455</v>
      </c>
    </row>
    <row r="323">
      <c r="A323" s="2" t="n">
        <v>50401</v>
      </c>
      <c r="B323" s="2" t="inlineStr">
        <is>
          <t>S</t>
        </is>
      </c>
      <c r="C323" s="2" t="inlineStr">
        <is>
          <t>TD2131012</t>
        </is>
      </c>
      <c r="D323" s="2" t="inlineStr">
        <is>
          <t>CAP_FIG</t>
        </is>
      </c>
      <c r="E323" s="2" t="n">
        <v>2.2</v>
      </c>
      <c r="F323" s="5" t="n">
        <v>1000000</v>
      </c>
      <c r="G323" s="2" t="n">
        <v>100000</v>
      </c>
      <c r="H323" s="5" t="n">
        <v>92520000000</v>
      </c>
      <c r="I323" s="2" t="inlineStr"/>
      <c r="J323" s="4" t="n">
        <v>46254</v>
      </c>
      <c r="K323" s="4" t="n">
        <v>46247</v>
      </c>
      <c r="L323" s="2" t="inlineStr">
        <is>
          <t>AFS-DCM</t>
        </is>
      </c>
      <c r="M323" s="2" t="n">
        <v>4.4399</v>
      </c>
    </row>
    <row r="324">
      <c r="A324" s="2" t="n">
        <v>50402</v>
      </c>
      <c r="B324" s="2" t="inlineStr">
        <is>
          <t>B</t>
        </is>
      </c>
      <c r="C324" s="2" t="inlineStr">
        <is>
          <t>TD2131012</t>
        </is>
      </c>
      <c r="D324" s="2" t="inlineStr">
        <is>
          <t>CAP_FIG</t>
        </is>
      </c>
      <c r="E324" s="2" t="n">
        <v>2.2</v>
      </c>
      <c r="F324" s="5" t="n">
        <v>1000000</v>
      </c>
      <c r="G324" s="2" t="n">
        <v>100000</v>
      </c>
      <c r="H324" s="5" t="n">
        <v>94026000000</v>
      </c>
      <c r="I324" s="2" t="inlineStr"/>
      <c r="J324" s="4" t="n">
        <v>46255</v>
      </c>
      <c r="K324" s="4" t="n">
        <v>46247</v>
      </c>
      <c r="L324" s="2" t="inlineStr">
        <is>
          <t>AFS-DCM</t>
        </is>
      </c>
      <c r="M324" s="2" t="n">
        <v>4.04</v>
      </c>
    </row>
    <row r="325">
      <c r="A325" s="2" t="n">
        <v>50403</v>
      </c>
      <c r="B325" s="2" t="inlineStr">
        <is>
          <t>S</t>
        </is>
      </c>
      <c r="C325" s="2" t="inlineStr">
        <is>
          <t>TD2353151</t>
        </is>
      </c>
      <c r="D325" s="2" t="inlineStr">
        <is>
          <t>CK_RONGVIE</t>
        </is>
      </c>
      <c r="E325" s="2" t="n">
        <v>4.2</v>
      </c>
      <c r="F325" s="5" t="n">
        <v>800000</v>
      </c>
      <c r="G325" s="2" t="n">
        <v>100000</v>
      </c>
      <c r="H325" s="5" t="n">
        <v>83991200000</v>
      </c>
      <c r="I325" s="2" t="inlineStr"/>
      <c r="J325" s="4" t="n">
        <v>46258</v>
      </c>
      <c r="K325" s="4" t="n">
        <v>46247</v>
      </c>
      <c r="L325" s="2" t="inlineStr">
        <is>
          <t>AFS-DCM</t>
        </is>
      </c>
      <c r="M325" s="2" t="n">
        <v>4</v>
      </c>
    </row>
    <row r="326">
      <c r="A326" s="2" t="n">
        <v>50404</v>
      </c>
      <c r="B326" s="2" t="inlineStr">
        <is>
          <t>B</t>
        </is>
      </c>
      <c r="C326" s="2" t="inlineStr">
        <is>
          <t>TD2353151</t>
        </is>
      </c>
      <c r="D326" s="2" t="inlineStr">
        <is>
          <t>CK_RONGVIE</t>
        </is>
      </c>
      <c r="E326" s="2" t="n">
        <v>4.2</v>
      </c>
      <c r="F326" s="5" t="n">
        <v>800000</v>
      </c>
      <c r="G326" s="2" t="n">
        <v>100000</v>
      </c>
      <c r="H326" s="5" t="n">
        <v>83967200000</v>
      </c>
      <c r="I326" s="2" t="inlineStr"/>
      <c r="J326" s="4" t="n">
        <v>46259</v>
      </c>
      <c r="K326" s="4" t="n">
        <v>46247</v>
      </c>
      <c r="L326" s="2" t="inlineStr">
        <is>
          <t>AFS-DCM</t>
        </is>
      </c>
      <c r="M326" s="2" t="n">
        <v>4.0025</v>
      </c>
    </row>
    <row r="327">
      <c r="A327" s="2" t="n">
        <v>50405</v>
      </c>
      <c r="B327" s="2" t="inlineStr">
        <is>
          <t>S</t>
        </is>
      </c>
      <c r="C327" s="2" t="inlineStr">
        <is>
          <t>TL1535300</t>
        </is>
      </c>
      <c r="D327" s="2" t="inlineStr">
        <is>
          <t>CK_RONGVIE</t>
        </is>
      </c>
      <c r="E327" s="2" t="n">
        <v>7.75</v>
      </c>
      <c r="F327" s="5" t="n">
        <v>190000</v>
      </c>
      <c r="G327" s="2" t="n">
        <v>100000</v>
      </c>
      <c r="H327" s="5" t="n">
        <v>23489510000</v>
      </c>
      <c r="I327" s="2" t="inlineStr"/>
      <c r="J327" s="4" t="n">
        <v>46258</v>
      </c>
      <c r="K327" s="4" t="n">
        <v>46247</v>
      </c>
      <c r="L327" s="2" t="inlineStr">
        <is>
          <t>AFS-DCM</t>
        </is>
      </c>
      <c r="M327" s="2" t="n">
        <v>4.53</v>
      </c>
    </row>
    <row r="328">
      <c r="A328" s="2" t="n">
        <v>50406</v>
      </c>
      <c r="B328" s="2" t="inlineStr">
        <is>
          <t>B</t>
        </is>
      </c>
      <c r="C328" s="2" t="inlineStr">
        <is>
          <t>TL1535300</t>
        </is>
      </c>
      <c r="D328" s="2" t="inlineStr">
        <is>
          <t>CK_RONGVIE</t>
        </is>
      </c>
      <c r="E328" s="2" t="n">
        <v>7.75</v>
      </c>
      <c r="F328" s="5" t="n">
        <v>190000</v>
      </c>
      <c r="G328" s="2" t="n">
        <v>100000</v>
      </c>
      <c r="H328" s="5" t="n">
        <v>23492360000</v>
      </c>
      <c r="I328" s="2" t="inlineStr"/>
      <c r="J328" s="4" t="n">
        <v>46259</v>
      </c>
      <c r="K328" s="4" t="n">
        <v>46247</v>
      </c>
      <c r="L328" s="2" t="inlineStr">
        <is>
          <t>AFS-DCM</t>
        </is>
      </c>
      <c r="M328" s="2" t="n">
        <v>4.53</v>
      </c>
    </row>
    <row r="329">
      <c r="A329" s="2" t="n">
        <v>50407</v>
      </c>
      <c r="B329" s="2" t="inlineStr">
        <is>
          <t>S</t>
        </is>
      </c>
      <c r="C329" s="2" t="inlineStr">
        <is>
          <t>TD2530010</t>
        </is>
      </c>
      <c r="D329" s="2" t="inlineStr">
        <is>
          <t>CK_VNDIREC</t>
        </is>
      </c>
      <c r="E329" s="2" t="n">
        <v>2.7</v>
      </c>
      <c r="F329" s="5" t="n">
        <v>2000000</v>
      </c>
      <c r="G329" s="2" t="n">
        <v>100000</v>
      </c>
      <c r="H329" s="5" t="n">
        <v>197084000000</v>
      </c>
      <c r="I329" s="2" t="inlineStr"/>
      <c r="J329" s="4" t="n">
        <v>46252</v>
      </c>
      <c r="K329" s="4" t="n">
        <v>46247</v>
      </c>
      <c r="L329" s="2" t="inlineStr">
        <is>
          <t>AFS-DCM</t>
        </is>
      </c>
      <c r="M329" s="2" t="n">
        <v>3.1501</v>
      </c>
    </row>
    <row r="330">
      <c r="A330" s="2" t="n">
        <v>50417</v>
      </c>
      <c r="B330" s="2" t="inlineStr">
        <is>
          <t>S</t>
        </is>
      </c>
      <c r="C330" s="2" t="inlineStr">
        <is>
          <t>TD2232114</t>
        </is>
      </c>
      <c r="D330" s="2" t="inlineStr">
        <is>
          <t>CK_HDB</t>
        </is>
      </c>
      <c r="E330" s="2" t="n">
        <v>4.8</v>
      </c>
      <c r="F330" s="5" t="n">
        <v>1000000</v>
      </c>
      <c r="G330" s="2" t="n">
        <v>100000</v>
      </c>
      <c r="H330" s="5" t="n">
        <v>114565000000</v>
      </c>
      <c r="I330" s="2" t="inlineStr"/>
      <c r="J330" s="4" t="n">
        <v>46254</v>
      </c>
      <c r="K330" s="4" t="n">
        <v>46251</v>
      </c>
      <c r="L330" s="2" t="inlineStr">
        <is>
          <t>AFS-DCM</t>
        </is>
      </c>
      <c r="M330" s="2" t="n">
        <v>2.8299</v>
      </c>
    </row>
    <row r="331">
      <c r="A331" s="2" t="n">
        <v>50418</v>
      </c>
      <c r="B331" s="2" t="inlineStr">
        <is>
          <t>B</t>
        </is>
      </c>
      <c r="C331" s="2" t="inlineStr">
        <is>
          <t>TD2232114</t>
        </is>
      </c>
      <c r="D331" s="2" t="inlineStr">
        <is>
          <t>CK_HDB</t>
        </is>
      </c>
      <c r="E331" s="2" t="n">
        <v>4.8</v>
      </c>
      <c r="F331" s="5" t="n">
        <v>1000000</v>
      </c>
      <c r="G331" s="2" t="n">
        <v>100000</v>
      </c>
      <c r="H331" s="5" t="n">
        <v>114536000000</v>
      </c>
      <c r="I331" s="2" t="inlineStr"/>
      <c r="J331" s="4" t="n">
        <v>46259</v>
      </c>
      <c r="K331" s="4" t="n">
        <v>46251</v>
      </c>
      <c r="L331" s="2" t="inlineStr">
        <is>
          <t>AFS-DCM</t>
        </is>
      </c>
      <c r="M331" s="2" t="n">
        <v>2.8419</v>
      </c>
    </row>
    <row r="332">
      <c r="A332" s="2" t="n">
        <v>50419</v>
      </c>
      <c r="B332" s="2" t="inlineStr">
        <is>
          <t>S</t>
        </is>
      </c>
      <c r="C332" s="2" t="inlineStr">
        <is>
          <t>TD2333118</t>
        </is>
      </c>
      <c r="D332" s="2" t="inlineStr">
        <is>
          <t>CK_HDB</t>
        </is>
      </c>
      <c r="E332" s="2" t="n">
        <v>4.1</v>
      </c>
      <c r="F332" s="5" t="n">
        <v>500000</v>
      </c>
      <c r="G332" s="2" t="n">
        <v>100000</v>
      </c>
      <c r="H332" s="5" t="n">
        <v>55433500000</v>
      </c>
      <c r="I332" s="2" t="inlineStr"/>
      <c r="J332" s="4" t="n">
        <v>46254</v>
      </c>
      <c r="K332" s="4" t="n">
        <v>46251</v>
      </c>
      <c r="L332" s="2" t="inlineStr">
        <is>
          <t>AFS-DCM</t>
        </is>
      </c>
      <c r="M332" s="2" t="n">
        <v>2.6</v>
      </c>
    </row>
    <row r="333">
      <c r="A333" s="2" t="n">
        <v>50420</v>
      </c>
      <c r="B333" s="2" t="inlineStr">
        <is>
          <t>B</t>
        </is>
      </c>
      <c r="C333" s="2" t="inlineStr">
        <is>
          <t>TD2333118</t>
        </is>
      </c>
      <c r="D333" s="2" t="inlineStr">
        <is>
          <t>CK_HDB</t>
        </is>
      </c>
      <c r="E333" s="2" t="n">
        <v>4.1</v>
      </c>
      <c r="F333" s="5" t="n">
        <v>500000</v>
      </c>
      <c r="G333" s="2" t="n">
        <v>100000</v>
      </c>
      <c r="H333" s="5" t="n">
        <v>55422500000</v>
      </c>
      <c r="I333" s="2" t="inlineStr"/>
      <c r="J333" s="4" t="n">
        <v>46259</v>
      </c>
      <c r="K333" s="4" t="n">
        <v>46251</v>
      </c>
      <c r="L333" s="2" t="inlineStr">
        <is>
          <t>AFS-DCM</t>
        </is>
      </c>
      <c r="M333" s="2" t="n">
        <v>2.6098</v>
      </c>
    </row>
    <row r="334">
      <c r="A334" s="2" t="n">
        <v>50421</v>
      </c>
      <c r="B334" s="2" t="inlineStr">
        <is>
          <t>S</t>
        </is>
      </c>
      <c r="C334" s="2" t="inlineStr">
        <is>
          <t>TD2530010</t>
        </is>
      </c>
      <c r="D334" s="2" t="inlineStr">
        <is>
          <t>CK_HDB</t>
        </is>
      </c>
      <c r="E334" s="2" t="n">
        <v>2.7</v>
      </c>
      <c r="F334" s="5" t="n">
        <v>2000000</v>
      </c>
      <c r="G334" s="2" t="n">
        <v>100000</v>
      </c>
      <c r="H334" s="5" t="n">
        <v>197046000000</v>
      </c>
      <c r="I334" s="2" t="inlineStr"/>
      <c r="J334" s="4" t="n">
        <v>46254</v>
      </c>
      <c r="K334" s="4" t="n">
        <v>46251</v>
      </c>
      <c r="L334" s="2" t="inlineStr">
        <is>
          <t>AFS-DCM</t>
        </is>
      </c>
      <c r="M334" s="2" t="n">
        <v>3.16</v>
      </c>
    </row>
    <row r="335">
      <c r="A335" s="2" t="n">
        <v>50422</v>
      </c>
      <c r="B335" s="2" t="inlineStr">
        <is>
          <t>B</t>
        </is>
      </c>
      <c r="C335" s="2" t="inlineStr">
        <is>
          <t>TD2530010</t>
        </is>
      </c>
      <c r="D335" s="2" t="inlineStr">
        <is>
          <t>CK_HDB</t>
        </is>
      </c>
      <c r="E335" s="2" t="n">
        <v>2.7</v>
      </c>
      <c r="F335" s="5" t="n">
        <v>2000000</v>
      </c>
      <c r="G335" s="2" t="n">
        <v>100000</v>
      </c>
      <c r="H335" s="5" t="n">
        <v>197012000000</v>
      </c>
      <c r="I335" s="2" t="inlineStr"/>
      <c r="J335" s="4" t="n">
        <v>46259</v>
      </c>
      <c r="K335" s="4" t="n">
        <v>46251</v>
      </c>
      <c r="L335" s="2" t="inlineStr">
        <is>
          <t>AFS-DCM</t>
        </is>
      </c>
      <c r="M335" s="2" t="n">
        <v>3.1765</v>
      </c>
    </row>
    <row r="336">
      <c r="A336" s="2" t="n">
        <v>50431</v>
      </c>
      <c r="B336" s="2" t="inlineStr">
        <is>
          <t>S</t>
        </is>
      </c>
      <c r="C336" s="2" t="inlineStr">
        <is>
          <t>TD1934188</t>
        </is>
      </c>
      <c r="D336" s="2" t="inlineStr">
        <is>
          <t>CK_AGRIBAN</t>
        </is>
      </c>
      <c r="E336" s="2" t="n">
        <v>5</v>
      </c>
      <c r="F336" s="5" t="n">
        <v>500000</v>
      </c>
      <c r="G336" s="2" t="n">
        <v>100000</v>
      </c>
      <c r="H336" s="5" t="n">
        <v>59109000000</v>
      </c>
      <c r="I336" s="2" t="inlineStr"/>
      <c r="J336" s="4" t="n">
        <v>46258</v>
      </c>
      <c r="K336" s="4" t="n">
        <v>46251</v>
      </c>
      <c r="L336" s="2" t="inlineStr">
        <is>
          <t>AFS-DCM</t>
        </is>
      </c>
      <c r="M336" s="2" t="n">
        <v>2.66</v>
      </c>
    </row>
    <row r="337">
      <c r="A337" s="2" t="n">
        <v>50432</v>
      </c>
      <c r="B337" s="2" t="inlineStr">
        <is>
          <t>B</t>
        </is>
      </c>
      <c r="C337" s="2" t="inlineStr">
        <is>
          <t>TD1934188</t>
        </is>
      </c>
      <c r="D337" s="2" t="inlineStr">
        <is>
          <t>CK_AGRIBAN</t>
        </is>
      </c>
      <c r="E337" s="2" t="n">
        <v>5</v>
      </c>
      <c r="F337" s="5" t="n">
        <v>500000</v>
      </c>
      <c r="G337" s="2" t="n">
        <v>100000</v>
      </c>
      <c r="H337" s="5" t="n">
        <v>59111000000</v>
      </c>
      <c r="I337" s="2" t="inlineStr"/>
      <c r="J337" s="4" t="n">
        <v>46259</v>
      </c>
      <c r="K337" s="4" t="n">
        <v>46251</v>
      </c>
      <c r="L337" s="2" t="inlineStr">
        <is>
          <t>AFS-DCM</t>
        </is>
      </c>
      <c r="M337" s="2" t="n">
        <v>2.6607</v>
      </c>
    </row>
    <row r="338">
      <c r="A338" s="2" t="n">
        <v>50433</v>
      </c>
      <c r="B338" s="2" t="inlineStr">
        <is>
          <t>S</t>
        </is>
      </c>
      <c r="C338" s="2" t="inlineStr">
        <is>
          <t>TD2434026</t>
        </is>
      </c>
      <c r="D338" s="2" t="inlineStr">
        <is>
          <t>CK_AGRIBAN</t>
        </is>
      </c>
      <c r="E338" s="2" t="n">
        <v>2.6</v>
      </c>
      <c r="F338" s="5" t="n">
        <v>1340000</v>
      </c>
      <c r="G338" s="2" t="n">
        <v>100000</v>
      </c>
      <c r="H338" s="5" t="n">
        <v>132898520000</v>
      </c>
      <c r="I338" s="2" t="inlineStr"/>
      <c r="J338" s="4" t="n">
        <v>46258</v>
      </c>
      <c r="K338" s="4" t="n">
        <v>46251</v>
      </c>
      <c r="L338" s="2" t="inlineStr">
        <is>
          <t>AFS-DCM</t>
        </is>
      </c>
      <c r="M338" s="2" t="n">
        <v>3.05</v>
      </c>
    </row>
    <row r="339">
      <c r="A339" s="2" t="n">
        <v>50434</v>
      </c>
      <c r="B339" s="2" t="inlineStr">
        <is>
          <t>B</t>
        </is>
      </c>
      <c r="C339" s="2" t="inlineStr">
        <is>
          <t>TD2434026</t>
        </is>
      </c>
      <c r="D339" s="2" t="inlineStr">
        <is>
          <t>CK_AGRIBAN</t>
        </is>
      </c>
      <c r="E339" s="2" t="n">
        <v>2.6</v>
      </c>
      <c r="F339" s="5" t="n">
        <v>1340000</v>
      </c>
      <c r="G339" s="2" t="n">
        <v>100000</v>
      </c>
      <c r="H339" s="5" t="n">
        <v>132899860000</v>
      </c>
      <c r="I339" s="2" t="inlineStr"/>
      <c r="J339" s="4" t="n">
        <v>46259</v>
      </c>
      <c r="K339" s="4" t="n">
        <v>46251</v>
      </c>
      <c r="L339" s="2" t="inlineStr">
        <is>
          <t>AFS-DCM</t>
        </is>
      </c>
      <c r="M339" s="2" t="n">
        <v>3.051</v>
      </c>
    </row>
    <row r="340">
      <c r="A340" s="2" t="n">
        <v>50435</v>
      </c>
      <c r="B340" s="2" t="inlineStr">
        <is>
          <t>S</t>
        </is>
      </c>
      <c r="C340" s="2" t="inlineStr">
        <is>
          <t>TD2434024</t>
        </is>
      </c>
      <c r="D340" s="2" t="inlineStr">
        <is>
          <t>CK_AGRIBAN</t>
        </is>
      </c>
      <c r="E340" s="2" t="n">
        <v>2.7</v>
      </c>
      <c r="F340" s="5" t="n">
        <v>1050000</v>
      </c>
      <c r="G340" s="2" t="n">
        <v>100000</v>
      </c>
      <c r="H340" s="5" t="n">
        <v>102818100000</v>
      </c>
      <c r="I340" s="2" t="inlineStr"/>
      <c r="J340" s="4" t="n">
        <v>46259</v>
      </c>
      <c r="K340" s="4" t="n">
        <v>46251</v>
      </c>
      <c r="L340" s="2" t="inlineStr">
        <is>
          <t>AFS-DCM</t>
        </is>
      </c>
      <c r="M340" s="2" t="n">
        <v>3.04</v>
      </c>
    </row>
    <row r="341">
      <c r="A341" s="2" t="n">
        <v>50436</v>
      </c>
      <c r="B341" s="2" t="inlineStr">
        <is>
          <t>B</t>
        </is>
      </c>
      <c r="C341" s="2" t="inlineStr">
        <is>
          <t>TD2434024</t>
        </is>
      </c>
      <c r="D341" s="2" t="inlineStr">
        <is>
          <t>CK_AGRIBAN</t>
        </is>
      </c>
      <c r="E341" s="2" t="n">
        <v>2.7</v>
      </c>
      <c r="F341" s="5" t="n">
        <v>1050000</v>
      </c>
      <c r="G341" s="2" t="n">
        <v>100000</v>
      </c>
      <c r="H341" s="5" t="n">
        <v>102819150000</v>
      </c>
      <c r="I341" s="2" t="inlineStr"/>
      <c r="J341" s="4" t="n">
        <v>46262</v>
      </c>
      <c r="K341" s="4" t="n">
        <v>46251</v>
      </c>
      <c r="L341" s="2" t="inlineStr">
        <is>
          <t>AFS-DCM</t>
        </is>
      </c>
      <c r="M341" s="2" t="n">
        <v>3.0434</v>
      </c>
    </row>
    <row r="342">
      <c r="A342" s="2" t="n">
        <v>50437</v>
      </c>
      <c r="B342" s="2" t="inlineStr">
        <is>
          <t>S</t>
        </is>
      </c>
      <c r="C342" s="2" t="inlineStr">
        <is>
          <t>TD2535028</t>
        </is>
      </c>
      <c r="D342" s="2" t="inlineStr">
        <is>
          <t>CK_AGRIBAN</t>
        </is>
      </c>
      <c r="E342" s="2" t="n">
        <v>3.3</v>
      </c>
      <c r="F342" s="5" t="n">
        <v>110000</v>
      </c>
      <c r="G342" s="2" t="n">
        <v>100000</v>
      </c>
      <c r="H342" s="5" t="n">
        <v>10867560000</v>
      </c>
      <c r="I342" s="2" t="inlineStr"/>
      <c r="J342" s="4" t="n">
        <v>46259</v>
      </c>
      <c r="K342" s="4" t="n">
        <v>46251</v>
      </c>
      <c r="L342" s="2" t="inlineStr">
        <is>
          <t>AFS-DCM</t>
        </is>
      </c>
      <c r="M342" s="2" t="n">
        <v>3.48</v>
      </c>
    </row>
    <row r="343">
      <c r="A343" s="2" t="n">
        <v>50438</v>
      </c>
      <c r="B343" s="2" t="inlineStr">
        <is>
          <t>B</t>
        </is>
      </c>
      <c r="C343" s="2" t="inlineStr">
        <is>
          <t>TD2535028</t>
        </is>
      </c>
      <c r="D343" s="2" t="inlineStr">
        <is>
          <t>CK_AGRIBAN</t>
        </is>
      </c>
      <c r="E343" s="2" t="n">
        <v>3.3</v>
      </c>
      <c r="F343" s="5" t="n">
        <v>110000</v>
      </c>
      <c r="G343" s="2" t="n">
        <v>100000</v>
      </c>
      <c r="H343" s="5" t="n">
        <v>10867560000</v>
      </c>
      <c r="I343" s="2" t="inlineStr"/>
      <c r="J343" s="4" t="n">
        <v>46262</v>
      </c>
      <c r="K343" s="4" t="n">
        <v>46251</v>
      </c>
      <c r="L343" s="2" t="inlineStr">
        <is>
          <t>AFS-DCM</t>
        </is>
      </c>
      <c r="M343" s="2" t="n">
        <v>3.4837</v>
      </c>
    </row>
    <row r="344">
      <c r="A344" s="2" t="n">
        <v>50439</v>
      </c>
      <c r="B344" s="2" t="inlineStr">
        <is>
          <t>S</t>
        </is>
      </c>
      <c r="C344" s="2" t="inlineStr">
        <is>
          <t>TD2535023</t>
        </is>
      </c>
      <c r="D344" s="2" t="inlineStr">
        <is>
          <t>CK_KAFI</t>
        </is>
      </c>
      <c r="E344" s="2" t="n">
        <v>2.9</v>
      </c>
      <c r="F344" s="5" t="n">
        <v>1600000</v>
      </c>
      <c r="G344" s="2" t="n">
        <v>100000</v>
      </c>
      <c r="H344" s="5" t="n">
        <v>152531200000</v>
      </c>
      <c r="I344" s="2" t="inlineStr"/>
      <c r="J344" s="4" t="n">
        <v>46261</v>
      </c>
      <c r="K344" s="4" t="n">
        <v>46252</v>
      </c>
      <c r="L344" s="2" t="inlineStr">
        <is>
          <t>AFS-DCM</t>
        </is>
      </c>
      <c r="M344" s="2" t="n">
        <v>3.75</v>
      </c>
    </row>
    <row r="345">
      <c r="A345" s="2" t="n">
        <v>50440</v>
      </c>
      <c r="B345" s="2" t="inlineStr">
        <is>
          <t>B</t>
        </is>
      </c>
      <c r="C345" s="2" t="inlineStr">
        <is>
          <t>TD2535023</t>
        </is>
      </c>
      <c r="D345" s="2" t="inlineStr">
        <is>
          <t>CK_KAFI</t>
        </is>
      </c>
      <c r="E345" s="2" t="n">
        <v>2.9</v>
      </c>
      <c r="F345" s="5" t="n">
        <v>1600000</v>
      </c>
      <c r="G345" s="2" t="n">
        <v>100000</v>
      </c>
      <c r="H345" s="5" t="n">
        <v>152513600000</v>
      </c>
      <c r="I345" s="2" t="inlineStr"/>
      <c r="J345" s="4" t="n">
        <v>46262</v>
      </c>
      <c r="K345" s="4" t="n">
        <v>46252</v>
      </c>
      <c r="L345" s="2" t="inlineStr">
        <is>
          <t>AFS-DCM</t>
        </is>
      </c>
      <c r="M345" s="2" t="n">
        <v>3.753</v>
      </c>
    </row>
    <row r="346">
      <c r="A346" s="2" t="n">
        <v>50443</v>
      </c>
      <c r="B346" s="2" t="inlineStr">
        <is>
          <t>S</t>
        </is>
      </c>
      <c r="C346" s="2" t="inlineStr">
        <is>
          <t>TD2353151</t>
        </is>
      </c>
      <c r="D346" s="2" t="inlineStr">
        <is>
          <t>CK_KAFI</t>
        </is>
      </c>
      <c r="E346" s="2" t="n">
        <v>4.2</v>
      </c>
      <c r="F346" s="5" t="n">
        <v>800000</v>
      </c>
      <c r="G346" s="2" t="n">
        <v>100000</v>
      </c>
      <c r="H346" s="5" t="n">
        <v>77868800000</v>
      </c>
      <c r="I346" s="2" t="inlineStr"/>
      <c r="J346" s="4" t="n">
        <v>46261</v>
      </c>
      <c r="K346" s="4" t="n">
        <v>46252</v>
      </c>
      <c r="L346" s="2" t="inlineStr">
        <is>
          <t>AFS-DCM</t>
        </is>
      </c>
      <c r="M346" s="2" t="n">
        <v>4.49</v>
      </c>
    </row>
    <row r="347">
      <c r="A347" s="2" t="n">
        <v>50444</v>
      </c>
      <c r="B347" s="2" t="inlineStr">
        <is>
          <t>B</t>
        </is>
      </c>
      <c r="C347" s="2" t="inlineStr">
        <is>
          <t>TD2353151</t>
        </is>
      </c>
      <c r="D347" s="2" t="inlineStr">
        <is>
          <t>CK_KAFI</t>
        </is>
      </c>
      <c r="E347" s="2" t="n">
        <v>4.2</v>
      </c>
      <c r="F347" s="5" t="n">
        <v>800000</v>
      </c>
      <c r="G347" s="2" t="n">
        <v>100000</v>
      </c>
      <c r="H347" s="5" t="n">
        <v>77840000000</v>
      </c>
      <c r="I347" s="2" t="inlineStr"/>
      <c r="J347" s="4" t="n">
        <v>46262</v>
      </c>
      <c r="K347" s="4" t="n">
        <v>46252</v>
      </c>
      <c r="L347" s="2" t="inlineStr">
        <is>
          <t>AFS-DCM</t>
        </is>
      </c>
      <c r="M347" s="2" t="n">
        <v>4.4932</v>
      </c>
    </row>
    <row r="348">
      <c r="A348" s="2" t="n">
        <v>50445</v>
      </c>
      <c r="B348" s="2" t="inlineStr">
        <is>
          <t>S</t>
        </is>
      </c>
      <c r="C348" s="2" t="inlineStr">
        <is>
          <t>TD2353151</t>
        </is>
      </c>
      <c r="D348" s="2" t="inlineStr">
        <is>
          <t>CK_THIENVI</t>
        </is>
      </c>
      <c r="E348" s="2" t="n">
        <v>4.2</v>
      </c>
      <c r="F348" s="5" t="n">
        <v>800000</v>
      </c>
      <c r="G348" s="2" t="n">
        <v>100000</v>
      </c>
      <c r="H348" s="5" t="n">
        <v>81492800000</v>
      </c>
      <c r="I348" s="2" t="inlineStr"/>
      <c r="J348" s="4" t="n">
        <v>46268</v>
      </c>
      <c r="K348" s="4" t="n">
        <v>46252</v>
      </c>
      <c r="L348" s="2" t="inlineStr">
        <is>
          <t>AFS-DCM</t>
        </is>
      </c>
      <c r="M348" s="2" t="n">
        <v>4.2</v>
      </c>
    </row>
    <row r="349">
      <c r="A349" s="2" t="n">
        <v>50446</v>
      </c>
      <c r="B349" s="2" t="inlineStr">
        <is>
          <t>B</t>
        </is>
      </c>
      <c r="C349" s="2" t="inlineStr">
        <is>
          <t>TD2353151</t>
        </is>
      </c>
      <c r="D349" s="2" t="inlineStr">
        <is>
          <t>CK_THIENVI</t>
        </is>
      </c>
      <c r="E349" s="2" t="n">
        <v>4.2</v>
      </c>
      <c r="F349" s="5" t="n">
        <v>800000</v>
      </c>
      <c r="G349" s="2" t="n">
        <v>100000</v>
      </c>
      <c r="H349" s="5" t="n">
        <v>81451200000</v>
      </c>
      <c r="I349" s="2" t="inlineStr"/>
      <c r="J349" s="4" t="n">
        <v>46269</v>
      </c>
      <c r="K349" s="4" t="n">
        <v>46252</v>
      </c>
      <c r="L349" s="2" t="inlineStr">
        <is>
          <t>AFS-DCM</t>
        </is>
      </c>
      <c r="M349" s="2" t="n">
        <v>4.204</v>
      </c>
    </row>
    <row r="350">
      <c r="A350" s="2" t="n">
        <v>50447</v>
      </c>
      <c r="B350" s="2" t="inlineStr">
        <is>
          <t>S</t>
        </is>
      </c>
      <c r="C350" s="2" t="inlineStr">
        <is>
          <t>TL1535300</t>
        </is>
      </c>
      <c r="D350" s="2" t="inlineStr">
        <is>
          <t>CK_THIENVI</t>
        </is>
      </c>
      <c r="E350" s="2" t="n">
        <v>7.75</v>
      </c>
      <c r="F350" s="5" t="n">
        <v>560000</v>
      </c>
      <c r="G350" s="2" t="n">
        <v>100000</v>
      </c>
      <c r="H350" s="5" t="n">
        <v>69664000000</v>
      </c>
      <c r="I350" s="2" t="inlineStr"/>
      <c r="J350" s="4" t="n">
        <v>46268</v>
      </c>
      <c r="K350" s="4" t="n">
        <v>46252</v>
      </c>
      <c r="L350" s="2" t="inlineStr">
        <is>
          <t>AFS-DCM</t>
        </is>
      </c>
      <c r="M350" s="2" t="n">
        <v>4.455</v>
      </c>
    </row>
    <row r="351">
      <c r="A351" s="2" t="n">
        <v>50448</v>
      </c>
      <c r="B351" s="2" t="inlineStr">
        <is>
          <t>B</t>
        </is>
      </c>
      <c r="C351" s="2" t="inlineStr">
        <is>
          <t>TL1535300</t>
        </is>
      </c>
      <c r="D351" s="2" t="inlineStr">
        <is>
          <t>CK_THIENVI</t>
        </is>
      </c>
      <c r="E351" s="2" t="n">
        <v>7.75</v>
      </c>
      <c r="F351" s="5" t="n">
        <v>560000</v>
      </c>
      <c r="G351" s="2" t="n">
        <v>100000</v>
      </c>
      <c r="H351" s="5" t="n">
        <v>69672400000</v>
      </c>
      <c r="I351" s="2" t="inlineStr"/>
      <c r="J351" s="4" t="n">
        <v>46269</v>
      </c>
      <c r="K351" s="4" t="n">
        <v>46252</v>
      </c>
      <c r="L351" s="2" t="inlineStr">
        <is>
          <t>AFS-DCM</t>
        </is>
      </c>
      <c r="M351" s="2" t="n">
        <v>4.455</v>
      </c>
    </row>
    <row r="352">
      <c r="A352" s="2" t="n">
        <v>50509</v>
      </c>
      <c r="B352" s="2" t="inlineStr">
        <is>
          <t>S</t>
        </is>
      </c>
      <c r="C352" s="2" t="inlineStr">
        <is>
          <t>TD2434022</t>
        </is>
      </c>
      <c r="D352" s="2" t="inlineStr">
        <is>
          <t>CK_HAIPHON</t>
        </is>
      </c>
      <c r="E352" s="2" t="n">
        <v>2.7</v>
      </c>
      <c r="F352" s="5" t="n">
        <v>1000000</v>
      </c>
      <c r="G352" s="2" t="n">
        <v>100000</v>
      </c>
      <c r="H352" s="5" t="n">
        <v>98904000000</v>
      </c>
      <c r="I352" s="2" t="inlineStr"/>
      <c r="J352" s="4" t="n">
        <v>46260</v>
      </c>
      <c r="K352" s="4" t="n">
        <v>46254</v>
      </c>
      <c r="L352" s="2" t="inlineStr">
        <is>
          <t>AFS-DCM</t>
        </is>
      </c>
      <c r="M352" s="2" t="n">
        <v>2.93</v>
      </c>
    </row>
    <row r="353">
      <c r="A353" s="2" t="n">
        <v>50510</v>
      </c>
      <c r="B353" s="2" t="inlineStr">
        <is>
          <t>B</t>
        </is>
      </c>
      <c r="C353" s="2" t="inlineStr">
        <is>
          <t>TD2434022</t>
        </is>
      </c>
      <c r="D353" s="2" t="inlineStr">
        <is>
          <t>CK_HAIPHON</t>
        </is>
      </c>
      <c r="E353" s="2" t="n">
        <v>2.7</v>
      </c>
      <c r="F353" s="5" t="n">
        <v>1000000</v>
      </c>
      <c r="G353" s="2" t="n">
        <v>100000</v>
      </c>
      <c r="H353" s="5" t="n">
        <v>98868000000</v>
      </c>
      <c r="I353" s="2" t="inlineStr"/>
      <c r="J353" s="4" t="n">
        <v>46261</v>
      </c>
      <c r="K353" s="4" t="n">
        <v>46254</v>
      </c>
      <c r="L353" s="2" t="inlineStr">
        <is>
          <t>AFS-DCM</t>
        </is>
      </c>
      <c r="M353" s="2" t="n">
        <v>2.9363</v>
      </c>
    </row>
    <row r="354">
      <c r="A354" s="2" t="n">
        <v>50511</v>
      </c>
      <c r="B354" s="2" t="inlineStr">
        <is>
          <t>S</t>
        </is>
      </c>
      <c r="C354" s="2" t="inlineStr">
        <is>
          <t>TD1934188</t>
        </is>
      </c>
      <c r="D354" s="2" t="inlineStr">
        <is>
          <t>CK_HAIPHON</t>
        </is>
      </c>
      <c r="E354" s="2" t="n">
        <v>5</v>
      </c>
      <c r="F354" s="5" t="n">
        <v>500000</v>
      </c>
      <c r="G354" s="2" t="n">
        <v>100000</v>
      </c>
      <c r="H354" s="5" t="n">
        <v>57351500000</v>
      </c>
      <c r="I354" s="2" t="inlineStr"/>
      <c r="J354" s="4" t="n">
        <v>46260</v>
      </c>
      <c r="K354" s="4" t="n">
        <v>46254</v>
      </c>
      <c r="L354" s="2" t="inlineStr">
        <is>
          <t>AFS-DCM</t>
        </is>
      </c>
      <c r="M354" s="2" t="n">
        <v>3.15</v>
      </c>
    </row>
    <row r="355">
      <c r="A355" s="2" t="n">
        <v>50512</v>
      </c>
      <c r="B355" s="2" t="inlineStr">
        <is>
          <t>B</t>
        </is>
      </c>
      <c r="C355" s="2" t="inlineStr">
        <is>
          <t>TD1934188</t>
        </is>
      </c>
      <c r="D355" s="2" t="inlineStr">
        <is>
          <t>CK_HAIPHON</t>
        </is>
      </c>
      <c r="E355" s="2" t="n">
        <v>5</v>
      </c>
      <c r="F355" s="5" t="n">
        <v>500000</v>
      </c>
      <c r="G355" s="2" t="n">
        <v>100000</v>
      </c>
      <c r="H355" s="5" t="n">
        <v>57356500000</v>
      </c>
      <c r="I355" s="2" t="inlineStr"/>
      <c r="J355" s="4" t="n">
        <v>46261</v>
      </c>
      <c r="K355" s="4" t="n">
        <v>46254</v>
      </c>
      <c r="L355" s="2" t="inlineStr">
        <is>
          <t>AFS-DCM</t>
        </is>
      </c>
      <c r="M355" s="2" t="n">
        <v>3.15</v>
      </c>
    </row>
    <row r="356">
      <c r="A356" s="2" t="n">
        <v>50513</v>
      </c>
      <c r="B356" s="2" t="inlineStr">
        <is>
          <t>S</t>
        </is>
      </c>
      <c r="C356" s="2" t="inlineStr">
        <is>
          <t>TD2434024</t>
        </is>
      </c>
      <c r="D356" s="2" t="inlineStr">
        <is>
          <t>CK_AGRIBAN</t>
        </is>
      </c>
      <c r="E356" s="2" t="n">
        <v>2.7</v>
      </c>
      <c r="F356" s="5" t="n">
        <v>950000</v>
      </c>
      <c r="G356" s="2" t="n">
        <v>100000</v>
      </c>
      <c r="H356" s="5" t="n">
        <v>93025900000</v>
      </c>
      <c r="I356" s="2" t="inlineStr"/>
      <c r="J356" s="4" t="n">
        <v>46259</v>
      </c>
      <c r="K356" s="4" t="n">
        <v>46254</v>
      </c>
      <c r="L356" s="2" t="inlineStr">
        <is>
          <t>AFS-DCM</t>
        </is>
      </c>
      <c r="M356" s="2" t="n">
        <v>3.04</v>
      </c>
    </row>
    <row r="357">
      <c r="A357" s="2" t="n">
        <v>50514</v>
      </c>
      <c r="B357" s="2" t="inlineStr">
        <is>
          <t>B</t>
        </is>
      </c>
      <c r="C357" s="2" t="inlineStr">
        <is>
          <t>TD2434024</t>
        </is>
      </c>
      <c r="D357" s="2" t="inlineStr">
        <is>
          <t>CK_AGRIBAN</t>
        </is>
      </c>
      <c r="E357" s="2" t="n">
        <v>2.7</v>
      </c>
      <c r="F357" s="5" t="n">
        <v>950000</v>
      </c>
      <c r="G357" s="2" t="n">
        <v>100000</v>
      </c>
      <c r="H357" s="5" t="n">
        <v>93026850000</v>
      </c>
      <c r="I357" s="2" t="inlineStr"/>
      <c r="J357" s="4" t="n">
        <v>46262</v>
      </c>
      <c r="K357" s="4" t="n">
        <v>46254</v>
      </c>
      <c r="L357" s="2" t="inlineStr">
        <is>
          <t>AFS-DCM</t>
        </is>
      </c>
      <c r="M357" s="2" t="n">
        <v>3.0434</v>
      </c>
    </row>
    <row r="358">
      <c r="A358" s="2" t="n">
        <v>50563</v>
      </c>
      <c r="B358" s="2" t="inlineStr">
        <is>
          <t>S</t>
        </is>
      </c>
      <c r="C358" s="2" t="inlineStr">
        <is>
          <t>TD1934188</t>
        </is>
      </c>
      <c r="D358" s="2" t="inlineStr">
        <is>
          <t>CK_OCBS</t>
        </is>
      </c>
      <c r="E358" s="2" t="n">
        <v>5</v>
      </c>
      <c r="F358" s="5" t="n">
        <v>500000</v>
      </c>
      <c r="G358" s="2" t="n">
        <v>100000</v>
      </c>
      <c r="H358" s="5" t="n">
        <v>59117500000</v>
      </c>
      <c r="I358" s="2" t="inlineStr"/>
      <c r="J358" s="4" t="n">
        <v>46260</v>
      </c>
      <c r="K358" s="4" t="n">
        <v>46258</v>
      </c>
      <c r="L358" s="2" t="inlineStr">
        <is>
          <t>AFS-DCM</t>
        </is>
      </c>
      <c r="M358" s="2" t="n">
        <v>2.6601</v>
      </c>
    </row>
    <row r="359">
      <c r="A359" s="2" t="n">
        <v>50564</v>
      </c>
      <c r="B359" s="2" t="inlineStr">
        <is>
          <t>B</t>
        </is>
      </c>
      <c r="C359" s="2" t="inlineStr">
        <is>
          <t>TD1934188</t>
        </is>
      </c>
      <c r="D359" s="2" t="inlineStr">
        <is>
          <t>CK_OCBS</t>
        </is>
      </c>
      <c r="E359" s="2" t="n">
        <v>5</v>
      </c>
      <c r="F359" s="5" t="n">
        <v>500000</v>
      </c>
      <c r="G359" s="2" t="n">
        <v>100000</v>
      </c>
      <c r="H359" s="5" t="n">
        <v>59105500000</v>
      </c>
      <c r="I359" s="2" t="inlineStr"/>
      <c r="J359" s="4" t="n">
        <v>46261</v>
      </c>
      <c r="K359" s="4" t="n">
        <v>46258</v>
      </c>
      <c r="L359" s="2" t="inlineStr">
        <is>
          <t>AFS-DCM</t>
        </is>
      </c>
      <c r="M359" s="2" t="n">
        <v>2.6645</v>
      </c>
    </row>
    <row r="360">
      <c r="A360" s="2" t="n">
        <v>50565</v>
      </c>
      <c r="B360" s="2" t="inlineStr">
        <is>
          <t>S</t>
        </is>
      </c>
      <c r="C360" s="2" t="inlineStr">
        <is>
          <t>TD2232114</t>
        </is>
      </c>
      <c r="D360" s="2" t="inlineStr">
        <is>
          <t>CK_OCBS</t>
        </is>
      </c>
      <c r="E360" s="2" t="n">
        <v>4.8</v>
      </c>
      <c r="F360" s="5" t="n">
        <v>1000000</v>
      </c>
      <c r="G360" s="2" t="n">
        <v>100000</v>
      </c>
      <c r="H360" s="5" t="n">
        <v>114556000000</v>
      </c>
      <c r="I360" s="2" t="inlineStr"/>
      <c r="J360" s="4" t="n">
        <v>46260</v>
      </c>
      <c r="K360" s="4" t="n">
        <v>46258</v>
      </c>
      <c r="L360" s="2" t="inlineStr">
        <is>
          <t>AFS-DCM</t>
        </is>
      </c>
      <c r="M360" s="2" t="n">
        <v>2.8401</v>
      </c>
    </row>
    <row r="361">
      <c r="A361" s="2" t="n">
        <v>50566</v>
      </c>
      <c r="B361" s="2" t="inlineStr">
        <is>
          <t>B</t>
        </is>
      </c>
      <c r="C361" s="2" t="inlineStr">
        <is>
          <t>TD2232114</t>
        </is>
      </c>
      <c r="D361" s="2" t="inlineStr">
        <is>
          <t>CK_OCBS</t>
        </is>
      </c>
      <c r="E361" s="2" t="n">
        <v>4.8</v>
      </c>
      <c r="F361" s="5" t="n">
        <v>1000000</v>
      </c>
      <c r="G361" s="2" t="n">
        <v>100000</v>
      </c>
      <c r="H361" s="5" t="n">
        <v>114533000000</v>
      </c>
      <c r="I361" s="2" t="inlineStr"/>
      <c r="J361" s="4" t="n">
        <v>46261</v>
      </c>
      <c r="K361" s="4" t="n">
        <v>46258</v>
      </c>
      <c r="L361" s="2" t="inlineStr">
        <is>
          <t>AFS-DCM</t>
        </is>
      </c>
      <c r="M361" s="2" t="n">
        <v>2.8453</v>
      </c>
    </row>
    <row r="362">
      <c r="A362" s="2" t="n">
        <v>50567</v>
      </c>
      <c r="B362" s="2" t="inlineStr">
        <is>
          <t>S</t>
        </is>
      </c>
      <c r="C362" s="2" t="inlineStr">
        <is>
          <t>TD2131012</t>
        </is>
      </c>
      <c r="D362" s="2" t="inlineStr">
        <is>
          <t>CK_MAYBANK</t>
        </is>
      </c>
      <c r="E362" s="2" t="n">
        <v>2.2</v>
      </c>
      <c r="F362" s="5" t="n">
        <v>1000000</v>
      </c>
      <c r="G362" s="2" t="n">
        <v>100000</v>
      </c>
      <c r="H362" s="5" t="n">
        <v>94087000000</v>
      </c>
      <c r="I362" s="2" t="inlineStr"/>
      <c r="J362" s="4" t="n">
        <v>46261</v>
      </c>
      <c r="K362" s="4" t="n">
        <v>46258</v>
      </c>
      <c r="L362" s="2" t="inlineStr">
        <is>
          <t>AFS-DCM</t>
        </is>
      </c>
      <c r="M362" s="2" t="n">
        <v>4.04</v>
      </c>
    </row>
    <row r="363">
      <c r="A363" s="2" t="n">
        <v>50568</v>
      </c>
      <c r="B363" s="2" t="inlineStr">
        <is>
          <t>B</t>
        </is>
      </c>
      <c r="C363" s="2" t="inlineStr">
        <is>
          <t>TD2131012</t>
        </is>
      </c>
      <c r="D363" s="2" t="inlineStr">
        <is>
          <t>CK_MAYBANK</t>
        </is>
      </c>
      <c r="E363" s="2" t="n">
        <v>2.2</v>
      </c>
      <c r="F363" s="5" t="n">
        <v>1000000</v>
      </c>
      <c r="G363" s="2" t="n">
        <v>100000</v>
      </c>
      <c r="H363" s="5" t="n">
        <v>94069000000</v>
      </c>
      <c r="I363" s="2" t="inlineStr"/>
      <c r="J363" s="4" t="n">
        <v>46262</v>
      </c>
      <c r="K363" s="4" t="n">
        <v>46258</v>
      </c>
      <c r="L363" s="2" t="inlineStr">
        <is>
          <t>AFS-DCM</t>
        </is>
      </c>
      <c r="M363" s="2" t="n">
        <v>4.0475</v>
      </c>
    </row>
    <row r="364">
      <c r="A364" s="2" t="n">
        <v>50598</v>
      </c>
      <c r="B364" s="2" t="inlineStr">
        <is>
          <t>S</t>
        </is>
      </c>
      <c r="C364" s="2" t="inlineStr">
        <is>
          <t>TD2434019</t>
        </is>
      </c>
      <c r="D364" s="2" t="inlineStr">
        <is>
          <t>CK_MAYBANK</t>
        </is>
      </c>
      <c r="E364" s="2" t="n">
        <v>2.1</v>
      </c>
      <c r="F364" s="5" t="n">
        <v>2500000</v>
      </c>
      <c r="G364" s="2" t="n">
        <v>100000</v>
      </c>
      <c r="H364" s="5" t="n">
        <v>241805000000</v>
      </c>
      <c r="I364" s="2" t="inlineStr"/>
      <c r="J364" s="4" t="n">
        <v>46273</v>
      </c>
      <c r="K364" s="4" t="n">
        <v>46259</v>
      </c>
      <c r="L364" s="2" t="inlineStr">
        <is>
          <t>AFS-DCM</t>
        </is>
      </c>
      <c r="M364" s="2" t="n">
        <v>2.8101</v>
      </c>
    </row>
    <row r="365">
      <c r="A365" s="2" t="n">
        <v>50599</v>
      </c>
      <c r="B365" s="2" t="inlineStr">
        <is>
          <t>B</t>
        </is>
      </c>
      <c r="C365" s="2" t="inlineStr">
        <is>
          <t>TD2434019</t>
        </is>
      </c>
      <c r="D365" s="2" t="inlineStr">
        <is>
          <t>CK_MAYBANK</t>
        </is>
      </c>
      <c r="E365" s="2" t="n">
        <v>2.1</v>
      </c>
      <c r="F365" s="5" t="n">
        <v>2500000</v>
      </c>
      <c r="G365" s="2" t="n">
        <v>100000</v>
      </c>
      <c r="H365" s="5" t="n">
        <v>241762500000</v>
      </c>
      <c r="I365" s="2" t="inlineStr"/>
      <c r="J365" s="4" t="n">
        <v>46274</v>
      </c>
      <c r="K365" s="4" t="n">
        <v>46259</v>
      </c>
      <c r="L365" s="2" t="inlineStr">
        <is>
          <t>AFS-DCM</t>
        </is>
      </c>
      <c r="M365" s="2" t="n">
        <v>2.8139</v>
      </c>
    </row>
    <row r="366">
      <c r="A366" s="2" t="n">
        <v>50600</v>
      </c>
      <c r="B366" s="2" t="inlineStr">
        <is>
          <t>S</t>
        </is>
      </c>
      <c r="C366" s="2" t="inlineStr">
        <is>
          <t>TD2353151</t>
        </is>
      </c>
      <c r="D366" s="2" t="inlineStr">
        <is>
          <t>CK_MAYBANK</t>
        </is>
      </c>
      <c r="E366" s="2" t="n">
        <v>4.2</v>
      </c>
      <c r="F366" s="5" t="n">
        <v>1200000</v>
      </c>
      <c r="G366" s="2" t="n">
        <v>100000</v>
      </c>
      <c r="H366" s="5" t="n">
        <v>119955600000</v>
      </c>
      <c r="I366" s="2" t="inlineStr"/>
      <c r="J366" s="4" t="n">
        <v>46273</v>
      </c>
      <c r="K366" s="4" t="n">
        <v>46259</v>
      </c>
      <c r="L366" s="2" t="inlineStr">
        <is>
          <t>AFS-DCM</t>
        </is>
      </c>
      <c r="M366" s="2" t="n">
        <v>4.3256</v>
      </c>
    </row>
    <row r="367">
      <c r="A367" s="2" t="n">
        <v>50601</v>
      </c>
      <c r="B367" s="2" t="inlineStr">
        <is>
          <t>B</t>
        </is>
      </c>
      <c r="C367" s="2" t="inlineStr">
        <is>
          <t>TD2353151</t>
        </is>
      </c>
      <c r="D367" s="2" t="inlineStr">
        <is>
          <t>CK_MAYBANK</t>
        </is>
      </c>
      <c r="E367" s="2" t="n">
        <v>4.2</v>
      </c>
      <c r="F367" s="5" t="n">
        <v>1200000</v>
      </c>
      <c r="G367" s="2" t="n">
        <v>100000</v>
      </c>
      <c r="H367" s="5" t="n">
        <v>119924400000</v>
      </c>
      <c r="I367" s="2" t="inlineStr"/>
      <c r="J367" s="4" t="n">
        <v>46274</v>
      </c>
      <c r="K367" s="4" t="n">
        <v>46259</v>
      </c>
      <c r="L367" s="2" t="inlineStr">
        <is>
          <t>AFS-DCM</t>
        </is>
      </c>
      <c r="M367" s="2" t="n">
        <v>4.328</v>
      </c>
    </row>
    <row r="368">
      <c r="A368" s="2" t="n">
        <v>50614</v>
      </c>
      <c r="B368" s="2" t="inlineStr">
        <is>
          <t>S</t>
        </is>
      </c>
      <c r="C368" s="2" t="inlineStr">
        <is>
          <t>TD2353151</t>
        </is>
      </c>
      <c r="D368" s="2" t="inlineStr">
        <is>
          <t>CK_VCB</t>
        </is>
      </c>
      <c r="E368" s="2" t="n">
        <v>4.2</v>
      </c>
      <c r="F368" s="5" t="n">
        <v>2000000</v>
      </c>
      <c r="G368" s="2" t="n">
        <v>100000</v>
      </c>
      <c r="H368" s="5" t="n">
        <v>208640000000</v>
      </c>
      <c r="I368" s="2" t="inlineStr"/>
      <c r="J368" s="4" t="n">
        <v>46273</v>
      </c>
      <c r="K368" s="4" t="n">
        <v>46268</v>
      </c>
      <c r="L368" s="2" t="inlineStr">
        <is>
          <t>AFS-DCM</t>
        </is>
      </c>
      <c r="M368" s="2" t="n">
        <v>4.051</v>
      </c>
    </row>
    <row r="369">
      <c r="A369" s="2" t="n">
        <v>50615</v>
      </c>
      <c r="B369" s="2" t="inlineStr">
        <is>
          <t>B</t>
        </is>
      </c>
      <c r="C369" s="2" t="inlineStr">
        <is>
          <t>TD2353151</t>
        </is>
      </c>
      <c r="D369" s="2" t="inlineStr">
        <is>
          <t>CK_VCB</t>
        </is>
      </c>
      <c r="E369" s="2" t="n">
        <v>4.2</v>
      </c>
      <c r="F369" s="5" t="n">
        <v>2000000</v>
      </c>
      <c r="G369" s="2" t="n">
        <v>100000</v>
      </c>
      <c r="H369" s="5" t="n">
        <v>209240000000</v>
      </c>
      <c r="I369" s="2" t="inlineStr"/>
      <c r="J369" s="4" t="n">
        <v>46303</v>
      </c>
      <c r="K369" s="4" t="n">
        <v>46268</v>
      </c>
      <c r="L369" s="2" t="inlineStr">
        <is>
          <t>AFS-DCM</t>
        </is>
      </c>
      <c r="M369" s="2" t="n">
        <v>4.0535</v>
      </c>
    </row>
    <row r="370">
      <c r="A370" s="2" t="n">
        <v>50616</v>
      </c>
      <c r="B370" s="2" t="inlineStr">
        <is>
          <t>S</t>
        </is>
      </c>
      <c r="C370" s="2" t="inlineStr">
        <is>
          <t>TD2353151</t>
        </is>
      </c>
      <c r="D370" s="2" t="inlineStr">
        <is>
          <t>CK_AGRIBAN</t>
        </is>
      </c>
      <c r="E370" s="2" t="n">
        <v>4.2</v>
      </c>
      <c r="F370" s="5" t="n">
        <v>800000</v>
      </c>
      <c r="G370" s="2" t="n">
        <v>100000</v>
      </c>
      <c r="H370" s="5" t="n">
        <v>81496800000</v>
      </c>
      <c r="I370" s="2" t="inlineStr"/>
      <c r="J370" s="4" t="n">
        <v>46274</v>
      </c>
      <c r="K370" s="4" t="n">
        <v>46269</v>
      </c>
      <c r="L370" s="2" t="inlineStr">
        <is>
          <t>AFS-DCM</t>
        </is>
      </c>
      <c r="M370" s="2" t="n">
        <v>4.204</v>
      </c>
    </row>
    <row r="371">
      <c r="A371" s="2" t="n">
        <v>50617</v>
      </c>
      <c r="B371" s="2" t="inlineStr">
        <is>
          <t>B</t>
        </is>
      </c>
      <c r="C371" s="2" t="inlineStr">
        <is>
          <t>TD2353151</t>
        </is>
      </c>
      <c r="D371" s="2" t="inlineStr">
        <is>
          <t>CK_AGRIBAN</t>
        </is>
      </c>
      <c r="E371" s="2" t="n">
        <v>4.2</v>
      </c>
      <c r="F371" s="5" t="n">
        <v>800000</v>
      </c>
      <c r="G371" s="2" t="n">
        <v>100000</v>
      </c>
      <c r="H371" s="5" t="n">
        <v>81520800000</v>
      </c>
      <c r="I371" s="2" t="inlineStr"/>
      <c r="J371" s="4" t="n">
        <v>46280</v>
      </c>
      <c r="K371" s="4" t="n">
        <v>46269</v>
      </c>
      <c r="L371" s="2" t="inlineStr">
        <is>
          <t>AFS-DCM</t>
        </is>
      </c>
      <c r="M371" s="2" t="n">
        <v>4.2065</v>
      </c>
    </row>
    <row r="372">
      <c r="A372" s="2" t="n">
        <v>50618</v>
      </c>
      <c r="B372" s="2" t="inlineStr">
        <is>
          <t>S</t>
        </is>
      </c>
      <c r="C372" s="2" t="inlineStr">
        <is>
          <t>TD2434023</t>
        </is>
      </c>
      <c r="D372" s="2" t="inlineStr">
        <is>
          <t>CK_AGRIBAN</t>
        </is>
      </c>
      <c r="E372" s="2" t="n">
        <v>2.7</v>
      </c>
      <c r="F372" s="5" t="n">
        <v>1000000</v>
      </c>
      <c r="G372" s="2" t="n">
        <v>100000</v>
      </c>
      <c r="H372" s="5" t="n">
        <v>98288000000</v>
      </c>
      <c r="I372" s="2" t="inlineStr"/>
      <c r="J372" s="4" t="n">
        <v>46274</v>
      </c>
      <c r="K372" s="4" t="n">
        <v>46269</v>
      </c>
      <c r="L372" s="2" t="inlineStr">
        <is>
          <t>AFS-DCM</t>
        </is>
      </c>
      <c r="M372" s="2" t="n">
        <v>3.0204</v>
      </c>
    </row>
    <row r="373">
      <c r="A373" s="2" t="n">
        <v>50619</v>
      </c>
      <c r="B373" s="2" t="inlineStr">
        <is>
          <t>B</t>
        </is>
      </c>
      <c r="C373" s="2" t="inlineStr">
        <is>
          <t>TD2434023</t>
        </is>
      </c>
      <c r="D373" s="2" t="inlineStr">
        <is>
          <t>CK_AGRIBAN</t>
        </is>
      </c>
      <c r="E373" s="2" t="n">
        <v>2.7</v>
      </c>
      <c r="F373" s="5" t="n">
        <v>1000000</v>
      </c>
      <c r="G373" s="2" t="n">
        <v>100000</v>
      </c>
      <c r="H373" s="5" t="n">
        <v>98315000000</v>
      </c>
      <c r="I373" s="2" t="inlineStr"/>
      <c r="J373" s="4" t="n">
        <v>46280</v>
      </c>
      <c r="K373" s="4" t="n">
        <v>46269</v>
      </c>
      <c r="L373" s="2" t="inlineStr">
        <is>
          <t>AFS-DCM</t>
        </is>
      </c>
      <c r="M373" s="2" t="n">
        <v>3.0236</v>
      </c>
    </row>
    <row r="374">
      <c r="A374" s="2" t="n">
        <v>50620</v>
      </c>
      <c r="B374" s="2" t="inlineStr">
        <is>
          <t>S</t>
        </is>
      </c>
      <c r="C374" s="2" t="inlineStr">
        <is>
          <t>TD2333118</t>
        </is>
      </c>
      <c r="D374" s="2" t="inlineStr">
        <is>
          <t>CK_AGRIBAN</t>
        </is>
      </c>
      <c r="E374" s="2" t="n">
        <v>4.1</v>
      </c>
      <c r="F374" s="5" t="n">
        <v>310000</v>
      </c>
      <c r="G374" s="2" t="n">
        <v>100000</v>
      </c>
      <c r="H374" s="5" t="n">
        <v>34378690000</v>
      </c>
      <c r="I374" s="2" t="inlineStr"/>
      <c r="J374" s="4" t="n">
        <v>46274</v>
      </c>
      <c r="K374" s="4" t="n">
        <v>46269</v>
      </c>
      <c r="L374" s="2" t="inlineStr">
        <is>
          <t>AFS-DCM</t>
        </is>
      </c>
      <c r="M374" s="2" t="n">
        <v>2.62</v>
      </c>
    </row>
    <row r="375">
      <c r="A375" s="2" t="n">
        <v>50621</v>
      </c>
      <c r="B375" s="2" t="inlineStr">
        <is>
          <t>B</t>
        </is>
      </c>
      <c r="C375" s="2" t="inlineStr">
        <is>
          <t>TD2333118</t>
        </is>
      </c>
      <c r="D375" s="2" t="inlineStr">
        <is>
          <t>CK_AGRIBAN</t>
        </is>
      </c>
      <c r="E375" s="2" t="n">
        <v>4.1</v>
      </c>
      <c r="F375" s="5" t="n">
        <v>310000</v>
      </c>
      <c r="G375" s="2" t="n">
        <v>100000</v>
      </c>
      <c r="H375" s="5" t="n">
        <v>34386750000</v>
      </c>
      <c r="I375" s="2" t="inlineStr"/>
      <c r="J375" s="4" t="n">
        <v>46280</v>
      </c>
      <c r="K375" s="4" t="n">
        <v>46269</v>
      </c>
      <c r="L375" s="2" t="inlineStr">
        <is>
          <t>AFS-DCM</t>
        </is>
      </c>
      <c r="M375" s="2" t="n">
        <v>2.6235</v>
      </c>
    </row>
  </sheetData>
  <autoFilter ref="A1:M3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26" customWidth="1" min="3" max="3"/>
  </cols>
  <sheetData>
    <row r="1">
      <c r="A1" s="1" t="inlineStr">
        <is>
          <t>Noi dung</t>
        </is>
      </c>
      <c r="B1" s="1" t="inlineStr">
        <is>
          <t>Cong thuc tinh song</t>
        </is>
      </c>
      <c r="C1" s="1" t="inlineStr">
        <is>
          <t>Phai ra</t>
        </is>
      </c>
    </row>
    <row r="2">
      <c r="A2" s="1" t="inlineStr">
        <is>
          <t>A. TONG QUAT</t>
        </is>
      </c>
      <c r="C2" s="2" t="inlineStr"/>
    </row>
    <row r="3">
      <c r="A3" s="2" t="inlineStr">
        <is>
          <t>So cap da ghep</t>
        </is>
      </c>
      <c r="B3" s="2">
        <f>COUNTA('Cap deal'!A2:A199)</f>
        <v/>
      </c>
      <c r="C3" s="2" t="inlineStr">
        <is>
          <t>198</t>
        </is>
      </c>
    </row>
    <row r="4">
      <c r="A4" s="2" t="inlineStr">
        <is>
          <t>So chan le nguon (sau loc folder)</t>
        </is>
      </c>
      <c r="B4" s="2">
        <f>COUNTA('Chan le'!A2:A375)</f>
        <v/>
      </c>
      <c r="C4" s="2" t="inlineStr">
        <is>
          <t>374</t>
        </is>
      </c>
    </row>
    <row r="5">
      <c r="A5" s="2" t="inlineStr"/>
      <c r="C5" s="2" t="inlineStr"/>
    </row>
    <row r="6">
      <c r="A6" s="1" t="inlineStr">
        <is>
          <t>B. KHOI LUONG PHAI OFFSET HET</t>
        </is>
      </c>
      <c r="C6" s="2" t="inlineStr"/>
    </row>
    <row r="7">
      <c r="A7" s="2" t="inlineStr">
        <is>
          <t>Sum Quantity chan S</t>
        </is>
      </c>
      <c r="B7" s="5">
        <f>SUMIF('Chan le'!B2:B375,"S",'Chan le'!F2:F375)</f>
        <v/>
      </c>
      <c r="C7" s="2" t="inlineStr">
        <is>
          <t>353.844.000</t>
        </is>
      </c>
    </row>
    <row r="8">
      <c r="A8" s="2" t="inlineStr">
        <is>
          <t>Sum Quantity chan B</t>
        </is>
      </c>
      <c r="B8" s="5">
        <f>SUMIF('Chan le'!B2:B375,"B",'Chan le'!F2:F375)</f>
        <v/>
      </c>
      <c r="C8" s="2" t="inlineStr">
        <is>
          <t>phai BANG dong tren</t>
        </is>
      </c>
    </row>
    <row r="9">
      <c r="A9" s="2" t="inlineStr">
        <is>
          <t>Lech</t>
        </is>
      </c>
      <c r="B9" s="2">
        <f>B6-B7</f>
        <v/>
      </c>
      <c r="C9" s="2" t="inlineStr">
        <is>
          <t>0</t>
        </is>
      </c>
    </row>
    <row r="10">
      <c r="A10" s="2" t="inlineStr"/>
      <c r="C10" s="2" t="inlineStr"/>
    </row>
    <row r="11">
      <c r="A11" s="1" t="inlineStr">
        <is>
          <t>C. LAI/LO - TIE HAI CHIEU</t>
        </is>
      </c>
      <c r="C11" s="2" t="inlineStr"/>
    </row>
    <row r="12">
      <c r="A12" s="2" t="inlineStr">
        <is>
          <t>Tu CHAN LE:  Sum Gross(S) - Sum Gross(B)</t>
        </is>
      </c>
      <c r="B12" s="5">
        <f>SUMIF('Chan le'!B2:B375,"S",'Chan le'!H2:H375)-SUMIF('Chan le'!B2:B375,"B",'Chan le'!H2:H375)</f>
        <v/>
      </c>
      <c r="C12" s="2" t="inlineStr">
        <is>
          <t>263.574.510.000</t>
        </is>
      </c>
    </row>
    <row r="13">
      <c r="A13" s="2" t="inlineStr">
        <is>
          <t>Tu CAP DEAL: Sum cot Lai/lo (VND)</t>
        </is>
      </c>
      <c r="B13" s="5">
        <f>SUM('Cap deal'!O2:O199)</f>
        <v/>
      </c>
      <c r="C13" s="2" t="inlineStr">
        <is>
          <t>phai BANG dong tren</t>
        </is>
      </c>
    </row>
    <row r="14">
      <c r="A14" s="2" t="inlineStr">
        <is>
          <t>Lech</t>
        </is>
      </c>
      <c r="B14" s="2">
        <f>B11-B12</f>
        <v/>
      </c>
      <c r="C14" s="2" t="inlineStr">
        <is>
          <t>0  &lt;- khac 0 la co van de</t>
        </is>
      </c>
    </row>
    <row r="15">
      <c r="A15" s="2" t="inlineStr"/>
      <c r="C15" s="2" t="inlineStr"/>
    </row>
    <row r="16">
      <c r="A16" s="1" t="inlineStr">
        <is>
          <t>D. MENH GIA</t>
        </is>
      </c>
      <c r="C16" s="2" t="inlineStr"/>
    </row>
    <row r="17">
      <c r="A17" s="2" t="inlineStr">
        <is>
          <t>Tu CHAN LE:  Sum Quantity(S) x FaceValue / 1e9</t>
        </is>
      </c>
      <c r="B17" s="5">
        <f>SUMIF('Chan le'!B2:B375,"S",'Chan le'!F2:F375)*100000/1000000000</f>
        <v/>
      </c>
      <c r="C17" s="2" t="inlineStr">
        <is>
          <t>35.384,4 ty</t>
        </is>
      </c>
    </row>
    <row r="18">
      <c r="A18" s="2" t="inlineStr">
        <is>
          <t>Tu CAP DEAL: Sum cot Menh gia</t>
        </is>
      </c>
      <c r="B18" s="2">
        <f>SUM('Cap deal'!F2:F199)</f>
        <v/>
      </c>
      <c r="C18" s="2" t="inlineStr">
        <is>
          <t>phai BANG dong tren</t>
        </is>
      </c>
    </row>
    <row r="19">
      <c r="A19" s="2" t="inlineStr">
        <is>
          <t>Lech</t>
        </is>
      </c>
      <c r="B19" s="2">
        <f>B16-B17</f>
        <v/>
      </c>
      <c r="C19" s="2" t="inlineStr">
        <is>
          <t>0</t>
        </is>
      </c>
    </row>
    <row r="20">
      <c r="A20" s="2" t="inlineStr"/>
      <c r="C20" s="2" t="inlineStr"/>
    </row>
    <row r="21">
      <c r="A21" s="1" t="inlineStr">
        <is>
          <t>E. PHAN BO 4 NHOM (so cap)</t>
        </is>
      </c>
      <c r="C21" s="2" t="inlineStr"/>
    </row>
    <row r="22">
      <c r="A22" s="2" t="inlineStr">
        <is>
          <t>Vay tien</t>
        </is>
      </c>
      <c r="B22" s="2">
        <f>COUNTIF('Cap deal'!S2:S199,"Vay tien")</f>
        <v/>
      </c>
      <c r="C22" s="2" t="inlineStr">
        <is>
          <t>102</t>
        </is>
      </c>
    </row>
    <row r="23">
      <c r="A23" s="2" t="inlineStr">
        <is>
          <t>Cho vay bond</t>
        </is>
      </c>
      <c r="B23" s="2">
        <f>COUNTIF('Cap deal'!S2:S199,"Cho vay bond")</f>
        <v/>
      </c>
      <c r="C23" s="2" t="inlineStr">
        <is>
          <t>59</t>
        </is>
      </c>
    </row>
    <row r="24">
      <c r="A24" s="2" t="inlineStr">
        <is>
          <t>Cho vay tien</t>
        </is>
      </c>
      <c r="B24" s="2">
        <f>COUNTIF('Cap deal'!S2:S199,"Cho vay tien")</f>
        <v/>
      </c>
      <c r="C24" s="2" t="inlineStr">
        <is>
          <t>37</t>
        </is>
      </c>
    </row>
    <row r="25">
      <c r="A25" s="2" t="inlineStr">
        <is>
          <t>Vay bond</t>
        </is>
      </c>
      <c r="B25" s="2">
        <f>COUNTIF('Cap deal'!S2:S199,"Vay bond")</f>
        <v/>
      </c>
      <c r="C25" s="2" t="inlineStr">
        <is>
          <t>0</t>
        </is>
      </c>
    </row>
    <row r="26">
      <c r="A26" s="2" t="inlineStr">
        <is>
          <t>Tong</t>
        </is>
      </c>
      <c r="B26" s="2">
        <f>SUM(B21:B24)</f>
        <v/>
      </c>
      <c r="C26" s="2" t="inlineStr">
        <is>
          <t>198</t>
        </is>
      </c>
    </row>
    <row r="27">
      <c r="A27" s="2" t="inlineStr"/>
      <c r="C27" s="2" t="inlineStr"/>
    </row>
    <row r="28">
      <c r="A28" s="1" t="inlineStr">
        <is>
          <t>F. KIEM TRA LOGIC PHAN LOAI (dem dong SAI, phai = 0)</t>
        </is>
      </c>
      <c r="C28" s="2" t="inlineStr"/>
    </row>
    <row r="29">
      <c r="A29" s="2" t="inlineStr">
        <is>
          <t>Sell truoc + am  ma KHONG phai "Vay tien"</t>
        </is>
      </c>
      <c r="B29" s="2">
        <f>SUMPRODUCT(('Cap deal'!G2:G199="Sell (repo)")*('Cap deal'!O2:O199&lt;0)*('Cap deal'!S2:S199&lt;&gt;"Vay tien"))</f>
        <v/>
      </c>
      <c r="C29" s="2" t="inlineStr">
        <is>
          <t>0</t>
        </is>
      </c>
    </row>
    <row r="30">
      <c r="A30" s="2" t="inlineStr">
        <is>
          <t>Sell truoc + duong ma KHONG phai "Cho vay bond"</t>
        </is>
      </c>
      <c r="B30" s="2">
        <f>SUMPRODUCT(('Cap deal'!G2:G199="Sell (repo)")*('Cap deal'!O2:O199&gt;0)*('Cap deal'!S2:S199&lt;&gt;"Cho vay bond"))</f>
        <v/>
      </c>
      <c r="C30" s="2" t="inlineStr">
        <is>
          <t>0</t>
        </is>
      </c>
    </row>
    <row r="31">
      <c r="A31" s="2" t="inlineStr">
        <is>
          <t>Buy truoc + duong ma KHONG phai "Cho vay tien"</t>
        </is>
      </c>
      <c r="B31" s="2">
        <f>SUMPRODUCT(('Cap deal'!G2:G199="Buy (reverse repo)")*('Cap deal'!O2:O199&gt;0)*('Cap deal'!S2:S199&lt;&gt;"Cho vay tien"))</f>
        <v/>
      </c>
      <c r="C31" s="2" t="inlineStr">
        <is>
          <t>0</t>
        </is>
      </c>
    </row>
    <row r="32">
      <c r="A32" s="2" t="inlineStr">
        <is>
          <t>Buy truoc + am ma KHONG phai "Vay bond"</t>
        </is>
      </c>
      <c r="B32" s="2">
        <f>SUMPRODUCT(('Cap deal'!G2:G199="Buy (reverse repo)")*('Cap deal'!O2:O199&lt;0)*('Cap deal'!S2:S199&lt;&gt;"Vay bond"))</f>
        <v/>
      </c>
      <c r="C32" s="2" t="inlineStr">
        <is>
          <t>0</t>
        </is>
      </c>
    </row>
    <row r="33">
      <c r="A33" s="2" t="inlineStr"/>
      <c r="C33" s="2" t="inlineStr"/>
    </row>
    <row r="34">
      <c r="A34" s="1" t="inlineStr">
        <is>
          <t>G. KY HAN = KHOANG CACH 2 SETTLEMENT (dem dong SAI, phai = 0)</t>
        </is>
      </c>
      <c r="C34" s="2" t="inlineStr"/>
    </row>
    <row r="35">
      <c r="A35" s="2" t="inlineStr">
        <is>
          <t>So dong lech</t>
        </is>
      </c>
      <c r="B35" s="2">
        <f>SUMPRODUCT((ABS('Cap deal'!J2:J199-'Cap deal'!I2:I199)&lt;&gt;'Cap deal'!H2:H199)*1)</f>
        <v/>
      </c>
      <c r="C35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2026-09-07T07:21:23Z</dcterms:created>
  <dcterms:modified xsi:type="dcterms:W3CDTF">2026-09-07T07:21:23Z</dcterms:modified>
</cp:coreProperties>
</file>