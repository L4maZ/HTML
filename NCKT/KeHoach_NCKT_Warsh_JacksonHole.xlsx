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Phân công" sheetId="2" state="visible" r:id="rId2"/>
    <sheet xmlns:r="http://schemas.openxmlformats.org/officeDocument/2006/relationships" name="Đầu mục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Chạy buổ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9"/>
    </font>
    <font>
      <name val="Arial"/>
      <b val="1"/>
    </font>
    <font>
      <name val="Arial"/>
    </font>
    <font>
      <name val="Arial"/>
      <b val="1"/>
      <color rgb="000000FF"/>
    </font>
    <font>
      <name val="Arial"/>
      <b val="1"/>
      <color rgb="00C0392B"/>
    </font>
    <font>
      <name val="Arial"/>
      <b val="1"/>
      <color rgb="00FFFFFF"/>
    </font>
    <font>
      <name val="Arial"/>
      <i val="1"/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2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166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/>
    </xf>
    <xf numFmtId="0" fontId="7" fillId="5" borderId="0" pivotButton="0" quotePrefix="0" xfId="0"/>
    <xf numFmtId="0" fontId="0" fillId="5" borderId="0" pivotButton="0" quotePrefix="0" xfId="0"/>
    <xf numFmtId="0" fontId="3" fillId="0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NCKT THÁNG 9/2026 — Bài phát biểu Jackson Hole của Kevin Warsh</t>
        </is>
      </c>
    </row>
    <row r="2">
      <c r="A2" s="2" t="inlineStr">
        <is>
          <t>Ô nền vàng là ô nhập liệu. Mọi mốc thời gian ở sheet Timeline tính tự động từ ngày họp.</t>
        </is>
      </c>
    </row>
    <row r="4">
      <c r="A4" s="3" t="inlineStr">
        <is>
          <t>Chủ đề</t>
        </is>
      </c>
      <c r="B4" s="4" t="inlineStr">
        <is>
          <t>"In Our Time" — Kevin Warsh, Jackson Hole, 28/08/2026</t>
        </is>
      </c>
    </row>
    <row r="5">
      <c r="A5" s="3" t="inlineStr">
        <is>
          <t>Văn bản nền</t>
        </is>
      </c>
      <c r="B5" s="4" t="inlineStr">
        <is>
          <t>260828_In_Our_Time_BanDich_CoDanY_v2.docx (bản dịch tiếng Việt, 28 đầu mục)</t>
        </is>
      </c>
    </row>
    <row r="6">
      <c r="A6" s="3" t="inlineStr">
        <is>
          <t>Ngày họp</t>
        </is>
      </c>
      <c r="B6" s="5" t="n">
        <v>46279</v>
      </c>
    </row>
    <row r="7">
      <c r="A7" s="3" t="inlineStr">
        <is>
          <t>Thời lượng</t>
        </is>
      </c>
      <c r="B7" s="4" t="inlineStr">
        <is>
          <t>60–70 phút</t>
        </is>
      </c>
    </row>
    <row r="8">
      <c r="A8" s="3" t="inlineStr">
        <is>
          <t>Số người trình bày</t>
        </is>
      </c>
      <c r="B8" s="4" t="n">
        <v>7</v>
      </c>
    </row>
    <row r="9">
      <c r="A9" s="3" t="inlineStr">
        <is>
          <t>Điều phối</t>
        </is>
      </c>
      <c r="B9" s="4" t="inlineStr">
        <is>
          <t>Jak</t>
        </is>
      </c>
    </row>
    <row r="10">
      <c r="A10" s="3" t="inlineStr">
        <is>
          <t>Ghi chép</t>
        </is>
      </c>
      <c r="B10" s="4" t="inlineStr">
        <is>
          <t>Không cần — Teams record + Copilot</t>
        </is>
      </c>
    </row>
    <row r="11">
      <c r="A11" s="3" t="inlineStr">
        <is>
          <t>Định dạng mỗi phần</t>
        </is>
      </c>
      <c r="B11" s="4" t="inlineStr">
        <is>
          <t>1–2 slide, ~5 phút</t>
        </is>
      </c>
    </row>
    <row r="12">
      <c r="A12" s="3" t="inlineStr">
        <is>
          <t>Trần thời gian chuẩn bị</t>
        </is>
      </c>
      <c r="B12" s="4" t="inlineStr">
        <is>
          <t>3 giờ/người (trần, không bắt buộc)</t>
        </is>
      </c>
    </row>
    <row r="14">
      <c r="A14" s="6" t="inlineStr">
        <is>
          <t>MỤC TIÊU</t>
        </is>
      </c>
    </row>
    <row r="15">
      <c r="B15" s="4" t="inlineStr">
        <is>
          <t>• Mỗi người nắm và trình bày được một phần của bài phát biểu.</t>
        </is>
      </c>
    </row>
    <row r="16">
      <c r="B16" s="4" t="inlineStr">
        <is>
          <t>• Rút ra điểm sáng theo format: sự kiện/kết quả → hệ quả.</t>
        </is>
      </c>
    </row>
    <row r="17">
      <c r="B17" s="4" t="inlineStr">
        <is>
          <t>• Liên hệ tác động tới toàn cầu và Việt Nam/MSB.</t>
        </is>
      </c>
    </row>
    <row r="18">
      <c r="B18" s="4" t="inlineStr">
        <is>
          <t>• Trả lời các câu hỏi Warsh tự đặt ra trong bài.</t>
        </is>
      </c>
    </row>
    <row r="20">
      <c r="A20" s="6" t="inlineStr">
        <is>
          <t>LƯU Ý THỜI GIAN</t>
        </is>
      </c>
    </row>
    <row r="21" ht="30" customHeight="1">
      <c r="B21" s="7" t="inlineStr">
        <is>
          <t>• FOMC họp 15–16/09/2026 và ra dot plot mới. Buổi này đặt ngày 14/09 để phản ứng thị trường với bài Warsh chưa bị cuộc họp đè lên.</t>
        </is>
      </c>
    </row>
    <row r="22" ht="45" customHeight="1">
      <c r="B22" s="7" t="inlineStr">
        <is>
          <t>• Hệ quả: cửa sổ chuẩn bị chỉ có 11/09 + cuối tuần. Nếu không kịp, dời sang sau 16/09 và đổi phần mở đầu thành "thị trường định giá gì sau Warsh → FOMC 16/09 xác nhận hay bác bỏ".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46" customWidth="1" min="4" max="4"/>
    <col width="7" customWidth="1" min="5" max="5"/>
    <col width="7" customWidth="1" min="6" max="6"/>
    <col width="7" customWidth="1" min="7" max="7"/>
    <col width="50" customWidth="1" min="8" max="8"/>
    <col width="13" customWidth="1" min="9" max="9"/>
  </cols>
  <sheetData>
    <row r="1">
      <c r="A1" s="1" t="inlineStr">
        <is>
          <t>PHÂN CÔNG 7 NGƯỜI</t>
        </is>
      </c>
    </row>
    <row r="2">
      <c r="A2" s="2" t="inlineStr">
        <is>
          <t>Cột "Số đoạn"/"Số từ" đếm trực tiếp từ file Word. Đếm đầu mục không phản ánh tải — xem cột Số từ.</t>
        </is>
      </c>
    </row>
    <row r="4" ht="30" customHeight="1">
      <c r="A4" s="8" t="inlineStr">
        <is>
          <t>STT</t>
        </is>
      </c>
      <c r="B4" s="8" t="inlineStr">
        <is>
          <t>Người</t>
        </is>
      </c>
      <c r="C4" s="8" t="inlineStr">
        <is>
          <t>Nghiệp vụ</t>
        </is>
      </c>
      <c r="D4" s="8" t="inlineStr">
        <is>
          <t>Đầu mục phụ trách</t>
        </is>
      </c>
      <c r="E4" s="8" t="inlineStr">
        <is>
          <t>Số
đầu mục</t>
        </is>
      </c>
      <c r="F4" s="8" t="inlineStr">
        <is>
          <t>Số
đoạn</t>
        </is>
      </c>
      <c r="G4" s="8" t="inlineStr">
        <is>
          <t>Số
từ</t>
        </is>
      </c>
      <c r="H4" s="8" t="inlineStr">
        <is>
          <t>Tài liệu ngoài cần đọc</t>
        </is>
      </c>
      <c r="I4" s="8" t="inlineStr">
        <is>
          <t>Hạn nộp slide</t>
        </is>
      </c>
    </row>
    <row r="5" ht="32" customHeight="1">
      <c r="A5" s="9" t="n">
        <v>1</v>
      </c>
      <c r="B5" s="10" t="inlineStr">
        <is>
          <t>Jak</t>
        </is>
      </c>
      <c r="C5" s="10" t="inlineStr">
        <is>
          <t>MR – Bond</t>
        </is>
      </c>
      <c r="D5" s="10" t="inlineStr">
        <is>
          <t>0.1; 1.1 – 1.2</t>
        </is>
      </c>
      <c r="E5" s="9" t="n">
        <v>2</v>
      </c>
      <c r="F5" s="9" t="n">
        <v>6</v>
      </c>
      <c r="G5" s="9" t="n">
        <v>339</v>
      </c>
      <c r="H5" s="10" t="inlineStr">
        <is>
          <t>—</t>
        </is>
      </c>
      <c r="I5" s="11">
        <f>Timeline!C8</f>
        <v/>
      </c>
    </row>
    <row r="6" ht="32" customHeight="1">
      <c r="A6" s="9" t="n">
        <v>2</v>
      </c>
      <c r="B6" s="10" t="inlineStr">
        <is>
          <t>Jak</t>
        </is>
      </c>
      <c r="C6" s="10" t="inlineStr">
        <is>
          <t>Điều phối</t>
        </is>
      </c>
      <c r="D6" s="10" t="inlineStr">
        <is>
          <t>1.3 (dẫn thảo luận, không trình bày)</t>
        </is>
      </c>
      <c r="E6" s="9" t="n">
        <v>1</v>
      </c>
      <c r="F6" s="9" t="n">
        <v>4</v>
      </c>
      <c r="G6" s="9" t="n">
        <v>240</v>
      </c>
      <c r="H6" s="10" t="inlineStr">
        <is>
          <t>—</t>
        </is>
      </c>
      <c r="I6" s="11">
        <f>Timeline!C8</f>
        <v/>
      </c>
    </row>
    <row r="7" ht="32" customHeight="1">
      <c r="A7" s="12" t="n">
        <v>3</v>
      </c>
      <c r="B7" s="13" t="inlineStr">
        <is>
          <t>Trà</t>
        </is>
      </c>
      <c r="C7" s="13" t="inlineStr">
        <is>
          <t>IRRBB</t>
        </is>
      </c>
      <c r="D7" s="13" t="inlineStr">
        <is>
          <t>2.1 – 2.3</t>
        </is>
      </c>
      <c r="E7" s="12" t="n">
        <v>3</v>
      </c>
      <c r="F7" s="12" t="n">
        <v>8</v>
      </c>
      <c r="G7" s="12" t="n">
        <v>628</v>
      </c>
      <c r="H7" s="13" t="inlineStr">
        <is>
          <t>—</t>
        </is>
      </c>
      <c r="I7" s="14">
        <f>Timeline!C8</f>
        <v/>
      </c>
    </row>
    <row r="8" ht="32" customHeight="1">
      <c r="A8" s="12" t="n">
        <v>4</v>
      </c>
      <c r="B8" s="13" t="inlineStr">
        <is>
          <t>Quỳnh</t>
        </is>
      </c>
      <c r="C8" s="13" t="inlineStr">
        <is>
          <t>MR – FXDR</t>
        </is>
      </c>
      <c r="D8" s="13" t="inlineStr">
        <is>
          <t>2.4 – 2.6</t>
        </is>
      </c>
      <c r="E8" s="12" t="n">
        <v>3</v>
      </c>
      <c r="F8" s="12" t="n">
        <v>10</v>
      </c>
      <c r="G8" s="12" t="n">
        <v>603</v>
      </c>
      <c r="H8" s="13" t="inlineStr">
        <is>
          <t>—</t>
        </is>
      </c>
      <c r="I8" s="14">
        <f>Timeline!C8</f>
        <v/>
      </c>
    </row>
    <row r="9" ht="32" customHeight="1">
      <c r="A9" s="12" t="n">
        <v>5</v>
      </c>
      <c r="B9" s="13" t="inlineStr">
        <is>
          <t>Phương</t>
        </is>
      </c>
      <c r="C9" s="13" t="inlineStr">
        <is>
          <t>LR</t>
        </is>
      </c>
      <c r="D9" s="13" t="inlineStr">
        <is>
          <t>3.1 – 3.6</t>
        </is>
      </c>
      <c r="E9" s="12" t="n">
        <v>6</v>
      </c>
      <c r="F9" s="12" t="n">
        <v>8</v>
      </c>
      <c r="G9" s="12" t="n">
        <v>639</v>
      </c>
      <c r="H9" s="13" t="inlineStr">
        <is>
          <t>—</t>
        </is>
      </c>
      <c r="I9" s="14">
        <f>Timeline!C8</f>
        <v/>
      </c>
    </row>
    <row r="10" ht="32" customHeight="1">
      <c r="A10" s="12" t="n">
        <v>6</v>
      </c>
      <c r="B10" s="13" t="inlineStr">
        <is>
          <t>Hạnh</t>
        </is>
      </c>
      <c r="C10" s="13" t="inlineStr">
        <is>
          <t>LR</t>
        </is>
      </c>
      <c r="D10" s="13" t="inlineStr">
        <is>
          <t>4.1 – 4.3</t>
        </is>
      </c>
      <c r="E10" s="12" t="n">
        <v>3</v>
      </c>
      <c r="F10" s="12" t="n">
        <v>7</v>
      </c>
      <c r="G10" s="12" t="n">
        <v>404</v>
      </c>
      <c r="H10" s="13" t="inlineStr">
        <is>
          <t>—</t>
        </is>
      </c>
      <c r="I10" s="14">
        <f>Timeline!C8</f>
        <v/>
      </c>
    </row>
    <row r="11" ht="32" customHeight="1">
      <c r="A11" s="12" t="n">
        <v>7</v>
      </c>
      <c r="B11" s="13" t="inlineStr">
        <is>
          <t>Trang</t>
        </is>
      </c>
      <c r="C11" s="13" t="inlineStr">
        <is>
          <t>LR</t>
        </is>
      </c>
      <c r="D11" s="13" t="inlineStr">
        <is>
          <t>4.4 – 4.5</t>
        </is>
      </c>
      <c r="E11" s="12" t="n">
        <v>2</v>
      </c>
      <c r="F11" s="12" t="n">
        <v>6</v>
      </c>
      <c r="G11" s="12" t="n">
        <v>465</v>
      </c>
      <c r="H11" s="13" t="inlineStr">
        <is>
          <t>SLOOS tháng 7 — chỉ bảng tóm tắt trang 1</t>
        </is>
      </c>
      <c r="I11" s="14">
        <f>Timeline!C8</f>
        <v/>
      </c>
    </row>
    <row r="12" ht="32" customHeight="1">
      <c r="A12" s="12" t="n">
        <v>8</v>
      </c>
      <c r="B12" s="13" t="inlineStr">
        <is>
          <t>Thảo</t>
        </is>
      </c>
      <c r="C12" s="13" t="inlineStr">
        <is>
          <t>MR</t>
        </is>
      </c>
      <c r="D12" s="13" t="inlineStr">
        <is>
          <t>4.6 – 4.9</t>
        </is>
      </c>
      <c r="E12" s="12" t="n">
        <v>4</v>
      </c>
      <c r="F12" s="12" t="n">
        <v>13</v>
      </c>
      <c r="G12" s="12" t="n">
        <v>742</v>
      </c>
      <c r="H12" s="13" t="inlineStr">
        <is>
          <t>—</t>
        </is>
      </c>
      <c r="I12" s="14">
        <f>Timeline!C8</f>
        <v/>
      </c>
    </row>
    <row r="13" ht="32" customHeight="1">
      <c r="A13" s="9" t="n">
        <v>9</v>
      </c>
      <c r="B13" s="10" t="inlineStr">
        <is>
          <t>Jak</t>
        </is>
      </c>
      <c r="C13" s="10" t="inlineStr">
        <is>
          <t>Điều phối</t>
        </is>
      </c>
      <c r="D13" s="10" t="inlineStr">
        <is>
          <t>5.1 + chốt buổi</t>
        </is>
      </c>
      <c r="E13" s="9" t="n">
        <v>1</v>
      </c>
      <c r="F13" s="9" t="n">
        <v>1</v>
      </c>
      <c r="G13" s="9" t="n">
        <v>24</v>
      </c>
      <c r="H13" s="10" t="inlineStr">
        <is>
          <t>—</t>
        </is>
      </c>
      <c r="I13" s="11">
        <f>Timeline!C8</f>
        <v/>
      </c>
    </row>
    <row r="14" ht="60" customHeight="1">
      <c r="A14" s="9" t="n">
        <v>10</v>
      </c>
      <c r="B14" s="10" t="inlineStr">
        <is>
          <t>Jak</t>
        </is>
      </c>
      <c r="C14" s="10" t="inlineStr">
        <is>
          <t>Điều phối</t>
        </is>
      </c>
      <c r="D14" s="10" t="inlineStr">
        <is>
          <t>Overview + phản ứng thị trường sau 28/08 + 4.1 (biên bản FOMC tháng 7)</t>
        </is>
      </c>
      <c r="E14" s="9" t="n">
        <v>1</v>
      </c>
      <c r="F14" s="9" t="n">
        <v>2</v>
      </c>
      <c r="G14" s="9" t="n">
        <v>138</v>
      </c>
      <c r="H14" s="10" t="inlineStr">
        <is>
          <t>Biên bản FOMC 28–29/07: mục "Participants' Views", 3 đoạn đầu (~2 trang).
Fed funds futures / UST / DXY quanh 28/08 (cần Bloomberg hoặc Refinitiv)</t>
        </is>
      </c>
      <c r="I14" s="11">
        <f>Timeline!C8</f>
        <v/>
      </c>
    </row>
    <row r="15">
      <c r="D15" s="3" t="inlineStr">
        <is>
          <t>TỔNG</t>
        </is>
      </c>
      <c r="E15" s="15">
        <f>SUM(E5:E14)</f>
        <v/>
      </c>
      <c r="F15" s="15">
        <f>SUM(F5:F14)</f>
        <v/>
      </c>
      <c r="G15" s="15">
        <f>SUM(G5:G14)</f>
        <v/>
      </c>
    </row>
    <row r="17">
      <c r="A17" s="2" t="inlineStr">
        <is>
          <t>Ghi chú: 5.2 (13 đoạn) là phần đuôi file — lời cảm ơn của Warsh + ghi chú thuật ngữ của người dịch. Không phân công, không trình bày như nội dung bài.</t>
        </is>
      </c>
    </row>
    <row r="18">
      <c r="A18" s="2" t="inlineStr">
        <is>
          <t>Template gợi ý (không bắt buộc): Ý chính của phần → VN/MSB đang ở đâu → nếu Warsh đúng thì cái gì thay đổi. Phần nào có câu hỏi của Warsh thì trả lời và link theo cùng mạch.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8" customWidth="1" min="2" max="2"/>
    <col width="9" customWidth="1" min="3" max="3"/>
    <col width="9" customWidth="1" min="4" max="4"/>
    <col width="11" customWidth="1" min="5" max="5"/>
  </cols>
  <sheetData>
    <row r="1">
      <c r="A1" s="1" t="inlineStr">
        <is>
          <t>DÀN Ý CHI TIẾT — 28 ĐẦU MỤC</t>
        </is>
      </c>
    </row>
    <row r="2">
      <c r="A2" s="2" t="inlineStr">
        <is>
          <t>Khớp 1:1 với các header trong file 260828_In_Our_Time_BanDich_CoDanY_v2.docx</t>
        </is>
      </c>
    </row>
    <row r="4" ht="30" customHeight="1">
      <c r="A4" s="8" t="inlineStr">
        <is>
          <t>Mục</t>
        </is>
      </c>
      <c r="B4" s="8" t="inlineStr">
        <is>
          <t>Đầu mục</t>
        </is>
      </c>
      <c r="C4" s="8" t="inlineStr">
        <is>
          <t>Số đoạn</t>
        </is>
      </c>
      <c r="D4" s="8" t="inlineStr">
        <is>
          <t>Số từ</t>
        </is>
      </c>
      <c r="E4" s="8" t="inlineStr">
        <is>
          <t>Người</t>
        </is>
      </c>
    </row>
    <row r="5">
      <c r="A5" s="16" t="inlineStr">
        <is>
          <t>GIỚI THIỆU</t>
        </is>
      </c>
      <c r="B5" s="17" t="n"/>
      <c r="C5" s="17" t="n"/>
      <c r="D5" s="17" t="n"/>
      <c r="E5" s="17" t="n"/>
    </row>
    <row r="6">
      <c r="A6" s="18" t="inlineStr">
        <is>
          <t>0.1</t>
        </is>
      </c>
      <c r="B6" s="13" t="inlineStr">
        <is>
          <t>Dàn ý tự nêu</t>
        </is>
      </c>
      <c r="C6" s="12" t="n">
        <v>6</v>
      </c>
      <c r="D6" s="12" t="n">
        <v>175</v>
      </c>
      <c r="E6" s="12" t="inlineStr">
        <is>
          <t>—</t>
        </is>
      </c>
    </row>
    <row r="7">
      <c r="A7" s="16" t="inlineStr">
        <is>
          <t>1) AI</t>
        </is>
      </c>
      <c r="B7" s="17" t="n"/>
      <c r="C7" s="17" t="n"/>
      <c r="D7" s="17" t="n"/>
      <c r="E7" s="17" t="n"/>
    </row>
    <row r="8">
      <c r="A8" s="18" t="inlineStr">
        <is>
          <t>1.1</t>
        </is>
      </c>
      <c r="B8" s="13" t="inlineStr">
        <is>
          <t>Bối cảnh cũ đã bị đảo ngược và bằng chứng về tiến bộ của AI</t>
        </is>
      </c>
      <c r="C8" s="12" t="n">
        <v>4</v>
      </c>
      <c r="D8" s="12" t="n">
        <v>220</v>
      </c>
      <c r="E8" s="12" t="inlineStr">
        <is>
          <t>Jak</t>
        </is>
      </c>
    </row>
    <row r="9">
      <c r="A9" s="18" t="inlineStr">
        <is>
          <t>1.2</t>
        </is>
      </c>
      <c r="B9" s="13" t="inlineStr">
        <is>
          <t>Cơ chế kinh tế của AI và vị trí trong tư duy của Fed</t>
        </is>
      </c>
      <c r="C9" s="12" t="n">
        <v>2</v>
      </c>
      <c r="D9" s="12" t="n">
        <v>119</v>
      </c>
      <c r="E9" s="12" t="inlineStr">
        <is>
          <t>Jak</t>
        </is>
      </c>
    </row>
    <row r="10">
      <c r="A10" s="18" t="inlineStr">
        <is>
          <t>1.3</t>
        </is>
      </c>
      <c r="B10" s="13" t="inlineStr">
        <is>
          <t>Bốn câu hỏi lớn</t>
        </is>
      </c>
      <c r="C10" s="12" t="n">
        <v>4</v>
      </c>
      <c r="D10" s="12" t="n">
        <v>240</v>
      </c>
      <c r="E10" s="12" t="inlineStr">
        <is>
          <t>Jak</t>
        </is>
      </c>
    </row>
    <row r="11">
      <c r="A11" s="18" t="inlineStr">
        <is>
          <t>1.4</t>
        </is>
      </c>
      <c r="B11" s="13" t="inlineStr">
        <is>
          <t>Tổ chức nghiên cứu và giới hạn của nó</t>
        </is>
      </c>
      <c r="C11" s="12" t="n">
        <v>3</v>
      </c>
      <c r="D11" s="12" t="n">
        <v>121</v>
      </c>
      <c r="E11" s="12" t="inlineStr">
        <is>
          <t>—</t>
        </is>
      </c>
    </row>
    <row r="12">
      <c r="A12" s="16" t="inlineStr">
        <is>
          <t>2) FORWARD GUIDANCE; CENTRAL BANK AND FINANCIAL MARKET</t>
        </is>
      </c>
      <c r="B12" s="17" t="n"/>
      <c r="C12" s="17" t="n"/>
      <c r="D12" s="17" t="n"/>
      <c r="E12" s="17" t="n"/>
    </row>
    <row r="13">
      <c r="A13" s="18" t="inlineStr">
        <is>
          <t>2.1</t>
        </is>
      </c>
      <c r="B13" s="13" t="inlineStr">
        <is>
          <t>Tuyên bố đã hành động và nguyên tắc gốc về truyền thông</t>
        </is>
      </c>
      <c r="C13" s="12" t="n">
        <v>2</v>
      </c>
      <c r="D13" s="12" t="n">
        <v>139</v>
      </c>
      <c r="E13" s="12" t="inlineStr">
        <is>
          <t>Trà</t>
        </is>
      </c>
    </row>
    <row r="14">
      <c r="A14" s="18" t="inlineStr">
        <is>
          <t>2.2</t>
        </is>
      </c>
      <c r="B14" s="13" t="inlineStr">
        <is>
          <t>Lịch sử của công cụ và vai trò đúng trong điều kiện bình thường</t>
        </is>
      </c>
      <c r="C14" s="12" t="n">
        <v>2</v>
      </c>
      <c r="D14" s="12" t="n">
        <v>193</v>
      </c>
      <c r="E14" s="12" t="inlineStr">
        <is>
          <t>Trà</t>
        </is>
      </c>
    </row>
    <row r="15">
      <c r="A15" s="18" t="inlineStr">
        <is>
          <t>2.3</t>
        </is>
      </c>
      <c r="B15" s="13" t="inlineStr">
        <is>
          <t>Quan hệ hai chiều Fed – thị trường và vị thế của Fed</t>
        </is>
      </c>
      <c r="C15" s="12" t="n">
        <v>4</v>
      </c>
      <c r="D15" s="12" t="n">
        <v>296</v>
      </c>
      <c r="E15" s="12" t="inlineStr">
        <is>
          <t>Trà</t>
        </is>
      </c>
    </row>
    <row r="16">
      <c r="A16" s="18" t="inlineStr">
        <is>
          <t>2.4</t>
        </is>
      </c>
      <c r="B16" s="13" t="inlineStr">
        <is>
          <t>“Vấn đề căn phòng gương” và ai chịu chi phí</t>
        </is>
      </c>
      <c r="C16" s="12" t="n">
        <v>2</v>
      </c>
      <c r="D16" s="12" t="n">
        <v>179</v>
      </c>
      <c r="E16" s="12" t="inlineStr">
        <is>
          <t>Quỳnh</t>
        </is>
      </c>
    </row>
    <row r="17">
      <c r="A17" s="18" t="inlineStr">
        <is>
          <t>2.5</t>
        </is>
      </c>
      <c r="B17" s="13" t="inlineStr">
        <is>
          <t>Câu hỏi về hàm phản ứng (reaction function) và lý do từ chối</t>
        </is>
      </c>
      <c r="C17" s="12" t="n">
        <v>3</v>
      </c>
      <c r="D17" s="12" t="n">
        <v>206</v>
      </c>
      <c r="E17" s="12" t="inlineStr">
        <is>
          <t>Quỳnh</t>
        </is>
      </c>
    </row>
    <row r="18">
      <c r="A18" s="18" t="inlineStr">
        <is>
          <t>2.6</t>
        </is>
      </c>
      <c r="B18" s="13" t="inlineStr">
        <is>
          <t>Hướng đi thay thế</t>
        </is>
      </c>
      <c r="C18" s="12" t="n">
        <v>5</v>
      </c>
      <c r="D18" s="12" t="n">
        <v>218</v>
      </c>
      <c r="E18" s="12" t="inlineStr">
        <is>
          <t>Quỳnh</t>
        </is>
      </c>
    </row>
    <row r="19">
      <c r="A19" s="16" t="inlineStr">
        <is>
          <t>3) MONETARY POLICY</t>
        </is>
      </c>
      <c r="B19" s="17" t="n"/>
      <c r="C19" s="17" t="n"/>
      <c r="D19" s="17" t="n"/>
      <c r="E19" s="17" t="n"/>
    </row>
    <row r="20">
      <c r="A20" s="18" t="inlineStr">
        <is>
          <t>3.1</t>
        </is>
      </c>
      <c r="B20" s="13" t="inlineStr">
        <is>
          <t>Nguyên tắc thứ nhất: dữ liệu</t>
        </is>
      </c>
      <c r="C20" s="12" t="n">
        <v>1</v>
      </c>
      <c r="D20" s="12" t="n">
        <v>138</v>
      </c>
      <c r="E20" s="12" t="inlineStr">
        <is>
          <t>Phương</t>
        </is>
      </c>
    </row>
    <row r="21">
      <c r="A21" s="18" t="inlineStr">
        <is>
          <t>3.2</t>
        </is>
      </c>
      <c r="B21" s="13" t="inlineStr">
        <is>
          <t>Nguyên tắc thứ hai: tổng cung</t>
        </is>
      </c>
      <c r="C21" s="12" t="n">
        <v>1</v>
      </c>
      <c r="D21" s="12" t="n">
        <v>90</v>
      </c>
      <c r="E21" s="12" t="inlineStr">
        <is>
          <t>Phương</t>
        </is>
      </c>
    </row>
    <row r="22">
      <c r="A22" s="18" t="inlineStr">
        <is>
          <t>3.3</t>
        </is>
      </c>
      <c r="B22" s="13" t="inlineStr">
        <is>
          <t>Nguyên tắc thứ ba: mục tiêu 2%</t>
        </is>
      </c>
      <c r="C22" s="12" t="n">
        <v>1</v>
      </c>
      <c r="D22" s="12" t="n">
        <v>85</v>
      </c>
      <c r="E22" s="12" t="inlineStr">
        <is>
          <t>Phương</t>
        </is>
      </c>
    </row>
    <row r="23">
      <c r="A23" s="18" t="inlineStr">
        <is>
          <t>3.4</t>
        </is>
      </c>
      <c r="B23" s="13" t="inlineStr">
        <is>
          <t>Nguyên tắc thứ tư: nhiệm vụ kép</t>
        </is>
      </c>
      <c r="C23" s="12" t="n">
        <v>1</v>
      </c>
      <c r="D23" s="12" t="n">
        <v>71</v>
      </c>
      <c r="E23" s="12" t="inlineStr">
        <is>
          <t>Phương</t>
        </is>
      </c>
    </row>
    <row r="24">
      <c r="A24" s="18" t="inlineStr">
        <is>
          <t>3.5</t>
        </is>
      </c>
      <c r="B24" s="13" t="inlineStr">
        <is>
          <t>Nguyên tắc thứ năm: công cụ</t>
        </is>
      </c>
      <c r="C24" s="12" t="n">
        <v>1</v>
      </c>
      <c r="D24" s="12" t="n">
        <v>56</v>
      </c>
      <c r="E24" s="12" t="inlineStr">
        <is>
          <t>Phương</t>
        </is>
      </c>
    </row>
    <row r="25">
      <c r="A25" s="18" t="inlineStr">
        <is>
          <t>3.6</t>
        </is>
      </c>
      <c r="B25" s="13" t="inlineStr">
        <is>
          <t>Nguyên tắc thứ sáu: tiền tệ</t>
        </is>
      </c>
      <c r="C25" s="12" t="n">
        <v>3</v>
      </c>
      <c r="D25" s="12" t="n">
        <v>199</v>
      </c>
      <c r="E25" s="12" t="inlineStr">
        <is>
          <t>Phương</t>
        </is>
      </c>
    </row>
    <row r="26">
      <c r="A26" s="16" t="inlineStr">
        <is>
          <t>4) ASSESSMENT OF ECONOMY BY KEVIN WARSH</t>
        </is>
      </c>
      <c r="B26" s="17" t="n"/>
      <c r="C26" s="17" t="n"/>
      <c r="D26" s="17" t="n"/>
      <c r="E26" s="17" t="n"/>
    </row>
    <row r="27">
      <c r="A27" s="18" t="inlineStr">
        <is>
          <t>4.1</t>
        </is>
      </c>
      <c r="B27" s="13" t="inlineStr">
        <is>
          <t>Đặt vấn đề và quan điểm nhất trí của FOMC trong biên bản tháng 7</t>
        </is>
      </c>
      <c r="C27" s="12" t="n">
        <v>2</v>
      </c>
      <c r="D27" s="12" t="n">
        <v>138</v>
      </c>
      <c r="E27" s="12" t="inlineStr">
        <is>
          <t>Hạnh</t>
        </is>
      </c>
    </row>
    <row r="28">
      <c r="A28" s="18" t="inlineStr">
        <is>
          <t>4.2</t>
        </is>
      </c>
      <c r="B28" s="13" t="inlineStr">
        <is>
          <t>Đánh giá riêng của Warsh</t>
        </is>
      </c>
      <c r="C28" s="12" t="n">
        <v>2</v>
      </c>
      <c r="D28" s="12" t="n">
        <v>63</v>
      </c>
      <c r="E28" s="12" t="inlineStr">
        <is>
          <t>Hạnh</t>
        </is>
      </c>
    </row>
    <row r="29">
      <c r="A29" s="18" t="inlineStr">
        <is>
          <t>4.3</t>
        </is>
      </c>
      <c r="B29" s="13" t="inlineStr">
        <is>
          <t>Đầu tư vốn, lợi nhuận và cảnh báo về “đạo hàm bậc hai”</t>
        </is>
      </c>
      <c r="C29" s="12" t="n">
        <v>3</v>
      </c>
      <c r="D29" s="12" t="n">
        <v>203</v>
      </c>
      <c r="E29" s="12" t="inlineStr">
        <is>
          <t>Hạnh</t>
        </is>
      </c>
    </row>
    <row r="30">
      <c r="A30" s="18" t="inlineStr">
        <is>
          <t>4.4</t>
        </is>
      </c>
      <c r="B30" s="13" t="inlineStr">
        <is>
          <t>Điều kiện tín dụng và kết luận về điều kiện tài chính</t>
        </is>
      </c>
      <c r="C30" s="12" t="n">
        <v>3</v>
      </c>
      <c r="D30" s="12" t="n">
        <v>252</v>
      </c>
      <c r="E30" s="12" t="inlineStr">
        <is>
          <t>Trang</t>
        </is>
      </c>
    </row>
    <row r="31">
      <c r="A31" s="18" t="inlineStr">
        <is>
          <t>4.5</t>
        </is>
      </c>
      <c r="B31" s="13" t="inlineStr">
        <is>
          <t>Tiêu dùng, PDFP và thị trường lao động</t>
        </is>
      </c>
      <c r="C31" s="12" t="n">
        <v>3</v>
      </c>
      <c r="D31" s="12" t="n">
        <v>213</v>
      </c>
      <c r="E31" s="12" t="inlineStr">
        <is>
          <t>Trang</t>
        </is>
      </c>
    </row>
    <row r="32">
      <c r="A32" s="18" t="inlineStr">
        <is>
          <t>4.6</t>
        </is>
      </c>
      <c r="B32" s="13" t="inlineStr">
        <is>
          <t>Lạm phát: mức độ và xác định xu hướng cơ bản</t>
        </is>
      </c>
      <c r="C32" s="12" t="n">
        <v>3</v>
      </c>
      <c r="D32" s="12" t="n">
        <v>240</v>
      </c>
      <c r="E32" s="12" t="inlineStr">
        <is>
          <t>Thảo</t>
        </is>
      </c>
    </row>
    <row r="33">
      <c r="A33" s="18" t="inlineStr">
        <is>
          <t>4.7</t>
        </is>
      </c>
      <c r="B33" s="13" t="inlineStr">
        <is>
          <t>Tiền lương và độ rộng giá (phân rã 199 cấu phần)</t>
        </is>
      </c>
      <c r="C33" s="12" t="n">
        <v>3</v>
      </c>
      <c r="D33" s="12" t="n">
        <v>164</v>
      </c>
      <c r="E33" s="12" t="inlineStr">
        <is>
          <t>Thảo</t>
        </is>
      </c>
    </row>
    <row r="34">
      <c r="A34" s="18" t="inlineStr">
        <is>
          <t>4.8</t>
        </is>
      </c>
      <c r="B34" s="13" t="inlineStr">
        <is>
          <t>Giá hàng hóa và kỳ vọng lạm phát</t>
        </is>
      </c>
      <c r="C34" s="12" t="n">
        <v>4</v>
      </c>
      <c r="D34" s="12" t="n">
        <v>241</v>
      </c>
      <c r="E34" s="12" t="inlineStr">
        <is>
          <t>Thảo</t>
        </is>
      </c>
    </row>
    <row r="35">
      <c r="A35" s="18" t="inlineStr">
        <is>
          <t>4.9</t>
        </is>
      </c>
      <c r="B35" s="13" t="inlineStr">
        <is>
          <t>Lời nhận trách nhiệm và tiêu chuẩn hành động</t>
        </is>
      </c>
      <c r="C35" s="12" t="n">
        <v>3</v>
      </c>
      <c r="D35" s="12" t="n">
        <v>97</v>
      </c>
      <c r="E35" s="12" t="inlineStr">
        <is>
          <t>Thảo</t>
        </is>
      </c>
    </row>
    <row r="36">
      <c r="A36" s="16" t="inlineStr">
        <is>
          <t>5) KẾT LUẬN</t>
        </is>
      </c>
      <c r="B36" s="17" t="n"/>
      <c r="C36" s="17" t="n"/>
      <c r="D36" s="17" t="n"/>
      <c r="E36" s="17" t="n"/>
    </row>
    <row r="37">
      <c r="A37" s="18" t="inlineStr">
        <is>
          <t>5.1</t>
        </is>
      </c>
      <c r="B37" s="13" t="inlineStr">
        <is>
          <t>Cam kết kỷ luật, không cam kết quyết định</t>
        </is>
      </c>
      <c r="C37" s="12" t="n">
        <v>1</v>
      </c>
      <c r="D37" s="12" t="n">
        <v>24</v>
      </c>
      <c r="E37" s="12" t="inlineStr">
        <is>
          <t>Jak</t>
        </is>
      </c>
    </row>
    <row r="38">
      <c r="A38" s="18" t="inlineStr">
        <is>
          <t>5.2</t>
        </is>
      </c>
      <c r="B38" s="13" t="inlineStr">
        <is>
          <t>Khuôn khổ lịch sử và ý nghĩa của chính sách tiền tệ đúng đắn</t>
        </is>
      </c>
      <c r="C38" s="12" t="n">
        <v>13</v>
      </c>
      <c r="D38" s="12" t="n">
        <v>443</v>
      </c>
      <c r="E38" s="12" t="inlineStr">
        <is>
          <t>—</t>
        </is>
      </c>
    </row>
    <row r="40">
      <c r="B40" s="2" t="inlineStr">
        <is>
          <t>3.1–3.5 mỗi mục chỉ 1 đoạn: giữ nguyên vì Warsh tự đánh số sáu nguyên tắc, gộp là phá cấu trúc gốc.</t>
        </is>
      </c>
    </row>
    <row r="41">
      <c r="B41" s="2" t="inlineStr">
        <is>
          <t>5.2 gồm cả lời cảm ơn của Warsh và ghi chú thuật ngữ của người dịch — phần ghi chú không phải lời Warsh.</t>
        </is>
      </c>
    </row>
  </sheetData>
  <mergeCells count="6">
    <mergeCell ref="A12:E12"/>
    <mergeCell ref="A26:E26"/>
    <mergeCell ref="A7:E7"/>
    <mergeCell ref="A19:E19"/>
    <mergeCell ref="A5:E5"/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7" customWidth="1" min="4" max="4"/>
    <col width="78" customWidth="1" min="5" max="5"/>
  </cols>
  <sheetData>
    <row r="1">
      <c r="A1" s="1" t="inlineStr">
        <is>
          <t>TIMELINE</t>
        </is>
      </c>
    </row>
    <row r="2">
      <c r="A2" s="2" t="inlineStr">
        <is>
          <t>Cột Ngày tính tự động từ ô Tổng quan!B6 (ngày họp).</t>
        </is>
      </c>
    </row>
    <row r="4" ht="30" customHeight="1">
      <c r="A4" s="8" t="inlineStr">
        <is>
          <t>Mốc</t>
        </is>
      </c>
      <c r="B4" s="8" t="inlineStr">
        <is>
          <t>Lệch (ngày)</t>
        </is>
      </c>
      <c r="C4" s="8" t="inlineStr">
        <is>
          <t>Ngày</t>
        </is>
      </c>
      <c r="D4" s="8" t="inlineStr">
        <is>
          <t>Thứ</t>
        </is>
      </c>
      <c r="E4" s="8" t="inlineStr">
        <is>
          <t>Việc</t>
        </is>
      </c>
    </row>
    <row r="5">
      <c r="A5" s="18" t="inlineStr">
        <is>
          <t>T-3</t>
        </is>
      </c>
      <c r="B5" s="12" t="n">
        <v>-3</v>
      </c>
      <c r="C5" s="19">
        <f>'Tổng quan'!$B$6+B5</f>
        <v/>
      </c>
      <c r="D5" s="12">
        <f>CHOOSE(WEEKDAY(C5),"CN","T2","T3","T4","T5","T6","T7")</f>
        <v/>
      </c>
      <c r="E5" s="13" t="inlineStr">
        <is>
          <t>Jak gửi mail: bối cảnh bài Warsh, phản ứng thị trường sau 28/08, link file Word + bảng phân công</t>
        </is>
      </c>
    </row>
    <row r="6">
      <c r="A6" s="18" t="inlineStr">
        <is>
          <t>T-3</t>
        </is>
      </c>
      <c r="B6" s="12" t="n">
        <v>-3</v>
      </c>
      <c r="C6" s="19">
        <f>'Tổng quan'!$B$6+B6</f>
        <v/>
      </c>
      <c r="D6" s="12">
        <f>CHOOSE(WEEKDAY(C6),"CN","T2","T3","T4","T5","T6","T7")</f>
        <v/>
      </c>
      <c r="E6" s="13" t="inlineStr">
        <is>
          <t>Mỗi người xác nhận đã nhận phần của mình; nêu ngay nếu thấy phần mình cần tài liệu ngoài</t>
        </is>
      </c>
    </row>
    <row r="7">
      <c r="A7" s="18" t="inlineStr">
        <is>
          <t>T-2</t>
        </is>
      </c>
      <c r="B7" s="12" t="n">
        <v>-2</v>
      </c>
      <c r="C7" s="19">
        <f>'Tổng quan'!$B$6+B7</f>
        <v/>
      </c>
      <c r="D7" s="12">
        <f>CHOOSE(WEEKDAY(C7),"CN","T2","T3","T4","T5","T6","T7")</f>
        <v/>
      </c>
      <c r="E7" s="13" t="inlineStr">
        <is>
          <t>Đọc phần được giao + tài liệu ngoài (Trang: SLOOS; Jak: biên bản FOMC tháng 7)</t>
        </is>
      </c>
    </row>
    <row r="8">
      <c r="A8" s="18" t="inlineStr">
        <is>
          <t>T-1</t>
        </is>
      </c>
      <c r="B8" s="12" t="n">
        <v>-1</v>
      </c>
      <c r="C8" s="19">
        <f>'Tổng quan'!$B$6+B8</f>
        <v/>
      </c>
      <c r="D8" s="12">
        <f>CHOOSE(WEEKDAY(C8),"CN","T2","T3","T4","T5","T6","T7")</f>
        <v/>
      </c>
      <c r="E8" s="13" t="inlineStr">
        <is>
          <t>Nộp slide (1–2 slide/người) về Jak</t>
        </is>
      </c>
    </row>
    <row r="9">
      <c r="A9" s="18" t="inlineStr">
        <is>
          <t>T-1</t>
        </is>
      </c>
      <c r="B9" s="12" t="n">
        <v>-1</v>
      </c>
      <c r="C9" s="19">
        <f>'Tổng quan'!$B$6+B9</f>
        <v/>
      </c>
      <c r="D9" s="12">
        <f>CHOOSE(WEEKDAY(C9),"CN","T2","T3","T4","T5","T6","T7")</f>
        <v/>
      </c>
      <c r="E9" s="13" t="inlineStr">
        <is>
          <t>Jak gộp slide, kiểm thứ tự, gửi lại bản hợp nhất cho cả nhóm</t>
        </is>
      </c>
    </row>
    <row r="10">
      <c r="A10" s="18" t="inlineStr">
        <is>
          <t>T</t>
        </is>
      </c>
      <c r="B10" s="12" t="n">
        <v>0</v>
      </c>
      <c r="C10" s="19">
        <f>'Tổng quan'!$B$6+B10</f>
        <v/>
      </c>
      <c r="D10" s="12">
        <f>CHOOSE(WEEKDAY(C10),"CN","T2","T3","T4","T5","T6","T7")</f>
        <v/>
      </c>
      <c r="E10" s="13" t="inlineStr">
        <is>
          <t>Buổi NCKT — xem sheet Chạy buổi</t>
        </is>
      </c>
    </row>
    <row r="11">
      <c r="A11" s="18" t="inlineStr">
        <is>
          <t>T+1</t>
        </is>
      </c>
      <c r="B11" s="12" t="n">
        <v>1</v>
      </c>
      <c r="C11" s="19">
        <f>'Tổng quan'!$B$6+B11</f>
        <v/>
      </c>
      <c r="D11" s="12">
        <f>CHOOSE(WEEKDAY(C11),"CN","T2","T3","T4","T5","T6","T7")</f>
        <v/>
      </c>
      <c r="E11" s="13" t="inlineStr">
        <is>
          <t>Jak gửi biên bản rút từ Copilot + slide hợp nhất</t>
        </is>
      </c>
    </row>
    <row r="13">
      <c r="A13" s="20" t="inlineStr">
        <is>
          <t>Cửa sổ chuẩn bị rất hẹp (11/09 + cuối tuần) do phải họp trước FOMC 15–16/09. Nếu không kịp, dời ngày họp ở ô Tổng quan!B6 — toàn bộ mốc trên tự dịch theo.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2" customWidth="1" min="3" max="3"/>
    <col width="8" customWidth="1" min="4" max="4"/>
    <col width="10" customWidth="1" min="5" max="5"/>
  </cols>
  <sheetData>
    <row r="1">
      <c r="A1" s="1" t="inlineStr">
        <is>
          <t>KỊCH BẢN CHẠY BUỔI</t>
        </is>
      </c>
    </row>
    <row r="2">
      <c r="A2" s="2" t="inlineStr">
        <is>
          <t>Cột "Từ phút" cộng dồn tự động.</t>
        </is>
      </c>
    </row>
    <row r="4" ht="30" customHeight="1">
      <c r="A4" s="8" t="inlineStr">
        <is>
          <t>#</t>
        </is>
      </c>
      <c r="B4" s="8" t="inlineStr">
        <is>
          <t>Nội dung</t>
        </is>
      </c>
      <c r="C4" s="8" t="inlineStr">
        <is>
          <t>Người</t>
        </is>
      </c>
      <c r="D4" s="8" t="inlineStr">
        <is>
          <t>Phút</t>
        </is>
      </c>
      <c r="E4" s="8" t="inlineStr">
        <is>
          <t>Từ phút</t>
        </is>
      </c>
    </row>
    <row r="5">
      <c r="A5" s="12" t="n">
        <v>1</v>
      </c>
      <c r="B5" s="13" t="inlineStr">
        <is>
          <t>Overview: bài Warsh là gì, vì sao đáng đọc, phản ứng thị trường sau 28/08</t>
        </is>
      </c>
      <c r="C5" s="13" t="inlineStr">
        <is>
          <t>Jak</t>
        </is>
      </c>
      <c r="D5" s="12" t="n">
        <v>8</v>
      </c>
      <c r="E5" s="12" t="n">
        <v>0</v>
      </c>
    </row>
    <row r="6">
      <c r="A6" s="12" t="n">
        <v>2</v>
      </c>
      <c r="B6" s="13" t="inlineStr">
        <is>
          <t>0.1 + 1.1 – 1.2 — AI: bối cảnh, bằng chứng, cơ chế, vị trí trong tư duy Fed</t>
        </is>
      </c>
      <c r="C6" s="13" t="inlineStr">
        <is>
          <t>Jak</t>
        </is>
      </c>
      <c r="D6" s="12" t="n">
        <v>6</v>
      </c>
      <c r="E6" s="12">
        <f>E5+D5</f>
        <v/>
      </c>
    </row>
    <row r="7">
      <c r="A7" s="12" t="n">
        <v>3</v>
      </c>
      <c r="B7" s="13" t="inlineStr">
        <is>
          <t>1.3 — Bốn câu hỏi lớn của Warsh: ném ra cho cả phòng</t>
        </is>
      </c>
      <c r="C7" s="13" t="inlineStr">
        <is>
          <t>Jak dẫn</t>
        </is>
      </c>
      <c r="D7" s="12" t="n">
        <v>8</v>
      </c>
      <c r="E7" s="12">
        <f>E6+D6</f>
        <v/>
      </c>
    </row>
    <row r="8">
      <c r="A8" s="12" t="n">
        <v>4</v>
      </c>
      <c r="B8" s="13" t="inlineStr">
        <is>
          <t>2.1 – 2.3 — Forward guidance: nguyên tắc, lịch sử, quan hệ Fed – thị trường</t>
        </is>
      </c>
      <c r="C8" s="13" t="inlineStr">
        <is>
          <t>Trà</t>
        </is>
      </c>
      <c r="D8" s="12" t="n">
        <v>5</v>
      </c>
      <c r="E8" s="12">
        <f>E7+D7</f>
        <v/>
      </c>
    </row>
    <row r="9">
      <c r="A9" s="12" t="n">
        <v>5</v>
      </c>
      <c r="B9" s="13" t="inlineStr">
        <is>
          <t>2.4 – 2.6 — Căn phòng gương, hàm phản ứng, hướng đi thay thế</t>
        </is>
      </c>
      <c r="C9" s="13" t="inlineStr">
        <is>
          <t>Quỳnh</t>
        </is>
      </c>
      <c r="D9" s="12" t="n">
        <v>5</v>
      </c>
      <c r="E9" s="12">
        <f>E8+D8</f>
        <v/>
      </c>
    </row>
    <row r="10">
      <c r="A10" s="12" t="n">
        <v>6</v>
      </c>
      <c r="B10" s="13" t="inlineStr">
        <is>
          <t>3.1 – 3.6 — Sáu nguyên tắc chính sách tiền tệ</t>
        </is>
      </c>
      <c r="C10" s="13" t="inlineStr">
        <is>
          <t>Phương</t>
        </is>
      </c>
      <c r="D10" s="12" t="n">
        <v>6</v>
      </c>
      <c r="E10" s="12">
        <f>E9+D9</f>
        <v/>
      </c>
    </row>
    <row r="11">
      <c r="A11" s="12" t="n">
        <v>7</v>
      </c>
      <c r="B11" s="13" t="inlineStr">
        <is>
          <t>4.1 – 4.3 — Quan điểm FOMC tháng 7, đánh giá của Warsh, capex và lợi nhuận</t>
        </is>
      </c>
      <c r="C11" s="13" t="inlineStr">
        <is>
          <t>Hạnh</t>
        </is>
      </c>
      <c r="D11" s="12" t="n">
        <v>5</v>
      </c>
      <c r="E11" s="12">
        <f>E10+D10</f>
        <v/>
      </c>
    </row>
    <row r="12">
      <c r="A12" s="12" t="n">
        <v>8</v>
      </c>
      <c r="B12" s="13" t="inlineStr">
        <is>
          <t>4.4 – 4.5 — Điều kiện tín dụng, tiêu dùng, PDFP, thị trường lao động</t>
        </is>
      </c>
      <c r="C12" s="13" t="inlineStr">
        <is>
          <t>Trang</t>
        </is>
      </c>
      <c r="D12" s="12" t="n">
        <v>6</v>
      </c>
      <c r="E12" s="12">
        <f>E11+D11</f>
        <v/>
      </c>
    </row>
    <row r="13">
      <c r="A13" s="12" t="n">
        <v>9</v>
      </c>
      <c r="B13" s="13" t="inlineStr">
        <is>
          <t>4.6 – 4.9 — Lạm phát: mức độ, xu hướng, tiền lương, độ rộng, kỳ vọng</t>
        </is>
      </c>
      <c r="C13" s="13" t="inlineStr">
        <is>
          <t>Thảo</t>
        </is>
      </c>
      <c r="D13" s="12" t="n">
        <v>6</v>
      </c>
      <c r="E13" s="12">
        <f>E12+D12</f>
        <v/>
      </c>
    </row>
    <row r="14">
      <c r="A14" s="12" t="n">
        <v>10</v>
      </c>
      <c r="B14" s="13" t="inlineStr">
        <is>
          <t>5.1 + chốt: "committed to a discipline, not to a decision" nghĩa là gì với ta</t>
        </is>
      </c>
      <c r="C14" s="13" t="inlineStr">
        <is>
          <t>Jak</t>
        </is>
      </c>
      <c r="D14" s="12" t="n">
        <v>5</v>
      </c>
      <c r="E14" s="12">
        <f>E13+D13</f>
        <v/>
      </c>
    </row>
    <row r="15">
      <c r="A15" s="12" t="n">
        <v>11</v>
      </c>
      <c r="B15" s="13" t="inlineStr">
        <is>
          <t>Trao đổi mở / câu hỏi của sếp</t>
        </is>
      </c>
      <c r="C15" s="13" t="inlineStr">
        <is>
          <t>Cả phòng</t>
        </is>
      </c>
      <c r="D15" s="12" t="n">
        <v>10</v>
      </c>
      <c r="E15" s="12">
        <f>E14+D14</f>
        <v/>
      </c>
    </row>
    <row r="16">
      <c r="B16" s="3" t="inlineStr">
        <is>
          <t>TỔNG</t>
        </is>
      </c>
      <c r="D16" s="15">
        <f>SUM(D5:D15)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2026-09-11T10:40:25Z</dcterms:created>
  <dcterms:modified xmlns:dcterms="http://purl.org/dc/terms/" xmlns:xsi="http://www.w3.org/2001/XMLSchema-instance" xsi:type="dcterms:W3CDTF">2026-09-11T10:40:25Z</dcterms:modified>
</cp:coreProperties>
</file>