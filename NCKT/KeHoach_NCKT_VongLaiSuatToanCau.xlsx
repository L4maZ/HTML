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Phân công" sheetId="2" state="visible" r:id="rId2"/>
    <sheet name="Timeline" sheetId="3" state="visible" r:id="rId3"/>
    <sheet name="Đề bài chi tiết" sheetId="4" state="visible" r:id="rId4"/>
    <sheet name="Chạy buổi" sheetId="5" state="visible" r:id="rId5"/>
    <sheet name="Dự đoán bỏ túi" sheetId="6" state="visible" r:id="rId6"/>
    <sheet name="Điều phố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b val="1"/>
      <color rgb="000000FF"/>
      <sz val="11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1"/>
    </font>
    <font>
      <name val="Arial"/>
      <i val="1"/>
      <color rgb="00C00000"/>
      <sz val="9"/>
    </font>
    <font>
      <name val="Arial"/>
      <color rgb="000000FF"/>
      <sz val="10"/>
    </font>
    <font>
      <name val="Arial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8" fillId="5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top"/>
    </xf>
    <xf numFmtId="165" fontId="7" fillId="0" borderId="1" applyAlignment="1" pivotButton="0" quotePrefix="0" xfId="0">
      <alignment vertical="top"/>
    </xf>
    <xf numFmtId="0" fontId="8" fillId="4" borderId="1" applyAlignment="1" pivotButton="0" quotePrefix="0" xfId="0">
      <alignment vertical="top"/>
    </xf>
    <xf numFmtId="0" fontId="7" fillId="4" borderId="1" applyAlignment="1" pivotButton="0" quotePrefix="0" xfId="0">
      <alignment horizontal="center" vertical="top"/>
    </xf>
    <xf numFmtId="165" fontId="7" fillId="4" borderId="1" applyAlignment="1" pivotButton="0" quotePrefix="0" xfId="0">
      <alignment vertical="top"/>
    </xf>
    <xf numFmtId="0" fontId="8" fillId="5" borderId="1" applyAlignment="1" pivotButton="0" quotePrefix="0" xfId="0">
      <alignment vertical="top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10" fillId="0" borderId="0" pivotButton="0" quotePrefix="0" xfId="0"/>
    <xf numFmtId="0" fontId="12" fillId="0" borderId="1" applyAlignment="1" pivotButton="0" quotePrefix="0" xfId="0">
      <alignment vertical="top"/>
    </xf>
    <xf numFmtId="2" fontId="12" fillId="0" borderId="1" applyAlignment="1" pivotButton="0" quotePrefix="0" xfId="0">
      <alignment vertical="top"/>
    </xf>
    <xf numFmtId="3" fontId="12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 wrapText="1"/>
    </xf>
    <xf numFmtId="2" fontId="11" fillId="2" borderId="1" applyAlignment="1" pivotButton="0" quotePrefix="0" xfId="0">
      <alignment vertical="top"/>
    </xf>
    <xf numFmtId="3" fontId="11" fillId="2" borderId="1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Kế hoạch NCKT</author>
  </authors>
  <commentList>
    <comment ref="B4" authorId="0" shapeId="0">
      <text>
        <t>Nhập ngày họp thật vào đây. Toàn bộ mốc thời gian ở sheet Timeline sẽ tự tính lại theo ô này.
Giá trị hiện tại chỉ là ví dụ.</t>
      </text>
    </comment>
  </commentList>
</comments>
</file>

<file path=xl/comments/comment2.xml><?xml version="1.0" encoding="utf-8"?>
<comments xmlns="http://schemas.openxmlformats.org/spreadsheetml/2006/main">
  <authors>
    <author>Kế hoạch NCKT</author>
  </authors>
  <commentList>
    <comment ref="G8" authorId="0" shapeId="0">
      <text>
        <t>Trà mở màn — A2/A3/A4 đều dựa vào bảng NHTW của Trà, nên phần này phải xong sớm hơn 1 ngày.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0" customWidth="1" min="3" max="3"/>
    <col width="20" customWidth="1" min="4" max="4"/>
  </cols>
  <sheetData>
    <row r="1">
      <c r="A1" s="1" t="inlineStr">
        <is>
          <t>BUỔI NCKT — VÒNG LÃI SUẤT TOÀN CẦU</t>
        </is>
      </c>
    </row>
    <row r="2">
      <c r="A2" s="2" t="inlineStr">
        <is>
          <t>Kế hoạch tổ chức &amp; phân công · Phòng Quản lý rủi ro · Nguồn nền: M-Research Mkt Outlook 2H.2026 (25/08/2026)</t>
        </is>
      </c>
    </row>
    <row r="4">
      <c r="A4" s="3" t="inlineStr">
        <is>
          <t>NGÀY HỌP (nhập vào ô B4)</t>
        </is>
      </c>
      <c r="B4" s="4" t="n">
        <v>46310</v>
      </c>
      <c r="C4" s="5" t="inlineStr">
        <is>
          <t>← ô vàng: sửa được</t>
        </is>
      </c>
    </row>
    <row r="6" ht="30" customHeight="1">
      <c r="A6" s="6" t="inlineStr">
        <is>
          <t>Hạng mục</t>
        </is>
      </c>
      <c r="B6" s="6" t="inlineStr">
        <is>
          <t>Nội dung</t>
        </is>
      </c>
      <c r="C6" s="6" t="inlineStr"/>
      <c r="D6" s="6" t="inlineStr"/>
    </row>
    <row r="7" ht="28" customHeight="1">
      <c r="A7" s="7" t="inlineStr">
        <is>
          <t>Câu hỏi xuyên suốt</t>
        </is>
      </c>
      <c r="B7" s="8" t="inlineStr">
        <is>
          <t>Thế giới đã quay đầu sang chu kỳ thắt chặt chưa, và điều đó ép Việt Nam ở đâu?</t>
        </is>
      </c>
      <c r="C7" s="7" t="inlineStr"/>
      <c r="D7" s="7" t="inlineStr"/>
    </row>
    <row r="8" ht="28" customHeight="1">
      <c r="A8" s="9" t="inlineStr">
        <is>
          <t>Format mọi phần</t>
        </is>
      </c>
      <c r="B8" s="10" t="inlineStr">
        <is>
          <t>Sự kiện / kết quả → Hệ quả. Không tường thuật dài.</t>
        </is>
      </c>
      <c r="C8" s="9" t="inlineStr"/>
      <c r="D8" s="9" t="inlineStr"/>
    </row>
    <row r="9" ht="28" customHeight="1">
      <c r="A9" s="7" t="inlineStr">
        <is>
          <t>Trần nghiên cứu</t>
        </is>
      </c>
      <c r="B9" s="8" t="inlineStr">
        <is>
          <t>3 giờ/người (trần, không phải định mức)</t>
        </is>
      </c>
      <c r="C9" s="7" t="inlineStr"/>
      <c r="D9" s="7" t="inlineStr"/>
    </row>
    <row r="10" ht="28" customHeight="1">
      <c r="A10" s="9" t="inlineStr">
        <is>
          <t>Số người trình bày</t>
        </is>
      </c>
      <c r="B10" s="10" t="inlineStr">
        <is>
          <t>7</t>
        </is>
      </c>
      <c r="C10" s="9" t="inlineStr"/>
      <c r="D10" s="9" t="inlineStr"/>
    </row>
    <row r="11" ht="28" customHeight="1">
      <c r="A11" s="7" t="inlineStr">
        <is>
          <t>Tổng thời lượng buổi</t>
        </is>
      </c>
      <c r="B11" s="8" t="inlineStr">
        <is>
          <t>≈ 67 phút</t>
        </is>
      </c>
      <c r="C11" s="7" t="inlineStr"/>
      <c r="D11" s="7" t="inlineStr"/>
    </row>
    <row r="12" ht="28" customHeight="1">
      <c r="A12" s="9" t="inlineStr">
        <is>
          <t>Điều phối</t>
        </is>
      </c>
      <c r="B12" s="10" t="inlineStr">
        <is>
          <t>Jak (kiêm trình bày phần A2)</t>
        </is>
      </c>
      <c r="C12" s="9" t="inlineStr"/>
      <c r="D12" s="9" t="inlineStr"/>
    </row>
    <row r="13" ht="28" customHeight="1">
      <c r="A13" s="7" t="inlineStr">
        <is>
          <t>Ghi chép</t>
        </is>
      </c>
      <c r="B13" s="8" t="inlineStr">
        <is>
          <t>Không cần — dùng record + Copilot của Teams</t>
        </is>
      </c>
      <c r="C13" s="7" t="inlineStr"/>
      <c r="D13" s="7" t="inlineStr"/>
    </row>
    <row r="16">
      <c r="A16" s="3" t="inlineStr">
        <is>
          <t>CẤU TRÚC BUỔI</t>
        </is>
      </c>
    </row>
    <row r="17" ht="30" customHeight="1">
      <c r="A17" s="6" t="inlineStr">
        <is>
          <t>Phần</t>
        </is>
      </c>
      <c r="B17" s="6" t="inlineStr">
        <is>
          <t>Nội dung</t>
        </is>
      </c>
      <c r="C17" s="6" t="inlineStr">
        <is>
          <t>Số người</t>
        </is>
      </c>
      <c r="D17" s="6" t="inlineStr">
        <is>
          <t>Thời lượng (phút)</t>
        </is>
      </c>
    </row>
    <row r="18">
      <c r="A18" s="7" t="inlineStr">
        <is>
          <t>Mở đầu</t>
        </is>
      </c>
      <c r="B18" s="8" t="inlineStr">
        <is>
          <t>Dự đoán bỏ túi — ghi 4 con số dự báo cuối 2026 vào chat Teams</t>
        </is>
      </c>
      <c r="C18" s="7" t="n">
        <v>7</v>
      </c>
      <c r="D18" s="7" t="n">
        <v>2</v>
      </c>
    </row>
    <row r="19">
      <c r="A19" s="9" t="inlineStr">
        <is>
          <t>Cập nhật chung</t>
        </is>
      </c>
      <c r="B19" s="10" t="inlineStr">
        <is>
          <t>KT quốc tế / KT trong nước / TT tài chính–tiền tệ</t>
        </is>
      </c>
      <c r="C19" s="9" t="n">
        <v>3</v>
      </c>
      <c r="D19" s="9" t="n">
        <v>15</v>
      </c>
    </row>
    <row r="20">
      <c r="A20" s="7" t="inlineStr">
        <is>
          <t>Case thực tế</t>
        </is>
      </c>
      <c r="B20" s="8" t="inlineStr">
        <is>
          <t>Vòng lãi suất toàn cầu — 4 góc nhìn</t>
        </is>
      </c>
      <c r="C20" s="7" t="n">
        <v>4</v>
      </c>
      <c r="D20" s="7" t="n">
        <v>22</v>
      </c>
    </row>
    <row r="21">
      <c r="A21" s="9" t="inlineStr">
        <is>
          <t>Trao đổi cả phòng</t>
        </is>
      </c>
      <c r="B21" s="10" t="inlineStr">
        <is>
          <t>Câu hỏi mở + câu hỏi từ sếp + debate</t>
        </is>
      </c>
      <c r="C21" s="9" t="n">
        <v>7</v>
      </c>
      <c r="D21" s="9" t="n">
        <v>23</v>
      </c>
    </row>
    <row r="22">
      <c r="A22" s="7" t="inlineStr">
        <is>
          <t>Chốt buổi</t>
        </is>
      </c>
      <c r="B22" s="8" t="inlineStr">
        <is>
          <t>2–3 điều rút ra + watchlist</t>
        </is>
      </c>
      <c r="C22" s="7" t="n">
        <v>1</v>
      </c>
      <c r="D22" s="7" t="n">
        <v>5</v>
      </c>
    </row>
    <row r="23">
      <c r="C23" s="11" t="inlineStr">
        <is>
          <t>TỔNG</t>
        </is>
      </c>
      <c r="D23" s="12">
        <f>SUM(D18:D22)</f>
        <v/>
      </c>
    </row>
    <row r="25">
      <c r="A25" s="13" t="inlineStr">
        <is>
          <t>LUẬT NÉ TRÙNG (bắt buộc)</t>
        </is>
      </c>
    </row>
    <row r="26">
      <c r="A26" s="14" t="inlineStr">
        <is>
          <t>Case ăn chủ đề lãi suất &amp; ngân hàng trung ương, nên:</t>
        </is>
      </c>
    </row>
    <row r="27">
      <c r="A27" s="14" t="inlineStr">
        <is>
          <t>• Quỳnh (KT quốc tế) KHÔNG nói Fed / ECB / BOJ / lãi suất.</t>
        </is>
      </c>
    </row>
    <row r="28">
      <c r="A28" s="14" t="inlineStr">
        <is>
          <t>• Hạnh (TT tài chính–tiền tệ) KHÔNG nói lãi suất MM / VNIBOR / TPCP — Phương đã giữ ở phần A4.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46" customWidth="1" min="4" max="4"/>
    <col width="22" customWidth="1" min="5" max="5"/>
    <col width="10" customWidth="1" min="6" max="6"/>
    <col width="14" customWidth="1" min="7" max="7"/>
  </cols>
  <sheetData>
    <row r="1">
      <c r="A1" s="1" t="inlineStr">
        <is>
          <t>PHÂN CÔNG 7 NGƯỜI</t>
        </is>
      </c>
    </row>
    <row r="2">
      <c r="A2" s="2" t="inlineStr">
        <is>
          <t>Nguyên tắc: giao theo mảng chuyên môn để có lợi thế, nhưng chệch nhẹ một bước để không ai chỉ đọc lại việc hàng ngày.</t>
        </is>
      </c>
    </row>
    <row r="4" ht="30" customHeight="1">
      <c r="A4" s="6" t="inlineStr">
        <is>
          <t>Người</t>
        </is>
      </c>
      <c r="B4" s="6" t="inlineStr">
        <is>
          <t>Mảng hàng ngày</t>
        </is>
      </c>
      <c r="C4" s="6" t="inlineStr">
        <is>
          <t>Phần được giao</t>
        </is>
      </c>
      <c r="D4" s="6" t="inlineStr">
        <is>
          <t>Câu hỏi phải trả lời</t>
        </is>
      </c>
      <c r="E4" s="6" t="inlineStr">
        <is>
          <t>Sản phẩm nộp</t>
        </is>
      </c>
      <c r="F4" s="6" t="inlineStr">
        <is>
          <t>Thời lượng (phút)</t>
        </is>
      </c>
      <c r="G4" s="6" t="inlineStr">
        <is>
          <t>Hạn nộp nháp</t>
        </is>
      </c>
    </row>
    <row r="5" ht="46" customHeight="1">
      <c r="A5" s="15" t="inlineStr">
        <is>
          <t>Quỳnh</t>
        </is>
      </c>
      <c r="B5" s="7" t="inlineStr">
        <is>
          <t>FXDR</t>
        </is>
      </c>
      <c r="C5" s="8" t="inlineStr">
        <is>
          <t>Cập nhật · KT quốc tế</t>
        </is>
      </c>
      <c r="D5" s="8" t="inlineStr">
        <is>
          <t>Giá hàng hóa hạ nhiệt từ đỉnh tháng 5 — đây là đảo chiều thật hay chỉ nghỉ giữa hiệp?</t>
        </is>
      </c>
      <c r="E5" s="8" t="inlineStr">
        <is>
          <t>1 slide</t>
        </is>
      </c>
      <c r="F5" s="16" t="n">
        <v>5</v>
      </c>
      <c r="G5" s="17">
        <f>Timeline!C6</f>
        <v/>
      </c>
    </row>
    <row r="6" ht="46" customHeight="1">
      <c r="A6" s="18" t="inlineStr">
        <is>
          <t>Trang</t>
        </is>
      </c>
      <c r="B6" s="9" t="inlineStr">
        <is>
          <t>LR</t>
        </is>
      </c>
      <c r="C6" s="10" t="inlineStr">
        <is>
          <t>Cập nhật · KT trong nước</t>
        </is>
      </c>
      <c r="D6" s="10" t="inlineStr">
        <is>
          <t>Trong các điểm sáng, cái nào là điểm sáng thật, cái nào chỉ là nền so sánh thấp?</t>
        </is>
      </c>
      <c r="E6" s="10" t="inlineStr">
        <is>
          <t>1 slide</t>
        </is>
      </c>
      <c r="F6" s="19" t="n">
        <v>5</v>
      </c>
      <c r="G6" s="20">
        <f>Timeline!C6</f>
        <v/>
      </c>
    </row>
    <row r="7" ht="46" customHeight="1">
      <c r="A7" s="15" t="inlineStr">
        <is>
          <t>Hạnh</t>
        </is>
      </c>
      <c r="B7" s="7" t="inlineStr">
        <is>
          <t>LR</t>
        </is>
      </c>
      <c r="C7" s="8" t="inlineStr">
        <is>
          <t>Cập nhật · TT tài chính–tiền tệ</t>
        </is>
      </c>
      <c r="D7" s="8" t="inlineStr">
        <is>
          <t>DN bất động sản phát hành gấp 2,5 lần trong khi ngân hàng giảm 12% — ai đang mua số trái phiếu đó?</t>
        </is>
      </c>
      <c r="E7" s="8" t="inlineStr">
        <is>
          <t>1 slide</t>
        </is>
      </c>
      <c r="F7" s="16" t="n">
        <v>5</v>
      </c>
      <c r="G7" s="17">
        <f>Timeline!C6</f>
        <v/>
      </c>
    </row>
    <row r="8" ht="46" customHeight="1">
      <c r="A8" s="21" t="inlineStr">
        <is>
          <t>Trà</t>
        </is>
      </c>
      <c r="B8" s="9" t="inlineStr">
        <is>
          <t>IRRBB</t>
        </is>
      </c>
      <c r="C8" s="10" t="inlineStr">
        <is>
          <t>A1 · Bối cảnh &amp; cơ chế</t>
        </is>
      </c>
      <c r="D8" s="10" t="inlineStr">
        <is>
          <t>Đợt vừa rồi những NHTW nào động thái gì, mức bao nhiêu, ngày nào? Lý do HỌ TỰ NÊU là gì?</t>
        </is>
      </c>
      <c r="E8" s="10" t="inlineStr">
        <is>
          <t>1–2 slide (1 bảng)</t>
        </is>
      </c>
      <c r="F8" s="19" t="n">
        <v>7</v>
      </c>
      <c r="G8" s="20">
        <f>Timeline!C8</f>
        <v/>
      </c>
    </row>
    <row r="9" ht="46" customHeight="1">
      <c r="A9" s="15" t="inlineStr">
        <is>
          <t>Jak</t>
        </is>
      </c>
      <c r="B9" s="7" t="inlineStr">
        <is>
          <t>Bond</t>
        </is>
      </c>
      <c r="C9" s="8" t="inlineStr">
        <is>
          <t>A2 · Fed giữ hay tăng?</t>
        </is>
      </c>
      <c r="D9" s="8" t="inlineStr">
        <is>
          <t>Fed đang kẹp giữa lạm phát và chi phí nợ công. Bên nào đang thắng?</t>
        </is>
      </c>
      <c r="E9" s="8" t="inlineStr">
        <is>
          <t>1 slide (1 chart CME)</t>
        </is>
      </c>
      <c r="F9" s="16" t="n">
        <v>5</v>
      </c>
      <c r="G9" s="17">
        <f>Timeline!C9</f>
        <v/>
      </c>
    </row>
    <row r="10" ht="46" customHeight="1">
      <c r="A10" s="18" t="inlineStr">
        <is>
          <t>Thảo</t>
        </is>
      </c>
      <c r="B10" s="9" t="inlineStr">
        <is>
          <t>FXDR</t>
        </is>
      </c>
      <c r="C10" s="10" t="inlineStr">
        <is>
          <t>A3 · Thị trường phản ứng</t>
        </is>
      </c>
      <c r="D10" s="10" t="inlineStr">
        <is>
          <t>Giá tài sản phản ứng đúng hay NGƯỢC kỳ vọng? Chỗ nào ngược là chỗ đáng nói nhất.</t>
        </is>
      </c>
      <c r="E10" s="10" t="inlineStr">
        <is>
          <t>1–2 slide (1–2 chart)</t>
        </is>
      </c>
      <c r="F10" s="19" t="n">
        <v>5</v>
      </c>
      <c r="G10" s="20">
        <f>Timeline!C9</f>
        <v/>
      </c>
    </row>
    <row r="11" ht="46" customHeight="1">
      <c r="A11" s="15" t="inlineStr">
        <is>
          <t>Phương</t>
        </is>
      </c>
      <c r="B11" s="7" t="inlineStr">
        <is>
          <t>LR (lâu nhất)</t>
        </is>
      </c>
      <c r="C11" s="8" t="inlineStr">
        <is>
          <t>A4 · Góc Việt Nam</t>
        </is>
      </c>
      <c r="D11" s="8" t="inlineStr">
        <is>
          <t>Nếu mặt bằng lãi suất USD đứng cao hoặc tăng tiếp, SBV còn dư địa gì?</t>
        </is>
      </c>
      <c r="E11" s="8" t="inlineStr">
        <is>
          <t>1–2 slide</t>
        </is>
      </c>
      <c r="F11" s="16" t="n">
        <v>5</v>
      </c>
      <c r="G11" s="17">
        <f>Timeline!C9</f>
        <v/>
      </c>
    </row>
    <row r="13">
      <c r="A13" s="3" t="inlineStr">
        <is>
          <t>Ghi chú phân công</t>
        </is>
      </c>
    </row>
    <row r="14" ht="30" customHeight="1">
      <c r="A14" s="6" t="inlineStr">
        <is>
          <t>Người</t>
        </is>
      </c>
      <c r="B14" s="6" t="inlineStr">
        <is>
          <t>Lý do giao</t>
        </is>
      </c>
      <c r="C14" s="6" t="inlineStr"/>
      <c r="D14" s="6" t="inlineStr"/>
      <c r="E14" s="6" t="inlineStr"/>
      <c r="F14" s="6" t="inlineStr"/>
      <c r="G14" s="6" t="inlineStr"/>
    </row>
    <row r="15" ht="26" customHeight="1">
      <c r="A15" s="7" t="inlineStr">
        <is>
          <t>Phương</t>
        </is>
      </c>
      <c r="B15" s="8" t="inlineStr">
        <is>
          <t>Nhận A4 — phần khó nhất và là ngòi nổ cho phần thảo luận. Cần người dày kinh nghiệm nhất.</t>
        </is>
      </c>
      <c r="C15" s="7" t="inlineStr"/>
      <c r="D15" s="7" t="inlineStr"/>
      <c r="E15" s="7" t="inlineStr"/>
      <c r="F15" s="7" t="inlineStr"/>
      <c r="G15" s="7" t="inlineStr"/>
    </row>
    <row r="16" ht="26" customHeight="1">
      <c r="A16" s="9" t="inlineStr">
        <is>
          <t>Trà</t>
        </is>
      </c>
      <c r="B16" s="10" t="inlineStr">
        <is>
          <t>Chu kỳ lãi suất chính là môn của IRRBB. Mở màn nên phải nộp sớm nhất (xem Timeline).</t>
        </is>
      </c>
      <c r="C16" s="9" t="inlineStr"/>
      <c r="D16" s="9" t="inlineStr"/>
      <c r="E16" s="9" t="inlineStr"/>
      <c r="F16" s="9" t="inlineStr"/>
      <c r="G16" s="9" t="inlineStr"/>
    </row>
    <row r="17" ht="26" customHeight="1">
      <c r="A17" s="7" t="inlineStr">
        <is>
          <t>Jak</t>
        </is>
      </c>
      <c r="B17" s="8" t="inlineStr">
        <is>
          <t>Kiêm điều phối. Phần A2 về lợi suất TPCP Mỹ đúng nghề Bond.</t>
        </is>
      </c>
      <c r="C17" s="7" t="inlineStr"/>
      <c r="D17" s="7" t="inlineStr"/>
      <c r="E17" s="7" t="inlineStr"/>
      <c r="F17" s="7" t="inlineStr"/>
      <c r="G17" s="7" t="inlineStr"/>
    </row>
    <row r="18" ht="26" customHeight="1">
      <c r="A18" s="9" t="inlineStr">
        <is>
          <t>Thảo</t>
        </is>
      </c>
      <c r="B18" s="10" t="inlineStr">
        <is>
          <t>DXY và dòng vốn thị trường mới nổi là địa hạt FX.</t>
        </is>
      </c>
      <c r="C18" s="9" t="inlineStr"/>
      <c r="D18" s="9" t="inlineStr"/>
      <c r="E18" s="9" t="inlineStr"/>
      <c r="F18" s="9" t="inlineStr"/>
      <c r="G18" s="9" t="inlineStr"/>
    </row>
    <row r="19" ht="26" customHeight="1">
      <c r="A19" s="7" t="inlineStr">
        <is>
          <t>Quỳnh</t>
        </is>
      </c>
      <c r="B19" s="8" t="inlineStr">
        <is>
          <t>Hàng hóa và thương mại là đầu vào của FX — quen số, nhưng bị cấm đụng lãi suất.</t>
        </is>
      </c>
      <c r="C19" s="7" t="inlineStr"/>
      <c r="D19" s="7" t="inlineStr"/>
      <c r="E19" s="7" t="inlineStr"/>
      <c r="F19" s="7" t="inlineStr"/>
      <c r="G19" s="7" t="inlineStr"/>
    </row>
    <row r="20" ht="26" customHeight="1">
      <c r="A20" s="9" t="inlineStr">
        <is>
          <t>Trang / Hạnh</t>
        </is>
      </c>
      <c r="B20" s="10" t="inlineStr">
        <is>
          <t>Slot cập nhật nhẹ hơn (1 slide), phù hợp để làm quen format trước khi vào case ở kỳ sau.</t>
        </is>
      </c>
      <c r="C20" s="9" t="inlineStr"/>
      <c r="D20" s="9" t="inlineStr"/>
      <c r="E20" s="9" t="inlineStr"/>
      <c r="F20" s="9" t="inlineStr"/>
      <c r="G20" s="9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8" customWidth="1" min="4" max="4"/>
    <col width="46" customWidth="1" min="5" max="5"/>
    <col width="22" customWidth="1" min="6" max="6"/>
    <col width="14" customWidth="1" min="7" max="7"/>
  </cols>
  <sheetData>
    <row r="1">
      <c r="A1" s="1" t="inlineStr">
        <is>
          <t>TIMELINE CHUẨN BỊ</t>
        </is>
      </c>
    </row>
    <row r="2">
      <c r="A2" s="2" t="inlineStr">
        <is>
          <t>Ngày tự tính từ ô ngày họp ở sheet 'Tổng quan' (B4). Đổi ngày ở đó, cả bảng này cập nhật theo.</t>
        </is>
      </c>
    </row>
    <row r="4" ht="30" customHeight="1">
      <c r="A4" s="6" t="inlineStr">
        <is>
          <t>Mốc</t>
        </is>
      </c>
      <c r="B4" s="6" t="inlineStr">
        <is>
          <t>Lệch</t>
        </is>
      </c>
      <c r="C4" s="6" t="inlineStr">
        <is>
          <t>Ngày</t>
        </is>
      </c>
      <c r="D4" s="6" t="inlineStr">
        <is>
          <t>Thứ</t>
        </is>
      </c>
      <c r="E4" s="6" t="inlineStr">
        <is>
          <t>Việc</t>
        </is>
      </c>
      <c r="F4" s="6" t="inlineStr">
        <is>
          <t>Ai</t>
        </is>
      </c>
      <c r="G4" s="6" t="inlineStr">
        <is>
          <t>Trạng thái</t>
        </is>
      </c>
    </row>
    <row r="5" ht="24" customHeight="1">
      <c r="A5" s="22" t="inlineStr">
        <is>
          <t>T-10</t>
        </is>
      </c>
      <c r="B5" s="22" t="n">
        <v>-10</v>
      </c>
      <c r="C5" s="23">
        <f>'Tổng quan'!$B$4+B5</f>
        <v/>
      </c>
      <c r="D5" s="22">
        <f>CHOOSE(WEEKDAY(C5),"CN","T2","T3","T4","T5","T6","T7")</f>
        <v/>
      </c>
      <c r="E5" s="24" t="inlineStr">
        <is>
          <t>Gửi đề bài cho cả phòng, chốt phân công</t>
        </is>
      </c>
      <c r="F5" s="25" t="inlineStr">
        <is>
          <t>Jak</t>
        </is>
      </c>
      <c r="G5" s="25" t="inlineStr">
        <is>
          <t>Chưa làm</t>
        </is>
      </c>
    </row>
    <row r="6" ht="24" customHeight="1">
      <c r="A6" s="26" t="inlineStr">
        <is>
          <t>T-7</t>
        </is>
      </c>
      <c r="B6" s="26" t="n">
        <v>-7</v>
      </c>
      <c r="C6" s="27">
        <f>'Tổng quan'!$B$4+B6</f>
        <v/>
      </c>
      <c r="D6" s="26">
        <f>CHOOSE(WEEKDAY(C6),"CN","T2","T3","T4","T5","T6","T7")</f>
        <v/>
      </c>
      <c r="E6" s="28" t="inlineStr">
        <is>
          <t>Nộp 1 dòng 'điểm tôi chọn'</t>
        </is>
      </c>
      <c r="F6" s="29" t="inlineStr">
        <is>
          <t>Quỳnh, Trang, Hạnh</t>
        </is>
      </c>
      <c r="G6" s="29" t="inlineStr">
        <is>
          <t>Chưa làm</t>
        </is>
      </c>
    </row>
    <row r="7" ht="24" customHeight="1">
      <c r="A7" s="22" t="inlineStr">
        <is>
          <t>T-6</t>
        </is>
      </c>
      <c r="B7" s="22" t="n">
        <v>-6</v>
      </c>
      <c r="C7" s="23">
        <f>'Tổng quan'!$B$4+B7</f>
        <v/>
      </c>
      <c r="D7" s="22">
        <f>CHOOSE(WEEKDAY(C7),"CN","T2","T3","T4","T5","T6","T7")</f>
        <v/>
      </c>
      <c r="E7" s="24" t="inlineStr">
        <is>
          <t>Gạt trùng, phản hồi chốt điểm</t>
        </is>
      </c>
      <c r="F7" s="25" t="inlineStr">
        <is>
          <t>Jak</t>
        </is>
      </c>
      <c r="G7" s="25" t="inlineStr">
        <is>
          <t>Chưa làm</t>
        </is>
      </c>
    </row>
    <row r="8" ht="24" customHeight="1">
      <c r="A8" s="26" t="inlineStr">
        <is>
          <t>T-4</t>
        </is>
      </c>
      <c r="B8" s="26" t="n">
        <v>-4</v>
      </c>
      <c r="C8" s="27">
        <f>'Tổng quan'!$B$4+B8</f>
        <v/>
      </c>
      <c r="D8" s="26">
        <f>CHOOSE(WEEKDAY(C8),"CN","T2","T3","T4","T5","T6","T7")</f>
        <v/>
      </c>
      <c r="E8" s="28" t="inlineStr">
        <is>
          <t>Nộp nháp A1 (bảng NHTW) → chia sẻ ngay cho A2/A3/A4</t>
        </is>
      </c>
      <c r="F8" s="29" t="inlineStr">
        <is>
          <t>Trà</t>
        </is>
      </c>
      <c r="G8" s="29" t="inlineStr">
        <is>
          <t>Chưa làm</t>
        </is>
      </c>
    </row>
    <row r="9" ht="24" customHeight="1">
      <c r="A9" s="22" t="inlineStr">
        <is>
          <t>T-3</t>
        </is>
      </c>
      <c r="B9" s="22" t="n">
        <v>-3</v>
      </c>
      <c r="C9" s="23">
        <f>'Tổng quan'!$B$4+B9</f>
        <v/>
      </c>
      <c r="D9" s="22">
        <f>CHOOSE(WEEKDAY(C9),"CN","T2","T3","T4","T5","T6","T7")</f>
        <v/>
      </c>
      <c r="E9" s="24" t="inlineStr">
        <is>
          <t>Nộp nháp: 3 gạch đầu dòng + chart định dùng</t>
        </is>
      </c>
      <c r="F9" s="25" t="inlineStr">
        <is>
          <t>Jak, Thảo, Phương</t>
        </is>
      </c>
      <c r="G9" s="25" t="inlineStr">
        <is>
          <t>Chưa làm</t>
        </is>
      </c>
    </row>
    <row r="10" ht="24" customHeight="1">
      <c r="A10" s="26" t="inlineStr">
        <is>
          <t>T-2</t>
        </is>
      </c>
      <c r="B10" s="26" t="n">
        <v>-2</v>
      </c>
      <c r="C10" s="27">
        <f>'Tổng quan'!$B$4+B10</f>
        <v/>
      </c>
      <c r="D10" s="26">
        <f>CHOOSE(WEEKDAY(C10),"CN","T2","T3","T4","T5","T6","T7")</f>
        <v/>
      </c>
      <c r="E10" s="28" t="inlineStr">
        <is>
          <t>Kiểm dây chuyền A1→A2→A3→A4: có hổng, có trùng không?</t>
        </is>
      </c>
      <c r="F10" s="29" t="inlineStr">
        <is>
          <t>Jak</t>
        </is>
      </c>
      <c r="G10" s="29" t="inlineStr">
        <is>
          <t>Chưa làm</t>
        </is>
      </c>
    </row>
    <row r="11" ht="24" customHeight="1">
      <c r="A11" s="22" t="inlineStr">
        <is>
          <t>T-1</t>
        </is>
      </c>
      <c r="B11" s="22" t="n">
        <v>-1</v>
      </c>
      <c r="C11" s="23">
        <f>'Tổng quan'!$B$4+B11</f>
        <v/>
      </c>
      <c r="D11" s="22">
        <f>CHOOSE(WEEKDAY(C11),"CN","T2","T3","T4","T5","T6","T7")</f>
        <v/>
      </c>
      <c r="E11" s="24" t="inlineStr">
        <is>
          <t>Nộp slide cuối · gộp thành 1 file duy nhất</t>
        </is>
      </c>
      <c r="F11" s="25" t="inlineStr">
        <is>
          <t>Cả 7</t>
        </is>
      </c>
      <c r="G11" s="25" t="inlineStr">
        <is>
          <t>Chưa làm</t>
        </is>
      </c>
    </row>
    <row r="12" ht="24" customHeight="1">
      <c r="A12" s="30" t="inlineStr">
        <is>
          <t>T-0</t>
        </is>
      </c>
      <c r="B12" s="30" t="n">
        <v>0</v>
      </c>
      <c r="C12" s="31">
        <f>'Tổng quan'!$B$4+B12</f>
        <v/>
      </c>
      <c r="D12" s="30">
        <f>CHOOSE(WEEKDAY(C12),"CN","T2","T3","T4","T5","T6","T7")</f>
        <v/>
      </c>
      <c r="E12" s="32" t="inlineStr">
        <is>
          <t>BUỔI HỌP (≈67 phút)</t>
        </is>
      </c>
      <c r="F12" s="33" t="inlineStr">
        <is>
          <t>Cả 7</t>
        </is>
      </c>
      <c r="G12" s="33" t="inlineStr">
        <is>
          <t>Chưa làm</t>
        </is>
      </c>
    </row>
    <row r="13" ht="24" customHeight="1">
      <c r="A13" s="22" t="inlineStr">
        <is>
          <t>T+1</t>
        </is>
      </c>
      <c r="B13" s="22" t="n">
        <v>1</v>
      </c>
      <c r="C13" s="23">
        <f>'Tổng quan'!$B$4+B13</f>
        <v/>
      </c>
      <c r="D13" s="22">
        <f>CHOOSE(WEEKDAY(C13),"CN","T2","T3","T4","T5","T6","T7")</f>
        <v/>
      </c>
      <c r="E13" s="24" t="inlineStr">
        <is>
          <t>Gửi 2–3 điều rút ra + watchlist (rút từ record Teams)</t>
        </is>
      </c>
      <c r="F13" s="25" t="inlineStr">
        <is>
          <t>Jak</t>
        </is>
      </c>
      <c r="G13" s="25" t="inlineStr">
        <is>
          <t>Chưa làm</t>
        </is>
      </c>
    </row>
    <row r="16">
      <c r="A16" s="5" t="inlineStr">
        <is>
          <t>Cột 'Trạng thái' để tự cập nhật: Chưa làm / Đang làm / Xong.</t>
        </is>
      </c>
    </row>
    <row r="17">
      <c r="A17" s="34" t="inlineStr">
        <is>
          <t>Lưu ý: nếu mốc rơi vào Thứ 7 / Chủ nhật (xem cột Thứ), tự dịch lên ngày làm việc gần nhất trước đó.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8" customWidth="1" min="3" max="3"/>
    <col width="44" customWidth="1" min="4" max="4"/>
    <col width="30" customWidth="1" min="5" max="5"/>
  </cols>
  <sheetData>
    <row r="1">
      <c r="A1" s="1" t="inlineStr">
        <is>
          <t>ĐỀ BÀI CHI TIẾT TỪNG NGƯỜI</t>
        </is>
      </c>
    </row>
    <row r="2">
      <c r="A2" s="2" t="inlineStr">
        <is>
          <t>Số liệu neo lấy từ bản M-Research 25/08/2026 — người nhận việc phải tự cập nhật đến sát ngày họp.</t>
        </is>
      </c>
    </row>
    <row r="4" ht="30" customHeight="1">
      <c r="A4" s="6" t="inlineStr">
        <is>
          <t>Người</t>
        </is>
      </c>
      <c r="B4" s="6" t="inlineStr">
        <is>
          <t>Phần</t>
        </is>
      </c>
      <c r="C4" s="6" t="inlineStr">
        <is>
          <t>Số liệu neo (bản T8/2026)</t>
        </is>
      </c>
      <c r="D4" s="6" t="inlineStr">
        <is>
          <t>Yêu cầu bắt buộc</t>
        </is>
      </c>
      <c r="E4" s="6" t="inlineStr">
        <is>
          <t>Cấm / Lưu ý</t>
        </is>
      </c>
    </row>
    <row r="5" ht="88" customHeight="1">
      <c r="A5" s="15" t="inlineStr">
        <is>
          <t>Quỳnh</t>
        </is>
      </c>
      <c r="B5" s="8" t="inlineStr">
        <is>
          <t>Cập nhật · KT quốc tế</t>
        </is>
      </c>
      <c r="C5" s="8" t="inlineStr">
        <is>
          <t>Commodity Index +36% YTD · Vàng 4.647 (+38% y/y) · Bạc +79% y/y · Brent 93 (đỉnh 111 hồi T5) · USTR Mục 301 (23/7): VN thuộc nhóm 43 nước chịu mức cao nhất 12,5%</t>
        </is>
      </c>
      <c r="D5" s="8" t="inlineStr">
        <is>
          <t>Chọn 1–2 điểm sáng. Mỗi điểm viết đúng 2 dòng: sự kiện/số liệu → hệ quả. Kết bằng 1 câu hỏi mở.</t>
        </is>
      </c>
      <c r="E5" s="8" t="inlineStr">
        <is>
          <t>CẤM đụng lãi suất / NHTW.</t>
        </is>
      </c>
    </row>
    <row r="6" ht="88" customHeight="1">
      <c r="A6" s="18" t="inlineStr">
        <is>
          <t>Trang</t>
        </is>
      </c>
      <c r="B6" s="10" t="inlineStr">
        <is>
          <t>Cập nhật · KT trong nước</t>
        </is>
      </c>
      <c r="C6" s="10" t="inlineStr">
        <is>
          <t>IIP 7T +11,4% (cao nhất từ 2019) · FDI đăng ký 38 tỷ USD (+58%) · ĐTC 425k tỷ, mới 41,9% KH · CPI 4,19% ave-ytd · Nhập siêu 20,3 tỷ USD (cùng kỳ 2025 XUẤT SIÊU 10,2 tỷ)</t>
        </is>
      </c>
      <c r="D6" s="10" t="inlineStr">
        <is>
          <t>Phân biệt điểm sáng thật vs nền so sánh thấp. Gợi ý: FDI đăng ký mới +109,7% một phần do nền thấp — bản T8 tự thừa nhận.</t>
        </is>
      </c>
      <c r="E6" s="10" t="inlineStr">
        <is>
          <t>Nêu rõ nguồn cho mỗi con số cập nhật thêm.</t>
        </is>
      </c>
    </row>
    <row r="7" ht="88" customHeight="1">
      <c r="A7" s="15" t="inlineStr">
        <is>
          <t>Hạnh</t>
        </is>
      </c>
      <c r="B7" s="8" t="inlineStr">
        <is>
          <t>Cập nhật · TT tài chính–tiền tệ</t>
        </is>
      </c>
      <c r="C7" s="8" t="inlineStr">
        <is>
          <t>TPDN 7T 309k tỷ (+25%), riêng BĐS 102k tỷ = gấp 2,5 lần y/y, TCTD 158k tỷ (-12%) · TD gộp +15,42% ytd vs huy động TT1 chỉ +7,42% · VN-Index thủng 1800 rồi 1700, đáy ~1650, thanh khoản đáy thấp</t>
        </is>
      </c>
      <c r="D7" s="8" t="inlineStr">
        <is>
          <t>Trả lời: ai đang hấp thụ lượng TPDN bất động sản đó?</t>
        </is>
      </c>
      <c r="E7" s="8" t="inlineStr">
        <is>
          <t>CẤM lãi suất MM / VNIBOR / TPCP (Phương giữ ở A4).</t>
        </is>
      </c>
    </row>
    <row r="8" ht="88" customHeight="1">
      <c r="A8" s="18" t="inlineStr">
        <is>
          <t>Trà</t>
        </is>
      </c>
      <c r="B8" s="10" t="inlineStr">
        <is>
          <t>A1 · Bối cảnh &amp; cơ chế (7 phút)</t>
        </is>
      </c>
      <c r="C8" s="10" t="inlineStr">
        <is>
          <t>LSCS bản T8: Fed 3,50–3,75 · ECB 2,40 · BOE 3,75 · RBA 4,35 · BOJ 1,00</t>
        </is>
      </c>
      <c r="D8" s="10" t="inlineStr">
        <is>
          <t>(1) NHTW nào động thái gì, mức bao nhiêu, ngày nào. (2) Lý do HỌ TỰ NÊU — đọc statement, không đoán. Slide: đúng 1 bảng 'trước → sau → lý do nêu ra'. Không cần chart.</t>
        </is>
      </c>
      <c r="E8" s="10" t="inlineStr">
        <is>
          <t>Nộp sớm hơn 1 ngày (T-4) vì 3 phần sau dựa vào.</t>
        </is>
      </c>
    </row>
    <row r="9" ht="88" customHeight="1">
      <c r="A9" s="15" t="inlineStr">
        <is>
          <t>Jak</t>
        </is>
      </c>
      <c r="B9" s="8" t="inlineStr">
        <is>
          <t>A2 · Fed giữ hay tăng? (5 phút)</t>
        </is>
      </c>
      <c r="C9" s="8" t="inlineStr">
        <is>
          <t>CME (bản T8): giữ T9, +25bp T12 — kiểm xem đã đổi chưa · Lợi suất 30Y Mỹ cao nhất từ 2007 · BTC Mỹ 19/8 tăng gấp đôi quy mô mua lại TPCP · Biên bản FOMC T7: 9/12 giữ, 3 muốn TĂNG</t>
        </is>
      </c>
      <c r="D9" s="8" t="inlineStr">
        <is>
          <t>Trả lời: lạm phát hay chi phí nợ công đang thắng? Slide: 1 chart xác suất CME + 1 dòng kết luận.</t>
        </is>
      </c>
      <c r="E9" s="8" t="inlineStr">
        <is>
          <t>Kiểm lại tỷ lệ biểu quyết FOMC đã đổi chưa.</t>
        </is>
      </c>
    </row>
    <row r="10" ht="88" customHeight="1">
      <c r="A10" s="18" t="inlineStr">
        <is>
          <t>Thảo</t>
        </is>
      </c>
      <c r="B10" s="10" t="inlineStr">
        <is>
          <t>A3 · Thị trường phản ứng (5 phút)</t>
        </is>
      </c>
      <c r="C10" s="10" t="inlineStr">
        <is>
          <t>DXY 98,83 (-2,60% m/m) · lợi suất 10Y các nước lớn · vàng · dòng vốn khỏi thị trường mới nổi</t>
        </is>
      </c>
      <c r="D10" s="10" t="inlineStr">
        <is>
          <t>Tìm chỗ giá phản ứng NGƯỢC kỳ vọng — đó là chỗ đáng nói nhất. 1–2 chart.</t>
        </is>
      </c>
      <c r="E10" s="10" t="inlineStr">
        <is>
          <t>BẮT BUỘC đánh dấu ngày sự kiện lên chart. Chart không có mốc thời điểm là vô nghĩa.</t>
        </is>
      </c>
    </row>
    <row r="11" ht="88" customHeight="1">
      <c r="A11" s="15" t="inlineStr">
        <is>
          <t>Phương</t>
        </is>
      </c>
      <c r="B11" s="8" t="inlineStr">
        <is>
          <t>A4 · Góc Việt Nam (5 phút) — phần chốt</t>
        </is>
      </c>
      <c r="C11" s="8" t="inlineStr">
        <is>
          <t>VNIBOR: ON 3,00 / 1W 4,50 / 1M 7,10 / 3M 7,65 / 6M–1Y 7,85 · CPI base 4,42% vs trần 4,5% · GAP TT1: TD +15,42% vs HĐ +7,42%</t>
        </is>
      </c>
      <c r="D11" s="8" t="inlineStr">
        <is>
          <t>Trả lời: SBV còn dư địa gì nếu lãi suất USD đứng cao hoặc tăng tiếp? Giải thích vì sao đường cong dốc đứng bất thường ở đoạn ngắn.</t>
        </is>
      </c>
      <c r="E11" s="8" t="inlineStr">
        <is>
          <t>Câu chốt gây tranh luận, nói thẳng trước phòng: SBV đang nới (CV 5386 nới room, dự kiến CDR thay LDR) trong lúc thế giới thắt — ngược dòng được bao lâu?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44" customWidth="1" min="5" max="5"/>
    <col width="16" customWidth="1" min="6" max="6"/>
  </cols>
  <sheetData>
    <row r="1">
      <c r="A1" s="1" t="inlineStr">
        <is>
          <t>KỊCH BẢN CHẠY BUỔI</t>
        </is>
      </c>
    </row>
    <row r="2">
      <c r="A2" s="2" t="inlineStr">
        <is>
          <t>Cột 'Từ phút' tự tính cộng dồn. Đồng hồ đếm ngược để trên màn hình, hết giờ là dừng.</t>
        </is>
      </c>
    </row>
    <row r="4" ht="30" customHeight="1">
      <c r="A4" s="6" t="inlineStr">
        <is>
          <t>Từ phút</t>
        </is>
      </c>
      <c r="B4" s="6" t="inlineStr">
        <is>
          <t>Đến phút</t>
        </is>
      </c>
      <c r="C4" s="6" t="inlineStr">
        <is>
          <t>Phút</t>
        </is>
      </c>
      <c r="D4" s="6" t="inlineStr">
        <is>
          <t>Ai</t>
        </is>
      </c>
      <c r="E4" s="6" t="inlineStr">
        <is>
          <t>Nội dung</t>
        </is>
      </c>
      <c r="F4" s="6" t="inlineStr">
        <is>
          <t>Ghi chú</t>
        </is>
      </c>
    </row>
    <row r="5" ht="26" customHeight="1">
      <c r="A5" s="22" t="n">
        <v>0</v>
      </c>
      <c r="B5" s="22">
        <f>A5+C5</f>
        <v/>
      </c>
      <c r="C5" s="22" t="n">
        <v>2</v>
      </c>
      <c r="D5" s="25" t="inlineStr">
        <is>
          <t>Cả phòng</t>
        </is>
      </c>
      <c r="E5" s="24" t="inlineStr">
        <is>
          <t>Dự đoán bỏ túi — ghi 4 con số vào chat Teams</t>
        </is>
      </c>
      <c r="F5" s="24" t="inlineStr">
        <is>
          <t>Jak mở màn</t>
        </is>
      </c>
    </row>
    <row r="6" ht="26" customHeight="1">
      <c r="A6" s="26">
        <f>B5</f>
        <v/>
      </c>
      <c r="B6" s="26">
        <f>A6+C6</f>
        <v/>
      </c>
      <c r="C6" s="26" t="n">
        <v>5</v>
      </c>
      <c r="D6" s="29" t="inlineStr">
        <is>
          <t>Quỳnh</t>
        </is>
      </c>
      <c r="E6" s="28" t="inlineStr">
        <is>
          <t>Cập nhật KT quốc tế</t>
        </is>
      </c>
      <c r="F6" s="28" t="inlineStr">
        <is>
          <t>1 slide</t>
        </is>
      </c>
    </row>
    <row r="7" ht="26" customHeight="1">
      <c r="A7" s="22">
        <f>B6</f>
        <v/>
      </c>
      <c r="B7" s="22">
        <f>A7+C7</f>
        <v/>
      </c>
      <c r="C7" s="22" t="n">
        <v>5</v>
      </c>
      <c r="D7" s="25" t="inlineStr">
        <is>
          <t>Trang</t>
        </is>
      </c>
      <c r="E7" s="24" t="inlineStr">
        <is>
          <t>Cập nhật KT trong nước</t>
        </is>
      </c>
      <c r="F7" s="24" t="inlineStr">
        <is>
          <t>1 slide</t>
        </is>
      </c>
    </row>
    <row r="8" ht="26" customHeight="1">
      <c r="A8" s="26">
        <f>B7</f>
        <v/>
      </c>
      <c r="B8" s="26">
        <f>A8+C8</f>
        <v/>
      </c>
      <c r="C8" s="26" t="n">
        <v>5</v>
      </c>
      <c r="D8" s="29" t="inlineStr">
        <is>
          <t>Hạnh</t>
        </is>
      </c>
      <c r="E8" s="28" t="inlineStr">
        <is>
          <t>Cập nhật TT tài chính–tiền tệ</t>
        </is>
      </c>
      <c r="F8" s="28" t="inlineStr">
        <is>
          <t>1 slide</t>
        </is>
      </c>
    </row>
    <row r="9" ht="26" customHeight="1">
      <c r="A9" s="22">
        <f>B8</f>
        <v/>
      </c>
      <c r="B9" s="22">
        <f>A9+C9</f>
        <v/>
      </c>
      <c r="C9" s="22" t="n">
        <v>7</v>
      </c>
      <c r="D9" s="25" t="inlineStr">
        <is>
          <t>Trà</t>
        </is>
      </c>
      <c r="E9" s="24" t="inlineStr">
        <is>
          <t>A1 · Bối cảnh &amp; cơ chế</t>
        </is>
      </c>
      <c r="F9" s="24" t="inlineStr">
        <is>
          <t>Nền cho 3 phần sau</t>
        </is>
      </c>
    </row>
    <row r="10" ht="26" customHeight="1">
      <c r="A10" s="26">
        <f>B9</f>
        <v/>
      </c>
      <c r="B10" s="26">
        <f>A10+C10</f>
        <v/>
      </c>
      <c r="C10" s="26" t="n">
        <v>5</v>
      </c>
      <c r="D10" s="29" t="inlineStr">
        <is>
          <t>Jak</t>
        </is>
      </c>
      <c r="E10" s="28" t="inlineStr">
        <is>
          <t>A2 · Fed giữ hay tăng?</t>
        </is>
      </c>
      <c r="F10" s="28" t="inlineStr"/>
    </row>
    <row r="11" ht="26" customHeight="1">
      <c r="A11" s="22">
        <f>B10</f>
        <v/>
      </c>
      <c r="B11" s="22">
        <f>A11+C11</f>
        <v/>
      </c>
      <c r="C11" s="22" t="n">
        <v>5</v>
      </c>
      <c r="D11" s="25" t="inlineStr">
        <is>
          <t>Thảo</t>
        </is>
      </c>
      <c r="E11" s="24" t="inlineStr">
        <is>
          <t>A3 · Thị trường phản ứng</t>
        </is>
      </c>
      <c r="F11" s="24" t="inlineStr"/>
    </row>
    <row r="12" ht="26" customHeight="1">
      <c r="A12" s="26">
        <f>B11</f>
        <v/>
      </c>
      <c r="B12" s="26">
        <f>A12+C12</f>
        <v/>
      </c>
      <c r="C12" s="26" t="n">
        <v>5</v>
      </c>
      <c r="D12" s="29" t="inlineStr">
        <is>
          <t>Phương</t>
        </is>
      </c>
      <c r="E12" s="28" t="inlineStr">
        <is>
          <t>A4 · Góc Việt Nam</t>
        </is>
      </c>
      <c r="F12" s="28" t="inlineStr">
        <is>
          <t>Phần chốt, nổ ra tranh luận</t>
        </is>
      </c>
    </row>
    <row r="13" ht="26" customHeight="1">
      <c r="A13" s="22">
        <f>B12</f>
        <v/>
      </c>
      <c r="B13" s="22">
        <f>A13+C13</f>
        <v/>
      </c>
      <c r="C13" s="22" t="n">
        <v>23</v>
      </c>
      <c r="D13" s="25" t="inlineStr">
        <is>
          <t>Cả phòng</t>
        </is>
      </c>
      <c r="E13" s="24" t="inlineStr">
        <is>
          <t>Trao đổi + câu hỏi sếp + debate</t>
        </is>
      </c>
      <c r="F13" s="24" t="inlineStr">
        <is>
          <t>3 câu mồi dự phòng — xem sheet Điều phối</t>
        </is>
      </c>
    </row>
    <row r="14" ht="26" customHeight="1">
      <c r="A14" s="26">
        <f>B13</f>
        <v/>
      </c>
      <c r="B14" s="26">
        <f>A14+C14</f>
        <v/>
      </c>
      <c r="C14" s="26" t="n">
        <v>5</v>
      </c>
      <c r="D14" s="29" t="inlineStr">
        <is>
          <t>Jak</t>
        </is>
      </c>
      <c r="E14" s="28" t="inlineStr">
        <is>
          <t>Chốt 2–3 điều rút ra + watchlist</t>
        </is>
      </c>
      <c r="F14" s="28" t="inlineStr"/>
    </row>
    <row r="15">
      <c r="A15" s="11" t="inlineStr">
        <is>
          <t>TỔNG PHÚT</t>
        </is>
      </c>
      <c r="B15" s="12">
        <f>SUM(C5:C14)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6" customWidth="1" min="6" max="6"/>
  </cols>
  <sheetData>
    <row r="1">
      <c r="A1" s="1" t="inlineStr">
        <is>
          <t>DỰ ĐOÁN BỎ TÚI — 2 PHÚT ĐẦU BUỔI</t>
        </is>
      </c>
    </row>
    <row r="2">
      <c r="A2" s="2" t="inlineStr">
        <is>
          <t>Mỗi người ghi 4 con số dự báo cuối 2026. Lưu lại, KỲ SAU mở ra chấm điểm. Ai đúng nhất được chọn case kỳ sau.</t>
        </is>
      </c>
    </row>
    <row r="4" ht="30" customHeight="1">
      <c r="A4" s="6" t="inlineStr">
        <is>
          <t>Người</t>
        </is>
      </c>
      <c r="B4" s="6" t="inlineStr">
        <is>
          <t>LSCS Fed cuối T12/2026 (%)</t>
        </is>
      </c>
      <c r="C4" s="6" t="inlineStr">
        <is>
          <t>CPI 2026 ave-ytd (%)</t>
        </is>
      </c>
      <c r="D4" s="6" t="inlineStr">
        <is>
          <t>USDVND 31/12/2026</t>
        </is>
      </c>
      <c r="E4" s="6" t="inlineStr">
        <is>
          <t>VN-Index 31/12/2026</t>
        </is>
      </c>
      <c r="F4" s="6" t="inlineStr">
        <is>
          <t>Ghi chú</t>
        </is>
      </c>
    </row>
    <row r="5" ht="22" customHeight="1">
      <c r="A5" s="35" t="inlineStr">
        <is>
          <t>(ví dụ) M-Research</t>
        </is>
      </c>
      <c r="B5" s="36" t="n">
        <v>4</v>
      </c>
      <c r="C5" s="36" t="n">
        <v>4.42</v>
      </c>
      <c r="D5" s="37" t="n">
        <v>25850</v>
      </c>
      <c r="E5" s="37" t="n"/>
      <c r="F5" s="38" t="inlineStr">
        <is>
          <t>KB cơ sở bản T8/2026</t>
        </is>
      </c>
    </row>
    <row r="6" ht="22" customHeight="1">
      <c r="A6" s="9" t="inlineStr">
        <is>
          <t>Quỳnh</t>
        </is>
      </c>
      <c r="B6" s="39" t="n"/>
      <c r="C6" s="39" t="n"/>
      <c r="D6" s="40" t="n"/>
      <c r="E6" s="40" t="n"/>
      <c r="F6" s="10" t="inlineStr"/>
    </row>
    <row r="7" ht="22" customHeight="1">
      <c r="A7" s="7" t="inlineStr">
        <is>
          <t>Trang</t>
        </is>
      </c>
      <c r="B7" s="39" t="n"/>
      <c r="C7" s="39" t="n"/>
      <c r="D7" s="40" t="n"/>
      <c r="E7" s="40" t="n"/>
      <c r="F7" s="8" t="inlineStr"/>
    </row>
    <row r="8" ht="22" customHeight="1">
      <c r="A8" s="9" t="inlineStr">
        <is>
          <t>Hạnh</t>
        </is>
      </c>
      <c r="B8" s="39" t="n"/>
      <c r="C8" s="39" t="n"/>
      <c r="D8" s="40" t="n"/>
      <c r="E8" s="40" t="n"/>
      <c r="F8" s="10" t="inlineStr"/>
    </row>
    <row r="9" ht="22" customHeight="1">
      <c r="A9" s="7" t="inlineStr">
        <is>
          <t>Trà</t>
        </is>
      </c>
      <c r="B9" s="39" t="n"/>
      <c r="C9" s="39" t="n"/>
      <c r="D9" s="40" t="n"/>
      <c r="E9" s="40" t="n"/>
      <c r="F9" s="8" t="inlineStr"/>
    </row>
    <row r="10" ht="22" customHeight="1">
      <c r="A10" s="9" t="inlineStr">
        <is>
          <t>Jak</t>
        </is>
      </c>
      <c r="B10" s="39" t="n"/>
      <c r="C10" s="39" t="n"/>
      <c r="D10" s="40" t="n"/>
      <c r="E10" s="40" t="n"/>
      <c r="F10" s="10" t="inlineStr"/>
    </row>
    <row r="11" ht="22" customHeight="1">
      <c r="A11" s="7" t="inlineStr">
        <is>
          <t>Thảo</t>
        </is>
      </c>
      <c r="B11" s="39" t="n"/>
      <c r="C11" s="39" t="n"/>
      <c r="D11" s="40" t="n"/>
      <c r="E11" s="40" t="n"/>
      <c r="F11" s="8" t="inlineStr"/>
    </row>
    <row r="12" ht="22" customHeight="1">
      <c r="A12" s="9" t="inlineStr">
        <is>
          <t>Phương</t>
        </is>
      </c>
      <c r="B12" s="39" t="n"/>
      <c r="C12" s="39" t="n"/>
      <c r="D12" s="40" t="n"/>
      <c r="E12" s="40" t="n"/>
      <c r="F12" s="10" t="inlineStr"/>
    </row>
    <row r="14">
      <c r="A14" s="5" t="inlineStr">
        <is>
          <t>Hàng ví dụ (xám, in nghiêng) là dự báo của M-Research trong bản 25/08/2026 — dùng làm mốc so sánh, không phải để điền.</t>
        </is>
      </c>
    </row>
    <row r="15">
      <c r="A15" s="5" t="inlineStr">
        <is>
          <t>Ô vàng: mỗi người tự điền. Bỏ trống ô nào không muốn đoán.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6" customWidth="1" min="2" max="2"/>
    <col width="22" customWidth="1" min="3" max="3"/>
    <col width="14" customWidth="1" min="4" max="4"/>
  </cols>
  <sheetData>
    <row r="1">
      <c r="A1" s="1" t="inlineStr">
        <is>
          <t>CHECKLIST ĐIỀU PHỐI (Jak)</t>
        </is>
      </c>
    </row>
    <row r="2">
      <c r="A2" s="2" t="inlineStr">
        <is>
          <t>Sáu cách giữ buổi không nhạt và không căng, xếp theo hiệu quả.</t>
        </is>
      </c>
    </row>
    <row r="4">
      <c r="A4" s="3" t="inlineStr">
        <is>
          <t>SÁU CÔNG CỤ GIỮ NHỊP</t>
        </is>
      </c>
    </row>
    <row r="5" ht="30" customHeight="1">
      <c r="A5" s="6" t="inlineStr">
        <is>
          <t>#</t>
        </is>
      </c>
      <c r="B5" s="6" t="inlineStr">
        <is>
          <t>Công cụ</t>
        </is>
      </c>
      <c r="C5" s="6" t="inlineStr">
        <is>
          <t>Khi nào dùng</t>
        </is>
      </c>
      <c r="D5" s="6" t="inlineStr">
        <is>
          <t>Ai phụ trách</t>
        </is>
      </c>
    </row>
    <row r="6" ht="46" customHeight="1">
      <c r="A6" s="7" t="n">
        <v>1</v>
      </c>
      <c r="B6" s="8" t="inlineStr">
        <is>
          <t>Dự đoán bỏ túi — 4 con số, lưu lại, kỳ sau chấm điểm. Tạo cạnh tranh vui, nối các kỳ với nhau, biến vĩ mô từ 'đọc báo cáo' thành 'tôi có phần trong đó'.</t>
        </is>
      </c>
      <c r="C6" s="8" t="inlineStr">
        <is>
          <t>2 phút đầu buổi</t>
        </is>
      </c>
      <c r="D6" s="7" t="inlineStr">
        <is>
          <t>Jak</t>
        </is>
      </c>
    </row>
    <row r="7" ht="46" customHeight="1">
      <c r="A7" s="9" t="n">
        <v>2</v>
      </c>
      <c r="B7" s="10" t="inlineStr">
        <is>
          <t>Luật '1 chart, 3 dòng' — mỗi slide tối đa 1 biểu đồ + 3 dòng chữ. Ép ngắn là ép hiểu, đồng thời GIẢM áp lực chuẩn bị.</t>
        </is>
      </c>
      <c r="C7" s="10" t="inlineStr">
        <is>
          <t>Ghi trong đề bài</t>
        </is>
      </c>
      <c r="D7" s="9" t="inlineStr">
        <is>
          <t>Cả 7</t>
        </is>
      </c>
    </row>
    <row r="8" ht="46" customHeight="1">
      <c r="A8" s="7" t="n">
        <v>3</v>
      </c>
      <c r="B8" s="8" t="inlineStr">
        <is>
          <t>Mục 'Điểm mù' — mỗi người kết bằng đúng 1 câu: 'Điều tôi chưa chắc là...'. Biến việc thừa nhận không biết thành chuẩn mực chứ không phải điểm trừ. Jak làm gương trước.</t>
        </is>
      </c>
      <c r="C8" s="8" t="inlineStr">
        <is>
          <t>Cuối mỗi phần</t>
        </is>
      </c>
      <c r="D8" s="7" t="inlineStr">
        <is>
          <t>Cả 7</t>
        </is>
      </c>
    </row>
    <row r="9" ht="46" customHeight="1">
      <c r="A9" s="9" t="n">
        <v>4</v>
      </c>
      <c r="B9" s="10" t="inlineStr">
        <is>
          <t>'Nếu sếp hỏi' — mỗi người thủ sẵn 1 câu trả lời 15 giây cho câu sếp có thể vặn. Biến nỗi lo bị hỏi thành trò chơi chuẩn bị.</t>
        </is>
      </c>
      <c r="C9" s="10" t="inlineStr">
        <is>
          <t>Chuẩn bị trước</t>
        </is>
      </c>
      <c r="D9" s="9" t="inlineStr">
        <is>
          <t>Cả 7</t>
        </is>
      </c>
    </row>
    <row r="10" ht="46" customHeight="1">
      <c r="A10" s="7" t="n">
        <v>5</v>
      </c>
      <c r="B10" s="8" t="inlineStr">
        <is>
          <t>Đồng hồ đếm ngược trên màn hình — hết giờ dừng giữa câu, không sao cả. Nghe khắc nghiệt nhưng thực tế làm NHẸ không khí: ai cũng biết mình sắp xong.</t>
        </is>
      </c>
      <c r="C10" s="8" t="inlineStr">
        <is>
          <t>Suốt buổi</t>
        </is>
      </c>
      <c r="D10" s="7" t="inlineStr">
        <is>
          <t>Jak</t>
        </is>
      </c>
    </row>
    <row r="11" ht="46" customHeight="1">
      <c r="A11" s="9" t="n">
        <v>6</v>
      </c>
      <c r="B11" s="10" t="inlineStr">
        <is>
          <t>Xoay vai trò mỗi kỳ — kỳ này làm cập nhật thì kỳ sau vào case. Sau 2 kỳ ai cũng biết cả hai kiểu việc.</t>
        </is>
      </c>
      <c r="C11" s="10" t="inlineStr">
        <is>
          <t>Kỳ sau</t>
        </is>
      </c>
      <c r="D11" s="9" t="inlineStr">
        <is>
          <t>Jak</t>
        </is>
      </c>
    </row>
    <row r="13">
      <c r="A13" s="3" t="inlineStr">
        <is>
          <t>BA CÂU HỎI MỒI DỰ PHÒNG (dùng khi phần thảo luận chững lại)</t>
        </is>
      </c>
    </row>
    <row r="14" ht="30" customHeight="1">
      <c r="A14" s="6" t="inlineStr">
        <is>
          <t>#</t>
        </is>
      </c>
      <c r="B14" s="6" t="inlineStr">
        <is>
          <t>Câu hỏi</t>
        </is>
      </c>
      <c r="C14" s="6" t="inlineStr"/>
      <c r="D14" s="6" t="inlineStr"/>
    </row>
    <row r="15" ht="30" customHeight="1">
      <c r="A15" s="7" t="n">
        <v>1</v>
      </c>
      <c r="B15" s="8" t="inlineStr">
        <is>
          <t>1H tăng trưởng chỉ 8,18%, để đạt mục tiêu ≥10% thì 2H phải đạt 11,9% — ai trong phòng tin con số này?</t>
        </is>
      </c>
      <c r="C15" s="7" t="inlineStr"/>
      <c r="D15" s="7" t="inlineStr"/>
    </row>
    <row r="16" ht="30" customHeight="1">
      <c r="A16" s="9" t="n">
        <v>2</v>
      </c>
      <c r="B16" s="10" t="inlineStr">
        <is>
          <t>Lạm phát KB cơ sở 4,42% vs trần 4,5% — còn dư địa nào để nới tiền tệ nữa không?</t>
        </is>
      </c>
      <c r="C16" s="9" t="inlineStr"/>
      <c r="D16" s="9" t="inlineStr"/>
    </row>
    <row r="17" ht="30" customHeight="1">
      <c r="A17" s="7" t="n">
        <v>3</v>
      </c>
      <c r="B17" s="8" t="inlineStr">
        <is>
          <t>ON 3,00% nhưng 3M 7,65% — đường cong dốc bất thường này nói lên điều gì về thanh khoản hệ thống?</t>
        </is>
      </c>
      <c r="C17" s="7" t="inlineStr"/>
      <c r="D17" s="7" t="inlineStr"/>
    </row>
    <row r="19">
      <c r="A19" s="13" t="inlineStr">
        <is>
          <t>MỘT ĐIỀU NÊN BỎ</t>
        </is>
      </c>
    </row>
    <row r="20" ht="30" customHeight="1">
      <c r="A20" s="41" t="inlineStr">
        <is>
          <t>Đừng đòi người dưới 3 năm kinh nghiệm đưa 'quan điểm độc lập'. Chỉ đòi 1 quan sát + 1 câu hỏi. Quan điểm sẽ tự đến sau vài kỳ.</t>
        </is>
      </c>
    </row>
    <row r="22">
      <c r="A22" s="3" t="inlineStr">
        <is>
          <t>CÒN THIẾU — Jak cần chốt trước khi gửi đề bài</t>
        </is>
      </c>
    </row>
    <row r="23" ht="30" customHeight="1">
      <c r="A23" s="6" t="inlineStr">
        <is>
          <t>#</t>
        </is>
      </c>
      <c r="B23" s="6" t="inlineStr">
        <is>
          <t>Nội dung cần chốt</t>
        </is>
      </c>
      <c r="C23" s="6" t="inlineStr">
        <is>
          <t>Ảnh hưởng đến</t>
        </is>
      </c>
      <c r="D23" s="6" t="inlineStr">
        <is>
          <t>Trạng thái</t>
        </is>
      </c>
    </row>
    <row r="24" ht="32" customHeight="1">
      <c r="A24" s="7" t="n">
        <v>1</v>
      </c>
      <c r="B24" s="8" t="inlineStr">
        <is>
          <t>Ngày họp cụ thể</t>
        </is>
      </c>
      <c r="C24" s="8" t="inlineStr">
        <is>
          <t>Toàn bộ sheet Timeline</t>
        </is>
      </c>
      <c r="D24" s="7" t="inlineStr">
        <is>
          <t>Chưa chốt</t>
        </is>
      </c>
    </row>
    <row r="25" ht="32" customHeight="1">
      <c r="A25" s="9" t="n">
        <v>2</v>
      </c>
      <c r="B25" s="10" t="inlineStr">
        <is>
          <t>Ai có Bloomberg/Refinitiv? Xác suất CME (Jak) và dòng vốn EM (Thảo) cần nguồn</t>
        </is>
      </c>
      <c r="C25" s="10" t="inlineStr">
        <is>
          <t>Đề bài Jak, Thảo</t>
        </is>
      </c>
      <c r="D25" s="9" t="inlineStr">
        <is>
          <t>Chưa chốt</t>
        </is>
      </c>
    </row>
    <row r="26" ht="32" customHeight="1">
      <c r="A26" s="7" t="n">
        <v>3</v>
      </c>
      <c r="B26" s="8" t="inlineStr">
        <is>
          <t>Sếp cấp nào dự? Nếu Giám đốc Khối thì A4 cần thêm 1 dòng hàm ý cho bảng cân đối</t>
        </is>
      </c>
      <c r="C26" s="8" t="inlineStr">
        <is>
          <t>Đề bài Phương</t>
        </is>
      </c>
      <c r="D26" s="7" t="inlineStr">
        <is>
          <t>Chưa chốt</t>
        </is>
      </c>
    </row>
    <row r="27" ht="32" customHeight="1">
      <c r="A27" s="9" t="n">
        <v>4</v>
      </c>
      <c r="B27" s="10" t="inlineStr">
        <is>
          <t>Có ai ngại nói trước đám đông không? Nếu có, đổi sang slot cập nhật (1 slide, dễ thở)</t>
        </is>
      </c>
      <c r="C27" s="10" t="inlineStr">
        <is>
          <t>Sheet Phân công</t>
        </is>
      </c>
      <c r="D27" s="9" t="inlineStr">
        <is>
          <t>Chưa chốt</t>
        </is>
      </c>
    </row>
  </sheetData>
  <mergeCells count="1"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2026-09-10T10:13:12Z</dcterms:created>
  <dcterms:modified xsi:type="dcterms:W3CDTF">2026-09-10T10:13:12Z</dcterms:modified>
</cp:coreProperties>
</file>