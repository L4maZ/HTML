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rv01.msb.com.vn\06.Khoi Quan Ly Rui Ro\02.Trung Tam QLRR Thi Truong\02.Phong GSRRTT\05.Report\02.Monthly Report\06. Bond Monthly\03.FIBond_Internal rating\"/>
    </mc:Choice>
  </mc:AlternateContent>
  <xr:revisionPtr revIDLastSave="0" documentId="8_{C2A72230-C611-4664-A89C-670FEBB816CB}" xr6:coauthVersionLast="47" xr6:coauthVersionMax="47" xr10:uidLastSave="{00000000-0000-0000-0000-000000000000}"/>
  <bookViews>
    <workbookView xWindow="-100" yWindow="-100" windowWidth="21467" windowHeight="11443" xr2:uid="{7FE8DA0E-F421-47F7-AD52-A97A28B51832}"/>
  </bookViews>
  <sheets>
    <sheet name="META" sheetId="1" r:id="rId1"/>
    <sheet name="KPI" sheetId="2" r:id="rId2"/>
    <sheet name="EVENTS" sheetId="3" r:id="rId3"/>
    <sheet name="RATING_STRUCTURE" sheetId="4" r:id="rId4"/>
    <sheet name="TENOR" sheetId="5" r:id="rId5"/>
    <sheet name="PORTFOLIO" sheetId="6" r:id="rId6"/>
    <sheet name="TEX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7" l="1"/>
  <c r="D4" i="7"/>
  <c r="D3" i="7"/>
  <c r="D2" i="7"/>
</calcChain>
</file>

<file path=xl/sharedStrings.xml><?xml version="1.0" encoding="utf-8"?>
<sst xmlns="http://schemas.openxmlformats.org/spreadsheetml/2006/main" count="748" uniqueCount="416">
  <si>
    <t>Key</t>
  </si>
  <si>
    <t>Value</t>
  </si>
  <si>
    <t>Ghi chu</t>
  </si>
  <si>
    <t>schema</t>
  </si>
  <si>
    <t>rating.key.v1</t>
  </si>
  <si>
    <t>Phiên bản cấu trúc File Key</t>
  </si>
  <si>
    <t>asOf</t>
  </si>
  <si>
    <t>Ngày báo cáo</t>
  </si>
  <si>
    <t>sourceFile</t>
  </si>
  <si>
    <t>01.FIBond_Rating.xlsb</t>
  </si>
  <si>
    <t>File Rating nguồn</t>
  </si>
  <si>
    <t>generatedAt</t>
  </si>
  <si>
    <t>2026-10-05 14:12:26</t>
  </si>
  <si>
    <t>Thời điểm xuất File Key</t>
  </si>
  <si>
    <t>sourceCheck</t>
  </si>
  <si>
    <t>CHECK</t>
  </si>
  <si>
    <t>Giá trị Check trong file nguồn</t>
  </si>
  <si>
    <t>portfolioCount</t>
  </si>
  <si>
    <t>Số dòng trái phiếu</t>
  </si>
  <si>
    <t>eventCount</t>
  </si>
  <si>
    <t>Tổng số sự kiện Rating</t>
  </si>
  <si>
    <t>ratingChangeCount</t>
  </si>
  <si>
    <t>Số dòng thay đổi Rating</t>
  </si>
  <si>
    <t>newRatingCount</t>
  </si>
  <si>
    <t>Số issuer mới / xóa Rating</t>
  </si>
  <si>
    <t>reviewChangeCount</t>
  </si>
  <si>
    <t>Số issuer đổi ngày Review</t>
  </si>
  <si>
    <t>totalRating</t>
  </si>
  <si>
    <t>Tổng tại bảng cơ cấu Rating</t>
  </si>
  <si>
    <t>totalPortfolio</t>
  </si>
  <si>
    <t>Tổng chi tiết bond-level</t>
  </si>
  <si>
    <t>totalAfterCpty</t>
  </si>
  <si>
    <t>Tổng sau điều chỉnh đối ứng tại dòng Total</t>
  </si>
  <si>
    <t>totalTenor</t>
  </si>
  <si>
    <t>Tổng bảng kỳ hạn</t>
  </si>
  <si>
    <t>diffRatingVsPortfolio</t>
  </si>
  <si>
    <t>Chênh lệch bảng Rating và bond-level</t>
  </si>
  <si>
    <t>diffTenorVsPortfolio</t>
  </si>
  <si>
    <t>Chênh lệch bảng tenor và bond-level</t>
  </si>
  <si>
    <t>KeyID</t>
  </si>
  <si>
    <t>Label</t>
  </si>
  <si>
    <t>Unit</t>
  </si>
  <si>
    <t>Source</t>
  </si>
  <si>
    <t>kpi.totalOutstanding</t>
  </si>
  <si>
    <t>Bond Outstanding</t>
  </si>
  <si>
    <t>tỷ VND</t>
  </si>
  <si>
    <t>Portfolio!D10</t>
  </si>
  <si>
    <t>kpi.bbbPlus</t>
  </si>
  <si>
    <t>Từ BBB trở lên</t>
  </si>
  <si>
    <t>%</t>
  </si>
  <si>
    <t>Portfolio!E6</t>
  </si>
  <si>
    <t>kpi.bbbPlusAfterCpty</t>
  </si>
  <si>
    <t>Từ BBB trở lên sau đối ứng</t>
  </si>
  <si>
    <t>Portfolio!F6</t>
  </si>
  <si>
    <t>kpi.ratingChangeCount</t>
  </si>
  <si>
    <t>Thay đổi Rating</t>
  </si>
  <si>
    <t>dòng</t>
  </si>
  <si>
    <t>Report!G3:L8</t>
  </si>
  <si>
    <t>kpi.newRatingCount</t>
  </si>
  <si>
    <t>Rating mới / xóa</t>
  </si>
  <si>
    <t>issuer</t>
  </si>
  <si>
    <t>Report!G25:Q29</t>
  </si>
  <si>
    <t>kpi.reviewChangeCount</t>
  </si>
  <si>
    <t>Đổi ngày Review</t>
  </si>
  <si>
    <t>Report!G11:K21</t>
  </si>
  <si>
    <t>EventType</t>
  </si>
  <si>
    <t>Issuer</t>
  </si>
  <si>
    <t>IssuerName</t>
  </si>
  <si>
    <t>OldRating</t>
  </si>
  <si>
    <t>NewRating</t>
  </si>
  <si>
    <t>OldReviewDate</t>
  </si>
  <si>
    <t>NewReviewDate</t>
  </si>
  <si>
    <t>CorporateType</t>
  </si>
  <si>
    <t>Fitch</t>
  </si>
  <si>
    <t>Moodys</t>
  </si>
  <si>
    <t>SP</t>
  </si>
  <si>
    <t>RatingDate</t>
  </si>
  <si>
    <t>FitchDate</t>
  </si>
  <si>
    <t>MoodysDate</t>
  </si>
  <si>
    <t>SPDate</t>
  </si>
  <si>
    <t>event.rating_change.VABV</t>
  </si>
  <si>
    <t>RATING_CHANGE</t>
  </si>
  <si>
    <t>VABV</t>
  </si>
  <si>
    <t>NGAN HANG TMCP VIET A</t>
  </si>
  <si>
    <t>BB</t>
  </si>
  <si>
    <t>BBB</t>
  </si>
  <si>
    <t>Report!G3:L3</t>
  </si>
  <si>
    <t>event.new_or_removed.SBL</t>
  </si>
  <si>
    <t>NEW_OR_REMOVED_RATING</t>
  </si>
  <si>
    <t>SBL</t>
  </si>
  <si>
    <t>CONG TY TNHH MTV CHO THUE TAI CHINH NH SAI GON THUONG TIN</t>
  </si>
  <si>
    <t>A</t>
  </si>
  <si>
    <t>CTTC</t>
  </si>
  <si>
    <t>Report!G25:Q25</t>
  </si>
  <si>
    <t>event.new_or_removed.LPBS</t>
  </si>
  <si>
    <t>LPBS</t>
  </si>
  <si>
    <t>CONG TY CP CHUNG KHOAN LPS</t>
  </si>
  <si>
    <t>AAA</t>
  </si>
  <si>
    <t>CTCK</t>
  </si>
  <si>
    <t>Report!G26:Q26</t>
  </si>
  <si>
    <t>event.review_change.UOB_SING</t>
  </si>
  <si>
    <t>REVIEW_CHANGE</t>
  </si>
  <si>
    <t>UOB_SING</t>
  </si>
  <si>
    <t>NGAN HANG TNHH MTV UNITED OVERSEAS BANK VN</t>
  </si>
  <si>
    <t>Report!G11:K11</t>
  </si>
  <si>
    <t>event.review_change.LVBT</t>
  </si>
  <si>
    <t>LVBT</t>
  </si>
  <si>
    <t>NGAN HANG TMCP LOC PHAT VN</t>
  </si>
  <si>
    <t>AA</t>
  </si>
  <si>
    <t>Report!G12:K12</t>
  </si>
  <si>
    <t>event.review_change.TC_VPBANK</t>
  </si>
  <si>
    <t>TC_VPBANK</t>
  </si>
  <si>
    <t>CONG TY TAI CHINH TNHH NGAN HANG VIET NAM THINH VUONG SMBC</t>
  </si>
  <si>
    <t>B</t>
  </si>
  <si>
    <t>Report!G13:K13</t>
  </si>
  <si>
    <t>event.review_change.TC_SHINSEI</t>
  </si>
  <si>
    <t>TC_SHINSEI</t>
  </si>
  <si>
    <t>CONG TY TAI CHINH TNHH MB SHINSEI</t>
  </si>
  <si>
    <t>Report!G14:K14</t>
  </si>
  <si>
    <t>event.review_change.VPS</t>
  </si>
  <si>
    <t>VPS</t>
  </si>
  <si>
    <t>CONG TY CP CHUNG KHOAN VPS</t>
  </si>
  <si>
    <t>Report!G15:K15</t>
  </si>
  <si>
    <t>event.review_change.ABS</t>
  </si>
  <si>
    <t>ABS</t>
  </si>
  <si>
    <t>CONG TY CP CHUNG KHOAN AN BINH</t>
  </si>
  <si>
    <t>Report!G16:K16</t>
  </si>
  <si>
    <t>Rating</t>
  </si>
  <si>
    <t>SortOrder</t>
  </si>
  <si>
    <t>OutstandingBefore</t>
  </si>
  <si>
    <t>CumulativeBefore</t>
  </si>
  <si>
    <t>OutstandingAfter</t>
  </si>
  <si>
    <t>CumulativeAfter</t>
  </si>
  <si>
    <t>CumulativeAfterCpty</t>
  </si>
  <si>
    <t>rating.AAA</t>
  </si>
  <si>
    <t>Portfolio!A3:H3</t>
  </si>
  <si>
    <t>rating.AA</t>
  </si>
  <si>
    <t>Portfolio!A4:H4</t>
  </si>
  <si>
    <t>rating.A</t>
  </si>
  <si>
    <t>Portfolio!A5:H5</t>
  </si>
  <si>
    <t>rating.BBB</t>
  </si>
  <si>
    <t>Portfolio!A6:H6</t>
  </si>
  <si>
    <t>rating.BB</t>
  </si>
  <si>
    <t>Portfolio!A7:H7</t>
  </si>
  <si>
    <t>rating.B</t>
  </si>
  <si>
    <t>Portfolio!A8:H8</t>
  </si>
  <si>
    <t>rating.D</t>
  </si>
  <si>
    <t>D</t>
  </si>
  <si>
    <t>Portfolio!A9:H9</t>
  </si>
  <si>
    <t>Tenor</t>
  </si>
  <si>
    <t>Amount</t>
  </si>
  <si>
    <t>AmountCallPut</t>
  </si>
  <si>
    <t>IsTotal</t>
  </si>
  <si>
    <t>tenor.&lt;1M</t>
  </si>
  <si>
    <t>&lt;1M</t>
  </si>
  <si>
    <t>Portfolio!A15:C15</t>
  </si>
  <si>
    <t>tenor.1-3M</t>
  </si>
  <si>
    <t>1-3M</t>
  </si>
  <si>
    <t>Portfolio!A16:C16</t>
  </si>
  <si>
    <t>tenor.3-6M</t>
  </si>
  <si>
    <t>3-6M</t>
  </si>
  <si>
    <t>Portfolio!A17:C17</t>
  </si>
  <si>
    <t>tenor.6M-1Y</t>
  </si>
  <si>
    <t>6M-1Y</t>
  </si>
  <si>
    <t>Portfolio!A18:C18</t>
  </si>
  <si>
    <t>tenor.1-2Y</t>
  </si>
  <si>
    <t>1-2Y</t>
  </si>
  <si>
    <t>Portfolio!A19:C19</t>
  </si>
  <si>
    <t>tenor.2-3Y</t>
  </si>
  <si>
    <t>2-3Y</t>
  </si>
  <si>
    <t>Portfolio!A20:C20</t>
  </si>
  <si>
    <t>tenor.3-5Y</t>
  </si>
  <si>
    <t>3-5Y</t>
  </si>
  <si>
    <t>Portfolio!A21:C21</t>
  </si>
  <si>
    <t>tenor.5-7Y</t>
  </si>
  <si>
    <t>5-7Y</t>
  </si>
  <si>
    <t>Portfolio!A22:C22</t>
  </si>
  <si>
    <t>tenor.&gt;7Y</t>
  </si>
  <si>
    <t>&gt;7Y</t>
  </si>
  <si>
    <t>Portfolio!A23:C23</t>
  </si>
  <si>
    <t>tenor.total</t>
  </si>
  <si>
    <t>Total</t>
  </si>
  <si>
    <t>Portfolio!A24:C24</t>
  </si>
  <si>
    <t>BondCode</t>
  </si>
  <si>
    <t>TenorCallPut</t>
  </si>
  <si>
    <t>AmountAfterCpty</t>
  </si>
  <si>
    <t>ReviewDate</t>
  </si>
  <si>
    <t>portfolio.BIDV.BIDVCD160927</t>
  </si>
  <si>
    <t>BIDV</t>
  </si>
  <si>
    <t>NGAN HANG TMCP DAU TU VA PHAT TRIEN VN</t>
  </si>
  <si>
    <t>BIDVCD160927</t>
  </si>
  <si>
    <t>Ba2</t>
  </si>
  <si>
    <t>Portfolio!W2:AK2</t>
  </si>
  <si>
    <t>portfolio.HCVN.HCVCD231026</t>
  </si>
  <si>
    <t>HCVN</t>
  </si>
  <si>
    <t>CONG TY TAI CHINH TNHH MTV HOME CREDIT VN</t>
  </si>
  <si>
    <t>HCVCD231026</t>
  </si>
  <si>
    <t>Portfolio!W3:AK3</t>
  </si>
  <si>
    <t>portfolio.HCVN.HCV12502</t>
  </si>
  <si>
    <t>HCV12502</t>
  </si>
  <si>
    <t>Portfolio!W4:AK4</t>
  </si>
  <si>
    <t>portfolio.HCVN.HCV12602</t>
  </si>
  <si>
    <t>HCV12602</t>
  </si>
  <si>
    <t>Portfolio!W5:AK5</t>
  </si>
  <si>
    <t>portfolio.HCVN.HCVL12606</t>
  </si>
  <si>
    <t>HCVL12606</t>
  </si>
  <si>
    <t>Portfolio!W6:AK6</t>
  </si>
  <si>
    <t>portfolio.HCVN.HCVNCD190427</t>
  </si>
  <si>
    <t>HCVNCD190427</t>
  </si>
  <si>
    <t>Portfolio!W7:AK7</t>
  </si>
  <si>
    <t>portfolio.MCSB.MBBCD040227</t>
  </si>
  <si>
    <t>MCSB</t>
  </si>
  <si>
    <t>NGAN HANG TMCP QUAN DOI</t>
  </si>
  <si>
    <t>MBBCD040227</t>
  </si>
  <si>
    <t>Portfolio!W8:AK8</t>
  </si>
  <si>
    <t>portfolio.MCSB.MBBOND2027</t>
  </si>
  <si>
    <t>MBBOND2027</t>
  </si>
  <si>
    <t>Portfolio!W9:AK9</t>
  </si>
  <si>
    <t>portfolio.MCSB.MBBCD180827</t>
  </si>
  <si>
    <t>MBBCD180827</t>
  </si>
  <si>
    <t>Portfolio!W10:AK10</t>
  </si>
  <si>
    <t>portfolio.MCSB.MBBCD190827</t>
  </si>
  <si>
    <t>MBBCD190827</t>
  </si>
  <si>
    <t>Portfolio!W11:AK11</t>
  </si>
  <si>
    <t>portfolio.TCBV-HO.TCB12603</t>
  </si>
  <si>
    <t>TCBV-HO</t>
  </si>
  <si>
    <t>NGAN HANG TMCP KY THUONG VN</t>
  </si>
  <si>
    <t>TCB12603</t>
  </si>
  <si>
    <t>Portfolio!W12:AK12</t>
  </si>
  <si>
    <t>portfolio.TCBV-HO.TCBCD051026</t>
  </si>
  <si>
    <t>TCBCD051026</t>
  </si>
  <si>
    <t>Portfolio!W13:AK13</t>
  </si>
  <si>
    <t>portfolio.VBAH.VBA12503</t>
  </si>
  <si>
    <t>VBAH</t>
  </si>
  <si>
    <t>NGAN HANG NONG NGHIEP VA PHAT TRIEN NONG THON</t>
  </si>
  <si>
    <t>VBA12503</t>
  </si>
  <si>
    <t>Portfolio!W14:AK14</t>
  </si>
  <si>
    <t>portfolio.ACBV.ACBCD220427</t>
  </si>
  <si>
    <t>ACBV</t>
  </si>
  <si>
    <t>NGAN HANG TMCP A CHAU</t>
  </si>
  <si>
    <t>ACBCD220427</t>
  </si>
  <si>
    <t>BB-</t>
  </si>
  <si>
    <t>Ba3</t>
  </si>
  <si>
    <t>Portfolio!W15:AK15</t>
  </si>
  <si>
    <t>portfolio.ACBV.ACBCD090427</t>
  </si>
  <si>
    <t>ACBCD090427</t>
  </si>
  <si>
    <t>Portfolio!W16:AK16</t>
  </si>
  <si>
    <t>portfolio.HDBV.HDB125011</t>
  </si>
  <si>
    <t>HDBV</t>
  </si>
  <si>
    <t>NGAN HANG TMCP PHAT TRIEN TP  HO CHI MINH</t>
  </si>
  <si>
    <t>HDB125011</t>
  </si>
  <si>
    <t>B1</t>
  </si>
  <si>
    <t>Portfolio!W17:AK17</t>
  </si>
  <si>
    <t>portfolio.HDBV.HDB12M261126</t>
  </si>
  <si>
    <t>HDB12M261126</t>
  </si>
  <si>
    <t>Portfolio!W18:AK18</t>
  </si>
  <si>
    <t>portfolio.HDBV.HDB1CD031126</t>
  </si>
  <si>
    <t>HDB1CD031126</t>
  </si>
  <si>
    <t>Portfolio!W19:AK19</t>
  </si>
  <si>
    <t>portfolio.LVBT.LPBCD070127</t>
  </si>
  <si>
    <t>LPBCD070127</t>
  </si>
  <si>
    <t>Portfolio!W20:AK20</t>
  </si>
  <si>
    <t>portfolio.LVBT.LPBCD171126</t>
  </si>
  <si>
    <t>LPBCD171126</t>
  </si>
  <si>
    <t>Portfolio!W21:AK21</t>
  </si>
  <si>
    <t>portfolio.TC_DIENLUC.EVNFC170527</t>
  </si>
  <si>
    <t>TC_DIENLUC</t>
  </si>
  <si>
    <t>CONG TY TAI CHINH CO PHAN DIEN LUC</t>
  </si>
  <si>
    <t>EVNFC170527</t>
  </si>
  <si>
    <t>B2</t>
  </si>
  <si>
    <t>Portfolio!W22:AK22</t>
  </si>
  <si>
    <t>portfolio.TC_DIENLUC.EVNFC260427</t>
  </si>
  <si>
    <t>EVNFC260427</t>
  </si>
  <si>
    <t>Portfolio!W23:AK23</t>
  </si>
  <si>
    <t>portfolio.TC_DIENLUC.EVNFC160427</t>
  </si>
  <si>
    <t>EVNFC160427</t>
  </si>
  <si>
    <t>Portfolio!W24:AK24</t>
  </si>
  <si>
    <t>portfolio.TC_DIENLUC.EVNFC010227</t>
  </si>
  <si>
    <t>EVNFC010227</t>
  </si>
  <si>
    <t>Portfolio!W25:AK25</t>
  </si>
  <si>
    <t>portfolio.VPVN.VPBCD080427</t>
  </si>
  <si>
    <t>VPVN</t>
  </si>
  <si>
    <t>NGAN HANG TMCP VIET NAM THINH VUONG</t>
  </si>
  <si>
    <t>VPBCD080427</t>
  </si>
  <si>
    <t>Portfolio!W26:AK26</t>
  </si>
  <si>
    <t>portfolio.SABH.NABCD200527</t>
  </si>
  <si>
    <t>SABH</t>
  </si>
  <si>
    <t>NGAN HANG TMCP NAM A</t>
  </si>
  <si>
    <t>NABCD200527</t>
  </si>
  <si>
    <t>B+</t>
  </si>
  <si>
    <t>Portfolio!W27:AK27</t>
  </si>
  <si>
    <t>portfolio.SABH.NABCD041226</t>
  </si>
  <si>
    <t>NABCD041226</t>
  </si>
  <si>
    <t>Portfolio!W28:AK28</t>
  </si>
  <si>
    <t>portfolio.SHBV.SHBL12601</t>
  </si>
  <si>
    <t>SHBV</t>
  </si>
  <si>
    <t>NGAN HANG TMCP SAI GON HA NOI</t>
  </si>
  <si>
    <t>SHBL12601</t>
  </si>
  <si>
    <t>Portfolio!W29:AK29</t>
  </si>
  <si>
    <t>portfolio.SHBV.SHB12503</t>
  </si>
  <si>
    <t>SHB12503</t>
  </si>
  <si>
    <t>Portfolio!W30:AK30</t>
  </si>
  <si>
    <t>portfolio.NABV.BAB12603</t>
  </si>
  <si>
    <t>NABV</t>
  </si>
  <si>
    <t>NGAN HANG TMCP BAC A</t>
  </si>
  <si>
    <t>BAB12603</t>
  </si>
  <si>
    <t>Portfolio!W31:AK31</t>
  </si>
  <si>
    <t>portfolio.NABV.BAB12601</t>
  </si>
  <si>
    <t>BAB12601</t>
  </si>
  <si>
    <t>Portfolio!W32:AK32</t>
  </si>
  <si>
    <t>portfolio.OCBV.OCBCD241126</t>
  </si>
  <si>
    <t>OCBV</t>
  </si>
  <si>
    <t>NGAN HANG TMCP PHUONG DONG</t>
  </si>
  <si>
    <t>OCBCD241126</t>
  </si>
  <si>
    <t>Portfolio!W33:AK33</t>
  </si>
  <si>
    <t>portfolio.VABV.VABCD190827</t>
  </si>
  <si>
    <t>VABCD190827</t>
  </si>
  <si>
    <t>Portfolio!W34:AK34</t>
  </si>
  <si>
    <t>portfolio.EIBV.EIBCD291026</t>
  </si>
  <si>
    <t>EIBV</t>
  </si>
  <si>
    <t>NGAN HANG TMCP XUAT NHAP KHAU VN</t>
  </si>
  <si>
    <t>EIBCD291026</t>
  </si>
  <si>
    <t>Portfolio!W35:AK35</t>
  </si>
  <si>
    <t>portfolio.EIBV.EIBCD250627</t>
  </si>
  <si>
    <t>EIBCD250627</t>
  </si>
  <si>
    <t>Portfolio!W36:AK36</t>
  </si>
  <si>
    <t>portfolio.TC_SHINSEI.MCCD240327</t>
  </si>
  <si>
    <t>MCCD240327</t>
  </si>
  <si>
    <t>Portfolio!W37:AK37</t>
  </si>
  <si>
    <t>portfolio.TC_SHINSEI.MSF12404</t>
  </si>
  <si>
    <t>MSF12404</t>
  </si>
  <si>
    <t>Portfolio!W38:AK38</t>
  </si>
  <si>
    <t>portfolio.TC_SHINSEI.MCCD080927</t>
  </si>
  <si>
    <t>MCCD080927</t>
  </si>
  <si>
    <t>Portfolio!W39:AK39</t>
  </si>
  <si>
    <t>portfolio.TC_SHINSEI.MCCD060827</t>
  </si>
  <si>
    <t>MCCD060827</t>
  </si>
  <si>
    <t>Portfolio!W40:AK40</t>
  </si>
  <si>
    <t>portfolio.VCCB.VCCB1Y170927</t>
  </si>
  <si>
    <t>VCCB</t>
  </si>
  <si>
    <t>NGAN HANG TMCP BAN VIET</t>
  </si>
  <si>
    <t>VCCB1Y170927</t>
  </si>
  <si>
    <t>Portfolio!W41:AK41</t>
  </si>
  <si>
    <t>portfolio.VCCB.VCCBCD230927</t>
  </si>
  <si>
    <t>VCCBCD230927</t>
  </si>
  <si>
    <t>Portfolio!W42:AK42</t>
  </si>
  <si>
    <t>portfolio.VCCB.VCCB1Y301026</t>
  </si>
  <si>
    <t>VCCB1Y301026</t>
  </si>
  <si>
    <t>Portfolio!W43:AK43</t>
  </si>
  <si>
    <t>portfolio.VIETBANK.VBB1Y180527</t>
  </si>
  <si>
    <t>VIETBANK</t>
  </si>
  <si>
    <t>NGAN HANG TMCP VIET NAM THUONG TIN</t>
  </si>
  <si>
    <t>VBB1Y180527</t>
  </si>
  <si>
    <t>Portfolio!W44:AK44</t>
  </si>
  <si>
    <t>portfolio.VIETBANK.VBBCD180527</t>
  </si>
  <si>
    <t>VBBCD180527</t>
  </si>
  <si>
    <t>Portfolio!W45:AK45</t>
  </si>
  <si>
    <t>portfolio.VIETBANK.VBBCD230927</t>
  </si>
  <si>
    <t>VBBCD230927</t>
  </si>
  <si>
    <t>Portfolio!W46:AK46</t>
  </si>
  <si>
    <t>portfolio.VIETBANK.VBB1Y130527</t>
  </si>
  <si>
    <t>VBB1Y130527</t>
  </si>
  <si>
    <t>Portfolio!W47:AK47</t>
  </si>
  <si>
    <t>portfolio.VIETBANK.VBB1Y061026</t>
  </si>
  <si>
    <t>VBB1Y061026</t>
  </si>
  <si>
    <t>Portfolio!W48:AK48</t>
  </si>
  <si>
    <t>portfolio.VIETBANK.VBB1Y301126</t>
  </si>
  <si>
    <t>VBB1Y301126</t>
  </si>
  <si>
    <t>Portfolio!W49:AK49</t>
  </si>
  <si>
    <t>portfolio.MFKR.GBA05310727</t>
  </si>
  <si>
    <t>MFKR</t>
  </si>
  <si>
    <t>KOMPANION BANK CLOSED JOINT STOCK COMPANY</t>
  </si>
  <si>
    <t>GBA05310727</t>
  </si>
  <si>
    <t>Portfolio!W50:AK50</t>
  </si>
  <si>
    <t>portfolio.MFKR.GBA05310713</t>
  </si>
  <si>
    <t>GBA05310713</t>
  </si>
  <si>
    <t>Portfolio!W51:AK51</t>
  </si>
  <si>
    <t>portfolio.OJBV.MBVCD2180827</t>
  </si>
  <si>
    <t>OJBV</t>
  </si>
  <si>
    <t>NGAN HANG THUONG MAI TNHH MTV DAI DUONG</t>
  </si>
  <si>
    <t>MBVCD2180827</t>
  </si>
  <si>
    <t>Portfolio!W52:AK52</t>
  </si>
  <si>
    <t>portfolio.OJBV.MBVCD180827</t>
  </si>
  <si>
    <t>MBVCD180827</t>
  </si>
  <si>
    <t>Portfolio!W53:AK53</t>
  </si>
  <si>
    <t>portfolio.PVFC.PCB12601</t>
  </si>
  <si>
    <t>PVFC</t>
  </si>
  <si>
    <t>NGAN HANG TMCP DAI CHUNG VN</t>
  </si>
  <si>
    <t>PCB12601</t>
  </si>
  <si>
    <t>Portfolio!W54:AK54</t>
  </si>
  <si>
    <t>portfolio.SGTT.STBCD061126</t>
  </si>
  <si>
    <t>SGTT</t>
  </si>
  <si>
    <t>NGAN HANG TMCP SAI GON THUONG TIN</t>
  </si>
  <si>
    <t>STBCD061126</t>
  </si>
  <si>
    <t>Portfolio!W55:AK55</t>
  </si>
  <si>
    <t>portfolio.SGTT.STBL12609</t>
  </si>
  <si>
    <t>STBL12609</t>
  </si>
  <si>
    <t>Portfolio!W56:AK56</t>
  </si>
  <si>
    <t>portfolio.SGTT.STBCD270127</t>
  </si>
  <si>
    <t>STBCD270127</t>
  </si>
  <si>
    <t>Portfolio!W57:AK57</t>
  </si>
  <si>
    <t>portfolio.TC_VPBANK.FECD240927</t>
  </si>
  <si>
    <t>FECD240927</t>
  </si>
  <si>
    <t>Portfolio!W58:AK58</t>
  </si>
  <si>
    <t>Description</t>
  </si>
  <si>
    <t>Auto Value</t>
  </si>
  <si>
    <t>Override Value</t>
  </si>
  <si>
    <t>txt.overview</t>
  </si>
  <si>
    <t>Nhận định tổng quan</t>
  </si>
  <si>
    <t>Nhập tại File Key</t>
  </si>
  <si>
    <t>txt.ratingChange</t>
  </si>
  <si>
    <t>Nhận định biến động Rating</t>
  </si>
  <si>
    <t>txt.ratingStructure</t>
  </si>
  <si>
    <t>Nhận định cơ cấu Rating</t>
  </si>
  <si>
    <t>txt.portfolio</t>
  </si>
  <si>
    <t>Nhận định chi tiết danh mục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</si>
</sst>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B8860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164" fontId="1" fillId="2" borderId="0" xfId="0" applyNumberFormat="1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/>
    </xf>
    <xf numFmtId="49" fontId="0" fillId="3" borderId="0" xfId="0" applyNumberFormat="1" applyFill="1" applyAlignment="1">
      <alignment vertical="top" wrapText="1"/>
    </xf>
    <xf numFmtId="49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CC84-B1F4-4C33-AF98-557B678F53F7}">
  <dimension ref="A1:C1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69921875" style="1" customWidth="1"/>
    <col min="2" max="2" width="30.69921875" customWidth="1"/>
    <col min="3" max="3" width="52.69921875" style="1" customWidth="1"/>
  </cols>
  <sheetData>
    <row r="1" spans="1:3" x14ac:dyDescent="0.3">
      <c r="A1" s="3" t="s">
        <v>0</v>
      </c>
      <c r="B1" s="4" t="s">
        <v>1</v>
      </c>
      <c r="C1" s="3" t="s">
        <v>2</v>
      </c>
    </row>
    <row r="2" spans="1:3" x14ac:dyDescent="0.3">
      <c r="A2" s="1" t="s">
        <v>3</v>
      </c>
      <c r="B2" s="5" t="s">
        <v>4</v>
      </c>
      <c r="C2" s="1" t="s">
        <v>5</v>
      </c>
    </row>
    <row r="3" spans="1:3" x14ac:dyDescent="0.3">
      <c r="A3" s="1" t="s">
        <v>6</v>
      </c>
      <c r="B3" s="6">
        <v>46297</v>
      </c>
      <c r="C3" s="1" t="s">
        <v>7</v>
      </c>
    </row>
    <row r="4" spans="1:3" x14ac:dyDescent="0.3">
      <c r="A4" s="1" t="s">
        <v>8</v>
      </c>
      <c r="B4" s="5" t="s">
        <v>9</v>
      </c>
      <c r="C4" s="1" t="s">
        <v>10</v>
      </c>
    </row>
    <row r="5" spans="1:3" x14ac:dyDescent="0.3">
      <c r="A5" s="1" t="s">
        <v>11</v>
      </c>
      <c r="B5" s="5" t="s">
        <v>12</v>
      </c>
      <c r="C5" s="1" t="s">
        <v>13</v>
      </c>
    </row>
    <row r="6" spans="1:3" x14ac:dyDescent="0.3">
      <c r="A6" s="1" t="s">
        <v>14</v>
      </c>
      <c r="B6" s="5" t="s">
        <v>15</v>
      </c>
      <c r="C6" s="1" t="s">
        <v>16</v>
      </c>
    </row>
    <row r="7" spans="1:3" x14ac:dyDescent="0.3">
      <c r="A7" s="1" t="s">
        <v>17</v>
      </c>
      <c r="B7" s="7">
        <v>57</v>
      </c>
      <c r="C7" s="1" t="s">
        <v>18</v>
      </c>
    </row>
    <row r="8" spans="1:3" x14ac:dyDescent="0.3">
      <c r="A8" s="1" t="s">
        <v>19</v>
      </c>
      <c r="B8" s="7">
        <v>9</v>
      </c>
      <c r="C8" s="1" t="s">
        <v>20</v>
      </c>
    </row>
    <row r="9" spans="1:3" x14ac:dyDescent="0.3">
      <c r="A9" s="1" t="s">
        <v>21</v>
      </c>
      <c r="B9" s="7">
        <v>1</v>
      </c>
      <c r="C9" s="1" t="s">
        <v>22</v>
      </c>
    </row>
    <row r="10" spans="1:3" x14ac:dyDescent="0.3">
      <c r="A10" s="1" t="s">
        <v>23</v>
      </c>
      <c r="B10" s="7">
        <v>2</v>
      </c>
      <c r="C10" s="1" t="s">
        <v>24</v>
      </c>
    </row>
    <row r="11" spans="1:3" x14ac:dyDescent="0.3">
      <c r="A11" s="1" t="s">
        <v>25</v>
      </c>
      <c r="B11" s="7">
        <v>6</v>
      </c>
      <c r="C11" s="1" t="s">
        <v>26</v>
      </c>
    </row>
    <row r="12" spans="1:3" x14ac:dyDescent="0.3">
      <c r="A12" s="1" t="s">
        <v>27</v>
      </c>
      <c r="B12" s="7">
        <v>39227.591158786796</v>
      </c>
      <c r="C12" s="1" t="s">
        <v>28</v>
      </c>
    </row>
    <row r="13" spans="1:3" x14ac:dyDescent="0.3">
      <c r="A13" s="1" t="s">
        <v>29</v>
      </c>
      <c r="B13" s="7">
        <v>39227.510600000001</v>
      </c>
      <c r="C13" s="1" t="s">
        <v>30</v>
      </c>
    </row>
    <row r="14" spans="1:3" x14ac:dyDescent="0.3">
      <c r="A14" s="1" t="s">
        <v>31</v>
      </c>
      <c r="B14" s="7">
        <v>29027.510599999998</v>
      </c>
      <c r="C14" s="1" t="s">
        <v>32</v>
      </c>
    </row>
    <row r="15" spans="1:3" x14ac:dyDescent="0.3">
      <c r="A15" s="1" t="s">
        <v>33</v>
      </c>
      <c r="B15" s="7">
        <v>39227.510600000001</v>
      </c>
      <c r="C15" s="1" t="s">
        <v>34</v>
      </c>
    </row>
    <row r="16" spans="1:3" x14ac:dyDescent="0.3">
      <c r="A16" s="1" t="s">
        <v>35</v>
      </c>
      <c r="B16" s="7">
        <v>8.0558786794426851E-2</v>
      </c>
      <c r="C16" s="1" t="s">
        <v>36</v>
      </c>
    </row>
    <row r="17" spans="1:3" x14ac:dyDescent="0.3">
      <c r="A17" s="1" t="s">
        <v>37</v>
      </c>
      <c r="B17" s="7">
        <v>0</v>
      </c>
      <c r="C17" s="1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31E3-F2D7-49F5-90ED-71F1D72E3C59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0.09765625" style="1" bestFit="1" customWidth="1"/>
    <col min="2" max="2" width="21.8984375" style="1" bestFit="1" customWidth="1"/>
    <col min="3" max="3" width="8.8984375" bestFit="1" customWidth="1"/>
    <col min="4" max="4" width="6.3984375" style="1" bestFit="1" customWidth="1"/>
    <col min="5" max="5" width="14.09765625" style="1" bestFit="1" customWidth="1"/>
  </cols>
  <sheetData>
    <row r="1" spans="1:5" x14ac:dyDescent="0.3">
      <c r="A1" s="3" t="s">
        <v>39</v>
      </c>
      <c r="B1" s="3" t="s">
        <v>40</v>
      </c>
      <c r="C1" s="4" t="s">
        <v>1</v>
      </c>
      <c r="D1" s="3" t="s">
        <v>41</v>
      </c>
      <c r="E1" s="3" t="s">
        <v>42</v>
      </c>
    </row>
    <row r="2" spans="1:5" x14ac:dyDescent="0.3">
      <c r="A2" s="1" t="s">
        <v>43</v>
      </c>
      <c r="B2" s="1" t="s">
        <v>44</v>
      </c>
      <c r="C2" s="9">
        <v>39227.591158786796</v>
      </c>
      <c r="D2" s="1" t="s">
        <v>45</v>
      </c>
      <c r="E2" s="1" t="s">
        <v>46</v>
      </c>
    </row>
    <row r="3" spans="1:5" x14ac:dyDescent="0.3">
      <c r="A3" s="1" t="s">
        <v>47</v>
      </c>
      <c r="B3" s="1" t="s">
        <v>48</v>
      </c>
      <c r="C3" s="8">
        <v>0.77951488366976518</v>
      </c>
      <c r="D3" s="1" t="s">
        <v>49</v>
      </c>
      <c r="E3" s="1" t="s">
        <v>50</v>
      </c>
    </row>
    <row r="4" spans="1:5" x14ac:dyDescent="0.3">
      <c r="A4" s="1" t="s">
        <v>51</v>
      </c>
      <c r="B4" s="1" t="s">
        <v>52</v>
      </c>
      <c r="C4" s="8">
        <v>0.78084697022175098</v>
      </c>
      <c r="D4" s="1" t="s">
        <v>49</v>
      </c>
      <c r="E4" s="1" t="s">
        <v>53</v>
      </c>
    </row>
    <row r="5" spans="1:5" x14ac:dyDescent="0.3">
      <c r="A5" s="1" t="s">
        <v>54</v>
      </c>
      <c r="B5" s="1" t="s">
        <v>55</v>
      </c>
      <c r="C5">
        <v>1</v>
      </c>
      <c r="D5" s="1" t="s">
        <v>56</v>
      </c>
      <c r="E5" s="1" t="s">
        <v>57</v>
      </c>
    </row>
    <row r="6" spans="1:5" x14ac:dyDescent="0.3">
      <c r="A6" s="1" t="s">
        <v>58</v>
      </c>
      <c r="B6" s="1" t="s">
        <v>59</v>
      </c>
      <c r="C6">
        <v>2</v>
      </c>
      <c r="D6" s="1" t="s">
        <v>60</v>
      </c>
      <c r="E6" s="1" t="s">
        <v>61</v>
      </c>
    </row>
    <row r="7" spans="1:5" x14ac:dyDescent="0.3">
      <c r="A7" s="1" t="s">
        <v>62</v>
      </c>
      <c r="B7" s="1" t="s">
        <v>63</v>
      </c>
      <c r="C7">
        <v>6</v>
      </c>
      <c r="D7" s="1" t="s">
        <v>60</v>
      </c>
      <c r="E7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7565-3918-4D0B-A0D1-DF3B432593D9}">
  <dimension ref="A1:Q1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.19921875" style="1" bestFit="1" customWidth="1"/>
    <col min="2" max="2" width="24.296875" style="1" bestFit="1" customWidth="1"/>
    <col min="3" max="3" width="10.59765625" style="1" bestFit="1" customWidth="1"/>
    <col min="4" max="4" width="60.19921875" style="1" bestFit="1" customWidth="1"/>
    <col min="5" max="5" width="9" style="1" bestFit="1" customWidth="1"/>
    <col min="6" max="6" width="9.796875" style="1" bestFit="1" customWidth="1"/>
    <col min="7" max="7" width="13.69921875" style="2" bestFit="1" customWidth="1"/>
    <col min="8" max="8" width="14.5" style="2" bestFit="1" customWidth="1"/>
    <col min="9" max="9" width="13.296875" style="1" bestFit="1" customWidth="1"/>
    <col min="10" max="10" width="5.09765625" style="1" bestFit="1" customWidth="1"/>
    <col min="11" max="11" width="7.296875" style="1" bestFit="1" customWidth="1"/>
    <col min="12" max="12" width="3.09765625" style="1" bestFit="1" customWidth="1"/>
    <col min="13" max="13" width="10.09765625" style="2" bestFit="1" customWidth="1"/>
    <col min="14" max="14" width="9" style="2" bestFit="1" customWidth="1"/>
    <col min="15" max="15" width="11.19921875" style="2" bestFit="1" customWidth="1"/>
    <col min="16" max="16" width="7" style="2" bestFit="1" customWidth="1"/>
    <col min="17" max="17" width="14.09765625" style="1" bestFit="1" customWidth="1"/>
  </cols>
  <sheetData>
    <row r="1" spans="1:17" x14ac:dyDescent="0.3">
      <c r="A1" s="3" t="s">
        <v>39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10" t="s">
        <v>70</v>
      </c>
      <c r="H1" s="10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3" t="s">
        <v>42</v>
      </c>
    </row>
    <row r="2" spans="1:17" x14ac:dyDescent="0.3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H2" s="2">
        <v>46182</v>
      </c>
      <c r="M2" s="2">
        <v>46182</v>
      </c>
      <c r="Q2" s="1" t="s">
        <v>86</v>
      </c>
    </row>
    <row r="3" spans="1:17" x14ac:dyDescent="0.3">
      <c r="A3" s="1" t="s">
        <v>87</v>
      </c>
      <c r="B3" s="1" t="s">
        <v>88</v>
      </c>
      <c r="C3" s="1" t="s">
        <v>89</v>
      </c>
      <c r="D3" s="1" t="s">
        <v>90</v>
      </c>
      <c r="F3" s="1" t="s">
        <v>91</v>
      </c>
      <c r="I3" s="1" t="s">
        <v>92</v>
      </c>
      <c r="M3" s="2">
        <v>46182</v>
      </c>
      <c r="Q3" s="1" t="s">
        <v>93</v>
      </c>
    </row>
    <row r="4" spans="1:17" x14ac:dyDescent="0.3">
      <c r="A4" s="1" t="s">
        <v>94</v>
      </c>
      <c r="B4" s="1" t="s">
        <v>88</v>
      </c>
      <c r="C4" s="1" t="s">
        <v>95</v>
      </c>
      <c r="D4" s="1" t="s">
        <v>96</v>
      </c>
      <c r="F4" s="1" t="s">
        <v>97</v>
      </c>
      <c r="I4" s="1" t="s">
        <v>98</v>
      </c>
      <c r="M4" s="2">
        <v>46276</v>
      </c>
      <c r="Q4" s="1" t="s">
        <v>99</v>
      </c>
    </row>
    <row r="5" spans="1:17" x14ac:dyDescent="0.3">
      <c r="A5" s="1" t="s">
        <v>100</v>
      </c>
      <c r="B5" s="1" t="s">
        <v>101</v>
      </c>
      <c r="C5" s="1" t="s">
        <v>102</v>
      </c>
      <c r="D5" s="1" t="s">
        <v>103</v>
      </c>
      <c r="E5" s="1" t="s">
        <v>85</v>
      </c>
      <c r="F5" s="1" t="s">
        <v>85</v>
      </c>
      <c r="G5" s="2">
        <v>45912</v>
      </c>
      <c r="H5" s="2">
        <v>46274</v>
      </c>
      <c r="M5" s="2">
        <v>46274</v>
      </c>
      <c r="Q5" s="1" t="s">
        <v>104</v>
      </c>
    </row>
    <row r="6" spans="1:17" x14ac:dyDescent="0.3">
      <c r="A6" s="1" t="s">
        <v>105</v>
      </c>
      <c r="B6" s="1" t="s">
        <v>101</v>
      </c>
      <c r="C6" s="1" t="s">
        <v>106</v>
      </c>
      <c r="D6" s="1" t="s">
        <v>107</v>
      </c>
      <c r="E6" s="1" t="s">
        <v>108</v>
      </c>
      <c r="F6" s="1" t="s">
        <v>108</v>
      </c>
      <c r="G6" s="2">
        <v>46199</v>
      </c>
      <c r="H6" s="2">
        <v>46293</v>
      </c>
      <c r="M6" s="2">
        <v>46293</v>
      </c>
      <c r="Q6" s="1" t="s">
        <v>109</v>
      </c>
    </row>
    <row r="7" spans="1:17" x14ac:dyDescent="0.3">
      <c r="A7" s="1" t="s">
        <v>110</v>
      </c>
      <c r="B7" s="1" t="s">
        <v>101</v>
      </c>
      <c r="C7" s="1" t="s">
        <v>111</v>
      </c>
      <c r="D7" s="1" t="s">
        <v>112</v>
      </c>
      <c r="E7" s="1" t="s">
        <v>113</v>
      </c>
      <c r="F7" s="1" t="s">
        <v>113</v>
      </c>
      <c r="G7" s="2">
        <v>45783</v>
      </c>
      <c r="H7" s="2">
        <v>46163</v>
      </c>
      <c r="M7" s="2">
        <v>46163</v>
      </c>
      <c r="Q7" s="1" t="s">
        <v>114</v>
      </c>
    </row>
    <row r="8" spans="1:17" x14ac:dyDescent="0.3">
      <c r="A8" s="1" t="s">
        <v>115</v>
      </c>
      <c r="B8" s="1" t="s">
        <v>101</v>
      </c>
      <c r="C8" s="1" t="s">
        <v>116</v>
      </c>
      <c r="D8" s="1" t="s">
        <v>117</v>
      </c>
      <c r="E8" s="1" t="s">
        <v>84</v>
      </c>
      <c r="F8" s="1" t="s">
        <v>84</v>
      </c>
      <c r="G8" s="2">
        <v>45747</v>
      </c>
      <c r="H8" s="2">
        <v>46283</v>
      </c>
      <c r="M8" s="2">
        <v>46283</v>
      </c>
      <c r="Q8" s="1" t="s">
        <v>118</v>
      </c>
    </row>
    <row r="9" spans="1:17" x14ac:dyDescent="0.3">
      <c r="A9" s="1" t="s">
        <v>119</v>
      </c>
      <c r="B9" s="1" t="s">
        <v>101</v>
      </c>
      <c r="C9" s="1" t="s">
        <v>120</v>
      </c>
      <c r="D9" s="1" t="s">
        <v>121</v>
      </c>
      <c r="E9" s="1" t="s">
        <v>97</v>
      </c>
      <c r="F9" s="1" t="s">
        <v>97</v>
      </c>
      <c r="G9" s="2">
        <v>45877</v>
      </c>
      <c r="H9" s="2">
        <v>46283</v>
      </c>
      <c r="M9" s="2">
        <v>46283</v>
      </c>
      <c r="Q9" s="1" t="s">
        <v>122</v>
      </c>
    </row>
    <row r="10" spans="1:17" x14ac:dyDescent="0.3">
      <c r="A10" s="1" t="s">
        <v>123</v>
      </c>
      <c r="B10" s="1" t="s">
        <v>101</v>
      </c>
      <c r="C10" s="1" t="s">
        <v>124</v>
      </c>
      <c r="D10" s="1" t="s">
        <v>125</v>
      </c>
      <c r="E10" s="1" t="s">
        <v>84</v>
      </c>
      <c r="F10" s="1" t="s">
        <v>84</v>
      </c>
      <c r="G10" s="2">
        <v>45853</v>
      </c>
      <c r="H10" s="2">
        <v>46258</v>
      </c>
      <c r="M10" s="2">
        <v>46258</v>
      </c>
      <c r="Q10" s="1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73B3-8F95-4919-A079-41658DD80486}">
  <dimension ref="A1:I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9921875" style="1" bestFit="1" customWidth="1"/>
    <col min="2" max="2" width="6.09765625" style="1" bestFit="1" customWidth="1"/>
    <col min="3" max="3" width="9.09765625" bestFit="1" customWidth="1"/>
    <col min="4" max="4" width="16.59765625" bestFit="1" customWidth="1"/>
    <col min="5" max="5" width="16" bestFit="1" customWidth="1"/>
    <col min="6" max="6" width="15.19921875" bestFit="1" customWidth="1"/>
    <col min="7" max="7" width="14.59765625" bestFit="1" customWidth="1"/>
    <col min="8" max="8" width="18.59765625" bestFit="1" customWidth="1"/>
    <col min="9" max="9" width="13.3984375" style="1" bestFit="1" customWidth="1"/>
  </cols>
  <sheetData>
    <row r="1" spans="1:9" x14ac:dyDescent="0.3">
      <c r="A1" s="3" t="s">
        <v>39</v>
      </c>
      <c r="B1" s="3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3" t="s">
        <v>42</v>
      </c>
    </row>
    <row r="2" spans="1:9" x14ac:dyDescent="0.3">
      <c r="A2" s="1" t="s">
        <v>134</v>
      </c>
      <c r="B2" s="1" t="s">
        <v>97</v>
      </c>
      <c r="C2">
        <v>1</v>
      </c>
      <c r="D2" s="9">
        <v>10400</v>
      </c>
      <c r="E2" s="8">
        <v>0.26511951646234211</v>
      </c>
      <c r="F2" s="9">
        <v>10400</v>
      </c>
      <c r="G2" s="8">
        <v>0.26511951646234211</v>
      </c>
      <c r="H2" s="8">
        <v>0.33681471718124845</v>
      </c>
      <c r="I2" s="1" t="s">
        <v>135</v>
      </c>
    </row>
    <row r="3" spans="1:9" x14ac:dyDescent="0.3">
      <c r="A3" s="1" t="s">
        <v>136</v>
      </c>
      <c r="B3" s="1" t="s">
        <v>108</v>
      </c>
      <c r="C3">
        <v>2</v>
      </c>
      <c r="D3" s="9">
        <v>7668.6106</v>
      </c>
      <c r="E3" s="8">
        <v>0.46060974090561047</v>
      </c>
      <c r="F3" s="9">
        <v>7668.6106</v>
      </c>
      <c r="G3" s="8">
        <v>0.46060974090561047</v>
      </c>
      <c r="H3" s="8">
        <v>0.53659152820434952</v>
      </c>
      <c r="I3" s="1" t="s">
        <v>137</v>
      </c>
    </row>
    <row r="4" spans="1:9" x14ac:dyDescent="0.3">
      <c r="A4" s="1" t="s">
        <v>138</v>
      </c>
      <c r="B4" s="1" t="s">
        <v>91</v>
      </c>
      <c r="C4">
        <v>3</v>
      </c>
      <c r="D4" s="9">
        <v>6942</v>
      </c>
      <c r="E4" s="8">
        <v>0.63757701814422374</v>
      </c>
      <c r="F4" s="9">
        <v>6942</v>
      </c>
      <c r="G4" s="8">
        <v>0.63757701814422374</v>
      </c>
      <c r="H4" s="8">
        <v>0.76141535192283283</v>
      </c>
      <c r="I4" s="1" t="s">
        <v>139</v>
      </c>
    </row>
    <row r="5" spans="1:9" x14ac:dyDescent="0.3">
      <c r="A5" s="1" t="s">
        <v>140</v>
      </c>
      <c r="B5" s="1" t="s">
        <v>85</v>
      </c>
      <c r="C5">
        <v>4</v>
      </c>
      <c r="D5" s="9">
        <v>5567.8805587868001</v>
      </c>
      <c r="E5" s="8">
        <v>0.77951488366976518</v>
      </c>
      <c r="F5" s="9">
        <v>5567.8805587868001</v>
      </c>
      <c r="G5" s="8">
        <v>0.77951488366976518</v>
      </c>
      <c r="H5" s="8">
        <v>0.78084697022175098</v>
      </c>
      <c r="I5" s="1" t="s">
        <v>141</v>
      </c>
    </row>
    <row r="6" spans="1:9" x14ac:dyDescent="0.3">
      <c r="A6" s="1" t="s">
        <v>142</v>
      </c>
      <c r="B6" s="1" t="s">
        <v>84</v>
      </c>
      <c r="C6">
        <v>5</v>
      </c>
      <c r="D6" s="9">
        <v>6150</v>
      </c>
      <c r="E6" s="8">
        <v>0.93629229003932324</v>
      </c>
      <c r="F6" s="9">
        <v>6150</v>
      </c>
      <c r="G6" s="8">
        <v>0.93629229003932324</v>
      </c>
      <c r="H6" s="8">
        <v>0.96058943948674413</v>
      </c>
      <c r="I6" s="1" t="s">
        <v>143</v>
      </c>
    </row>
    <row r="7" spans="1:9" x14ac:dyDescent="0.3">
      <c r="A7" s="1" t="s">
        <v>144</v>
      </c>
      <c r="B7" s="1" t="s">
        <v>113</v>
      </c>
      <c r="C7">
        <v>6</v>
      </c>
      <c r="D7" s="9">
        <v>2000</v>
      </c>
      <c r="E7" s="8">
        <v>0.99</v>
      </c>
      <c r="F7" s="9">
        <v>2000</v>
      </c>
      <c r="G7" s="8">
        <v>0.98</v>
      </c>
      <c r="H7" s="8">
        <v>0.99</v>
      </c>
      <c r="I7" s="1" t="s">
        <v>145</v>
      </c>
    </row>
    <row r="8" spans="1:9" x14ac:dyDescent="0.3">
      <c r="A8" s="1" t="s">
        <v>146</v>
      </c>
      <c r="B8" s="1" t="s">
        <v>147</v>
      </c>
      <c r="C8">
        <v>7</v>
      </c>
      <c r="D8" s="9">
        <v>499.1</v>
      </c>
      <c r="E8" s="8">
        <v>1</v>
      </c>
      <c r="F8" s="9">
        <v>499.1</v>
      </c>
      <c r="G8" s="8">
        <v>1</v>
      </c>
      <c r="H8" s="8">
        <v>1</v>
      </c>
      <c r="I8" s="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4FA5-80DF-4EA5-B236-50E136F94D75}">
  <dimension ref="A1:G1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59765625" style="1" bestFit="1" customWidth="1"/>
    <col min="2" max="2" width="5.8984375" style="1" bestFit="1" customWidth="1"/>
    <col min="3" max="3" width="9.09765625" bestFit="1" customWidth="1"/>
    <col min="4" max="4" width="8.8984375" bestFit="1" customWidth="1"/>
    <col min="5" max="5" width="13.59765625" bestFit="1" customWidth="1"/>
    <col min="6" max="6" width="6.296875" bestFit="1" customWidth="1"/>
    <col min="7" max="7" width="15.3984375" style="1" bestFit="1" customWidth="1"/>
  </cols>
  <sheetData>
    <row r="1" spans="1:7" x14ac:dyDescent="0.3">
      <c r="A1" s="3" t="s">
        <v>39</v>
      </c>
      <c r="B1" s="3" t="s">
        <v>149</v>
      </c>
      <c r="C1" s="4" t="s">
        <v>128</v>
      </c>
      <c r="D1" s="4" t="s">
        <v>150</v>
      </c>
      <c r="E1" s="4" t="s">
        <v>151</v>
      </c>
      <c r="F1" s="4" t="s">
        <v>152</v>
      </c>
      <c r="G1" s="3" t="s">
        <v>42</v>
      </c>
    </row>
    <row r="2" spans="1:7" x14ac:dyDescent="0.3">
      <c r="A2" s="1" t="s">
        <v>153</v>
      </c>
      <c r="B2" s="1" t="s">
        <v>154</v>
      </c>
      <c r="C2">
        <v>1</v>
      </c>
      <c r="D2" s="9">
        <v>1650</v>
      </c>
      <c r="E2" s="9">
        <v>1650</v>
      </c>
      <c r="F2" t="b">
        <v>0</v>
      </c>
      <c r="G2" s="1" t="s">
        <v>155</v>
      </c>
    </row>
    <row r="3" spans="1:7" x14ac:dyDescent="0.3">
      <c r="A3" s="1" t="s">
        <v>156</v>
      </c>
      <c r="B3" s="1" t="s">
        <v>157</v>
      </c>
      <c r="C3">
        <v>2</v>
      </c>
      <c r="D3" s="9">
        <v>7700</v>
      </c>
      <c r="E3" s="9">
        <v>7700</v>
      </c>
      <c r="F3" t="b">
        <v>0</v>
      </c>
      <c r="G3" s="1" t="s">
        <v>158</v>
      </c>
    </row>
    <row r="4" spans="1:7" x14ac:dyDescent="0.3">
      <c r="A4" s="1" t="s">
        <v>159</v>
      </c>
      <c r="B4" s="1" t="s">
        <v>160</v>
      </c>
      <c r="C4">
        <v>3</v>
      </c>
      <c r="D4" s="9">
        <v>2881</v>
      </c>
      <c r="E4" s="9">
        <v>3278.6106</v>
      </c>
      <c r="F4" t="b">
        <v>0</v>
      </c>
      <c r="G4" s="1" t="s">
        <v>161</v>
      </c>
    </row>
    <row r="5" spans="1:7" x14ac:dyDescent="0.3">
      <c r="A5" s="1" t="s">
        <v>162</v>
      </c>
      <c r="B5" s="1" t="s">
        <v>163</v>
      </c>
      <c r="C5">
        <v>4</v>
      </c>
      <c r="D5" s="9">
        <v>19331.099999999999</v>
      </c>
      <c r="E5" s="9">
        <v>22831.1</v>
      </c>
      <c r="F5" t="b">
        <v>0</v>
      </c>
      <c r="G5" s="1" t="s">
        <v>164</v>
      </c>
    </row>
    <row r="6" spans="1:7" x14ac:dyDescent="0.3">
      <c r="A6" s="1" t="s">
        <v>165</v>
      </c>
      <c r="B6" s="1" t="s">
        <v>166</v>
      </c>
      <c r="C6">
        <v>5</v>
      </c>
      <c r="D6" s="9">
        <v>200</v>
      </c>
      <c r="E6" s="9">
        <v>1200</v>
      </c>
      <c r="F6" t="b">
        <v>0</v>
      </c>
      <c r="G6" s="1" t="s">
        <v>167</v>
      </c>
    </row>
    <row r="7" spans="1:7" x14ac:dyDescent="0.3">
      <c r="A7" s="1" t="s">
        <v>168</v>
      </c>
      <c r="B7" s="1" t="s">
        <v>169</v>
      </c>
      <c r="C7">
        <v>6</v>
      </c>
      <c r="D7" s="9">
        <v>3000</v>
      </c>
      <c r="E7" s="9">
        <v>1000</v>
      </c>
      <c r="F7" t="b">
        <v>0</v>
      </c>
      <c r="G7" s="1" t="s">
        <v>170</v>
      </c>
    </row>
    <row r="8" spans="1:7" x14ac:dyDescent="0.3">
      <c r="A8" s="1" t="s">
        <v>171</v>
      </c>
      <c r="B8" s="1" t="s">
        <v>172</v>
      </c>
      <c r="C8">
        <v>7</v>
      </c>
      <c r="D8" s="9">
        <v>567.79999999999995</v>
      </c>
      <c r="E8" s="9">
        <v>567.79999999999995</v>
      </c>
      <c r="F8" t="b">
        <v>0</v>
      </c>
      <c r="G8" s="1" t="s">
        <v>173</v>
      </c>
    </row>
    <row r="9" spans="1:7" x14ac:dyDescent="0.3">
      <c r="A9" s="1" t="s">
        <v>174</v>
      </c>
      <c r="B9" s="1" t="s">
        <v>175</v>
      </c>
      <c r="C9">
        <v>8</v>
      </c>
      <c r="D9" s="9">
        <v>3897.6106</v>
      </c>
      <c r="E9" s="9">
        <v>1000</v>
      </c>
      <c r="F9" t="b">
        <v>0</v>
      </c>
      <c r="G9" s="1" t="s">
        <v>176</v>
      </c>
    </row>
    <row r="10" spans="1:7" x14ac:dyDescent="0.3">
      <c r="A10" s="1" t="s">
        <v>177</v>
      </c>
      <c r="B10" s="1" t="s">
        <v>178</v>
      </c>
      <c r="C10">
        <v>9</v>
      </c>
      <c r="D10" s="9">
        <v>0</v>
      </c>
      <c r="E10" s="9">
        <v>0</v>
      </c>
      <c r="F10" t="b">
        <v>0</v>
      </c>
      <c r="G10" s="1" t="s">
        <v>179</v>
      </c>
    </row>
    <row r="11" spans="1:7" x14ac:dyDescent="0.3">
      <c r="A11" s="1" t="s">
        <v>180</v>
      </c>
      <c r="B11" s="1" t="s">
        <v>181</v>
      </c>
      <c r="C11">
        <v>10</v>
      </c>
      <c r="D11" s="9">
        <v>39227.510600000001</v>
      </c>
      <c r="E11" s="9">
        <v>39227.510600000001</v>
      </c>
      <c r="F11" t="b">
        <v>1</v>
      </c>
      <c r="G11" s="1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2C47-0509-42A7-A895-4A9CAA622540}">
  <dimension ref="A1:N5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1.296875" style="1" bestFit="1" customWidth="1"/>
    <col min="2" max="2" width="11.3984375" style="1" bestFit="1" customWidth="1"/>
    <col min="3" max="3" width="60.19921875" style="1" bestFit="1" customWidth="1"/>
    <col min="4" max="4" width="14.59765625" style="1" bestFit="1" customWidth="1"/>
    <col min="5" max="5" width="6.09765625" style="1" bestFit="1" customWidth="1"/>
    <col min="6" max="6" width="5.8984375" style="1" bestFit="1" customWidth="1"/>
    <col min="7" max="7" width="11.69921875" style="1" bestFit="1" customWidth="1"/>
    <col min="8" max="8" width="7.8984375" bestFit="1" customWidth="1"/>
    <col min="9" max="9" width="15.3984375" bestFit="1" customWidth="1"/>
    <col min="10" max="10" width="10.69921875" style="2" bestFit="1" customWidth="1"/>
    <col min="11" max="11" width="5.09765625" style="1" bestFit="1" customWidth="1"/>
    <col min="12" max="12" width="7.296875" style="1" bestFit="1" customWidth="1"/>
    <col min="13" max="13" width="3.09765625" style="1" bestFit="1" customWidth="1"/>
    <col min="14" max="14" width="16.69921875" style="1" bestFit="1" customWidth="1"/>
  </cols>
  <sheetData>
    <row r="1" spans="1:14" x14ac:dyDescent="0.3">
      <c r="A1" s="3" t="s">
        <v>39</v>
      </c>
      <c r="B1" s="3" t="s">
        <v>66</v>
      </c>
      <c r="C1" s="3" t="s">
        <v>67</v>
      </c>
      <c r="D1" s="3" t="s">
        <v>183</v>
      </c>
      <c r="E1" s="3" t="s">
        <v>127</v>
      </c>
      <c r="F1" s="3" t="s">
        <v>149</v>
      </c>
      <c r="G1" s="3" t="s">
        <v>184</v>
      </c>
      <c r="H1" s="4" t="s">
        <v>150</v>
      </c>
      <c r="I1" s="4" t="s">
        <v>185</v>
      </c>
      <c r="J1" s="10" t="s">
        <v>186</v>
      </c>
      <c r="K1" s="3" t="s">
        <v>73</v>
      </c>
      <c r="L1" s="3" t="s">
        <v>74</v>
      </c>
      <c r="M1" s="3" t="s">
        <v>75</v>
      </c>
      <c r="N1" s="3" t="s">
        <v>42</v>
      </c>
    </row>
    <row r="2" spans="1:14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97</v>
      </c>
      <c r="F2" s="1" t="s">
        <v>163</v>
      </c>
      <c r="G2" s="1" t="s">
        <v>163</v>
      </c>
      <c r="H2" s="9">
        <v>500</v>
      </c>
      <c r="I2" s="9">
        <v>500</v>
      </c>
      <c r="L2" s="1" t="s">
        <v>191</v>
      </c>
      <c r="N2" s="1" t="s">
        <v>192</v>
      </c>
    </row>
    <row r="3" spans="1:14" x14ac:dyDescent="0.3">
      <c r="A3" s="1" t="s">
        <v>193</v>
      </c>
      <c r="B3" s="1" t="s">
        <v>194</v>
      </c>
      <c r="C3" s="1" t="s">
        <v>195</v>
      </c>
      <c r="D3" s="1" t="s">
        <v>196</v>
      </c>
      <c r="E3" s="1" t="s">
        <v>97</v>
      </c>
      <c r="F3" s="1" t="s">
        <v>154</v>
      </c>
      <c r="G3" s="1" t="s">
        <v>154</v>
      </c>
      <c r="H3" s="9">
        <v>200</v>
      </c>
      <c r="I3" s="9">
        <v>200</v>
      </c>
      <c r="J3" s="2">
        <v>46128</v>
      </c>
      <c r="N3" s="1" t="s">
        <v>197</v>
      </c>
    </row>
    <row r="4" spans="1:14" x14ac:dyDescent="0.3">
      <c r="A4" s="1" t="s">
        <v>198</v>
      </c>
      <c r="B4" s="1" t="s">
        <v>194</v>
      </c>
      <c r="C4" s="1" t="s">
        <v>195</v>
      </c>
      <c r="D4" s="1" t="s">
        <v>199</v>
      </c>
      <c r="E4" s="1" t="s">
        <v>97</v>
      </c>
      <c r="F4" s="1" t="s">
        <v>163</v>
      </c>
      <c r="G4" s="1" t="s">
        <v>163</v>
      </c>
      <c r="H4" s="9">
        <v>400</v>
      </c>
      <c r="I4" s="9">
        <v>400</v>
      </c>
      <c r="J4" s="2">
        <v>46128</v>
      </c>
      <c r="N4" s="1" t="s">
        <v>200</v>
      </c>
    </row>
    <row r="5" spans="1:14" x14ac:dyDescent="0.3">
      <c r="A5" s="1" t="s">
        <v>201</v>
      </c>
      <c r="B5" s="1" t="s">
        <v>194</v>
      </c>
      <c r="C5" s="1" t="s">
        <v>195</v>
      </c>
      <c r="D5" s="1" t="s">
        <v>202</v>
      </c>
      <c r="E5" s="1" t="s">
        <v>97</v>
      </c>
      <c r="F5" s="1" t="s">
        <v>169</v>
      </c>
      <c r="G5" s="1" t="s">
        <v>169</v>
      </c>
      <c r="H5" s="9">
        <v>1000</v>
      </c>
      <c r="I5" s="9">
        <v>1000</v>
      </c>
      <c r="J5" s="2">
        <v>46128</v>
      </c>
      <c r="N5" s="1" t="s">
        <v>203</v>
      </c>
    </row>
    <row r="6" spans="1:14" x14ac:dyDescent="0.3">
      <c r="A6" s="1" t="s">
        <v>204</v>
      </c>
      <c r="B6" s="1" t="s">
        <v>194</v>
      </c>
      <c r="C6" s="1" t="s">
        <v>195</v>
      </c>
      <c r="D6" s="1" t="s">
        <v>205</v>
      </c>
      <c r="E6" s="1" t="s">
        <v>97</v>
      </c>
      <c r="F6" s="1" t="s">
        <v>166</v>
      </c>
      <c r="G6" s="1" t="s">
        <v>166</v>
      </c>
      <c r="H6" s="9">
        <v>200</v>
      </c>
      <c r="I6" s="9">
        <v>200</v>
      </c>
      <c r="J6" s="2">
        <v>46128</v>
      </c>
      <c r="N6" s="1" t="s">
        <v>206</v>
      </c>
    </row>
    <row r="7" spans="1:14" x14ac:dyDescent="0.3">
      <c r="A7" s="1" t="s">
        <v>207</v>
      </c>
      <c r="B7" s="1" t="s">
        <v>194</v>
      </c>
      <c r="C7" s="1" t="s">
        <v>195</v>
      </c>
      <c r="D7" s="1" t="s">
        <v>208</v>
      </c>
      <c r="E7" s="1" t="s">
        <v>97</v>
      </c>
      <c r="F7" s="1" t="s">
        <v>163</v>
      </c>
      <c r="G7" s="1" t="s">
        <v>163</v>
      </c>
      <c r="H7" s="9">
        <v>400</v>
      </c>
      <c r="I7" s="9">
        <v>400</v>
      </c>
      <c r="J7" s="2">
        <v>46128</v>
      </c>
      <c r="N7" s="1" t="s">
        <v>209</v>
      </c>
    </row>
    <row r="8" spans="1:14" x14ac:dyDescent="0.3">
      <c r="A8" s="1" t="s">
        <v>210</v>
      </c>
      <c r="B8" s="1" t="s">
        <v>211</v>
      </c>
      <c r="C8" s="1" t="s">
        <v>212</v>
      </c>
      <c r="D8" s="1" t="s">
        <v>213</v>
      </c>
      <c r="E8" s="1" t="s">
        <v>97</v>
      </c>
      <c r="F8" s="1" t="s">
        <v>160</v>
      </c>
      <c r="G8" s="1" t="s">
        <v>160</v>
      </c>
      <c r="H8" s="9">
        <v>1000</v>
      </c>
      <c r="I8" s="9">
        <v>1000</v>
      </c>
      <c r="J8" s="2">
        <v>46136</v>
      </c>
      <c r="K8" s="1" t="s">
        <v>84</v>
      </c>
      <c r="L8" s="1" t="s">
        <v>191</v>
      </c>
      <c r="N8" s="1" t="s">
        <v>214</v>
      </c>
    </row>
    <row r="9" spans="1:14" x14ac:dyDescent="0.3">
      <c r="A9" s="1" t="s">
        <v>215</v>
      </c>
      <c r="B9" s="1" t="s">
        <v>211</v>
      </c>
      <c r="C9" s="1" t="s">
        <v>212</v>
      </c>
      <c r="D9" s="1" t="s">
        <v>216</v>
      </c>
      <c r="E9" s="1" t="s">
        <v>97</v>
      </c>
      <c r="F9" s="1" t="s">
        <v>163</v>
      </c>
      <c r="G9" s="1" t="s">
        <v>163</v>
      </c>
      <c r="H9" s="9">
        <v>500</v>
      </c>
      <c r="I9" s="9">
        <v>500</v>
      </c>
      <c r="J9" s="2">
        <v>46136</v>
      </c>
      <c r="K9" s="1" t="s">
        <v>84</v>
      </c>
      <c r="L9" s="1" t="s">
        <v>191</v>
      </c>
      <c r="N9" s="1" t="s">
        <v>217</v>
      </c>
    </row>
    <row r="10" spans="1:14" x14ac:dyDescent="0.3">
      <c r="A10" s="1" t="s">
        <v>218</v>
      </c>
      <c r="B10" s="1" t="s">
        <v>211</v>
      </c>
      <c r="C10" s="1" t="s">
        <v>212</v>
      </c>
      <c r="D10" s="1" t="s">
        <v>219</v>
      </c>
      <c r="E10" s="1" t="s">
        <v>97</v>
      </c>
      <c r="F10" s="1" t="s">
        <v>163</v>
      </c>
      <c r="G10" s="1" t="s">
        <v>163</v>
      </c>
      <c r="H10" s="9">
        <v>500</v>
      </c>
      <c r="I10" s="9">
        <v>500</v>
      </c>
      <c r="J10" s="2">
        <v>46136</v>
      </c>
      <c r="K10" s="1" t="s">
        <v>84</v>
      </c>
      <c r="L10" s="1" t="s">
        <v>191</v>
      </c>
      <c r="N10" s="1" t="s">
        <v>220</v>
      </c>
    </row>
    <row r="11" spans="1:14" x14ac:dyDescent="0.3">
      <c r="A11" s="1" t="s">
        <v>221</v>
      </c>
      <c r="B11" s="1" t="s">
        <v>211</v>
      </c>
      <c r="C11" s="1" t="s">
        <v>212</v>
      </c>
      <c r="D11" s="1" t="s">
        <v>222</v>
      </c>
      <c r="E11" s="1" t="s">
        <v>97</v>
      </c>
      <c r="F11" s="1" t="s">
        <v>163</v>
      </c>
      <c r="G11" s="1" t="s">
        <v>163</v>
      </c>
      <c r="H11" s="9">
        <v>500</v>
      </c>
      <c r="I11" s="9">
        <v>500</v>
      </c>
      <c r="J11" s="2">
        <v>46136</v>
      </c>
      <c r="K11" s="1" t="s">
        <v>84</v>
      </c>
      <c r="L11" s="1" t="s">
        <v>191</v>
      </c>
      <c r="N11" s="1" t="s">
        <v>223</v>
      </c>
    </row>
    <row r="12" spans="1:14" x14ac:dyDescent="0.3">
      <c r="A12" s="1" t="s">
        <v>224</v>
      </c>
      <c r="B12" s="1" t="s">
        <v>225</v>
      </c>
      <c r="C12" s="1" t="s">
        <v>226</v>
      </c>
      <c r="D12" s="1" t="s">
        <v>227</v>
      </c>
      <c r="E12" s="1" t="s">
        <v>97</v>
      </c>
      <c r="F12" s="1" t="s">
        <v>169</v>
      </c>
      <c r="G12" s="1" t="s">
        <v>163</v>
      </c>
      <c r="H12" s="9">
        <v>2000</v>
      </c>
      <c r="I12" s="9">
        <v>2000</v>
      </c>
      <c r="J12" s="2">
        <v>46211</v>
      </c>
      <c r="N12" s="1" t="s">
        <v>228</v>
      </c>
    </row>
    <row r="13" spans="1:14" x14ac:dyDescent="0.3">
      <c r="A13" s="1" t="s">
        <v>229</v>
      </c>
      <c r="B13" s="1" t="s">
        <v>225</v>
      </c>
      <c r="C13" s="1" t="s">
        <v>226</v>
      </c>
      <c r="D13" s="1" t="s">
        <v>230</v>
      </c>
      <c r="E13" s="1" t="s">
        <v>97</v>
      </c>
      <c r="F13" s="1" t="s">
        <v>154</v>
      </c>
      <c r="G13" s="1" t="s">
        <v>154</v>
      </c>
      <c r="H13" s="9">
        <v>200</v>
      </c>
      <c r="I13" s="9">
        <v>200</v>
      </c>
      <c r="J13" s="2">
        <v>46211</v>
      </c>
      <c r="N13" s="1" t="s">
        <v>231</v>
      </c>
    </row>
    <row r="14" spans="1:14" x14ac:dyDescent="0.3">
      <c r="A14" s="1" t="s">
        <v>232</v>
      </c>
      <c r="B14" s="1" t="s">
        <v>233</v>
      </c>
      <c r="C14" s="1" t="s">
        <v>234</v>
      </c>
      <c r="D14" s="1" t="s">
        <v>235</v>
      </c>
      <c r="E14" s="1" t="s">
        <v>97</v>
      </c>
      <c r="F14" s="1" t="s">
        <v>163</v>
      </c>
      <c r="G14" s="1" t="s">
        <v>163</v>
      </c>
      <c r="H14" s="9">
        <v>3000</v>
      </c>
      <c r="I14" s="9">
        <v>3000</v>
      </c>
      <c r="J14" s="2">
        <v>46203</v>
      </c>
      <c r="L14" s="1" t="s">
        <v>191</v>
      </c>
      <c r="N14" s="1" t="s">
        <v>236</v>
      </c>
    </row>
    <row r="15" spans="1:14" x14ac:dyDescent="0.3">
      <c r="A15" s="1" t="s">
        <v>237</v>
      </c>
      <c r="B15" s="1" t="s">
        <v>238</v>
      </c>
      <c r="C15" s="1" t="s">
        <v>239</v>
      </c>
      <c r="D15" s="1" t="s">
        <v>240</v>
      </c>
      <c r="E15" s="1" t="s">
        <v>108</v>
      </c>
      <c r="F15" s="1" t="s">
        <v>163</v>
      </c>
      <c r="G15" s="1" t="s">
        <v>163</v>
      </c>
      <c r="H15" s="9">
        <v>1000</v>
      </c>
      <c r="I15" s="9">
        <v>1000</v>
      </c>
      <c r="J15" s="2">
        <v>46203</v>
      </c>
      <c r="K15" s="1" t="s">
        <v>241</v>
      </c>
      <c r="L15" s="1" t="s">
        <v>242</v>
      </c>
      <c r="N15" s="1" t="s">
        <v>243</v>
      </c>
    </row>
    <row r="16" spans="1:14" x14ac:dyDescent="0.3">
      <c r="A16" s="1" t="s">
        <v>244</v>
      </c>
      <c r="B16" s="1" t="s">
        <v>238</v>
      </c>
      <c r="C16" s="1" t="s">
        <v>239</v>
      </c>
      <c r="D16" s="1" t="s">
        <v>245</v>
      </c>
      <c r="E16" s="1" t="s">
        <v>108</v>
      </c>
      <c r="F16" s="1" t="s">
        <v>163</v>
      </c>
      <c r="G16" s="1" t="s">
        <v>163</v>
      </c>
      <c r="H16" s="9">
        <v>200</v>
      </c>
      <c r="I16" s="9">
        <v>200</v>
      </c>
      <c r="J16" s="2">
        <v>46203</v>
      </c>
      <c r="K16" s="1" t="s">
        <v>241</v>
      </c>
      <c r="L16" s="1" t="s">
        <v>242</v>
      </c>
      <c r="N16" s="1" t="s">
        <v>246</v>
      </c>
    </row>
    <row r="17" spans="1:14" x14ac:dyDescent="0.3">
      <c r="A17" s="1" t="s">
        <v>247</v>
      </c>
      <c r="B17" s="1" t="s">
        <v>248</v>
      </c>
      <c r="C17" s="1" t="s">
        <v>249</v>
      </c>
      <c r="D17" s="1" t="s">
        <v>250</v>
      </c>
      <c r="E17" s="1" t="s">
        <v>108</v>
      </c>
      <c r="F17" s="1" t="s">
        <v>175</v>
      </c>
      <c r="G17" s="1" t="s">
        <v>160</v>
      </c>
      <c r="H17" s="9">
        <v>397.61059999999998</v>
      </c>
      <c r="I17" s="9">
        <v>397.61059999999998</v>
      </c>
      <c r="J17" s="2">
        <v>46022</v>
      </c>
      <c r="L17" s="1" t="s">
        <v>251</v>
      </c>
      <c r="N17" s="1" t="s">
        <v>252</v>
      </c>
    </row>
    <row r="18" spans="1:14" x14ac:dyDescent="0.3">
      <c r="A18" s="1" t="s">
        <v>253</v>
      </c>
      <c r="B18" s="1" t="s">
        <v>248</v>
      </c>
      <c r="C18" s="1" t="s">
        <v>249</v>
      </c>
      <c r="D18" s="1" t="s">
        <v>254</v>
      </c>
      <c r="E18" s="1" t="s">
        <v>108</v>
      </c>
      <c r="F18" s="1" t="s">
        <v>157</v>
      </c>
      <c r="G18" s="1" t="s">
        <v>157</v>
      </c>
      <c r="H18" s="9">
        <v>900</v>
      </c>
      <c r="I18" s="9">
        <v>-600</v>
      </c>
      <c r="J18" s="2">
        <v>46022</v>
      </c>
      <c r="L18" s="1" t="s">
        <v>251</v>
      </c>
      <c r="N18" s="1" t="s">
        <v>255</v>
      </c>
    </row>
    <row r="19" spans="1:14" x14ac:dyDescent="0.3">
      <c r="A19" s="1" t="s">
        <v>256</v>
      </c>
      <c r="B19" s="1" t="s">
        <v>248</v>
      </c>
      <c r="C19" s="1" t="s">
        <v>249</v>
      </c>
      <c r="D19" s="1" t="s">
        <v>257</v>
      </c>
      <c r="E19" s="1" t="s">
        <v>108</v>
      </c>
      <c r="F19" s="1" t="s">
        <v>157</v>
      </c>
      <c r="G19" s="1" t="s">
        <v>157</v>
      </c>
      <c r="H19" s="9">
        <v>1500</v>
      </c>
      <c r="I19" s="9">
        <v>1500</v>
      </c>
      <c r="J19" s="2">
        <v>46022</v>
      </c>
      <c r="L19" s="1" t="s">
        <v>251</v>
      </c>
      <c r="N19" s="1" t="s">
        <v>258</v>
      </c>
    </row>
    <row r="20" spans="1:14" x14ac:dyDescent="0.3">
      <c r="A20" s="1" t="s">
        <v>259</v>
      </c>
      <c r="B20" s="1" t="s">
        <v>106</v>
      </c>
      <c r="C20" s="1" t="s">
        <v>107</v>
      </c>
      <c r="D20" s="1" t="s">
        <v>260</v>
      </c>
      <c r="E20" s="1" t="s">
        <v>108</v>
      </c>
      <c r="F20" s="1" t="s">
        <v>160</v>
      </c>
      <c r="G20" s="1" t="s">
        <v>160</v>
      </c>
      <c r="H20" s="9">
        <v>1000</v>
      </c>
      <c r="I20" s="9">
        <v>1000</v>
      </c>
      <c r="J20" s="2">
        <v>46293</v>
      </c>
      <c r="L20" s="1" t="s">
        <v>242</v>
      </c>
      <c r="N20" s="1" t="s">
        <v>261</v>
      </c>
    </row>
    <row r="21" spans="1:14" x14ac:dyDescent="0.3">
      <c r="A21" s="1" t="s">
        <v>262</v>
      </c>
      <c r="B21" s="1" t="s">
        <v>106</v>
      </c>
      <c r="C21" s="1" t="s">
        <v>107</v>
      </c>
      <c r="D21" s="1" t="s">
        <v>263</v>
      </c>
      <c r="E21" s="1" t="s">
        <v>108</v>
      </c>
      <c r="F21" s="1" t="s">
        <v>157</v>
      </c>
      <c r="G21" s="1" t="s">
        <v>157</v>
      </c>
      <c r="H21" s="9">
        <v>500</v>
      </c>
      <c r="I21" s="9">
        <v>500</v>
      </c>
      <c r="J21" s="2">
        <v>46293</v>
      </c>
      <c r="L21" s="1" t="s">
        <v>242</v>
      </c>
      <c r="N21" s="1" t="s">
        <v>264</v>
      </c>
    </row>
    <row r="22" spans="1:14" x14ac:dyDescent="0.3">
      <c r="A22" s="1" t="s">
        <v>265</v>
      </c>
      <c r="B22" s="1" t="s">
        <v>266</v>
      </c>
      <c r="C22" s="1" t="s">
        <v>267</v>
      </c>
      <c r="D22" s="1" t="s">
        <v>268</v>
      </c>
      <c r="E22" s="1" t="s">
        <v>108</v>
      </c>
      <c r="F22" s="1" t="s">
        <v>163</v>
      </c>
      <c r="G22" s="1" t="s">
        <v>163</v>
      </c>
      <c r="H22" s="9">
        <v>390</v>
      </c>
      <c r="I22" s="9">
        <v>390</v>
      </c>
      <c r="J22" s="2">
        <v>46164</v>
      </c>
      <c r="L22" s="1" t="s">
        <v>269</v>
      </c>
      <c r="N22" s="1" t="s">
        <v>270</v>
      </c>
    </row>
    <row r="23" spans="1:14" x14ac:dyDescent="0.3">
      <c r="A23" s="1" t="s">
        <v>271</v>
      </c>
      <c r="B23" s="1" t="s">
        <v>266</v>
      </c>
      <c r="C23" s="1" t="s">
        <v>267</v>
      </c>
      <c r="D23" s="1" t="s">
        <v>272</v>
      </c>
      <c r="E23" s="1" t="s">
        <v>108</v>
      </c>
      <c r="F23" s="1" t="s">
        <v>163</v>
      </c>
      <c r="G23" s="1" t="s">
        <v>163</v>
      </c>
      <c r="H23" s="9">
        <v>100</v>
      </c>
      <c r="I23" s="9">
        <v>100</v>
      </c>
      <c r="J23" s="2">
        <v>46164</v>
      </c>
      <c r="L23" s="1" t="s">
        <v>269</v>
      </c>
      <c r="N23" s="1" t="s">
        <v>273</v>
      </c>
    </row>
    <row r="24" spans="1:14" x14ac:dyDescent="0.3">
      <c r="A24" s="1" t="s">
        <v>274</v>
      </c>
      <c r="B24" s="1" t="s">
        <v>266</v>
      </c>
      <c r="C24" s="1" t="s">
        <v>267</v>
      </c>
      <c r="D24" s="1" t="s">
        <v>275</v>
      </c>
      <c r="E24" s="1" t="s">
        <v>108</v>
      </c>
      <c r="F24" s="1" t="s">
        <v>163</v>
      </c>
      <c r="G24" s="1" t="s">
        <v>163</v>
      </c>
      <c r="H24" s="9">
        <v>300</v>
      </c>
      <c r="I24" s="9">
        <v>300</v>
      </c>
      <c r="J24" s="2">
        <v>46164</v>
      </c>
      <c r="L24" s="1" t="s">
        <v>269</v>
      </c>
      <c r="N24" s="1" t="s">
        <v>276</v>
      </c>
    </row>
    <row r="25" spans="1:14" x14ac:dyDescent="0.3">
      <c r="A25" s="1" t="s">
        <v>277</v>
      </c>
      <c r="B25" s="1" t="s">
        <v>266</v>
      </c>
      <c r="C25" s="1" t="s">
        <v>267</v>
      </c>
      <c r="D25" s="1" t="s">
        <v>278</v>
      </c>
      <c r="E25" s="1" t="s">
        <v>108</v>
      </c>
      <c r="F25" s="1" t="s">
        <v>160</v>
      </c>
      <c r="G25" s="1" t="s">
        <v>160</v>
      </c>
      <c r="H25" s="9">
        <v>81</v>
      </c>
      <c r="I25" s="9">
        <v>81</v>
      </c>
      <c r="J25" s="2">
        <v>46164</v>
      </c>
      <c r="L25" s="1" t="s">
        <v>269</v>
      </c>
      <c r="N25" s="1" t="s">
        <v>279</v>
      </c>
    </row>
    <row r="26" spans="1:14" x14ac:dyDescent="0.3">
      <c r="A26" s="1" t="s">
        <v>280</v>
      </c>
      <c r="B26" s="1" t="s">
        <v>281</v>
      </c>
      <c r="C26" s="1" t="s">
        <v>282</v>
      </c>
      <c r="D26" s="1" t="s">
        <v>283</v>
      </c>
      <c r="E26" s="1" t="s">
        <v>108</v>
      </c>
      <c r="F26" s="1" t="s">
        <v>163</v>
      </c>
      <c r="G26" s="1" t="s">
        <v>163</v>
      </c>
      <c r="H26" s="9">
        <v>1300</v>
      </c>
      <c r="I26" s="9">
        <v>1300</v>
      </c>
      <c r="J26" s="2">
        <v>46142</v>
      </c>
      <c r="L26" s="1" t="s">
        <v>242</v>
      </c>
      <c r="N26" s="1" t="s">
        <v>284</v>
      </c>
    </row>
    <row r="27" spans="1:14" x14ac:dyDescent="0.3">
      <c r="A27" s="1" t="s">
        <v>285</v>
      </c>
      <c r="B27" s="1" t="s">
        <v>286</v>
      </c>
      <c r="C27" s="1" t="s">
        <v>287</v>
      </c>
      <c r="D27" s="1" t="s">
        <v>288</v>
      </c>
      <c r="E27" s="1" t="s">
        <v>91</v>
      </c>
      <c r="F27" s="1" t="s">
        <v>163</v>
      </c>
      <c r="G27" s="1" t="s">
        <v>163</v>
      </c>
      <c r="H27" s="9">
        <v>1942</v>
      </c>
      <c r="I27" s="9">
        <v>1942</v>
      </c>
      <c r="J27" s="2">
        <v>46141</v>
      </c>
      <c r="K27" s="1" t="s">
        <v>289</v>
      </c>
      <c r="L27" s="1" t="s">
        <v>269</v>
      </c>
      <c r="N27" s="1" t="s">
        <v>290</v>
      </c>
    </row>
    <row r="28" spans="1:14" x14ac:dyDescent="0.3">
      <c r="A28" s="1" t="s">
        <v>291</v>
      </c>
      <c r="B28" s="1" t="s">
        <v>286</v>
      </c>
      <c r="C28" s="1" t="s">
        <v>287</v>
      </c>
      <c r="D28" s="1" t="s">
        <v>292</v>
      </c>
      <c r="E28" s="1" t="s">
        <v>91</v>
      </c>
      <c r="F28" s="1" t="s">
        <v>157</v>
      </c>
      <c r="G28" s="1" t="s">
        <v>157</v>
      </c>
      <c r="H28" s="9">
        <v>1000</v>
      </c>
      <c r="I28" s="9">
        <v>1000</v>
      </c>
      <c r="J28" s="2">
        <v>46141</v>
      </c>
      <c r="K28" s="1" t="s">
        <v>289</v>
      </c>
      <c r="L28" s="1" t="s">
        <v>269</v>
      </c>
      <c r="N28" s="1" t="s">
        <v>293</v>
      </c>
    </row>
    <row r="29" spans="1:14" x14ac:dyDescent="0.3">
      <c r="A29" s="1" t="s">
        <v>294</v>
      </c>
      <c r="B29" s="1" t="s">
        <v>295</v>
      </c>
      <c r="C29" s="1" t="s">
        <v>296</v>
      </c>
      <c r="D29" s="1" t="s">
        <v>297</v>
      </c>
      <c r="E29" s="1" t="s">
        <v>91</v>
      </c>
      <c r="F29" s="1" t="s">
        <v>175</v>
      </c>
      <c r="G29" s="1" t="s">
        <v>175</v>
      </c>
      <c r="H29" s="9">
        <v>1000</v>
      </c>
      <c r="I29" s="9">
        <v>1000</v>
      </c>
      <c r="J29" s="2">
        <v>46211</v>
      </c>
      <c r="K29" s="1" t="s">
        <v>241</v>
      </c>
      <c r="L29" s="1" t="s">
        <v>251</v>
      </c>
      <c r="N29" s="1" t="s">
        <v>298</v>
      </c>
    </row>
    <row r="30" spans="1:14" x14ac:dyDescent="0.3">
      <c r="A30" s="1" t="s">
        <v>299</v>
      </c>
      <c r="B30" s="1" t="s">
        <v>295</v>
      </c>
      <c r="C30" s="1" t="s">
        <v>296</v>
      </c>
      <c r="D30" s="1" t="s">
        <v>300</v>
      </c>
      <c r="E30" s="1" t="s">
        <v>91</v>
      </c>
      <c r="F30" s="1" t="s">
        <v>175</v>
      </c>
      <c r="G30" s="1" t="s">
        <v>163</v>
      </c>
      <c r="H30" s="9">
        <v>500</v>
      </c>
      <c r="I30" s="9">
        <v>500</v>
      </c>
      <c r="J30" s="2">
        <v>46211</v>
      </c>
      <c r="K30" s="1" t="s">
        <v>241</v>
      </c>
      <c r="L30" s="1" t="s">
        <v>251</v>
      </c>
      <c r="N30" s="1" t="s">
        <v>301</v>
      </c>
    </row>
    <row r="31" spans="1:14" x14ac:dyDescent="0.3">
      <c r="A31" s="1" t="s">
        <v>302</v>
      </c>
      <c r="B31" s="1" t="s">
        <v>303</v>
      </c>
      <c r="C31" s="1" t="s">
        <v>304</v>
      </c>
      <c r="D31" s="1" t="s">
        <v>305</v>
      </c>
      <c r="E31" s="1" t="s">
        <v>85</v>
      </c>
      <c r="F31" s="1" t="s">
        <v>163</v>
      </c>
      <c r="G31" s="1" t="s">
        <v>163</v>
      </c>
      <c r="H31" s="9">
        <v>1000</v>
      </c>
      <c r="I31" s="9">
        <v>0</v>
      </c>
      <c r="J31" s="2">
        <v>46146</v>
      </c>
      <c r="K31" s="1" t="s">
        <v>289</v>
      </c>
      <c r="N31" s="1" t="s">
        <v>306</v>
      </c>
    </row>
    <row r="32" spans="1:14" x14ac:dyDescent="0.3">
      <c r="A32" s="1" t="s">
        <v>307</v>
      </c>
      <c r="B32" s="1" t="s">
        <v>303</v>
      </c>
      <c r="C32" s="1" t="s">
        <v>304</v>
      </c>
      <c r="D32" s="1" t="s">
        <v>308</v>
      </c>
      <c r="E32" s="1" t="s">
        <v>85</v>
      </c>
      <c r="F32" s="1" t="s">
        <v>163</v>
      </c>
      <c r="G32" s="1" t="s">
        <v>163</v>
      </c>
      <c r="H32" s="9">
        <v>2000</v>
      </c>
      <c r="I32" s="9">
        <v>0</v>
      </c>
      <c r="J32" s="2">
        <v>46146</v>
      </c>
      <c r="K32" s="1" t="s">
        <v>289</v>
      </c>
      <c r="N32" s="1" t="s">
        <v>309</v>
      </c>
    </row>
    <row r="33" spans="1:14" x14ac:dyDescent="0.3">
      <c r="A33" s="1" t="s">
        <v>310</v>
      </c>
      <c r="B33" s="1" t="s">
        <v>311</v>
      </c>
      <c r="C33" s="1" t="s">
        <v>312</v>
      </c>
      <c r="D33" s="1" t="s">
        <v>313</v>
      </c>
      <c r="E33" s="1" t="s">
        <v>85</v>
      </c>
      <c r="F33" s="1" t="s">
        <v>157</v>
      </c>
      <c r="G33" s="1" t="s">
        <v>157</v>
      </c>
      <c r="H33" s="9">
        <v>2000</v>
      </c>
      <c r="I33" s="9">
        <v>0</v>
      </c>
      <c r="J33" s="2">
        <v>46206</v>
      </c>
      <c r="L33" s="1" t="s">
        <v>242</v>
      </c>
      <c r="N33" s="1" t="s">
        <v>314</v>
      </c>
    </row>
    <row r="34" spans="1:14" x14ac:dyDescent="0.3">
      <c r="A34" s="1" t="s">
        <v>315</v>
      </c>
      <c r="B34" s="1" t="s">
        <v>82</v>
      </c>
      <c r="C34" s="1" t="s">
        <v>83</v>
      </c>
      <c r="D34" s="1" t="s">
        <v>316</v>
      </c>
      <c r="E34" s="1" t="s">
        <v>85</v>
      </c>
      <c r="F34" s="1" t="s">
        <v>163</v>
      </c>
      <c r="G34" s="1" t="s">
        <v>163</v>
      </c>
      <c r="H34" s="9">
        <v>600</v>
      </c>
      <c r="I34" s="9">
        <v>600</v>
      </c>
      <c r="J34" s="2">
        <v>46286</v>
      </c>
      <c r="K34" s="1" t="s">
        <v>289</v>
      </c>
      <c r="N34" s="1" t="s">
        <v>317</v>
      </c>
    </row>
    <row r="35" spans="1:14" x14ac:dyDescent="0.3">
      <c r="A35" s="1" t="s">
        <v>318</v>
      </c>
      <c r="B35" s="1" t="s">
        <v>319</v>
      </c>
      <c r="C35" s="1" t="s">
        <v>320</v>
      </c>
      <c r="D35" s="1" t="s">
        <v>321</v>
      </c>
      <c r="E35" s="1" t="s">
        <v>84</v>
      </c>
      <c r="F35" s="1" t="s">
        <v>154</v>
      </c>
      <c r="G35" s="1" t="s">
        <v>154</v>
      </c>
      <c r="H35" s="9">
        <v>500</v>
      </c>
      <c r="I35" s="9">
        <v>500</v>
      </c>
      <c r="J35" s="2">
        <v>46190</v>
      </c>
      <c r="M35" s="1" t="s">
        <v>289</v>
      </c>
      <c r="N35" s="1" t="s">
        <v>322</v>
      </c>
    </row>
    <row r="36" spans="1:14" x14ac:dyDescent="0.3">
      <c r="A36" s="1" t="s">
        <v>323</v>
      </c>
      <c r="B36" s="1" t="s">
        <v>319</v>
      </c>
      <c r="C36" s="1" t="s">
        <v>320</v>
      </c>
      <c r="D36" s="1" t="s">
        <v>324</v>
      </c>
      <c r="E36" s="1" t="s">
        <v>84</v>
      </c>
      <c r="F36" s="1" t="s">
        <v>163</v>
      </c>
      <c r="G36" s="1" t="s">
        <v>163</v>
      </c>
      <c r="H36" s="9">
        <v>500</v>
      </c>
      <c r="I36" s="9">
        <v>500</v>
      </c>
      <c r="J36" s="2">
        <v>46190</v>
      </c>
      <c r="M36" s="1" t="s">
        <v>289</v>
      </c>
      <c r="N36" s="1" t="s">
        <v>325</v>
      </c>
    </row>
    <row r="37" spans="1:14" x14ac:dyDescent="0.3">
      <c r="A37" s="1" t="s">
        <v>326</v>
      </c>
      <c r="B37" s="1" t="s">
        <v>116</v>
      </c>
      <c r="C37" s="1" t="s">
        <v>117</v>
      </c>
      <c r="D37" s="1" t="s">
        <v>327</v>
      </c>
      <c r="E37" s="1" t="s">
        <v>84</v>
      </c>
      <c r="F37" s="1" t="s">
        <v>160</v>
      </c>
      <c r="G37" s="1" t="s">
        <v>160</v>
      </c>
      <c r="H37" s="9">
        <v>300</v>
      </c>
      <c r="I37" s="9">
        <v>300</v>
      </c>
      <c r="J37" s="2">
        <v>46283</v>
      </c>
      <c r="K37" s="1" t="s">
        <v>289</v>
      </c>
      <c r="N37" s="1" t="s">
        <v>328</v>
      </c>
    </row>
    <row r="38" spans="1:14" x14ac:dyDescent="0.3">
      <c r="A38" s="1" t="s">
        <v>329</v>
      </c>
      <c r="B38" s="1" t="s">
        <v>116</v>
      </c>
      <c r="C38" s="1" t="s">
        <v>117</v>
      </c>
      <c r="D38" s="1" t="s">
        <v>330</v>
      </c>
      <c r="E38" s="1" t="s">
        <v>84</v>
      </c>
      <c r="F38" s="1" t="s">
        <v>157</v>
      </c>
      <c r="G38" s="1" t="s">
        <v>157</v>
      </c>
      <c r="H38" s="9">
        <v>400</v>
      </c>
      <c r="I38" s="9">
        <v>400</v>
      </c>
      <c r="J38" s="2">
        <v>46283</v>
      </c>
      <c r="K38" s="1" t="s">
        <v>289</v>
      </c>
      <c r="N38" s="1" t="s">
        <v>331</v>
      </c>
    </row>
    <row r="39" spans="1:14" x14ac:dyDescent="0.3">
      <c r="A39" s="1" t="s">
        <v>332</v>
      </c>
      <c r="B39" s="1" t="s">
        <v>116</v>
      </c>
      <c r="C39" s="1" t="s">
        <v>117</v>
      </c>
      <c r="D39" s="1" t="s">
        <v>333</v>
      </c>
      <c r="E39" s="1" t="s">
        <v>84</v>
      </c>
      <c r="F39" s="1" t="s">
        <v>163</v>
      </c>
      <c r="G39" s="1" t="s">
        <v>163</v>
      </c>
      <c r="H39" s="9">
        <v>400</v>
      </c>
      <c r="I39" s="9">
        <v>400</v>
      </c>
      <c r="J39" s="2">
        <v>46283</v>
      </c>
      <c r="K39" s="1" t="s">
        <v>289</v>
      </c>
      <c r="N39" s="1" t="s">
        <v>334</v>
      </c>
    </row>
    <row r="40" spans="1:14" x14ac:dyDescent="0.3">
      <c r="A40" s="1" t="s">
        <v>335</v>
      </c>
      <c r="B40" s="1" t="s">
        <v>116</v>
      </c>
      <c r="C40" s="1" t="s">
        <v>117</v>
      </c>
      <c r="D40" s="1" t="s">
        <v>336</v>
      </c>
      <c r="E40" s="1" t="s">
        <v>84</v>
      </c>
      <c r="F40" s="1" t="s">
        <v>163</v>
      </c>
      <c r="G40" s="1" t="s">
        <v>163</v>
      </c>
      <c r="H40" s="9">
        <v>200</v>
      </c>
      <c r="I40" s="9">
        <v>200</v>
      </c>
      <c r="J40" s="2">
        <v>46283</v>
      </c>
      <c r="K40" s="1" t="s">
        <v>289</v>
      </c>
      <c r="N40" s="1" t="s">
        <v>337</v>
      </c>
    </row>
    <row r="41" spans="1:14" x14ac:dyDescent="0.3">
      <c r="A41" s="1" t="s">
        <v>338</v>
      </c>
      <c r="B41" s="1" t="s">
        <v>339</v>
      </c>
      <c r="C41" s="1" t="s">
        <v>340</v>
      </c>
      <c r="D41" s="1" t="s">
        <v>341</v>
      </c>
      <c r="E41" s="1" t="s">
        <v>84</v>
      </c>
      <c r="F41" s="1" t="s">
        <v>163</v>
      </c>
      <c r="G41" s="1" t="s">
        <v>163</v>
      </c>
      <c r="H41" s="9">
        <v>300</v>
      </c>
      <c r="I41" s="9">
        <v>300</v>
      </c>
      <c r="J41" s="2">
        <v>46209</v>
      </c>
      <c r="K41" s="1" t="s">
        <v>289</v>
      </c>
      <c r="N41" s="1" t="s">
        <v>342</v>
      </c>
    </row>
    <row r="42" spans="1:14" x14ac:dyDescent="0.3">
      <c r="A42" s="1" t="s">
        <v>343</v>
      </c>
      <c r="B42" s="1" t="s">
        <v>339</v>
      </c>
      <c r="C42" s="1" t="s">
        <v>340</v>
      </c>
      <c r="D42" s="1" t="s">
        <v>344</v>
      </c>
      <c r="E42" s="1" t="s">
        <v>84</v>
      </c>
      <c r="F42" s="1" t="s">
        <v>163</v>
      </c>
      <c r="G42" s="1" t="s">
        <v>163</v>
      </c>
      <c r="H42" s="9">
        <v>200</v>
      </c>
      <c r="I42" s="9">
        <v>200</v>
      </c>
      <c r="J42" s="2">
        <v>46209</v>
      </c>
      <c r="K42" s="1" t="s">
        <v>289</v>
      </c>
      <c r="N42" s="1" t="s">
        <v>345</v>
      </c>
    </row>
    <row r="43" spans="1:14" x14ac:dyDescent="0.3">
      <c r="A43" s="1" t="s">
        <v>346</v>
      </c>
      <c r="B43" s="1" t="s">
        <v>339</v>
      </c>
      <c r="C43" s="1" t="s">
        <v>340</v>
      </c>
      <c r="D43" s="1" t="s">
        <v>347</v>
      </c>
      <c r="E43" s="1" t="s">
        <v>84</v>
      </c>
      <c r="F43" s="1" t="s">
        <v>154</v>
      </c>
      <c r="G43" s="1" t="s">
        <v>154</v>
      </c>
      <c r="H43" s="9">
        <v>250</v>
      </c>
      <c r="I43" s="9">
        <v>250</v>
      </c>
      <c r="J43" s="2">
        <v>46209</v>
      </c>
      <c r="K43" s="1" t="s">
        <v>289</v>
      </c>
      <c r="N43" s="1" t="s">
        <v>348</v>
      </c>
    </row>
    <row r="44" spans="1:14" x14ac:dyDescent="0.3">
      <c r="A44" s="1" t="s">
        <v>349</v>
      </c>
      <c r="B44" s="1" t="s">
        <v>350</v>
      </c>
      <c r="C44" s="1" t="s">
        <v>351</v>
      </c>
      <c r="D44" s="1" t="s">
        <v>352</v>
      </c>
      <c r="E44" s="1" t="s">
        <v>84</v>
      </c>
      <c r="F44" s="1" t="s">
        <v>163</v>
      </c>
      <c r="G44" s="1" t="s">
        <v>163</v>
      </c>
      <c r="H44" s="9">
        <v>200</v>
      </c>
      <c r="I44" s="9">
        <v>200</v>
      </c>
      <c r="J44" s="2">
        <v>46128</v>
      </c>
      <c r="N44" s="1" t="s">
        <v>353</v>
      </c>
    </row>
    <row r="45" spans="1:14" x14ac:dyDescent="0.3">
      <c r="A45" s="1" t="s">
        <v>354</v>
      </c>
      <c r="B45" s="1" t="s">
        <v>350</v>
      </c>
      <c r="C45" s="1" t="s">
        <v>351</v>
      </c>
      <c r="D45" s="1" t="s">
        <v>355</v>
      </c>
      <c r="E45" s="1" t="s">
        <v>84</v>
      </c>
      <c r="F45" s="1" t="s">
        <v>163</v>
      </c>
      <c r="G45" s="1" t="s">
        <v>163</v>
      </c>
      <c r="H45" s="9">
        <v>700</v>
      </c>
      <c r="I45" s="9">
        <v>700</v>
      </c>
      <c r="J45" s="2">
        <v>46128</v>
      </c>
      <c r="N45" s="1" t="s">
        <v>356</v>
      </c>
    </row>
    <row r="46" spans="1:14" x14ac:dyDescent="0.3">
      <c r="A46" s="1" t="s">
        <v>357</v>
      </c>
      <c r="B46" s="1" t="s">
        <v>350</v>
      </c>
      <c r="C46" s="1" t="s">
        <v>351</v>
      </c>
      <c r="D46" s="1" t="s">
        <v>358</v>
      </c>
      <c r="E46" s="1" t="s">
        <v>84</v>
      </c>
      <c r="F46" s="1" t="s">
        <v>163</v>
      </c>
      <c r="G46" s="1" t="s">
        <v>163</v>
      </c>
      <c r="H46" s="9">
        <v>400</v>
      </c>
      <c r="I46" s="9">
        <v>400</v>
      </c>
      <c r="J46" s="2">
        <v>46128</v>
      </c>
      <c r="N46" s="1" t="s">
        <v>359</v>
      </c>
    </row>
    <row r="47" spans="1:14" x14ac:dyDescent="0.3">
      <c r="A47" s="1" t="s">
        <v>360</v>
      </c>
      <c r="B47" s="1" t="s">
        <v>350</v>
      </c>
      <c r="C47" s="1" t="s">
        <v>351</v>
      </c>
      <c r="D47" s="1" t="s">
        <v>361</v>
      </c>
      <c r="E47" s="1" t="s">
        <v>84</v>
      </c>
      <c r="F47" s="1" t="s">
        <v>163</v>
      </c>
      <c r="G47" s="1" t="s">
        <v>163</v>
      </c>
      <c r="H47" s="9">
        <v>300</v>
      </c>
      <c r="I47" s="9">
        <v>300</v>
      </c>
      <c r="J47" s="2">
        <v>46128</v>
      </c>
      <c r="N47" s="1" t="s">
        <v>362</v>
      </c>
    </row>
    <row r="48" spans="1:14" x14ac:dyDescent="0.3">
      <c r="A48" s="1" t="s">
        <v>363</v>
      </c>
      <c r="B48" s="1" t="s">
        <v>350</v>
      </c>
      <c r="C48" s="1" t="s">
        <v>351</v>
      </c>
      <c r="D48" s="1" t="s">
        <v>364</v>
      </c>
      <c r="E48" s="1" t="s">
        <v>84</v>
      </c>
      <c r="F48" s="1" t="s">
        <v>154</v>
      </c>
      <c r="G48" s="1" t="s">
        <v>154</v>
      </c>
      <c r="H48" s="9">
        <v>500</v>
      </c>
      <c r="I48" s="9">
        <v>500</v>
      </c>
      <c r="J48" s="2">
        <v>46128</v>
      </c>
      <c r="N48" s="1" t="s">
        <v>365</v>
      </c>
    </row>
    <row r="49" spans="1:14" x14ac:dyDescent="0.3">
      <c r="A49" s="1" t="s">
        <v>366</v>
      </c>
      <c r="B49" s="1" t="s">
        <v>350</v>
      </c>
      <c r="C49" s="1" t="s">
        <v>351</v>
      </c>
      <c r="D49" s="1" t="s">
        <v>367</v>
      </c>
      <c r="E49" s="1" t="s">
        <v>84</v>
      </c>
      <c r="F49" s="1" t="s">
        <v>157</v>
      </c>
      <c r="G49" s="1" t="s">
        <v>157</v>
      </c>
      <c r="H49" s="9">
        <v>400</v>
      </c>
      <c r="I49" s="9">
        <v>400</v>
      </c>
      <c r="J49" s="2">
        <v>46128</v>
      </c>
      <c r="N49" s="1" t="s">
        <v>368</v>
      </c>
    </row>
    <row r="50" spans="1:14" x14ac:dyDescent="0.3">
      <c r="A50" s="1" t="s">
        <v>369</v>
      </c>
      <c r="B50" s="1" t="s">
        <v>370</v>
      </c>
      <c r="C50" s="1" t="s">
        <v>371</v>
      </c>
      <c r="D50" s="1" t="s">
        <v>372</v>
      </c>
      <c r="E50" s="1" t="s">
        <v>113</v>
      </c>
      <c r="F50" s="1" t="s">
        <v>172</v>
      </c>
      <c r="G50" s="1" t="s">
        <v>172</v>
      </c>
      <c r="H50" s="9">
        <v>378.5</v>
      </c>
      <c r="I50" s="9">
        <v>378.5</v>
      </c>
      <c r="N50" s="1" t="s">
        <v>373</v>
      </c>
    </row>
    <row r="51" spans="1:14" x14ac:dyDescent="0.3">
      <c r="A51" s="1" t="s">
        <v>374</v>
      </c>
      <c r="B51" s="1" t="s">
        <v>370</v>
      </c>
      <c r="C51" s="1" t="s">
        <v>371</v>
      </c>
      <c r="D51" s="1" t="s">
        <v>375</v>
      </c>
      <c r="E51" s="1" t="s">
        <v>113</v>
      </c>
      <c r="F51" s="1" t="s">
        <v>172</v>
      </c>
      <c r="G51" s="1" t="s">
        <v>172</v>
      </c>
      <c r="H51" s="9">
        <v>189.3</v>
      </c>
      <c r="I51" s="9">
        <v>189.3</v>
      </c>
      <c r="N51" s="1" t="s">
        <v>376</v>
      </c>
    </row>
    <row r="52" spans="1:14" x14ac:dyDescent="0.3">
      <c r="A52" s="1" t="s">
        <v>377</v>
      </c>
      <c r="B52" s="1" t="s">
        <v>378</v>
      </c>
      <c r="C52" s="1" t="s">
        <v>379</v>
      </c>
      <c r="D52" s="1" t="s">
        <v>380</v>
      </c>
      <c r="E52" s="1" t="s">
        <v>147</v>
      </c>
      <c r="F52" s="1" t="s">
        <v>163</v>
      </c>
      <c r="G52" s="1" t="s">
        <v>163</v>
      </c>
      <c r="H52" s="9">
        <v>39.1</v>
      </c>
      <c r="I52" s="9">
        <v>39.1</v>
      </c>
      <c r="N52" s="1" t="s">
        <v>381</v>
      </c>
    </row>
    <row r="53" spans="1:14" x14ac:dyDescent="0.3">
      <c r="A53" s="1" t="s">
        <v>382</v>
      </c>
      <c r="B53" s="1" t="s">
        <v>378</v>
      </c>
      <c r="C53" s="1" t="s">
        <v>379</v>
      </c>
      <c r="D53" s="1" t="s">
        <v>383</v>
      </c>
      <c r="E53" s="1" t="s">
        <v>147</v>
      </c>
      <c r="F53" s="1" t="s">
        <v>163</v>
      </c>
      <c r="G53" s="1" t="s">
        <v>163</v>
      </c>
      <c r="H53" s="9">
        <v>460</v>
      </c>
      <c r="I53" s="9">
        <v>460</v>
      </c>
      <c r="N53" s="1" t="s">
        <v>384</v>
      </c>
    </row>
    <row r="54" spans="1:14" x14ac:dyDescent="0.3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113</v>
      </c>
      <c r="F54" s="1" t="s">
        <v>175</v>
      </c>
      <c r="G54" s="1" t="s">
        <v>166</v>
      </c>
      <c r="H54" s="9">
        <v>1000</v>
      </c>
      <c r="I54" s="9">
        <v>1000</v>
      </c>
      <c r="J54" s="2">
        <v>46218</v>
      </c>
      <c r="N54" s="1" t="s">
        <v>389</v>
      </c>
    </row>
    <row r="55" spans="1:14" x14ac:dyDescent="0.3">
      <c r="A55" s="1" t="s">
        <v>390</v>
      </c>
      <c r="B55" s="1" t="s">
        <v>391</v>
      </c>
      <c r="C55" s="1" t="s">
        <v>392</v>
      </c>
      <c r="D55" s="1" t="s">
        <v>393</v>
      </c>
      <c r="E55" s="1" t="s">
        <v>91</v>
      </c>
      <c r="F55" s="1" t="s">
        <v>157</v>
      </c>
      <c r="G55" s="1" t="s">
        <v>157</v>
      </c>
      <c r="H55" s="9">
        <v>1000</v>
      </c>
      <c r="I55" s="9">
        <v>1000</v>
      </c>
      <c r="N55" s="1" t="s">
        <v>394</v>
      </c>
    </row>
    <row r="56" spans="1:14" x14ac:dyDescent="0.3">
      <c r="A56" s="1" t="s">
        <v>395</v>
      </c>
      <c r="B56" s="1" t="s">
        <v>391</v>
      </c>
      <c r="C56" s="1" t="s">
        <v>392</v>
      </c>
      <c r="D56" s="1" t="s">
        <v>396</v>
      </c>
      <c r="E56" s="1" t="s">
        <v>91</v>
      </c>
      <c r="F56" s="1" t="s">
        <v>175</v>
      </c>
      <c r="G56" s="1" t="s">
        <v>163</v>
      </c>
      <c r="H56" s="9">
        <v>1000</v>
      </c>
      <c r="I56" s="9">
        <v>1000</v>
      </c>
      <c r="N56" s="1" t="s">
        <v>397</v>
      </c>
    </row>
    <row r="57" spans="1:14" x14ac:dyDescent="0.3">
      <c r="A57" s="1" t="s">
        <v>398</v>
      </c>
      <c r="B57" s="1" t="s">
        <v>391</v>
      </c>
      <c r="C57" s="1" t="s">
        <v>392</v>
      </c>
      <c r="D57" s="1" t="s">
        <v>399</v>
      </c>
      <c r="E57" s="1" t="s">
        <v>91</v>
      </c>
      <c r="F57" s="1" t="s">
        <v>160</v>
      </c>
      <c r="G57" s="1" t="s">
        <v>160</v>
      </c>
      <c r="H57" s="9">
        <v>500</v>
      </c>
      <c r="I57" s="9">
        <v>500</v>
      </c>
      <c r="N57" s="1" t="s">
        <v>400</v>
      </c>
    </row>
    <row r="58" spans="1:14" x14ac:dyDescent="0.3">
      <c r="A58" s="1" t="s">
        <v>401</v>
      </c>
      <c r="B58" s="1" t="s">
        <v>111</v>
      </c>
      <c r="C58" s="1" t="s">
        <v>112</v>
      </c>
      <c r="D58" s="1" t="s">
        <v>402</v>
      </c>
      <c r="E58" s="1" t="s">
        <v>113</v>
      </c>
      <c r="F58" s="1" t="s">
        <v>163</v>
      </c>
      <c r="G58" s="1" t="s">
        <v>163</v>
      </c>
      <c r="H58" s="9">
        <v>1000</v>
      </c>
      <c r="I58" s="9">
        <v>1000</v>
      </c>
      <c r="J58" s="2">
        <v>46163</v>
      </c>
      <c r="N58" s="1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9378-947E-46E8-B1E6-3B4F4A11B10F}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2.69921875" style="1" customWidth="1"/>
    <col min="2" max="2" width="32.69921875" style="1" customWidth="1"/>
    <col min="3" max="3" width="18.69921875" style="1" customWidth="1"/>
    <col min="4" max="4" width="60.69921875" customWidth="1"/>
    <col min="5" max="5" width="40.69921875" style="1" customWidth="1"/>
    <col min="6" max="6" width="60.69921875" style="1" customWidth="1"/>
  </cols>
  <sheetData>
    <row r="1" spans="1:6" x14ac:dyDescent="0.3">
      <c r="A1" s="3" t="s">
        <v>39</v>
      </c>
      <c r="B1" s="3" t="s">
        <v>404</v>
      </c>
      <c r="C1" s="3" t="s">
        <v>42</v>
      </c>
      <c r="D1" s="4" t="s">
        <v>1</v>
      </c>
      <c r="E1" s="3" t="s">
        <v>405</v>
      </c>
      <c r="F1" s="15" t="s">
        <v>406</v>
      </c>
    </row>
    <row r="2" spans="1:6" x14ac:dyDescent="0.3">
      <c r="A2" s="13" t="s">
        <v>407</v>
      </c>
      <c r="B2" s="13" t="s">
        <v>408</v>
      </c>
      <c r="C2" s="13" t="s">
        <v>409</v>
      </c>
      <c r="D2" s="11" t="str">
        <f>IF(TRIM(F2)&lt;&gt;"",F2,E2&amp;"")</f>
        <v/>
      </c>
      <c r="E2" s="12"/>
      <c r="F2" s="14"/>
    </row>
    <row r="3" spans="1:6" x14ac:dyDescent="0.3">
      <c r="A3" s="13" t="s">
        <v>410</v>
      </c>
      <c r="B3" s="13" t="s">
        <v>411</v>
      </c>
      <c r="C3" s="13" t="s">
        <v>409</v>
      </c>
      <c r="D3" s="11" t="str">
        <f>IF(TRIM(F3)&lt;&gt;"",F3,E3&amp;"")</f>
        <v/>
      </c>
      <c r="E3" s="12"/>
      <c r="F3" s="14"/>
    </row>
    <row r="4" spans="1:6" x14ac:dyDescent="0.3">
      <c r="A4" s="13" t="s">
        <v>412</v>
      </c>
      <c r="B4" s="13" t="s">
        <v>413</v>
      </c>
      <c r="C4" s="13" t="s">
        <v>409</v>
      </c>
      <c r="D4" s="11" t="str">
        <f>IF(TRIM(F4)&lt;&gt;"",F4,E4&amp;"")</f>
        <v/>
      </c>
      <c r="E4" s="12"/>
      <c r="F4" s="14"/>
    </row>
    <row r="5" spans="1:6" x14ac:dyDescent="0.3">
      <c r="A5" s="13" t="s">
        <v>414</v>
      </c>
      <c r="B5" s="13" t="s">
        <v>415</v>
      </c>
      <c r="C5" s="13" t="s">
        <v>409</v>
      </c>
      <c r="D5" s="11" t="str">
        <f>IF(TRIM(F5)&lt;&gt;"",F5,E5&amp;"")</f>
        <v/>
      </c>
      <c r="E5" s="12"/>
      <c r="F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KPI</vt:lpstr>
      <vt:lpstr>EVENTS</vt:lpstr>
      <vt:lpstr>RATING_STRUCTURE</vt:lpstr>
      <vt:lpstr>TENOR</vt:lpstr>
      <vt:lpstr>PORTFOLIO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2026-10-05T07:12:26Z</dcterms:created>
  <dcterms:modified xsi:type="dcterms:W3CDTF">2026-10-05T07:12:27Z</dcterms:modified>
</cp:coreProperties>
</file>