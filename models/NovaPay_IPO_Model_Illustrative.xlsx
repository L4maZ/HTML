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Operating_KPI" sheetId="2" state="visible" r:id="rId2"/>
    <sheet name="Financials" sheetId="3" state="visible" r:id="rId3"/>
    <sheet name="Comps" sheetId="4" state="visible" r:id="rId4"/>
    <sheet name="Precedents" sheetId="5" state="visible" r:id="rId5"/>
    <sheet name="DCF" sheetId="6" state="visible" r:id="rId6"/>
    <sheet name="Sensitivity" sheetId="7" state="visible" r:id="rId7"/>
    <sheet name="Football_Field" sheetId="8" state="visible" r:id="rId8"/>
    <sheet name="Offer_Structure" sheetId="9" state="visible" r:id="rId9"/>
    <sheet name="IPO_Timeline" sheetId="10" state="visible" r:id="rId10"/>
    <sheet name="Slide_Number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0.0%"/>
    <numFmt numFmtId="166" formatCode="0.0&quot;x&quot;"/>
    <numFmt numFmtId="167" formatCode="0.0"/>
    <numFmt numFmtId="168" formatCode="0.000"/>
    <numFmt numFmtId="169" formatCode="$#,##0.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color rgb="000000FF"/>
      <sz val="11"/>
    </font>
    <font>
      <name val="Calibri"/>
      <b val="1"/>
      <color rgb="000000FF"/>
      <sz val="11"/>
    </font>
    <font>
      <name val="Consolas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F90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5" fillId="2" borderId="1" applyAlignment="1" pivotButton="0" quotePrefix="0" xfId="0">
      <alignment horizontal="center"/>
    </xf>
    <xf numFmtId="164" fontId="7" fillId="3" borderId="1" pivotButton="0" quotePrefix="0" xfId="0"/>
    <xf numFmtId="165" fontId="0" fillId="0" borderId="1" pivotButton="0" quotePrefix="0" xfId="0"/>
    <xf numFmtId="10" fontId="6" fillId="3" borderId="1" pivotButton="0" quotePrefix="0" xfId="0"/>
    <xf numFmtId="164" fontId="6" fillId="3" borderId="1" pivotButton="0" quotePrefix="0" xfId="0"/>
    <xf numFmtId="3" fontId="6" fillId="3" borderId="1" pivotButton="0" quotePrefix="0" xfId="0"/>
    <xf numFmtId="3" fontId="0" fillId="0" borderId="1" pivotButton="0" quotePrefix="0" xfId="0"/>
    <xf numFmtId="164" fontId="0" fillId="0" borderId="1" pivotButton="0" quotePrefix="0" xfId="0"/>
    <xf numFmtId="164" fontId="3" fillId="4" borderId="1" pivotButton="0" quotePrefix="0" xfId="0"/>
    <xf numFmtId="165" fontId="6" fillId="3" borderId="1" pivotButton="0" quotePrefix="0" xfId="0"/>
    <xf numFmtId="0" fontId="5" fillId="2" borderId="1" applyAlignment="1" pivotButton="0" quotePrefix="0" xfId="0">
      <alignment horizontal="center" wrapText="1"/>
    </xf>
    <xf numFmtId="166" fontId="0" fillId="0" borderId="1" pivotButton="0" quotePrefix="0" xfId="0"/>
    <xf numFmtId="166" fontId="3" fillId="4" borderId="1" pivotButton="0" quotePrefix="0" xfId="0"/>
    <xf numFmtId="3" fontId="0" fillId="0" borderId="0" pivotButton="0" quotePrefix="0" xfId="0"/>
    <xf numFmtId="0" fontId="6" fillId="0" borderId="0" pivotButton="0" quotePrefix="0" xfId="0"/>
    <xf numFmtId="0" fontId="5" fillId="2" borderId="0" pivotButton="0" quotePrefix="0" xfId="0"/>
    <xf numFmtId="2" fontId="6" fillId="3" borderId="1" pivotButton="0" quotePrefix="0" xfId="0"/>
    <xf numFmtId="165" fontId="3" fillId="4" borderId="1" pivotButton="0" quotePrefix="0" xfId="0"/>
    <xf numFmtId="0" fontId="5" fillId="2" borderId="0" applyAlignment="1" pivotButton="0" quotePrefix="0" xfId="0">
      <alignment horizontal="center"/>
    </xf>
    <xf numFmtId="167" fontId="0" fillId="0" borderId="1" pivotButton="0" quotePrefix="0" xfId="0"/>
    <xf numFmtId="168" fontId="0" fillId="0" borderId="1" pivotButton="0" quotePrefix="0" xfId="0"/>
    <xf numFmtId="3" fontId="3" fillId="4" borderId="1" pivotButton="0" quotePrefix="0" xfId="0"/>
    <xf numFmtId="3" fontId="3" fillId="5" borderId="1" pivotButton="0" quotePrefix="0" xfId="0"/>
    <xf numFmtId="165" fontId="5" fillId="2" borderId="1" applyAlignment="1" pivotButton="0" quotePrefix="0" xfId="0">
      <alignment horizontal="center"/>
    </xf>
    <xf numFmtId="165" fontId="3" fillId="6" borderId="1" pivotButton="0" quotePrefix="0" xfId="0"/>
    <xf numFmtId="9" fontId="6" fillId="3" borderId="1" pivotButton="0" quotePrefix="0" xfId="0"/>
    <xf numFmtId="9" fontId="0" fillId="0" borderId="1" pivotButton="0" quotePrefix="0" xfId="0"/>
    <xf numFmtId="169" fontId="0" fillId="0" borderId="1" pivotButton="0" quotePrefix="0" xfId="0"/>
    <xf numFmtId="169" fontId="3" fillId="4" borderId="1" pivotButton="0" quotePrefix="0" xfId="0"/>
    <xf numFmtId="0" fontId="3" fillId="6" borderId="1" pivotButton="0" quotePrefix="0" xfId="0"/>
    <xf numFmtId="9" fontId="3" fillId="4" borderId="1" pivotButton="0" quotePrefix="0" xfId="0"/>
    <xf numFmtId="1" fontId="6" fillId="3" borderId="1" pivotButton="0" quotePrefix="0" xfId="0"/>
    <xf numFmtId="0" fontId="4" fillId="0" borderId="0" applyAlignment="1" pivotButton="0" quotePrefix="0" xfId="0">
      <alignment vertical="top" wrapText="1"/>
    </xf>
    <xf numFmtId="0" fontId="8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PROJECT LOTUS - IPO ADVISORY MODEL (FICTIONAL)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Illustrative - fictional data. Not based on any real company.</t>
        </is>
      </c>
    </row>
    <row r="4">
      <c r="A4" s="4" t="inlineStr">
        <is>
          <t>Target (fictional)</t>
        </is>
      </c>
      <c r="B4" s="5" t="inlineStr">
        <is>
          <t>NovaPay Digital JSC - Vietnam e-wallet + merchant payment gateway</t>
        </is>
      </c>
    </row>
    <row r="5">
      <c r="A5" s="4" t="inlineStr">
        <is>
          <t>Adviser (fictional)</t>
        </is>
      </c>
      <c r="B5" s="5" t="inlineStr">
        <is>
          <t>Meridian Partners Securities - proposed Lead Manager / Bookrunner</t>
        </is>
      </c>
    </row>
    <row r="6">
      <c r="A6" s="4" t="inlineStr">
        <is>
          <t>Proposed venue</t>
        </is>
      </c>
      <c r="B6" s="5" t="inlineStr">
        <is>
          <t>HOSE</t>
        </is>
      </c>
    </row>
    <row r="7">
      <c r="A7" s="4" t="inlineStr">
        <is>
          <t>Currency</t>
        </is>
      </c>
      <c r="B7" s="5" t="inlineStr">
        <is>
          <t>USD millions unless stated otherwise</t>
        </is>
      </c>
    </row>
    <row r="8">
      <c r="A8" s="4" t="inlineStr">
        <is>
          <t>Fiscal year</t>
        </is>
      </c>
      <c r="B8" s="5" t="inlineStr">
        <is>
          <t>FY ends 31 December</t>
        </is>
      </c>
    </row>
    <row r="9">
      <c r="A9" s="4" t="inlineStr"/>
      <c r="B9" s="5" t="inlineStr"/>
    </row>
    <row r="10">
      <c r="A10" s="4" t="inlineStr">
        <is>
          <t>DISCLAIMER</t>
        </is>
      </c>
      <c r="B10" s="5" t="inlineStr">
        <is>
          <t>Every company name, transaction, KPI and valuation figure in this file is INVENTED</t>
        </is>
      </c>
    </row>
    <row r="11">
      <c r="A11" s="4" t="inlineStr"/>
      <c r="B11" s="5" t="inlineStr">
        <is>
          <t>for an illustrative pitch exercise. No real issuer, bank, exchange or deal is referenced.</t>
        </is>
      </c>
    </row>
    <row r="12">
      <c r="A12" s="4" t="inlineStr"/>
      <c r="B12" s="5" t="inlineStr">
        <is>
          <t>Regulatory points are described generically as 'per prevailing listing regulations'.</t>
        </is>
      </c>
    </row>
    <row r="13">
      <c r="A13" s="4" t="inlineStr"/>
      <c r="B13" s="5" t="inlineStr"/>
    </row>
    <row r="14">
      <c r="A14" s="4" t="inlineStr">
        <is>
          <t>Colour convention</t>
        </is>
      </c>
      <c r="B14" s="5" t="inlineStr">
        <is>
          <t>BLUE font on yellow fill = hardcoded assumption. BLACK font = formula.</t>
        </is>
      </c>
    </row>
    <row r="15">
      <c r="A15" s="4" t="inlineStr"/>
      <c r="B15" s="5" t="inlineStr"/>
    </row>
    <row r="16">
      <c r="A16" s="4" t="inlineStr">
        <is>
          <t>Sheet</t>
        </is>
      </c>
      <c r="B16" s="5" t="inlineStr">
        <is>
          <t>Contents</t>
        </is>
      </c>
    </row>
    <row r="17">
      <c r="A17" s="4" t="inlineStr">
        <is>
          <t>Operating_KPI</t>
        </is>
      </c>
      <c r="B17" s="5" t="inlineStr">
        <is>
          <t>TPV, take rate, MAU, merchants - 3Y historical + 3Y forecast</t>
        </is>
      </c>
    </row>
    <row r="18">
      <c r="A18" s="4" t="inlineStr">
        <is>
          <t>Financials</t>
        </is>
      </c>
      <c r="B18" s="5" t="inlineStr">
        <is>
          <t>Revenue build, gross margin, EBITDA, net income, net cash</t>
        </is>
      </c>
    </row>
    <row r="19">
      <c r="A19" s="4" t="inlineStr">
        <is>
          <t>Comps</t>
        </is>
      </c>
      <c r="B19" s="5" t="inlineStr">
        <is>
          <t>5 fictional listed payment/fintech peers - EV/Rev, EV/EBITDA, P/E</t>
        </is>
      </c>
    </row>
    <row r="20">
      <c r="A20" s="4" t="inlineStr">
        <is>
          <t>Precedents</t>
        </is>
      </c>
      <c r="B20" s="5" t="inlineStr">
        <is>
          <t>4 fictional fintech M&amp;A / IPO precedent transactions</t>
        </is>
      </c>
    </row>
    <row r="21">
      <c r="A21" s="4" t="inlineStr">
        <is>
          <t>DCF</t>
        </is>
      </c>
      <c r="B21" s="5" t="inlineStr">
        <is>
          <t>Unlevered FCF, WACC build, terminal value, equity bridge</t>
        </is>
      </c>
    </row>
    <row r="22">
      <c r="A22" s="4" t="inlineStr">
        <is>
          <t>Sensitivity</t>
        </is>
      </c>
      <c r="B22" s="5" t="inlineStr">
        <is>
          <t>DCF equity value vs WACC and terminal growth</t>
        </is>
      </c>
    </row>
    <row r="23">
      <c r="A23" s="4" t="inlineStr">
        <is>
          <t>Football_Field</t>
        </is>
      </c>
      <c r="B23" s="5" t="inlineStr">
        <is>
          <t>Valuation ranges by methodology + IPO discount -&gt; offer range</t>
        </is>
      </c>
    </row>
    <row r="24">
      <c r="A24" s="4" t="inlineStr">
        <is>
          <t>Offer_Structure</t>
        </is>
      </c>
      <c r="B24" s="5" t="inlineStr">
        <is>
          <t>Primary/secondary split, proceeds, free float, use of proceeds</t>
        </is>
      </c>
    </row>
    <row r="25">
      <c r="A25" s="4" t="inlineStr">
        <is>
          <t>IPO_Timeline</t>
        </is>
      </c>
      <c r="B25" s="5" t="inlineStr">
        <is>
          <t>Indicative execution calendar</t>
        </is>
      </c>
    </row>
    <row r="26">
      <c r="A26" s="4" t="inlineStr">
        <is>
          <t>Slide_Numbers</t>
        </is>
      </c>
      <c r="B26" s="5" t="inlineStr">
        <is>
          <t>Every number that appears on a slide, with its source cell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OPERATING KPIs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Illustrative - fictional data. Not based on any real company.</t>
        </is>
      </c>
    </row>
    <row r="4">
      <c r="A4" s="6" t="inlineStr">
        <is>
          <t>Line item</t>
        </is>
      </c>
      <c r="B4" s="6" t="inlineStr">
        <is>
          <t>Unit</t>
        </is>
      </c>
      <c r="C4" s="7" t="inlineStr">
        <is>
          <t>FY23A</t>
        </is>
      </c>
      <c r="D4" s="7" t="inlineStr">
        <is>
          <t>FY24A</t>
        </is>
      </c>
      <c r="E4" s="7" t="inlineStr">
        <is>
          <t>FY25A</t>
        </is>
      </c>
      <c r="F4" s="7" t="inlineStr">
        <is>
          <t>FY26E</t>
        </is>
      </c>
      <c r="G4" s="7" t="inlineStr">
        <is>
          <t>FY27E</t>
        </is>
      </c>
      <c r="H4" s="7" t="inlineStr">
        <is>
          <t>FY28E</t>
        </is>
      </c>
    </row>
    <row r="5">
      <c r="A5" s="4" t="inlineStr">
        <is>
          <t>Total payment volume (TPV)</t>
        </is>
      </c>
      <c r="B5" s="5" t="inlineStr">
        <is>
          <t>USD bn</t>
        </is>
      </c>
      <c r="C5" s="8" t="n">
        <v>8</v>
      </c>
      <c r="D5" s="8" t="n">
        <v>11.2</v>
      </c>
      <c r="E5" s="8" t="n">
        <v>15.1</v>
      </c>
      <c r="F5" s="8" t="n">
        <v>19.6</v>
      </c>
      <c r="G5" s="8" t="n">
        <v>24.9</v>
      </c>
      <c r="H5" s="8" t="n">
        <v>31.1</v>
      </c>
    </row>
    <row r="6">
      <c r="A6" s="5" t="inlineStr">
        <is>
          <t>TPV growth y/y</t>
        </is>
      </c>
      <c r="B6" s="5" t="inlineStr">
        <is>
          <t>%</t>
        </is>
      </c>
      <c r="D6" s="9">
        <f>D5/C5-1</f>
        <v/>
      </c>
      <c r="E6" s="9">
        <f>E5/D5-1</f>
        <v/>
      </c>
      <c r="F6" s="9">
        <f>F5/E5-1</f>
        <v/>
      </c>
      <c r="G6" s="9">
        <f>G5/F5-1</f>
        <v/>
      </c>
      <c r="H6" s="9">
        <f>H5/G5-1</f>
        <v/>
      </c>
    </row>
    <row r="7">
      <c r="A7" s="5" t="inlineStr">
        <is>
          <t>Take rate (blended)</t>
        </is>
      </c>
      <c r="B7" s="5" t="inlineStr">
        <is>
          <t>%</t>
        </is>
      </c>
      <c r="C7" s="10" t="n">
        <v>0.0062</v>
      </c>
      <c r="D7" s="10" t="n">
        <v>0.0066</v>
      </c>
      <c r="E7" s="10" t="n">
        <v>0.007</v>
      </c>
      <c r="F7" s="10" t="n">
        <v>0.0072</v>
      </c>
      <c r="G7" s="10" t="n">
        <v>0.0074</v>
      </c>
      <c r="H7" s="10" t="n">
        <v>0.0075</v>
      </c>
    </row>
    <row r="8">
      <c r="A8" s="5" t="inlineStr">
        <is>
          <t>Monthly active users (MAU)</t>
        </is>
      </c>
      <c r="B8" s="5" t="inlineStr">
        <is>
          <t>m</t>
        </is>
      </c>
      <c r="C8" s="11" t="n">
        <v>6.2</v>
      </c>
      <c r="D8" s="11" t="n">
        <v>8.1</v>
      </c>
      <c r="E8" s="11" t="n">
        <v>10.3</v>
      </c>
      <c r="F8" s="11" t="n">
        <v>12.4</v>
      </c>
      <c r="G8" s="11" t="n">
        <v>14.5</v>
      </c>
      <c r="H8" s="11" t="n">
        <v>16.4</v>
      </c>
    </row>
    <row r="9">
      <c r="A9" s="5" t="inlineStr">
        <is>
          <t>Active merchants</t>
        </is>
      </c>
      <c r="B9" s="5" t="inlineStr">
        <is>
          <t>'000</t>
        </is>
      </c>
      <c r="C9" s="12" t="n">
        <v>118</v>
      </c>
      <c r="D9" s="12" t="n">
        <v>172</v>
      </c>
      <c r="E9" s="12" t="n">
        <v>245</v>
      </c>
      <c r="F9" s="12" t="n">
        <v>320</v>
      </c>
      <c r="G9" s="12" t="n">
        <v>405</v>
      </c>
      <c r="H9" s="12" t="n">
        <v>490</v>
      </c>
    </row>
    <row r="10">
      <c r="A10" s="5" t="inlineStr">
        <is>
          <t>TPV per MAU</t>
        </is>
      </c>
      <c r="B10" s="5" t="inlineStr">
        <is>
          <t>USD/yr</t>
        </is>
      </c>
      <c r="C10" s="13">
        <f>C5*1000/C8</f>
        <v/>
      </c>
      <c r="D10" s="13">
        <f>D5*1000/D8</f>
        <v/>
      </c>
      <c r="E10" s="13">
        <f>E5*1000/E8</f>
        <v/>
      </c>
      <c r="F10" s="13">
        <f>F5*1000/F8</f>
        <v/>
      </c>
      <c r="G10" s="13">
        <f>G5*1000/G8</f>
        <v/>
      </c>
      <c r="H10" s="13">
        <f>H5*1000/H8</f>
        <v/>
      </c>
    </row>
    <row r="11">
      <c r="A11" s="5" t="inlineStr">
        <is>
          <t>TPV per merchant</t>
        </is>
      </c>
      <c r="B11" s="5" t="inlineStr">
        <is>
          <t>USD'000/yr</t>
        </is>
      </c>
      <c r="C11" s="13">
        <f>C5*1000000/C9/1000</f>
        <v/>
      </c>
      <c r="D11" s="13">
        <f>D5*1000000/D9/1000</f>
        <v/>
      </c>
      <c r="E11" s="13">
        <f>E5*1000000/E9/1000</f>
        <v/>
      </c>
      <c r="F11" s="13">
        <f>F5*1000000/F9/1000</f>
        <v/>
      </c>
      <c r="G11" s="13">
        <f>G5*1000000/G9/1000</f>
        <v/>
      </c>
      <c r="H11" s="13">
        <f>H5*1000000/H9/1000</f>
        <v/>
      </c>
    </row>
    <row r="13">
      <c r="A13" s="3" t="inlineStr">
        <is>
          <t>Illustrative - fictional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FINANCIAL SUMMARY (USD m)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Illustrative - fictional data. Not based on any real company.</t>
        </is>
      </c>
    </row>
    <row r="4">
      <c r="A4" s="6" t="inlineStr">
        <is>
          <t>Line item</t>
        </is>
      </c>
      <c r="B4" s="6" t="inlineStr">
        <is>
          <t>Unit</t>
        </is>
      </c>
      <c r="C4" s="7" t="inlineStr">
        <is>
          <t>FY23A</t>
        </is>
      </c>
      <c r="D4" s="7" t="inlineStr">
        <is>
          <t>FY24A</t>
        </is>
      </c>
      <c r="E4" s="7" t="inlineStr">
        <is>
          <t>FY25A</t>
        </is>
      </c>
      <c r="F4" s="7" t="inlineStr">
        <is>
          <t>FY26E</t>
        </is>
      </c>
      <c r="G4" s="7" t="inlineStr">
        <is>
          <t>FY27E</t>
        </is>
      </c>
      <c r="H4" s="7" t="inlineStr">
        <is>
          <t>FY28E</t>
        </is>
      </c>
    </row>
    <row r="5">
      <c r="A5" s="5" t="inlineStr">
        <is>
          <t>Payment revenue (TPV x take rate)</t>
        </is>
      </c>
      <c r="B5" s="5" t="inlineStr">
        <is>
          <t>USD m</t>
        </is>
      </c>
      <c r="C5" s="14">
        <f>Operating_KPI!C5*1000*Operating_KPI!C7</f>
        <v/>
      </c>
      <c r="D5" s="14">
        <f>Operating_KPI!D5*1000*Operating_KPI!D7</f>
        <v/>
      </c>
      <c r="E5" s="14">
        <f>Operating_KPI!E5*1000*Operating_KPI!E7</f>
        <v/>
      </c>
      <c r="F5" s="14">
        <f>Operating_KPI!F5*1000*Operating_KPI!F7</f>
        <v/>
      </c>
      <c r="G5" s="14">
        <f>Operating_KPI!G5*1000*Operating_KPI!G7</f>
        <v/>
      </c>
      <c r="H5" s="14">
        <f>Operating_KPI!H5*1000*Operating_KPI!H7</f>
        <v/>
      </c>
    </row>
    <row r="6">
      <c r="A6" s="5" t="inlineStr">
        <is>
          <t>Value-added services revenue</t>
        </is>
      </c>
      <c r="B6" s="5" t="inlineStr">
        <is>
          <t>USD m</t>
        </is>
      </c>
      <c r="C6" s="11" t="n">
        <v>4</v>
      </c>
      <c r="D6" s="11" t="n">
        <v>6.5</v>
      </c>
      <c r="E6" s="11" t="n">
        <v>10.5</v>
      </c>
      <c r="F6" s="11" t="n">
        <v>15.5</v>
      </c>
      <c r="G6" s="11" t="n">
        <v>22</v>
      </c>
      <c r="H6" s="11" t="n">
        <v>30</v>
      </c>
    </row>
    <row r="7">
      <c r="A7" s="4" t="inlineStr">
        <is>
          <t>Total revenue</t>
        </is>
      </c>
      <c r="B7" s="4" t="inlineStr">
        <is>
          <t>USD m</t>
        </is>
      </c>
      <c r="C7" s="15">
        <f>SUM(C5:C6)</f>
        <v/>
      </c>
      <c r="D7" s="15">
        <f>SUM(D5:D6)</f>
        <v/>
      </c>
      <c r="E7" s="15">
        <f>SUM(E5:E6)</f>
        <v/>
      </c>
      <c r="F7" s="15">
        <f>SUM(F5:F6)</f>
        <v/>
      </c>
      <c r="G7" s="15">
        <f>SUM(G5:G6)</f>
        <v/>
      </c>
      <c r="H7" s="15">
        <f>SUM(H5:H6)</f>
        <v/>
      </c>
    </row>
    <row r="8">
      <c r="A8" s="5" t="inlineStr">
        <is>
          <t>Revenue growth y/y</t>
        </is>
      </c>
      <c r="B8" s="5" t="inlineStr">
        <is>
          <t>%</t>
        </is>
      </c>
      <c r="D8" s="9">
        <f>D7/C7-1</f>
        <v/>
      </c>
      <c r="E8" s="9">
        <f>E7/D7-1</f>
        <v/>
      </c>
      <c r="F8" s="9">
        <f>F7/E7-1</f>
        <v/>
      </c>
      <c r="G8" s="9">
        <f>G7/F7-1</f>
        <v/>
      </c>
      <c r="H8" s="9">
        <f>H7/G7-1</f>
        <v/>
      </c>
    </row>
    <row r="9">
      <c r="A9" s="5" t="inlineStr">
        <is>
          <t>Gross margin</t>
        </is>
      </c>
      <c r="B9" s="5" t="inlineStr">
        <is>
          <t>%</t>
        </is>
      </c>
      <c r="C9" s="16" t="n">
        <v>0.41</v>
      </c>
      <c r="D9" s="16" t="n">
        <v>0.44</v>
      </c>
      <c r="E9" s="16" t="n">
        <v>0.47</v>
      </c>
      <c r="F9" s="16" t="n">
        <v>0.49</v>
      </c>
      <c r="G9" s="16" t="n">
        <v>0.51</v>
      </c>
      <c r="H9" s="16" t="n">
        <v>0.52</v>
      </c>
    </row>
    <row r="10">
      <c r="A10" s="5" t="inlineStr">
        <is>
          <t>Gross profit</t>
        </is>
      </c>
      <c r="B10" s="5" t="inlineStr">
        <is>
          <t>USD m</t>
        </is>
      </c>
      <c r="C10" s="14">
        <f>C7*C9</f>
        <v/>
      </c>
      <c r="D10" s="14">
        <f>D7*D9</f>
        <v/>
      </c>
      <c r="E10" s="14">
        <f>E7*E9</f>
        <v/>
      </c>
      <c r="F10" s="14">
        <f>F7*F9</f>
        <v/>
      </c>
      <c r="G10" s="14">
        <f>G7*G9</f>
        <v/>
      </c>
      <c r="H10" s="14">
        <f>H7*H9</f>
        <v/>
      </c>
    </row>
    <row r="11">
      <c r="A11" s="5" t="inlineStr">
        <is>
          <t>EBITDA margin</t>
        </is>
      </c>
      <c r="B11" s="5" t="inlineStr">
        <is>
          <t>%</t>
        </is>
      </c>
      <c r="C11" s="16" t="n">
        <v>0.03</v>
      </c>
      <c r="D11" s="16" t="n">
        <v>0.08</v>
      </c>
      <c r="E11" s="16" t="n">
        <v>0.13</v>
      </c>
      <c r="F11" s="16" t="n">
        <v>0.16</v>
      </c>
      <c r="G11" s="16" t="n">
        <v>0.19</v>
      </c>
      <c r="H11" s="16" t="n">
        <v>0.21</v>
      </c>
    </row>
    <row r="12">
      <c r="A12" s="4" t="inlineStr">
        <is>
          <t>EBITDA</t>
        </is>
      </c>
      <c r="B12" s="4" t="inlineStr">
        <is>
          <t>USD m</t>
        </is>
      </c>
      <c r="C12" s="15">
        <f>C7*C11</f>
        <v/>
      </c>
      <c r="D12" s="15">
        <f>D7*D11</f>
        <v/>
      </c>
      <c r="E12" s="15">
        <f>E7*E11</f>
        <v/>
      </c>
      <c r="F12" s="15">
        <f>F7*F11</f>
        <v/>
      </c>
      <c r="G12" s="15">
        <f>G7*G11</f>
        <v/>
      </c>
      <c r="H12" s="15">
        <f>H7*H11</f>
        <v/>
      </c>
    </row>
    <row r="13">
      <c r="A13" s="5" t="inlineStr">
        <is>
          <t>Depreciation &amp; amortisation</t>
        </is>
      </c>
      <c r="B13" s="5" t="inlineStr">
        <is>
          <t>USD m</t>
        </is>
      </c>
      <c r="C13" s="11" t="n">
        <v>3.5</v>
      </c>
      <c r="D13" s="11" t="n">
        <v>4.6</v>
      </c>
      <c r="E13" s="11" t="n">
        <v>6</v>
      </c>
      <c r="F13" s="11" t="n">
        <v>7.5</v>
      </c>
      <c r="G13" s="11" t="n">
        <v>9.300000000000001</v>
      </c>
      <c r="H13" s="11" t="n">
        <v>11.3</v>
      </c>
    </row>
    <row r="14">
      <c r="A14" s="5" t="inlineStr">
        <is>
          <t>EBIT</t>
        </is>
      </c>
      <c r="B14" s="5" t="inlineStr">
        <is>
          <t>USD m</t>
        </is>
      </c>
      <c r="C14" s="14">
        <f>C12-C13</f>
        <v/>
      </c>
      <c r="D14" s="14">
        <f>D12-D13</f>
        <v/>
      </c>
      <c r="E14" s="14">
        <f>E12-E13</f>
        <v/>
      </c>
      <c r="F14" s="14">
        <f>F12-F13</f>
        <v/>
      </c>
      <c r="G14" s="14">
        <f>G12-G13</f>
        <v/>
      </c>
      <c r="H14" s="14">
        <f>H12-H13</f>
        <v/>
      </c>
    </row>
    <row r="15">
      <c r="A15" s="5" t="inlineStr">
        <is>
          <t>Net interest &amp; other income</t>
        </is>
      </c>
      <c r="B15" s="5" t="inlineStr">
        <is>
          <t>USD m</t>
        </is>
      </c>
      <c r="C15" s="11" t="n">
        <v>0.6</v>
      </c>
      <c r="D15" s="11" t="n">
        <v>0.9</v>
      </c>
      <c r="E15" s="11" t="n">
        <v>1.4</v>
      </c>
      <c r="F15" s="11" t="n">
        <v>1.8</v>
      </c>
      <c r="G15" s="11" t="n">
        <v>2.4</v>
      </c>
      <c r="H15" s="11" t="n">
        <v>3.2</v>
      </c>
    </row>
    <row r="16">
      <c r="A16" s="5" t="inlineStr">
        <is>
          <t>Profit before tax</t>
        </is>
      </c>
      <c r="B16" s="5" t="inlineStr">
        <is>
          <t>USD m</t>
        </is>
      </c>
      <c r="C16" s="14">
        <f>C14+C15</f>
        <v/>
      </c>
      <c r="D16" s="14">
        <f>D14+D15</f>
        <v/>
      </c>
      <c r="E16" s="14">
        <f>E14+E15</f>
        <v/>
      </c>
      <c r="F16" s="14">
        <f>F14+F15</f>
        <v/>
      </c>
      <c r="G16" s="14">
        <f>G14+G15</f>
        <v/>
      </c>
      <c r="H16" s="14">
        <f>H14+H15</f>
        <v/>
      </c>
    </row>
    <row r="17">
      <c r="A17" s="5" t="inlineStr">
        <is>
          <t>Effective tax rate</t>
        </is>
      </c>
      <c r="B17" s="5" t="inlineStr">
        <is>
          <t>%</t>
        </is>
      </c>
      <c r="C17" s="16" t="n">
        <v>0.2</v>
      </c>
      <c r="D17" s="16" t="n">
        <v>0.2</v>
      </c>
      <c r="E17" s="16" t="n">
        <v>0.2</v>
      </c>
      <c r="F17" s="16" t="n">
        <v>0.2</v>
      </c>
      <c r="G17" s="16" t="n">
        <v>0.2</v>
      </c>
      <c r="H17" s="16" t="n">
        <v>0.2</v>
      </c>
    </row>
    <row r="18">
      <c r="A18" s="5" t="inlineStr">
        <is>
          <t>Tax expense</t>
        </is>
      </c>
      <c r="B18" s="5" t="inlineStr">
        <is>
          <t>USD m</t>
        </is>
      </c>
      <c r="C18" s="14">
        <f>-MAX(0,C16)*C17</f>
        <v/>
      </c>
      <c r="D18" s="14">
        <f>-MAX(0,D16)*D17</f>
        <v/>
      </c>
      <c r="E18" s="14">
        <f>-MAX(0,E16)*E17</f>
        <v/>
      </c>
      <c r="F18" s="14">
        <f>-MAX(0,F16)*F17</f>
        <v/>
      </c>
      <c r="G18" s="14">
        <f>-MAX(0,G16)*G17</f>
        <v/>
      </c>
      <c r="H18" s="14">
        <f>-MAX(0,H16)*H17</f>
        <v/>
      </c>
    </row>
    <row r="19">
      <c r="A19" s="4" t="inlineStr">
        <is>
          <t>Net income</t>
        </is>
      </c>
      <c r="B19" s="4" t="inlineStr">
        <is>
          <t>USD m</t>
        </is>
      </c>
      <c r="C19" s="15">
        <f>C16+C18</f>
        <v/>
      </c>
      <c r="D19" s="15">
        <f>D16+D18</f>
        <v/>
      </c>
      <c r="E19" s="15">
        <f>E16+E18</f>
        <v/>
      </c>
      <c r="F19" s="15">
        <f>F16+F18</f>
        <v/>
      </c>
      <c r="G19" s="15">
        <f>G16+G18</f>
        <v/>
      </c>
      <c r="H19" s="15">
        <f>H16+H18</f>
        <v/>
      </c>
    </row>
    <row r="20">
      <c r="A20" s="5" t="inlineStr">
        <is>
          <t>Net margin</t>
        </is>
      </c>
      <c r="B20" s="5" t="inlineStr">
        <is>
          <t>%</t>
        </is>
      </c>
      <c r="C20" s="9">
        <f>C19/C7</f>
        <v/>
      </c>
      <c r="D20" s="9">
        <f>D19/D7</f>
        <v/>
      </c>
      <c r="E20" s="9">
        <f>E19/E7</f>
        <v/>
      </c>
      <c r="F20" s="9">
        <f>F19/F7</f>
        <v/>
      </c>
      <c r="G20" s="9">
        <f>G19/G7</f>
        <v/>
      </c>
      <c r="H20" s="9">
        <f>H19/H7</f>
        <v/>
      </c>
    </row>
    <row r="22">
      <c r="A22" s="5" t="inlineStr">
        <is>
          <t>Capital expenditure</t>
        </is>
      </c>
      <c r="B22" s="5" t="inlineStr">
        <is>
          <t>USD m</t>
        </is>
      </c>
      <c r="C22" s="11" t="n">
        <v>7</v>
      </c>
      <c r="D22" s="11" t="n">
        <v>9</v>
      </c>
      <c r="E22" s="11" t="n">
        <v>11</v>
      </c>
      <c r="F22" s="11" t="n">
        <v>12.5</v>
      </c>
      <c r="G22" s="11" t="n">
        <v>15</v>
      </c>
      <c r="H22" s="11" t="n">
        <v>18</v>
      </c>
    </row>
    <row r="23">
      <c r="A23" s="5" t="inlineStr">
        <is>
          <t>Increase in net working capital</t>
        </is>
      </c>
      <c r="B23" s="5" t="inlineStr">
        <is>
          <t>USD m</t>
        </is>
      </c>
      <c r="C23" s="11" t="n">
        <v>1.5</v>
      </c>
      <c r="D23" s="11" t="n">
        <v>2</v>
      </c>
      <c r="E23" s="11" t="n">
        <v>2.6</v>
      </c>
      <c r="F23" s="11" t="n">
        <v>3</v>
      </c>
      <c r="G23" s="11" t="n">
        <v>3.5</v>
      </c>
      <c r="H23" s="11" t="n">
        <v>4</v>
      </c>
    </row>
    <row r="24">
      <c r="A24" s="4" t="inlineStr">
        <is>
          <t>Net cash (cash less debt), year end</t>
        </is>
      </c>
      <c r="B24" s="5" t="inlineStr">
        <is>
          <t>USD m</t>
        </is>
      </c>
      <c r="C24" s="8" t="n">
        <v>18</v>
      </c>
      <c r="D24" s="8" t="n">
        <v>24</v>
      </c>
      <c r="E24" s="8" t="n">
        <v>36</v>
      </c>
      <c r="F24" s="8" t="n">
        <v>52</v>
      </c>
      <c r="G24" s="8" t="n">
        <v>78</v>
      </c>
      <c r="H24" s="8" t="n">
        <v>118</v>
      </c>
    </row>
    <row r="26">
      <c r="A26" s="3" t="inlineStr">
        <is>
          <t>Illustrative - fictional 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17" customWidth="1" min="4" max="4"/>
    <col width="19" customWidth="1" min="5" max="5"/>
    <col width="16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TRADING COMPARABLES (FICTIONAL LISTED PEERS)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Illustrative - fictional data. Not based on any real company.</t>
        </is>
      </c>
    </row>
    <row r="4">
      <c r="A4" s="17" t="inlineStr">
        <is>
          <t>Peer (fictional)</t>
        </is>
      </c>
      <c r="B4" s="17" t="inlineStr">
        <is>
          <t>Region</t>
        </is>
      </c>
      <c r="C4" s="17" t="inlineStr">
        <is>
          <t>EV (USD m)</t>
        </is>
      </c>
      <c r="D4" s="17" t="inlineStr">
        <is>
          <t>FY26E Rev (USD m)</t>
        </is>
      </c>
      <c r="E4" s="17" t="inlineStr">
        <is>
          <t>FY26E EBITDA (USD m)</t>
        </is>
      </c>
      <c r="F4" s="17" t="inlineStr">
        <is>
          <t>FY26E NI (USD m)</t>
        </is>
      </c>
      <c r="G4" s="17" t="inlineStr">
        <is>
          <t>EV/Revenue</t>
        </is>
      </c>
      <c r="H4" s="17" t="inlineStr">
        <is>
          <t>EV/EBITDA</t>
        </is>
      </c>
      <c r="I4" s="17" t="inlineStr">
        <is>
          <t>P/E</t>
        </is>
      </c>
    </row>
    <row r="5">
      <c r="A5" s="5" t="inlineStr">
        <is>
          <t>Meridian Pay Holdings</t>
        </is>
      </c>
      <c r="B5" s="5" t="inlineStr">
        <is>
          <t>SE Asia</t>
        </is>
      </c>
      <c r="C5" s="12" t="n">
        <v>11020</v>
      </c>
      <c r="D5" s="12" t="n">
        <v>1900</v>
      </c>
      <c r="E5" s="12" t="n">
        <v>355</v>
      </c>
      <c r="F5" s="12" t="n">
        <v>262</v>
      </c>
      <c r="G5" s="18">
        <f>C5/D5</f>
        <v/>
      </c>
      <c r="H5" s="18">
        <f>C5/E5</f>
        <v/>
      </c>
      <c r="I5" s="18">
        <f>(C5*0.97)/F5</f>
        <v/>
      </c>
    </row>
    <row r="6">
      <c r="A6" s="5" t="inlineStr">
        <is>
          <t>Sundara Digital Payments</t>
        </is>
      </c>
      <c r="B6" s="5" t="inlineStr">
        <is>
          <t>SE Asia</t>
        </is>
      </c>
      <c r="C6" s="12" t="n">
        <v>5290</v>
      </c>
      <c r="D6" s="12" t="n">
        <v>1150</v>
      </c>
      <c r="E6" s="12" t="n">
        <v>200</v>
      </c>
      <c r="F6" s="12" t="n">
        <v>151</v>
      </c>
      <c r="G6" s="18">
        <f>C6/D6</f>
        <v/>
      </c>
      <c r="H6" s="18">
        <f>C6/E6</f>
        <v/>
      </c>
      <c r="I6" s="18">
        <f>(C6*0.97)/F6</f>
        <v/>
      </c>
    </row>
    <row r="7">
      <c r="A7" s="5" t="inlineStr">
        <is>
          <t>Kalisa Fintech Group</t>
        </is>
      </c>
      <c r="B7" s="5" t="inlineStr">
        <is>
          <t>SE Asia</t>
        </is>
      </c>
      <c r="C7" s="12" t="n">
        <v>2340</v>
      </c>
      <c r="D7" s="12" t="n">
        <v>600</v>
      </c>
      <c r="E7" s="12" t="n">
        <v>106</v>
      </c>
      <c r="F7" s="12" t="n">
        <v>77</v>
      </c>
      <c r="G7" s="18">
        <f>C7/D7</f>
        <v/>
      </c>
      <c r="H7" s="18">
        <f>C7/E7</f>
        <v/>
      </c>
      <c r="I7" s="18">
        <f>(C7*0.97)/F7</f>
        <v/>
      </c>
    </row>
    <row r="8">
      <c r="A8" s="5" t="inlineStr">
        <is>
          <t>Northwind Payments Inc.</t>
        </is>
      </c>
      <c r="B8" s="5" t="inlineStr">
        <is>
          <t>Global</t>
        </is>
      </c>
      <c r="C8" s="12" t="n">
        <v>24960</v>
      </c>
      <c r="D8" s="12" t="n">
        <v>3900</v>
      </c>
      <c r="E8" s="12" t="n">
        <v>745</v>
      </c>
      <c r="F8" s="12" t="n">
        <v>555</v>
      </c>
      <c r="G8" s="18">
        <f>C8/D8</f>
        <v/>
      </c>
      <c r="H8" s="18">
        <f>C8/E8</f>
        <v/>
      </c>
      <c r="I8" s="18">
        <f>(C8*0.97)/F8</f>
        <v/>
      </c>
    </row>
    <row r="9">
      <c r="A9" s="5" t="inlineStr">
        <is>
          <t>Arcadia Merchant Services</t>
        </is>
      </c>
      <c r="B9" s="5" t="inlineStr">
        <is>
          <t>Global</t>
        </is>
      </c>
      <c r="C9" s="12" t="n">
        <v>8500</v>
      </c>
      <c r="D9" s="12" t="n">
        <v>1700</v>
      </c>
      <c r="E9" s="12" t="n">
        <v>309</v>
      </c>
      <c r="F9" s="12" t="n">
        <v>233</v>
      </c>
      <c r="G9" s="18">
        <f>C9/D9</f>
        <v/>
      </c>
      <c r="H9" s="18">
        <f>C9/E9</f>
        <v/>
      </c>
      <c r="I9" s="18">
        <f>(C9*0.97)/F9</f>
        <v/>
      </c>
    </row>
    <row r="10">
      <c r="A10" s="4" t="inlineStr">
        <is>
          <t>Minimum</t>
        </is>
      </c>
      <c r="G10" s="19">
        <f>MIN(G5:G9)</f>
        <v/>
      </c>
      <c r="H10" s="19">
        <f>MIN(H5:H9)</f>
        <v/>
      </c>
      <c r="I10" s="19">
        <f>MIN(I5:I9)</f>
        <v/>
      </c>
    </row>
    <row r="11">
      <c r="A11" s="4" t="inlineStr">
        <is>
          <t>Median</t>
        </is>
      </c>
      <c r="G11" s="19">
        <f>MEDIAN(G5:G9)</f>
        <v/>
      </c>
      <c r="H11" s="19">
        <f>MEDIAN(H5:H9)</f>
        <v/>
      </c>
      <c r="I11" s="19">
        <f>MEDIAN(I5:I9)</f>
        <v/>
      </c>
    </row>
    <row r="12">
      <c r="A12" s="4" t="inlineStr">
        <is>
          <t>Mean</t>
        </is>
      </c>
      <c r="G12" s="19">
        <f>AVERAGE(G5:G9)</f>
        <v/>
      </c>
      <c r="H12" s="19">
        <f>AVERAGE(H5:H9)</f>
        <v/>
      </c>
      <c r="I12" s="19">
        <f>AVERAGE(I5:I9)</f>
        <v/>
      </c>
    </row>
    <row r="13">
      <c r="A13" s="4" t="inlineStr">
        <is>
          <t>Maximum</t>
        </is>
      </c>
      <c r="G13" s="19">
        <f>MAX(G5:G9)</f>
        <v/>
      </c>
      <c r="H13" s="19">
        <f>MAX(H5:H9)</f>
        <v/>
      </c>
      <c r="I13" s="19">
        <f>MAX(I5:I9)</f>
        <v/>
      </c>
    </row>
    <row r="15">
      <c r="A15" s="4" t="inlineStr">
        <is>
          <t>Applied to NovaPay FY26E</t>
        </is>
      </c>
    </row>
    <row r="16">
      <c r="A16" s="5" t="inlineStr">
        <is>
          <t>EV/Revenue range (min-max)</t>
        </is>
      </c>
      <c r="C16" s="20">
        <f>G10*Financials!F7</f>
        <v/>
      </c>
      <c r="D16" s="20">
        <f>G13*Financials!F7</f>
        <v/>
      </c>
    </row>
    <row r="17">
      <c r="A17" s="5" t="inlineStr">
        <is>
          <t xml:space="preserve">  -&gt; implied equity value (EV + net cash)</t>
        </is>
      </c>
      <c r="C17" s="20">
        <f>C16+Financials!F24</f>
        <v/>
      </c>
      <c r="D17" s="20">
        <f>D16+Financials!F24</f>
        <v/>
      </c>
    </row>
    <row r="18">
      <c r="A18" s="5" t="inlineStr">
        <is>
          <t>EV/EBITDA range (min-max)</t>
        </is>
      </c>
      <c r="C18" s="20">
        <f>H10*Financials!F12</f>
        <v/>
      </c>
      <c r="D18" s="20">
        <f>H13*Financials!F12</f>
        <v/>
      </c>
    </row>
    <row r="19">
      <c r="A19" s="5" t="inlineStr">
        <is>
          <t xml:space="preserve">  -&gt; implied equity value (EV + net cash)</t>
        </is>
      </c>
      <c r="C19" s="20">
        <f>C18+Financials!F24</f>
        <v/>
      </c>
      <c r="D19" s="20">
        <f>D18+Financials!F24</f>
        <v/>
      </c>
    </row>
    <row r="21">
      <c r="A21" s="3" t="inlineStr">
        <is>
          <t>Illustrative - fictional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9" customWidth="1" min="4" max="4"/>
    <col width="13" customWidth="1" min="5" max="5"/>
    <col width="16" customWidth="1" min="6" max="6"/>
    <col width="18" customWidth="1" min="7" max="7"/>
    <col width="11" customWidth="1" min="8" max="8"/>
    <col width="11" customWidth="1" min="9" max="9"/>
  </cols>
  <sheetData>
    <row r="1">
      <c r="A1" s="1" t="inlineStr">
        <is>
          <t>PRECEDENT TRANSACTIONS / IPOs (FICTIONAL)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Illustrative - fictional data. Not based on any real company.</t>
        </is>
      </c>
    </row>
    <row r="4">
      <c r="A4" s="17" t="inlineStr">
        <is>
          <t>Year</t>
        </is>
      </c>
      <c r="B4" s="17" t="inlineStr">
        <is>
          <t>Target (fictional)</t>
        </is>
      </c>
      <c r="C4" s="17" t="inlineStr">
        <is>
          <t>Acquirer / Event (fictional)</t>
        </is>
      </c>
      <c r="D4" s="17" t="inlineStr">
        <is>
          <t>Type</t>
        </is>
      </c>
      <c r="E4" s="17" t="inlineStr">
        <is>
          <t>EV (USD m)</t>
        </is>
      </c>
      <c r="F4" s="17" t="inlineStr">
        <is>
          <t>LTM Rev (USD m)</t>
        </is>
      </c>
      <c r="G4" s="17" t="inlineStr">
        <is>
          <t>LTM EBITDA (USD m)</t>
        </is>
      </c>
      <c r="H4" s="17" t="inlineStr">
        <is>
          <t>EV/Revenue</t>
        </is>
      </c>
      <c r="I4" s="17" t="inlineStr">
        <is>
          <t>EV/EBITDA</t>
        </is>
      </c>
    </row>
    <row r="5">
      <c r="A5" s="21" t="n">
        <v>2023</v>
      </c>
      <c r="B5" s="5" t="inlineStr">
        <is>
          <t>Lotus Wallet Co.</t>
        </is>
      </c>
      <c r="C5" s="5" t="inlineStr">
        <is>
          <t>Arcadia Merchant Services</t>
        </is>
      </c>
      <c r="D5" s="5" t="inlineStr">
        <is>
          <t>M&amp;A</t>
        </is>
      </c>
      <c r="E5" s="11" t="n">
        <v>540</v>
      </c>
      <c r="F5" s="11" t="n">
        <v>120</v>
      </c>
      <c r="G5" s="11" t="n">
        <v>22.5</v>
      </c>
      <c r="H5" s="18">
        <f>E5/F5</f>
        <v/>
      </c>
      <c r="I5" s="18">
        <f>E5/G5</f>
        <v/>
      </c>
    </row>
    <row r="6">
      <c r="A6" s="21" t="n">
        <v>2024</v>
      </c>
      <c r="B6" s="5" t="inlineStr">
        <is>
          <t>Meridian Pay Holdings</t>
        </is>
      </c>
      <c r="C6" s="5" t="inlineStr">
        <is>
          <t>IPO (regional exchange)</t>
        </is>
      </c>
      <c r="D6" s="5" t="inlineStr">
        <is>
          <t>IPO</t>
        </is>
      </c>
      <c r="E6" s="11" t="n">
        <v>7930</v>
      </c>
      <c r="F6" s="11" t="n">
        <v>1300</v>
      </c>
      <c r="G6" s="11" t="n">
        <v>264</v>
      </c>
      <c r="H6" s="18">
        <f>E6/F6</f>
        <v/>
      </c>
      <c r="I6" s="18">
        <f>E6/G6</f>
        <v/>
      </c>
    </row>
    <row r="7">
      <c r="A7" s="21" t="n">
        <v>2024</v>
      </c>
      <c r="B7" s="5" t="inlineStr">
        <is>
          <t>Orion Gateway Ltd.</t>
        </is>
      </c>
      <c r="C7" s="5" t="inlineStr">
        <is>
          <t>Sable Pay (merger)</t>
        </is>
      </c>
      <c r="D7" s="5" t="inlineStr">
        <is>
          <t>M&amp;A</t>
        </is>
      </c>
      <c r="E7" s="11" t="n">
        <v>1890</v>
      </c>
      <c r="F7" s="11" t="n">
        <v>350</v>
      </c>
      <c r="G7" s="11" t="n">
        <v>70</v>
      </c>
      <c r="H7" s="18">
        <f>E7/F7</f>
        <v/>
      </c>
      <c r="I7" s="18">
        <f>E7/G7</f>
        <v/>
      </c>
    </row>
    <row r="8">
      <c r="A8" s="21" t="n">
        <v>2025</v>
      </c>
      <c r="B8" s="5" t="inlineStr">
        <is>
          <t>Vantage Digital Pay</t>
        </is>
      </c>
      <c r="C8" s="5" t="inlineStr">
        <is>
          <t>IPO (regional exchange)</t>
        </is>
      </c>
      <c r="D8" s="5" t="inlineStr">
        <is>
          <t>IPO</t>
        </is>
      </c>
      <c r="E8" s="11" t="n">
        <v>3600</v>
      </c>
      <c r="F8" s="11" t="n">
        <v>500</v>
      </c>
      <c r="G8" s="11" t="n">
        <v>106</v>
      </c>
      <c r="H8" s="18">
        <f>E8/F8</f>
        <v/>
      </c>
      <c r="I8" s="18">
        <f>E8/G8</f>
        <v/>
      </c>
    </row>
    <row r="9">
      <c r="B9" s="4" t="inlineStr">
        <is>
          <t>Minimum</t>
        </is>
      </c>
      <c r="H9" s="19">
        <f>MIN(H5:H8)</f>
        <v/>
      </c>
      <c r="I9" s="19">
        <f>MIN(I5:I8)</f>
        <v/>
      </c>
    </row>
    <row r="10">
      <c r="B10" s="4" t="inlineStr">
        <is>
          <t>Median</t>
        </is>
      </c>
      <c r="H10" s="19">
        <f>MEDIAN(H5:H8)</f>
        <v/>
      </c>
      <c r="I10" s="19">
        <f>MEDIAN(I5:I8)</f>
        <v/>
      </c>
    </row>
    <row r="11">
      <c r="B11" s="4" t="inlineStr">
        <is>
          <t>Mean</t>
        </is>
      </c>
      <c r="H11" s="19">
        <f>AVERAGE(H5:H8)</f>
        <v/>
      </c>
      <c r="I11" s="19">
        <f>AVERAGE(I5:I8)</f>
        <v/>
      </c>
    </row>
    <row r="12">
      <c r="B12" s="4" t="inlineStr">
        <is>
          <t>Maximum</t>
        </is>
      </c>
      <c r="H12" s="19">
        <f>MAX(H5:H8)</f>
        <v/>
      </c>
      <c r="I12" s="19">
        <f>MAX(I5:I8)</f>
        <v/>
      </c>
    </row>
    <row r="14">
      <c r="B14" s="4" t="inlineStr">
        <is>
          <t>Applied to NovaPay FY26E revenue</t>
        </is>
      </c>
    </row>
    <row r="15">
      <c r="B15" s="5" t="inlineStr">
        <is>
          <t>Implied EV range (min-max EV/Rev)</t>
        </is>
      </c>
      <c r="E15" s="20">
        <f>H9*Financials!F7</f>
        <v/>
      </c>
      <c r="F15" s="20">
        <f>H12*Financials!F7</f>
        <v/>
      </c>
    </row>
    <row r="16">
      <c r="B16" s="5" t="inlineStr">
        <is>
          <t>Implied equity value (EV + net cash)</t>
        </is>
      </c>
      <c r="E16" s="20">
        <f>E15+Financials!F24</f>
        <v/>
      </c>
      <c r="F16" s="20">
        <f>F15+Financials!F24</f>
        <v/>
      </c>
    </row>
    <row r="18">
      <c r="A18" s="3" t="inlineStr">
        <is>
          <t>Illustrative - fictional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DISCOUNTED CASH FLOW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Illustrative - fictional data. Not based on any real company.</t>
        </is>
      </c>
    </row>
    <row r="4">
      <c r="A4" s="22" t="inlineStr">
        <is>
          <t>WACC build</t>
        </is>
      </c>
    </row>
    <row r="5">
      <c r="A5" s="5" t="inlineStr">
        <is>
          <t>Risk-free rate</t>
        </is>
      </c>
      <c r="B5" s="16" t="n">
        <v>0.045</v>
      </c>
    </row>
    <row r="6">
      <c r="A6" s="5" t="inlineStr">
        <is>
          <t>Equity risk premium</t>
        </is>
      </c>
      <c r="B6" s="16" t="n">
        <v>0.07000000000000001</v>
      </c>
    </row>
    <row r="7">
      <c r="A7" s="5" t="inlineStr">
        <is>
          <t>Country / size premium</t>
        </is>
      </c>
      <c r="B7" s="16" t="n">
        <v>0.025</v>
      </c>
    </row>
    <row r="8">
      <c r="A8" s="5" t="inlineStr">
        <is>
          <t>Beta (levered)</t>
        </is>
      </c>
      <c r="B8" s="23" t="n">
        <v>1.15</v>
      </c>
    </row>
    <row r="9">
      <c r="A9" s="4" t="inlineStr">
        <is>
          <t>Cost of equity</t>
        </is>
      </c>
      <c r="B9" s="24">
        <f>B5+B8*B6+B7</f>
        <v/>
      </c>
    </row>
    <row r="10">
      <c r="A10" s="5" t="inlineStr">
        <is>
          <t>After-tax cost of debt</t>
        </is>
      </c>
      <c r="B10" s="16" t="n">
        <v>0.06</v>
      </c>
    </row>
    <row r="11">
      <c r="A11" s="5" t="inlineStr">
        <is>
          <t>Debt / total capital</t>
        </is>
      </c>
      <c r="B11" s="16" t="n">
        <v>0.05</v>
      </c>
    </row>
    <row r="12">
      <c r="A12" s="4" t="inlineStr">
        <is>
          <t>WACC</t>
        </is>
      </c>
      <c r="B12" s="24">
        <f>B9*(1-B11)+B10*B11</f>
        <v/>
      </c>
    </row>
    <row r="13">
      <c r="A13" s="4" t="inlineStr">
        <is>
          <t>Terminal growth rate (g)</t>
        </is>
      </c>
      <c r="B13" s="16" t="n">
        <v>0.04</v>
      </c>
    </row>
    <row r="15">
      <c r="A15" s="22" t="inlineStr">
        <is>
          <t>Unlevered free cash flow (USD m)</t>
        </is>
      </c>
      <c r="C15" s="25" t="inlineStr">
        <is>
          <t>FY26E</t>
        </is>
      </c>
      <c r="D15" s="25" t="inlineStr">
        <is>
          <t>FY27E</t>
        </is>
      </c>
      <c r="E15" s="25" t="inlineStr">
        <is>
          <t>FY28E</t>
        </is>
      </c>
      <c r="F15" s="25" t="inlineStr">
        <is>
          <t>FY29E</t>
        </is>
      </c>
      <c r="G15" s="25" t="inlineStr">
        <is>
          <t>FY30E</t>
        </is>
      </c>
      <c r="H15" s="25" t="inlineStr">
        <is>
          <t>FY31E</t>
        </is>
      </c>
      <c r="I15" s="25" t="inlineStr">
        <is>
          <t>FY32E</t>
        </is>
      </c>
      <c r="J15" s="25" t="inlineStr">
        <is>
          <t>FY33E</t>
        </is>
      </c>
    </row>
    <row r="16">
      <c r="A16" s="5" t="inlineStr">
        <is>
          <t>EBIT</t>
        </is>
      </c>
      <c r="C16" s="14">
        <f>Financials!F14</f>
        <v/>
      </c>
      <c r="D16" s="14">
        <f>Financials!G14</f>
        <v/>
      </c>
      <c r="E16" s="14">
        <f>Financials!H14</f>
        <v/>
      </c>
      <c r="F16" s="14">
        <f>E16*1.4</f>
        <v/>
      </c>
      <c r="G16" s="14">
        <f>F16*1.34</f>
        <v/>
      </c>
      <c r="H16" s="14">
        <f>G16*1.28</f>
        <v/>
      </c>
      <c r="I16" s="14">
        <f>H16*1.2</f>
        <v/>
      </c>
      <c r="J16" s="14">
        <f>I16*1.14</f>
        <v/>
      </c>
    </row>
    <row r="17">
      <c r="A17" s="5" t="inlineStr">
        <is>
          <t>Tax on EBIT (20%)</t>
        </is>
      </c>
      <c r="C17" s="14">
        <f>-C16*0.20</f>
        <v/>
      </c>
      <c r="D17" s="14">
        <f>-D16*0.20</f>
        <v/>
      </c>
      <c r="E17" s="14">
        <f>-E16*0.20</f>
        <v/>
      </c>
      <c r="F17" s="14">
        <f>-F16*0.20</f>
        <v/>
      </c>
      <c r="G17" s="14">
        <f>-G16*0.20</f>
        <v/>
      </c>
      <c r="H17" s="14">
        <f>-H16*0.20</f>
        <v/>
      </c>
      <c r="I17" s="14">
        <f>-I16*0.20</f>
        <v/>
      </c>
      <c r="J17" s="14">
        <f>-J16*0.20</f>
        <v/>
      </c>
    </row>
    <row r="18">
      <c r="A18" s="5" t="inlineStr">
        <is>
          <t>D&amp;A</t>
        </is>
      </c>
      <c r="C18" s="14">
        <f>Financials!F13</f>
        <v/>
      </c>
      <c r="D18" s="14">
        <f>Financials!G13</f>
        <v/>
      </c>
      <c r="E18" s="14">
        <f>Financials!H13</f>
        <v/>
      </c>
      <c r="F18" s="14">
        <f>E18*1.10</f>
        <v/>
      </c>
      <c r="G18" s="14">
        <f>F18*1.10</f>
        <v/>
      </c>
      <c r="H18" s="14">
        <f>G18*1.10</f>
        <v/>
      </c>
      <c r="I18" s="14">
        <f>H18*1.10</f>
        <v/>
      </c>
      <c r="J18" s="14">
        <f>I18*1.10</f>
        <v/>
      </c>
    </row>
    <row r="19">
      <c r="A19" s="5" t="inlineStr">
        <is>
          <t>Capital expenditure</t>
        </is>
      </c>
      <c r="C19" s="14">
        <f>-Financials!F22</f>
        <v/>
      </c>
      <c r="D19" s="14">
        <f>-Financials!G22</f>
        <v/>
      </c>
      <c r="E19" s="14">
        <f>-Financials!H22</f>
        <v/>
      </c>
      <c r="F19" s="14">
        <f>E19*1.06</f>
        <v/>
      </c>
      <c r="G19" s="14">
        <f>F19*1.06</f>
        <v/>
      </c>
      <c r="H19" s="14">
        <f>G19*1.06</f>
        <v/>
      </c>
      <c r="I19" s="14">
        <f>H19*1.06</f>
        <v/>
      </c>
      <c r="J19" s="14">
        <f>I19*1.06</f>
        <v/>
      </c>
    </row>
    <row r="20">
      <c r="A20" s="5" t="inlineStr">
        <is>
          <t>Change in net working capital</t>
        </is>
      </c>
      <c r="C20" s="14">
        <f>-Financials!F23</f>
        <v/>
      </c>
      <c r="D20" s="14">
        <f>-Financials!G23</f>
        <v/>
      </c>
      <c r="E20" s="14">
        <f>-Financials!H23</f>
        <v/>
      </c>
      <c r="F20" s="14">
        <f>E20*1.08</f>
        <v/>
      </c>
      <c r="G20" s="14">
        <f>F20*1.08</f>
        <v/>
      </c>
      <c r="H20" s="14">
        <f>G20*1.08</f>
        <v/>
      </c>
      <c r="I20" s="14">
        <f>H20*1.08</f>
        <v/>
      </c>
      <c r="J20" s="14">
        <f>I20*1.08</f>
        <v/>
      </c>
    </row>
    <row r="21">
      <c r="A21" s="4" t="inlineStr">
        <is>
          <t>Unlevered free cash flow</t>
        </is>
      </c>
      <c r="C21" s="15">
        <f>SUM(C16:C20)</f>
        <v/>
      </c>
      <c r="D21" s="15">
        <f>SUM(D16:D20)</f>
        <v/>
      </c>
      <c r="E21" s="15">
        <f>SUM(E16:E20)</f>
        <v/>
      </c>
      <c r="F21" s="15">
        <f>SUM(F16:F20)</f>
        <v/>
      </c>
      <c r="G21" s="15">
        <f>SUM(G16:G20)</f>
        <v/>
      </c>
      <c r="H21" s="15">
        <f>SUM(H16:H20)</f>
        <v/>
      </c>
      <c r="I21" s="15">
        <f>SUM(I16:I20)</f>
        <v/>
      </c>
      <c r="J21" s="15">
        <f>SUM(J16:J20)</f>
        <v/>
      </c>
    </row>
    <row r="22">
      <c r="A22" s="5" t="inlineStr">
        <is>
          <t>Discount period (yrs, mid-year)</t>
        </is>
      </c>
      <c r="C22" s="26" t="n">
        <v>0.5</v>
      </c>
      <c r="D22" s="26" t="n">
        <v>1.5</v>
      </c>
      <c r="E22" s="26" t="n">
        <v>2.5</v>
      </c>
      <c r="F22" s="26" t="n">
        <v>3.5</v>
      </c>
      <c r="G22" s="26" t="n">
        <v>4.5</v>
      </c>
      <c r="H22" s="26" t="n">
        <v>5.5</v>
      </c>
      <c r="I22" s="26" t="n">
        <v>6.5</v>
      </c>
      <c r="J22" s="26" t="n">
        <v>7.5</v>
      </c>
    </row>
    <row r="23">
      <c r="A23" s="5" t="inlineStr">
        <is>
          <t>Discount factor</t>
        </is>
      </c>
      <c r="C23" s="27">
        <f>1/(1+$B$12)^C22</f>
        <v/>
      </c>
      <c r="D23" s="27">
        <f>1/(1+$B$12)^D22</f>
        <v/>
      </c>
      <c r="E23" s="27">
        <f>1/(1+$B$12)^E22</f>
        <v/>
      </c>
      <c r="F23" s="27">
        <f>1/(1+$B$12)^F22</f>
        <v/>
      </c>
      <c r="G23" s="27">
        <f>1/(1+$B$12)^G22</f>
        <v/>
      </c>
      <c r="H23" s="27">
        <f>1/(1+$B$12)^H22</f>
        <v/>
      </c>
      <c r="I23" s="27">
        <f>1/(1+$B$12)^I22</f>
        <v/>
      </c>
      <c r="J23" s="27">
        <f>1/(1+$B$12)^J22</f>
        <v/>
      </c>
    </row>
    <row r="24">
      <c r="A24" s="4" t="inlineStr">
        <is>
          <t>PV of FCF</t>
        </is>
      </c>
      <c r="C24" s="15">
        <f>C21*C23</f>
        <v/>
      </c>
      <c r="D24" s="15">
        <f>D21*D23</f>
        <v/>
      </c>
      <c r="E24" s="15">
        <f>E21*E23</f>
        <v/>
      </c>
      <c r="F24" s="15">
        <f>F21*F23</f>
        <v/>
      </c>
      <c r="G24" s="15">
        <f>G21*G23</f>
        <v/>
      </c>
      <c r="H24" s="15">
        <f>H21*H23</f>
        <v/>
      </c>
      <c r="I24" s="15">
        <f>I21*I23</f>
        <v/>
      </c>
      <c r="J24" s="15">
        <f>J21*J23</f>
        <v/>
      </c>
    </row>
    <row r="26">
      <c r="A26" s="5" t="inlineStr">
        <is>
          <t>PV of forecast FCF (FY26-FY33)</t>
        </is>
      </c>
      <c r="C26" s="13">
        <f>SUM(C24:J24)</f>
        <v/>
      </c>
    </row>
    <row r="27">
      <c r="A27" s="5" t="inlineStr">
        <is>
          <t>Terminal value (Gordon growth, on FY33 FCF)</t>
        </is>
      </c>
      <c r="C27" s="13">
        <f>J21*(1+$B$13)/($B$12-$B$13)</f>
        <v/>
      </c>
    </row>
    <row r="28">
      <c r="A28" s="5" t="inlineStr">
        <is>
          <t>PV of terminal value</t>
        </is>
      </c>
      <c r="C28" s="13">
        <f>C27*J23</f>
        <v/>
      </c>
    </row>
    <row r="29">
      <c r="A29" s="4" t="inlineStr">
        <is>
          <t>Enterprise value</t>
        </is>
      </c>
      <c r="C29" s="28">
        <f>C26+C28</f>
        <v/>
      </c>
    </row>
    <row r="30">
      <c r="A30" s="5" t="inlineStr">
        <is>
          <t>Plus: net cash (FY26E)</t>
        </is>
      </c>
      <c r="C30" s="13">
        <f>Financials!F24</f>
        <v/>
      </c>
    </row>
    <row r="31">
      <c r="A31" s="4" t="inlineStr">
        <is>
          <t>Equity value (DCF, base case)</t>
        </is>
      </c>
      <c r="C31" s="29">
        <f>C29+C30</f>
        <v/>
      </c>
    </row>
    <row r="33">
      <c r="A33" s="5" t="inlineStr">
        <is>
          <t>Terminal value as % of EV</t>
        </is>
      </c>
      <c r="C33" s="9">
        <f>C28/C29</f>
        <v/>
      </c>
    </row>
    <row r="35">
      <c r="A35" s="3" t="inlineStr">
        <is>
          <t>Illustrative - fictional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DCF EQUITY VALUE SENSITIVITY (USD m)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Illustrative - fictional data. Not based on any real company.</t>
        </is>
      </c>
    </row>
    <row r="4">
      <c r="A4" s="4" t="inlineStr">
        <is>
          <t>Rows = WACC   |   Columns = terminal growth rate</t>
        </is>
      </c>
    </row>
    <row r="6">
      <c r="A6" s="22" t="inlineStr">
        <is>
          <t>WACC \ g</t>
        </is>
      </c>
      <c r="B6" s="30" t="n">
        <v>0.03</v>
      </c>
      <c r="C6" s="30" t="n">
        <v>0.035</v>
      </c>
      <c r="D6" s="30" t="n">
        <v>0.04</v>
      </c>
      <c r="E6" s="30" t="n">
        <v>0.045</v>
      </c>
      <c r="F6" s="30" t="n">
        <v>0.05</v>
      </c>
    </row>
    <row r="7">
      <c r="A7" s="31" t="n">
        <v>0.115</v>
      </c>
      <c r="B7" s="13">
        <f>DCF!C21/(1+$A7)^DCF!C22+DCF!D21/(1+$A7)^DCF!D22+DCF!E21/(1+$A7)^DCF!E22+DCF!F21/(1+$A7)^DCF!F22+DCF!G21/(1+$A7)^DCF!G22+DCF!H21/(1+$A7)^DCF!H22+DCF!I21/(1+$A7)^DCF!I22+DCF!J21/(1+$A7)^DCF!J22+(DCF!J21*(1+B$6)/($A7-B$6))/(1+$A7)^DCF!J22+Financials!F24</f>
        <v/>
      </c>
      <c r="C7" s="13">
        <f>DCF!C21/(1+$A7)^DCF!C22+DCF!D21/(1+$A7)^DCF!D22+DCF!E21/(1+$A7)^DCF!E22+DCF!F21/(1+$A7)^DCF!F22+DCF!G21/(1+$A7)^DCF!G22+DCF!H21/(1+$A7)^DCF!H22+DCF!I21/(1+$A7)^DCF!I22+DCF!J21/(1+$A7)^DCF!J22+(DCF!J21*(1+C$6)/($A7-C$6))/(1+$A7)^DCF!J22+Financials!F24</f>
        <v/>
      </c>
      <c r="D7" s="13">
        <f>DCF!C21/(1+$A7)^DCF!C22+DCF!D21/(1+$A7)^DCF!D22+DCF!E21/(1+$A7)^DCF!E22+DCF!F21/(1+$A7)^DCF!F22+DCF!G21/(1+$A7)^DCF!G22+DCF!H21/(1+$A7)^DCF!H22+DCF!I21/(1+$A7)^DCF!I22+DCF!J21/(1+$A7)^DCF!J22+(DCF!J21*(1+D$6)/($A7-D$6))/(1+$A7)^DCF!J22+Financials!F24</f>
        <v/>
      </c>
      <c r="E7" s="13">
        <f>DCF!C21/(1+$A7)^DCF!C22+DCF!D21/(1+$A7)^DCF!D22+DCF!E21/(1+$A7)^DCF!E22+DCF!F21/(1+$A7)^DCF!F22+DCF!G21/(1+$A7)^DCF!G22+DCF!H21/(1+$A7)^DCF!H22+DCF!I21/(1+$A7)^DCF!I22+DCF!J21/(1+$A7)^DCF!J22+(DCF!J21*(1+E$6)/($A7-E$6))/(1+$A7)^DCF!J22+Financials!F24</f>
        <v/>
      </c>
      <c r="F7" s="13">
        <f>DCF!C21/(1+$A7)^DCF!C22+DCF!D21/(1+$A7)^DCF!D22+DCF!E21/(1+$A7)^DCF!E22+DCF!F21/(1+$A7)^DCF!F22+DCF!G21/(1+$A7)^DCF!G22+DCF!H21/(1+$A7)^DCF!H22+DCF!I21/(1+$A7)^DCF!I22+DCF!J21/(1+$A7)^DCF!J22+(DCF!J21*(1+F$6)/($A7-F$6))/(1+$A7)^DCF!J22+Financials!F24</f>
        <v/>
      </c>
    </row>
    <row r="8">
      <c r="A8" s="31" t="n">
        <v>0.125</v>
      </c>
      <c r="B8" s="13">
        <f>DCF!C21/(1+$A8)^DCF!C22+DCF!D21/(1+$A8)^DCF!D22+DCF!E21/(1+$A8)^DCF!E22+DCF!F21/(1+$A8)^DCF!F22+DCF!G21/(1+$A8)^DCF!G22+DCF!H21/(1+$A8)^DCF!H22+DCF!I21/(1+$A8)^DCF!I22+DCF!J21/(1+$A8)^DCF!J22+(DCF!J21*(1+B$6)/($A8-B$6))/(1+$A8)^DCF!J22+Financials!F24</f>
        <v/>
      </c>
      <c r="C8" s="13">
        <f>DCF!C21/(1+$A8)^DCF!C22+DCF!D21/(1+$A8)^DCF!D22+DCF!E21/(1+$A8)^DCF!E22+DCF!F21/(1+$A8)^DCF!F22+DCF!G21/(1+$A8)^DCF!G22+DCF!H21/(1+$A8)^DCF!H22+DCF!I21/(1+$A8)^DCF!I22+DCF!J21/(1+$A8)^DCF!J22+(DCF!J21*(1+C$6)/($A8-C$6))/(1+$A8)^DCF!J22+Financials!F24</f>
        <v/>
      </c>
      <c r="D8" s="13">
        <f>DCF!C21/(1+$A8)^DCF!C22+DCF!D21/(1+$A8)^DCF!D22+DCF!E21/(1+$A8)^DCF!E22+DCF!F21/(1+$A8)^DCF!F22+DCF!G21/(1+$A8)^DCF!G22+DCF!H21/(1+$A8)^DCF!H22+DCF!I21/(1+$A8)^DCF!I22+DCF!J21/(1+$A8)^DCF!J22+(DCF!J21*(1+D$6)/($A8-D$6))/(1+$A8)^DCF!J22+Financials!F24</f>
        <v/>
      </c>
      <c r="E8" s="13">
        <f>DCF!C21/(1+$A8)^DCF!C22+DCF!D21/(1+$A8)^DCF!D22+DCF!E21/(1+$A8)^DCF!E22+DCF!F21/(1+$A8)^DCF!F22+DCF!G21/(1+$A8)^DCF!G22+DCF!H21/(1+$A8)^DCF!H22+DCF!I21/(1+$A8)^DCF!I22+DCF!J21/(1+$A8)^DCF!J22+(DCF!J21*(1+E$6)/($A8-E$6))/(1+$A8)^DCF!J22+Financials!F24</f>
        <v/>
      </c>
      <c r="F8" s="13">
        <f>DCF!C21/(1+$A8)^DCF!C22+DCF!D21/(1+$A8)^DCF!D22+DCF!E21/(1+$A8)^DCF!E22+DCF!F21/(1+$A8)^DCF!F22+DCF!G21/(1+$A8)^DCF!G22+DCF!H21/(1+$A8)^DCF!H22+DCF!I21/(1+$A8)^DCF!I22+DCF!J21/(1+$A8)^DCF!J22+(DCF!J21*(1+F$6)/($A8-F$6))/(1+$A8)^DCF!J22+Financials!F24</f>
        <v/>
      </c>
    </row>
    <row r="9">
      <c r="A9" s="31" t="n">
        <v>0.135</v>
      </c>
      <c r="B9" s="13">
        <f>DCF!C21/(1+$A9)^DCF!C22+DCF!D21/(1+$A9)^DCF!D22+DCF!E21/(1+$A9)^DCF!E22+DCF!F21/(1+$A9)^DCF!F22+DCF!G21/(1+$A9)^DCF!G22+DCF!H21/(1+$A9)^DCF!H22+DCF!I21/(1+$A9)^DCF!I22+DCF!J21/(1+$A9)^DCF!J22+(DCF!J21*(1+B$6)/($A9-B$6))/(1+$A9)^DCF!J22+Financials!F24</f>
        <v/>
      </c>
      <c r="C9" s="13">
        <f>DCF!C21/(1+$A9)^DCF!C22+DCF!D21/(1+$A9)^DCF!D22+DCF!E21/(1+$A9)^DCF!E22+DCF!F21/(1+$A9)^DCF!F22+DCF!G21/(1+$A9)^DCF!G22+DCF!H21/(1+$A9)^DCF!H22+DCF!I21/(1+$A9)^DCF!I22+DCF!J21/(1+$A9)^DCF!J22+(DCF!J21*(1+C$6)/($A9-C$6))/(1+$A9)^DCF!J22+Financials!F24</f>
        <v/>
      </c>
      <c r="D9" s="29">
        <f>DCF!C21/(1+$A9)^DCF!C22+DCF!D21/(1+$A9)^DCF!D22+DCF!E21/(1+$A9)^DCF!E22+DCF!F21/(1+$A9)^DCF!F22+DCF!G21/(1+$A9)^DCF!G22+DCF!H21/(1+$A9)^DCF!H22+DCF!I21/(1+$A9)^DCF!I22+DCF!J21/(1+$A9)^DCF!J22+(DCF!J21*(1+D$6)/($A9-D$6))/(1+$A9)^DCF!J22+Financials!F24</f>
        <v/>
      </c>
      <c r="E9" s="13">
        <f>DCF!C21/(1+$A9)^DCF!C22+DCF!D21/(1+$A9)^DCF!D22+DCF!E21/(1+$A9)^DCF!E22+DCF!F21/(1+$A9)^DCF!F22+DCF!G21/(1+$A9)^DCF!G22+DCF!H21/(1+$A9)^DCF!H22+DCF!I21/(1+$A9)^DCF!I22+DCF!J21/(1+$A9)^DCF!J22+(DCF!J21*(1+E$6)/($A9-E$6))/(1+$A9)^DCF!J22+Financials!F24</f>
        <v/>
      </c>
      <c r="F9" s="13">
        <f>DCF!C21/(1+$A9)^DCF!C22+DCF!D21/(1+$A9)^DCF!D22+DCF!E21/(1+$A9)^DCF!E22+DCF!F21/(1+$A9)^DCF!F22+DCF!G21/(1+$A9)^DCF!G22+DCF!H21/(1+$A9)^DCF!H22+DCF!I21/(1+$A9)^DCF!I22+DCF!J21/(1+$A9)^DCF!J22+(DCF!J21*(1+F$6)/($A9-F$6))/(1+$A9)^DCF!J22+Financials!F24</f>
        <v/>
      </c>
    </row>
    <row r="10">
      <c r="A10" s="31" t="n">
        <v>0.145</v>
      </c>
      <c r="B10" s="13">
        <f>DCF!C21/(1+$A10)^DCF!C22+DCF!D21/(1+$A10)^DCF!D22+DCF!E21/(1+$A10)^DCF!E22+DCF!F21/(1+$A10)^DCF!F22+DCF!G21/(1+$A10)^DCF!G22+DCF!H21/(1+$A10)^DCF!H22+DCF!I21/(1+$A10)^DCF!I22+DCF!J21/(1+$A10)^DCF!J22+(DCF!J21*(1+B$6)/($A10-B$6))/(1+$A10)^DCF!J22+Financials!F24</f>
        <v/>
      </c>
      <c r="C10" s="13">
        <f>DCF!C21/(1+$A10)^DCF!C22+DCF!D21/(1+$A10)^DCF!D22+DCF!E21/(1+$A10)^DCF!E22+DCF!F21/(1+$A10)^DCF!F22+DCF!G21/(1+$A10)^DCF!G22+DCF!H21/(1+$A10)^DCF!H22+DCF!I21/(1+$A10)^DCF!I22+DCF!J21/(1+$A10)^DCF!J22+(DCF!J21*(1+C$6)/($A10-C$6))/(1+$A10)^DCF!J22+Financials!F24</f>
        <v/>
      </c>
      <c r="D10" s="13">
        <f>DCF!C21/(1+$A10)^DCF!C22+DCF!D21/(1+$A10)^DCF!D22+DCF!E21/(1+$A10)^DCF!E22+DCF!F21/(1+$A10)^DCF!F22+DCF!G21/(1+$A10)^DCF!G22+DCF!H21/(1+$A10)^DCF!H22+DCF!I21/(1+$A10)^DCF!I22+DCF!J21/(1+$A10)^DCF!J22+(DCF!J21*(1+D$6)/($A10-D$6))/(1+$A10)^DCF!J22+Financials!F24</f>
        <v/>
      </c>
      <c r="E10" s="13">
        <f>DCF!C21/(1+$A10)^DCF!C22+DCF!D21/(1+$A10)^DCF!D22+DCF!E21/(1+$A10)^DCF!E22+DCF!F21/(1+$A10)^DCF!F22+DCF!G21/(1+$A10)^DCF!G22+DCF!H21/(1+$A10)^DCF!H22+DCF!I21/(1+$A10)^DCF!I22+DCF!J21/(1+$A10)^DCF!J22+(DCF!J21*(1+E$6)/($A10-E$6))/(1+$A10)^DCF!J22+Financials!F24</f>
        <v/>
      </c>
      <c r="F10" s="13">
        <f>DCF!C21/(1+$A10)^DCF!C22+DCF!D21/(1+$A10)^DCF!D22+DCF!E21/(1+$A10)^DCF!E22+DCF!F21/(1+$A10)^DCF!F22+DCF!G21/(1+$A10)^DCF!G22+DCF!H21/(1+$A10)^DCF!H22+DCF!I21/(1+$A10)^DCF!I22+DCF!J21/(1+$A10)^DCF!J22+(DCF!J21*(1+F$6)/($A10-F$6))/(1+$A10)^DCF!J22+Financials!F24</f>
        <v/>
      </c>
    </row>
    <row r="11">
      <c r="A11" s="31" t="n">
        <v>0.155</v>
      </c>
      <c r="B11" s="13">
        <f>DCF!C21/(1+$A11)^DCF!C22+DCF!D21/(1+$A11)^DCF!D22+DCF!E21/(1+$A11)^DCF!E22+DCF!F21/(1+$A11)^DCF!F22+DCF!G21/(1+$A11)^DCF!G22+DCF!H21/(1+$A11)^DCF!H22+DCF!I21/(1+$A11)^DCF!I22+DCF!J21/(1+$A11)^DCF!J22+(DCF!J21*(1+B$6)/($A11-B$6))/(1+$A11)^DCF!J22+Financials!F24</f>
        <v/>
      </c>
      <c r="C11" s="13">
        <f>DCF!C21/(1+$A11)^DCF!C22+DCF!D21/(1+$A11)^DCF!D22+DCF!E21/(1+$A11)^DCF!E22+DCF!F21/(1+$A11)^DCF!F22+DCF!G21/(1+$A11)^DCF!G22+DCF!H21/(1+$A11)^DCF!H22+DCF!I21/(1+$A11)^DCF!I22+DCF!J21/(1+$A11)^DCF!J22+(DCF!J21*(1+C$6)/($A11-C$6))/(1+$A11)^DCF!J22+Financials!F24</f>
        <v/>
      </c>
      <c r="D11" s="13">
        <f>DCF!C21/(1+$A11)^DCF!C22+DCF!D21/(1+$A11)^DCF!D22+DCF!E21/(1+$A11)^DCF!E22+DCF!F21/(1+$A11)^DCF!F22+DCF!G21/(1+$A11)^DCF!G22+DCF!H21/(1+$A11)^DCF!H22+DCF!I21/(1+$A11)^DCF!I22+DCF!J21/(1+$A11)^DCF!J22+(DCF!J21*(1+D$6)/($A11-D$6))/(1+$A11)^DCF!J22+Financials!F24</f>
        <v/>
      </c>
      <c r="E11" s="13">
        <f>DCF!C21/(1+$A11)^DCF!C22+DCF!D21/(1+$A11)^DCF!D22+DCF!E21/(1+$A11)^DCF!E22+DCF!F21/(1+$A11)^DCF!F22+DCF!G21/(1+$A11)^DCF!G22+DCF!H21/(1+$A11)^DCF!H22+DCF!I21/(1+$A11)^DCF!I22+DCF!J21/(1+$A11)^DCF!J22+(DCF!J21*(1+E$6)/($A11-E$6))/(1+$A11)^DCF!J22+Financials!F24</f>
        <v/>
      </c>
      <c r="F11" s="13">
        <f>DCF!C21/(1+$A11)^DCF!C22+DCF!D21/(1+$A11)^DCF!D22+DCF!E21/(1+$A11)^DCF!E22+DCF!F21/(1+$A11)^DCF!F22+DCF!G21/(1+$A11)^DCF!G22+DCF!H21/(1+$A11)^DCF!H22+DCF!I21/(1+$A11)^DCF!I22+DCF!J21/(1+$A11)^DCF!J22+(DCF!J21*(1+F$6)/($A11-F$6))/(1+$A11)^DCF!J22+Financials!F24</f>
        <v/>
      </c>
    </row>
    <row r="13">
      <c r="A13" s="3" t="inlineStr">
        <is>
          <t>Gold cell = base case (WACC 13.5%, g 4.0%) and ties to DCF!C31</t>
        </is>
      </c>
    </row>
    <row r="15">
      <c r="A15" s="3" t="inlineStr">
        <is>
          <t>Illustrative - fictional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3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VALUATION SUMMARY - FOOTBALL FIELD (EQUITY VALUE, USD m)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Illustrative - fictional data. Not based on any real company.</t>
        </is>
      </c>
    </row>
    <row r="4">
      <c r="A4" s="17" t="inlineStr">
        <is>
          <t>Methodology</t>
        </is>
      </c>
      <c r="B4" s="17" t="inlineStr">
        <is>
          <t>Metric / basis</t>
        </is>
      </c>
      <c r="C4" s="17" t="inlineStr">
        <is>
          <t>Low (USD m)</t>
        </is>
      </c>
      <c r="D4" s="17" t="inlineStr">
        <is>
          <t>High (USD m)</t>
        </is>
      </c>
      <c r="E4" s="17" t="inlineStr">
        <is>
          <t>Midpoint</t>
        </is>
      </c>
    </row>
    <row r="5">
      <c r="A5" s="4" t="inlineStr">
        <is>
          <t>Trading comps - EV/Revenue</t>
        </is>
      </c>
      <c r="B5" s="5" t="inlineStr">
        <is>
          <t>FY26E revenue x 3.9x-6.4x</t>
        </is>
      </c>
      <c r="C5" s="13">
        <f>Comps!C12</f>
        <v/>
      </c>
      <c r="D5" s="13">
        <f>Comps!D12</f>
        <v/>
      </c>
      <c r="E5" s="13">
        <f>AVERAGE(C5:D5)</f>
        <v/>
      </c>
    </row>
    <row r="6">
      <c r="A6" s="4" t="inlineStr">
        <is>
          <t>Trading comps - EV/EBITDA</t>
        </is>
      </c>
      <c r="B6" s="5" t="inlineStr">
        <is>
          <t>FY26E EBITDA x 22.0x-33.5x</t>
        </is>
      </c>
      <c r="C6" s="13">
        <f>Comps!C14</f>
        <v/>
      </c>
      <c r="D6" s="13">
        <f>Comps!D14</f>
        <v/>
      </c>
      <c r="E6" s="13">
        <f>AVERAGE(C6:D6)</f>
        <v/>
      </c>
    </row>
    <row r="7">
      <c r="A7" s="4" t="inlineStr">
        <is>
          <t>Precedent transactions</t>
        </is>
      </c>
      <c r="B7" s="5" t="inlineStr">
        <is>
          <t>FY26E revenue x 4.5x-7.2x</t>
        </is>
      </c>
      <c r="C7" s="13">
        <f>Precedents!E12</f>
        <v/>
      </c>
      <c r="D7" s="13">
        <f>Precedents!F12</f>
        <v/>
      </c>
      <c r="E7" s="13">
        <f>AVERAGE(C7:D7)</f>
        <v/>
      </c>
    </row>
    <row r="8">
      <c r="A8" s="4" t="inlineStr">
        <is>
          <t>DCF</t>
        </is>
      </c>
      <c r="B8" s="5" t="inlineStr">
        <is>
          <t>WACC 12.5%-14.5%, g 3.5%-4.5%</t>
        </is>
      </c>
      <c r="C8" s="13">
        <f>Sensitivity!C10</f>
        <v/>
      </c>
      <c r="D8" s="13">
        <f>Sensitivity!E8</f>
        <v/>
      </c>
      <c r="E8" s="13">
        <f>AVERAGE(C8:D8)</f>
        <v/>
      </c>
    </row>
    <row r="10">
      <c r="A10" s="4" t="inlineStr">
        <is>
          <t>Concluded reference equity value range</t>
        </is>
      </c>
      <c r="B10" t="inlineStr">
        <is>
          <t>Central overlap of the four methodologies</t>
        </is>
      </c>
      <c r="C10" s="28">
        <f>MEDIAN(C5:C8)</f>
        <v/>
      </c>
      <c r="D10" s="28">
        <f>MEDIAN(D5:D8)</f>
        <v/>
      </c>
      <c r="E10" s="28">
        <f>AVERAGE(C10:D10)</f>
        <v/>
      </c>
    </row>
    <row r="12">
      <c r="A12" s="4" t="inlineStr">
        <is>
          <t>IPO discount to concluded midpoint (low end / high end)</t>
        </is>
      </c>
      <c r="C12" s="32" t="n">
        <v>0.2</v>
      </c>
      <c r="D12" s="32" t="n">
        <v>0.1</v>
      </c>
    </row>
    <row r="13">
      <c r="A13" s="4" t="inlineStr">
        <is>
          <t>Pre-money equity value at IPO (post-discount)</t>
        </is>
      </c>
      <c r="C13" s="29">
        <f>$E$10*(1-C12)</f>
        <v/>
      </c>
      <c r="D13" s="29">
        <f>$E$10*(1-D12)</f>
        <v/>
      </c>
      <c r="E13" s="29">
        <f>AVERAGE(C13:D13)</f>
        <v/>
      </c>
    </row>
    <row r="15">
      <c r="A15" t="inlineStr">
        <is>
          <t>Implied FY26E EV/Revenue at offer (pre-money)</t>
        </is>
      </c>
      <c r="C15" s="18">
        <f>(C13-Financials!F24)/Financials!F7</f>
        <v/>
      </c>
      <c r="D15" s="18">
        <f>(D13-Financials!F24)/Financials!F7</f>
        <v/>
      </c>
    </row>
    <row r="16">
      <c r="A16" t="inlineStr">
        <is>
          <t>Implied FY26E EV/EBITDA at offer (pre-money)</t>
        </is>
      </c>
      <c r="C16" s="18">
        <f>(C13-Financials!F24)/Financials!F12</f>
        <v/>
      </c>
      <c r="D16" s="18">
        <f>(D13-Financials!F24)/Financials!F12</f>
        <v/>
      </c>
    </row>
    <row r="18">
      <c r="A18" s="3" t="inlineStr">
        <is>
          <t>Illustrative - fictional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26" customWidth="1" min="3" max="3"/>
  </cols>
  <sheetData>
    <row r="1">
      <c r="A1" s="1" t="inlineStr">
        <is>
          <t>OFFER STRUCTURE &amp; USE OF PROCEEDS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Illustrative - fictional data. Not based on any real company.</t>
        </is>
      </c>
    </row>
    <row r="4">
      <c r="A4" s="5" t="inlineStr">
        <is>
          <t>Pre-IPO shares outstanding</t>
        </is>
      </c>
      <c r="B4" s="11" t="n">
        <v>320</v>
      </c>
      <c r="C4" s="3" t="inlineStr">
        <is>
          <t>m shares</t>
        </is>
      </c>
    </row>
    <row r="5">
      <c r="A5" s="5" t="inlineStr">
        <is>
          <t>New primary shares issued</t>
        </is>
      </c>
      <c r="B5" s="11" t="n">
        <v>51</v>
      </c>
      <c r="C5" s="3" t="inlineStr">
        <is>
          <t>m shares</t>
        </is>
      </c>
    </row>
    <row r="6">
      <c r="A6" s="5" t="inlineStr">
        <is>
          <t>Secondary (selling shareholder) shares</t>
        </is>
      </c>
      <c r="B6" s="11" t="n">
        <v>22</v>
      </c>
      <c r="C6" s="3" t="inlineStr">
        <is>
          <t>m shares</t>
        </is>
      </c>
    </row>
    <row r="7">
      <c r="A7" s="4" t="inlineStr">
        <is>
          <t>Base offering size</t>
        </is>
      </c>
      <c r="B7" s="15">
        <f>B5+B6</f>
        <v/>
      </c>
      <c r="C7" s="3" t="inlineStr">
        <is>
          <t>m shares</t>
        </is>
      </c>
    </row>
    <row r="8">
      <c r="A8" s="5" t="inlineStr">
        <is>
          <t>Primary share of offering</t>
        </is>
      </c>
      <c r="B8" s="33">
        <f>B5/B7</f>
        <v/>
      </c>
      <c r="C8" s="3" t="inlineStr">
        <is>
          <t>% of base offer</t>
        </is>
      </c>
    </row>
    <row r="9">
      <c r="A9" s="5" t="inlineStr">
        <is>
          <t>Over-allotment option (greenshoe)</t>
        </is>
      </c>
      <c r="B9" s="14">
        <f>B7*0.15</f>
        <v/>
      </c>
      <c r="C9" s="3" t="inlineStr">
        <is>
          <t>m shares (15%)</t>
        </is>
      </c>
    </row>
    <row r="10">
      <c r="A10" s="4" t="inlineStr">
        <is>
          <t>Post-IPO shares outstanding</t>
        </is>
      </c>
      <c r="B10" s="15">
        <f>B4+B5</f>
        <v/>
      </c>
      <c r="C10" s="3" t="inlineStr">
        <is>
          <t>m shares</t>
        </is>
      </c>
    </row>
    <row r="12">
      <c r="A12" s="5" t="inlineStr">
        <is>
          <t>Offer price - low</t>
        </is>
      </c>
      <c r="B12" s="34">
        <f>Football_Field!C13/B4</f>
        <v/>
      </c>
      <c r="C12" s="3" t="inlineStr">
        <is>
          <t>USD / share</t>
        </is>
      </c>
    </row>
    <row r="13">
      <c r="A13" s="5" t="inlineStr">
        <is>
          <t>Offer price - high</t>
        </is>
      </c>
      <c r="B13" s="34">
        <f>Football_Field!D13/B4</f>
        <v/>
      </c>
      <c r="C13" s="3" t="inlineStr">
        <is>
          <t>USD / share</t>
        </is>
      </c>
    </row>
    <row r="14">
      <c r="A14" s="4" t="inlineStr">
        <is>
          <t>Offer price - midpoint</t>
        </is>
      </c>
      <c r="B14" s="35">
        <f>AVERAGE(B12:B13)</f>
        <v/>
      </c>
      <c r="C14" s="3" t="inlineStr">
        <is>
          <t>USD / share</t>
        </is>
      </c>
    </row>
    <row r="16">
      <c r="A16" s="5" t="inlineStr">
        <is>
          <t>Gross proceeds - total (low)</t>
        </is>
      </c>
      <c r="B16" s="13">
        <f>B7*B12</f>
        <v/>
      </c>
      <c r="C16" s="3" t="inlineStr">
        <is>
          <t>USD m</t>
        </is>
      </c>
    </row>
    <row r="17">
      <c r="A17" s="5" t="inlineStr">
        <is>
          <t>Gross proceeds - total (high)</t>
        </is>
      </c>
      <c r="B17" s="13">
        <f>B7*B13</f>
        <v/>
      </c>
      <c r="C17" s="3" t="inlineStr">
        <is>
          <t>USD m</t>
        </is>
      </c>
    </row>
    <row r="18">
      <c r="A18" s="4" t="inlineStr">
        <is>
          <t>Primary gross proceeds (midpoint)</t>
        </is>
      </c>
      <c r="B18" s="28">
        <f>B5*B14</f>
        <v/>
      </c>
      <c r="C18" s="3" t="inlineStr">
        <is>
          <t>USD m - to the company</t>
        </is>
      </c>
    </row>
    <row r="19">
      <c r="A19" s="5" t="inlineStr">
        <is>
          <t>Secondary gross proceeds (midpoint)</t>
        </is>
      </c>
      <c r="B19" s="13">
        <f>B6*B14</f>
        <v/>
      </c>
      <c r="C19" s="3" t="inlineStr">
        <is>
          <t>USD m - to selling holders</t>
        </is>
      </c>
    </row>
    <row r="20">
      <c r="A20" s="5" t="inlineStr">
        <is>
          <t>Underwriting &amp; offering costs</t>
        </is>
      </c>
      <c r="B20" s="13">
        <f>B18*0.05</f>
        <v/>
      </c>
      <c r="C20" s="3" t="inlineStr">
        <is>
          <t>USD m (5% of primary)</t>
        </is>
      </c>
    </row>
    <row r="21">
      <c r="A21" s="4" t="inlineStr">
        <is>
          <t>Net primary proceeds (midpoint)</t>
        </is>
      </c>
      <c r="B21" s="28">
        <f>B18-B20</f>
        <v/>
      </c>
      <c r="C21" s="3" t="inlineStr">
        <is>
          <t>USD m</t>
        </is>
      </c>
    </row>
    <row r="23">
      <c r="A23" s="4" t="inlineStr">
        <is>
          <t>Post-money market cap at midpoint</t>
        </is>
      </c>
      <c r="B23" s="28">
        <f>B10*B14</f>
        <v/>
      </c>
      <c r="C23" s="3" t="inlineStr">
        <is>
          <t>USD m</t>
        </is>
      </c>
    </row>
    <row r="24">
      <c r="A24" s="5" t="inlineStr">
        <is>
          <t>Market cap at low / high</t>
        </is>
      </c>
      <c r="B24" s="13">
        <f>B10*B12</f>
        <v/>
      </c>
      <c r="C24" s="3" t="inlineStr">
        <is>
          <t>USD m (low)</t>
        </is>
      </c>
    </row>
    <row r="25">
      <c r="A25" s="5" t="inlineStr"/>
      <c r="B25" s="13">
        <f>B10*B13</f>
        <v/>
      </c>
      <c r="C25" s="3" t="inlineStr">
        <is>
          <t>USD m (high)</t>
        </is>
      </c>
    </row>
    <row r="26">
      <c r="A26" s="4" t="inlineStr">
        <is>
          <t>Free float - base offering</t>
        </is>
      </c>
      <c r="B26" s="24">
        <f>B7/B10</f>
        <v/>
      </c>
      <c r="C26" s="3" t="inlineStr">
        <is>
          <t>% of post-IPO shares</t>
        </is>
      </c>
    </row>
    <row r="27">
      <c r="A27" s="5" t="inlineStr">
        <is>
          <t>Free float - incl. greenshoe</t>
        </is>
      </c>
      <c r="B27" s="9">
        <f>(B7+B9)/B10</f>
        <v/>
      </c>
      <c r="C27" s="3" t="inlineStr">
        <is>
          <t>% of post-IPO shares</t>
        </is>
      </c>
    </row>
    <row r="29">
      <c r="A29" s="22" t="inlineStr">
        <is>
          <t>Use of primary proceeds</t>
        </is>
      </c>
    </row>
    <row r="30">
      <c r="A30" s="36" t="inlineStr">
        <is>
          <t>Category</t>
        </is>
      </c>
      <c r="B30" s="36" t="inlineStr">
        <is>
          <t>% of net proceeds</t>
        </is>
      </c>
      <c r="C30" s="36" t="inlineStr">
        <is>
          <t>USD m</t>
        </is>
      </c>
    </row>
    <row r="31">
      <c r="A31" s="5" t="inlineStr">
        <is>
          <t>Merchant acquisition &amp; POS / QR terminal rollout</t>
        </is>
      </c>
      <c r="B31" s="32" t="n">
        <v>0.35</v>
      </c>
      <c r="C31" s="14">
        <f>$B$21*B31</f>
        <v/>
      </c>
    </row>
    <row r="32">
      <c r="A32" s="5" t="inlineStr">
        <is>
          <t>Technology platform, risk &amp; fraud infrastructure</t>
        </is>
      </c>
      <c r="B32" s="32" t="n">
        <v>0.25</v>
      </c>
      <c r="C32" s="14">
        <f>$B$21*B32</f>
        <v/>
      </c>
    </row>
    <row r="33">
      <c r="A33" s="5" t="inlineStr">
        <is>
          <t>Licensing capital &amp; regulatory reserve for new products</t>
        </is>
      </c>
      <c r="B33" s="32" t="n">
        <v>0.15</v>
      </c>
      <c r="C33" s="14">
        <f>$B$21*B33</f>
        <v/>
      </c>
    </row>
    <row r="34">
      <c r="A34" s="5" t="inlineStr">
        <is>
          <t>Strategic M&amp;A and partnership investments</t>
        </is>
      </c>
      <c r="B34" s="32" t="n">
        <v>0.15</v>
      </c>
      <c r="C34" s="14">
        <f>$B$21*B34</f>
        <v/>
      </c>
    </row>
    <row r="35">
      <c r="A35" s="5" t="inlineStr">
        <is>
          <t>Working capital and general corporate purposes</t>
        </is>
      </c>
      <c r="B35" s="32" t="n">
        <v>0.1</v>
      </c>
      <c r="C35" s="14">
        <f>$B$21*B35</f>
        <v/>
      </c>
    </row>
    <row r="36">
      <c r="A36" s="4" t="inlineStr">
        <is>
          <t>Total</t>
        </is>
      </c>
      <c r="B36" s="37">
        <f>SUM(B31:B35)</f>
        <v/>
      </c>
      <c r="C36" s="15">
        <f>SUM(C31:C35)</f>
        <v/>
      </c>
    </row>
    <row r="38">
      <c r="A38" s="3" t="inlineStr">
        <is>
          <t>Illustrative - fictional data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72" customWidth="1" min="4" max="4"/>
  </cols>
  <sheetData>
    <row r="1">
      <c r="A1" s="1" t="inlineStr">
        <is>
          <t>INDICATIVE IPO EXECUTION TIMELINE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Illustrative - fictional data. Not based on any real company.</t>
        </is>
      </c>
    </row>
    <row r="4">
      <c r="A4" s="17" t="inlineStr">
        <is>
          <t>Phase</t>
        </is>
      </c>
      <c r="B4" s="17" t="inlineStr">
        <is>
          <t>Weeks from kick-off</t>
        </is>
      </c>
      <c r="C4" s="17" t="inlineStr">
        <is>
          <t>Duration (weeks)</t>
        </is>
      </c>
      <c r="D4" s="17" t="inlineStr">
        <is>
          <t>Key workstreams</t>
        </is>
      </c>
    </row>
    <row r="5" ht="42" customHeight="1">
      <c r="A5" s="4" t="inlineStr">
        <is>
          <t>1. Preparation &amp; readiness</t>
        </is>
      </c>
      <c r="B5" s="5" t="inlineStr">
        <is>
          <t>W0 - W10</t>
        </is>
      </c>
      <c r="C5" s="38" t="n">
        <v>10</v>
      </c>
      <c r="D5" s="39" t="inlineStr">
        <is>
          <t>Financial and legal due diligence, audit of 3 years, corporate restructuring, ESOP clean-up, governance and independent board build-out</t>
        </is>
      </c>
    </row>
    <row r="6" ht="42" customHeight="1">
      <c r="A6" s="4" t="inlineStr">
        <is>
          <t>2. Documentation &amp; filing</t>
        </is>
      </c>
      <c r="B6" s="5" t="inlineStr">
        <is>
          <t>W10 - W20</t>
        </is>
      </c>
      <c r="C6" s="38" t="n">
        <v>10</v>
      </c>
      <c r="D6" s="39" t="inlineStr">
        <is>
          <t>Prospectus drafting, valuation report, listing application to the exchange per prevailing listing regulations</t>
        </is>
      </c>
    </row>
    <row r="7" ht="42" customHeight="1">
      <c r="A7" s="4" t="inlineStr">
        <is>
          <t>3. Regulatory review</t>
        </is>
      </c>
      <c r="B7" s="5" t="inlineStr">
        <is>
          <t>W20 - W30</t>
        </is>
      </c>
      <c r="C7" s="38" t="n">
        <v>10</v>
      </c>
      <c r="D7" s="39" t="inlineStr">
        <is>
          <t>Responses to regulator comments, approval of the registration file, finalisation of the offering structure</t>
        </is>
      </c>
    </row>
    <row r="8" ht="42" customHeight="1">
      <c r="A8" s="4" t="inlineStr">
        <is>
          <t>4. Marketing &amp; roadshow</t>
        </is>
      </c>
      <c r="B8" s="5" t="inlineStr">
        <is>
          <t>W30 - W34</t>
        </is>
      </c>
      <c r="C8" s="38" t="n">
        <v>4</v>
      </c>
      <c r="D8" s="39" t="inlineStr">
        <is>
          <t>Analyst presentation, pre-deal investor education, management roadshow across domestic and regional accounts</t>
        </is>
      </c>
    </row>
    <row r="9" ht="42" customHeight="1">
      <c r="A9" s="4" t="inlineStr">
        <is>
          <t>5. Bookbuilding &amp; pricing</t>
        </is>
      </c>
      <c r="B9" s="5" t="inlineStr">
        <is>
          <t>W34 - W36</t>
        </is>
      </c>
      <c r="C9" s="38" t="n">
        <v>2</v>
      </c>
      <c r="D9" s="39" t="inlineStr">
        <is>
          <t>Order book build, price discovery within the range, allocation to anchor and institutional investors</t>
        </is>
      </c>
    </row>
    <row r="10" ht="42" customHeight="1">
      <c r="A10" s="4" t="inlineStr">
        <is>
          <t>6. Listing &amp; aftermarket</t>
        </is>
      </c>
      <c r="B10" s="5" t="inlineStr">
        <is>
          <t>W36 - W40</t>
        </is>
      </c>
      <c r="C10" s="38" t="n">
        <v>4</v>
      </c>
      <c r="D10" s="39" t="inlineStr">
        <is>
          <t>Settlement, listing on HOSE, stabilisation via greenshoe, index inclusion work, research coverage initiation</t>
        </is>
      </c>
    </row>
    <row r="11">
      <c r="A11" s="4" t="inlineStr">
        <is>
          <t>Total elapsed</t>
        </is>
      </c>
      <c r="C11" s="4">
        <f>SUM(C5:C10)</f>
        <v/>
      </c>
      <c r="D11" s="3" t="inlineStr">
        <is>
          <t>weeks of sequential + overlapping workstreams; target listing ~9-10 months from mandate</t>
        </is>
      </c>
    </row>
    <row r="13">
      <c r="A13" s="3" t="inlineStr">
        <is>
          <t>Illustrative - fictional data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2" customWidth="1" min="2" max="2"/>
    <col width="42" customWidth="1" min="3" max="3"/>
    <col width="16" customWidth="1" min="4" max="4"/>
  </cols>
  <sheetData>
    <row r="1">
      <c r="A1" s="1" t="inlineStr">
        <is>
          <t>SLIDE-TO-MODEL TRACE (every number used on a slide)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Illustrative - fictional data. Not based on any real company.</t>
        </is>
      </c>
    </row>
    <row r="4">
      <c r="A4" s="6" t="inlineStr">
        <is>
          <t>Slide</t>
        </is>
      </c>
      <c r="B4" s="6" t="inlineStr">
        <is>
          <t>Figure as shown on slide</t>
        </is>
      </c>
      <c r="C4" s="6" t="inlineStr">
        <is>
          <t>Source cell</t>
        </is>
      </c>
      <c r="D4" s="6" t="inlineStr">
        <is>
          <t>Live value</t>
        </is>
      </c>
    </row>
    <row r="5">
      <c r="A5" s="4" t="n">
        <v>2</v>
      </c>
      <c r="B5" s="5" t="inlineStr">
        <is>
          <t>FY25A revenue (USD m)</t>
        </is>
      </c>
      <c r="C5" s="40" t="inlineStr">
        <is>
          <t>Financials!E7</t>
        </is>
      </c>
      <c r="D5" s="41">
        <f>Financials!E7</f>
        <v/>
      </c>
    </row>
    <row r="6">
      <c r="A6" s="4" t="n">
        <v>2</v>
      </c>
      <c r="B6" s="5" t="inlineStr">
        <is>
          <t>FY25A EBITDA (USD m)</t>
        </is>
      </c>
      <c r="C6" s="40" t="inlineStr">
        <is>
          <t>Financials!E12</t>
        </is>
      </c>
      <c r="D6" s="41">
        <f>Financials!E12</f>
        <v/>
      </c>
    </row>
    <row r="7">
      <c r="A7" s="4" t="n">
        <v>2</v>
      </c>
      <c r="B7" s="5" t="inlineStr">
        <is>
          <t>Pre-money equity value low (USD m)</t>
        </is>
      </c>
      <c r="C7" s="40" t="inlineStr">
        <is>
          <t>Football_Field!C13</t>
        </is>
      </c>
      <c r="D7" s="41">
        <f>Football_Field!C13</f>
        <v/>
      </c>
    </row>
    <row r="8">
      <c r="A8" s="4" t="n">
        <v>2</v>
      </c>
      <c r="B8" s="5" t="inlineStr">
        <is>
          <t>Pre-money equity value high (USD m)</t>
        </is>
      </c>
      <c r="C8" s="40" t="inlineStr">
        <is>
          <t>Football_Field!D13</t>
        </is>
      </c>
      <c r="D8" s="41">
        <f>Football_Field!D13</f>
        <v/>
      </c>
    </row>
    <row r="9">
      <c r="A9" s="4" t="n">
        <v>2</v>
      </c>
      <c r="B9" s="5" t="inlineStr">
        <is>
          <t>Primary gross proceeds, midpoint (USD m)</t>
        </is>
      </c>
      <c r="C9" s="40" t="inlineStr">
        <is>
          <t>Offer_Structure!B18</t>
        </is>
      </c>
      <c r="D9" s="41">
        <f>Offer_Structure!B18</f>
        <v/>
      </c>
    </row>
    <row r="10">
      <c r="A10" s="4" t="n">
        <v>2</v>
      </c>
      <c r="B10" s="5" t="inlineStr">
        <is>
          <t>Free float incl. greenshoe (%)</t>
        </is>
      </c>
      <c r="C10" s="40" t="inlineStr">
        <is>
          <t>Offer_Structure!B27</t>
        </is>
      </c>
      <c r="D10" s="41">
        <f>Offer_Structure!B27</f>
        <v/>
      </c>
    </row>
    <row r="11">
      <c r="A11" s="4" t="n">
        <v>4</v>
      </c>
      <c r="B11" s="5" t="inlineStr">
        <is>
          <t>FY25A TPV (USD bn)</t>
        </is>
      </c>
      <c r="C11" s="40" t="inlineStr">
        <is>
          <t>Operating_KPI!E5</t>
        </is>
      </c>
      <c r="D11" s="41">
        <f>Operating_KPI!E5</f>
        <v/>
      </c>
    </row>
    <row r="12">
      <c r="A12" s="4" t="n">
        <v>5</v>
      </c>
      <c r="B12" s="5" t="inlineStr">
        <is>
          <t>FY23A TPV (USD bn)</t>
        </is>
      </c>
      <c r="C12" s="40" t="inlineStr">
        <is>
          <t>Operating_KPI!C5</t>
        </is>
      </c>
      <c r="D12" s="41">
        <f>Operating_KPI!C5</f>
        <v/>
      </c>
    </row>
    <row r="13">
      <c r="A13" s="4" t="n">
        <v>5</v>
      </c>
      <c r="B13" s="5" t="inlineStr">
        <is>
          <t>FY28E TPV (USD bn)</t>
        </is>
      </c>
      <c r="C13" s="40" t="inlineStr">
        <is>
          <t>Operating_KPI!H5</t>
        </is>
      </c>
      <c r="D13" s="41">
        <f>Operating_KPI!H5</f>
        <v/>
      </c>
    </row>
    <row r="14">
      <c r="A14" s="4" t="n">
        <v>5</v>
      </c>
      <c r="B14" s="5" t="inlineStr">
        <is>
          <t>FY25A MAU (m)</t>
        </is>
      </c>
      <c r="C14" s="40" t="inlineStr">
        <is>
          <t>Operating_KPI!E8</t>
        </is>
      </c>
      <c r="D14" s="41">
        <f>Operating_KPI!E8</f>
        <v/>
      </c>
    </row>
    <row r="15">
      <c r="A15" s="4" t="n">
        <v>5</v>
      </c>
      <c r="B15" s="5" t="inlineStr">
        <is>
          <t>FY28E MAU (m)</t>
        </is>
      </c>
      <c r="C15" s="40" t="inlineStr">
        <is>
          <t>Operating_KPI!H8</t>
        </is>
      </c>
      <c r="D15" s="41">
        <f>Operating_KPI!H8</f>
        <v/>
      </c>
    </row>
    <row r="16">
      <c r="A16" s="4" t="n">
        <v>5</v>
      </c>
      <c r="B16" s="5" t="inlineStr">
        <is>
          <t>FY25A merchants ('000)</t>
        </is>
      </c>
      <c r="C16" s="40" t="inlineStr">
        <is>
          <t>Operating_KPI!E9</t>
        </is>
      </c>
      <c r="D16" s="41">
        <f>Operating_KPI!E9</f>
        <v/>
      </c>
    </row>
    <row r="17">
      <c r="A17" s="4" t="n">
        <v>5</v>
      </c>
      <c r="B17" s="5" t="inlineStr">
        <is>
          <t>FY28E merchants ('000)</t>
        </is>
      </c>
      <c r="C17" s="40" t="inlineStr">
        <is>
          <t>Operating_KPI!H9</t>
        </is>
      </c>
      <c r="D17" s="41">
        <f>Operating_KPI!H9</f>
        <v/>
      </c>
    </row>
    <row r="18">
      <c r="A18" s="4" t="n">
        <v>5</v>
      </c>
      <c r="B18" s="5" t="inlineStr">
        <is>
          <t>FY25A take rate (%)</t>
        </is>
      </c>
      <c r="C18" s="40" t="inlineStr">
        <is>
          <t>Operating_KPI!E7</t>
        </is>
      </c>
      <c r="D18" s="41">
        <f>Operating_KPI!E7</f>
        <v/>
      </c>
    </row>
    <row r="19">
      <c r="A19" s="4" t="n">
        <v>5</v>
      </c>
      <c r="B19" s="5" t="inlineStr">
        <is>
          <t>FY28E take rate (%)</t>
        </is>
      </c>
      <c r="C19" s="40" t="inlineStr">
        <is>
          <t>Operating_KPI!H7</t>
        </is>
      </c>
      <c r="D19" s="41">
        <f>Operating_KPI!H7</f>
        <v/>
      </c>
    </row>
    <row r="20">
      <c r="A20" s="4" t="n">
        <v>6</v>
      </c>
      <c r="B20" s="5" t="inlineStr">
        <is>
          <t>FY23A revenue (USD m)</t>
        </is>
      </c>
      <c r="C20" s="40" t="inlineStr">
        <is>
          <t>Financials!C7</t>
        </is>
      </c>
      <c r="D20" s="41">
        <f>Financials!C7</f>
        <v/>
      </c>
    </row>
    <row r="21">
      <c r="A21" s="4" t="n">
        <v>6</v>
      </c>
      <c r="B21" s="5" t="inlineStr">
        <is>
          <t>FY28E revenue (USD m)</t>
        </is>
      </c>
      <c r="C21" s="40" t="inlineStr">
        <is>
          <t>Financials!H7</t>
        </is>
      </c>
      <c r="D21" s="41">
        <f>Financials!H7</f>
        <v/>
      </c>
    </row>
    <row r="22">
      <c r="A22" s="4" t="n">
        <v>6</v>
      </c>
      <c r="B22" s="5" t="inlineStr">
        <is>
          <t>FY25A EBITDA margin (%)</t>
        </is>
      </c>
      <c r="C22" s="40" t="inlineStr">
        <is>
          <t>Financials!E11</t>
        </is>
      </c>
      <c r="D22" s="41">
        <f>Financials!E11</f>
        <v/>
      </c>
    </row>
    <row r="23">
      <c r="A23" s="4" t="n">
        <v>6</v>
      </c>
      <c r="B23" s="5" t="inlineStr">
        <is>
          <t>FY28E EBITDA margin (%)</t>
        </is>
      </c>
      <c r="C23" s="40" t="inlineStr">
        <is>
          <t>Financials!H11</t>
        </is>
      </c>
      <c r="D23" s="41">
        <f>Financials!H11</f>
        <v/>
      </c>
    </row>
    <row r="24">
      <c r="A24" s="4" t="n">
        <v>6</v>
      </c>
      <c r="B24" s="5" t="inlineStr">
        <is>
          <t>FY28E net income (USD m)</t>
        </is>
      </c>
      <c r="C24" s="40" t="inlineStr">
        <is>
          <t>Financials!H19</t>
        </is>
      </c>
      <c r="D24" s="41">
        <f>Financials!H19</f>
        <v/>
      </c>
    </row>
    <row r="25">
      <c r="A25" s="4" t="n">
        <v>7</v>
      </c>
      <c r="B25" s="5" t="inlineStr">
        <is>
          <t>Comps EV/Rev low - high</t>
        </is>
      </c>
      <c r="C25" s="40" t="inlineStr">
        <is>
          <t>Comps!G10 / Comps!G13</t>
        </is>
      </c>
    </row>
    <row r="26">
      <c r="A26" s="4" t="n">
        <v>7</v>
      </c>
      <c r="B26" s="5" t="inlineStr">
        <is>
          <t>Comps EV/EBITDA low - high</t>
        </is>
      </c>
      <c r="C26" s="40" t="inlineStr">
        <is>
          <t>Comps!H10 / Comps!H13</t>
        </is>
      </c>
    </row>
    <row r="27">
      <c r="A27" s="4" t="n">
        <v>7</v>
      </c>
      <c r="B27" s="5" t="inlineStr">
        <is>
          <t>Precedents EV/Rev low - high</t>
        </is>
      </c>
      <c r="C27" s="40" t="inlineStr">
        <is>
          <t>Precedents!H9 / Precedents!H12</t>
        </is>
      </c>
    </row>
    <row r="28">
      <c r="A28" s="4" t="n">
        <v>7</v>
      </c>
      <c r="B28" s="5" t="inlineStr">
        <is>
          <t>DCF equity low - high (USD m)</t>
        </is>
      </c>
      <c r="C28" s="40" t="inlineStr">
        <is>
          <t>Football_Field!C8 / Football_Field!D8</t>
        </is>
      </c>
    </row>
    <row r="29">
      <c r="A29" s="4" t="n">
        <v>7</v>
      </c>
      <c r="B29" s="5" t="inlineStr">
        <is>
          <t>Concluded range (USD m)</t>
        </is>
      </c>
      <c r="C29" s="40" t="inlineStr">
        <is>
          <t>Football_Field!C10 / Football_Field!D10</t>
        </is>
      </c>
    </row>
    <row r="30">
      <c r="A30" s="4" t="n">
        <v>7</v>
      </c>
      <c r="B30" s="5" t="inlineStr">
        <is>
          <t>IPO discount range (%)</t>
        </is>
      </c>
      <c r="C30" s="40" t="inlineStr">
        <is>
          <t>Football_Field!D12 / Football_Field!C12</t>
        </is>
      </c>
    </row>
    <row r="31">
      <c r="A31" s="4" t="n">
        <v>7</v>
      </c>
      <c r="B31" s="5" t="inlineStr">
        <is>
          <t>Offer-price equity range (USD m)</t>
        </is>
      </c>
      <c r="C31" s="40" t="inlineStr">
        <is>
          <t>Football_Field!C13 / Football_Field!D13</t>
        </is>
      </c>
    </row>
    <row r="32">
      <c r="A32" s="4" t="n">
        <v>7</v>
      </c>
      <c r="B32" s="5" t="inlineStr">
        <is>
          <t>Offer price per share (USD)</t>
        </is>
      </c>
      <c r="C32" s="40" t="inlineStr">
        <is>
          <t>Offer_Structure!B12 / Offer_Structure!B13</t>
        </is>
      </c>
    </row>
    <row r="33">
      <c r="A33" s="4" t="n">
        <v>8</v>
      </c>
      <c r="B33" s="5" t="inlineStr">
        <is>
          <t>Base offering shares (m)</t>
        </is>
      </c>
      <c r="C33" s="40" t="inlineStr">
        <is>
          <t>Offer_Structure!B7</t>
        </is>
      </c>
      <c r="D33" s="41">
        <f>Offer_Structure!B7</f>
        <v/>
      </c>
    </row>
    <row r="34">
      <c r="A34" s="4" t="n">
        <v>8</v>
      </c>
      <c r="B34" s="5" t="inlineStr">
        <is>
          <t>Primary % of offering</t>
        </is>
      </c>
      <c r="C34" s="40" t="inlineStr">
        <is>
          <t>Offer_Structure!B8</t>
        </is>
      </c>
      <c r="D34" s="41">
        <f>Offer_Structure!B8</f>
        <v/>
      </c>
    </row>
    <row r="35">
      <c r="A35" s="4" t="n">
        <v>8</v>
      </c>
      <c r="B35" s="5" t="inlineStr">
        <is>
          <t>Net primary proceeds (USD m)</t>
        </is>
      </c>
      <c r="C35" s="40" t="inlineStr">
        <is>
          <t>Offer_Structure!B21</t>
        </is>
      </c>
      <c r="D35" s="41">
        <f>Offer_Structure!B21</f>
        <v/>
      </c>
    </row>
    <row r="36">
      <c r="A36" s="4" t="n">
        <v>8</v>
      </c>
      <c r="B36" s="5" t="inlineStr">
        <is>
          <t>Secondary proceeds (USD m)</t>
        </is>
      </c>
      <c r="C36" s="40" t="inlineStr">
        <is>
          <t>Offer_Structure!B19</t>
        </is>
      </c>
      <c r="D36" s="41">
        <f>Offer_Structure!B19</f>
        <v/>
      </c>
    </row>
    <row r="37">
      <c r="A37" s="4" t="n">
        <v>8</v>
      </c>
      <c r="B37" s="5" t="inlineStr">
        <is>
          <t>Post-money market cap (USD m)</t>
        </is>
      </c>
      <c r="C37" s="40" t="inlineStr">
        <is>
          <t>Offer_Structure!B23</t>
        </is>
      </c>
      <c r="D37" s="41">
        <f>Offer_Structure!B23</f>
        <v/>
      </c>
    </row>
    <row r="38">
      <c r="A38" s="4" t="n">
        <v>8</v>
      </c>
      <c r="B38" s="5" t="inlineStr">
        <is>
          <t>Free float base / incl. shoe</t>
        </is>
      </c>
      <c r="C38" s="40" t="inlineStr">
        <is>
          <t>Offer_Structure!B26 / Offer_Structure!B27</t>
        </is>
      </c>
    </row>
    <row r="39">
      <c r="A39" s="4" t="n">
        <v>8</v>
      </c>
      <c r="B39" s="5" t="inlineStr">
        <is>
          <t>Use of proceeds %</t>
        </is>
      </c>
      <c r="C39" s="40" t="inlineStr">
        <is>
          <t>Offer_Structure!B31:B35</t>
        </is>
      </c>
    </row>
    <row r="40">
      <c r="A40" s="4" t="n">
        <v>9</v>
      </c>
      <c r="B40" s="5" t="inlineStr">
        <is>
          <t>Timeline phases / weeks</t>
        </is>
      </c>
      <c r="C40" s="40" t="inlineStr">
        <is>
          <t>IPO_Timeline!A5:C10</t>
        </is>
      </c>
    </row>
    <row r="41">
      <c r="A41" s="4" t="inlineStr">
        <is>
          <t>A1</t>
        </is>
      </c>
      <c r="B41" s="5" t="inlineStr">
        <is>
          <t>Full comps table</t>
        </is>
      </c>
      <c r="C41" s="40" t="inlineStr">
        <is>
          <t>Comps!A4:I13</t>
        </is>
      </c>
    </row>
    <row r="42">
      <c r="A42" s="4" t="inlineStr">
        <is>
          <t>A2</t>
        </is>
      </c>
      <c r="B42" s="5" t="inlineStr">
        <is>
          <t>Full precedents table</t>
        </is>
      </c>
      <c r="C42" s="40" t="inlineStr">
        <is>
          <t>Precedents!A4:I12</t>
        </is>
      </c>
    </row>
    <row r="43">
      <c r="A43" s="4" t="inlineStr">
        <is>
          <t>A3</t>
        </is>
      </c>
      <c r="B43" s="5" t="inlineStr">
        <is>
          <t>DCF build &amp; WACC</t>
        </is>
      </c>
      <c r="C43" s="40" t="inlineStr">
        <is>
          <t>DCF!A4:J33</t>
        </is>
      </c>
    </row>
    <row r="44">
      <c r="A44" s="4" t="inlineStr">
        <is>
          <t>A4</t>
        </is>
      </c>
      <c r="B44" s="5" t="inlineStr">
        <is>
          <t>Sensitivity grid</t>
        </is>
      </c>
      <c r="C44" s="40" t="inlineStr">
        <is>
          <t>Sensitivity!A6:F11</t>
        </is>
      </c>
    </row>
    <row r="46">
      <c r="A46" s="3" t="inlineStr">
        <is>
          <t>Rule: no number may appear on a slide unless it is listed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2026-09-18T08:32:24Z</dcterms:created>
  <dcterms:modified xsi:type="dcterms:W3CDTF">2026-09-18T08:32:24Z</dcterms:modified>
</cp:coreProperties>
</file>