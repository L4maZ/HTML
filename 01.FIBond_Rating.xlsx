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filesrv01.msb.com.vn\06.Khoi Quan Ly Rui Ro\02.Trung Tam QLRR Thi Truong\02.Phong GSRRTT\05.Report\02.Monthly Report\06. Bond Monthly\03.FIBond_Internal rating\"/>
    </mc:Choice>
  </mc:AlternateContent>
  <xr:revisionPtr revIDLastSave="0" documentId="8_{335C63A4-75E5-4D0C-BC4C-38EC6FC474FE}" xr6:coauthVersionLast="47" xr6:coauthVersionMax="47" xr10:uidLastSave="{00000000-0000-0000-0000-000000000000}"/>
  <bookViews>
    <workbookView xWindow="-100" yWindow="-100" windowWidth="21467" windowHeight="11443" activeTab="2" xr2:uid="{88EC6283-8B4C-4312-A127-8AA62FD23C3F}"/>
  </bookViews>
  <sheets>
    <sheet name="Log" sheetId="13" r:id="rId1"/>
    <sheet name="Report" sheetId="8" r:id="rId2"/>
    <sheet name="Portfolio" sheetId="7" r:id="rId3"/>
    <sheet name="Rating" sheetId="2" r:id="rId4"/>
    <sheet name="Cpty" sheetId="3" r:id="rId5"/>
    <sheet name="Ref" sheetId="11" r:id="rId6"/>
  </sheets>
  <definedNames>
    <definedName name="_xlnm._FilterDatabase" localSheetId="3" hidden="1">Rating!#REF!</definedName>
    <definedName name="Ạ2">Portfolio!$AI$49</definedName>
    <definedName name="ExternalData_1" localSheetId="5" hidden="1">'Ref'!$J$1:$AN$3</definedName>
    <definedName name="ExternalData_2" localSheetId="2" hidden="1">Portfolio!$K$1:$Q$23</definedName>
    <definedName name="ExternalData_2" localSheetId="3" hidden="1">Rating!$Q$1:$V$200</definedName>
    <definedName name="ExternalData_3" localSheetId="2" hidden="1">Portfolio!$W$1:$AG$55</definedName>
    <definedName name="ExternalData_3" localSheetId="3" hidden="1">Rating!$A$1:$K$204</definedName>
    <definedName name="ExternalData_4" localSheetId="5" hidden="1">'Ref'!$E$1:$H$60</definedName>
    <definedName name="RPT">Report!$C$2</definedName>
    <definedName name="Yesterday">Report!$C$3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6" i="7" l="1"/>
  <c r="T19" i="7"/>
  <c r="T20" i="7" s="1"/>
  <c r="T21" i="7" s="1"/>
  <c r="T22" i="7" s="1"/>
  <c r="T23" i="7" s="1"/>
  <c r="L24" i="7"/>
  <c r="S21" i="7"/>
  <c r="S22" i="7"/>
  <c r="S23" i="7"/>
  <c r="AK47" i="7"/>
  <c r="AK48" i="7"/>
  <c r="AK49" i="7"/>
  <c r="AK50" i="7"/>
  <c r="AK51" i="7"/>
  <c r="AK52" i="7"/>
  <c r="AK53" i="7"/>
  <c r="AK54" i="7"/>
  <c r="AK55" i="7"/>
  <c r="AI49" i="7"/>
  <c r="AI50" i="7"/>
  <c r="AI51" i="7"/>
  <c r="AI52" i="7"/>
  <c r="AI53" i="7"/>
  <c r="AI54" i="7"/>
  <c r="AI55" i="7"/>
  <c r="N72" i="2" l="1"/>
  <c r="L72" i="2" s="1"/>
  <c r="N73" i="2"/>
  <c r="L73" i="2" s="1"/>
  <c r="N49" i="2"/>
  <c r="L49" i="2" s="1"/>
  <c r="N55" i="2"/>
  <c r="L55" i="2" s="1"/>
  <c r="N51" i="2"/>
  <c r="L51" i="2" s="1"/>
  <c r="N53" i="2"/>
  <c r="L53" i="2" s="1"/>
  <c r="N62" i="2"/>
  <c r="L62" i="2" s="1"/>
  <c r="N61" i="2"/>
  <c r="M61" i="2" s="1"/>
  <c r="N64" i="2"/>
  <c r="M64" i="2" s="1"/>
  <c r="N46" i="2"/>
  <c r="L46" i="2" s="1"/>
  <c r="N58" i="2"/>
  <c r="L58" i="2" s="1"/>
  <c r="N45" i="2"/>
  <c r="M45" i="2" s="1"/>
  <c r="N67" i="2"/>
  <c r="M67" i="2" s="1"/>
  <c r="N50" i="2"/>
  <c r="M50" i="2" s="1"/>
  <c r="N68" i="2"/>
  <c r="L68" i="2" s="1"/>
  <c r="N66" i="2"/>
  <c r="L66" i="2" s="1"/>
  <c r="N75" i="2"/>
  <c r="L75" i="2" s="1"/>
  <c r="N35" i="2"/>
  <c r="L35" i="2" s="1"/>
  <c r="N38" i="2"/>
  <c r="L38" i="2" s="1"/>
  <c r="N40" i="2"/>
  <c r="L40" i="2" s="1"/>
  <c r="N137" i="2"/>
  <c r="L137" i="2" s="1"/>
  <c r="N43" i="2"/>
  <c r="M43" i="2" s="1"/>
  <c r="N59" i="2"/>
  <c r="M59" i="2" s="1"/>
  <c r="N44" i="2"/>
  <c r="M44" i="2" s="1"/>
  <c r="N57" i="2"/>
  <c r="M57" i="2" s="1"/>
  <c r="N63" i="2"/>
  <c r="M63" i="2" s="1"/>
  <c r="N65" i="2"/>
  <c r="M65" i="2" s="1"/>
  <c r="N54" i="2"/>
  <c r="M54" i="2" s="1"/>
  <c r="N60" i="2"/>
  <c r="L60" i="2" s="1"/>
  <c r="N42" i="2"/>
  <c r="L42" i="2" s="1"/>
  <c r="N48" i="2"/>
  <c r="L48" i="2" s="1"/>
  <c r="N70" i="2"/>
  <c r="L70" i="2" s="1"/>
  <c r="N52" i="2"/>
  <c r="L52" i="2" s="1"/>
  <c r="N56" i="2"/>
  <c r="L56" i="2" s="1"/>
  <c r="N69" i="2"/>
  <c r="L69" i="2" s="1"/>
  <c r="N136" i="2"/>
  <c r="M136" i="2" s="1"/>
  <c r="N14" i="2"/>
  <c r="M14" i="2" s="1"/>
  <c r="N18" i="2"/>
  <c r="M18" i="2" s="1"/>
  <c r="N183" i="2"/>
  <c r="M183" i="2" s="1"/>
  <c r="N140" i="2"/>
  <c r="M140" i="2" s="1"/>
  <c r="N12" i="2"/>
  <c r="M12" i="2" s="1"/>
  <c r="N127" i="2"/>
  <c r="M127" i="2" s="1"/>
  <c r="N8" i="2"/>
  <c r="L8" i="2" s="1"/>
  <c r="N20" i="2"/>
  <c r="L20" i="2" s="1"/>
  <c r="N16" i="2"/>
  <c r="L16" i="2" s="1"/>
  <c r="N19" i="2"/>
  <c r="L19" i="2" s="1"/>
  <c r="N147" i="2"/>
  <c r="L147" i="2" s="1"/>
  <c r="N125" i="2"/>
  <c r="L125" i="2" s="1"/>
  <c r="N124" i="2"/>
  <c r="L124" i="2" s="1"/>
  <c r="N123" i="2"/>
  <c r="M123" i="2" s="1"/>
  <c r="N122" i="2"/>
  <c r="M122" i="2" s="1"/>
  <c r="N121" i="2"/>
  <c r="M121" i="2" s="1"/>
  <c r="N126" i="2"/>
  <c r="L126" i="2" s="1"/>
  <c r="N110" i="2"/>
  <c r="M110" i="2" s="1"/>
  <c r="N119" i="2"/>
  <c r="M119" i="2" s="1"/>
  <c r="N117" i="2"/>
  <c r="M117" i="2" s="1"/>
  <c r="N118" i="2"/>
  <c r="L118" i="2" s="1"/>
  <c r="N15" i="2"/>
  <c r="L15" i="2" s="1"/>
  <c r="N178" i="2"/>
  <c r="L178" i="2" s="1"/>
  <c r="N179" i="2"/>
  <c r="L179" i="2" s="1"/>
  <c r="N120" i="2"/>
  <c r="L120" i="2" s="1"/>
  <c r="N105" i="2"/>
  <c r="L105" i="2" s="1"/>
  <c r="N163" i="2"/>
  <c r="L163" i="2" s="1"/>
  <c r="N152" i="2"/>
  <c r="M152" i="2" s="1"/>
  <c r="N165" i="2"/>
  <c r="M165" i="2" s="1"/>
  <c r="N113" i="2"/>
  <c r="M113" i="2" s="1"/>
  <c r="N162" i="2"/>
  <c r="M162" i="2" s="1"/>
  <c r="N156" i="2"/>
  <c r="M156" i="2" s="1"/>
  <c r="N149" i="2"/>
  <c r="M149" i="2" s="1"/>
  <c r="N158" i="2"/>
  <c r="M158" i="2" s="1"/>
  <c r="N116" i="2"/>
  <c r="L116" i="2" s="1"/>
  <c r="N150" i="2"/>
  <c r="L150" i="2" s="1"/>
  <c r="N155" i="2"/>
  <c r="L155" i="2" s="1"/>
  <c r="N154" i="2"/>
  <c r="L154" i="2" s="1"/>
  <c r="N106" i="2"/>
  <c r="L106" i="2" s="1"/>
  <c r="N104" i="2"/>
  <c r="L104" i="2" s="1"/>
  <c r="N144" i="2"/>
  <c r="L144" i="2" s="1"/>
  <c r="N107" i="2"/>
  <c r="M107" i="2" s="1"/>
  <c r="N146" i="2"/>
  <c r="M146" i="2" s="1"/>
  <c r="N142" i="2"/>
  <c r="M142" i="2" s="1"/>
  <c r="N103" i="2"/>
  <c r="M103" i="2" s="1"/>
  <c r="N139" i="2"/>
  <c r="M139" i="2" s="1"/>
  <c r="N108" i="2"/>
  <c r="M108" i="2" s="1"/>
  <c r="N138" i="2"/>
  <c r="M138" i="2" s="1"/>
  <c r="N145" i="2"/>
  <c r="L145" i="2" s="1"/>
  <c r="N141" i="2"/>
  <c r="L141" i="2" s="1"/>
  <c r="N36" i="2"/>
  <c r="L36" i="2" s="1"/>
  <c r="N32" i="2"/>
  <c r="L32" i="2" s="1"/>
  <c r="N39" i="2"/>
  <c r="L39" i="2" s="1"/>
  <c r="N29" i="2"/>
  <c r="L29" i="2" s="1"/>
  <c r="N34" i="2"/>
  <c r="L34" i="2" s="1"/>
  <c r="N31" i="2"/>
  <c r="M31" i="2" s="1"/>
  <c r="N37" i="2"/>
  <c r="M37" i="2" s="1"/>
  <c r="N11" i="2"/>
  <c r="L11" i="2" s="1"/>
  <c r="N98" i="2"/>
  <c r="L98" i="2" s="1"/>
  <c r="N190" i="2"/>
  <c r="M190" i="2" s="1"/>
  <c r="N102" i="2"/>
  <c r="M102" i="2" s="1"/>
  <c r="N188" i="2"/>
  <c r="M188" i="2" s="1"/>
  <c r="N186" i="2"/>
  <c r="L186" i="2" s="1"/>
  <c r="N184" i="2"/>
  <c r="L184" i="2" s="1"/>
  <c r="N99" i="2"/>
  <c r="L99" i="2" s="1"/>
  <c r="N100" i="2"/>
  <c r="L100" i="2" s="1"/>
  <c r="N94" i="2"/>
  <c r="L94" i="2" s="1"/>
  <c r="N92" i="2"/>
  <c r="L92" i="2" s="1"/>
  <c r="N91" i="2"/>
  <c r="L91" i="2" s="1"/>
  <c r="N89" i="2"/>
  <c r="M89" i="2" s="1"/>
  <c r="N84" i="2"/>
  <c r="M84" i="2" s="1"/>
  <c r="N80" i="2"/>
  <c r="M80" i="2" s="1"/>
  <c r="N199" i="2"/>
  <c r="M199" i="2" s="1"/>
  <c r="N193" i="2"/>
  <c r="M193" i="2" s="1"/>
  <c r="N23" i="2"/>
  <c r="M23" i="2" s="1"/>
  <c r="N22" i="2"/>
  <c r="M22" i="2" s="1"/>
  <c r="N4" i="2"/>
  <c r="L4" i="2" s="1"/>
  <c r="N5" i="2"/>
  <c r="L5" i="2" s="1"/>
  <c r="N83" i="2"/>
  <c r="L83" i="2" s="1"/>
  <c r="N21" i="2"/>
  <c r="L21" i="2" s="1"/>
  <c r="N3" i="2"/>
  <c r="L3" i="2" s="1"/>
  <c r="N86" i="2"/>
  <c r="L86" i="2" s="1"/>
  <c r="N93" i="2"/>
  <c r="L93" i="2" s="1"/>
  <c r="N185" i="2"/>
  <c r="M185" i="2" s="1"/>
  <c r="N97" i="2"/>
  <c r="M97" i="2" s="1"/>
  <c r="N76" i="2"/>
  <c r="M76" i="2" s="1"/>
  <c r="N41" i="2"/>
  <c r="M41" i="2" s="1"/>
  <c r="N74" i="2"/>
  <c r="M74" i="2" s="1"/>
  <c r="N197" i="2"/>
  <c r="M197" i="2" s="1"/>
  <c r="N95" i="2"/>
  <c r="M95" i="2" s="1"/>
  <c r="N25" i="2"/>
  <c r="L25" i="2" s="1"/>
  <c r="N79" i="2"/>
  <c r="L79" i="2" s="1"/>
  <c r="N17" i="2"/>
  <c r="L17" i="2" s="1"/>
  <c r="N13" i="2"/>
  <c r="L13" i="2" s="1"/>
  <c r="N33" i="2"/>
  <c r="L33" i="2" s="1"/>
  <c r="N128" i="2"/>
  <c r="L128" i="2" s="1"/>
  <c r="N133" i="2"/>
  <c r="L133" i="2" s="1"/>
  <c r="N135" i="2"/>
  <c r="M135" i="2" s="1"/>
  <c r="N151" i="2"/>
  <c r="L151" i="2" s="1"/>
  <c r="N47" i="2"/>
  <c r="M47" i="2" s="1"/>
  <c r="N148" i="2"/>
  <c r="L148" i="2" s="1"/>
  <c r="N161" i="2"/>
  <c r="M161" i="2" s="1"/>
  <c r="N27" i="2"/>
  <c r="M27" i="2" s="1"/>
  <c r="N196" i="2"/>
  <c r="M196" i="2" s="1"/>
  <c r="N195" i="2"/>
  <c r="L195" i="2" s="1"/>
  <c r="N189" i="2"/>
  <c r="L189" i="2" s="1"/>
  <c r="N134" i="2"/>
  <c r="L134" i="2" s="1"/>
  <c r="N187" i="2"/>
  <c r="L187" i="2" s="1"/>
  <c r="N200" i="2"/>
  <c r="L200" i="2" s="1"/>
  <c r="N10" i="2"/>
  <c r="L10" i="2" s="1"/>
  <c r="N87" i="2"/>
  <c r="L87" i="2" s="1"/>
  <c r="N191" i="2"/>
  <c r="M191" i="2" s="1"/>
  <c r="N130" i="2"/>
  <c r="M130" i="2" s="1"/>
  <c r="N24" i="2"/>
  <c r="M24" i="2" s="1"/>
  <c r="N82" i="2"/>
  <c r="M82" i="2" s="1"/>
  <c r="N28" i="2"/>
  <c r="M28" i="2" s="1"/>
  <c r="N2" i="2"/>
  <c r="M2" i="2" s="1"/>
  <c r="N132" i="2"/>
  <c r="M132" i="2" s="1"/>
  <c r="N131" i="2"/>
  <c r="L131" i="2" s="1"/>
  <c r="N177" i="2"/>
  <c r="L177" i="2" s="1"/>
  <c r="N30" i="2"/>
  <c r="L30" i="2" s="1"/>
  <c r="N71" i="2"/>
  <c r="L71" i="2" s="1"/>
  <c r="N81" i="2"/>
  <c r="L81" i="2" s="1"/>
  <c r="N157" i="2"/>
  <c r="L157" i="2" s="1"/>
  <c r="N180" i="2"/>
  <c r="L180" i="2" s="1"/>
  <c r="N153" i="2"/>
  <c r="M153" i="2" s="1"/>
  <c r="N101" i="2"/>
  <c r="M101" i="2" s="1"/>
  <c r="N114" i="2"/>
  <c r="M114" i="2" s="1"/>
  <c r="N192" i="2"/>
  <c r="M192" i="2" s="1"/>
  <c r="N143" i="2"/>
  <c r="M143" i="2" s="1"/>
  <c r="N160" i="2"/>
  <c r="M160" i="2" s="1"/>
  <c r="N88" i="2"/>
  <c r="M88" i="2" s="1"/>
  <c r="N96" i="2"/>
  <c r="L96" i="2" s="1"/>
  <c r="N90" i="2"/>
  <c r="L90" i="2" s="1"/>
  <c r="N198" i="2"/>
  <c r="L198" i="2" s="1"/>
  <c r="N111" i="2"/>
  <c r="L111" i="2" s="1"/>
  <c r="N164" i="2"/>
  <c r="L164" i="2" s="1"/>
  <c r="N77" i="2"/>
  <c r="L77" i="2" s="1"/>
  <c r="N129" i="2"/>
  <c r="L129" i="2" s="1"/>
  <c r="N9" i="2"/>
  <c r="M9" i="2" s="1"/>
  <c r="N112" i="2"/>
  <c r="M112" i="2" s="1"/>
  <c r="N159" i="2"/>
  <c r="M159" i="2" s="1"/>
  <c r="N115" i="2"/>
  <c r="M115" i="2" s="1"/>
  <c r="N176" i="2"/>
  <c r="M176" i="2" s="1"/>
  <c r="N170" i="2"/>
  <c r="M170" i="2" s="1"/>
  <c r="N175" i="2"/>
  <c r="M175" i="2" s="1"/>
  <c r="N174" i="2"/>
  <c r="L174" i="2" s="1"/>
  <c r="N167" i="2"/>
  <c r="L167" i="2" s="1"/>
  <c r="N78" i="2"/>
  <c r="L78" i="2" s="1"/>
  <c r="N169" i="2"/>
  <c r="L169" i="2" s="1"/>
  <c r="N194" i="2"/>
  <c r="L194" i="2" s="1"/>
  <c r="N182" i="2"/>
  <c r="L182" i="2" s="1"/>
  <c r="N181" i="2"/>
  <c r="L181" i="2" s="1"/>
  <c r="N172" i="2"/>
  <c r="M172" i="2" s="1"/>
  <c r="N171" i="2"/>
  <c r="M171" i="2" s="1"/>
  <c r="N7" i="2"/>
  <c r="M7" i="2" s="1"/>
  <c r="N6" i="2"/>
  <c r="L6" i="2" s="1"/>
  <c r="N168" i="2"/>
  <c r="M168" i="2" s="1"/>
  <c r="N173" i="2"/>
  <c r="M173" i="2" s="1"/>
  <c r="N166" i="2"/>
  <c r="M166" i="2" s="1"/>
  <c r="N109" i="2"/>
  <c r="L109" i="2" s="1"/>
  <c r="N85" i="2"/>
  <c r="L85" i="2" s="1"/>
  <c r="N202" i="2"/>
  <c r="L202" i="2" s="1"/>
  <c r="N203" i="2"/>
  <c r="L203" i="2" s="1"/>
  <c r="N204" i="2"/>
  <c r="L204" i="2" s="1"/>
  <c r="M169" i="2" l="1"/>
  <c r="M174" i="2"/>
  <c r="M189" i="2"/>
  <c r="M17" i="2"/>
  <c r="M32" i="2"/>
  <c r="M145" i="2"/>
  <c r="M20" i="2"/>
  <c r="M48" i="2"/>
  <c r="M78" i="2"/>
  <c r="M195" i="2"/>
  <c r="M36" i="2"/>
  <c r="M8" i="2"/>
  <c r="M167" i="2"/>
  <c r="M13" i="2"/>
  <c r="M141" i="2"/>
  <c r="M70" i="2"/>
  <c r="M111" i="2"/>
  <c r="M79" i="2"/>
  <c r="M154" i="2"/>
  <c r="M42" i="2"/>
  <c r="M198" i="2"/>
  <c r="M25" i="2"/>
  <c r="M155" i="2"/>
  <c r="M60" i="2"/>
  <c r="M90" i="2"/>
  <c r="M21" i="2"/>
  <c r="M150" i="2"/>
  <c r="M35" i="2"/>
  <c r="M96" i="2"/>
  <c r="M83" i="2"/>
  <c r="M116" i="2"/>
  <c r="M75" i="2"/>
  <c r="M71" i="2"/>
  <c r="M5" i="2"/>
  <c r="M179" i="2"/>
  <c r="M66" i="2"/>
  <c r="M30" i="2"/>
  <c r="M4" i="2"/>
  <c r="M178" i="2"/>
  <c r="M68" i="2"/>
  <c r="M201" i="2"/>
  <c r="M177" i="2"/>
  <c r="M100" i="2"/>
  <c r="M15" i="2"/>
  <c r="M55" i="2"/>
  <c r="M26" i="2"/>
  <c r="M131" i="2"/>
  <c r="M99" i="2"/>
  <c r="M118" i="2"/>
  <c r="M49" i="2"/>
  <c r="M85" i="2"/>
  <c r="M187" i="2"/>
  <c r="M184" i="2"/>
  <c r="M19" i="2"/>
  <c r="M73" i="2"/>
  <c r="M109" i="2"/>
  <c r="M134" i="2"/>
  <c r="M186" i="2"/>
  <c r="M16" i="2"/>
  <c r="M72" i="2"/>
  <c r="L82" i="2"/>
  <c r="L76" i="2"/>
  <c r="L18" i="2"/>
  <c r="L112" i="2"/>
  <c r="L165" i="2"/>
  <c r="M204" i="2"/>
  <c r="M181" i="2"/>
  <c r="M129" i="2"/>
  <c r="M180" i="2"/>
  <c r="M87" i="2"/>
  <c r="M133" i="2"/>
  <c r="M93" i="2"/>
  <c r="M91" i="2"/>
  <c r="M34" i="2"/>
  <c r="M144" i="2"/>
  <c r="M163" i="2"/>
  <c r="M124" i="2"/>
  <c r="M69" i="2"/>
  <c r="M137" i="2"/>
  <c r="M62" i="2"/>
  <c r="L166" i="2"/>
  <c r="L175" i="2"/>
  <c r="L88" i="2"/>
  <c r="L132" i="2"/>
  <c r="L196" i="2"/>
  <c r="L95" i="2"/>
  <c r="L22" i="2"/>
  <c r="L188" i="2"/>
  <c r="L138" i="2"/>
  <c r="L158" i="2"/>
  <c r="L117" i="2"/>
  <c r="L127" i="2"/>
  <c r="L54" i="2"/>
  <c r="L50" i="2"/>
  <c r="L41" i="2"/>
  <c r="L183" i="2"/>
  <c r="L114" i="2"/>
  <c r="L171" i="2"/>
  <c r="M203" i="2"/>
  <c r="M182" i="2"/>
  <c r="M77" i="2"/>
  <c r="M157" i="2"/>
  <c r="M10" i="2"/>
  <c r="M128" i="2"/>
  <c r="M86" i="2"/>
  <c r="M92" i="2"/>
  <c r="M29" i="2"/>
  <c r="M104" i="2"/>
  <c r="M105" i="2"/>
  <c r="M125" i="2"/>
  <c r="M56" i="2"/>
  <c r="M40" i="2"/>
  <c r="M53" i="2"/>
  <c r="L173" i="2"/>
  <c r="L170" i="2"/>
  <c r="L160" i="2"/>
  <c r="L2" i="2"/>
  <c r="L27" i="2"/>
  <c r="L197" i="2"/>
  <c r="L23" i="2"/>
  <c r="L102" i="2"/>
  <c r="L108" i="2"/>
  <c r="L149" i="2"/>
  <c r="L119" i="2"/>
  <c r="L12" i="2"/>
  <c r="L65" i="2"/>
  <c r="L67" i="2"/>
  <c r="L199" i="2"/>
  <c r="L80" i="2"/>
  <c r="L44" i="2"/>
  <c r="L146" i="2"/>
  <c r="M202" i="2"/>
  <c r="M194" i="2"/>
  <c r="M164" i="2"/>
  <c r="M81" i="2"/>
  <c r="M200" i="2"/>
  <c r="M33" i="2"/>
  <c r="M3" i="2"/>
  <c r="M94" i="2"/>
  <c r="M39" i="2"/>
  <c r="M106" i="2"/>
  <c r="M120" i="2"/>
  <c r="M147" i="2"/>
  <c r="M52" i="2"/>
  <c r="M38" i="2"/>
  <c r="M51" i="2"/>
  <c r="L168" i="2"/>
  <c r="L176" i="2"/>
  <c r="L143" i="2"/>
  <c r="L28" i="2"/>
  <c r="L161" i="2"/>
  <c r="L74" i="2"/>
  <c r="L193" i="2"/>
  <c r="L190" i="2"/>
  <c r="L139" i="2"/>
  <c r="L156" i="2"/>
  <c r="L110" i="2"/>
  <c r="L140" i="2"/>
  <c r="L63" i="2"/>
  <c r="L45" i="2"/>
  <c r="L103" i="2"/>
  <c r="L57" i="2"/>
  <c r="L24" i="2"/>
  <c r="L121" i="2"/>
  <c r="L37" i="2"/>
  <c r="L59" i="2"/>
  <c r="L135" i="2"/>
  <c r="L152" i="2"/>
  <c r="L115" i="2"/>
  <c r="L142" i="2"/>
  <c r="L97" i="2"/>
  <c r="L14" i="2"/>
  <c r="L64" i="2"/>
  <c r="L9" i="2"/>
  <c r="L89" i="2"/>
  <c r="L123" i="2"/>
  <c r="L43" i="2"/>
  <c r="L61" i="2"/>
  <c r="L7" i="2"/>
  <c r="L84" i="2"/>
  <c r="L172" i="2"/>
  <c r="L185" i="2"/>
  <c r="L192" i="2"/>
  <c r="L162" i="2"/>
  <c r="L47" i="2"/>
  <c r="L130" i="2"/>
  <c r="L122" i="2"/>
  <c r="L191" i="2"/>
  <c r="L107" i="2"/>
  <c r="L136" i="2"/>
  <c r="M6" i="2"/>
  <c r="M148" i="2"/>
  <c r="M98" i="2"/>
  <c r="M126" i="2"/>
  <c r="M58" i="2"/>
  <c r="L159" i="2"/>
  <c r="L113" i="2"/>
  <c r="L153" i="2"/>
  <c r="L31" i="2"/>
  <c r="M11" i="2"/>
  <c r="M46" i="2"/>
  <c r="L101" i="2"/>
  <c r="M151" i="2"/>
  <c r="E10" i="7"/>
  <c r="H10" i="7"/>
  <c r="D9" i="7" l="1"/>
  <c r="AI46" i="7"/>
  <c r="AK46" i="7"/>
  <c r="AI47" i="7"/>
  <c r="AI48" i="7"/>
  <c r="C11" i="8" l="1"/>
  <c r="G2" i="11" l="1"/>
  <c r="B22" i="7" l="1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" i="7"/>
  <c r="G9" i="7" l="1"/>
  <c r="C5" i="8" l="1"/>
  <c r="C7" i="8"/>
  <c r="H3" i="8" l="1" a="1"/>
  <c r="H25" i="8" a="1"/>
  <c r="C16" i="7"/>
  <c r="C17" i="7"/>
  <c r="C18" i="7"/>
  <c r="C19" i="7"/>
  <c r="C20" i="7"/>
  <c r="C21" i="7"/>
  <c r="C22" i="7"/>
  <c r="C23" i="7"/>
  <c r="C15" i="7"/>
  <c r="B16" i="7"/>
  <c r="B17" i="7"/>
  <c r="B18" i="7"/>
  <c r="B19" i="7"/>
  <c r="B20" i="7"/>
  <c r="B21" i="7"/>
  <c r="B23" i="7"/>
  <c r="B15" i="7"/>
  <c r="AH2" i="7"/>
  <c r="AH3" i="7" s="1"/>
  <c r="AH4" i="7" s="1"/>
  <c r="AH5" i="7" s="1"/>
  <c r="AH6" i="7" s="1"/>
  <c r="AH7" i="7" s="1"/>
  <c r="AH8" i="7" s="1"/>
  <c r="AH9" i="7" s="1"/>
  <c r="AH10" i="7" s="1"/>
  <c r="AH11" i="7" s="1"/>
  <c r="AH12" i="7" s="1"/>
  <c r="AH13" i="7" s="1"/>
  <c r="AH14" i="7" s="1"/>
  <c r="AH15" i="7" s="1"/>
  <c r="AH16" i="7" s="1"/>
  <c r="AH17" i="7" s="1"/>
  <c r="AH18" i="7" s="1"/>
  <c r="AH19" i="7" s="1"/>
  <c r="AH20" i="7" s="1"/>
  <c r="AH21" i="7" s="1"/>
  <c r="AH22" i="7" s="1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I2" i="7"/>
  <c r="AI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56" i="7" l="1"/>
  <c r="P27" i="8"/>
  <c r="M29" i="8"/>
  <c r="L27" i="8"/>
  <c r="L28" i="8"/>
  <c r="L29" i="8"/>
  <c r="Q29" i="8"/>
  <c r="O28" i="8"/>
  <c r="N28" i="8"/>
  <c r="M27" i="8"/>
  <c r="Q27" i="8"/>
  <c r="P28" i="8"/>
  <c r="Q28" i="8"/>
  <c r="P29" i="8"/>
  <c r="M28" i="8"/>
  <c r="O27" i="8"/>
  <c r="O29" i="8"/>
  <c r="N27" i="8"/>
  <c r="N29" i="8"/>
  <c r="F3" i="7"/>
  <c r="F4" i="7" s="1"/>
  <c r="F5" i="7" s="1"/>
  <c r="H25" i="8"/>
  <c r="O26" i="8"/>
  <c r="L26" i="8"/>
  <c r="P26" i="8"/>
  <c r="I26" i="8"/>
  <c r="J26" i="8"/>
  <c r="K26" i="8"/>
  <c r="Q26" i="8"/>
  <c r="N26" i="8"/>
  <c r="M26" i="8"/>
  <c r="G26" i="8"/>
  <c r="H3" i="8"/>
  <c r="J3" i="8"/>
  <c r="H11" i="8" a="1"/>
  <c r="J4" i="8"/>
  <c r="K4" i="8"/>
  <c r="I4" i="8"/>
  <c r="G4" i="8"/>
  <c r="D3" i="7"/>
  <c r="F6" i="7" l="1"/>
  <c r="F7" i="7" s="1"/>
  <c r="F10" i="7"/>
  <c r="AJ2" i="7"/>
  <c r="AJ3" i="7" s="1"/>
  <c r="AJ4" i="7" s="1"/>
  <c r="AJ5" i="7" s="1"/>
  <c r="AJ6" i="7" s="1"/>
  <c r="AJ7" i="7" s="1"/>
  <c r="AJ8" i="7" s="1"/>
  <c r="AJ9" i="7" s="1"/>
  <c r="AJ10" i="7" s="1"/>
  <c r="AJ11" i="7" s="1"/>
  <c r="AJ12" i="7" s="1"/>
  <c r="AJ13" i="7" s="1"/>
  <c r="AJ14" i="7" s="1"/>
  <c r="AJ15" i="7" s="1"/>
  <c r="AJ16" i="7" s="1"/>
  <c r="AJ17" i="7" s="1"/>
  <c r="AJ18" i="7" s="1"/>
  <c r="AJ19" i="7" s="1"/>
  <c r="AJ20" i="7" s="1"/>
  <c r="AJ21" i="7" s="1"/>
  <c r="AJ22" i="7" s="1"/>
  <c r="AJ23" i="7" s="1"/>
  <c r="AJ24" i="7" s="1"/>
  <c r="AJ25" i="7" s="1"/>
  <c r="AJ26" i="7" s="1"/>
  <c r="AJ27" i="7" s="1"/>
  <c r="AJ28" i="7" s="1"/>
  <c r="AJ29" i="7" s="1"/>
  <c r="AJ30" i="7" s="1"/>
  <c r="AJ31" i="7" s="1"/>
  <c r="AJ32" i="7" s="1"/>
  <c r="AJ33" i="7" s="1"/>
  <c r="AJ34" i="7" s="1"/>
  <c r="AJ35" i="7" s="1"/>
  <c r="AJ36" i="7" s="1"/>
  <c r="AJ37" i="7" s="1"/>
  <c r="AJ38" i="7" s="1"/>
  <c r="AJ39" i="7" s="1"/>
  <c r="AJ40" i="7" s="1"/>
  <c r="AJ41" i="7" s="1"/>
  <c r="AJ42" i="7" s="1"/>
  <c r="AJ43" i="7" s="1"/>
  <c r="AJ44" i="7" s="1"/>
  <c r="AJ45" i="7" s="1"/>
  <c r="AJ46" i="7" s="1"/>
  <c r="AJ47" i="7" s="1"/>
  <c r="AJ48" i="7" s="1"/>
  <c r="AJ49" i="7" s="1"/>
  <c r="AJ50" i="7" s="1"/>
  <c r="AJ51" i="7" s="1"/>
  <c r="AJ52" i="7" s="1"/>
  <c r="AJ53" i="7" s="1"/>
  <c r="AJ54" i="7" s="1"/>
  <c r="AJ55" i="7" s="1"/>
  <c r="H11" i="8"/>
  <c r="K14" i="8"/>
  <c r="I16" i="8"/>
  <c r="K15" i="8"/>
  <c r="G12" i="8"/>
  <c r="J13" i="8"/>
  <c r="G15" i="8"/>
  <c r="J15" i="8"/>
  <c r="K16" i="8"/>
  <c r="G13" i="8"/>
  <c r="J12" i="8"/>
  <c r="G14" i="8"/>
  <c r="I12" i="8"/>
  <c r="K12" i="8"/>
  <c r="I14" i="8"/>
  <c r="J16" i="8"/>
  <c r="I13" i="8"/>
  <c r="K13" i="8"/>
  <c r="I15" i="8"/>
  <c r="J14" i="8"/>
  <c r="G16" i="8"/>
  <c r="G3" i="8"/>
  <c r="I3" i="8"/>
  <c r="G25" i="8"/>
  <c r="N25" i="8"/>
  <c r="L25" i="8"/>
  <c r="I25" i="8"/>
  <c r="P25" i="8"/>
  <c r="Q25" i="8"/>
  <c r="O25" i="8"/>
  <c r="M25" i="8"/>
  <c r="J25" i="8"/>
  <c r="D4" i="7"/>
  <c r="D5" i="7"/>
  <c r="D6" i="7"/>
  <c r="D7" i="7"/>
  <c r="D8" i="7"/>
  <c r="AK45" i="7"/>
  <c r="AK44" i="7"/>
  <c r="AK43" i="7"/>
  <c r="AK42" i="7"/>
  <c r="AK41" i="7"/>
  <c r="AK40" i="7"/>
  <c r="AK39" i="7"/>
  <c r="AK38" i="7"/>
  <c r="AK37" i="7"/>
  <c r="AK36" i="7"/>
  <c r="AK35" i="7"/>
  <c r="AK34" i="7"/>
  <c r="AK33" i="7"/>
  <c r="AK32" i="7"/>
  <c r="AK31" i="7"/>
  <c r="AK30" i="7"/>
  <c r="AK29" i="7"/>
  <c r="AK28" i="7"/>
  <c r="AK27" i="7"/>
  <c r="AK26" i="7"/>
  <c r="AK25" i="7"/>
  <c r="AK24" i="7"/>
  <c r="AK23" i="7"/>
  <c r="AK22" i="7"/>
  <c r="AK21" i="7"/>
  <c r="AK20" i="7"/>
  <c r="AK19" i="7"/>
  <c r="AK18" i="7"/>
  <c r="AK17" i="7"/>
  <c r="AK16" i="7"/>
  <c r="AK15" i="7"/>
  <c r="AK14" i="7"/>
  <c r="AK13" i="7"/>
  <c r="AK12" i="7"/>
  <c r="AK11" i="7"/>
  <c r="AK10" i="7"/>
  <c r="AK9" i="7"/>
  <c r="AK8" i="7"/>
  <c r="AK7" i="7"/>
  <c r="AK6" i="7"/>
  <c r="AK5" i="7"/>
  <c r="AK4" i="7"/>
  <c r="AK3" i="7"/>
  <c r="AK2" i="7"/>
  <c r="D10" i="7" l="1"/>
  <c r="G11" i="8"/>
  <c r="I11" i="8"/>
  <c r="K11" i="8"/>
  <c r="J11" i="8"/>
  <c r="C24" i="7"/>
  <c r="B24" i="7" l="1"/>
  <c r="C10" i="8" s="1"/>
  <c r="C4" i="8" l="1"/>
  <c r="C6" i="8" l="1"/>
  <c r="C3" i="8"/>
  <c r="C9" i="8" l="1"/>
  <c r="C8" i="8"/>
  <c r="G5" i="7" l="1"/>
  <c r="G6" i="7"/>
  <c r="G7" i="7"/>
  <c r="G8" i="7"/>
  <c r="G3" i="7"/>
  <c r="G4" i="7"/>
  <c r="T2" i="7"/>
  <c r="R2" i="7"/>
  <c r="R3" i="7" s="1"/>
  <c r="R4" i="7" s="1"/>
  <c r="R5" i="7" s="1"/>
  <c r="R6" i="7" s="1"/>
  <c r="R7" i="7" s="1"/>
  <c r="R8" i="7" s="1"/>
  <c r="R9" i="7" s="1"/>
  <c r="R10" i="7" s="1"/>
  <c r="R11" i="7" s="1"/>
  <c r="R12" i="7" s="1"/>
  <c r="G10" i="7" l="1"/>
  <c r="T3" i="7"/>
  <c r="R13" i="7"/>
  <c r="T4" i="7" l="1"/>
  <c r="R14" i="7"/>
  <c r="T5" i="7" l="1"/>
  <c r="R15" i="7"/>
  <c r="R16" i="7" s="1"/>
  <c r="R17" i="7" s="1"/>
  <c r="R18" i="7" s="1"/>
  <c r="R19" i="7" s="1"/>
  <c r="R20" i="7" s="1"/>
  <c r="R21" i="7" s="1"/>
  <c r="R22" i="7" s="1"/>
  <c r="R23" i="7" s="1"/>
  <c r="T6" i="7" l="1"/>
  <c r="J3" i="7"/>
  <c r="T7" i="7" l="1"/>
  <c r="T8" i="7" s="1"/>
  <c r="T9" i="7" s="1"/>
  <c r="T10" i="7" s="1"/>
  <c r="E3" i="7"/>
  <c r="H3" i="7"/>
  <c r="T11" i="7" l="1"/>
  <c r="T12" i="7" s="1"/>
  <c r="T13" i="7" s="1"/>
  <c r="T14" i="7" l="1"/>
  <c r="T15" i="7" l="1"/>
  <c r="T16" i="7" s="1"/>
  <c r="T17" i="7" l="1"/>
  <c r="E4" i="7" l="1"/>
  <c r="T18" i="7"/>
  <c r="E7" i="7" l="1"/>
  <c r="H4" i="7"/>
  <c r="H7" i="7"/>
  <c r="H5" i="7" l="1"/>
  <c r="E5" i="7" l="1"/>
  <c r="E6" i="7"/>
  <c r="H6" i="7"/>
  <c r="J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97629-4E38-4236-8287-8DD6CC87BC78}" keepAlive="1" name="Query - CallPut" description="Connection to the 'CallPut' query in the workbook." type="5" refreshedVersion="8" background="1" saveData="1">
    <dbPr connection="Provider=Microsoft.Mashup.OleDb.1;Data Source=$Workbook$;Location=CallPut;Extended Properties=&quot;&quot;" command="SELECT * FROM [CallPut]"/>
  </connection>
  <connection id="2" xr16:uid="{EEEBA0BB-516E-4CDA-A025-3C508DC933BB}" keepAlive="1" name="Query - CPTY" description="Connection to the 'CPTY' query in the workbook." type="5" refreshedVersion="8" background="1" saveData="1">
    <dbPr connection="Provider=Microsoft.Mashup.OleDb.1;Data Source=$Workbook$;Location=CPTY;Extended Properties=&quot;&quot;" command="SELECT * FROM [CPTY]"/>
  </connection>
  <connection id="3" xr16:uid="{6D2EFE62-9BC6-4032-9880-25A8C2F6B324}" keepAlive="1" name="Query - CptyRating" description="Connection to the 'CptyRating' query in the workbook." type="5" refreshedVersion="0" background="1">
    <dbPr connection="Provider=Microsoft.Mashup.OleDb.1;Data Source=$Workbook$;Location=CptyRating;Extended Properties=&quot;&quot;" command="SELECT * FROM [CptyRating]"/>
  </connection>
  <connection id="4" xr16:uid="{8EEFCB73-485C-4049-8421-5F5F43662499}" keepAlive="1" name="Query - CtpyRating" description="Connection to the 'CtpyRating' query in the workbook." type="5" refreshedVersion="8" background="1" saveData="1">
    <dbPr connection="Provider=Microsoft.Mashup.OleDb.1;Data Source=$Workbook$;Location=CtpyRating;Extended Properties=&quot;&quot;" command="SELECT * FROM [CtpyRating]"/>
  </connection>
  <connection id="5" xr16:uid="{D6787BA8-4193-43F4-8EC7-13E6248E4231}" keepAlive="1" name="Query - DoiUng" description="Connection to the 'DoiUng' query in the workbook." type="5" refreshedVersion="0" background="1">
    <dbPr connection="Provider=Microsoft.Mashup.OleDb.1;Data Source=$Workbook$;Location=DoiUng;Extended Properties=&quot;&quot;" command="SELECT * FROM [DoiUng]"/>
  </connection>
  <connection id="6" xr16:uid="{E567358A-30F4-4E4F-92CC-033F0D6477FE}" keepAlive="1" name="Query - FNRP_ITB" description="Connection to the 'FNRP_ITB' query in the workbook." type="5" refreshedVersion="8" background="1" saveData="1">
    <dbPr connection="Provider=Microsoft.Mashup.OleDb.1;Data Source=$Workbook$;Location=FNRP_ITB;Extended Properties=&quot;&quot;" command="SELECT * FROM [FNRP_ITB]"/>
  </connection>
  <connection id="7" xr16:uid="{FEF3BC1E-E643-4F2A-8924-D5417323585D}" keepAlive="1" name="Query - His" description="Connection to the 'His' query in the workbook." type="5" refreshedVersion="8" background="1" saveData="1">
    <dbPr connection="Provider=Microsoft.Mashup.OleDb.1;Data Source=$Workbook$;Location=His;Extended Properties=&quot;&quot;" command="SELECT * FROM [His]"/>
  </connection>
  <connection id="8" xr16:uid="{C97AF8D7-5D0D-4F9D-9528-5002CD2BF9BA}" keepAlive="1" name="Query - MFKR_Add" description="Connection to the 'MFKR_Add' query in the workbook." type="5" refreshedVersion="0" background="1">
    <dbPr connection="Provider=Microsoft.Mashup.OleDb.1;Data Source=$Workbook$;Location=MFKR_Add;Extended Properties=&quot;&quot;" command="SELECT * FROM [MFKR_Add]"/>
  </connection>
  <connection id="9" xr16:uid="{CB7B9954-BF76-45A5-ACB1-75BCBD7F2DD0}" keepAlive="1" name="Query - MFKR_RatingRef" description="Connection to the 'MFKR_RatingRef' query in the workbook." type="5" refreshedVersion="0" background="1">
    <dbPr connection="Provider=Microsoft.Mashup.OleDb.1;Data Source=$Workbook$;Location=MFKR_RatingRef;Extended Properties=&quot;&quot;" command="SELECT * FROM [MFKR_RatingRef]"/>
  </connection>
  <connection id="10" xr16:uid="{6C44A01A-8171-4D59-8766-6F9E26342E1A}" keepAlive="1" name="Query - Param" description="Connection to the 'Param' query in the workbook." type="5" refreshedVersion="0" background="1">
    <dbPr connection="Provider=Microsoft.Mashup.OleDb.1;Data Source=$Workbook$;Location=Param;Extended Properties=&quot;&quot;" command="SELECT * FROM [Param]"/>
  </connection>
  <connection id="11" xr16:uid="{293A8550-1BCA-42B7-BAE9-1B1E1C5FD67A}" keepAlive="1" name="Query - Portfolio by bond" description="Connection to the 'Portfolio by bond' query in the workbook." type="5" refreshedVersion="8" background="1" saveData="1">
    <dbPr connection="Provider=Microsoft.Mashup.OleDb.1;Data Source=$Workbook$;Location=&quot;Portfolio by bond&quot;;Extended Properties=&quot;&quot;" command="SELECT * FROM [Portfolio by bond]"/>
  </connection>
  <connection id="12" xr16:uid="{B7709ECB-ED52-42B4-AE02-61E586E45E9E}" keepAlive="1" name="Query - Portfolio by issuer" description="Connection to the 'Portfolio by issuer' query in the workbook." type="5" refreshedVersion="8" background="1" saveData="1">
    <dbPr connection="Provider=Microsoft.Mashup.OleDb.1;Data Source=$Workbook$;Location=&quot;Portfolio by issuer&quot;;Extended Properties=&quot;&quot;" command="SELECT * FROM [Portfolio by issuer]"/>
  </connection>
  <connection id="13" xr16:uid="{C79D8867-4F5B-4335-9DF3-1C598FEC5577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14" xr16:uid="{209E24EC-6802-4BD9-8B8E-A52C14A5CB3C}" keepAlive="1" name="Query - Rating" description="Connection to the 'Rating' query in the workbook." type="5" refreshedVersion="8" background="1" saveData="1">
    <dbPr connection="Provider=Microsoft.Mashup.OleDb.1;Data Source=$Workbook$;Location=Rating;Extended Properties=&quot;&quot;" command="SELECT * FROM [Rating]"/>
  </connection>
  <connection id="15" xr16:uid="{A50F5432-FA85-46E3-AB95-497FFA7FA619}" keepAlive="1" name="Query - Ref" description="Connection to the 'Ref' query in the workbook." type="5" refreshedVersion="0" background="1">
    <dbPr connection="Provider=Microsoft.Mashup.OleDb.1;Data Source=$Workbook$;Location=Ref;Extended Properties=&quot;&quot;" command="SELECT * FROM [Ref]"/>
  </connection>
  <connection id="16" xr16:uid="{2656E6C8-A27A-4C2A-92EA-DAF6A421F75A}" keepAlive="1" name="Query - Tenor" description="Connection to the 'Tenor' query in the workbook." type="5" refreshedVersion="0" background="1">
    <dbPr connection="Provider=Microsoft.Mashup.OleDb.1;Data Source=$Workbook$;Location=Tenor;Extended Properties=&quot;&quot;" command="SELECT * FROM [Teno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<sst xmlns="http://schemas.openxmlformats.org/spreadsheetml/2006/main" count="2425" uniqueCount="642">
  <si>
    <t>STT</t>
  </si>
  <si>
    <t>Values</t>
  </si>
  <si>
    <t>Raw data</t>
  </si>
  <si>
    <t>Indicator</t>
  </si>
  <si>
    <t>RptDate</t>
  </si>
  <si>
    <t>CPTY_NAME</t>
  </si>
  <si>
    <t>CPTY_TYPE</t>
  </si>
  <si>
    <t>FI_RATING</t>
  </si>
  <si>
    <t>FI_RATING_DATE</t>
  </si>
  <si>
    <t>FITCH_RATING</t>
  </si>
  <si>
    <t>FITCH_RATING_DATE</t>
  </si>
  <si>
    <t>MOODY_RATING</t>
  </si>
  <si>
    <t>MOODY_RATING_DATE</t>
  </si>
  <si>
    <t>SP_RATING</t>
  </si>
  <si>
    <t>SP_RATING_DATE</t>
  </si>
  <si>
    <t>Month</t>
  </si>
  <si>
    <t>NGAN HANG PHAT TRIEN VN</t>
  </si>
  <si>
    <t>Local Bank</t>
  </si>
  <si>
    <t>BB</t>
  </si>
  <si>
    <t>NGAN HANG NONG NGHIEP VA PHAT TRIEN NONG THON</t>
  </si>
  <si>
    <t>AAA</t>
  </si>
  <si>
    <t>BB+</t>
  </si>
  <si>
    <t>Ba2</t>
  </si>
  <si>
    <t>NGAN HANG TMCP SAI GON HA NOI</t>
  </si>
  <si>
    <t>BBB</t>
  </si>
  <si>
    <t>B1</t>
  </si>
  <si>
    <t>NGAN HANG TMCP PHUONG DONG</t>
  </si>
  <si>
    <t>Ba3</t>
  </si>
  <si>
    <t>NGAN HANG TMCP SAI GON</t>
  </si>
  <si>
    <t>CC</t>
  </si>
  <si>
    <t>NGAN HANG TMCP QUOC DAN</t>
  </si>
  <si>
    <t>D</t>
  </si>
  <si>
    <t>NGAN HANG TMCP DONG NAM A</t>
  </si>
  <si>
    <t>A</t>
  </si>
  <si>
    <t>NGAN HANG TMCP KIEN LONG</t>
  </si>
  <si>
    <t>NGAN HANG TMCP DAI CHUNG VN</t>
  </si>
  <si>
    <t>NGAN HANG TMCP TIEN PHONG</t>
  </si>
  <si>
    <t>NGAN HANG TMCP NAM A</t>
  </si>
  <si>
    <t>B2</t>
  </si>
  <si>
    <t>NGAN HANG TMCP VIET A</t>
  </si>
  <si>
    <t>B</t>
  </si>
  <si>
    <t>NGAN HANG TMCP BAN VIET</t>
  </si>
  <si>
    <t>B3</t>
  </si>
  <si>
    <t>NGAN HANG TMCP SAI GON CONG THUONG</t>
  </si>
  <si>
    <t>NGAN HANG TMCP BAC A</t>
  </si>
  <si>
    <t>NGAN HANG TMCP BAO VIET</t>
  </si>
  <si>
    <t>NGAN HANG LIEN DOANH VIET NGA</t>
  </si>
  <si>
    <t>NGAN HANG TNHH MTV PUBLIC VN</t>
  </si>
  <si>
    <t>NGAN HANG TNHH MTV CIMB VN</t>
  </si>
  <si>
    <t>NGAN HANG TNHH INDOVINA</t>
  </si>
  <si>
    <t>CONG TY TAI CHINH CO PHAN DIEN LUC</t>
  </si>
  <si>
    <t>CTTC</t>
  </si>
  <si>
    <t>AA</t>
  </si>
  <si>
    <t>NGAN HANG TMCP VIET NAM THUONG TIN</t>
  </si>
  <si>
    <t>NGAN HANG TMCP LOC PHAT VN</t>
  </si>
  <si>
    <t>NGAN HANG TMCP VIET NAM THINH VUONG</t>
  </si>
  <si>
    <t>NGAN HANG TMCP NGOAI THUONG VN</t>
  </si>
  <si>
    <t>NGAN HANG TMCP DAU TU VA PHAT TRIEN VN</t>
  </si>
  <si>
    <t>NGAN HANG TMCP CONG THUONG VN</t>
  </si>
  <si>
    <t>NGAN HANG TMCP QUAN DOI</t>
  </si>
  <si>
    <t>NGAN HANG TMCP KY THUONG VN</t>
  </si>
  <si>
    <t>NGAN HANG TMCP XUAT NHAP KHAU VN</t>
  </si>
  <si>
    <t>B+</t>
  </si>
  <si>
    <t>NGAN HANG TMCP SAI GON THUONG TIN</t>
  </si>
  <si>
    <t>NGAN HANG TMCP A CHAU</t>
  </si>
  <si>
    <t>BB-</t>
  </si>
  <si>
    <t>NGAN HANG TMCP QUOC TE</t>
  </si>
  <si>
    <t>NGAN HANG TMCP PHAT TRIEN TP  HO CHI MINH</t>
  </si>
  <si>
    <t>NGAN HANG TMCP AN BINH</t>
  </si>
  <si>
    <t>CONG TY TAI CHINH CO PHAN TIN VIET</t>
  </si>
  <si>
    <t>TCT CP BAO HIEM BUU DIEN PTI</t>
  </si>
  <si>
    <t>CTBH</t>
  </si>
  <si>
    <t>TCT BAO HIEM PJICO</t>
  </si>
  <si>
    <t>CCC+</t>
  </si>
  <si>
    <t>CONG TY BAO HIEM LIEN HIEP UIC</t>
  </si>
  <si>
    <t>TCT CP BAO HIEM HANG KHONG VNI</t>
  </si>
  <si>
    <t>TCT TAI BAO HIEM QUOC GIA VN</t>
  </si>
  <si>
    <t>CONG TY TNHH  BAO HIEM NHAN THO PREVOIR</t>
  </si>
  <si>
    <t>TONG CONG TY CP BAO MINH</t>
  </si>
  <si>
    <t>TAP DOAN BAO VIET</t>
  </si>
  <si>
    <t>TCT BAO VIET NHAN THO</t>
  </si>
  <si>
    <t>TCT BAO HIEM BAO VIET</t>
  </si>
  <si>
    <t>CONG TY CP PVI</t>
  </si>
  <si>
    <t>CONG TY TNHH BAO HIEM NHAN THO ACE</t>
  </si>
  <si>
    <t>CONG TY TNHH BAO HIEM NHAN THO AIA</t>
  </si>
  <si>
    <t>CONG TY TNHH BAO HIEM NHAN THO CATHAY</t>
  </si>
  <si>
    <t>CONG TY TNHH BAO HIEM NHAN THO DAI-ICHI VN</t>
  </si>
  <si>
    <t>CONG TY TNHH BAO HIEM NHAN THO FUBON</t>
  </si>
  <si>
    <t>CONG TY TNHH BAO HIEM HANWHA LIFE VN</t>
  </si>
  <si>
    <t>CONG TY TNHH MANULIFE VN</t>
  </si>
  <si>
    <t>CONG TY TNHH BAO HIEM NHAN THO SUN LIFE VN</t>
  </si>
  <si>
    <t>CONG TY TNHH BAO HIEM TONG HOP GROUPAMA VN</t>
  </si>
  <si>
    <t>CONG TY TNHH BAO HIEM PHI NHAN THO FUBON VN</t>
  </si>
  <si>
    <t>TCT CP BAO HIEM BAO LONG</t>
  </si>
  <si>
    <t>CONG TY CP BAO HIEM TOAN CAU GIC</t>
  </si>
  <si>
    <t>CONG TY CP BAO HIEM HUNG VUONG</t>
  </si>
  <si>
    <t>CONG TY TNHH BAO HIEM NHAN THO GENERALI VN</t>
  </si>
  <si>
    <t>CONG TY TNHH QLQ EASTSPRING INVESTMENT</t>
  </si>
  <si>
    <t>QLQ</t>
  </si>
  <si>
    <t>CONG TY CP CHUNG KHOAN BAO VIET</t>
  </si>
  <si>
    <t>CTCK</t>
  </si>
  <si>
    <t>CONG TY CP CHUNG KHOAN SSI</t>
  </si>
  <si>
    <t>CONG TY CP CHUNG KHOAN AGRIBANK</t>
  </si>
  <si>
    <t>CONG TY TNHH CHUNG KHOAN NGAN HANG TMCP NGOAI THUONG VN</t>
  </si>
  <si>
    <t>CONG TY CP CHUNG KHOAN BIDV</t>
  </si>
  <si>
    <t>CONG TY CP CHUNG KHOAN NGAN HANG CONG THUONG VN</t>
  </si>
  <si>
    <t>CONG TY CP CHUNG KHOAN VNDIRECT</t>
  </si>
  <si>
    <t>CONG TY CP CHUNG KHOAN KB VN</t>
  </si>
  <si>
    <t>CONG TY TNHH CHUNG KHOAN ACB</t>
  </si>
  <si>
    <t>CONG TY CP CHUNG KHOAN VIETCAP</t>
  </si>
  <si>
    <t>CONG TY CP CHUNG KHOAN NHAT BAN</t>
  </si>
  <si>
    <t>CONG TY CP CHUNG KHOAN PHUONG NAM</t>
  </si>
  <si>
    <t>CONG TY TNHH QLQ DAI-ICHI LIFE VN</t>
  </si>
  <si>
    <t>CONG TY TNHH QLQ MANULIFE VN</t>
  </si>
  <si>
    <t>CONG TY CP QLQ PVI</t>
  </si>
  <si>
    <t>B-</t>
  </si>
  <si>
    <t>CONG TY TNHH QLQ BAO VIET</t>
  </si>
  <si>
    <t>CONG TY CP QLQ DAU TU MB</t>
  </si>
  <si>
    <t>CONG TY CP QLQ TIN PHAT</t>
  </si>
  <si>
    <t>CONG TY TNHH QLQ SSI</t>
  </si>
  <si>
    <t>CONG TY QLQ DRAGON CAPITAL</t>
  </si>
  <si>
    <t>CONG TY TNHH MTV QLQ NH TMCP CONG THUONG VN</t>
  </si>
  <si>
    <t>CONG TY QLQ VINACAPITAL</t>
  </si>
  <si>
    <t>CONG TY CP QLQ DAU TU VN (VFM)</t>
  </si>
  <si>
    <t>CONG TY CP QLQ VINAWEALTH</t>
  </si>
  <si>
    <t>NGAN HANG TNHH MTV HSBC VN</t>
  </si>
  <si>
    <t>AA-</t>
  </si>
  <si>
    <t>NGAN HANG TNHH MTV STANDARD CHARTERED VN</t>
  </si>
  <si>
    <t>NGAN HANG TNHH MTV ANZ VN</t>
  </si>
  <si>
    <t>NGAN HANG TNHH MTV WOORI VIET NAM</t>
  </si>
  <si>
    <t>NGAN HANG TNHH MTV SHINHAN VN</t>
  </si>
  <si>
    <t>NGAN HANG TNHH MTV UNITED OVERSEAS BANK VN</t>
  </si>
  <si>
    <t>NGAN HANG TNHH MTV HONG LEONG VN</t>
  </si>
  <si>
    <t>THE BANK OF NEW YORK MELLON</t>
  </si>
  <si>
    <t>NHNN</t>
  </si>
  <si>
    <t>Aa1</t>
  </si>
  <si>
    <t>ESUN COMMERCIAL BANK</t>
  </si>
  <si>
    <t>A2</t>
  </si>
  <si>
    <t>BNP PARIBAS SA</t>
  </si>
  <si>
    <t>A+</t>
  </si>
  <si>
    <t>Aa3</t>
  </si>
  <si>
    <t>CTBC BANK</t>
  </si>
  <si>
    <t>A1</t>
  </si>
  <si>
    <t>CHINA CONSTRUCTION BANK CORPORATION</t>
  </si>
  <si>
    <t>CITI BANK NA</t>
  </si>
  <si>
    <t>COMMONWEALTH BANK OF AUSTRALIA</t>
  </si>
  <si>
    <t>Aa2</t>
  </si>
  <si>
    <t>DEVELOPMENT BANK OF SINGAPORE</t>
  </si>
  <si>
    <t>DEUTSCHE BANK AG</t>
  </si>
  <si>
    <t>A-</t>
  </si>
  <si>
    <t>HSBC BANK</t>
  </si>
  <si>
    <t>INDUSTRIAL AND COMMERCIAL BANK OF CHINA</t>
  </si>
  <si>
    <t>INDUSTRIAL BANK OF KOREA</t>
  </si>
  <si>
    <t>JP MORGAN CHASE BANK N.A</t>
  </si>
  <si>
    <t>KOOKMIN BANK</t>
  </si>
  <si>
    <t>MIZUHO BANK</t>
  </si>
  <si>
    <t>AUSTRALIA AND NEW ZEALAND BANKING GROUP LIMITED</t>
  </si>
  <si>
    <t>BANK OF NOVA SCOTIA</t>
  </si>
  <si>
    <t>STANDARD CHARTERED  BANK</t>
  </si>
  <si>
    <t>SUMITOMO MITSUI BANKING CORPORATION</t>
  </si>
  <si>
    <t>WELLS FARGO NA</t>
  </si>
  <si>
    <t>UNITED OVERSEA BANK LIMITED</t>
  </si>
  <si>
    <t>MALAYAN BANKING BERHAD</t>
  </si>
  <si>
    <t>A3</t>
  </si>
  <si>
    <t>TAIPEI  FUBON COMMERCIAL BANK</t>
  </si>
  <si>
    <t>WOORI BANK</t>
  </si>
  <si>
    <t>KEB HANA BANK</t>
  </si>
  <si>
    <t>HUA NAN BANK</t>
  </si>
  <si>
    <t>COMMERZ BANK AG</t>
  </si>
  <si>
    <t>FIRST COMMERCIAL BANK</t>
  </si>
  <si>
    <t>NGAN HANG DAU TU VA PHAT TRIEN CAMPUCHIA</t>
  </si>
  <si>
    <t>CCC</t>
  </si>
  <si>
    <t>NGAN HANG TNHH CONG THUONG VIET NAM TAI LAO</t>
  </si>
  <si>
    <t>NGAN HANG NGOAI THUONG LAO</t>
  </si>
  <si>
    <t>BANGKOK BANK PUBLIC COMPANY LIMITED</t>
  </si>
  <si>
    <t>Baa1</t>
  </si>
  <si>
    <t>BBB+</t>
  </si>
  <si>
    <t>HONG LEONG BANK BERHAD</t>
  </si>
  <si>
    <t>RAIFFEISEN BANK INTERNATIONAL</t>
  </si>
  <si>
    <t>MONEYCORP BANK LIMITED</t>
  </si>
  <si>
    <t>TCT BAO HIEM PVI</t>
  </si>
  <si>
    <t>TCT CP TAI BAO HIEM PVI</t>
  </si>
  <si>
    <t>NGAN HANG TMCP DONG A</t>
  </si>
  <si>
    <t>CONG TY TAI CHINH TNHH NGAN HANG VIET NAM THINH VUONG SMBC</t>
  </si>
  <si>
    <t>CONG TY TAI CHINH TNHH MTV HOME CREDIT VN</t>
  </si>
  <si>
    <t>CONG TY TAI CHINH TNHH HD SAI SON</t>
  </si>
  <si>
    <t>CONG TY CP CHUNG KHOAN TP HO CHI MINH</t>
  </si>
  <si>
    <t>NGAN HANG TMCP THINH VUONG VA PHAT TRIEN</t>
  </si>
  <si>
    <t>CONG TY CP CHUNG KHOAN VPS</t>
  </si>
  <si>
    <t>CONG TY CP CHUNG KHOAN FPT</t>
  </si>
  <si>
    <t>PHONGSAVANH BANK LIMITED</t>
  </si>
  <si>
    <t>BANK OF AMERICA NA</t>
  </si>
  <si>
    <t>BANK OF CHINA</t>
  </si>
  <si>
    <t>BUSAN BANK</t>
  </si>
  <si>
    <t>CONG TY TAI CHINH TNHH MB SHINSEI</t>
  </si>
  <si>
    <t>CIMB BANK BERHAD</t>
  </si>
  <si>
    <t>AGRICULTURE BANK OF CHINA LIMITED</t>
  </si>
  <si>
    <t>THE GOVERNOR AND COMPANY OF THE BANK OF IRELAND</t>
  </si>
  <si>
    <t>KBC BANK</t>
  </si>
  <si>
    <t>BANK SINOPAC COMPANY LIMITED</t>
  </si>
  <si>
    <t>CONG TY TAI CHINH TNHH MTV QUOC TE CHAILEASE</t>
  </si>
  <si>
    <t>SAXO BANK A/S</t>
  </si>
  <si>
    <t>MALDIVES MONETARY AUTHORITY</t>
  </si>
  <si>
    <t>NONGHYUP BANK</t>
  </si>
  <si>
    <t>ZUERCHER KANTONAL BANK</t>
  </si>
  <si>
    <t>CONG TY TAI CHINH TNHH MTV LOTTE VN</t>
  </si>
  <si>
    <t>CONG TY TAI CHINH TNHH MTV NGAN HANG TMCP SAI GON HA NOI</t>
  </si>
  <si>
    <t>CONG TY CP BAO HIEM VIEN DONG</t>
  </si>
  <si>
    <t>NGAN HANG THUONG MAI TNHH MTV DAI DUONG</t>
  </si>
  <si>
    <t>NGAN HANG THUONG MAI TNHH MTV XAY DUNG VN</t>
  </si>
  <si>
    <t>MASHREQ BANK PSC</t>
  </si>
  <si>
    <t>CONG TY CP CHUNG KHOAN KY THUONG</t>
  </si>
  <si>
    <t>CONG TY CO PHAN CHUNG KHOAN MB</t>
  </si>
  <si>
    <t>CONG TY CP CHUNG KHOAN PINETREE</t>
  </si>
  <si>
    <t>CTY CP CHUNG KHOAN THIEN VIET</t>
  </si>
  <si>
    <t>CONG TY TNHH CHUNG KHOAN MIRAE ASSET</t>
  </si>
  <si>
    <t>BANK OF THE LAO PDR</t>
  </si>
  <si>
    <t>CONG TY CP QLQ THIEN VIET</t>
  </si>
  <si>
    <t>CONG TY CP CHUNG KHOAN HDB</t>
  </si>
  <si>
    <t>KASIKORNBANK PUBLIC COMPANY LIMITED</t>
  </si>
  <si>
    <t>GUANGXI BEIBU GULF BANK CO., LTD</t>
  </si>
  <si>
    <t>INTERNATIONAL INVESTMENT BANK</t>
  </si>
  <si>
    <t>BANCO BPM S.P.A</t>
  </si>
  <si>
    <t>BBB-</t>
  </si>
  <si>
    <t>Ba1</t>
  </si>
  <si>
    <t>CONG TY TNHH CHUNG KHOAN YUANTA VIET NAM</t>
  </si>
  <si>
    <t>CONG TY CP CHUNG KHOAN AN BINH</t>
  </si>
  <si>
    <t>NGAN HANG CATHAY UNITED BANK CO.LTD</t>
  </si>
  <si>
    <t>CONG TY TAI CHINH TNHH MTV TNEX</t>
  </si>
  <si>
    <t>THE SIAM COMMERCIAL BANK PUBLIC COMPANY LIMITED</t>
  </si>
  <si>
    <t>CONG TY TNHH CHUNG KHOAN NH VIET NAM</t>
  </si>
  <si>
    <t>CONG TY CP CHUNG KHOAN KAFI</t>
  </si>
  <si>
    <t>CONG TY TNHH CHUNG KHOAN MAYBANK</t>
  </si>
  <si>
    <t>CONG TY CP CHUNG KHOAN  DAU KHI</t>
  </si>
  <si>
    <t>CONG TY CP CHUNG KHOAN  PHU HUNG</t>
  </si>
  <si>
    <t>CONG TY CP CHUNG KHOAN  DNSE</t>
  </si>
  <si>
    <t>CONG TY CP CHUNG KHOAN  DSC</t>
  </si>
  <si>
    <t>CONG TY CP CHUNG KHOAN  VIX</t>
  </si>
  <si>
    <t>MUFG BANK, LTD</t>
  </si>
  <si>
    <t>CONG TY CP CHUNG KHOAN  SMARTINVEST</t>
  </si>
  <si>
    <t>BANK OF CHINA (HONG KONG) LIMITED</t>
  </si>
  <si>
    <t>CONG TY CHO THUE TAI CHINH TNHH BIDV - SUMI TRUST</t>
  </si>
  <si>
    <t>CONG TY CP TAP DOAN BAO HIEM DBV</t>
  </si>
  <si>
    <t>CONG TY CHO THUE TAI CHINH TNHH MTV NH TMCP CONG THUONG VN</t>
  </si>
  <si>
    <t>NGAN HANG TNHH MTV VIET NAM HIEN DAI</t>
  </si>
  <si>
    <t>CONG TY CP CHUNG KHOAN  KIS VIET NAM</t>
  </si>
  <si>
    <t>CONG TY CP CHUNG KHOAN  NHAT VIET</t>
  </si>
  <si>
    <t>TONG CONG TY CP TAI BAO HIEM HA NOI</t>
  </si>
  <si>
    <t>CPTY_CODE_ISSUER</t>
  </si>
  <si>
    <t>CPTY_CODE_ISSUER_Name</t>
  </si>
  <si>
    <t>VDB</t>
  </si>
  <si>
    <t>VBAH</t>
  </si>
  <si>
    <t>SHBV</t>
  </si>
  <si>
    <t>OCBV</t>
  </si>
  <si>
    <t>SCBV</t>
  </si>
  <si>
    <t>NCBV</t>
  </si>
  <si>
    <t>SEAV</t>
  </si>
  <si>
    <t>KIENLONG</t>
  </si>
  <si>
    <t>PVFC</t>
  </si>
  <si>
    <t>TPBH</t>
  </si>
  <si>
    <t>SABH</t>
  </si>
  <si>
    <t>VABV</t>
  </si>
  <si>
    <t>VCCB</t>
  </si>
  <si>
    <t>SGCT</t>
  </si>
  <si>
    <t>NABV</t>
  </si>
  <si>
    <t>BVBH</t>
  </si>
  <si>
    <t>VRB</t>
  </si>
  <si>
    <t>PBVN</t>
  </si>
  <si>
    <t>CIMB-VN</t>
  </si>
  <si>
    <t>IVB</t>
  </si>
  <si>
    <t>TC_DIENLUC</t>
  </si>
  <si>
    <t>VIETBANK</t>
  </si>
  <si>
    <t>LVBT</t>
  </si>
  <si>
    <t>VPVN</t>
  </si>
  <si>
    <t>VCBH</t>
  </si>
  <si>
    <t>BIDV</t>
  </si>
  <si>
    <t>ICBV</t>
  </si>
  <si>
    <t>MCSB</t>
  </si>
  <si>
    <t>TCBV-HO</t>
  </si>
  <si>
    <t>EIBV</t>
  </si>
  <si>
    <t>SGTT</t>
  </si>
  <si>
    <t>ACBV</t>
  </si>
  <si>
    <t>VIBH</t>
  </si>
  <si>
    <t>HDBV</t>
  </si>
  <si>
    <t>ABBV</t>
  </si>
  <si>
    <t>CFCV</t>
  </si>
  <si>
    <t>BH_BUUDIEN</t>
  </si>
  <si>
    <t>BH_PJICO</t>
  </si>
  <si>
    <t>BH_LIENHIE</t>
  </si>
  <si>
    <t>HANGKHONG_VNI</t>
  </si>
  <si>
    <t>VINARE</t>
  </si>
  <si>
    <t>PREVOIR</t>
  </si>
  <si>
    <t>TCT_CPBM</t>
  </si>
  <si>
    <t>TD_BAOVIET</t>
  </si>
  <si>
    <t>BAOVIETLIF</t>
  </si>
  <si>
    <t>BH_BAOVIET</t>
  </si>
  <si>
    <t>PVI</t>
  </si>
  <si>
    <t>BH_ACE</t>
  </si>
  <si>
    <t>BH_AIA</t>
  </si>
  <si>
    <t>BH_CATHAY</t>
  </si>
  <si>
    <t>BH_DAICHI</t>
  </si>
  <si>
    <t>BH_FUBON</t>
  </si>
  <si>
    <t>BH_HANWHA</t>
  </si>
  <si>
    <t>BH_MANUL</t>
  </si>
  <si>
    <t>SUNLIFE</t>
  </si>
  <si>
    <t>GROUPAMA</t>
  </si>
  <si>
    <t>FUBON</t>
  </si>
  <si>
    <t>BAOLONG</t>
  </si>
  <si>
    <t>GIC</t>
  </si>
  <si>
    <t>CP_BHHV</t>
  </si>
  <si>
    <t>GENERALI</t>
  </si>
  <si>
    <t>QLQ_EAST</t>
  </si>
  <si>
    <t>BVS</t>
  </si>
  <si>
    <t>SSI</t>
  </si>
  <si>
    <t>AGRISECO</t>
  </si>
  <si>
    <t>VCBS</t>
  </si>
  <si>
    <t>BSI</t>
  </si>
  <si>
    <t>CTS</t>
  </si>
  <si>
    <t>VNDIRECT</t>
  </si>
  <si>
    <t>KBS</t>
  </si>
  <si>
    <t>ACBS</t>
  </si>
  <si>
    <t>VIETCAP</t>
  </si>
  <si>
    <t>JSI</t>
  </si>
  <si>
    <t>FNS</t>
  </si>
  <si>
    <t>QLQ_DAICHI</t>
  </si>
  <si>
    <t>QLQ_MANUL</t>
  </si>
  <si>
    <t>PVICAP</t>
  </si>
  <si>
    <t>BAOVIETCAP</t>
  </si>
  <si>
    <t>MBCAP</t>
  </si>
  <si>
    <t>QLQ_TINPHA</t>
  </si>
  <si>
    <t>QLQ_SSI</t>
  </si>
  <si>
    <t>DRAGONCAP</t>
  </si>
  <si>
    <t>VTBC</t>
  </si>
  <si>
    <t>QLQ_VNCAP</t>
  </si>
  <si>
    <t>QLQ_VFM</t>
  </si>
  <si>
    <t>QLQ_VINAWE</t>
  </si>
  <si>
    <t>HSHC-VN</t>
  </si>
  <si>
    <t>SCHN-VN</t>
  </si>
  <si>
    <t>ANZF-VN</t>
  </si>
  <si>
    <t>HVHB-VN</t>
  </si>
  <si>
    <t>SHHC</t>
  </si>
  <si>
    <t>UOB_SING</t>
  </si>
  <si>
    <t>HLBV-VN</t>
  </si>
  <si>
    <t>BNYM</t>
  </si>
  <si>
    <t>ESUN</t>
  </si>
  <si>
    <t>BPHM-SA</t>
  </si>
  <si>
    <t>CTBC-HCM</t>
  </si>
  <si>
    <t>CCB</t>
  </si>
  <si>
    <t>CITIBANK</t>
  </si>
  <si>
    <t>CBA</t>
  </si>
  <si>
    <t>DBS</t>
  </si>
  <si>
    <t>DBHC</t>
  </si>
  <si>
    <t>ICBC</t>
  </si>
  <si>
    <t>IBK</t>
  </si>
  <si>
    <t>JPMORGAN</t>
  </si>
  <si>
    <t>KBHQ</t>
  </si>
  <si>
    <t>MHCV</t>
  </si>
  <si>
    <t>SYTA</t>
  </si>
  <si>
    <t>SCOTIABANK</t>
  </si>
  <si>
    <t>SCHN-LD</t>
  </si>
  <si>
    <t>SMHN</t>
  </si>
  <si>
    <t>WAHK-LDON</t>
  </si>
  <si>
    <t>MAYBANK</t>
  </si>
  <si>
    <t>FTVN</t>
  </si>
  <si>
    <t>TAIPEI FUBON COMMERCIAL BANK</t>
  </si>
  <si>
    <t>HANA-HCM</t>
  </si>
  <si>
    <t>HUANAN</t>
  </si>
  <si>
    <t>DRBS</t>
  </si>
  <si>
    <t>FCBV-HN</t>
  </si>
  <si>
    <t>BIDC</t>
  </si>
  <si>
    <t>ICBV-LAO</t>
  </si>
  <si>
    <t>BCEL</t>
  </si>
  <si>
    <t>BANGKK-HCM</t>
  </si>
  <si>
    <t>RBI</t>
  </si>
  <si>
    <t>MONEYCORP</t>
  </si>
  <si>
    <t>TBH_PVI</t>
  </si>
  <si>
    <t>DONGA</t>
  </si>
  <si>
    <t>TC_VPBANK</t>
  </si>
  <si>
    <t>HCVN</t>
  </si>
  <si>
    <t>HDSAISON</t>
  </si>
  <si>
    <t>HSC</t>
  </si>
  <si>
    <t>PGBV-HO</t>
  </si>
  <si>
    <t>VPS</t>
  </si>
  <si>
    <t>FPTS</t>
  </si>
  <si>
    <t>PHONGSAVANH</t>
  </si>
  <si>
    <t>AMEREXP</t>
  </si>
  <si>
    <t>BOC-HCM</t>
  </si>
  <si>
    <t>BUSAN-HCM</t>
  </si>
  <si>
    <t>TC_SHINSEI</t>
  </si>
  <si>
    <t>CIMB</t>
  </si>
  <si>
    <t>ABC</t>
  </si>
  <si>
    <t>IRELANDBANK</t>
  </si>
  <si>
    <t>KBC</t>
  </si>
  <si>
    <t>SINOPAC-HO</t>
  </si>
  <si>
    <t>TC_CHAILEA</t>
  </si>
  <si>
    <t>SAXOBANK</t>
  </si>
  <si>
    <t>MMA</t>
  </si>
  <si>
    <t>NONGHYUP</t>
  </si>
  <si>
    <t>ZKB</t>
  </si>
  <si>
    <t>LOTTEFC</t>
  </si>
  <si>
    <t>SHBF</t>
  </si>
  <si>
    <t>BH_VIENDONG</t>
  </si>
  <si>
    <t>OJBV</t>
  </si>
  <si>
    <t>GTBV</t>
  </si>
  <si>
    <t>MASHREQ-DB</t>
  </si>
  <si>
    <t>TCBS</t>
  </si>
  <si>
    <t>MBS</t>
  </si>
  <si>
    <t>PINETREE</t>
  </si>
  <si>
    <t>TVS</t>
  </si>
  <si>
    <t>MIRAE_ASSET</t>
  </si>
  <si>
    <t>BOL</t>
  </si>
  <si>
    <t>QLQ_THIENVIET</t>
  </si>
  <si>
    <t>HDBS</t>
  </si>
  <si>
    <t>KASIKORNBANK</t>
  </si>
  <si>
    <t>GUANGXI</t>
  </si>
  <si>
    <t>IIB</t>
  </si>
  <si>
    <t>BANCOBPM</t>
  </si>
  <si>
    <t>YSVN</t>
  </si>
  <si>
    <t>ABS</t>
  </si>
  <si>
    <t>CATHAY</t>
  </si>
  <si>
    <t>TNEX</t>
  </si>
  <si>
    <t>SIAMBANK</t>
  </si>
  <si>
    <t>NHSV</t>
  </si>
  <si>
    <t>KAFI</t>
  </si>
  <si>
    <t>MBKE</t>
  </si>
  <si>
    <t>PSI</t>
  </si>
  <si>
    <t>PHS</t>
  </si>
  <si>
    <t>DNSE</t>
  </si>
  <si>
    <t>DSC</t>
  </si>
  <si>
    <t>VIX</t>
  </si>
  <si>
    <t>MUFG</t>
  </si>
  <si>
    <t>CK_SISI</t>
  </si>
  <si>
    <t>BANK OF CHINA (HK)</t>
  </si>
  <si>
    <t>BSL</t>
  </si>
  <si>
    <t>KIS-VN</t>
  </si>
  <si>
    <t>VFS</t>
  </si>
  <si>
    <t>TCT_TBHPVI</t>
  </si>
  <si>
    <t xml:space="preserve"> </t>
  </si>
  <si>
    <t>Year</t>
  </si>
  <si>
    <t>Total</t>
  </si>
  <si>
    <t>Internal Rating</t>
  </si>
  <si>
    <t>Haircut in Normal</t>
  </si>
  <si>
    <t>Rating</t>
  </si>
  <si>
    <t>New Rating FI</t>
  </si>
  <si>
    <t>Last Rating</t>
  </si>
  <si>
    <t>New Date Rating</t>
  </si>
  <si>
    <t>Last Date Rating</t>
  </si>
  <si>
    <t>Issuer name</t>
  </si>
  <si>
    <t>Issuer code</t>
  </si>
  <si>
    <t>1. Thay đổi rating</t>
  </si>
  <si>
    <t>FI Rating</t>
  </si>
  <si>
    <t>Ngày xếp hạng</t>
  </si>
  <si>
    <t>Tổ chức xếp hạng</t>
  </si>
  <si>
    <t>Fitch</t>
  </si>
  <si>
    <t>Moody's</t>
  </si>
  <si>
    <t>S&amp;P</t>
  </si>
  <si>
    <t>Loại hình DN</t>
  </si>
  <si>
    <t>CptyCode</t>
  </si>
  <si>
    <t>FiRating</t>
  </si>
  <si>
    <t>FiRatingDate</t>
  </si>
  <si>
    <t>CptyName</t>
  </si>
  <si>
    <t>Rating FI</t>
  </si>
  <si>
    <t>2. Thay đổi ngày review, giữ nguyên rating (chủ yếu do đến tần suất review định kỳ 1 lần/năm)</t>
  </si>
  <si>
    <t>Grand Total</t>
  </si>
  <si>
    <t>His</t>
  </si>
  <si>
    <t>Haircut in Stress</t>
  </si>
  <si>
    <t>Tỷ lệ lũy kế</t>
  </si>
  <si>
    <t>Bond Oustanding</t>
  </si>
  <si>
    <t>Sau khi điều chỉnh rating</t>
  </si>
  <si>
    <t>Trước khi điều chỉnh rating</t>
  </si>
  <si>
    <t>Backup</t>
  </si>
  <si>
    <t>TRUNG TAM THONG TIN Y TE QUOC GIA</t>
  </si>
  <si>
    <t>NGAN HANG TNHH MTV SO VIKKI</t>
  </si>
  <si>
    <t>RPBOD3</t>
  </si>
  <si>
    <t>Issuer</t>
  </si>
  <si>
    <t>Total Amount</t>
  </si>
  <si>
    <t>Review Date</t>
  </si>
  <si>
    <t>Fitch Rating</t>
  </si>
  <si>
    <t>Moody Rating</t>
  </si>
  <si>
    <t>S&amp;P Rating</t>
  </si>
  <si>
    <t>Last rating</t>
  </si>
  <si>
    <t>Tỷ lệ last rate</t>
  </si>
  <si>
    <t>Tỷ lệ this rate</t>
  </si>
  <si>
    <t>LHK</t>
  </si>
  <si>
    <t>Tỷ lệ
lũy kế</t>
  </si>
  <si>
    <t>3. Issuer mới được xếp hạng hoặc bị xóa xếp hạng</t>
  </si>
  <si>
    <t>Tháng</t>
  </si>
  <si>
    <t>Năm</t>
  </si>
  <si>
    <t>CONG TY CP CHUNG KHOAN  STANLEY BROTHERS</t>
  </si>
  <si>
    <t>CONG TY CP CHUNG KHOAN  HAI PHONG</t>
  </si>
  <si>
    <t>CONG TY CP CHUNG KHOAN  VPBANK</t>
  </si>
  <si>
    <t>VPBS</t>
  </si>
  <si>
    <t>CTL</t>
  </si>
  <si>
    <t>CONG TY TNHH MTV CHO THUE TAI CHINH NH A CHAU</t>
  </si>
  <si>
    <t>C</t>
  </si>
  <si>
    <t>Tool FIBond</t>
  </si>
  <si>
    <t>Bonds_ShortName</t>
  </si>
  <si>
    <t>OCBCD241126</t>
  </si>
  <si>
    <t>Tenor</t>
  </si>
  <si>
    <t>Tenor chuẩn</t>
  </si>
  <si>
    <t>Chặn dưới</t>
  </si>
  <si>
    <t>Chặn trên</t>
  </si>
  <si>
    <t>&lt;1M</t>
  </si>
  <si>
    <t>1-3M</t>
  </si>
  <si>
    <t>3-6M</t>
  </si>
  <si>
    <t>6M-1Y</t>
  </si>
  <si>
    <t>2-3Y</t>
  </si>
  <si>
    <t>1-2Y</t>
  </si>
  <si>
    <t>3-5Y</t>
  </si>
  <si>
    <t>5-7Y</t>
  </si>
  <si>
    <t>&gt;7Y</t>
  </si>
  <si>
    <t>Outstandings
By issuers</t>
  </si>
  <si>
    <t>Outstandings
By bond</t>
  </si>
  <si>
    <t>Amount</t>
  </si>
  <si>
    <t>Row Labels</t>
  </si>
  <si>
    <t>Sum of Total Amount</t>
  </si>
  <si>
    <t>Tenor (ca/pu)</t>
  </si>
  <si>
    <t>Amount 
(c/p)</t>
  </si>
  <si>
    <t>Tạo file và các bảng query</t>
  </si>
  <si>
    <t>Thêm tenor, tenor ảnh hưởng call put</t>
  </si>
  <si>
    <t>Tạo code VBA và bảng lưu trữ rating lên 53</t>
  </si>
  <si>
    <t>PIC</t>
  </si>
  <si>
    <t>Log</t>
  </si>
  <si>
    <t>Ngày</t>
  </si>
  <si>
    <t>thaottp14</t>
  </si>
  <si>
    <t>Sửa query, sửa bảng tham chiếu do thay đổi folder</t>
  </si>
  <si>
    <t>Check</t>
  </si>
  <si>
    <t>Đối ứng</t>
  </si>
  <si>
    <t> FaceAmount </t>
  </si>
  <si>
    <t>Issuer_Name</t>
  </si>
  <si>
    <t>Bond_Code</t>
  </si>
  <si>
    <t>Tenor (c/p)</t>
  </si>
  <si>
    <t>HCVCD231026</t>
  </si>
  <si>
    <t>HCV12502</t>
  </si>
  <si>
    <t>HCVNCD190427</t>
  </si>
  <si>
    <t>HCVCD180926</t>
  </si>
  <si>
    <t>VBA12503</t>
  </si>
  <si>
    <t>LPB12407</t>
  </si>
  <si>
    <t>MBBOND2027</t>
  </si>
  <si>
    <t>STBCD061126</t>
  </si>
  <si>
    <t>STB1Y230926</t>
  </si>
  <si>
    <t>TCB12603</t>
  </si>
  <si>
    <t>EVNFC160427</t>
  </si>
  <si>
    <t>EVNFC260427</t>
  </si>
  <si>
    <t>HDB125011</t>
  </si>
  <si>
    <t>HDB12M261126</t>
  </si>
  <si>
    <t>EIBCD240926</t>
  </si>
  <si>
    <t>BAB12601</t>
  </si>
  <si>
    <t>BAB12603</t>
  </si>
  <si>
    <t>SHB12503</t>
  </si>
  <si>
    <t>OCBCD281026</t>
  </si>
  <si>
    <t>MCCD240327</t>
  </si>
  <si>
    <t>MSF12404</t>
  </si>
  <si>
    <t>VBB1Y301126</t>
  </si>
  <si>
    <t>VBB1Y090926</t>
  </si>
  <si>
    <t>VBB1Y061026</t>
  </si>
  <si>
    <t>VCCB1Y301026</t>
  </si>
  <si>
    <t>Amount adj đối ứng</t>
  </si>
  <si>
    <t>Tỷ lệ lũy kế adj đối ứng</t>
  </si>
  <si>
    <t>Thêm đối ứng, và tính lại tỷ lệ cho deal đối ứng</t>
  </si>
  <si>
    <t>NGAN HANG TMCP SAI GON TAI LOC</t>
  </si>
  <si>
    <t>HCV12602</t>
  </si>
  <si>
    <t>MBBCD040227</t>
  </si>
  <si>
    <t>ACBCD090427</t>
  </si>
  <si>
    <t>HDB1CD031126</t>
  </si>
  <si>
    <t>EVNFC010227</t>
  </si>
  <si>
    <t>EVNFC170527</t>
  </si>
  <si>
    <t>NABCD041226</t>
  </si>
  <si>
    <t>NABCD200527</t>
  </si>
  <si>
    <t>VPBCD080427</t>
  </si>
  <si>
    <t>EIBCD291026</t>
  </si>
  <si>
    <t>VBB1Y130527</t>
  </si>
  <si>
    <t>PCB12601</t>
  </si>
  <si>
    <t>KOMPANION BANK CLOSED JOINT STOCK COMPANY</t>
  </si>
  <si>
    <t>QUOC GIA KYRGYZ REPUBLIC</t>
  </si>
  <si>
    <t>QG</t>
  </si>
  <si>
    <t>Change Rating</t>
  </si>
  <si>
    <t>Chang rv date</t>
  </si>
  <si>
    <t>New Rating</t>
  </si>
  <si>
    <t>MFKR</t>
  </si>
  <si>
    <t>GBA05310713</t>
  </si>
  <si>
    <t>GBA05310727</t>
  </si>
  <si>
    <t>FNRP BB MSB</t>
  </si>
  <si>
    <t>Currency</t>
  </si>
  <si>
    <t>Duration_range</t>
  </si>
  <si>
    <t>Security Name</t>
  </si>
  <si>
    <t>Type of Instr.</t>
  </si>
  <si>
    <t>Mat. Date</t>
  </si>
  <si>
    <t>Open Pos</t>
  </si>
  <si>
    <t>Price</t>
  </si>
  <si>
    <t>Clean Price</t>
  </si>
  <si>
    <t>QUANTITY</t>
  </si>
  <si>
    <t>Nominal</t>
  </si>
  <si>
    <t>Avg Price</t>
  </si>
  <si>
    <t>MARKET_VALUE</t>
  </si>
  <si>
    <t>Cpn Rate</t>
  </si>
  <si>
    <t>Accr Int</t>
  </si>
  <si>
    <t>Cpn Cumul</t>
  </si>
  <si>
    <t>Cpn Reinvested</t>
  </si>
  <si>
    <t>Cost of Carry</t>
  </si>
  <si>
    <t>Yield Mat</t>
  </si>
  <si>
    <t>Mod Dur</t>
  </si>
  <si>
    <t>DURATION</t>
  </si>
  <si>
    <t>Cnvx.</t>
  </si>
  <si>
    <t>Cnvx. Value</t>
  </si>
  <si>
    <t>BPV (K)</t>
  </si>
  <si>
    <t>Theta (K)</t>
  </si>
  <si>
    <t>REALIZED_CUR</t>
  </si>
  <si>
    <t>UNREALIZED_CUR</t>
  </si>
  <si>
    <t>P/L Clean Price</t>
  </si>
  <si>
    <t>P/L Currency</t>
  </si>
  <si>
    <t>P/L Local</t>
  </si>
  <si>
    <t>P/L Report</t>
  </si>
  <si>
    <t>avg yield</t>
  </si>
  <si>
    <t>SOM KYRGYZSTAN</t>
  </si>
  <si>
    <t>3 yrs &lt;= duration &lt; 5 yrs</t>
  </si>
  <si>
    <t>GOVBOND</t>
  </si>
  <si>
    <t>13/07/2031</t>
  </si>
  <si>
    <t>Buy</t>
  </si>
  <si>
    <t>27/07/2031</t>
  </si>
  <si>
    <t>Ccy</t>
  </si>
  <si>
    <t>Rate</t>
  </si>
  <si>
    <t>RateDate</t>
  </si>
  <si>
    <t>Source</t>
  </si>
  <si>
    <t>KGS</t>
  </si>
  <si>
    <t>HCVL12606</t>
  </si>
  <si>
    <t>TCBCD0251226</t>
  </si>
  <si>
    <t>ACBCD140127</t>
  </si>
  <si>
    <t>ACBCD190127</t>
  </si>
  <si>
    <t>ACBCD021226</t>
  </si>
  <si>
    <t>SHBL12601</t>
  </si>
  <si>
    <t>MCCD060827</t>
  </si>
  <si>
    <t>VABCD190827</t>
  </si>
  <si>
    <t>VBBCD180527</t>
  </si>
  <si>
    <t>VBB1Y180527</t>
  </si>
  <si>
    <t>MBVCD2180827</t>
  </si>
  <si>
    <t>MBVCD180827</t>
  </si>
  <si>
    <t>STBCD050827</t>
  </si>
  <si>
    <t>STBL12609</t>
  </si>
  <si>
    <t>Tỷ giá</t>
  </si>
  <si>
    <t>Ngân hàng TNHH MTV Việt Nam Hiện Đại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</si>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</sst>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m/d/yyyy"/>
    <numFmt numFmtId="166" formatCode="[$-409]mmm\-yy;@"/>
    <numFmt numFmtId="167" formatCode="_(* #,##0_);_(* \(#,##0\);_(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1"/>
      <color theme="1"/>
      <name val="Aptos Narrow"/>
      <family val="2"/>
      <scheme val="minor"/>
    </font>
    <font>
      <sz val="12"/>
      <color theme="1"/>
      <name val="Calibri Light"/>
      <family val="2"/>
    </font>
    <font>
      <b/>
      <sz val="12"/>
      <color rgb="FFFFFFFF"/>
      <name val="Calibri Light"/>
      <family val="2"/>
    </font>
    <font>
      <sz val="12"/>
      <color rgb="FF000000"/>
      <name val="Calibri Light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Calibri Light"/>
      <family val="2"/>
    </font>
    <font>
      <b/>
      <sz val="12"/>
      <color theme="1"/>
      <name val="Calibri Light"/>
      <family val="2"/>
    </font>
    <font>
      <b/>
      <sz val="12"/>
      <color rgb="FFFF0000"/>
      <name val="Calibri Light"/>
      <family val="2"/>
    </font>
    <font>
      <sz val="12"/>
      <name val="Calibri Light"/>
      <family val="2"/>
    </font>
    <font>
      <sz val="12"/>
      <color rgb="FFFFFFFF"/>
      <name val="Calibri Light"/>
      <family val="2"/>
    </font>
    <font>
      <sz val="12"/>
      <color rgb="FFFF0000"/>
      <name val="Calibri Light"/>
      <family val="2"/>
    </font>
    <font>
      <b/>
      <sz val="12"/>
      <color rgb="FF000000"/>
      <name val="Calibri Light"/>
      <family val="2"/>
    </font>
    <font>
      <sz val="12"/>
      <color theme="0"/>
      <name val="Calibri Light"/>
      <family val="2"/>
    </font>
    <font>
      <sz val="11"/>
      <color rgb="FFFFFF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6D2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14" fillId="13" borderId="13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</cellStyleXfs>
  <cellXfs count="141">
    <xf numFmtId="0" fontId="0" fillId="0" borderId="0" xfId="0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3" borderId="0" xfId="0" applyNumberFormat="1" applyFont="1" applyFill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4" fillId="0" borderId="0" xfId="0" applyFont="1"/>
    <xf numFmtId="0" fontId="4" fillId="0" borderId="0" xfId="0" quotePrefix="1" applyFont="1"/>
    <xf numFmtId="0" fontId="3" fillId="0" borderId="0" xfId="0" applyFont="1" applyAlignment="1">
      <alignment vertical="center"/>
    </xf>
    <xf numFmtId="0" fontId="10" fillId="3" borderId="0" xfId="0" applyFont="1" applyFill="1"/>
    <xf numFmtId="0" fontId="10" fillId="0" borderId="0" xfId="0" applyFont="1"/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3" fillId="12" borderId="0" xfId="0" applyFont="1" applyFill="1" applyAlignment="1">
      <alignment vertical="center"/>
    </xf>
    <xf numFmtId="14" fontId="4" fillId="12" borderId="0" xfId="0" applyNumberFormat="1" applyFont="1" applyFill="1" applyAlignment="1">
      <alignment horizontal="left" vertical="center"/>
    </xf>
    <xf numFmtId="0" fontId="10" fillId="12" borderId="0" xfId="0" applyFont="1" applyFill="1" applyAlignment="1">
      <alignment horizontal="center"/>
    </xf>
    <xf numFmtId="0" fontId="10" fillId="12" borderId="0" xfId="0" applyFont="1" applyFill="1"/>
    <xf numFmtId="14" fontId="2" fillId="0" borderId="0" xfId="1" applyNumberFormat="1" applyAlignment="1">
      <alignment horizontal="left"/>
    </xf>
    <xf numFmtId="14" fontId="0" fillId="0" borderId="0" xfId="0" applyNumberFormat="1"/>
    <xf numFmtId="0" fontId="9" fillId="3" borderId="0" xfId="0" applyFont="1" applyFill="1"/>
    <xf numFmtId="14" fontId="1" fillId="0" borderId="0" xfId="0" applyNumberFormat="1" applyFont="1"/>
    <xf numFmtId="0" fontId="1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5" fillId="3" borderId="0" xfId="0" applyFont="1" applyFill="1" applyAlignment="1">
      <alignment horizontal="right"/>
    </xf>
    <xf numFmtId="165" fontId="0" fillId="0" borderId="0" xfId="0" applyNumberFormat="1"/>
    <xf numFmtId="41" fontId="0" fillId="0" borderId="0" xfId="2" applyFont="1"/>
    <xf numFmtId="0" fontId="1" fillId="0" borderId="0" xfId="0" quotePrefix="1" applyFont="1"/>
    <xf numFmtId="166" fontId="15" fillId="0" borderId="0" xfId="6" applyFont="1" applyFill="1" applyBorder="1" applyAlignment="1">
      <alignment horizontal="center" vertical="center"/>
    </xf>
    <xf numFmtId="0" fontId="15" fillId="0" borderId="0" xfId="6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" fontId="0" fillId="0" borderId="0" xfId="0" applyNumberFormat="1"/>
    <xf numFmtId="14" fontId="4" fillId="0" borderId="0" xfId="0" quotePrefix="1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41" fontId="17" fillId="9" borderId="5" xfId="2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9" fontId="17" fillId="9" borderId="5" xfId="3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9" fontId="11" fillId="6" borderId="5" xfId="3" applyFont="1" applyFill="1" applyBorder="1" applyAlignment="1">
      <alignment horizontal="center" vertical="center" wrapText="1"/>
    </xf>
    <xf numFmtId="9" fontId="10" fillId="0" borderId="0" xfId="3" applyFont="1" applyBorder="1" applyAlignment="1">
      <alignment horizontal="center" vertical="center"/>
    </xf>
    <xf numFmtId="9" fontId="19" fillId="0" borderId="0" xfId="3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9" fontId="10" fillId="0" borderId="0" xfId="3" applyFont="1" applyAlignment="1">
      <alignment vertical="center"/>
    </xf>
    <xf numFmtId="0" fontId="20" fillId="0" borderId="6" xfId="0" applyFont="1" applyBorder="1" applyAlignment="1">
      <alignment horizontal="left" vertical="center"/>
    </xf>
    <xf numFmtId="41" fontId="20" fillId="0" borderId="0" xfId="2" applyFont="1" applyBorder="1" applyAlignment="1">
      <alignment horizontal="center" vertical="center"/>
    </xf>
    <xf numFmtId="165" fontId="20" fillId="11" borderId="0" xfId="0" applyNumberFormat="1" applyFont="1" applyFill="1" applyAlignment="1">
      <alignment horizontal="center" vertical="center"/>
    </xf>
    <xf numFmtId="9" fontId="20" fillId="11" borderId="0" xfId="3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 wrapText="1"/>
    </xf>
    <xf numFmtId="9" fontId="21" fillId="6" borderId="0" xfId="3" applyFont="1" applyFill="1" applyBorder="1" applyAlignment="1">
      <alignment horizontal="center" vertical="center" wrapText="1"/>
    </xf>
    <xf numFmtId="9" fontId="22" fillId="0" borderId="0" xfId="3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9" fontId="23" fillId="0" borderId="1" xfId="0" applyNumberFormat="1" applyFont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9" fontId="12" fillId="0" borderId="1" xfId="3" applyFont="1" applyFill="1" applyBorder="1" applyAlignment="1">
      <alignment horizontal="center" vertical="center" wrapText="1"/>
    </xf>
    <xf numFmtId="164" fontId="10" fillId="8" borderId="0" xfId="3" applyNumberFormat="1" applyFont="1" applyFill="1" applyAlignment="1">
      <alignment vertical="center"/>
    </xf>
    <xf numFmtId="9" fontId="12" fillId="8" borderId="1" xfId="3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vertical="center" wrapText="1"/>
    </xf>
    <xf numFmtId="3" fontId="17" fillId="9" borderId="1" xfId="0" applyNumberFormat="1" applyFont="1" applyFill="1" applyBorder="1" applyAlignment="1">
      <alignment horizontal="center" vertical="center" wrapText="1"/>
    </xf>
    <xf numFmtId="9" fontId="17" fillId="9" borderId="1" xfId="3" applyFont="1" applyFill="1" applyBorder="1" applyAlignment="1">
      <alignment horizontal="center" vertical="center" wrapText="1"/>
    </xf>
    <xf numFmtId="3" fontId="17" fillId="10" borderId="1" xfId="0" applyNumberFormat="1" applyFont="1" applyFill="1" applyBorder="1" applyAlignment="1">
      <alignment horizontal="center" vertical="center" wrapText="1"/>
    </xf>
    <xf numFmtId="9" fontId="17" fillId="10" borderId="1" xfId="3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1" fontId="10" fillId="0" borderId="1" xfId="2" applyFont="1" applyBorder="1" applyAlignment="1">
      <alignment vertical="center"/>
    </xf>
    <xf numFmtId="9" fontId="20" fillId="14" borderId="0" xfId="3" applyFont="1" applyFill="1" applyBorder="1" applyAlignment="1">
      <alignment horizontal="center" vertical="center"/>
    </xf>
    <xf numFmtId="41" fontId="20" fillId="0" borderId="0" xfId="2" applyFont="1" applyAlignment="1">
      <alignment horizontal="center" vertical="center"/>
    </xf>
    <xf numFmtId="0" fontId="17" fillId="9" borderId="7" xfId="0" applyFont="1" applyFill="1" applyBorder="1" applyAlignment="1">
      <alignment horizontal="left" vertical="center"/>
    </xf>
    <xf numFmtId="41" fontId="17" fillId="9" borderId="8" xfId="0" applyNumberFormat="1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14" fontId="17" fillId="9" borderId="8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41" fontId="10" fillId="0" borderId="0" xfId="2" applyFont="1" applyBorder="1" applyAlignment="1">
      <alignment vertical="center"/>
    </xf>
    <xf numFmtId="0" fontId="10" fillId="0" borderId="0" xfId="2" applyNumberFormat="1" applyFont="1" applyBorder="1" applyAlignment="1">
      <alignment horizontal="center" vertical="center"/>
    </xf>
    <xf numFmtId="9" fontId="10" fillId="0" borderId="0" xfId="3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1" fontId="18" fillId="0" borderId="1" xfId="0" applyNumberFormat="1" applyFont="1" applyBorder="1" applyAlignment="1">
      <alignment vertical="center"/>
    </xf>
    <xf numFmtId="9" fontId="17" fillId="0" borderId="0" xfId="3" applyFont="1" applyFill="1" applyBorder="1" applyAlignment="1">
      <alignment horizontal="center" vertical="center"/>
    </xf>
    <xf numFmtId="0" fontId="17" fillId="9" borderId="0" xfId="0" applyFont="1" applyFill="1" applyAlignment="1">
      <alignment horizontal="left" vertical="center"/>
    </xf>
    <xf numFmtId="41" fontId="17" fillId="9" borderId="0" xfId="0" applyNumberFormat="1" applyFont="1" applyFill="1" applyAlignment="1">
      <alignment horizontal="center" vertical="center"/>
    </xf>
    <xf numFmtId="14" fontId="17" fillId="9" borderId="0" xfId="0" applyNumberFormat="1" applyFont="1" applyFill="1" applyAlignment="1">
      <alignment horizontal="center" vertical="center"/>
    </xf>
    <xf numFmtId="41" fontId="17" fillId="9" borderId="0" xfId="2" applyFont="1" applyFill="1" applyBorder="1" applyAlignment="1">
      <alignment horizontal="center" vertical="center"/>
    </xf>
    <xf numFmtId="9" fontId="20" fillId="9" borderId="0" xfId="3" applyFont="1" applyFill="1" applyBorder="1" applyAlignment="1">
      <alignment horizontal="center" vertical="center"/>
    </xf>
    <xf numFmtId="41" fontId="10" fillId="0" borderId="0" xfId="2" applyFont="1" applyAlignment="1">
      <alignment vertical="center"/>
    </xf>
    <xf numFmtId="9" fontId="22" fillId="0" borderId="0" xfId="3" applyFont="1" applyFill="1" applyAlignment="1">
      <alignment vertical="center"/>
    </xf>
    <xf numFmtId="0" fontId="10" fillId="9" borderId="0" xfId="0" applyFont="1" applyFill="1"/>
    <xf numFmtId="0" fontId="17" fillId="9" borderId="0" xfId="0" applyFont="1" applyFill="1" applyAlignment="1">
      <alignment horizontal="center" vertical="center" wrapText="1"/>
    </xf>
    <xf numFmtId="41" fontId="17" fillId="9" borderId="0" xfId="2" applyFont="1" applyFill="1" applyBorder="1" applyAlignment="1">
      <alignment horizontal="center" vertical="center" wrapText="1"/>
    </xf>
    <xf numFmtId="0" fontId="20" fillId="15" borderId="0" xfId="2" applyNumberFormat="1" applyFont="1" applyFill="1" applyBorder="1" applyAlignment="1">
      <alignment horizontal="center" vertical="center"/>
    </xf>
    <xf numFmtId="9" fontId="10" fillId="11" borderId="0" xfId="3" applyFont="1" applyFill="1" applyBorder="1"/>
    <xf numFmtId="41" fontId="20" fillId="16" borderId="0" xfId="2" applyFont="1" applyFill="1" applyBorder="1" applyAlignment="1">
      <alignment horizontal="center" vertical="center"/>
    </xf>
    <xf numFmtId="9" fontId="20" fillId="16" borderId="0" xfId="3" applyFont="1" applyFill="1" applyBorder="1" applyAlignment="1">
      <alignment horizontal="center" vertical="center"/>
    </xf>
    <xf numFmtId="9" fontId="10" fillId="14" borderId="0" xfId="3" applyFont="1" applyFill="1" applyBorder="1"/>
    <xf numFmtId="41" fontId="11" fillId="5" borderId="1" xfId="2" applyFont="1" applyFill="1" applyBorder="1" applyAlignment="1">
      <alignment horizontal="center" vertical="center"/>
    </xf>
    <xf numFmtId="41" fontId="10" fillId="0" borderId="0" xfId="2" applyFont="1"/>
    <xf numFmtId="9" fontId="17" fillId="9" borderId="1" xfId="2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167" fontId="0" fillId="0" borderId="0" xfId="7" applyNumberFormat="1" applyFont="1"/>
    <xf numFmtId="0" fontId="25" fillId="0" borderId="0" xfId="0" applyFont="1"/>
    <xf numFmtId="43" fontId="12" fillId="0" borderId="1" xfId="0" applyNumberFormat="1" applyFont="1" applyBorder="1" applyAlignment="1">
      <alignment horizontal="center" vertical="center"/>
    </xf>
    <xf numFmtId="43" fontId="12" fillId="0" borderId="1" xfId="7" applyFont="1" applyBorder="1" applyAlignment="1">
      <alignment horizontal="center" vertical="center"/>
    </xf>
    <xf numFmtId="0" fontId="10" fillId="0" borderId="0" xfId="0" pivotButton="1" applyFont="1"/>
    <xf numFmtId="0" fontId="10" fillId="0" borderId="0" xfId="0" applyFont="1" applyAlignment="1">
      <alignment horizontal="left"/>
    </xf>
    <xf numFmtId="41" fontId="10" fillId="0" borderId="0" xfId="0" applyNumberFormat="1" applyFont="1"/>
    <xf numFmtId="0" fontId="20" fillId="0" borderId="0" xfId="0" applyFont="1" applyAlignment="1">
      <alignment horizontal="left" vertical="center"/>
    </xf>
    <xf numFmtId="0" fontId="20" fillId="15" borderId="0" xfId="2" applyNumberFormat="1" applyFont="1" applyFill="1" applyAlignment="1">
      <alignment horizontal="center" vertical="center"/>
    </xf>
    <xf numFmtId="41" fontId="10" fillId="11" borderId="0" xfId="2" applyFont="1" applyFill="1" applyBorder="1" applyAlignment="1">
      <alignment horizontal="center" vertical="center"/>
    </xf>
    <xf numFmtId="41" fontId="10" fillId="11" borderId="0" xfId="2" applyFont="1" applyFill="1" applyAlignment="1">
      <alignment horizontal="center" vertical="center"/>
    </xf>
    <xf numFmtId="165" fontId="20" fillId="0" borderId="0" xfId="2" applyNumberFormat="1" applyFont="1" applyBorder="1" applyAlignment="1">
      <alignment horizontal="center" vertical="center"/>
    </xf>
    <xf numFmtId="165" fontId="20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2" fontId="4" fillId="0" borderId="0" xfId="0" applyNumberFormat="1" applyFont="1" applyAlignment="1">
      <alignment horizontal="left"/>
    </xf>
    <xf numFmtId="0" fontId="11" fillId="6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</cellXfs>
  <cellStyles count="8">
    <cellStyle name="Comma" xfId="7" builtinId="3"/>
    <cellStyle name="Comma [0]" xfId="2" builtinId="6"/>
    <cellStyle name="Comma 13 10 4" xfId="4" xr:uid="{48951615-0B31-42A3-BA60-7B04350C28D1}"/>
    <cellStyle name="HeaderStyle 2" xfId="6" xr:uid="{2387687C-E6C3-4A8D-BF2B-00E037E9CEE3}"/>
    <cellStyle name="Hyperlink" xfId="1" builtinId="8"/>
    <cellStyle name="Normal" xfId="0" builtinId="0"/>
    <cellStyle name="Percent" xfId="3" builtinId="5"/>
    <cellStyle name="Percent 3" xfId="5" xr:uid="{5E6FFF52-7C44-434C-A7CA-F63DB8C3C4CF}"/>
  </cellStyles>
  <dxfs count="139"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165" formatCode="m/d/yyyy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m/d/yyyy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numFmt numFmtId="33" formatCode="_(* #,##0_);_(* \(#,##0\);_(* &quot;-&quot;_);_(@_)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numFmt numFmtId="165" formatCode="m/d/yyyy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numFmt numFmtId="33" formatCode="_(* #,##0_);_(* \(#,##0\);_(* &quot;-&quot;_);_(@_)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m/d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numFmt numFmtId="33" formatCode="_(* #,##0_);_(* \(#,##0\);_(* &quot;-&quot;_);_(@_)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hair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none"/>
      </font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numFmt numFmtId="19" formatCode="d/m/yyyy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65" formatCode="m/d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numFmt numFmtId="33" formatCode="_(* #,##0_);_(* \(#,##0\);_(* &quot;-&quot;_);_(@_)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rgb="FFC00000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  <dxf>
      <border>
        <bottom style="thin">
          <color theme="2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120386</xdr:colOff>
      <xdr:row>13</xdr:row>
      <xdr:rowOff>157441</xdr:rowOff>
    </xdr:from>
    <xdr:to>
      <xdr:col>5</xdr:col>
      <xdr:colOff>257931</xdr:colOff>
      <xdr:row>18</xdr:row>
      <xdr:rowOff>66556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1AEC653-D1DE-7B94-C5A4-BFA2090443AF}"/>
            </a:ext>
          </a:extLst>
        </xdr:cNvPr>
        <xdr:cNvSpPr/>
      </xdr:nvSpPr>
      <xdr:spPr>
        <a:xfrm>
          <a:off x="2209438" y="2809201"/>
          <a:ext cx="946438" cy="929023"/>
        </a:xfrm>
        <a:prstGeom prst="ellipse">
          <a:avLst/>
        </a:prstGeom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xdr:spPr>
      <xdr:style>
        <a:lnRef idx="0">
          <a:schemeClr val="lt1">
            <a:hueOff val="0"/>
            <a:satOff val="0"/>
            <a:lumOff val="0"/>
            <a:alphaOff val="0"/>
          </a:schemeClr>
        </a:lnRef>
        <a:fillRef idx="3">
          <a:schemeClr val="accent1">
            <a:hueOff val="0"/>
            <a:satOff val="0"/>
            <a:lumOff val="0"/>
            <a:alphaOff val="0"/>
          </a:schemeClr>
        </a:fillRef>
        <a:effectRef idx="2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</xdr:sp>
    <xdr:clientData/>
  </xdr:twoCellAnchor>
  <xdr:twoCellAnchor editAs="absolute">
    <xdr:from>
      <xdr:col>3</xdr:col>
      <xdr:colOff>150569</xdr:colOff>
      <xdr:row>13</xdr:row>
      <xdr:rowOff>187755</xdr:rowOff>
    </xdr:from>
    <xdr:to>
      <xdr:col>5</xdr:col>
      <xdr:colOff>227746</xdr:colOff>
      <xdr:row>18</xdr:row>
      <xdr:rowOff>36243</xdr:rowOff>
    </xdr:to>
    <xdr:sp macro="[0]!Backup" textlink="">
      <xdr:nvSpPr>
        <xdr:cNvPr id="19" name="Freeform: Shape 18">
          <a:extLst>
            <a:ext uri="{FF2B5EF4-FFF2-40B4-BE49-F238E27FC236}">
              <a16:creationId xmlns:a16="http://schemas.microsoft.com/office/drawing/2014/main" id="{EF04A1BB-03C8-0EEC-59FF-946CA2346321}"/>
            </a:ext>
          </a:extLst>
        </xdr:cNvPr>
        <xdr:cNvSpPr/>
      </xdr:nvSpPr>
      <xdr:spPr>
        <a:xfrm>
          <a:off x="2239621" y="2839515"/>
          <a:ext cx="886070" cy="868396"/>
        </a:xfrm>
        <a:custGeom>
          <a:avLst/>
          <a:gdLst>
            <a:gd name="connsiteX0" fmla="*/ 0 w 848703"/>
            <a:gd name="connsiteY0" fmla="*/ 424307 h 848613"/>
            <a:gd name="connsiteX1" fmla="*/ 424352 w 848703"/>
            <a:gd name="connsiteY1" fmla="*/ 0 h 848613"/>
            <a:gd name="connsiteX2" fmla="*/ 848704 w 848703"/>
            <a:gd name="connsiteY2" fmla="*/ 424307 h 848613"/>
            <a:gd name="connsiteX3" fmla="*/ 424352 w 848703"/>
            <a:gd name="connsiteY3" fmla="*/ 848614 h 848613"/>
            <a:gd name="connsiteX4" fmla="*/ 0 w 848703"/>
            <a:gd name="connsiteY4" fmla="*/ 424307 h 8486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48703" h="848613">
              <a:moveTo>
                <a:pt x="0" y="424307"/>
              </a:moveTo>
              <a:cubicBezTo>
                <a:pt x="0" y="189969"/>
                <a:pt x="189989" y="0"/>
                <a:pt x="424352" y="0"/>
              </a:cubicBezTo>
              <a:cubicBezTo>
                <a:pt x="658715" y="0"/>
                <a:pt x="848704" y="189969"/>
                <a:pt x="848704" y="424307"/>
              </a:cubicBezTo>
              <a:cubicBezTo>
                <a:pt x="848704" y="658645"/>
                <a:pt x="658715" y="848614"/>
                <a:pt x="424352" y="848614"/>
              </a:cubicBezTo>
              <a:cubicBezTo>
                <a:pt x="189989" y="848614"/>
                <a:pt x="0" y="658645"/>
                <a:pt x="0" y="424307"/>
              </a:cubicBezTo>
              <a:close/>
            </a:path>
          </a:pathLst>
        </a:custGeom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xdr:spPr>
      <xdr:style>
        <a:lnRef idx="1">
          <a:schemeClr val="accent1">
            <a:hueOff val="0"/>
            <a:satOff val="0"/>
            <a:lumOff val="0"/>
            <a:alphaOff val="0"/>
          </a:schemeClr>
        </a:lnRef>
        <a:fillRef idx="1">
          <a:schemeClr val="lt1">
            <a:alpha val="90000"/>
            <a:hueOff val="0"/>
            <a:satOff val="0"/>
            <a:lumOff val="0"/>
            <a:alphaOff val="0"/>
          </a:schemeClr>
        </a:fillRef>
        <a:effectRef idx="2">
          <a:schemeClr val="lt1">
            <a:alpha val="9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spcFirstLastPara="0" vert="horz" wrap="square" lIns="135298" tIns="135223" rIns="135298" bIns="135224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Backup</a:t>
          </a:r>
        </a:p>
      </xdr:txBody>
    </xdr:sp>
    <xdr:clientData/>
  </xdr:twoCellAnchor>
  <xdr:twoCellAnchor editAs="absolute">
    <xdr:from>
      <xdr:col>1</xdr:col>
      <xdr:colOff>823597</xdr:colOff>
      <xdr:row>14</xdr:row>
      <xdr:rowOff>10829</xdr:rowOff>
    </xdr:from>
    <xdr:to>
      <xdr:col>3</xdr:col>
      <xdr:colOff>11437</xdr:colOff>
      <xdr:row>18</xdr:row>
      <xdr:rowOff>121568</xdr:rowOff>
    </xdr:to>
    <xdr:sp macro="" textlink="">
      <xdr:nvSpPr>
        <xdr:cNvPr id="20" name="Teardrop 19">
          <a:extLst>
            <a:ext uri="{FF2B5EF4-FFF2-40B4-BE49-F238E27FC236}">
              <a16:creationId xmlns:a16="http://schemas.microsoft.com/office/drawing/2014/main" id="{91B984F0-C1D7-F107-C4C0-C8596B842B3C}"/>
            </a:ext>
          </a:extLst>
        </xdr:cNvPr>
        <xdr:cNvSpPr/>
      </xdr:nvSpPr>
      <xdr:spPr>
        <a:xfrm rot="2700000">
          <a:off x="1160489" y="2853236"/>
          <a:ext cx="926665" cy="953335"/>
        </a:xfrm>
        <a:prstGeom prst="teardrop">
          <a:avLst>
            <a:gd name="adj" fmla="val 100000"/>
          </a:avLst>
        </a:prstGeom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xdr:spPr>
      <xdr:style>
        <a:lnRef idx="0">
          <a:schemeClr val="lt1">
            <a:hueOff val="0"/>
            <a:satOff val="0"/>
            <a:lumOff val="0"/>
            <a:alphaOff val="0"/>
          </a:schemeClr>
        </a:lnRef>
        <a:fillRef idx="3">
          <a:schemeClr val="accent1">
            <a:hueOff val="0"/>
            <a:satOff val="0"/>
            <a:lumOff val="0"/>
            <a:alphaOff val="0"/>
          </a:schemeClr>
        </a:fillRef>
        <a:effectRef idx="2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</xdr:sp>
    <xdr:clientData/>
  </xdr:twoCellAnchor>
  <xdr:twoCellAnchor editAs="absolute">
    <xdr:from>
      <xdr:col>1</xdr:col>
      <xdr:colOff>852687</xdr:colOff>
      <xdr:row>14</xdr:row>
      <xdr:rowOff>25976</xdr:rowOff>
    </xdr:from>
    <xdr:to>
      <xdr:col>2</xdr:col>
      <xdr:colOff>819375</xdr:colOff>
      <xdr:row>18</xdr:row>
      <xdr:rowOff>78446</xdr:rowOff>
    </xdr:to>
    <xdr:sp macro="[0]!Upload53" textlink="">
      <xdr:nvSpPr>
        <xdr:cNvPr id="21" name="Freeform: Shape 20">
          <a:extLst>
            <a:ext uri="{FF2B5EF4-FFF2-40B4-BE49-F238E27FC236}">
              <a16:creationId xmlns:a16="http://schemas.microsoft.com/office/drawing/2014/main" id="{E08C82DF-C642-CA18-BF4B-88F9A7D37CC0}"/>
            </a:ext>
          </a:extLst>
        </xdr:cNvPr>
        <xdr:cNvSpPr/>
      </xdr:nvSpPr>
      <xdr:spPr>
        <a:xfrm>
          <a:off x="1176244" y="2881718"/>
          <a:ext cx="895156" cy="868396"/>
        </a:xfrm>
        <a:custGeom>
          <a:avLst/>
          <a:gdLst>
            <a:gd name="connsiteX0" fmla="*/ 0 w 848703"/>
            <a:gd name="connsiteY0" fmla="*/ 424307 h 848613"/>
            <a:gd name="connsiteX1" fmla="*/ 424352 w 848703"/>
            <a:gd name="connsiteY1" fmla="*/ 0 h 848613"/>
            <a:gd name="connsiteX2" fmla="*/ 848704 w 848703"/>
            <a:gd name="connsiteY2" fmla="*/ 424307 h 848613"/>
            <a:gd name="connsiteX3" fmla="*/ 424352 w 848703"/>
            <a:gd name="connsiteY3" fmla="*/ 848614 h 848613"/>
            <a:gd name="connsiteX4" fmla="*/ 0 w 848703"/>
            <a:gd name="connsiteY4" fmla="*/ 424307 h 8486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48703" h="848613">
              <a:moveTo>
                <a:pt x="0" y="424307"/>
              </a:moveTo>
              <a:cubicBezTo>
                <a:pt x="0" y="189969"/>
                <a:pt x="189989" y="0"/>
                <a:pt x="424352" y="0"/>
              </a:cubicBezTo>
              <a:cubicBezTo>
                <a:pt x="658715" y="0"/>
                <a:pt x="848704" y="189969"/>
                <a:pt x="848704" y="424307"/>
              </a:cubicBezTo>
              <a:cubicBezTo>
                <a:pt x="848704" y="658645"/>
                <a:pt x="658715" y="848614"/>
                <a:pt x="424352" y="848614"/>
              </a:cubicBezTo>
              <a:cubicBezTo>
                <a:pt x="189989" y="848614"/>
                <a:pt x="0" y="658645"/>
                <a:pt x="0" y="424307"/>
              </a:cubicBezTo>
              <a:close/>
            </a:path>
          </a:pathLst>
        </a:custGeom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xdr:spPr>
      <xdr:style>
        <a:lnRef idx="1">
          <a:schemeClr val="accent1">
            <a:hueOff val="0"/>
            <a:satOff val="0"/>
            <a:lumOff val="0"/>
            <a:alphaOff val="0"/>
          </a:schemeClr>
        </a:lnRef>
        <a:fillRef idx="1">
          <a:schemeClr val="lt1">
            <a:alpha val="90000"/>
            <a:hueOff val="0"/>
            <a:satOff val="0"/>
            <a:lumOff val="0"/>
            <a:alphaOff val="0"/>
          </a:schemeClr>
        </a:fillRef>
        <a:effectRef idx="2">
          <a:schemeClr val="lt1">
            <a:alpha val="9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spcFirstLastPara="0" vert="horz" wrap="square" lIns="135298" tIns="135223" rIns="135298" bIns="135224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Upload53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m Pham Duc (QLRR - QLRRTTTK RRTT&amp;LSSNH)" refreshedDate="46269.615674884262" createdVersion="8" refreshedVersion="8" minRefreshableVersion="3" recordCount="64" xr:uid="{90A2C71A-ABEF-47B3-B76E-D7038DDABCB7}">
  <cacheSource type="worksheet">
    <worksheetSource ref="W1:AL1048576" sheet="Portfolio"/>
  </cacheSource>
  <cacheFields count="16">
    <cacheField name="Issuer" numFmtId="0">
      <sharedItems containsBlank="1"/>
    </cacheField>
    <cacheField name="Issuer_Name" numFmtId="0">
      <sharedItems containsBlank="1"/>
    </cacheField>
    <cacheField name="Bond_Code" numFmtId="0">
      <sharedItems containsBlank="1"/>
    </cacheField>
    <cacheField name="Tenor" numFmtId="0">
      <sharedItems containsBlank="1"/>
    </cacheField>
    <cacheField name="Tenor (c/p)" numFmtId="0">
      <sharedItems containsBlank="1"/>
    </cacheField>
    <cacheField name="Rating" numFmtId="0">
      <sharedItems containsBlank="1"/>
    </cacheField>
    <cacheField name="Review Date" numFmtId="0">
      <sharedItems containsNonDate="0" containsDate="1" containsString="0" containsBlank="1" minDate="2025-03-31T00:00:00" maxDate="2026-07-16T00:00:00"/>
    </cacheField>
    <cacheField name="Fitch Rating" numFmtId="0">
      <sharedItems containsBlank="1"/>
    </cacheField>
    <cacheField name="Moody Rating" numFmtId="0">
      <sharedItems containsBlank="1"/>
    </cacheField>
    <cacheField name="S&amp;P Rating" numFmtId="0">
      <sharedItems containsBlank="1"/>
    </cacheField>
    <cacheField name="Total Amount" numFmtId="41">
      <sharedItems containsString="0" containsBlank="1" containsNumber="1" minValue="39.1" maxValue="36728.614621046581"/>
    </cacheField>
    <cacheField name="Tỷ lệ lũy kế" numFmtId="0">
      <sharedItems containsString="0" containsBlank="1" containsNumber="1" minValue="1.3613363998583416E-3" maxValue="1.875309873693801"/>
    </cacheField>
    <cacheField name="Amount adj đối ứng" numFmtId="41">
      <sharedItems containsString="0" containsBlank="1" containsNumber="1" minValue="0" maxValue="27478.614621046578"/>
    </cacheField>
    <cacheField name="Tỷ lệ lũy kế2" numFmtId="0">
      <sharedItems containsString="0" containsBlank="1" containsNumber="1" minValue="1.7328851395806992E-3" maxValue="1.0476543413384689"/>
    </cacheField>
    <cacheField name="Tenor (ca/pu)" numFmtId="9">
      <sharedItems containsBlank="1" count="9">
        <s v="&lt;1M"/>
        <s v="1-3M"/>
        <s v="6M-1Y"/>
        <s v="1-2Y"/>
        <s v="2-3Y"/>
        <s v="3-6M"/>
        <s v="5-7Y"/>
        <s v="3-5Y"/>
        <m/>
      </sharedItems>
    </cacheField>
    <cacheField name="Field16" caption="Field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m Pham Duc (QLRR - QLRRTTTK RRTT&amp;LSSNH)" refreshedDate="46269.615868749999" createdVersion="8" refreshedVersion="8" minRefreshableVersion="3" recordCount="54" xr:uid="{E43D06C2-348E-4713-B0F4-075BB32DA794}">
  <cacheSource type="worksheet">
    <worksheetSource name="Portfolio_by_bond"/>
  </cacheSource>
  <cacheFields count="11">
    <cacheField name="Issuer" numFmtId="0">
      <sharedItems/>
    </cacheField>
    <cacheField name="Issuer_Name" numFmtId="0">
      <sharedItems/>
    </cacheField>
    <cacheField name="Bond_Code" numFmtId="0">
      <sharedItems/>
    </cacheField>
    <cacheField name="Tenor" numFmtId="0">
      <sharedItems count="8">
        <s v="&lt;1M"/>
        <s v="1-3M"/>
        <s v="6M-1Y"/>
        <s v="1-2Y"/>
        <s v="2-3Y"/>
        <s v="3-6M"/>
        <s v="5-7Y"/>
        <s v="3-5Y"/>
      </sharedItems>
    </cacheField>
    <cacheField name="Tenor (c/p)" numFmtId="0">
      <sharedItems containsBlank="1"/>
    </cacheField>
    <cacheField name="Rating" numFmtId="0">
      <sharedItems/>
    </cacheField>
    <cacheField name="Review Date" numFmtId="165">
      <sharedItems containsNonDate="0" containsDate="1" containsString="0" containsBlank="1" minDate="2025-03-31T00:00:00" maxDate="2026-07-16T00:00:00"/>
    </cacheField>
    <cacheField name="Fitch Rating" numFmtId="0">
      <sharedItems containsBlank="1"/>
    </cacheField>
    <cacheField name="Moody Rating" numFmtId="0">
      <sharedItems containsBlank="1"/>
    </cacheField>
    <cacheField name="S&amp;P Rating" numFmtId="0">
      <sharedItems containsBlank="1"/>
    </cacheField>
    <cacheField name="Total Amount" numFmtId="41">
      <sharedItems containsSemiMixedTypes="0" containsString="0" containsNumber="1" minValue="39.1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HCVN"/>
    <s v="CONG TY TAI CHINH TNHH MTV HOME CREDIT VN"/>
    <s v="HCVCD180926"/>
    <s v="&lt;1M"/>
    <m/>
    <s v="AAA"/>
    <d v="2026-04-16T00:00:00"/>
    <m/>
    <m/>
    <m/>
    <n v="50"/>
    <n v="1.3613363998583416E-3"/>
    <n v="50"/>
    <n v="1.7328851395806992E-3"/>
    <x v="0"/>
    <m/>
  </r>
  <r>
    <s v="HCVN"/>
    <s v="CONG TY TAI CHINH TNHH MTV HOME CREDIT VN"/>
    <s v="HCVCD231026"/>
    <s v="1-3M"/>
    <m/>
    <s v="AAA"/>
    <d v="2026-04-16T00:00:00"/>
    <m/>
    <m/>
    <m/>
    <n v="200"/>
    <n v="6.8066819992917086E-3"/>
    <n v="200"/>
    <n v="8.6644256979034953E-3"/>
    <x v="1"/>
    <m/>
  </r>
  <r>
    <s v="HCVN"/>
    <s v="CONG TY TAI CHINH TNHH MTV HOME CREDIT VN"/>
    <s v="HCVNCD190427"/>
    <s v="6M-1Y"/>
    <m/>
    <s v="AAA"/>
    <d v="2026-04-16T00:00:00"/>
    <m/>
    <m/>
    <m/>
    <n v="400"/>
    <n v="1.7697373198158443E-2"/>
    <n v="400"/>
    <n v="2.2527506814549091E-2"/>
    <x v="2"/>
    <m/>
  </r>
  <r>
    <s v="HCVN"/>
    <s v="CONG TY TAI CHINH TNHH MTV HOME CREDIT VN"/>
    <s v="HCV12502"/>
    <s v="6M-1Y"/>
    <m/>
    <s v="AAA"/>
    <d v="2026-04-16T00:00:00"/>
    <m/>
    <m/>
    <m/>
    <n v="400"/>
    <n v="2.8588064397025176E-2"/>
    <n v="400"/>
    <n v="3.6390587931194686E-2"/>
    <x v="2"/>
    <m/>
  </r>
  <r>
    <s v="HCVN"/>
    <s v="CONG TY TAI CHINH TNHH MTV HOME CREDIT VN"/>
    <s v="HCVL12606"/>
    <s v="1-2Y"/>
    <m/>
    <s v="AAA"/>
    <d v="2026-04-16T00:00:00"/>
    <m/>
    <m/>
    <m/>
    <n v="200"/>
    <n v="3.4033409996458541E-2"/>
    <n v="200"/>
    <n v="4.3322128489517484E-2"/>
    <x v="3"/>
    <m/>
  </r>
  <r>
    <s v="HCVN"/>
    <s v="CONG TY TAI CHINH TNHH MTV HOME CREDIT VN"/>
    <s v="HCV12602"/>
    <s v="2-3Y"/>
    <m/>
    <s v="AAA"/>
    <d v="2026-04-16T00:00:00"/>
    <m/>
    <m/>
    <m/>
    <n v="1000"/>
    <n v="6.1260137993625369E-2"/>
    <n v="1000"/>
    <n v="7.7979831281131465E-2"/>
    <x v="4"/>
    <m/>
  </r>
  <r>
    <s v="MCSB"/>
    <s v="NGAN HANG TMCP QUAN DOI"/>
    <s v="MBBOND2027"/>
    <s v="1-2Y"/>
    <m/>
    <s v="AAA"/>
    <d v="2026-04-24T00:00:00"/>
    <s v="BB"/>
    <s v="Ba2"/>
    <m/>
    <n v="500"/>
    <n v="7.4873501992208782E-2"/>
    <n v="500"/>
    <n v="9.5308682676938455E-2"/>
    <x v="3"/>
    <m/>
  </r>
  <r>
    <s v="MCSB"/>
    <s v="NGAN HANG TMCP QUAN DOI"/>
    <s v="MBBCD040227"/>
    <s v="3-6M"/>
    <m/>
    <s v="AAA"/>
    <d v="2026-04-24T00:00:00"/>
    <s v="BB"/>
    <s v="Ba2"/>
    <m/>
    <n v="715"/>
    <n v="9.4340612510183067E-2"/>
    <n v="715"/>
    <n v="0.12008894017294246"/>
    <x v="5"/>
    <m/>
  </r>
  <r>
    <s v="TCBV-HO"/>
    <s v="NGAN HANG TMCP KY THUONG VN"/>
    <s v="TCBCD0251226"/>
    <s v="3-6M"/>
    <m/>
    <s v="AAA"/>
    <d v="2026-07-08T00:00:00"/>
    <m/>
    <m/>
    <m/>
    <n v="300"/>
    <n v="0.10250863090933311"/>
    <n v="300"/>
    <n v="0.13048625101042666"/>
    <x v="5"/>
    <m/>
  </r>
  <r>
    <s v="TCBV-HO"/>
    <s v="NGAN HANG TMCP KY THUONG VN"/>
    <s v="TCB12603"/>
    <s v="2-3Y"/>
    <s v="6M-1Y"/>
    <s v="AAA"/>
    <d v="2026-07-08T00:00:00"/>
    <m/>
    <m/>
    <m/>
    <n v="2000"/>
    <n v="0.15696208690366678"/>
    <n v="2000"/>
    <n v="0.19980165659365462"/>
    <x v="2"/>
    <m/>
  </r>
  <r>
    <s v="VBAH"/>
    <s v="NGAN HANG NONG NGHIEP VA PHAT TRIEN NONG THON"/>
    <s v="VBA12503"/>
    <s v="6M-1Y"/>
    <m/>
    <s v="AAA"/>
    <d v="2026-06-30T00:00:00"/>
    <m/>
    <s v="Ba2"/>
    <m/>
    <n v="3000"/>
    <n v="0.23864227089516726"/>
    <n v="3000"/>
    <n v="0.30377476496849654"/>
    <x v="2"/>
    <m/>
  </r>
  <r>
    <s v="ACBV"/>
    <s v="NGAN HANG TMCP A CHAU"/>
    <s v="ACBCD140127"/>
    <s v="3-6M"/>
    <m/>
    <s v="AA"/>
    <d v="2026-06-30T00:00:00"/>
    <s v="BB-"/>
    <s v="Ba3"/>
    <m/>
    <n v="300"/>
    <n v="0.24681028929431731"/>
    <n v="300"/>
    <n v="0.31417207580598072"/>
    <x v="5"/>
    <m/>
  </r>
  <r>
    <s v="ACBV"/>
    <s v="NGAN HANG TMCP A CHAU"/>
    <s v="ACBCD090427"/>
    <s v="6M-1Y"/>
    <m/>
    <s v="AA"/>
    <d v="2026-06-30T00:00:00"/>
    <s v="BB-"/>
    <s v="Ba3"/>
    <m/>
    <n v="200"/>
    <n v="0.25225563489375069"/>
    <n v="200"/>
    <n v="0.32110361636430351"/>
    <x v="2"/>
    <m/>
  </r>
  <r>
    <s v="ACBV"/>
    <s v="NGAN HANG TMCP A CHAU"/>
    <s v="ACBCD190127"/>
    <s v="3-6M"/>
    <m/>
    <s v="AA"/>
    <d v="2026-06-30T00:00:00"/>
    <s v="BB-"/>
    <s v="Ba3"/>
    <m/>
    <n v="400"/>
    <n v="0.2631463260926174"/>
    <n v="400"/>
    <n v="0.33496669748094909"/>
    <x v="5"/>
    <m/>
  </r>
  <r>
    <s v="ACBV"/>
    <s v="NGAN HANG TMCP A CHAU"/>
    <s v="ACBCD021226"/>
    <s v="1-3M"/>
    <m/>
    <s v="AA"/>
    <d v="2026-06-30T00:00:00"/>
    <s v="BB-"/>
    <s v="Ba3"/>
    <m/>
    <n v="500"/>
    <n v="0.27675969009120083"/>
    <n v="500"/>
    <n v="0.35229554887675607"/>
    <x v="1"/>
    <m/>
  </r>
  <r>
    <s v="HDBV"/>
    <s v="NGAN HANG TMCP PHAT TRIEN TP  HO CHI MINH"/>
    <s v="HDB125011"/>
    <s v="5-7Y"/>
    <s v="6M-1Y"/>
    <s v="AA"/>
    <d v="2025-12-31T00:00:00"/>
    <m/>
    <s v="B1"/>
    <m/>
    <n v="397.61059999999998"/>
    <n v="0.28758532574619111"/>
    <n v="397.61059999999998"/>
    <n v="0.36607581887835139"/>
    <x v="2"/>
    <m/>
  </r>
  <r>
    <s v="HDBV"/>
    <s v="NGAN HANG TMCP PHAT TRIEN TP  HO CHI MINH"/>
    <s v="HDB12M261126"/>
    <s v="1-3M"/>
    <m/>
    <s v="AA"/>
    <d v="2025-12-31T00:00:00"/>
    <m/>
    <s v="B1"/>
    <m/>
    <n v="1500"/>
    <n v="0.32842541774194134"/>
    <n v="0"/>
    <n v="0.36607581887835139"/>
    <x v="1"/>
    <m/>
  </r>
  <r>
    <s v="HDBV"/>
    <s v="NGAN HANG TMCP PHAT TRIEN TP  HO CHI MINH"/>
    <s v="HDB1CD031126"/>
    <s v="1-3M"/>
    <m/>
    <s v="AA"/>
    <d v="2025-12-31T00:00:00"/>
    <m/>
    <s v="B1"/>
    <m/>
    <n v="800"/>
    <n v="0.35020680013967481"/>
    <n v="800"/>
    <n v="0.39380198111164255"/>
    <x v="1"/>
    <m/>
  </r>
  <r>
    <s v="LVBT"/>
    <s v="NGAN HANG TMCP LOC PHAT VN"/>
    <s v="LPB12407"/>
    <s v="&lt;1M"/>
    <s v="&lt;1M"/>
    <s v="AA"/>
    <d v="2026-06-26T00:00:00"/>
    <m/>
    <s v="Ba3"/>
    <m/>
    <n v="1000"/>
    <n v="0.37743352813684167"/>
    <n v="1000"/>
    <n v="0.42845968390325651"/>
    <x v="0"/>
    <m/>
  </r>
  <r>
    <s v="TC_DIENLUC"/>
    <s v="CONG TY TAI CHINH CO PHAN DIEN LUC"/>
    <s v="EVNFC160427"/>
    <s v="6M-1Y"/>
    <m/>
    <s v="AA"/>
    <d v="2026-05-22T00:00:00"/>
    <m/>
    <s v="B2"/>
    <m/>
    <n v="300"/>
    <n v="0.38560154653599171"/>
    <n v="300"/>
    <n v="0.43885699474074069"/>
    <x v="2"/>
    <m/>
  </r>
  <r>
    <s v="TC_DIENLUC"/>
    <s v="CONG TY TAI CHINH CO PHAN DIEN LUC"/>
    <s v="EVNFC260427"/>
    <s v="6M-1Y"/>
    <m/>
    <s v="AA"/>
    <d v="2026-05-22T00:00:00"/>
    <m/>
    <s v="B2"/>
    <m/>
    <n v="100"/>
    <n v="0.38832421933570838"/>
    <n v="100"/>
    <n v="0.44232276501990209"/>
    <x v="2"/>
    <m/>
  </r>
  <r>
    <s v="TC_DIENLUC"/>
    <s v="CONG TY TAI CHINH CO PHAN DIEN LUC"/>
    <s v="EVNFC170527"/>
    <s v="6M-1Y"/>
    <m/>
    <s v="AA"/>
    <d v="2026-05-22T00:00:00"/>
    <m/>
    <s v="B2"/>
    <m/>
    <n v="390"/>
    <n v="0.39894264325460344"/>
    <n v="390"/>
    <n v="0.45583926910863154"/>
    <x v="2"/>
    <m/>
  </r>
  <r>
    <s v="TC_DIENLUC"/>
    <s v="CONG TY TAI CHINH CO PHAN DIEN LUC"/>
    <s v="EVNFC010227"/>
    <s v="3-6M"/>
    <m/>
    <s v="AA"/>
    <d v="2026-05-22T00:00:00"/>
    <m/>
    <s v="B2"/>
    <m/>
    <n v="57"/>
    <n v="0.40049456675044193"/>
    <n v="57"/>
    <n v="0.45781475816775352"/>
    <x v="5"/>
    <m/>
  </r>
  <r>
    <s v="VPVN"/>
    <s v="NGAN HANG TMCP VIET NAM THINH VUONG"/>
    <s v="VPBCD080427"/>
    <s v="6M-1Y"/>
    <m/>
    <s v="AA"/>
    <d v="2026-04-30T00:00:00"/>
    <m/>
    <s v="Ba3"/>
    <m/>
    <n v="400"/>
    <n v="0.41138525794930864"/>
    <n v="400"/>
    <n v="0.4716778392843991"/>
    <x v="2"/>
    <m/>
  </r>
  <r>
    <s v="SABH"/>
    <s v="NGAN HANG TMCP NAM A"/>
    <s v="NABCD041226"/>
    <s v="3-6M"/>
    <m/>
    <s v="A"/>
    <d v="2026-04-29T00:00:00"/>
    <s v="B+"/>
    <s v="B2"/>
    <m/>
    <n v="1000"/>
    <n v="0.43861198594647549"/>
    <n v="1000"/>
    <n v="0.50633554207601306"/>
    <x v="5"/>
    <m/>
  </r>
  <r>
    <s v="SABH"/>
    <s v="NGAN HANG TMCP NAM A"/>
    <s v="NABCD200527"/>
    <s v="6M-1Y"/>
    <m/>
    <s v="A"/>
    <d v="2026-04-29T00:00:00"/>
    <s v="B+"/>
    <s v="B2"/>
    <m/>
    <n v="2000"/>
    <n v="0.49306544194080915"/>
    <n v="2000"/>
    <n v="0.57565094765924107"/>
    <x v="2"/>
    <m/>
  </r>
  <r>
    <s v="SHBV"/>
    <s v="NGAN HANG TMCP SAI GON HA NOI"/>
    <s v="SHBL12601"/>
    <s v="5-7Y"/>
    <m/>
    <s v="A"/>
    <d v="2026-07-08T00:00:00"/>
    <s v="BB-"/>
    <s v="B1"/>
    <m/>
    <n v="1000"/>
    <n v="0.520292169937976"/>
    <n v="1000"/>
    <n v="0.61030865045085503"/>
    <x v="6"/>
    <m/>
  </r>
  <r>
    <s v="SHBV"/>
    <s v="NGAN HANG TMCP SAI GON HA NOI"/>
    <s v="SHB12503"/>
    <s v="5-7Y"/>
    <s v="6M-1Y"/>
    <s v="A"/>
    <d v="2026-07-08T00:00:00"/>
    <s v="BB-"/>
    <s v="B1"/>
    <m/>
    <n v="500"/>
    <n v="0.53390553393655937"/>
    <n v="500"/>
    <n v="0.627637501846662"/>
    <x v="2"/>
    <m/>
  </r>
  <r>
    <s v="NABV"/>
    <s v="NGAN HANG TMCP BAC A"/>
    <s v="BAB12603"/>
    <s v="6M-1Y"/>
    <s v="6M-1Y"/>
    <s v="BBB"/>
    <d v="2026-05-04T00:00:00"/>
    <s v="B+"/>
    <m/>
    <m/>
    <n v="1000"/>
    <n v="0.56113226193372623"/>
    <n v="0"/>
    <n v="0.627637501846662"/>
    <x v="2"/>
    <m/>
  </r>
  <r>
    <s v="NABV"/>
    <s v="NGAN HANG TMCP BAC A"/>
    <s v="BAB12601"/>
    <s v="6M-1Y"/>
    <s v="6M-1Y"/>
    <s v="BBB"/>
    <d v="2026-05-04T00:00:00"/>
    <s v="B+"/>
    <m/>
    <m/>
    <n v="2000"/>
    <n v="0.61558571792805994"/>
    <n v="0"/>
    <n v="0.627637501846662"/>
    <x v="2"/>
    <m/>
  </r>
  <r>
    <s v="OCBV"/>
    <s v="NGAN HANG TMCP PHUONG DONG"/>
    <s v="OCBCD241126"/>
    <s v="1-3M"/>
    <m/>
    <s v="BBB"/>
    <d v="2026-07-03T00:00:00"/>
    <m/>
    <s v="Ba3"/>
    <m/>
    <n v="2000"/>
    <n v="0.67003917392239365"/>
    <n v="0"/>
    <n v="0.627637501846662"/>
    <x v="1"/>
    <m/>
  </r>
  <r>
    <s v="OCBV"/>
    <s v="NGAN HANG TMCP PHUONG DONG"/>
    <s v="OCBCD281026"/>
    <s v="1-3M"/>
    <m/>
    <s v="BBB"/>
    <d v="2026-07-03T00:00:00"/>
    <m/>
    <s v="Ba3"/>
    <m/>
    <n v="500"/>
    <n v="0.68365253792097702"/>
    <n v="500"/>
    <n v="0.64496635324246898"/>
    <x v="1"/>
    <m/>
  </r>
  <r>
    <s v="EIBV"/>
    <s v="NGAN HANG TMCP XUAT NHAP KHAU VN"/>
    <s v="EIBCD291026"/>
    <s v="1-3M"/>
    <m/>
    <s v="BB"/>
    <d v="2026-06-17T00:00:00"/>
    <m/>
    <m/>
    <s v="B+"/>
    <n v="500"/>
    <n v="0.69726590191956039"/>
    <n v="500"/>
    <n v="0.66229520463827596"/>
    <x v="1"/>
    <m/>
  </r>
  <r>
    <s v="EIBV"/>
    <s v="NGAN HANG TMCP XUAT NHAP KHAU VN"/>
    <s v="EIBCD240926"/>
    <s v="&lt;1M"/>
    <m/>
    <s v="BB"/>
    <d v="2026-06-17T00:00:00"/>
    <m/>
    <m/>
    <s v="B+"/>
    <n v="1000"/>
    <n v="0.72449262991672725"/>
    <n v="1000"/>
    <n v="0.69695290742988991"/>
    <x v="0"/>
    <m/>
  </r>
  <r>
    <s v="TC_SHINSEI"/>
    <s v="CONG TY TAI CHINH TNHH MB SHINSEI"/>
    <s v="MCCD240327"/>
    <s v="6M-1Y"/>
    <m/>
    <s v="BB"/>
    <d v="2025-03-31T00:00:00"/>
    <s v="B+"/>
    <m/>
    <m/>
    <n v="400"/>
    <n v="0.73538332111559401"/>
    <n v="400"/>
    <n v="0.71081598854653549"/>
    <x v="2"/>
    <m/>
  </r>
  <r>
    <s v="TC_SHINSEI"/>
    <s v="CONG TY TAI CHINH TNHH MB SHINSEI"/>
    <s v="MSF12404"/>
    <s v="3-6M"/>
    <m/>
    <s v="BB"/>
    <d v="2025-03-31T00:00:00"/>
    <s v="B+"/>
    <m/>
    <m/>
    <n v="400"/>
    <n v="0.74627401231446078"/>
    <n v="400"/>
    <n v="0.72467906966318107"/>
    <x v="5"/>
    <m/>
  </r>
  <r>
    <s v="TC_SHINSEI"/>
    <s v="CONG TY TAI CHINH TNHH MB SHINSEI"/>
    <s v="MCCD060827"/>
    <s v="6M-1Y"/>
    <m/>
    <s v="BB"/>
    <d v="2025-03-31T00:00:00"/>
    <s v="B+"/>
    <m/>
    <m/>
    <n v="200"/>
    <n v="0.7517193579138941"/>
    <n v="200"/>
    <n v="0.73161061022150387"/>
    <x v="2"/>
    <m/>
  </r>
  <r>
    <s v="VABV"/>
    <s v="NGAN HANG TMCP VIET A"/>
    <s v="VABCD190827"/>
    <s v="6M-1Y"/>
    <m/>
    <s v="BB"/>
    <d v="2025-05-15T00:00:00"/>
    <s v="B+"/>
    <s v="B2"/>
    <m/>
    <n v="600"/>
    <n v="0.76805539471219419"/>
    <n v="600"/>
    <n v="0.75240523189647224"/>
    <x v="2"/>
    <m/>
  </r>
  <r>
    <s v="VCCB"/>
    <s v="NGAN HANG TMCP BAN VIET"/>
    <s v="VCCB1Y301026"/>
    <s v="1-3M"/>
    <m/>
    <s v="BB"/>
    <d v="2026-07-06T00:00:00"/>
    <s v="B+"/>
    <m/>
    <m/>
    <n v="250"/>
    <n v="0.77486207671148588"/>
    <n v="250"/>
    <n v="0.76106965759437573"/>
    <x v="1"/>
    <m/>
  </r>
  <r>
    <s v="VIETBANK"/>
    <s v="NGAN HANG TMCP VIET NAM THUONG TIN"/>
    <s v="VBB1Y130527"/>
    <s v="6M-1Y"/>
    <m/>
    <s v="BB"/>
    <d v="2026-04-16T00:00:00"/>
    <m/>
    <m/>
    <m/>
    <n v="200"/>
    <n v="0.78030742231091921"/>
    <n v="200"/>
    <n v="0.76800119815269852"/>
    <x v="2"/>
    <m/>
  </r>
  <r>
    <s v="VIETBANK"/>
    <s v="NGAN HANG TMCP VIET NAM THUONG TIN"/>
    <s v="VBBCD180527"/>
    <s v="6M-1Y"/>
    <m/>
    <s v="BB"/>
    <d v="2026-04-16T00:00:00"/>
    <m/>
    <m/>
    <m/>
    <n v="900"/>
    <n v="0.80481147750836934"/>
    <n v="900"/>
    <n v="0.79919313066515107"/>
    <x v="2"/>
    <m/>
  </r>
  <r>
    <s v="VIETBANK"/>
    <s v="NGAN HANG TMCP VIET NAM THUONG TIN"/>
    <s v="VBB1Y180527"/>
    <s v="6M-1Y"/>
    <m/>
    <s v="BB"/>
    <d v="2026-04-16T00:00:00"/>
    <m/>
    <m/>
    <m/>
    <n v="400"/>
    <n v="0.81570216870723611"/>
    <n v="400"/>
    <n v="0.81305621178179666"/>
    <x v="2"/>
    <m/>
  </r>
  <r>
    <s v="VIETBANK"/>
    <s v="NGAN HANG TMCP VIET NAM THUONG TIN"/>
    <s v="VBB1Y301126"/>
    <s v="1-3M"/>
    <m/>
    <s v="BB"/>
    <d v="2026-04-16T00:00:00"/>
    <m/>
    <m/>
    <m/>
    <n v="200"/>
    <n v="0.82114751430666943"/>
    <n v="200"/>
    <n v="0.81998775234011945"/>
    <x v="1"/>
    <m/>
  </r>
  <r>
    <s v="VIETBANK"/>
    <s v="NGAN HANG TMCP VIET NAM THUONG TIN"/>
    <s v="VBB1Y061026"/>
    <s v="1-3M"/>
    <m/>
    <s v="BB"/>
    <d v="2026-04-16T00:00:00"/>
    <m/>
    <m/>
    <m/>
    <n v="500"/>
    <n v="0.83476087830525281"/>
    <n v="500"/>
    <n v="0.83731660373592642"/>
    <x v="1"/>
    <m/>
  </r>
  <r>
    <s v="VIETBANK"/>
    <s v="NGAN HANG TMCP VIET NAM THUONG TIN"/>
    <s v="VBB1Y090926"/>
    <s v="&lt;1M"/>
    <m/>
    <s v="BB"/>
    <d v="2026-04-16T00:00:00"/>
    <m/>
    <m/>
    <m/>
    <n v="300"/>
    <n v="0.84292889670440285"/>
    <n v="300"/>
    <n v="0.84771391457341061"/>
    <x v="0"/>
    <m/>
  </r>
  <r>
    <s v="MFKR"/>
    <s v="KOMPANION BANK CLOSED JOINT STOCK COMPANY"/>
    <s v="GBA05310713"/>
    <s v="3-5Y"/>
    <s v="3-5Y"/>
    <s v="B"/>
    <m/>
    <m/>
    <m/>
    <m/>
    <n v="189.30842489657999"/>
    <n v="0.84808314569663412"/>
    <n v="189.30842489657999"/>
    <n v="0.85427490969942488"/>
    <x v="7"/>
    <m/>
  </r>
  <r>
    <s v="MFKR"/>
    <s v="KOMPANION BANK CLOSED JOINT STOCK COMPANY"/>
    <s v="GBA05310727"/>
    <s v="3-5Y"/>
    <s v="3-5Y"/>
    <s v="B"/>
    <m/>
    <m/>
    <m/>
    <m/>
    <n v="380.59559615000001"/>
    <n v="0.87530987369380098"/>
    <n v="380.59559615000001"/>
    <n v="0.86746547875458868"/>
    <x v="7"/>
    <m/>
  </r>
  <r>
    <s v="OJBV"/>
    <s v="NGAN HANG THUONG MAI TNHH MTV DAI DUONG"/>
    <s v="MBVCD2180827"/>
    <s v="6M-1Y"/>
    <m/>
    <s v="D"/>
    <m/>
    <m/>
    <m/>
    <m/>
    <n v="39.1"/>
    <n v="1.875309873693801"/>
    <n v="39.1"/>
    <n v="0.86882059493374075"/>
    <x v="2"/>
    <m/>
  </r>
  <r>
    <s v="OJBV"/>
    <s v="NGAN HANG THUONG MAI TNHH MTV DAI DUONG"/>
    <s v="MBVCD180827"/>
    <s v="6M-1Y"/>
    <m/>
    <s v="D"/>
    <m/>
    <m/>
    <m/>
    <m/>
    <n v="460"/>
    <n v="1.875309873693801"/>
    <n v="460"/>
    <n v="0.88476313821788322"/>
    <x v="2"/>
    <m/>
  </r>
  <r>
    <s v="PVFC"/>
    <s v="NGAN HANG TMCP DAI CHUNG VN"/>
    <s v="PCB12601"/>
    <s v="5-7Y"/>
    <s v="1-2Y"/>
    <s v="B"/>
    <d v="2026-07-15T00:00:00"/>
    <m/>
    <m/>
    <m/>
    <n v="1000"/>
    <n v="1.875309873693801"/>
    <n v="1000"/>
    <n v="0.91942084100949717"/>
    <x v="3"/>
    <m/>
  </r>
  <r>
    <s v="SGTT"/>
    <s v="NGAN HANG TMCP SAI GON THUONG TIN"/>
    <s v="STBCD050827"/>
    <s v="6M-1Y"/>
    <m/>
    <s v="A"/>
    <m/>
    <m/>
    <m/>
    <m/>
    <n v="700"/>
    <n v="1.875309873693801"/>
    <n v="700"/>
    <n v="0.94368123296362694"/>
    <x v="2"/>
    <m/>
  </r>
  <r>
    <s v="SGTT"/>
    <s v="NGAN HANG TMCP SAI GON THUONG TIN"/>
    <s v="STBCD061126"/>
    <s v="1-3M"/>
    <m/>
    <s v="A"/>
    <m/>
    <m/>
    <m/>
    <m/>
    <n v="1000"/>
    <n v="1.875309873693801"/>
    <n v="1000"/>
    <n v="0.97833893575524089"/>
    <x v="1"/>
    <m/>
  </r>
  <r>
    <s v="SGTT"/>
    <s v="NGAN HANG TMCP SAI GON THUONG TIN"/>
    <s v="STB1Y230926"/>
    <s v="&lt;1M"/>
    <m/>
    <s v="A"/>
    <m/>
    <m/>
    <m/>
    <m/>
    <n v="1000"/>
    <n v="1.875309873693801"/>
    <n v="1000"/>
    <n v="1.012996638546855"/>
    <x v="0"/>
    <m/>
  </r>
  <r>
    <s v="SGTT"/>
    <s v="NGAN HANG TMCP SAI GON THUONG TIN"/>
    <s v="STBL12609"/>
    <s v="5-7Y"/>
    <s v="6M-1Y"/>
    <s v="A"/>
    <m/>
    <m/>
    <m/>
    <m/>
    <n v="1000"/>
    <n v="1.875309873693801"/>
    <n v="1000"/>
    <n v="1.0476543413384689"/>
    <x v="2"/>
    <m/>
  </r>
  <r>
    <s v="Total"/>
    <m/>
    <m/>
    <m/>
    <m/>
    <m/>
    <m/>
    <m/>
    <m/>
    <m/>
    <n v="36728.614621046581"/>
    <m/>
    <n v="27478.614621046578"/>
    <m/>
    <x v="8"/>
    <m/>
  </r>
  <r>
    <m/>
    <m/>
    <m/>
    <m/>
    <m/>
    <m/>
    <m/>
    <m/>
    <m/>
    <m/>
    <m/>
    <m/>
    <m/>
    <m/>
    <x v="8"/>
    <m/>
  </r>
  <r>
    <m/>
    <m/>
    <m/>
    <m/>
    <m/>
    <m/>
    <m/>
    <m/>
    <m/>
    <m/>
    <m/>
    <m/>
    <m/>
    <m/>
    <x v="8"/>
    <m/>
  </r>
  <r>
    <m/>
    <m/>
    <m/>
    <m/>
    <m/>
    <m/>
    <m/>
    <m/>
    <m/>
    <m/>
    <m/>
    <m/>
    <m/>
    <m/>
    <x v="8"/>
    <m/>
  </r>
  <r>
    <m/>
    <m/>
    <m/>
    <m/>
    <m/>
    <m/>
    <m/>
    <m/>
    <m/>
    <m/>
    <m/>
    <m/>
    <m/>
    <m/>
    <x v="8"/>
    <m/>
  </r>
  <r>
    <m/>
    <m/>
    <m/>
    <m/>
    <m/>
    <m/>
    <m/>
    <m/>
    <m/>
    <m/>
    <m/>
    <m/>
    <m/>
    <m/>
    <x v="8"/>
    <m/>
  </r>
  <r>
    <m/>
    <m/>
    <m/>
    <m/>
    <m/>
    <m/>
    <m/>
    <m/>
    <m/>
    <m/>
    <m/>
    <m/>
    <m/>
    <m/>
    <x v="8"/>
    <m/>
  </r>
  <r>
    <m/>
    <m/>
    <m/>
    <m/>
    <m/>
    <m/>
    <m/>
    <m/>
    <m/>
    <m/>
    <m/>
    <m/>
    <m/>
    <m/>
    <x v="8"/>
    <m/>
  </r>
  <r>
    <m/>
    <m/>
    <m/>
    <m/>
    <m/>
    <m/>
    <m/>
    <m/>
    <m/>
    <m/>
    <m/>
    <m/>
    <m/>
    <m/>
    <x v="8"/>
    <m/>
  </r>
  <r>
    <m/>
    <m/>
    <m/>
    <m/>
    <m/>
    <m/>
    <m/>
    <m/>
    <m/>
    <m/>
    <m/>
    <m/>
    <m/>
    <m/>
    <x v="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HCVN"/>
    <s v="CONG TY TAI CHINH TNHH MTV HOME CREDIT VN"/>
    <s v="HCVCD180926"/>
    <x v="0"/>
    <m/>
    <s v="AAA"/>
    <d v="2026-04-16T00:00:00"/>
    <m/>
    <m/>
    <m/>
    <n v="50"/>
  </r>
  <r>
    <s v="HCVN"/>
    <s v="CONG TY TAI CHINH TNHH MTV HOME CREDIT VN"/>
    <s v="HCVCD231026"/>
    <x v="1"/>
    <m/>
    <s v="AAA"/>
    <d v="2026-04-16T00:00:00"/>
    <m/>
    <m/>
    <m/>
    <n v="200"/>
  </r>
  <r>
    <s v="HCVN"/>
    <s v="CONG TY TAI CHINH TNHH MTV HOME CREDIT VN"/>
    <s v="HCVNCD190427"/>
    <x v="2"/>
    <m/>
    <s v="AAA"/>
    <d v="2026-04-16T00:00:00"/>
    <m/>
    <m/>
    <m/>
    <n v="400"/>
  </r>
  <r>
    <s v="HCVN"/>
    <s v="CONG TY TAI CHINH TNHH MTV HOME CREDIT VN"/>
    <s v="HCV12502"/>
    <x v="2"/>
    <m/>
    <s v="AAA"/>
    <d v="2026-04-16T00:00:00"/>
    <m/>
    <m/>
    <m/>
    <n v="400"/>
  </r>
  <r>
    <s v="HCVN"/>
    <s v="CONG TY TAI CHINH TNHH MTV HOME CREDIT VN"/>
    <s v="HCVL12606"/>
    <x v="3"/>
    <m/>
    <s v="AAA"/>
    <d v="2026-04-16T00:00:00"/>
    <m/>
    <m/>
    <m/>
    <n v="200"/>
  </r>
  <r>
    <s v="HCVN"/>
    <s v="CONG TY TAI CHINH TNHH MTV HOME CREDIT VN"/>
    <s v="HCV12602"/>
    <x v="4"/>
    <m/>
    <s v="AAA"/>
    <d v="2026-04-16T00:00:00"/>
    <m/>
    <m/>
    <m/>
    <n v="1000"/>
  </r>
  <r>
    <s v="MCSB"/>
    <s v="NGAN HANG TMCP QUAN DOI"/>
    <s v="MBBOND2027"/>
    <x v="3"/>
    <m/>
    <s v="AAA"/>
    <d v="2026-04-24T00:00:00"/>
    <s v="BB"/>
    <s v="Ba2"/>
    <m/>
    <n v="500"/>
  </r>
  <r>
    <s v="MCSB"/>
    <s v="NGAN HANG TMCP QUAN DOI"/>
    <s v="MBBCD040227"/>
    <x v="5"/>
    <m/>
    <s v="AAA"/>
    <d v="2026-04-24T00:00:00"/>
    <s v="BB"/>
    <s v="Ba2"/>
    <m/>
    <n v="715"/>
  </r>
  <r>
    <s v="TCBV-HO"/>
    <s v="NGAN HANG TMCP KY THUONG VN"/>
    <s v="TCBCD0251226"/>
    <x v="5"/>
    <m/>
    <s v="AAA"/>
    <d v="2026-07-08T00:00:00"/>
    <m/>
    <m/>
    <m/>
    <n v="300"/>
  </r>
  <r>
    <s v="TCBV-HO"/>
    <s v="NGAN HANG TMCP KY THUONG VN"/>
    <s v="TCB12603"/>
    <x v="4"/>
    <s v="6M-1Y"/>
    <s v="AAA"/>
    <d v="2026-07-08T00:00:00"/>
    <m/>
    <m/>
    <m/>
    <n v="2000"/>
  </r>
  <r>
    <s v="VBAH"/>
    <s v="NGAN HANG NONG NGHIEP VA PHAT TRIEN NONG THON"/>
    <s v="VBA12503"/>
    <x v="2"/>
    <m/>
    <s v="AAA"/>
    <d v="2026-06-30T00:00:00"/>
    <m/>
    <s v="Ba2"/>
    <m/>
    <n v="3000"/>
  </r>
  <r>
    <s v="ACBV"/>
    <s v="NGAN HANG TMCP A CHAU"/>
    <s v="ACBCD140127"/>
    <x v="5"/>
    <m/>
    <s v="AA"/>
    <d v="2026-06-30T00:00:00"/>
    <s v="BB-"/>
    <s v="Ba3"/>
    <m/>
    <n v="300"/>
  </r>
  <r>
    <s v="ACBV"/>
    <s v="NGAN HANG TMCP A CHAU"/>
    <s v="ACBCD090427"/>
    <x v="2"/>
    <m/>
    <s v="AA"/>
    <d v="2026-06-30T00:00:00"/>
    <s v="BB-"/>
    <s v="Ba3"/>
    <m/>
    <n v="200"/>
  </r>
  <r>
    <s v="ACBV"/>
    <s v="NGAN HANG TMCP A CHAU"/>
    <s v="ACBCD190127"/>
    <x v="5"/>
    <m/>
    <s v="AA"/>
    <d v="2026-06-30T00:00:00"/>
    <s v="BB-"/>
    <s v="Ba3"/>
    <m/>
    <n v="400"/>
  </r>
  <r>
    <s v="ACBV"/>
    <s v="NGAN HANG TMCP A CHAU"/>
    <s v="ACBCD021226"/>
    <x v="1"/>
    <m/>
    <s v="AA"/>
    <d v="2026-06-30T00:00:00"/>
    <s v="BB-"/>
    <s v="Ba3"/>
    <m/>
    <n v="500"/>
  </r>
  <r>
    <s v="HDBV"/>
    <s v="NGAN HANG TMCP PHAT TRIEN TP  HO CHI MINH"/>
    <s v="HDB125011"/>
    <x v="6"/>
    <s v="6M-1Y"/>
    <s v="AA"/>
    <d v="2025-12-31T00:00:00"/>
    <m/>
    <s v="B1"/>
    <m/>
    <n v="397.61059999999998"/>
  </r>
  <r>
    <s v="HDBV"/>
    <s v="NGAN HANG TMCP PHAT TRIEN TP  HO CHI MINH"/>
    <s v="HDB12M261126"/>
    <x v="1"/>
    <m/>
    <s v="AA"/>
    <d v="2025-12-31T00:00:00"/>
    <m/>
    <s v="B1"/>
    <m/>
    <n v="1500"/>
  </r>
  <r>
    <s v="HDBV"/>
    <s v="NGAN HANG TMCP PHAT TRIEN TP  HO CHI MINH"/>
    <s v="HDB1CD031126"/>
    <x v="1"/>
    <m/>
    <s v="AA"/>
    <d v="2025-12-31T00:00:00"/>
    <m/>
    <s v="B1"/>
    <m/>
    <n v="800"/>
  </r>
  <r>
    <s v="LVBT"/>
    <s v="NGAN HANG TMCP LOC PHAT VN"/>
    <s v="LPB12407"/>
    <x v="0"/>
    <s v="&lt;1M"/>
    <s v="AA"/>
    <d v="2026-06-26T00:00:00"/>
    <m/>
    <s v="Ba3"/>
    <m/>
    <n v="1000"/>
  </r>
  <r>
    <s v="TC_DIENLUC"/>
    <s v="CONG TY TAI CHINH CO PHAN DIEN LUC"/>
    <s v="EVNFC160427"/>
    <x v="2"/>
    <m/>
    <s v="AA"/>
    <d v="2026-05-22T00:00:00"/>
    <m/>
    <s v="B2"/>
    <m/>
    <n v="300"/>
  </r>
  <r>
    <s v="TC_DIENLUC"/>
    <s v="CONG TY TAI CHINH CO PHAN DIEN LUC"/>
    <s v="EVNFC260427"/>
    <x v="2"/>
    <m/>
    <s v="AA"/>
    <d v="2026-05-22T00:00:00"/>
    <m/>
    <s v="B2"/>
    <m/>
    <n v="100"/>
  </r>
  <r>
    <s v="TC_DIENLUC"/>
    <s v="CONG TY TAI CHINH CO PHAN DIEN LUC"/>
    <s v="EVNFC170527"/>
    <x v="2"/>
    <m/>
    <s v="AA"/>
    <d v="2026-05-22T00:00:00"/>
    <m/>
    <s v="B2"/>
    <m/>
    <n v="390"/>
  </r>
  <r>
    <s v="TC_DIENLUC"/>
    <s v="CONG TY TAI CHINH CO PHAN DIEN LUC"/>
    <s v="EVNFC010227"/>
    <x v="5"/>
    <m/>
    <s v="AA"/>
    <d v="2026-05-22T00:00:00"/>
    <m/>
    <s v="B2"/>
    <m/>
    <n v="57"/>
  </r>
  <r>
    <s v="VPVN"/>
    <s v="NGAN HANG TMCP VIET NAM THINH VUONG"/>
    <s v="VPBCD080427"/>
    <x v="2"/>
    <m/>
    <s v="AA"/>
    <d v="2026-04-30T00:00:00"/>
    <m/>
    <s v="Ba3"/>
    <m/>
    <n v="400"/>
  </r>
  <r>
    <s v="SABH"/>
    <s v="NGAN HANG TMCP NAM A"/>
    <s v="NABCD041226"/>
    <x v="5"/>
    <m/>
    <s v="A"/>
    <d v="2026-04-29T00:00:00"/>
    <s v="B+"/>
    <s v="B2"/>
    <m/>
    <n v="1000"/>
  </r>
  <r>
    <s v="SABH"/>
    <s v="NGAN HANG TMCP NAM A"/>
    <s v="NABCD200527"/>
    <x v="2"/>
    <m/>
    <s v="A"/>
    <d v="2026-04-29T00:00:00"/>
    <s v="B+"/>
    <s v="B2"/>
    <m/>
    <n v="2000"/>
  </r>
  <r>
    <s v="SHBV"/>
    <s v="NGAN HANG TMCP SAI GON HA NOI"/>
    <s v="SHBL12601"/>
    <x v="6"/>
    <m/>
    <s v="A"/>
    <d v="2026-07-08T00:00:00"/>
    <s v="BB-"/>
    <s v="B1"/>
    <m/>
    <n v="1000"/>
  </r>
  <r>
    <s v="SHBV"/>
    <s v="NGAN HANG TMCP SAI GON HA NOI"/>
    <s v="SHB12503"/>
    <x v="6"/>
    <s v="6M-1Y"/>
    <s v="A"/>
    <d v="2026-07-08T00:00:00"/>
    <s v="BB-"/>
    <s v="B1"/>
    <m/>
    <n v="500"/>
  </r>
  <r>
    <s v="NABV"/>
    <s v="NGAN HANG TMCP BAC A"/>
    <s v="BAB12603"/>
    <x v="2"/>
    <s v="6M-1Y"/>
    <s v="BBB"/>
    <d v="2026-05-04T00:00:00"/>
    <s v="B+"/>
    <m/>
    <m/>
    <n v="1000"/>
  </r>
  <r>
    <s v="NABV"/>
    <s v="NGAN HANG TMCP BAC A"/>
    <s v="BAB12601"/>
    <x v="2"/>
    <s v="6M-1Y"/>
    <s v="BBB"/>
    <d v="2026-05-04T00:00:00"/>
    <s v="B+"/>
    <m/>
    <m/>
    <n v="2000"/>
  </r>
  <r>
    <s v="OCBV"/>
    <s v="NGAN HANG TMCP PHUONG DONG"/>
    <s v="OCBCD241126"/>
    <x v="1"/>
    <m/>
    <s v="BBB"/>
    <d v="2026-07-03T00:00:00"/>
    <m/>
    <s v="Ba3"/>
    <m/>
    <n v="2000"/>
  </r>
  <r>
    <s v="OCBV"/>
    <s v="NGAN HANG TMCP PHUONG DONG"/>
    <s v="OCBCD281026"/>
    <x v="1"/>
    <m/>
    <s v="BBB"/>
    <d v="2026-07-03T00:00:00"/>
    <m/>
    <s v="Ba3"/>
    <m/>
    <n v="500"/>
  </r>
  <r>
    <s v="EIBV"/>
    <s v="NGAN HANG TMCP XUAT NHAP KHAU VN"/>
    <s v="EIBCD291026"/>
    <x v="1"/>
    <m/>
    <s v="BB"/>
    <d v="2026-06-17T00:00:00"/>
    <m/>
    <m/>
    <s v="B+"/>
    <n v="500"/>
  </r>
  <r>
    <s v="EIBV"/>
    <s v="NGAN HANG TMCP XUAT NHAP KHAU VN"/>
    <s v="EIBCD240926"/>
    <x v="0"/>
    <m/>
    <s v="BB"/>
    <d v="2026-06-17T00:00:00"/>
    <m/>
    <m/>
    <s v="B+"/>
    <n v="1000"/>
  </r>
  <r>
    <s v="TC_SHINSEI"/>
    <s v="CONG TY TAI CHINH TNHH MB SHINSEI"/>
    <s v="MCCD240327"/>
    <x v="2"/>
    <m/>
    <s v="BB"/>
    <d v="2025-03-31T00:00:00"/>
    <s v="B+"/>
    <m/>
    <m/>
    <n v="400"/>
  </r>
  <r>
    <s v="TC_SHINSEI"/>
    <s v="CONG TY TAI CHINH TNHH MB SHINSEI"/>
    <s v="MSF12404"/>
    <x v="5"/>
    <m/>
    <s v="BB"/>
    <d v="2025-03-31T00:00:00"/>
    <s v="B+"/>
    <m/>
    <m/>
    <n v="400"/>
  </r>
  <r>
    <s v="TC_SHINSEI"/>
    <s v="CONG TY TAI CHINH TNHH MB SHINSEI"/>
    <s v="MCCD060827"/>
    <x v="2"/>
    <m/>
    <s v="BB"/>
    <d v="2025-03-31T00:00:00"/>
    <s v="B+"/>
    <m/>
    <m/>
    <n v="200"/>
  </r>
  <r>
    <s v="VABV"/>
    <s v="NGAN HANG TMCP VIET A"/>
    <s v="VABCD190827"/>
    <x v="2"/>
    <m/>
    <s v="BB"/>
    <d v="2025-05-15T00:00:00"/>
    <s v="B+"/>
    <s v="B2"/>
    <m/>
    <n v="600"/>
  </r>
  <r>
    <s v="VCCB"/>
    <s v="NGAN HANG TMCP BAN VIET"/>
    <s v="VCCB1Y301026"/>
    <x v="1"/>
    <m/>
    <s v="BB"/>
    <d v="2026-07-06T00:00:00"/>
    <s v="B+"/>
    <m/>
    <m/>
    <n v="250"/>
  </r>
  <r>
    <s v="VIETBANK"/>
    <s v="NGAN HANG TMCP VIET NAM THUONG TIN"/>
    <s v="VBB1Y130527"/>
    <x v="2"/>
    <m/>
    <s v="BB"/>
    <d v="2026-04-16T00:00:00"/>
    <m/>
    <m/>
    <m/>
    <n v="200"/>
  </r>
  <r>
    <s v="VIETBANK"/>
    <s v="NGAN HANG TMCP VIET NAM THUONG TIN"/>
    <s v="VBBCD180527"/>
    <x v="2"/>
    <m/>
    <s v="BB"/>
    <d v="2026-04-16T00:00:00"/>
    <m/>
    <m/>
    <m/>
    <n v="900"/>
  </r>
  <r>
    <s v="VIETBANK"/>
    <s v="NGAN HANG TMCP VIET NAM THUONG TIN"/>
    <s v="VBB1Y180527"/>
    <x v="2"/>
    <m/>
    <s v="BB"/>
    <d v="2026-04-16T00:00:00"/>
    <m/>
    <m/>
    <m/>
    <n v="400"/>
  </r>
  <r>
    <s v="VIETBANK"/>
    <s v="NGAN HANG TMCP VIET NAM THUONG TIN"/>
    <s v="VBB1Y301126"/>
    <x v="1"/>
    <m/>
    <s v="BB"/>
    <d v="2026-04-16T00:00:00"/>
    <m/>
    <m/>
    <m/>
    <n v="200"/>
  </r>
  <r>
    <s v="VIETBANK"/>
    <s v="NGAN HANG TMCP VIET NAM THUONG TIN"/>
    <s v="VBB1Y061026"/>
    <x v="1"/>
    <m/>
    <s v="BB"/>
    <d v="2026-04-16T00:00:00"/>
    <m/>
    <m/>
    <m/>
    <n v="500"/>
  </r>
  <r>
    <s v="VIETBANK"/>
    <s v="NGAN HANG TMCP VIET NAM THUONG TIN"/>
    <s v="VBB1Y090926"/>
    <x v="0"/>
    <m/>
    <s v="BB"/>
    <d v="2026-04-16T00:00:00"/>
    <m/>
    <m/>
    <m/>
    <n v="300"/>
  </r>
  <r>
    <s v="MFKR"/>
    <s v="KOMPANION BANK CLOSED JOINT STOCK COMPANY"/>
    <s v="GBA05310713"/>
    <x v="7"/>
    <s v="3-5Y"/>
    <s v="B"/>
    <m/>
    <m/>
    <m/>
    <m/>
    <n v="189.30842489657999"/>
  </r>
  <r>
    <s v="MFKR"/>
    <s v="KOMPANION BANK CLOSED JOINT STOCK COMPANY"/>
    <s v="GBA05310727"/>
    <x v="7"/>
    <s v="3-5Y"/>
    <s v="B"/>
    <m/>
    <m/>
    <m/>
    <m/>
    <n v="380.59559615000001"/>
  </r>
  <r>
    <s v="OJBV"/>
    <s v="NGAN HANG THUONG MAI TNHH MTV DAI DUONG"/>
    <s v="MBVCD2180827"/>
    <x v="2"/>
    <m/>
    <s v="D"/>
    <m/>
    <m/>
    <m/>
    <m/>
    <n v="39.1"/>
  </r>
  <r>
    <s v="OJBV"/>
    <s v="NGAN HANG THUONG MAI TNHH MTV DAI DUONG"/>
    <s v="MBVCD180827"/>
    <x v="2"/>
    <m/>
    <s v="D"/>
    <m/>
    <m/>
    <m/>
    <m/>
    <n v="460"/>
  </r>
  <r>
    <s v="PVFC"/>
    <s v="NGAN HANG TMCP DAI CHUNG VN"/>
    <s v="PCB12601"/>
    <x v="6"/>
    <s v="1-2Y"/>
    <s v="B"/>
    <d v="2026-07-15T00:00:00"/>
    <m/>
    <m/>
    <m/>
    <n v="1000"/>
  </r>
  <r>
    <s v="SGTT"/>
    <s v="NGAN HANG TMCP SAI GON THUONG TIN"/>
    <s v="STBCD050827"/>
    <x v="2"/>
    <m/>
    <s v="A"/>
    <m/>
    <m/>
    <m/>
    <m/>
    <n v="700"/>
  </r>
  <r>
    <s v="SGTT"/>
    <s v="NGAN HANG TMCP SAI GON THUONG TIN"/>
    <s v="STBCD061126"/>
    <x v="1"/>
    <m/>
    <s v="A"/>
    <m/>
    <m/>
    <m/>
    <m/>
    <n v="1000"/>
  </r>
  <r>
    <s v="SGTT"/>
    <s v="NGAN HANG TMCP SAI GON THUONG TIN"/>
    <s v="STB1Y230926"/>
    <x v="0"/>
    <m/>
    <s v="A"/>
    <m/>
    <m/>
    <m/>
    <m/>
    <n v="1000"/>
  </r>
  <r>
    <s v="SGTT"/>
    <s v="NGAN HANG TMCP SAI GON THUONG TIN"/>
    <s v="STBL12609"/>
    <x v="6"/>
    <s v="6M-1Y"/>
    <s v="A"/>
    <m/>
    <m/>
    <m/>
    <m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F8E3A-2EDC-4CC2-B562-E44D63E8DC1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P1:AQ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1" showAll="0"/>
    <pivotField showAll="0"/>
    <pivotField showAll="0"/>
    <pivotField showAll="0"/>
    <pivotField axis="axisRow" showAll="0">
      <items count="10">
        <item x="0"/>
        <item x="3"/>
        <item x="1"/>
        <item x="5"/>
        <item x="2"/>
        <item h="1" x="8"/>
        <item x="4"/>
        <item x="7"/>
        <item x="6"/>
        <item t="default"/>
      </items>
    </pivotField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dataFields count="1">
    <dataField name="Sum of Total Amount" fld="10" baseField="0" baseItem="0" numFmtId="41"/>
  </dataFields>
  <formats count="12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4" type="button" dataOnly="0" labelOnly="1" outline="0" axis="axisRow" fieldPosition="0"/>
    </format>
    <format dxfId="93">
      <pivotArea dataOnly="0" labelOnly="1" fieldPosition="0">
        <references count="1">
          <reference field="14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4" type="button" dataOnly="0" labelOnly="1" outline="0" axis="axisRow" fieldPosition="0"/>
    </format>
    <format dxfId="87">
      <pivotArea dataOnly="0" labelOnly="1" fieldPosition="0">
        <references count="1">
          <reference field="14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836F1-958C-4E40-A1B5-35C077920E1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1:AN10" firstHeaderRow="1" firstDataRow="1" firstDataCol="1"/>
  <pivotFields count="11">
    <pivotField showAll="0"/>
    <pivotField showAll="0"/>
    <pivotField showAll="0"/>
    <pivotField axis="axisRow" showAll="0">
      <items count="9">
        <item x="0"/>
        <item x="3"/>
        <item x="1"/>
        <item x="4"/>
        <item x="5"/>
        <item x="6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Amount" fld="10" baseField="0" baseItem="0" numFmtId="41"/>
  </dataFields>
  <formats count="12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3" type="button" dataOnly="0" labelOnly="1" outline="0" axis="axisRow" fieldPosition="0"/>
    </format>
    <format dxfId="105">
      <pivotArea dataOnly="0" labelOnly="1" fieldPosition="0">
        <references count="1">
          <reference field="3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3" type="button" dataOnly="0" labelOnly="1" outline="0" axis="axisRow" fieldPosition="0"/>
    </format>
    <format dxfId="99">
      <pivotArea dataOnly="0" labelOnly="1" fieldPosition="0">
        <references count="1">
          <reference field="3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adjustColumnWidth="0" connectionId="12" xr16:uid="{F247E24F-E59B-493A-9ACD-170FCDEC9013}" autoFormatId="16" applyNumberFormats="0" applyBorderFormats="0" applyFontFormats="0" applyPatternFormats="0" applyAlignmentFormats="0" applyWidthHeightFormats="0">
  <queryTableRefresh nextId="20">
    <queryTableFields count="7">
      <queryTableField id="12" name="Issuer" tableColumnId="1"/>
      <queryTableField id="13" name="Total Amount" tableColumnId="2"/>
      <queryTableField id="3" name="Rating" tableColumnId="3"/>
      <queryTableField id="4" name="Review Date" tableColumnId="4"/>
      <queryTableField id="16" name="Fitch Rating" tableColumnId="5"/>
      <queryTableField id="17" name="Moody Rating" tableColumnId="6"/>
      <queryTableField id="18" name="S&amp;P Rating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787C2254-F0D7-4CD6-8A75-337988FBE67B}" autoFormatId="16" applyNumberFormats="0" applyBorderFormats="0" applyFontFormats="0" applyPatternFormats="0" applyAlignmentFormats="0" applyWidthHeightFormats="0">
  <queryTableRefresh nextId="15">
    <queryTableFields count="11">
      <queryTableField id="1" name="Issuer" tableColumnId="1"/>
      <queryTableField id="2" name="Issuer_Name" tableColumnId="2"/>
      <queryTableField id="3" name="Bond_Code" tableColumnId="3"/>
      <queryTableField id="4" name="Tenor" tableColumnId="4"/>
      <queryTableField id="5" name="Tenor (c/p)" tableColumnId="5"/>
      <queryTableField id="6" name="Rating" tableColumnId="6"/>
      <queryTableField id="7" name="Review Date" tableColumnId="7"/>
      <queryTableField id="8" name="Fitch Rating" tableColumnId="8"/>
      <queryTableField id="9" name="Moody Rating" tableColumnId="9"/>
      <queryTableField id="10" name="S&amp;P Rating" tableColumnId="10"/>
      <queryTableField id="12" name="Total Amount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adjustColumnWidth="0" connectionId="7" xr16:uid="{3595704E-549F-40C9-BDB5-9CD04BF0A113}" autoFormatId="16" applyNumberFormats="0" applyBorderFormats="0" applyFontFormats="0" applyPatternFormats="0" applyAlignmentFormats="0" applyWidthHeightFormats="0">
  <queryTableRefresh nextId="8">
    <queryTableFields count="6">
      <queryTableField id="1" name="Month" tableColumnId="1"/>
      <queryTableField id="2" name="Year" tableColumnId="2"/>
      <queryTableField id="6" name="CptyName" tableColumnId="6"/>
      <queryTableField id="3" name="CptyCode" tableColumnId="3"/>
      <queryTableField id="4" name="FiRating" tableColumnId="4"/>
      <queryTableField id="5" name="FiRatingD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B4B8F87-97AB-48C2-A4D3-43217616C394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CPTY_NAME" tableColumnId="1"/>
      <queryTableField id="2" name="CPTY_CODE_ISSUER" tableColumnId="2"/>
      <queryTableField id="3" name="CPTY_TYPE" tableColumnId="3"/>
      <queryTableField id="4" name="FI_RATING" tableColumnId="4"/>
      <queryTableField id="5" name="FI_RATING_DATE" tableColumnId="5"/>
      <queryTableField id="6" name="FITCH_RATING" tableColumnId="6"/>
      <queryTableField id="7" name="FITCH_RATING_DATE" tableColumnId="7"/>
      <queryTableField id="8" name="MOODY_RATING" tableColumnId="8"/>
      <queryTableField id="9" name="MOODY_RATING_DATE" tableColumnId="9"/>
      <queryTableField id="10" name="SP_RATING" tableColumnId="10"/>
      <queryTableField id="11" name="SP_RATING_DATE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4BB12EB-3F28-47D7-9103-BA5A527F7DBA}" autoFormatId="16" applyNumberFormats="0" applyBorderFormats="0" applyFontFormats="0" applyPatternFormats="0" applyAlignmentFormats="0" applyWidthHeightFormats="0">
  <queryTableRefresh nextId="32">
    <queryTableFields count="31">
      <queryTableField id="1" name="Currency" tableColumnId="1"/>
      <queryTableField id="2" name="Duration_range" tableColumnId="2"/>
      <queryTableField id="3" name="Security Name" tableColumnId="3"/>
      <queryTableField id="4" name="Type of Instr." tableColumnId="4"/>
      <queryTableField id="5" name="Mat. Date" tableColumnId="5"/>
      <queryTableField id="6" name="Open Pos" tableColumnId="6"/>
      <queryTableField id="7" name="Price" tableColumnId="7"/>
      <queryTableField id="8" name="Clean Price" tableColumnId="8"/>
      <queryTableField id="9" name="QUANTITY" tableColumnId="9"/>
      <queryTableField id="10" name="Nominal" tableColumnId="10"/>
      <queryTableField id="11" name="Avg Price" tableColumnId="11"/>
      <queryTableField id="12" name="MARKET_VALUE" tableColumnId="12"/>
      <queryTableField id="13" name="Cpn Rate" tableColumnId="13"/>
      <queryTableField id="14" name="Accr Int" tableColumnId="14"/>
      <queryTableField id="15" name="Cpn Cumul" tableColumnId="15"/>
      <queryTableField id="16" name="Cpn Reinvested" tableColumnId="16"/>
      <queryTableField id="17" name="Cost of Carry" tableColumnId="17"/>
      <queryTableField id="18" name="Yield Mat" tableColumnId="18"/>
      <queryTableField id="19" name="Mod Dur" tableColumnId="19"/>
      <queryTableField id="20" name="DURATION" tableColumnId="20"/>
      <queryTableField id="21" name="Cnvx." tableColumnId="21"/>
      <queryTableField id="22" name="Cnvx. Value" tableColumnId="22"/>
      <queryTableField id="23" name="BPV (K)" tableColumnId="23"/>
      <queryTableField id="24" name="Theta (K)" tableColumnId="24"/>
      <queryTableField id="25" name="REALIZED_CUR" tableColumnId="25"/>
      <queryTableField id="26" name="UNREALIZED_CUR" tableColumnId="26"/>
      <queryTableField id="27" name="P/L Clean Price" tableColumnId="27"/>
      <queryTableField id="28" name="P/L Currency" tableColumnId="28"/>
      <queryTableField id="29" name="P/L Local" tableColumnId="29"/>
      <queryTableField id="30" name="P/L Report" tableColumnId="30"/>
      <queryTableField id="31" name="avg yield" tableColumnId="3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AB3E9-D126-4694-83C4-22FD84872580}" name="Input" displayName="Input" ref="A1:C12" totalsRowShown="0" headerRowDxfId="37" dataDxfId="36" tableBorderDxfId="35">
  <tableColumns count="3">
    <tableColumn id="1" xr3:uid="{432496CE-A90E-4BDE-847F-AADA3B9D3428}" name="STT" dataDxfId="34"/>
    <tableColumn id="3" xr3:uid="{9E65356A-DE9D-4487-BE6B-643F897A376E}" name="Indicator" dataDxfId="33"/>
    <tableColumn id="2" xr3:uid="{31CDF140-A520-474A-A7F6-147E7805DC74}" name="Values" dataDxfId="32">
      <calculatedColumnFormula>"\\filesrv01.msb.com.vn\06.Khoi Quan Ly Rui Ro\02.Trung Tam QLRR Thi Truong\02.Phong GSRRTT\05.Report\Theo doi\BOND\01.Bond Report\01.Daily\"&amp;TEXT(RPT,"yyyy.mm.dd")&amp;"\00.Input\00.Raw_Data.xlsm"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5ECFCF-A29E-4DCD-AA03-58F29E272A24}" name="Portfolio_by_issuer" displayName="Portfolio_by_issuer" ref="K1:Q24" tableType="queryTable" totalsRowCount="1" headerRowDxfId="84" dataDxfId="82" totalsRowDxfId="80" headerRowBorderDxfId="83" tableBorderDxfId="81">
  <tableColumns count="7">
    <tableColumn id="1" xr3:uid="{09841DDD-293D-4366-9284-4D19273A23F1}" uniqueName="1" name="Issuer" totalsRowLabel="Total" queryTableFieldId="12" dataDxfId="79" totalsRowDxfId="78"/>
    <tableColumn id="2" xr3:uid="{461D3288-3A16-41EC-B675-E7ECD5C7C098}" uniqueName="2" name="Total Amount" totalsRowFunction="sum" queryTableFieldId="13" dataDxfId="77" totalsRowDxfId="76" dataCellStyle="Comma [0]"/>
    <tableColumn id="3" xr3:uid="{3FB3807D-FC3F-4DF8-B8D2-0283B381DEAF}" uniqueName="3" name="Rating" queryTableFieldId="3" dataDxfId="75" totalsRowDxfId="74"/>
    <tableColumn id="4" xr3:uid="{F9EADDD1-A6AB-49ED-A74A-D9DF98BCFC26}" uniqueName="4" name="Review Date" queryTableFieldId="4" dataDxfId="73" totalsRowDxfId="72"/>
    <tableColumn id="5" xr3:uid="{E4C6BDF2-53DF-491A-8499-3271AD3E77B3}" uniqueName="5" name="Fitch Rating" queryTableFieldId="16" dataDxfId="71" totalsRowDxfId="70"/>
    <tableColumn id="6" xr3:uid="{57CCFC02-F3EB-44D0-A63F-4740AD5EDE93}" uniqueName="6" name="Moody Rating" queryTableFieldId="17" dataDxfId="69" totalsRowDxfId="68"/>
    <tableColumn id="7" xr3:uid="{85AA7A11-15B3-4365-8B64-7D988D38CF4C}" uniqueName="7" name="S&amp;P Rating" queryTableFieldId="18" dataDxfId="67" totalsRowDxfId="6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CEB450-DAD8-42FA-92E1-32DCA84DBEC8}" name="Portfolio_by_bond" displayName="Portfolio_by_bond" ref="W1:AG56" tableType="queryTable" totalsRowCount="1" headerRowDxfId="65" dataDxfId="63" totalsRowDxfId="61" headerRowBorderDxfId="64" tableBorderDxfId="62" totalsRowBorderDxfId="60">
  <tableColumns count="11">
    <tableColumn id="1" xr3:uid="{1975A738-D67C-4454-A570-0BA0A279F34B}" uniqueName="1" name="Issuer" totalsRowLabel="Total" queryTableFieldId="1" dataDxfId="59" totalsRowDxfId="58"/>
    <tableColumn id="2" xr3:uid="{5CD07B8D-19CF-4325-8965-41351EE51620}" uniqueName="2" name="Issuer_Name" queryTableFieldId="2" dataDxfId="57" totalsRowDxfId="56"/>
    <tableColumn id="3" xr3:uid="{F0ACD6C8-6D50-47BF-8D01-8D8CBADB6382}" uniqueName="3" name="Bond_Code" queryTableFieldId="3" dataDxfId="55" totalsRowDxfId="54"/>
    <tableColumn id="4" xr3:uid="{AC97EC84-54D9-41B5-BC79-E2914E5B056B}" uniqueName="4" name="Tenor" queryTableFieldId="4" dataDxfId="53" totalsRowDxfId="52"/>
    <tableColumn id="5" xr3:uid="{59458436-4A83-4C30-83A3-797AB7F5ECB8}" uniqueName="5" name="Tenor (c/p)" queryTableFieldId="5" dataDxfId="51" totalsRowDxfId="50"/>
    <tableColumn id="6" xr3:uid="{7755E1B0-0C89-4216-B823-816A4A9591E9}" uniqueName="6" name="Rating" queryTableFieldId="6" dataDxfId="49" totalsRowDxfId="48" dataCellStyle="Comma [0]"/>
    <tableColumn id="7" xr3:uid="{473C981D-0BA0-4FD4-8EC8-0B4A033D1D3F}" uniqueName="7" name="Review Date" queryTableFieldId="7" dataDxfId="47" totalsRowDxfId="46" dataCellStyle="Comma [0]"/>
    <tableColumn id="8" xr3:uid="{C89FECB3-4FBA-4167-94D4-2923357F967D}" uniqueName="8" name="Fitch Rating" queryTableFieldId="8" dataDxfId="45" totalsRowDxfId="44"/>
    <tableColumn id="9" xr3:uid="{345B8889-AE58-449D-AB1D-62B8C7B2F0E9}" uniqueName="9" name="Moody Rating" queryTableFieldId="9" dataDxfId="43" totalsRowDxfId="42"/>
    <tableColumn id="10" xr3:uid="{CC3CCB37-F89F-4E83-A605-1FEFB12EF698}" uniqueName="10" name="S&amp;P Rating" queryTableFieldId="10" dataDxfId="41" totalsRowDxfId="40"/>
    <tableColumn id="12" xr3:uid="{3C71755E-1885-48A4-998F-33CC2F9B44A0}" uniqueName="12" name="Total Amount" totalsRowFunction="sum" queryTableFieldId="12" dataDxfId="39" totalsRowDxfId="38" dataCellStyle="Comma [0]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943BBC-BA4B-4AAF-82D8-0BA0A5C84CB9}" name="His" displayName="His" ref="Q1:V200" tableType="queryTable" totalsRowShown="0">
  <tableColumns count="6">
    <tableColumn id="1" xr3:uid="{1341B62F-A517-44C5-AE80-670398826793}" uniqueName="1" name="Month" queryTableFieldId="1"/>
    <tableColumn id="2" xr3:uid="{14C2BC71-A7F9-4AD8-9591-B6F9436E3BAD}" uniqueName="2" name="Year" queryTableFieldId="2"/>
    <tableColumn id="6" xr3:uid="{08ECB4CF-A3CC-4443-89BB-A1FC95842762}" uniqueName="6" name="CptyName" queryTableFieldId="6"/>
    <tableColumn id="3" xr3:uid="{72D7AFC3-F824-4C1A-A728-91988C604DBA}" uniqueName="3" name="CptyCode" queryTableFieldId="3"/>
    <tableColumn id="4" xr3:uid="{EFA6D77A-A089-4B62-B633-18A5E13043D7}" uniqueName="4" name="FiRating" queryTableFieldId="4"/>
    <tableColumn id="5" xr3:uid="{70B440F8-29E3-4279-BD6E-B0EDCAA94FE5}" uniqueName="5" name="FiRatingDate" queryTableFieldId="5" dataDxfId="31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B78213-4B81-4179-860F-DB69FEA023B3}" name="CtpyRating" displayName="CtpyRating" ref="A1:N204" tableType="queryTable" totalsRowShown="0">
  <sortState xmlns:xlrd2="http://schemas.microsoft.com/office/spreadsheetml/2017/richdata2" ref="A2:N204">
    <sortCondition descending="1" ref="A1:A204"/>
  </sortState>
  <tableColumns count="14">
    <tableColumn id="1" xr3:uid="{18C53A1E-A724-4CDA-83C3-49C0E8482477}" uniqueName="1" name="CPTY_NAME" queryTableFieldId="1" dataDxfId="30"/>
    <tableColumn id="2" xr3:uid="{E474C76C-E3A2-4937-AB07-1B09B5C9C380}" uniqueName="2" name="CPTY_CODE_ISSUER" queryTableFieldId="2" dataDxfId="29"/>
    <tableColumn id="3" xr3:uid="{52B948B2-590E-4591-8993-45BA163715D1}" uniqueName="3" name="CPTY_TYPE" queryTableFieldId="3" dataDxfId="28"/>
    <tableColumn id="4" xr3:uid="{86C88BF0-43BB-4E37-A993-DEC95268E442}" uniqueName="4" name="FI_RATING" queryTableFieldId="4" dataDxfId="27"/>
    <tableColumn id="5" xr3:uid="{25167B11-FCDE-48F9-BE3C-7332E010C5CF}" uniqueName="5" name="FI_RATING_DATE" queryTableFieldId="5" dataDxfId="26"/>
    <tableColumn id="6" xr3:uid="{0D431876-9F2A-4C76-A147-48633B95EE7D}" uniqueName="6" name="FITCH_RATING" queryTableFieldId="6" dataDxfId="25"/>
    <tableColumn id="7" xr3:uid="{ED772F9B-A727-4E77-87AB-23CFBE831F24}" uniqueName="7" name="FITCH_RATING_DATE" queryTableFieldId="7" dataDxfId="24"/>
    <tableColumn id="8" xr3:uid="{0844CACB-9278-405C-8DD9-182D1A354531}" uniqueName="8" name="MOODY_RATING" queryTableFieldId="8" dataDxfId="23"/>
    <tableColumn id="9" xr3:uid="{0CAABC3A-0937-4841-8ABE-FE99725B56AD}" uniqueName="9" name="MOODY_RATING_DATE" queryTableFieldId="9" dataDxfId="22"/>
    <tableColumn id="10" xr3:uid="{C5E4CBC5-52C2-41F1-BE63-1DF3151180B7}" uniqueName="10" name="SP_RATING" queryTableFieldId="10" dataDxfId="21"/>
    <tableColumn id="11" xr3:uid="{3B09EB66-C429-42E9-9818-5BA3813999CC}" uniqueName="11" name="SP_RATING_DATE" queryTableFieldId="11"/>
    <tableColumn id="12" xr3:uid="{B3671254-4747-44DA-A97A-030DE35D4A20}" uniqueName="12" name="Change Rating" queryTableFieldId="12" dataDxfId="20">
      <calculatedColumnFormula>IF(OR(CtpyRating[[#This Row],[FI_RATING]]="",_xlfn.XLOOKUP(CtpyRating[[#This Row],[CPTY_NAME]],S:S,U:U,"",0)=CtpyRating[[#This Row],[FI_RATING]],CtpyRating[[#This Row],[New Rating]]="Yes"),"No","Yes")</calculatedColumnFormula>
    </tableColumn>
    <tableColumn id="13" xr3:uid="{6BDE6A30-8C23-4582-AE13-F8D911D20E20}" uniqueName="13" name="Chang rv date" queryTableFieldId="13" dataDxfId="19">
      <calculatedColumnFormula>IF(OR(CtpyRating[[#This Row],[FI_RATING_DATE]]="",CtpyRating[[#This Row],[FI_RATING_DATE]]=_xlfn.XLOOKUP(CtpyRating[[#This Row],[CPTY_NAME]],S:S,V:V,"",0),CtpyRating[[#This Row],[New Rating]]="Yes"),"No","Yes")</calculatedColumnFormula>
    </tableColumn>
    <tableColumn id="14" xr3:uid="{124FEDB4-FFED-4739-ABEB-7B8A4AD124FB}" uniqueName="14" name="New Rating" queryTableFieldId="14" dataDxfId="18">
      <calculatedColumnFormula>IF(AND(CtpyRating[[#This Row],[FI_RATING]]&lt;&gt;"",_xlfn.XLOOKUP(CtpyRating[[#This Row],[CPTY_NAME]],S:S,U:U,"",0)=""),"Yes","No")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D127B0-9138-40DC-89E1-0F20D5D1C7E4}" name="Table3" displayName="Table3" ref="A1:B194" totalsRowShown="0" headerRowDxfId="17" dataDxfId="16">
  <tableColumns count="2">
    <tableColumn id="1" xr3:uid="{CA5C013E-E9AD-4BD1-8700-BE9F1A8C8237}" name="CPTY_CODE_ISSUER" dataDxfId="15"/>
    <tableColumn id="2" xr3:uid="{F072E6EB-989A-4793-A9BB-F0754181F6F4}" name="CPTY_CODE_ISSUER_Name" dataDxfId="14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F77CF7-9C5D-4F93-AF98-CC6396DFE81E}" name="Ref" displayName="Ref" ref="A1:C10" totalsRowShown="0" headerRowDxfId="13" dataDxfId="12" headerRowCellStyle="HeaderStyle 2">
  <tableColumns count="3">
    <tableColumn id="3" xr3:uid="{958F3345-4ED3-43CC-A400-AA54A78433BE}" name="Tenor chuẩn" dataDxfId="11"/>
    <tableColumn id="4" xr3:uid="{7C39FE8D-06DD-41DB-A1C7-8AF8FB41775C}" name="Chặn dưới" dataDxfId="10"/>
    <tableColumn id="5" xr3:uid="{02959392-E9EF-44F8-AAD5-70848C730D42}" name="Chặn trên" dataDxfId="9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A6E0A-A47C-4B03-9ACE-F92EC4B7CA6F}" name="DoiUng" displayName="DoiUng" ref="F1:G5" totalsRowShown="0">
  <autoFilter ref="F1:G5" xr:uid="{346A6E0A-A47C-4B03-9ACE-F92EC4B7CA6F}"/>
  <tableColumns count="2">
    <tableColumn id="1" xr3:uid="{805C9A17-3AD5-43FD-BDC5-495E9460EEA4}" name="Bonds_ShortName" dataDxfId="8"/>
    <tableColumn id="2" xr3:uid="{B17B30CF-F559-45ED-AD08-B88B63919922}" name=" FaceAmount " dataDxfId="7" dataCellStyle="Comma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BBBB41-3E15-403F-A98F-D6C01681F665}" name="FNRP_ITB" displayName="FNRP_ITB" ref="J1:AN3" tableType="queryTable" totalsRowShown="0">
  <tableColumns count="31">
    <tableColumn id="1" xr3:uid="{543BB9E0-8AA3-4F4A-A3E7-3BD19653EAA4}" uniqueName="1" name="Currency" queryTableFieldId="1" dataDxfId="6"/>
    <tableColumn id="2" xr3:uid="{A21078F0-5FB6-4674-AB7F-D505D073891C}" uniqueName="2" name="Duration_range" queryTableFieldId="2" dataDxfId="5"/>
    <tableColumn id="3" xr3:uid="{B62FDCCD-63A9-4491-9C15-991C097DBD90}" uniqueName="3" name="Security Name" queryTableFieldId="3" dataDxfId="4"/>
    <tableColumn id="4" xr3:uid="{7507F990-48D2-43AB-AAEC-F2E32BB37AA5}" uniqueName="4" name="Type of Instr." queryTableFieldId="4" dataDxfId="3"/>
    <tableColumn id="5" xr3:uid="{A0BB81CB-1026-4CA0-A74B-9B77B228F95B}" uniqueName="5" name="Mat. Date" queryTableFieldId="5" dataDxfId="2"/>
    <tableColumn id="6" xr3:uid="{1927D0BF-012A-4E1E-A0C4-7D97C25E50E4}" uniqueName="6" name="Open Pos" queryTableFieldId="6" dataDxfId="1"/>
    <tableColumn id="7" xr3:uid="{41547744-BEC6-4FB4-8075-9ADB9E463F84}" uniqueName="7" name="Price" queryTableFieldId="7"/>
    <tableColumn id="8" xr3:uid="{14BEC846-1E12-48B9-8904-91139EF5AEFF}" uniqueName="8" name="Clean Price" queryTableFieldId="8"/>
    <tableColumn id="9" xr3:uid="{EC9D5D4B-BD34-4184-B3EA-9BF37BC7D198}" uniqueName="9" name="QUANTITY" queryTableFieldId="9"/>
    <tableColumn id="10" xr3:uid="{17C8880D-3064-46B6-84ED-6A3E82F88F8B}" uniqueName="10" name="Nominal" queryTableFieldId="10"/>
    <tableColumn id="11" xr3:uid="{6BDC3F1D-8AE9-43C0-9D4F-1774777FD5F9}" uniqueName="11" name="Avg Price" queryTableFieldId="11"/>
    <tableColumn id="12" xr3:uid="{119A2B9F-267E-4F78-9757-8A2A611391BF}" uniqueName="12" name="MARKET_VALUE" queryTableFieldId="12"/>
    <tableColumn id="13" xr3:uid="{227A07C7-F3A8-4501-AB36-80D808579930}" uniqueName="13" name="Cpn Rate" queryTableFieldId="13"/>
    <tableColumn id="14" xr3:uid="{E2448940-B544-472A-BD36-3B6DE5A351B4}" uniqueName="14" name="Accr Int" queryTableFieldId="14"/>
    <tableColumn id="15" xr3:uid="{63ADC842-EA6C-4025-8CCA-E936B90AE0A9}" uniqueName="15" name="Cpn Cumul" queryTableFieldId="15"/>
    <tableColumn id="16" xr3:uid="{608548B8-260B-4403-BACB-E82507062ECD}" uniqueName="16" name="Cpn Reinvested" queryTableFieldId="16"/>
    <tableColumn id="17" xr3:uid="{86202121-4603-489B-ADCA-BC8022DE6E18}" uniqueName="17" name="Cost of Carry" queryTableFieldId="17"/>
    <tableColumn id="18" xr3:uid="{D65B0C7C-D184-4D14-A51C-A5E48B9FA3EF}" uniqueName="18" name="Yield Mat" queryTableFieldId="18"/>
    <tableColumn id="19" xr3:uid="{A84E3B5A-7592-47F6-94BC-1683CD298973}" uniqueName="19" name="Mod Dur" queryTableFieldId="19"/>
    <tableColumn id="20" xr3:uid="{14285510-4ED9-41D0-8D32-7117A6F47863}" uniqueName="20" name="DURATION" queryTableFieldId="20"/>
    <tableColumn id="21" xr3:uid="{FB9C7ACF-F163-49BD-BCF7-1B29CF633CE5}" uniqueName="21" name="Cnvx." queryTableFieldId="21"/>
    <tableColumn id="22" xr3:uid="{12F238F6-722E-4D2F-8080-5C01C94FB14D}" uniqueName="22" name="Cnvx. Value" queryTableFieldId="22"/>
    <tableColumn id="23" xr3:uid="{F82D816E-B1D4-4B5A-A58B-D3C13C1419E6}" uniqueName="23" name="BPV (K)" queryTableFieldId="23"/>
    <tableColumn id="24" xr3:uid="{E7EF1BB9-3D9A-42CD-BD28-C65B2FE988A4}" uniqueName="24" name="Theta (K)" queryTableFieldId="24"/>
    <tableColumn id="25" xr3:uid="{28844474-E915-4EB7-BE37-63D7C31B3967}" uniqueName="25" name="REALIZED_CUR" queryTableFieldId="25"/>
    <tableColumn id="26" xr3:uid="{10199183-3019-4D98-AD1F-ADE2803DBCD8}" uniqueName="26" name="UNREALIZED_CUR" queryTableFieldId="26"/>
    <tableColumn id="27" xr3:uid="{D6F8E35D-03D2-453E-B1ED-200B78A788DC}" uniqueName="27" name="P/L Clean Price" queryTableFieldId="27"/>
    <tableColumn id="28" xr3:uid="{71C0A0AF-E185-49E0-840F-55F45669BCD9}" uniqueName="28" name="P/L Currency" queryTableFieldId="28"/>
    <tableColumn id="29" xr3:uid="{8730E007-D1AA-4B01-A1EC-4FC96429F5C8}" uniqueName="29" name="P/L Local" queryTableFieldId="29"/>
    <tableColumn id="30" xr3:uid="{4BDC2B68-F95C-414A-86BB-0DDFE13CBCFE}" uniqueName="30" name="P/L Report" queryTableFieldId="30"/>
    <tableColumn id="31" xr3:uid="{99B7FC0A-0A22-404A-BCD0-161D9E63D266}" uniqueName="31" name="avg yield" queryTableFieldId="31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51A9D0-E97E-4B12-AC7D-C3FB659132C9}" name="FX_KGS" displayName="FX_KGS" ref="AP1:AS2" totalsRowShown="0">
  <tableColumns count="4">
    <tableColumn id="1" xr3:uid="{91FA5BC4-5C45-426F-B718-FD0E742A0AE4}" name="Ccy"/>
    <tableColumn id="2" xr3:uid="{C01E0A16-05F1-4556-9067-3BBE3CC31A88}" name="Rate"/>
    <tableColumn id="3" xr3:uid="{EE94A826-472D-4193-B948-8D747ED6ADD2}" name="RateDate" dataDxfId="0"/>
    <tableColumn id="4" xr3:uid="{94A87EE9-0111-4ECD-B5F8-0EB986228599}" name="Source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2CF6B14-D237-4B7F-86AF-E6D85DB615F6}" name="MFKR_Rating" displayName="MFKR_Rating" ref="AU1:AV2" totalsRowShown="0">
  <tableColumns count="2">
    <tableColumn id="1" xr3:uid="{B329F051-B867-4E49-B887-9F594268DB3A}" name="Issuer"/>
    <tableColumn id="2" xr3:uid="{D88A69F3-36DE-479F-9763-3E40BD31D65C}" name="Rating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file:///C:\Users\thaottp14\AppData\Roaming\Microsoft\Excel\Backup\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7016-7440-4635-9A88-7756985E4EEF}">
  <sheetPr codeName="Sheet1"/>
  <dimension ref="A1:C6"/>
  <sheetViews>
    <sheetView workbookViewId="0">
      <selection activeCell="A6" sqref="A6"/>
    </sheetView>
  </sheetViews>
  <sheetFormatPr defaultRowHeight="14.4" x14ac:dyDescent="0.3"/>
  <cols>
    <col min="2" max="2" width="45.8984375" bestFit="1" customWidth="1"/>
  </cols>
  <sheetData>
    <row r="1" spans="1:3" x14ac:dyDescent="0.3">
      <c r="A1" t="s">
        <v>523</v>
      </c>
      <c r="B1" t="s">
        <v>522</v>
      </c>
      <c r="C1" t="s">
        <v>521</v>
      </c>
    </row>
    <row r="2" spans="1:3" x14ac:dyDescent="0.3">
      <c r="B2" t="s">
        <v>518</v>
      </c>
      <c r="C2" t="s">
        <v>524</v>
      </c>
    </row>
    <row r="3" spans="1:3" x14ac:dyDescent="0.3">
      <c r="B3" t="s">
        <v>520</v>
      </c>
      <c r="C3" t="s">
        <v>524</v>
      </c>
    </row>
    <row r="4" spans="1:3" x14ac:dyDescent="0.3">
      <c r="A4" s="40">
        <v>46157</v>
      </c>
      <c r="B4" t="s">
        <v>525</v>
      </c>
      <c r="C4" t="s">
        <v>524</v>
      </c>
    </row>
    <row r="5" spans="1:3" x14ac:dyDescent="0.3">
      <c r="A5" s="40">
        <v>46157</v>
      </c>
      <c r="B5" t="s">
        <v>519</v>
      </c>
      <c r="C5" t="s">
        <v>524</v>
      </c>
    </row>
    <row r="6" spans="1:3" x14ac:dyDescent="0.3">
      <c r="A6" s="40">
        <v>46157</v>
      </c>
      <c r="B6" t="s">
        <v>559</v>
      </c>
      <c r="C6" t="s">
        <v>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4470-A890-494B-940C-9B9CA67F0E0F}">
  <sheetPr codeName="Sheet3">
    <tabColor rgb="FFC00000"/>
  </sheetPr>
  <dimension ref="A1:Q29"/>
  <sheetViews>
    <sheetView showGridLines="0" workbookViewId="0">
      <selection activeCell="C10" sqref="C10"/>
    </sheetView>
  </sheetViews>
  <sheetFormatPr defaultColWidth="9.09765625" defaultRowHeight="16.100000000000001" x14ac:dyDescent="0.35"/>
  <cols>
    <col min="1" max="1" width="4.59765625" style="10" bestFit="1" customWidth="1"/>
    <col min="2" max="2" width="13.19921875" style="10" bestFit="1" customWidth="1"/>
    <col min="3" max="3" width="11.8984375" style="10" customWidth="1"/>
    <col min="4" max="4" width="9.09765625" style="10"/>
    <col min="5" max="5" width="2.3984375" style="25" customWidth="1"/>
    <col min="6" max="6" width="9.09765625" style="10"/>
    <col min="7" max="7" width="13.3984375" style="10" bestFit="1" customWidth="1"/>
    <col min="8" max="8" width="52.59765625" style="10" bestFit="1" customWidth="1"/>
    <col min="9" max="9" width="16.09765625" style="10" bestFit="1" customWidth="1"/>
    <col min="10" max="11" width="19.3984375" style="10" bestFit="1" customWidth="1"/>
    <col min="12" max="12" width="19.09765625" style="10" bestFit="1" customWidth="1"/>
    <col min="13" max="17" width="18.69921875" style="10" customWidth="1"/>
    <col min="18" max="16384" width="9.09765625" style="10"/>
  </cols>
  <sheetData>
    <row r="1" spans="1:17" x14ac:dyDescent="0.35">
      <c r="A1" s="1" t="s">
        <v>0</v>
      </c>
      <c r="B1" s="1" t="s">
        <v>3</v>
      </c>
      <c r="C1" s="1" t="s">
        <v>1</v>
      </c>
      <c r="D1" s="8"/>
      <c r="E1" s="22"/>
      <c r="F1" s="8"/>
      <c r="G1" s="9" t="s">
        <v>449</v>
      </c>
    </row>
    <row r="2" spans="1:17" s="14" customFormat="1" x14ac:dyDescent="0.35">
      <c r="A2" s="2">
        <v>1</v>
      </c>
      <c r="B2" s="3" t="s">
        <v>4</v>
      </c>
      <c r="C2" s="4">
        <v>46268</v>
      </c>
      <c r="D2" s="41"/>
      <c r="E2" s="23"/>
      <c r="F2" s="21"/>
      <c r="G2" s="11" t="s">
        <v>448</v>
      </c>
      <c r="H2" s="11" t="s">
        <v>447</v>
      </c>
      <c r="I2" s="12" t="s">
        <v>443</v>
      </c>
      <c r="J2" s="13" t="s">
        <v>444</v>
      </c>
      <c r="K2" s="12" t="s">
        <v>445</v>
      </c>
      <c r="L2" s="13" t="s">
        <v>446</v>
      </c>
    </row>
    <row r="3" spans="1:17" x14ac:dyDescent="0.35">
      <c r="A3" s="2">
        <v>2</v>
      </c>
      <c r="B3" s="3" t="s">
        <v>2</v>
      </c>
      <c r="C3" s="5" t="str">
        <f>"\\filesrv01.msb.com.vn\06.Khoi Quan Ly Rui Ro\02.Trung Tam QLRR Thi Truong\02.Phong GSRRTT\05.Report\01.Daily report\"&amp;TEXT(RPT,"yyyy.mm.dd")&amp;"\00.Input\00.Raw_Data.xlsm"</f>
        <v>\\filesrv01.msb.com.vn\06.Khoi Quan Ly Rui Ro\02.Trung Tam QLRR Thi Truong\02.Phong GSRRTT\05.Report\01.Daily report\2026.09.03\00.Input\00.Raw_Data.xlsm</v>
      </c>
      <c r="D3" s="21" t="s">
        <v>437</v>
      </c>
      <c r="E3" s="23"/>
      <c r="F3" s="21"/>
      <c r="G3" s="15" t="str">
        <f>_xlfn.XLOOKUP(H3,Rating!A:A,Rating!B:B,"",0)</f>
        <v/>
      </c>
      <c r="H3" s="15" t="str" cm="1">
        <f t="array" ref="H3">IFERROR(_xlfn._xlws.FILTER(Rating!A:A,Rating!N:N="Yes"),"")</f>
        <v/>
      </c>
      <c r="I3" s="16" t="str">
        <f>_xlfn.XLOOKUP(H3,Rating!A:A,Rating!D:D,"",0)</f>
        <v/>
      </c>
      <c r="J3" s="17">
        <f>_xlfn.XLOOKUP(H4,Rating!S:S,Rating!U:U,"",0)</f>
        <v>0</v>
      </c>
      <c r="K3" s="17">
        <v>46182</v>
      </c>
      <c r="L3" s="17"/>
    </row>
    <row r="4" spans="1:17" x14ac:dyDescent="0.35">
      <c r="A4" s="2">
        <v>3</v>
      </c>
      <c r="B4" s="6" t="s">
        <v>495</v>
      </c>
      <c r="C4" s="36" t="str">
        <f>"\\filesrv01.msb.com.vn\06.Khoi Quan Ly Rui Ro\02.Trung Tam QLRR Thi Truong\02.Phong GSRRTT\05.Report\01.Daily Report\"&amp;TEXT(RPT,"yyyy.mm.dd")&amp;"\BOND\02.FI Bond\01.RptTool_FIBond_"&amp;TEXT(RPT,"yyyy.mm.dd")&amp;".xlsb"</f>
        <v>\\filesrv01.msb.com.vn\06.Khoi Quan Ly Rui Ro\02.Trung Tam QLRR Thi Truong\02.Phong GSRRTT\05.Report\01.Daily Report\2026.09.03\BOND\02.FI Bond\01.RptTool_FIBond_2026.09.03.xlsb</v>
      </c>
      <c r="D4" s="21" t="s">
        <v>437</v>
      </c>
      <c r="E4" s="23"/>
      <c r="F4" s="21"/>
      <c r="G4" s="15">
        <f>_xlfn.XLOOKUP(H4,Rating!A:A,Rating!B:B,"",0)</f>
        <v>0</v>
      </c>
      <c r="H4" s="15"/>
      <c r="I4" s="16">
        <f>_xlfn.XLOOKUP(H4,Rating!A:A,Rating!D:D,"",0)</f>
        <v>0</v>
      </c>
      <c r="J4" s="16">
        <f>_xlfn.XLOOKUP(H4,Rating!S:S,Rating!U:U,"",0)</f>
        <v>0</v>
      </c>
      <c r="K4" s="17">
        <f>_xlfn.XLOOKUP(H4,Rating!A:A,Rating!E:E,"",0)</f>
        <v>0</v>
      </c>
      <c r="L4" s="17"/>
    </row>
    <row r="5" spans="1:17" x14ac:dyDescent="0.35">
      <c r="A5" s="2">
        <v>4</v>
      </c>
      <c r="B5" s="6" t="s">
        <v>442</v>
      </c>
      <c r="C5" s="36" t="str">
        <f>"\\filesrv01.msb.com.vn\06.Khoi Quan Ly Rui Ro\02.Trung Tam QLRR Thi Truong\02.Phong GSRRTT\05.Report\02.Monthly Report\06. Bond Monthly\03.FIBond_Internal rating\Input\"&amp;YEAR(RPT)&amp;"\FI rating và External rating_"&amp;TEXT(RPT,"yyyy.mm")&amp;".xlsx"</f>
        <v>\\filesrv01.msb.com.vn\06.Khoi Quan Ly Rui Ro\02.Trung Tam QLRR Thi Truong\02.Phong GSRRTT\05.Report\02.Monthly Report\06. Bond Monthly\03.FIBond_Internal rating\Input\2026\FI rating và External rating_2026.09.xlsx</v>
      </c>
      <c r="D5" s="21" t="s">
        <v>437</v>
      </c>
      <c r="E5" s="23"/>
      <c r="F5" s="21"/>
      <c r="G5" s="15"/>
      <c r="H5" s="15"/>
      <c r="I5" s="16"/>
      <c r="J5" s="16"/>
      <c r="K5" s="17"/>
      <c r="L5" s="17"/>
    </row>
    <row r="6" spans="1:17" x14ac:dyDescent="0.35">
      <c r="A6" s="20">
        <v>5</v>
      </c>
      <c r="B6" s="7" t="s">
        <v>473</v>
      </c>
      <c r="C6" s="5" t="str">
        <f>"\\filesrv01.msb.com.vn\06.Khoi Quan Ly Rui Ro\02.Trung Tam QLRR Thi Truong\02.Phong GSRRTT\05.Report\01.Daily report\"&amp;TEXT(RPT,"yyyy.mm.dd")&amp;"\00.Input\02.Kondor\RPBOD_B003.xlsx"</f>
        <v>\\filesrv01.msb.com.vn\06.Khoi Quan Ly Rui Ro\02.Trung Tam QLRR Thi Truong\02.Phong GSRRTT\05.Report\01.Daily report\2026.09.03\00.Input\02.Kondor\RPBOD_B003.xlsx</v>
      </c>
      <c r="D6" s="21" t="s">
        <v>437</v>
      </c>
      <c r="E6" s="23"/>
      <c r="F6" s="21"/>
      <c r="G6" s="15"/>
      <c r="H6" s="15"/>
      <c r="I6" s="16"/>
      <c r="J6" s="16"/>
      <c r="K6" s="17"/>
      <c r="L6" s="17"/>
    </row>
    <row r="7" spans="1:17" x14ac:dyDescent="0.35">
      <c r="A7" s="2">
        <v>6</v>
      </c>
      <c r="B7" s="6" t="s">
        <v>470</v>
      </c>
      <c r="C7" s="26" t="str">
        <f>"\\filesrv01.msb.com.vn\06.Khoi Quan Ly Rui Ro\02.Trung Tam QLRR Thi Truong\02.Phong GSRRTT\05.Report\02.Monthly Report\06. Bond Monthly\03.FIBond_Internal rating\Backup\01.FIBond_Rating_"&amp;TEXT(RPT,"yyyy.mm")&amp;".xlsb"</f>
        <v>\\filesrv01.msb.com.vn\06.Khoi Quan Ly Rui Ro\02.Trung Tam QLRR Thi Truong\02.Phong GSRRTT\05.Report\02.Monthly Report\06. Bond Monthly\03.FIBond_Internal rating\Backup\01.FIBond_Rating_2026.09.xlsb</v>
      </c>
      <c r="D7" s="21" t="s">
        <v>437</v>
      </c>
      <c r="E7" s="23"/>
      <c r="F7" s="21"/>
      <c r="G7" s="15"/>
      <c r="H7" s="15"/>
      <c r="I7" s="16"/>
      <c r="J7" s="16"/>
      <c r="K7" s="17"/>
      <c r="L7" s="17"/>
    </row>
    <row r="8" spans="1:17" x14ac:dyDescent="0.35">
      <c r="A8" s="31">
        <v>7</v>
      </c>
      <c r="B8" s="32" t="s">
        <v>486</v>
      </c>
      <c r="C8" s="33">
        <f>MONTH(RPT-30)</f>
        <v>8</v>
      </c>
      <c r="D8" s="21"/>
      <c r="E8" s="23"/>
      <c r="F8" s="21"/>
    </row>
    <row r="9" spans="1:17" s="14" customFormat="1" x14ac:dyDescent="0.35">
      <c r="A9" s="2">
        <v>8</v>
      </c>
      <c r="B9" s="6" t="s">
        <v>487</v>
      </c>
      <c r="C9" s="33">
        <f>YEAR(RPT-30)</f>
        <v>2026</v>
      </c>
      <c r="D9" s="21"/>
      <c r="E9" s="23"/>
      <c r="F9" s="21"/>
      <c r="G9" s="9" t="s">
        <v>462</v>
      </c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x14ac:dyDescent="0.35">
      <c r="A10" s="2">
        <v>9</v>
      </c>
      <c r="B10" s="43" t="s">
        <v>526</v>
      </c>
      <c r="C10" s="42" t="str">
        <f>IF(AND(Portfolio!D10=Portfolio!B24,Portfolio!D10=Portfolio_by_issuer[[#Totals],[Total Amount]],Portfolio!D10=Portfolio!B24),"OK","CHECK")</f>
        <v>CHECK</v>
      </c>
      <c r="D10" s="14"/>
      <c r="E10" s="24"/>
      <c r="F10" s="14"/>
      <c r="G10" s="11" t="s">
        <v>448</v>
      </c>
      <c r="H10" s="11" t="s">
        <v>447</v>
      </c>
      <c r="I10" s="12" t="s">
        <v>461</v>
      </c>
      <c r="J10" s="12" t="s">
        <v>445</v>
      </c>
      <c r="K10" s="13" t="s">
        <v>446</v>
      </c>
      <c r="L10" s="14"/>
      <c r="M10" s="14"/>
      <c r="N10" s="14"/>
      <c r="O10" s="14"/>
      <c r="P10" s="14"/>
      <c r="Q10" s="14"/>
    </row>
    <row r="11" spans="1:17" x14ac:dyDescent="0.35">
      <c r="A11" s="2">
        <v>10</v>
      </c>
      <c r="B11" s="6" t="s">
        <v>582</v>
      </c>
      <c r="C11" s="42" t="str">
        <f>"\\filesrv01.msb.com.vn\06.Khoi Quan Ly Rui Ro\02.Trung Tam QLRR Thi Truong\02.Phong GSRRTT\05.Report\01.Daily Report\"&amp;TEXT(RPT,"yyyy.mm.dd")&amp;"\00.Input\01.DataFile53\BondAllBS2BK.BondsSynthetic.csv"</f>
        <v>\\filesrv01.msb.com.vn\06.Khoi Quan Ly Rui Ro\02.Trung Tam QLRR Thi Truong\02.Phong GSRRTT\05.Report\01.Daily Report\2026.09.03\00.Input\01.DataFile53\BondAllBS2BK.BondsSynthetic.csv</v>
      </c>
      <c r="D11" s="21" t="s">
        <v>437</v>
      </c>
      <c r="G11" s="15" t="str">
        <f>_xlfn.XLOOKUP(H11,Rating!A:A,Rating!B:B,"",0)</f>
        <v>PBVN</v>
      </c>
      <c r="H11" s="15" t="str" cm="1">
        <f t="array" ref="H11:H14">_xlfn._xlws.FILTER(Rating!A:A, (Rating!L:L="No") * (Rating!M:M="Yes"))</f>
        <v>NGAN HANG TNHH MTV PUBLIC VN</v>
      </c>
      <c r="I11" s="16" t="str">
        <f>_xlfn.XLOOKUP(H11,Rating!A:A,Rating!D:D,"",0)</f>
        <v>BB</v>
      </c>
      <c r="J11" s="17">
        <f>_xlfn.XLOOKUP(H11,Rating!A:A,Rating!E:E,"",0)</f>
        <v>46237</v>
      </c>
      <c r="K11" s="17">
        <f>_xlfn.XLOOKUP(H11,Rating!S:S,Rating!V:V,"",0)</f>
        <v>45782</v>
      </c>
    </row>
    <row r="12" spans="1:17" x14ac:dyDescent="0.35">
      <c r="A12" s="2">
        <v>11</v>
      </c>
      <c r="B12" s="6" t="s">
        <v>639</v>
      </c>
      <c r="C12" s="126">
        <v>298.35219999999998</v>
      </c>
      <c r="G12" s="15" t="str">
        <f>_xlfn.XLOOKUP(H12,Rating!A:A,Rating!B:B,"",0)</f>
        <v>SGTT</v>
      </c>
      <c r="H12" s="15" t="str">
        <v>NGAN HANG TMCP SAI GON TAI LOC</v>
      </c>
      <c r="I12" s="16" t="str">
        <f>_xlfn.XLOOKUP(H12,Rating!A:A,Rating!D:D,"",0)</f>
        <v>A</v>
      </c>
      <c r="J12" s="17">
        <f>_xlfn.XLOOKUP(H12,Rating!A:A,Rating!E:E,"",0)</f>
        <v>46253</v>
      </c>
      <c r="K12" s="17">
        <f>_xlfn.XLOOKUP(H12,Rating!S:S,Rating!V:V,"",0)</f>
        <v>0</v>
      </c>
    </row>
    <row r="13" spans="1:17" x14ac:dyDescent="0.35">
      <c r="G13" s="15" t="str">
        <f>_xlfn.XLOOKUP(H13,Rating!A:A,Rating!B:B,"",0)</f>
        <v>VNDIRECT</v>
      </c>
      <c r="H13" s="15" t="str">
        <v>CONG TY CP CHUNG KHOAN VNDIRECT</v>
      </c>
      <c r="I13" s="16" t="str">
        <f>_xlfn.XLOOKUP(H13,Rating!A:A,Rating!D:D,"",0)</f>
        <v>AAA</v>
      </c>
      <c r="J13" s="17">
        <f>_xlfn.XLOOKUP(H13,Rating!A:A,Rating!E:E,"",0)</f>
        <v>46216</v>
      </c>
      <c r="K13" s="17">
        <f>_xlfn.XLOOKUP(H13,Rating!S:S,Rating!V:V,"",0)</f>
        <v>45460</v>
      </c>
    </row>
    <row r="14" spans="1:17" x14ac:dyDescent="0.35">
      <c r="G14" s="15" t="str">
        <f>_xlfn.XLOOKUP(H14,Rating!A:A,Rating!B:B,"",0)</f>
        <v>PINETREE</v>
      </c>
      <c r="H14" s="15" t="str">
        <v>CONG TY CP CHUNG KHOAN PINETREE</v>
      </c>
      <c r="I14" s="16" t="str">
        <f>_xlfn.XLOOKUP(H14,Rating!A:A,Rating!D:D,"",0)</f>
        <v>BBB</v>
      </c>
      <c r="J14" s="17">
        <f>_xlfn.XLOOKUP(H14,Rating!A:A,Rating!E:E,"",0)</f>
        <v>46231</v>
      </c>
      <c r="K14" s="17">
        <f>_xlfn.XLOOKUP(H14,Rating!S:S,Rating!V:V,"",0)</f>
        <v>45866</v>
      </c>
    </row>
    <row r="15" spans="1:17" x14ac:dyDescent="0.35">
      <c r="G15" s="15">
        <f>_xlfn.XLOOKUP(H15,Rating!A:A,Rating!B:B,"",0)</f>
        <v>0</v>
      </c>
      <c r="H15" s="15"/>
      <c r="I15" s="16">
        <f>_xlfn.XLOOKUP(H15,Rating!A:A,Rating!D:D,"",0)</f>
        <v>0</v>
      </c>
      <c r="J15" s="17">
        <f>_xlfn.XLOOKUP(H15,Rating!A:A,Rating!E:E,"",0)</f>
        <v>0</v>
      </c>
      <c r="K15" s="17">
        <f>_xlfn.XLOOKUP(H15,Rating!S:S,Rating!V:V,"",0)</f>
        <v>0</v>
      </c>
    </row>
    <row r="16" spans="1:17" x14ac:dyDescent="0.35">
      <c r="G16" s="15">
        <f>_xlfn.XLOOKUP(H16,Rating!A:A,Rating!B:B,"",0)</f>
        <v>0</v>
      </c>
      <c r="H16" s="15"/>
      <c r="I16" s="16">
        <f>_xlfn.XLOOKUP(H16,Rating!A:A,Rating!D:D,"",0)</f>
        <v>0</v>
      </c>
      <c r="J16" s="17">
        <f>_xlfn.XLOOKUP(H16,Rating!A:A,Rating!E:E,"",0)</f>
        <v>0</v>
      </c>
      <c r="K16" s="17">
        <f>_xlfn.XLOOKUP(H16,Rating!S:S,Rating!V:V,"",0)</f>
        <v>0</v>
      </c>
    </row>
    <row r="17" spans="1:17" s="14" customFormat="1" x14ac:dyDescent="0.35">
      <c r="A17" s="10"/>
      <c r="B17" s="10"/>
      <c r="C17" s="10"/>
      <c r="D17" s="10"/>
      <c r="E17" s="25"/>
      <c r="F17" s="10"/>
      <c r="G17" s="15"/>
      <c r="H17" s="15"/>
      <c r="I17" s="16"/>
      <c r="J17" s="17"/>
      <c r="K17" s="17"/>
      <c r="L17" s="10"/>
      <c r="M17" s="10"/>
      <c r="N17" s="10"/>
      <c r="O17" s="10"/>
      <c r="P17" s="10"/>
      <c r="Q17" s="10"/>
    </row>
    <row r="18" spans="1:17" s="14" customFormat="1" x14ac:dyDescent="0.35">
      <c r="A18" s="10"/>
      <c r="B18" s="10"/>
      <c r="C18" s="10"/>
      <c r="E18" s="24"/>
      <c r="G18" s="15"/>
      <c r="H18" s="15"/>
      <c r="I18" s="16"/>
      <c r="J18" s="17"/>
      <c r="K18" s="17"/>
      <c r="L18" s="10"/>
      <c r="M18" s="10"/>
      <c r="N18" s="10"/>
      <c r="O18" s="10"/>
      <c r="P18" s="10"/>
      <c r="Q18" s="10"/>
    </row>
    <row r="19" spans="1:17" x14ac:dyDescent="0.35">
      <c r="A19" s="14"/>
      <c r="B19" s="14"/>
      <c r="C19" s="14"/>
      <c r="D19" s="14"/>
      <c r="E19" s="24"/>
      <c r="F19" s="14"/>
      <c r="G19" s="15"/>
      <c r="H19" s="15"/>
      <c r="I19" s="16"/>
      <c r="J19" s="17"/>
      <c r="K19" s="17"/>
    </row>
    <row r="20" spans="1:17" x14ac:dyDescent="0.35">
      <c r="A20" s="14"/>
      <c r="B20" s="14"/>
      <c r="C20" s="14"/>
      <c r="G20" s="15"/>
      <c r="H20" s="15"/>
      <c r="I20" s="16"/>
      <c r="J20" s="17"/>
      <c r="K20" s="17"/>
    </row>
    <row r="22" spans="1:17" x14ac:dyDescent="0.35">
      <c r="G22" s="18" t="s">
        <v>485</v>
      </c>
    </row>
    <row r="23" spans="1:17" x14ac:dyDescent="0.35">
      <c r="G23" s="135" t="s">
        <v>448</v>
      </c>
      <c r="H23" s="135" t="s">
        <v>447</v>
      </c>
      <c r="I23" s="137" t="s">
        <v>456</v>
      </c>
      <c r="J23" s="137" t="s">
        <v>450</v>
      </c>
      <c r="K23" s="137" t="s">
        <v>451</v>
      </c>
      <c r="L23" s="138" t="s">
        <v>452</v>
      </c>
      <c r="M23" s="139"/>
      <c r="N23" s="140"/>
      <c r="O23" s="134" t="s">
        <v>451</v>
      </c>
      <c r="P23" s="134"/>
      <c r="Q23" s="134"/>
    </row>
    <row r="24" spans="1:17" x14ac:dyDescent="0.35">
      <c r="G24" s="136"/>
      <c r="H24" s="136"/>
      <c r="I24" s="137"/>
      <c r="J24" s="137"/>
      <c r="K24" s="137"/>
      <c r="L24" s="19" t="s">
        <v>453</v>
      </c>
      <c r="M24" s="19" t="s">
        <v>454</v>
      </c>
      <c r="N24" s="19" t="s">
        <v>455</v>
      </c>
      <c r="O24" s="19" t="s">
        <v>453</v>
      </c>
      <c r="P24" s="19" t="s">
        <v>454</v>
      </c>
      <c r="Q24" s="19" t="s">
        <v>455</v>
      </c>
    </row>
    <row r="25" spans="1:17" x14ac:dyDescent="0.35">
      <c r="G25" s="15" t="str">
        <f>_xlfn.XLOOKUP(H25,Rating!A:A,Rating!B:B,"",0)</f>
        <v/>
      </c>
      <c r="H25" s="15" t="str" cm="1">
        <f t="array" ref="H25">IFERROR(_xlfn._xlws.FILTER(Rating!A:A,Rating!N:N="Yes"),"")</f>
        <v/>
      </c>
      <c r="I25" s="16" t="str">
        <f>_xlfn.XLOOKUP(H25,Rating!A:A,Rating!C:C,"",0)</f>
        <v/>
      </c>
      <c r="J25" s="16" t="str">
        <f>_xlfn.XLOOKUP(H25,Rating!A:A,Rating!D:D,"",0)</f>
        <v/>
      </c>
      <c r="K25" s="17">
        <v>46182</v>
      </c>
      <c r="L25" s="113" t="str">
        <f>_xlfn.XLOOKUP(H25,Rating!A:A,Rating!F:F,"",0)</f>
        <v/>
      </c>
      <c r="M25" s="113" t="str">
        <f>_xlfn.XLOOKUP(H25,Rating!A:A,Rating!H:H,"",0)</f>
        <v/>
      </c>
      <c r="N25" s="113" t="str">
        <f>_xlfn.XLOOKUP(H25,Rating!A:A,Rating!J:J,"",0)</f>
        <v/>
      </c>
      <c r="O25" s="114" t="str">
        <f>_xlfn.XLOOKUP(H25,Rating!A:A,Rating!G:G,"-",0)</f>
        <v>-</v>
      </c>
      <c r="P25" s="113" t="str">
        <f>_xlfn.XLOOKUP(H25,Rating!A:A,Rating!I:I,"",0)</f>
        <v/>
      </c>
      <c r="Q25" s="113" t="str">
        <f>_xlfn.XLOOKUP(H25,Rating!A:A,Rating!K:K,"",0)</f>
        <v/>
      </c>
    </row>
    <row r="26" spans="1:17" x14ac:dyDescent="0.35">
      <c r="G26" s="15">
        <f>_xlfn.XLOOKUP(H26,Rating!A:A,Rating!B:B,"",0)</f>
        <v>0</v>
      </c>
      <c r="H26" s="15"/>
      <c r="I26" s="16">
        <f>_xlfn.XLOOKUP(H26,Rating!A:A,Rating!C:C,"",0)</f>
        <v>0</v>
      </c>
      <c r="J26" s="16">
        <f>_xlfn.XLOOKUP(H26,Rating!A:A,Rating!D:D,"",0)</f>
        <v>0</v>
      </c>
      <c r="K26" s="17">
        <f>_xlfn.XLOOKUP(H26,Rating!A:A,Rating!E:E,"",0)</f>
        <v>0</v>
      </c>
      <c r="L26" s="113">
        <f>_xlfn.XLOOKUP(H26,Rating!A:A,Rating!F:F,"",0)</f>
        <v>0</v>
      </c>
      <c r="M26" s="113">
        <f>_xlfn.XLOOKUP(H26,Rating!A:A,Rating!H:H,"",0)</f>
        <v>0</v>
      </c>
      <c r="N26" s="113">
        <f>_xlfn.XLOOKUP(H26,Rating!A:A,Rating!J:J,"",0)</f>
        <v>0</v>
      </c>
      <c r="O26" s="114">
        <f>_xlfn.XLOOKUP(H26,Rating!A:A,Rating!G:G,"",0)</f>
        <v>0</v>
      </c>
      <c r="P26" s="113">
        <f>_xlfn.XLOOKUP(H26,Rating!A:A,Rating!I:I,"",0)</f>
        <v>0</v>
      </c>
      <c r="Q26" s="113">
        <f>_xlfn.XLOOKUP(H26,Rating!A:A,Rating!K:K,"",0)</f>
        <v>0</v>
      </c>
    </row>
    <row r="27" spans="1:17" x14ac:dyDescent="0.35">
      <c r="G27" s="15"/>
      <c r="H27" s="15"/>
      <c r="I27" s="16"/>
      <c r="J27" s="16"/>
      <c r="K27" s="17"/>
      <c r="L27" s="113">
        <f>_xlfn.XLOOKUP(H27,Rating!A:A,Rating!F:F,"",0)</f>
        <v>0</v>
      </c>
      <c r="M27" s="113">
        <f>_xlfn.XLOOKUP(H27,Rating!A:A,Rating!H:H,"",0)</f>
        <v>0</v>
      </c>
      <c r="N27" s="113">
        <f>_xlfn.XLOOKUP(H27,Rating!A:A,Rating!J:J,"",0)</f>
        <v>0</v>
      </c>
      <c r="O27" s="114">
        <f>_xlfn.XLOOKUP(H27,Rating!A:A,Rating!G:G,"",0)</f>
        <v>0</v>
      </c>
      <c r="P27" s="113">
        <f>_xlfn.XLOOKUP(H27,Rating!A:A,Rating!I:I,"",0)</f>
        <v>0</v>
      </c>
      <c r="Q27" s="113">
        <f>_xlfn.XLOOKUP(H27,Rating!A:A,Rating!K:K,"",0)</f>
        <v>0</v>
      </c>
    </row>
    <row r="28" spans="1:17" x14ac:dyDescent="0.35">
      <c r="G28" s="15"/>
      <c r="H28" s="15"/>
      <c r="I28" s="16"/>
      <c r="J28" s="16"/>
      <c r="K28" s="17"/>
      <c r="L28" s="113">
        <f>_xlfn.XLOOKUP(H28,Rating!A:A,Rating!F:F,"",0)</f>
        <v>0</v>
      </c>
      <c r="M28" s="113">
        <f>_xlfn.XLOOKUP(H28,Rating!A:A,Rating!H:H,"",0)</f>
        <v>0</v>
      </c>
      <c r="N28" s="113">
        <f>_xlfn.XLOOKUP(H28,Rating!A:A,Rating!J:J,"",0)</f>
        <v>0</v>
      </c>
      <c r="O28" s="114">
        <f>_xlfn.XLOOKUP(H28,Rating!A:A,Rating!G:G,"",0)</f>
        <v>0</v>
      </c>
      <c r="P28" s="113">
        <f>_xlfn.XLOOKUP(H28,Rating!A:A,Rating!I:I,"",0)</f>
        <v>0</v>
      </c>
      <c r="Q28" s="113">
        <f>_xlfn.XLOOKUP(H28,Rating!A:A,Rating!K:K,"",0)</f>
        <v>0</v>
      </c>
    </row>
    <row r="29" spans="1:17" x14ac:dyDescent="0.35">
      <c r="G29" s="15"/>
      <c r="H29" s="15"/>
      <c r="I29" s="16"/>
      <c r="J29" s="16"/>
      <c r="K29" s="17"/>
      <c r="L29" s="113">
        <f>_xlfn.XLOOKUP(H29,Rating!A:A,Rating!F:F,"",0)</f>
        <v>0</v>
      </c>
      <c r="M29" s="113">
        <f>_xlfn.XLOOKUP(H29,Rating!A:A,Rating!H:H,"",0)</f>
        <v>0</v>
      </c>
      <c r="N29" s="113">
        <f>_xlfn.XLOOKUP(H29,Rating!A:A,Rating!J:J,"",0)</f>
        <v>0</v>
      </c>
      <c r="O29" s="114">
        <f>_xlfn.XLOOKUP(H29,Rating!A:A,Rating!G:G,"",0)</f>
        <v>0</v>
      </c>
      <c r="P29" s="113">
        <f>_xlfn.XLOOKUP(H29,Rating!A:A,Rating!I:I,"",0)</f>
        <v>0</v>
      </c>
      <c r="Q29" s="113">
        <f>_xlfn.XLOOKUP(H29,Rating!A:A,Rating!K:K,"",0)</f>
        <v>0</v>
      </c>
    </row>
  </sheetData>
  <mergeCells count="7">
    <mergeCell ref="O23:Q23"/>
    <mergeCell ref="G23:G24"/>
    <mergeCell ref="H23:H24"/>
    <mergeCell ref="I23:I24"/>
    <mergeCell ref="J23:J24"/>
    <mergeCell ref="K23:K24"/>
    <mergeCell ref="L23:N23"/>
  </mergeCells>
  <hyperlinks>
    <hyperlink ref="C7" r:id="rId1" display="\\filesrv01.msb.com.vn\06.Khoi Quan Ly Rui Ro\02.Trung Tam QLRR Thi Truong\02.Phong GSRRTT\05.Report\Theo doi\BOND\01.Bond Report\02.Monthly\03.FIBond_Internal rating\Backup\" xr:uid="{37BD7D99-4F0A-4E94-925C-280D35163380}"/>
  </hyperlinks>
  <pageMargins left="0.7" right="0.7" top="0.75" bottom="0.75" header="0.3" footer="0.3"/>
  <ignoredErrors>
    <ignoredError sqref="C8:C9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0B4A-0BBB-4EC3-8BC3-635C32A8945D}">
  <sheetPr codeName="Sheet6"/>
  <dimension ref="A1:AQ67"/>
  <sheetViews>
    <sheetView showGridLines="0" tabSelected="1" zoomScale="85" zoomScaleNormal="85" workbookViewId="0">
      <pane ySplit="1" topLeftCell="A2" activePane="bottomLeft" state="frozen"/>
      <selection pane="bottomLeft" activeCell="F23" sqref="F23"/>
    </sheetView>
  </sheetViews>
  <sheetFormatPr defaultColWidth="9.09765625" defaultRowHeight="16.100000000000001" x14ac:dyDescent="0.3"/>
  <cols>
    <col min="1" max="3" width="12.296875" style="54" customWidth="1"/>
    <col min="4" max="5" width="18.09765625" style="54" customWidth="1"/>
    <col min="6" max="6" width="26.8984375" style="97" bestFit="1" customWidth="1"/>
    <col min="7" max="8" width="18.09765625" style="54" customWidth="1"/>
    <col min="9" max="9" width="9.09765625" style="54"/>
    <col min="10" max="10" width="15.69921875" style="54" customWidth="1"/>
    <col min="11" max="11" width="12.8984375" style="54" bestFit="1" customWidth="1"/>
    <col min="12" max="12" width="13.69921875" style="86" bestFit="1" customWidth="1"/>
    <col min="13" max="13" width="8.69921875" style="44" customWidth="1"/>
    <col min="14" max="14" width="12.69921875" style="87" bestFit="1" customWidth="1"/>
    <col min="15" max="15" width="8.8984375" style="88" customWidth="1"/>
    <col min="16" max="16" width="8.8984375" style="52" customWidth="1"/>
    <col min="17" max="17" width="8.8984375" style="44" customWidth="1"/>
    <col min="18" max="18" width="8" style="52" customWidth="1"/>
    <col min="19" max="19" width="8" style="44" customWidth="1"/>
    <col min="20" max="20" width="8.296875" style="52" customWidth="1"/>
    <col min="21" max="21" width="10.8984375" style="44" bestFit="1" customWidth="1"/>
    <col min="22" max="22" width="15.69921875" style="54" customWidth="1"/>
    <col min="23" max="23" width="12.09765625" style="54" bestFit="1" customWidth="1"/>
    <col min="24" max="24" width="52.59765625" style="54" bestFit="1" customWidth="1"/>
    <col min="25" max="25" width="15.796875" style="97" bestFit="1" customWidth="1"/>
    <col min="26" max="26" width="6.796875" style="54" bestFit="1" customWidth="1"/>
    <col min="27" max="27" width="11.8984375" style="54" bestFit="1" customWidth="1"/>
    <col min="28" max="28" width="7.59765625" style="54" bestFit="1" customWidth="1"/>
    <col min="29" max="29" width="13.69921875" style="54" bestFit="1" customWidth="1"/>
    <col min="30" max="30" width="12.296875" style="54" bestFit="1" customWidth="1"/>
    <col min="31" max="31" width="14.3984375" style="54" bestFit="1" customWidth="1"/>
    <col min="32" max="32" width="11.5" style="54" bestFit="1" customWidth="1"/>
    <col min="33" max="33" width="14.59765625" style="97" bestFit="1" customWidth="1"/>
    <col min="34" max="34" width="12.296875" style="54" customWidth="1"/>
    <col min="35" max="35" width="13.09765625" style="97" customWidth="1"/>
    <col min="36" max="36" width="12.296875" style="97" customWidth="1"/>
    <col min="37" max="37" width="9.09765625" style="55"/>
    <col min="38" max="38" width="9.09765625" style="98"/>
    <col min="39" max="39" width="15.19921875" style="54" bestFit="1" customWidth="1"/>
    <col min="40" max="40" width="22.5" style="54" bestFit="1" customWidth="1"/>
    <col min="41" max="41" width="19.8984375" style="54" bestFit="1" customWidth="1"/>
    <col min="42" max="42" width="15.19921875" style="54" bestFit="1" customWidth="1"/>
    <col min="43" max="43" width="22.5" style="54" bestFit="1" customWidth="1"/>
    <col min="44" max="44" width="19.8984375" style="54" bestFit="1" customWidth="1"/>
    <col min="45" max="16384" width="9.09765625" style="54"/>
  </cols>
  <sheetData>
    <row r="1" spans="1:43" s="44" customFormat="1" ht="32.15" x14ac:dyDescent="0.35">
      <c r="A1" s="130" t="s">
        <v>440</v>
      </c>
      <c r="B1" s="130" t="s">
        <v>441</v>
      </c>
      <c r="C1" s="130" t="s">
        <v>465</v>
      </c>
      <c r="D1" s="131" t="s">
        <v>468</v>
      </c>
      <c r="E1" s="132"/>
      <c r="F1" s="133"/>
      <c r="G1" s="127" t="s">
        <v>469</v>
      </c>
      <c r="H1" s="127"/>
      <c r="J1" s="45" t="s">
        <v>511</v>
      </c>
      <c r="K1" s="46" t="s">
        <v>474</v>
      </c>
      <c r="L1" s="47" t="s">
        <v>475</v>
      </c>
      <c r="M1" s="48" t="s">
        <v>442</v>
      </c>
      <c r="N1" s="48" t="s">
        <v>476</v>
      </c>
      <c r="O1" s="48" t="s">
        <v>477</v>
      </c>
      <c r="P1" s="48" t="s">
        <v>478</v>
      </c>
      <c r="Q1" s="48" t="s">
        <v>479</v>
      </c>
      <c r="R1" s="49" t="s">
        <v>484</v>
      </c>
      <c r="S1" s="50" t="s">
        <v>480</v>
      </c>
      <c r="T1" s="51" t="s">
        <v>484</v>
      </c>
      <c r="U1" s="52"/>
      <c r="V1" s="45" t="s">
        <v>512</v>
      </c>
      <c r="W1" s="100" t="s">
        <v>474</v>
      </c>
      <c r="X1" s="100" t="s">
        <v>529</v>
      </c>
      <c r="Y1" s="100" t="s">
        <v>530</v>
      </c>
      <c r="Z1" s="100" t="s">
        <v>498</v>
      </c>
      <c r="AA1" s="100" t="s">
        <v>531</v>
      </c>
      <c r="AB1" s="101" t="s">
        <v>442</v>
      </c>
      <c r="AC1" s="101" t="s">
        <v>476</v>
      </c>
      <c r="AD1" s="100" t="s">
        <v>477</v>
      </c>
      <c r="AE1" s="100" t="s">
        <v>478</v>
      </c>
      <c r="AF1" s="100" t="s">
        <v>479</v>
      </c>
      <c r="AG1" s="101" t="s">
        <v>475</v>
      </c>
      <c r="AH1" s="100" t="s">
        <v>466</v>
      </c>
      <c r="AI1" s="101" t="s">
        <v>557</v>
      </c>
      <c r="AJ1" s="100" t="s">
        <v>466</v>
      </c>
      <c r="AK1" s="53" t="s">
        <v>516</v>
      </c>
      <c r="AM1" s="115" t="s">
        <v>514</v>
      </c>
      <c r="AN1" s="10" t="s">
        <v>515</v>
      </c>
      <c r="AO1" s="10"/>
      <c r="AP1" s="115" t="s">
        <v>514</v>
      </c>
      <c r="AQ1" s="10" t="s">
        <v>515</v>
      </c>
    </row>
    <row r="2" spans="1:43" x14ac:dyDescent="0.35">
      <c r="A2" s="130"/>
      <c r="B2" s="130"/>
      <c r="C2" s="130"/>
      <c r="D2" s="12" t="s">
        <v>467</v>
      </c>
      <c r="E2" s="12" t="s">
        <v>466</v>
      </c>
      <c r="F2" s="107" t="s">
        <v>558</v>
      </c>
      <c r="G2" s="13" t="s">
        <v>467</v>
      </c>
      <c r="H2" s="13" t="s">
        <v>466</v>
      </c>
      <c r="J2" s="55" t="s">
        <v>482</v>
      </c>
      <c r="K2" s="56" t="s">
        <v>251</v>
      </c>
      <c r="L2" s="57">
        <v>3000</v>
      </c>
      <c r="M2" s="125" t="s">
        <v>20</v>
      </c>
      <c r="N2" s="58">
        <v>46203</v>
      </c>
      <c r="O2" s="44"/>
      <c r="P2" s="44" t="s">
        <v>22</v>
      </c>
      <c r="R2" s="59">
        <f>Portfolio_by_issuer[[#This Row],[Total Amount]]/Portfolio_by_issuer[[#Totals],[Total Amount]]</f>
        <v>8.1679113518942095E-2</v>
      </c>
      <c r="S2" s="60" t="str">
        <f>_xlfn.XLOOKUP(Portfolio_by_issuer[[#This Row],[Issuer]],Rating!T:T,Rating!U:U,,0)</f>
        <v>AAA</v>
      </c>
      <c r="T2" s="61">
        <f>Portfolio_by_issuer[[#This Row],[Total Amount]]/Portfolio_by_issuer[[#Totals],[Total Amount]]</f>
        <v>8.1679113518942095E-2</v>
      </c>
      <c r="U2" s="54"/>
      <c r="V2" s="55"/>
      <c r="W2" s="118" t="s">
        <v>378</v>
      </c>
      <c r="X2" s="10" t="s">
        <v>184</v>
      </c>
      <c r="Y2" s="10" t="s">
        <v>535</v>
      </c>
      <c r="Z2" s="44" t="s">
        <v>502</v>
      </c>
      <c r="AA2" s="44"/>
      <c r="AB2" s="102" t="s">
        <v>20</v>
      </c>
      <c r="AC2" s="122">
        <v>46128</v>
      </c>
      <c r="AD2" s="124"/>
      <c r="AE2" s="124"/>
      <c r="AF2" s="44"/>
      <c r="AG2" s="120">
        <v>50</v>
      </c>
      <c r="AH2" s="103">
        <f>AG2/Portfolio_by_bond[[#Totals],[Total Amount]]</f>
        <v>1.3613363998583416E-3</v>
      </c>
      <c r="AI2" s="104">
        <f>Portfolio_by_bond[[#This Row],[Total Amount]]-_xlfn.XLOOKUP(Portfolio_by_bond[[#This Row],[Bond_Code]],'Ref'!F:F,'Ref'!G:G,0,0)</f>
        <v>50</v>
      </c>
      <c r="AJ2" s="105">
        <f>AI2/(SUM(AI:AI)/2)</f>
        <v>1.7328851395806992E-3</v>
      </c>
      <c r="AK2" s="62" t="str">
        <f t="shared" ref="AK2:AK33" si="0">IF(AA2="",Z2,AA2)</f>
        <v>&lt;1M</v>
      </c>
      <c r="AL2" s="54"/>
      <c r="AM2" s="116" t="s">
        <v>502</v>
      </c>
      <c r="AN2" s="117">
        <v>3350</v>
      </c>
      <c r="AO2" s="10"/>
      <c r="AP2" s="116" t="s">
        <v>502</v>
      </c>
      <c r="AQ2" s="117">
        <v>3350</v>
      </c>
    </row>
    <row r="3" spans="1:43" x14ac:dyDescent="0.35">
      <c r="A3" s="63" t="s">
        <v>20</v>
      </c>
      <c r="B3" s="64">
        <v>0.2</v>
      </c>
      <c r="C3" s="65">
        <v>0.19</v>
      </c>
      <c r="D3" s="66">
        <f t="shared" ref="D3:D9" si="1">SUMIFS(L:L,M:M,A3)</f>
        <v>8765</v>
      </c>
      <c r="E3" s="67">
        <f>_xlfn.MAXIFS(T:T,M:M,A3)</f>
        <v>0.23863914333117583</v>
      </c>
      <c r="F3" s="67">
        <f xml:space="preserve"> SUMIFS(AI:AI,AB:AB,A3)/(SUM(AI:AI)/2)</f>
        <v>0.30377476496849654</v>
      </c>
      <c r="G3" s="66">
        <f t="shared" ref="G3:G9" si="2">SUMIFS(L:L,S:S,A3)</f>
        <v>8765</v>
      </c>
      <c r="H3" s="67">
        <f>_xlfn.MAXIFS(T:T,S:S,A3)</f>
        <v>0.23863914333117583</v>
      </c>
      <c r="J3" s="68">
        <f>_xlfn.MAXIFS(R:R,M:M,"BBB")</f>
        <v>0.79991067561264773</v>
      </c>
      <c r="K3" s="56" t="s">
        <v>278</v>
      </c>
      <c r="L3" s="57">
        <v>2300</v>
      </c>
      <c r="M3" s="125" t="s">
        <v>20</v>
      </c>
      <c r="N3" s="58">
        <v>46211</v>
      </c>
      <c r="O3" s="44"/>
      <c r="P3" s="44"/>
      <c r="R3" s="59">
        <f>R2+Portfolio_by_issuer[[#This Row],[Total Amount]]/Portfolio_by_issuer[[#Totals],[Total Amount]]</f>
        <v>0.14429976721679771</v>
      </c>
      <c r="S3" s="60" t="str">
        <f>_xlfn.XLOOKUP(Portfolio_by_issuer[[#This Row],[Issuer]],Rating!T:T,Rating!U:U,,0)</f>
        <v>AAA</v>
      </c>
      <c r="T3" s="61">
        <f>T2+Portfolio_by_issuer[[#This Row],[Total Amount]]/Portfolio_by_issuer[[#Totals],[Total Amount]]</f>
        <v>0.14429976721679771</v>
      </c>
      <c r="U3" s="54"/>
      <c r="V3" s="55"/>
      <c r="W3" s="118" t="s">
        <v>378</v>
      </c>
      <c r="X3" s="10" t="s">
        <v>184</v>
      </c>
      <c r="Y3" s="10" t="s">
        <v>532</v>
      </c>
      <c r="Z3" s="44" t="s">
        <v>503</v>
      </c>
      <c r="AA3" s="44"/>
      <c r="AB3" s="102" t="s">
        <v>20</v>
      </c>
      <c r="AC3" s="122">
        <v>46128</v>
      </c>
      <c r="AD3" s="124"/>
      <c r="AE3" s="124"/>
      <c r="AF3" s="44"/>
      <c r="AG3" s="120">
        <v>200</v>
      </c>
      <c r="AH3" s="103">
        <f>AH2+AG3/Portfolio_by_bond[[#Totals],[Total Amount]]</f>
        <v>6.8066819992917086E-3</v>
      </c>
      <c r="AI3" s="104">
        <f>Portfolio_by_bond[[#This Row],[Total Amount]]-_xlfn.XLOOKUP(Portfolio_by_bond[[#This Row],[Bond_Code]],'Ref'!F:F,'Ref'!G:G,0,0)</f>
        <v>200</v>
      </c>
      <c r="AJ3" s="105">
        <f t="shared" ref="AJ3:AJ48" si="3">AJ2+AI3/(SUM(AI:AI)/2)</f>
        <v>8.6644256979034953E-3</v>
      </c>
      <c r="AK3" s="62" t="str">
        <f t="shared" si="0"/>
        <v>1-3M</v>
      </c>
      <c r="AL3" s="54"/>
      <c r="AM3" s="116" t="s">
        <v>507</v>
      </c>
      <c r="AN3" s="117">
        <v>700</v>
      </c>
      <c r="AO3" s="10"/>
      <c r="AP3" s="116" t="s">
        <v>507</v>
      </c>
      <c r="AQ3" s="117">
        <v>1700</v>
      </c>
    </row>
    <row r="4" spans="1:43" x14ac:dyDescent="0.35">
      <c r="A4" s="63" t="s">
        <v>52</v>
      </c>
      <c r="B4" s="64">
        <v>0.2</v>
      </c>
      <c r="C4" s="65">
        <v>0.2</v>
      </c>
      <c r="D4" s="66">
        <f t="shared" si="1"/>
        <v>6344.6106</v>
      </c>
      <c r="E4" s="67">
        <f>_xlfn.MAXIFS(T:T,M:M,A4)</f>
        <v>0.41137986647480368</v>
      </c>
      <c r="F4" s="67">
        <f>F3+SUMIFS(AI:AI,AB:AB,A4)/(SUM(AI:AI)/2)</f>
        <v>0.47167783928439921</v>
      </c>
      <c r="G4" s="66">
        <f t="shared" si="2"/>
        <v>6344.6106</v>
      </c>
      <c r="H4" s="67">
        <f>_xlfn.MAXIFS(T:T,S:S,A4)</f>
        <v>0.41137986647480368</v>
      </c>
      <c r="J4" s="54" t="s">
        <v>481</v>
      </c>
      <c r="K4" s="56" t="s">
        <v>378</v>
      </c>
      <c r="L4" s="57">
        <v>2250</v>
      </c>
      <c r="M4" s="125" t="s">
        <v>20</v>
      </c>
      <c r="N4" s="58">
        <v>46128</v>
      </c>
      <c r="O4" s="44"/>
      <c r="P4" s="44"/>
      <c r="R4" s="59">
        <f>R3+Portfolio_by_issuer[[#This Row],[Total Amount]]/Portfolio_by_issuer[[#Totals],[Total Amount]]</f>
        <v>0.20555910235600428</v>
      </c>
      <c r="S4" s="60" t="str">
        <f>_xlfn.XLOOKUP(Portfolio_by_issuer[[#This Row],[Issuer]],Rating!T:T,Rating!U:U,,0)</f>
        <v>AAA</v>
      </c>
      <c r="T4" s="61">
        <f>T3+Portfolio_by_issuer[[#This Row],[Total Amount]]/Portfolio_by_issuer[[#Totals],[Total Amount]]</f>
        <v>0.20555910235600428</v>
      </c>
      <c r="U4" s="54"/>
      <c r="V4" s="55"/>
      <c r="W4" s="118" t="s">
        <v>378</v>
      </c>
      <c r="X4" s="10" t="s">
        <v>184</v>
      </c>
      <c r="Y4" s="10" t="s">
        <v>534</v>
      </c>
      <c r="Z4" s="44" t="s">
        <v>505</v>
      </c>
      <c r="AA4" s="44"/>
      <c r="AB4" s="102" t="s">
        <v>20</v>
      </c>
      <c r="AC4" s="122">
        <v>46128</v>
      </c>
      <c r="AD4" s="124"/>
      <c r="AE4" s="124"/>
      <c r="AF4" s="44"/>
      <c r="AG4" s="120">
        <v>400</v>
      </c>
      <c r="AH4" s="103">
        <f>AH3+AG4/Portfolio_by_bond[[#Totals],[Total Amount]]</f>
        <v>1.7697373198158443E-2</v>
      </c>
      <c r="AI4" s="104">
        <f>Portfolio_by_bond[[#This Row],[Total Amount]]-_xlfn.XLOOKUP(Portfolio_by_bond[[#This Row],[Bond_Code]],'Ref'!F:F,'Ref'!G:G,0,0)</f>
        <v>400</v>
      </c>
      <c r="AJ4" s="105">
        <f t="shared" si="3"/>
        <v>2.2527506814549091E-2</v>
      </c>
      <c r="AK4" s="62" t="str">
        <f t="shared" si="0"/>
        <v>6M-1Y</v>
      </c>
      <c r="AL4" s="54"/>
      <c r="AM4" s="116" t="s">
        <v>503</v>
      </c>
      <c r="AN4" s="117">
        <v>7950</v>
      </c>
      <c r="AO4" s="10"/>
      <c r="AP4" s="116" t="s">
        <v>503</v>
      </c>
      <c r="AQ4" s="117">
        <v>7950</v>
      </c>
    </row>
    <row r="5" spans="1:43" x14ac:dyDescent="0.35">
      <c r="A5" s="63" t="s">
        <v>33</v>
      </c>
      <c r="B5" s="64">
        <v>0.2</v>
      </c>
      <c r="C5" s="65">
        <v>0.23</v>
      </c>
      <c r="D5" s="66">
        <f t="shared" si="1"/>
        <v>8200</v>
      </c>
      <c r="E5" s="67">
        <f>_xlfn.MAXIFS(T:T,M:M,A5)</f>
        <v>0.63463611009324539</v>
      </c>
      <c r="F5" s="67">
        <f>F4+SUMIFS(AI:AI,AB:AB,A5)/(SUM(AI:AI)/2)</f>
        <v>0.75587100217563385</v>
      </c>
      <c r="G5" s="66">
        <f t="shared" si="2"/>
        <v>8200</v>
      </c>
      <c r="H5" s="67">
        <f>_xlfn.MAXIFS(T:T,S:S,A5)</f>
        <v>0.63463611009324539</v>
      </c>
      <c r="J5" s="68">
        <f>_xlfn.MAXIFS(T:T,S:S,"BBB")</f>
        <v>0.79991067561264773</v>
      </c>
      <c r="K5" s="56" t="s">
        <v>277</v>
      </c>
      <c r="L5" s="57">
        <v>1215</v>
      </c>
      <c r="M5" s="125" t="s">
        <v>20</v>
      </c>
      <c r="N5" s="58">
        <v>46136</v>
      </c>
      <c r="O5" s="44" t="s">
        <v>18</v>
      </c>
      <c r="P5" s="44" t="s">
        <v>22</v>
      </c>
      <c r="R5" s="59">
        <f>R4+Portfolio_by_issuer[[#This Row],[Total Amount]]/Portfolio_by_issuer[[#Totals],[Total Amount]]</f>
        <v>0.23863914333117583</v>
      </c>
      <c r="S5" s="60" t="str">
        <f>_xlfn.XLOOKUP(Portfolio_by_issuer[[#This Row],[Issuer]],Rating!T:T,Rating!U:U,,0)</f>
        <v>AAA</v>
      </c>
      <c r="T5" s="61">
        <f>T4+Portfolio_by_issuer[[#This Row],[Total Amount]]/Portfolio_by_issuer[[#Totals],[Total Amount]]</f>
        <v>0.23863914333117583</v>
      </c>
      <c r="U5" s="54"/>
      <c r="V5" s="55"/>
      <c r="W5" s="118" t="s">
        <v>378</v>
      </c>
      <c r="X5" s="10" t="s">
        <v>184</v>
      </c>
      <c r="Y5" s="10" t="s">
        <v>533</v>
      </c>
      <c r="Z5" s="44" t="s">
        <v>505</v>
      </c>
      <c r="AA5" s="44"/>
      <c r="AB5" s="102" t="s">
        <v>20</v>
      </c>
      <c r="AC5" s="122">
        <v>46128</v>
      </c>
      <c r="AD5" s="124"/>
      <c r="AE5" s="124"/>
      <c r="AF5" s="44"/>
      <c r="AG5" s="120">
        <v>400</v>
      </c>
      <c r="AH5" s="103">
        <f>AH4+AG5/Portfolio_by_bond[[#Totals],[Total Amount]]</f>
        <v>2.8588064397025176E-2</v>
      </c>
      <c r="AI5" s="104">
        <f>Portfolio_by_bond[[#This Row],[Total Amount]]-_xlfn.XLOOKUP(Portfolio_by_bond[[#This Row],[Bond_Code]],'Ref'!F:F,'Ref'!G:G,0,0)</f>
        <v>400</v>
      </c>
      <c r="AJ5" s="105">
        <f t="shared" si="3"/>
        <v>3.6390587931194686E-2</v>
      </c>
      <c r="AK5" s="62" t="str">
        <f t="shared" si="0"/>
        <v>6M-1Y</v>
      </c>
      <c r="AL5" s="54"/>
      <c r="AM5" s="116" t="s">
        <v>506</v>
      </c>
      <c r="AN5" s="117">
        <v>3000</v>
      </c>
      <c r="AO5" s="10"/>
      <c r="AP5" s="116" t="s">
        <v>504</v>
      </c>
      <c r="AQ5" s="117">
        <v>3172</v>
      </c>
    </row>
    <row r="6" spans="1:43" x14ac:dyDescent="0.35">
      <c r="A6" s="63" t="s">
        <v>24</v>
      </c>
      <c r="B6" s="64">
        <v>0.2</v>
      </c>
      <c r="C6" s="65">
        <v>0.26</v>
      </c>
      <c r="D6" s="66">
        <f t="shared" si="1"/>
        <v>6070.3853800178804</v>
      </c>
      <c r="E6" s="69">
        <f>_xlfn.MAXIFS(T:T,M:M,A6)</f>
        <v>0.79991067561264773</v>
      </c>
      <c r="F6" s="69">
        <f>F5+SUMIFS(AI:AI,AB:AB,A6)/(SUM(AI:AI)/2)</f>
        <v>0.77319985357144083</v>
      </c>
      <c r="G6" s="66">
        <f t="shared" si="2"/>
        <v>6070.3853800178804</v>
      </c>
      <c r="H6" s="69">
        <f>_xlfn.MAXIFS(T:T,S:S,A6)</f>
        <v>0.79991067561264773</v>
      </c>
      <c r="K6" s="56" t="s">
        <v>283</v>
      </c>
      <c r="L6" s="57">
        <v>2697.6106</v>
      </c>
      <c r="M6" s="125" t="s">
        <v>52</v>
      </c>
      <c r="N6" s="58">
        <v>46022</v>
      </c>
      <c r="O6" s="44"/>
      <c r="P6" s="44" t="s">
        <v>25</v>
      </c>
      <c r="R6" s="59">
        <f>R5+Portfolio_by_issuer[[#This Row],[Total Amount]]/Portfolio_by_issuer[[#Totals],[Total Amount]]</f>
        <v>0.31208529080694303</v>
      </c>
      <c r="S6" s="60" t="str">
        <f>_xlfn.XLOOKUP(Portfolio_by_issuer[[#This Row],[Issuer]],Rating!T:T,Rating!U:U,,0)</f>
        <v>AA</v>
      </c>
      <c r="T6" s="61">
        <f>T5+Portfolio_by_issuer[[#This Row],[Total Amount]]/Portfolio_by_issuer[[#Totals],[Total Amount]]</f>
        <v>0.31208529080694303</v>
      </c>
      <c r="U6" s="54"/>
      <c r="V6" s="55"/>
      <c r="W6" s="118" t="s">
        <v>378</v>
      </c>
      <c r="X6" s="10" t="s">
        <v>184</v>
      </c>
      <c r="Y6" s="10" t="s">
        <v>625</v>
      </c>
      <c r="Z6" s="44" t="s">
        <v>507</v>
      </c>
      <c r="AA6" s="44"/>
      <c r="AB6" s="102" t="s">
        <v>20</v>
      </c>
      <c r="AC6" s="122">
        <v>46128</v>
      </c>
      <c r="AD6" s="124"/>
      <c r="AE6" s="124"/>
      <c r="AF6" s="44"/>
      <c r="AG6" s="120">
        <v>200</v>
      </c>
      <c r="AH6" s="103">
        <f>AH5+AG6/Portfolio_by_bond[[#Totals],[Total Amount]]</f>
        <v>3.4033409996458541E-2</v>
      </c>
      <c r="AI6" s="104">
        <f>Portfolio_by_bond[[#This Row],[Total Amount]]-_xlfn.XLOOKUP(Portfolio_by_bond[[#This Row],[Bond_Code]],'Ref'!F:F,'Ref'!G:G,0,0)</f>
        <v>200</v>
      </c>
      <c r="AJ6" s="105">
        <f t="shared" si="3"/>
        <v>4.3322128489517484E-2</v>
      </c>
      <c r="AK6" s="62" t="str">
        <f t="shared" si="0"/>
        <v>1-2Y</v>
      </c>
      <c r="AL6" s="54"/>
      <c r="AM6" s="116" t="s">
        <v>504</v>
      </c>
      <c r="AN6" s="117">
        <v>3172</v>
      </c>
      <c r="AO6" s="10"/>
      <c r="AP6" s="116" t="s">
        <v>505</v>
      </c>
      <c r="AQ6" s="117">
        <v>17986.710599999999</v>
      </c>
    </row>
    <row r="7" spans="1:43" x14ac:dyDescent="0.35">
      <c r="A7" s="63" t="s">
        <v>18</v>
      </c>
      <c r="B7" s="64">
        <v>0.2</v>
      </c>
      <c r="C7" s="65">
        <v>0.36</v>
      </c>
      <c r="D7" s="66">
        <f t="shared" si="1"/>
        <v>5850</v>
      </c>
      <c r="E7" s="67">
        <f>_xlfn.MAXIFS(T:T,M:M,A7)</f>
        <v>0.95918494697458478</v>
      </c>
      <c r="F7" s="67">
        <f>F6+SUMIFS(AI:AI,AB:AB,A7)/(SUM(AI:AI)/2)</f>
        <v>0.97594741490238257</v>
      </c>
      <c r="G7" s="66">
        <f t="shared" si="2"/>
        <v>5850</v>
      </c>
      <c r="H7" s="67">
        <f>_xlfn.MAXIFS(T:T,S:S,A7)</f>
        <v>0.95918494697458478</v>
      </c>
      <c r="K7" s="56" t="s">
        <v>281</v>
      </c>
      <c r="L7" s="57">
        <v>1400</v>
      </c>
      <c r="M7" s="125" t="s">
        <v>52</v>
      </c>
      <c r="N7" s="58">
        <v>46203</v>
      </c>
      <c r="O7" s="44" t="s">
        <v>65</v>
      </c>
      <c r="P7" s="44" t="s">
        <v>27</v>
      </c>
      <c r="R7" s="59">
        <f>R6+Portfolio_by_issuer[[#This Row],[Total Amount]]/Portfolio_by_issuer[[#Totals],[Total Amount]]</f>
        <v>0.35020221044911604</v>
      </c>
      <c r="S7" s="60" t="str">
        <f>_xlfn.XLOOKUP(Portfolio_by_issuer[[#This Row],[Issuer]],Rating!T:T,Rating!U:U,,0)</f>
        <v>AA</v>
      </c>
      <c r="T7" s="61">
        <f>T6+Portfolio_by_issuer[[#This Row],[Total Amount]]/Portfolio_by_issuer[[#Totals],[Total Amount]]</f>
        <v>0.35020221044911604</v>
      </c>
      <c r="U7" s="54"/>
      <c r="W7" s="118" t="s">
        <v>378</v>
      </c>
      <c r="X7" s="10" t="s">
        <v>184</v>
      </c>
      <c r="Y7" s="10" t="s">
        <v>561</v>
      </c>
      <c r="Z7" s="44" t="s">
        <v>506</v>
      </c>
      <c r="AA7" s="44"/>
      <c r="AB7" s="102" t="s">
        <v>20</v>
      </c>
      <c r="AC7" s="122">
        <v>46128</v>
      </c>
      <c r="AD7" s="124"/>
      <c r="AE7" s="124"/>
      <c r="AF7" s="44"/>
      <c r="AG7" s="120">
        <v>1000</v>
      </c>
      <c r="AH7" s="103">
        <f>AH6+AG7/Portfolio_by_bond[[#Totals],[Total Amount]]</f>
        <v>6.1260137993625369E-2</v>
      </c>
      <c r="AI7" s="104">
        <f>Portfolio_by_bond[[#This Row],[Total Amount]]-_xlfn.XLOOKUP(Portfolio_by_bond[[#This Row],[Bond_Code]],'Ref'!F:F,'Ref'!G:G,0,0)</f>
        <v>1000</v>
      </c>
      <c r="AJ7" s="105">
        <f t="shared" si="3"/>
        <v>7.7979831281131465E-2</v>
      </c>
      <c r="AK7" s="62" t="str">
        <f t="shared" si="0"/>
        <v>2-3Y</v>
      </c>
      <c r="AL7" s="54"/>
      <c r="AM7" s="116" t="s">
        <v>509</v>
      </c>
      <c r="AN7" s="117">
        <v>3897.6106</v>
      </c>
      <c r="AO7" s="10"/>
      <c r="AP7" s="116" t="s">
        <v>506</v>
      </c>
      <c r="AQ7" s="117">
        <v>1000</v>
      </c>
    </row>
    <row r="8" spans="1:43" x14ac:dyDescent="0.35">
      <c r="A8" s="63" t="s">
        <v>40</v>
      </c>
      <c r="B8" s="64">
        <v>0.2</v>
      </c>
      <c r="C8" s="65">
        <v>0.52</v>
      </c>
      <c r="D8" s="66">
        <f t="shared" si="1"/>
        <v>1000</v>
      </c>
      <c r="E8" s="67">
        <v>0.98</v>
      </c>
      <c r="F8" s="67">
        <v>0.99</v>
      </c>
      <c r="G8" s="66">
        <f t="shared" si="2"/>
        <v>1000</v>
      </c>
      <c r="H8" s="67">
        <v>0.99</v>
      </c>
      <c r="K8" s="56" t="s">
        <v>272</v>
      </c>
      <c r="L8" s="57">
        <v>1000</v>
      </c>
      <c r="M8" s="125" t="s">
        <v>52</v>
      </c>
      <c r="N8" s="58">
        <v>46199</v>
      </c>
      <c r="O8" s="44"/>
      <c r="P8" s="44" t="s">
        <v>27</v>
      </c>
      <c r="R8" s="59">
        <f>R7+Portfolio_by_issuer[[#This Row],[Total Amount]]/Portfolio_by_issuer[[#Totals],[Total Amount]]</f>
        <v>0.37742858162209675</v>
      </c>
      <c r="S8" s="60" t="str">
        <f>_xlfn.XLOOKUP(Portfolio_by_issuer[[#This Row],[Issuer]],Rating!T:T,Rating!U:U,,0)</f>
        <v>AA</v>
      </c>
      <c r="T8" s="61">
        <f>T7+Portfolio_by_issuer[[#This Row],[Total Amount]]/Portfolio_by_issuer[[#Totals],[Total Amount]]</f>
        <v>0.37742858162209675</v>
      </c>
      <c r="U8" s="54"/>
      <c r="W8" s="118" t="s">
        <v>277</v>
      </c>
      <c r="X8" s="10" t="s">
        <v>59</v>
      </c>
      <c r="Y8" s="10" t="s">
        <v>538</v>
      </c>
      <c r="Z8" s="44" t="s">
        <v>507</v>
      </c>
      <c r="AA8" s="44"/>
      <c r="AB8" s="102" t="s">
        <v>20</v>
      </c>
      <c r="AC8" s="122">
        <v>46136</v>
      </c>
      <c r="AD8" s="124" t="s">
        <v>18</v>
      </c>
      <c r="AE8" s="124" t="s">
        <v>22</v>
      </c>
      <c r="AF8" s="44"/>
      <c r="AG8" s="120">
        <v>500</v>
      </c>
      <c r="AH8" s="103">
        <f>AH7+AG8/Portfolio_by_bond[[#Totals],[Total Amount]]</f>
        <v>7.4873501992208782E-2</v>
      </c>
      <c r="AI8" s="104">
        <f>Portfolio_by_bond[[#This Row],[Total Amount]]-_xlfn.XLOOKUP(Portfolio_by_bond[[#This Row],[Bond_Code]],'Ref'!F:F,'Ref'!G:G,0,0)</f>
        <v>500</v>
      </c>
      <c r="AJ8" s="105">
        <f t="shared" si="3"/>
        <v>9.5308682676938455E-2</v>
      </c>
      <c r="AK8" s="62" t="str">
        <f t="shared" si="0"/>
        <v>1-2Y</v>
      </c>
      <c r="AL8" s="54"/>
      <c r="AM8" s="116" t="s">
        <v>505</v>
      </c>
      <c r="AN8" s="117">
        <v>14089.1</v>
      </c>
      <c r="AO8" s="10"/>
      <c r="AP8" s="116" t="s">
        <v>508</v>
      </c>
      <c r="AQ8" s="117">
        <v>569.90402104658006</v>
      </c>
    </row>
    <row r="9" spans="1:43" x14ac:dyDescent="0.35">
      <c r="A9" s="63" t="s">
        <v>31</v>
      </c>
      <c r="B9" s="64">
        <v>0.2</v>
      </c>
      <c r="C9" s="65">
        <v>0.52</v>
      </c>
      <c r="D9" s="66">
        <f t="shared" si="1"/>
        <v>499.1</v>
      </c>
      <c r="E9" s="67">
        <v>1</v>
      </c>
      <c r="F9" s="67">
        <v>1</v>
      </c>
      <c r="G9" s="66">
        <f t="shared" si="2"/>
        <v>499.1</v>
      </c>
      <c r="H9" s="67">
        <v>1</v>
      </c>
      <c r="K9" s="56" t="s">
        <v>270</v>
      </c>
      <c r="L9" s="57">
        <v>847</v>
      </c>
      <c r="M9" s="125" t="s">
        <v>52</v>
      </c>
      <c r="N9" s="58">
        <v>46164</v>
      </c>
      <c r="O9" s="44"/>
      <c r="P9" s="44" t="s">
        <v>38</v>
      </c>
      <c r="R9" s="59">
        <f>R8+Portfolio_by_issuer[[#This Row],[Total Amount]]/Portfolio_by_issuer[[#Totals],[Total Amount]]</f>
        <v>0.40048931800561138</v>
      </c>
      <c r="S9" s="60" t="str">
        <f>_xlfn.XLOOKUP(Portfolio_by_issuer[[#This Row],[Issuer]],Rating!T:T,Rating!U:U,,0)</f>
        <v>AA</v>
      </c>
      <c r="T9" s="61">
        <f>T8+Portfolio_by_issuer[[#This Row],[Total Amount]]/Portfolio_by_issuer[[#Totals],[Total Amount]]</f>
        <v>0.40048931800561138</v>
      </c>
      <c r="U9" s="54"/>
      <c r="W9" s="118" t="s">
        <v>277</v>
      </c>
      <c r="X9" s="10" t="s">
        <v>59</v>
      </c>
      <c r="Y9" s="10" t="s">
        <v>562</v>
      </c>
      <c r="Z9" s="44" t="s">
        <v>504</v>
      </c>
      <c r="AA9" s="44"/>
      <c r="AB9" s="102" t="s">
        <v>20</v>
      </c>
      <c r="AC9" s="122">
        <v>46136</v>
      </c>
      <c r="AD9" s="124" t="s">
        <v>18</v>
      </c>
      <c r="AE9" s="124" t="s">
        <v>22</v>
      </c>
      <c r="AF9" s="44"/>
      <c r="AG9" s="120">
        <v>715</v>
      </c>
      <c r="AH9" s="103">
        <f>AH8+AG9/Portfolio_by_bond[[#Totals],[Total Amount]]</f>
        <v>9.4340612510183067E-2</v>
      </c>
      <c r="AI9" s="104">
        <f>Portfolio_by_bond[[#This Row],[Total Amount]]-_xlfn.XLOOKUP(Portfolio_by_bond[[#This Row],[Bond_Code]],'Ref'!F:F,'Ref'!G:G,0,0)</f>
        <v>715</v>
      </c>
      <c r="AJ9" s="105">
        <f t="shared" si="3"/>
        <v>0.12008894017294246</v>
      </c>
      <c r="AK9" s="62" t="str">
        <f t="shared" si="0"/>
        <v>3-6M</v>
      </c>
      <c r="AL9" s="54"/>
      <c r="AM9" s="116" t="s">
        <v>508</v>
      </c>
      <c r="AN9" s="117">
        <v>569.90402104658006</v>
      </c>
      <c r="AO9" s="10"/>
      <c r="AP9" s="116" t="s">
        <v>509</v>
      </c>
      <c r="AQ9" s="117">
        <v>1000</v>
      </c>
    </row>
    <row r="10" spans="1:43" x14ac:dyDescent="0.35">
      <c r="A10" s="70" t="s">
        <v>463</v>
      </c>
      <c r="B10" s="71"/>
      <c r="C10" s="71"/>
      <c r="D10" s="72">
        <f>SUM(D3:D9)</f>
        <v>36729.095980017875</v>
      </c>
      <c r="E10" s="73">
        <f>E9</f>
        <v>1</v>
      </c>
      <c r="F10" s="109">
        <f>F9</f>
        <v>1</v>
      </c>
      <c r="G10" s="74">
        <f>SUM(G3:G9)</f>
        <v>36729.095980017875</v>
      </c>
      <c r="H10" s="75">
        <f>H9</f>
        <v>1</v>
      </c>
      <c r="K10" s="56" t="s">
        <v>273</v>
      </c>
      <c r="L10" s="57">
        <v>400</v>
      </c>
      <c r="M10" s="125" t="s">
        <v>52</v>
      </c>
      <c r="N10" s="58">
        <v>46142</v>
      </c>
      <c r="O10" s="44"/>
      <c r="P10" s="44" t="s">
        <v>27</v>
      </c>
      <c r="R10" s="59">
        <f>R9+Portfolio_by_issuer[[#This Row],[Total Amount]]/Portfolio_by_issuer[[#Totals],[Total Amount]]</f>
        <v>0.41137986647480368</v>
      </c>
      <c r="S10" s="60" t="str">
        <f>_xlfn.XLOOKUP(Portfolio_by_issuer[[#This Row],[Issuer]],Rating!T:T,Rating!U:U,,0)</f>
        <v>AA</v>
      </c>
      <c r="T10" s="61">
        <f>T9+Portfolio_by_issuer[[#This Row],[Total Amount]]/Portfolio_by_issuer[[#Totals],[Total Amount]]</f>
        <v>0.41137986647480368</v>
      </c>
      <c r="U10" s="54"/>
      <c r="W10" s="118" t="s">
        <v>278</v>
      </c>
      <c r="X10" s="10" t="s">
        <v>60</v>
      </c>
      <c r="Y10" s="10" t="s">
        <v>626</v>
      </c>
      <c r="Z10" s="44" t="s">
        <v>504</v>
      </c>
      <c r="AA10" s="44"/>
      <c r="AB10" s="102" t="s">
        <v>20</v>
      </c>
      <c r="AC10" s="122">
        <v>46211</v>
      </c>
      <c r="AD10" s="124"/>
      <c r="AE10" s="124"/>
      <c r="AF10" s="44"/>
      <c r="AG10" s="120">
        <v>300</v>
      </c>
      <c r="AH10" s="103">
        <f>AH9+AG10/Portfolio_by_bond[[#Totals],[Total Amount]]</f>
        <v>0.10250863090933311</v>
      </c>
      <c r="AI10" s="104">
        <f>Portfolio_by_bond[[#This Row],[Total Amount]]-_xlfn.XLOOKUP(Portfolio_by_bond[[#This Row],[Bond_Code]],'Ref'!F:F,'Ref'!G:G,0,0)</f>
        <v>300</v>
      </c>
      <c r="AJ10" s="105">
        <f t="shared" si="3"/>
        <v>0.13048625101042666</v>
      </c>
      <c r="AK10" s="62" t="str">
        <f t="shared" si="0"/>
        <v>3-6M</v>
      </c>
      <c r="AL10" s="54"/>
      <c r="AM10" s="116" t="s">
        <v>463</v>
      </c>
      <c r="AN10" s="117">
        <v>36728.614621046581</v>
      </c>
      <c r="AO10" s="10"/>
      <c r="AP10" s="116" t="s">
        <v>463</v>
      </c>
      <c r="AQ10" s="117">
        <v>36728.614621046581</v>
      </c>
    </row>
    <row r="11" spans="1:43" x14ac:dyDescent="0.35">
      <c r="K11" s="56" t="s">
        <v>280</v>
      </c>
      <c r="L11" s="57">
        <v>3700</v>
      </c>
      <c r="M11" s="125" t="s">
        <v>33</v>
      </c>
      <c r="N11" s="58">
        <v>46253</v>
      </c>
      <c r="O11" s="44" t="s">
        <v>65</v>
      </c>
      <c r="P11" s="44" t="s">
        <v>25</v>
      </c>
      <c r="R11" s="59">
        <f>R10+Portfolio_by_issuer[[#This Row],[Total Amount]]/Portfolio_by_issuer[[#Totals],[Total Amount]]</f>
        <v>0.51211743981483226</v>
      </c>
      <c r="S11" s="60" t="str">
        <f>_xlfn.XLOOKUP(Portfolio_by_issuer[[#This Row],[Issuer]],Rating!T:T,Rating!U:U,,0)</f>
        <v>A</v>
      </c>
      <c r="T11" s="61">
        <f>T10+Portfolio_by_issuer[[#This Row],[Total Amount]]/Portfolio_by_issuer[[#Totals],[Total Amount]]</f>
        <v>0.51211743981483226</v>
      </c>
      <c r="U11" s="54"/>
      <c r="W11" s="118" t="s">
        <v>278</v>
      </c>
      <c r="X11" s="10" t="s">
        <v>60</v>
      </c>
      <c r="Y11" s="10" t="s">
        <v>541</v>
      </c>
      <c r="Z11" s="44" t="s">
        <v>506</v>
      </c>
      <c r="AA11" s="44" t="s">
        <v>505</v>
      </c>
      <c r="AB11" s="102" t="s">
        <v>20</v>
      </c>
      <c r="AC11" s="122">
        <v>46211</v>
      </c>
      <c r="AD11" s="124"/>
      <c r="AE11" s="124"/>
      <c r="AF11" s="44"/>
      <c r="AG11" s="120">
        <v>2000</v>
      </c>
      <c r="AH11" s="103">
        <f>AH10+AG11/Portfolio_by_bond[[#Totals],[Total Amount]]</f>
        <v>0.15696208690366678</v>
      </c>
      <c r="AI11" s="104">
        <f>Portfolio_by_bond[[#This Row],[Total Amount]]-_xlfn.XLOOKUP(Portfolio_by_bond[[#This Row],[Bond_Code]],'Ref'!F:F,'Ref'!G:G,0,0)</f>
        <v>2000</v>
      </c>
      <c r="AJ11" s="105">
        <f t="shared" si="3"/>
        <v>0.19980165659365462</v>
      </c>
      <c r="AK11" s="62" t="str">
        <f t="shared" si="0"/>
        <v>6M-1Y</v>
      </c>
      <c r="AL11" s="54"/>
      <c r="AM11" s="10"/>
      <c r="AN11" s="10"/>
      <c r="AO11" s="10"/>
    </row>
    <row r="12" spans="1:43" x14ac:dyDescent="0.35">
      <c r="K12" s="56" t="s">
        <v>260</v>
      </c>
      <c r="L12" s="57">
        <v>3000</v>
      </c>
      <c r="M12" s="125" t="s">
        <v>33</v>
      </c>
      <c r="N12" s="58">
        <v>46141</v>
      </c>
      <c r="O12" s="44" t="s">
        <v>62</v>
      </c>
      <c r="P12" s="44" t="s">
        <v>38</v>
      </c>
      <c r="R12" s="59">
        <f>R11+Portfolio_by_issuer[[#This Row],[Total Amount]]/Portfolio_by_issuer[[#Totals],[Total Amount]]</f>
        <v>0.59379655333377435</v>
      </c>
      <c r="S12" s="60" t="str">
        <f>_xlfn.XLOOKUP(Portfolio_by_issuer[[#This Row],[Issuer]],Rating!T:T,Rating!U:U,,0)</f>
        <v>A</v>
      </c>
      <c r="T12" s="61">
        <f>T11+Portfolio_by_issuer[[#This Row],[Total Amount]]/Portfolio_by_issuer[[#Totals],[Total Amount]]</f>
        <v>0.59379655333377435</v>
      </c>
      <c r="U12" s="54"/>
      <c r="W12" s="118" t="s">
        <v>251</v>
      </c>
      <c r="X12" s="10" t="s">
        <v>19</v>
      </c>
      <c r="Y12" s="10" t="s">
        <v>536</v>
      </c>
      <c r="Z12" s="44" t="s">
        <v>505</v>
      </c>
      <c r="AA12" s="44"/>
      <c r="AB12" s="102" t="s">
        <v>20</v>
      </c>
      <c r="AC12" s="122">
        <v>46203</v>
      </c>
      <c r="AD12" s="124"/>
      <c r="AE12" s="124" t="s">
        <v>22</v>
      </c>
      <c r="AF12" s="44"/>
      <c r="AG12" s="120">
        <v>3000</v>
      </c>
      <c r="AH12" s="103">
        <f>AH11+AG12/Portfolio_by_bond[[#Totals],[Total Amount]]</f>
        <v>0.23864227089516726</v>
      </c>
      <c r="AI12" s="104">
        <f>Portfolio_by_bond[[#This Row],[Total Amount]]-_xlfn.XLOOKUP(Portfolio_by_bond[[#This Row],[Bond_Code]],'Ref'!F:F,'Ref'!G:G,0,0)</f>
        <v>3000</v>
      </c>
      <c r="AJ12" s="105">
        <f t="shared" si="3"/>
        <v>0.30377476496849654</v>
      </c>
      <c r="AK12" s="62" t="str">
        <f t="shared" si="0"/>
        <v>6M-1Y</v>
      </c>
      <c r="AL12" s="54"/>
      <c r="AM12" s="10"/>
      <c r="AN12" s="10"/>
      <c r="AO12" s="10"/>
    </row>
    <row r="13" spans="1:43" x14ac:dyDescent="0.35">
      <c r="A13" s="128" t="s">
        <v>498</v>
      </c>
      <c r="B13" s="128" t="s">
        <v>513</v>
      </c>
      <c r="C13" s="129" t="s">
        <v>517</v>
      </c>
      <c r="K13" s="56" t="s">
        <v>252</v>
      </c>
      <c r="L13" s="57">
        <v>1500</v>
      </c>
      <c r="M13" s="125" t="s">
        <v>33</v>
      </c>
      <c r="N13" s="58">
        <v>46211</v>
      </c>
      <c r="O13" s="44" t="s">
        <v>65</v>
      </c>
      <c r="P13" s="44" t="s">
        <v>25</v>
      </c>
      <c r="R13" s="59">
        <f>R12+Portfolio_by_issuer[[#This Row],[Total Amount]]/Portfolio_by_issuer[[#Totals],[Total Amount]]</f>
        <v>0.63463611009324539</v>
      </c>
      <c r="S13" s="60" t="str">
        <f>_xlfn.XLOOKUP(Portfolio_by_issuer[[#This Row],[Issuer]],Rating!T:T,Rating!U:U,,0)</f>
        <v>A</v>
      </c>
      <c r="T13" s="61">
        <f>T12+Portfolio_by_issuer[[#This Row],[Total Amount]]/Portfolio_by_issuer[[#Totals],[Total Amount]]</f>
        <v>0.63463611009324539</v>
      </c>
      <c r="U13" s="54"/>
      <c r="W13" s="118" t="s">
        <v>281</v>
      </c>
      <c r="X13" s="10" t="s">
        <v>64</v>
      </c>
      <c r="Y13" s="10" t="s">
        <v>627</v>
      </c>
      <c r="Z13" s="44" t="s">
        <v>504</v>
      </c>
      <c r="AA13" s="44"/>
      <c r="AB13" s="102" t="s">
        <v>52</v>
      </c>
      <c r="AC13" s="122">
        <v>46203</v>
      </c>
      <c r="AD13" s="124" t="s">
        <v>65</v>
      </c>
      <c r="AE13" s="124" t="s">
        <v>27</v>
      </c>
      <c r="AF13" s="44"/>
      <c r="AG13" s="120">
        <v>300</v>
      </c>
      <c r="AH13" s="103">
        <f>AH12+AG13/Portfolio_by_bond[[#Totals],[Total Amount]]</f>
        <v>0.24681028929431731</v>
      </c>
      <c r="AI13" s="104">
        <f>Portfolio_by_bond[[#This Row],[Total Amount]]-_xlfn.XLOOKUP(Portfolio_by_bond[[#This Row],[Bond_Code]],'Ref'!F:F,'Ref'!G:G,0,0)</f>
        <v>300</v>
      </c>
      <c r="AJ13" s="105">
        <f t="shared" si="3"/>
        <v>0.31417207580598072</v>
      </c>
      <c r="AK13" s="62" t="str">
        <f t="shared" si="0"/>
        <v>3-6M</v>
      </c>
      <c r="AL13" s="54"/>
      <c r="AM13" s="10"/>
      <c r="AN13" s="10"/>
      <c r="AO13" s="10"/>
    </row>
    <row r="14" spans="1:43" x14ac:dyDescent="0.35">
      <c r="A14" s="128"/>
      <c r="B14" s="128"/>
      <c r="C14" s="128"/>
      <c r="K14" s="56" t="s">
        <v>264</v>
      </c>
      <c r="L14" s="57">
        <v>3000</v>
      </c>
      <c r="M14" s="125" t="s">
        <v>24</v>
      </c>
      <c r="N14" s="58">
        <v>46146</v>
      </c>
      <c r="O14" s="44" t="s">
        <v>62</v>
      </c>
      <c r="P14" s="44"/>
      <c r="R14" s="59">
        <f>R13+Portfolio_by_issuer[[#This Row],[Total Amount]]/Portfolio_by_issuer[[#Totals],[Total Amount]]</f>
        <v>0.71631522361218747</v>
      </c>
      <c r="S14" s="60" t="str">
        <f>_xlfn.XLOOKUP(Portfolio_by_issuer[[#This Row],[Issuer]],Rating!T:T,Rating!U:U,,0)</f>
        <v>BBB</v>
      </c>
      <c r="T14" s="61">
        <f>T13+Portfolio_by_issuer[[#This Row],[Total Amount]]/Portfolio_by_issuer[[#Totals],[Total Amount]]</f>
        <v>0.71631522361218747</v>
      </c>
      <c r="U14" s="54"/>
      <c r="W14" s="118" t="s">
        <v>281</v>
      </c>
      <c r="X14" s="10" t="s">
        <v>64</v>
      </c>
      <c r="Y14" s="10" t="s">
        <v>563</v>
      </c>
      <c r="Z14" s="44" t="s">
        <v>505</v>
      </c>
      <c r="AA14" s="44"/>
      <c r="AB14" s="102" t="s">
        <v>52</v>
      </c>
      <c r="AC14" s="122">
        <v>46203</v>
      </c>
      <c r="AD14" s="124" t="s">
        <v>65</v>
      </c>
      <c r="AE14" s="124" t="s">
        <v>27</v>
      </c>
      <c r="AF14" s="44"/>
      <c r="AG14" s="120">
        <v>200</v>
      </c>
      <c r="AH14" s="103">
        <f>AH13+AG14/Portfolio_by_bond[[#Totals],[Total Amount]]</f>
        <v>0.25225563489375069</v>
      </c>
      <c r="AI14" s="104">
        <f>Portfolio_by_bond[[#This Row],[Total Amount]]-_xlfn.XLOOKUP(Portfolio_by_bond[[#This Row],[Bond_Code]],'Ref'!F:F,'Ref'!G:G,0,0)</f>
        <v>200</v>
      </c>
      <c r="AJ14" s="105">
        <f t="shared" si="3"/>
        <v>0.32110361636430351</v>
      </c>
      <c r="AK14" s="62" t="str">
        <f t="shared" si="0"/>
        <v>6M-1Y</v>
      </c>
      <c r="AL14" s="54"/>
      <c r="AM14" s="10"/>
      <c r="AN14" s="10"/>
      <c r="AO14" s="10"/>
    </row>
    <row r="15" spans="1:43" x14ac:dyDescent="0.35">
      <c r="A15" s="76" t="s">
        <v>502</v>
      </c>
      <c r="B15" s="77">
        <f>_xlfn.XLOOKUP(A15,AM:AM,AN:AN,0,0)</f>
        <v>3350</v>
      </c>
      <c r="C15" s="77">
        <f>_xlfn.XLOOKUP(A15,AP:AP,AQ:AQ,0,0)</f>
        <v>3350</v>
      </c>
      <c r="K15" s="56" t="s">
        <v>253</v>
      </c>
      <c r="L15" s="57">
        <v>2500</v>
      </c>
      <c r="M15" s="125" t="s">
        <v>24</v>
      </c>
      <c r="N15" s="58">
        <v>46206</v>
      </c>
      <c r="O15" s="44"/>
      <c r="P15" s="44" t="s">
        <v>27</v>
      </c>
      <c r="R15" s="78">
        <f>R14+Portfolio_by_issuer[[#This Row],[Total Amount]]/Portfolio_by_issuer[[#Totals],[Total Amount]]</f>
        <v>0.78438115154463928</v>
      </c>
      <c r="S15" s="60" t="str">
        <f>_xlfn.XLOOKUP(Portfolio_by_issuer[[#This Row],[Issuer]],Rating!T:T,Rating!U:U,,0)</f>
        <v>BBB</v>
      </c>
      <c r="T15" s="61">
        <f>T14+Portfolio_by_issuer[[#This Row],[Total Amount]]/Portfolio_by_issuer[[#Totals],[Total Amount]]</f>
        <v>0.78438115154463928</v>
      </c>
      <c r="U15" s="54"/>
      <c r="W15" s="118" t="s">
        <v>281</v>
      </c>
      <c r="X15" s="10" t="s">
        <v>64</v>
      </c>
      <c r="Y15" s="10" t="s">
        <v>628</v>
      </c>
      <c r="Z15" s="44" t="s">
        <v>504</v>
      </c>
      <c r="AA15" s="44"/>
      <c r="AB15" s="102" t="s">
        <v>52</v>
      </c>
      <c r="AC15" s="122">
        <v>46203</v>
      </c>
      <c r="AD15" s="124" t="s">
        <v>65</v>
      </c>
      <c r="AE15" s="124" t="s">
        <v>27</v>
      </c>
      <c r="AF15" s="44"/>
      <c r="AG15" s="120">
        <v>400</v>
      </c>
      <c r="AH15" s="103">
        <f>AH14+AG15/Portfolio_by_bond[[#Totals],[Total Amount]]</f>
        <v>0.2631463260926174</v>
      </c>
      <c r="AI15" s="104">
        <f>Portfolio_by_bond[[#This Row],[Total Amount]]-_xlfn.XLOOKUP(Portfolio_by_bond[[#This Row],[Bond_Code]],'Ref'!F:F,'Ref'!G:G,0,0)</f>
        <v>400</v>
      </c>
      <c r="AJ15" s="105">
        <f t="shared" si="3"/>
        <v>0.33496669748094909</v>
      </c>
      <c r="AK15" s="62" t="str">
        <f t="shared" si="0"/>
        <v>3-6M</v>
      </c>
      <c r="AL15" s="54"/>
      <c r="AM15" s="10"/>
      <c r="AN15" s="10"/>
      <c r="AO15" s="10"/>
    </row>
    <row r="16" spans="1:43" x14ac:dyDescent="0.35">
      <c r="A16" s="76" t="s">
        <v>503</v>
      </c>
      <c r="B16" s="77">
        <f t="shared" ref="B16:B23" si="4">_xlfn.SINGLE(_xlfn.XLOOKUP(A16,AM:AM,AN:AN,0,0))</f>
        <v>7950</v>
      </c>
      <c r="C16" s="77">
        <f t="shared" ref="C16:C23" si="5">_xlfn.SINGLE(_xlfn.XLOOKUP(A16,AP:AP,AQ:AQ,0,0))</f>
        <v>7950</v>
      </c>
      <c r="K16" s="56" t="s">
        <v>579</v>
      </c>
      <c r="L16" s="57">
        <v>570.38538001788004</v>
      </c>
      <c r="M16" s="125" t="s">
        <v>24</v>
      </c>
      <c r="N16" s="58"/>
      <c r="O16" s="44" t="s">
        <v>40</v>
      </c>
      <c r="P16" s="44" t="s">
        <v>42</v>
      </c>
      <c r="Q16" s="44" t="s">
        <v>62</v>
      </c>
      <c r="R16" s="59">
        <f>R15+Portfolio_by_issuer[[#This Row],[Total Amount]]/Portfolio_by_issuer[[#Totals],[Total Amount]]</f>
        <v>0.79991067561264773</v>
      </c>
      <c r="S16" s="60" t="str">
        <f>_xlfn.XLOOKUP(Portfolio_by_issuer[[#This Row],[Issuer]],Rating!T:T,Rating!U:U,,0)</f>
        <v>BBB</v>
      </c>
      <c r="T16" s="61">
        <f>T15+Portfolio_by_issuer[[#This Row],[Total Amount]]/Portfolio_by_issuer[[#Totals],[Total Amount]]</f>
        <v>0.79991067561264773</v>
      </c>
      <c r="U16" s="54"/>
      <c r="W16" s="118" t="s">
        <v>281</v>
      </c>
      <c r="X16" s="10" t="s">
        <v>64</v>
      </c>
      <c r="Y16" s="10" t="s">
        <v>629</v>
      </c>
      <c r="Z16" s="44" t="s">
        <v>503</v>
      </c>
      <c r="AA16" s="44"/>
      <c r="AB16" s="102" t="s">
        <v>52</v>
      </c>
      <c r="AC16" s="122">
        <v>46203</v>
      </c>
      <c r="AD16" s="124" t="s">
        <v>65</v>
      </c>
      <c r="AE16" s="124" t="s">
        <v>27</v>
      </c>
      <c r="AF16" s="44"/>
      <c r="AG16" s="120">
        <v>500</v>
      </c>
      <c r="AH16" s="103">
        <f>AH15+AG16/Portfolio_by_bond[[#Totals],[Total Amount]]</f>
        <v>0.27675969009120083</v>
      </c>
      <c r="AI16" s="104">
        <f>Portfolio_by_bond[[#This Row],[Total Amount]]-_xlfn.XLOOKUP(Portfolio_by_bond[[#This Row],[Bond_Code]],'Ref'!F:F,'Ref'!G:G,0,0)</f>
        <v>500</v>
      </c>
      <c r="AJ16" s="105">
        <f t="shared" si="3"/>
        <v>0.35229554887675607</v>
      </c>
      <c r="AK16" s="62" t="str">
        <f t="shared" si="0"/>
        <v>1-3M</v>
      </c>
      <c r="AL16" s="54"/>
      <c r="AM16" s="10"/>
      <c r="AN16" s="10"/>
      <c r="AO16" s="10"/>
    </row>
    <row r="17" spans="1:41" x14ac:dyDescent="0.35">
      <c r="A17" s="76" t="s">
        <v>504</v>
      </c>
      <c r="B17" s="77">
        <f t="shared" si="4"/>
        <v>3172</v>
      </c>
      <c r="C17" s="77">
        <f t="shared" si="5"/>
        <v>3172</v>
      </c>
      <c r="K17" s="56" t="s">
        <v>271</v>
      </c>
      <c r="L17" s="57">
        <v>2500</v>
      </c>
      <c r="M17" s="125" t="s">
        <v>18</v>
      </c>
      <c r="N17" s="58">
        <v>46128</v>
      </c>
      <c r="O17" s="44"/>
      <c r="P17" s="44"/>
      <c r="R17" s="59">
        <f>R16+Portfolio_by_issuer[[#This Row],[Total Amount]]/Portfolio_by_issuer[[#Totals],[Total Amount]]</f>
        <v>0.86797660354509953</v>
      </c>
      <c r="S17" s="60" t="str">
        <f>_xlfn.XLOOKUP(Portfolio_by_issuer[[#This Row],[Issuer]],Rating!T:T,Rating!U:U,,0)</f>
        <v>BB</v>
      </c>
      <c r="T17" s="61">
        <f>T16+Portfolio_by_issuer[[#This Row],[Total Amount]]/Portfolio_by_issuer[[#Totals],[Total Amount]]</f>
        <v>0.86797660354509953</v>
      </c>
      <c r="U17" s="54"/>
      <c r="W17" s="118" t="s">
        <v>283</v>
      </c>
      <c r="X17" s="10" t="s">
        <v>67</v>
      </c>
      <c r="Y17" s="10" t="s">
        <v>544</v>
      </c>
      <c r="Z17" s="44" t="s">
        <v>509</v>
      </c>
      <c r="AA17" s="44" t="s">
        <v>505</v>
      </c>
      <c r="AB17" s="102" t="s">
        <v>52</v>
      </c>
      <c r="AC17" s="122">
        <v>46022</v>
      </c>
      <c r="AD17" s="124"/>
      <c r="AE17" s="124" t="s">
        <v>25</v>
      </c>
      <c r="AF17" s="44"/>
      <c r="AG17" s="120">
        <v>397.61059999999998</v>
      </c>
      <c r="AH17" s="103">
        <f>AH16+AG17/Portfolio_by_bond[[#Totals],[Total Amount]]</f>
        <v>0.28758532574619111</v>
      </c>
      <c r="AI17" s="104">
        <f>Portfolio_by_bond[[#This Row],[Total Amount]]-_xlfn.XLOOKUP(Portfolio_by_bond[[#This Row],[Bond_Code]],'Ref'!F:F,'Ref'!G:G,0,0)</f>
        <v>397.61059999999998</v>
      </c>
      <c r="AJ17" s="105">
        <f t="shared" si="3"/>
        <v>0.36607581887835139</v>
      </c>
      <c r="AK17" s="62" t="str">
        <f t="shared" si="0"/>
        <v>6M-1Y</v>
      </c>
      <c r="AL17" s="54"/>
      <c r="AM17" s="10"/>
      <c r="AN17" s="10"/>
      <c r="AO17" s="10"/>
    </row>
    <row r="18" spans="1:41" x14ac:dyDescent="0.35">
      <c r="A18" s="76" t="s">
        <v>505</v>
      </c>
      <c r="B18" s="77">
        <f t="shared" si="4"/>
        <v>14089.1</v>
      </c>
      <c r="C18" s="77">
        <f t="shared" si="5"/>
        <v>17986.710599999999</v>
      </c>
      <c r="K18" s="56" t="s">
        <v>279</v>
      </c>
      <c r="L18" s="79">
        <v>1500</v>
      </c>
      <c r="M18" s="125" t="s">
        <v>18</v>
      </c>
      <c r="N18" s="58">
        <v>46190</v>
      </c>
      <c r="O18" s="44"/>
      <c r="P18" s="44"/>
      <c r="Q18" s="44" t="s">
        <v>62</v>
      </c>
      <c r="R18" s="59">
        <f>R17+Portfolio_by_issuer[[#This Row],[Total Amount]]/Portfolio_by_issuer[[#Totals],[Total Amount]]</f>
        <v>0.90881616030457057</v>
      </c>
      <c r="S18" s="60" t="str">
        <f>_xlfn.XLOOKUP(Portfolio_by_issuer[[#This Row],[Issuer]],Rating!T:T,Rating!U:U,,0)</f>
        <v>BB</v>
      </c>
      <c r="T18" s="61">
        <f>T17+Portfolio_by_issuer[[#This Row],[Total Amount]]/Portfolio_by_issuer[[#Totals],[Total Amount]]</f>
        <v>0.90881616030457057</v>
      </c>
      <c r="U18" s="54"/>
      <c r="W18" s="118" t="s">
        <v>283</v>
      </c>
      <c r="X18" s="10" t="s">
        <v>67</v>
      </c>
      <c r="Y18" s="10" t="s">
        <v>545</v>
      </c>
      <c r="Z18" s="44" t="s">
        <v>503</v>
      </c>
      <c r="AA18" s="44"/>
      <c r="AB18" s="102" t="s">
        <v>52</v>
      </c>
      <c r="AC18" s="122">
        <v>46022</v>
      </c>
      <c r="AD18" s="124"/>
      <c r="AE18" s="124" t="s">
        <v>25</v>
      </c>
      <c r="AF18" s="44"/>
      <c r="AG18" s="120">
        <v>1500</v>
      </c>
      <c r="AH18" s="103">
        <f>AH17+AG18/Portfolio_by_bond[[#Totals],[Total Amount]]</f>
        <v>0.32842541774194134</v>
      </c>
      <c r="AI18" s="104">
        <f>Portfolio_by_bond[[#This Row],[Total Amount]]-_xlfn.XLOOKUP(Portfolio_by_bond[[#This Row],[Bond_Code]],'Ref'!F:F,'Ref'!G:G,0,0)</f>
        <v>0</v>
      </c>
      <c r="AJ18" s="105">
        <f t="shared" si="3"/>
        <v>0.36607581887835139</v>
      </c>
      <c r="AK18" s="62" t="str">
        <f t="shared" si="0"/>
        <v>1-3M</v>
      </c>
      <c r="AL18" s="54"/>
      <c r="AM18" s="10"/>
      <c r="AN18" s="10"/>
      <c r="AO18" s="10"/>
    </row>
    <row r="19" spans="1:41" x14ac:dyDescent="0.35">
      <c r="A19" s="76" t="s">
        <v>507</v>
      </c>
      <c r="B19" s="77">
        <f t="shared" si="4"/>
        <v>700</v>
      </c>
      <c r="C19" s="77">
        <f t="shared" si="5"/>
        <v>1700</v>
      </c>
      <c r="K19" s="56" t="s">
        <v>388</v>
      </c>
      <c r="L19" s="79">
        <v>1000</v>
      </c>
      <c r="M19" s="125" t="s">
        <v>18</v>
      </c>
      <c r="N19" s="58">
        <v>45747</v>
      </c>
      <c r="O19" s="44" t="s">
        <v>62</v>
      </c>
      <c r="P19" s="44"/>
      <c r="R19" s="59">
        <f>R18+Portfolio_by_issuer[[#This Row],[Total Amount]]/Portfolio_by_issuer[[#Totals],[Total Amount]]</f>
        <v>0.93604253147755123</v>
      </c>
      <c r="S19" s="60" t="str">
        <f>_xlfn.XLOOKUP(Portfolio_by_issuer[[#This Row],[Issuer]],Rating!T:T,Rating!U:U,,0)</f>
        <v>BB</v>
      </c>
      <c r="T19" s="61">
        <f>T18+Portfolio_by_issuer[[#This Row],[Total Amount]]/Portfolio_by_issuer[[#Totals],[Total Amount]]</f>
        <v>0.93604253147755123</v>
      </c>
      <c r="U19" s="54"/>
      <c r="W19" s="118" t="s">
        <v>283</v>
      </c>
      <c r="X19" s="10" t="s">
        <v>67</v>
      </c>
      <c r="Y19" s="10" t="s">
        <v>564</v>
      </c>
      <c r="Z19" s="44" t="s">
        <v>503</v>
      </c>
      <c r="AA19" s="44"/>
      <c r="AB19" s="102" t="s">
        <v>52</v>
      </c>
      <c r="AC19" s="122">
        <v>46022</v>
      </c>
      <c r="AD19" s="124"/>
      <c r="AE19" s="124" t="s">
        <v>25</v>
      </c>
      <c r="AF19" s="44"/>
      <c r="AG19" s="120">
        <v>800</v>
      </c>
      <c r="AH19" s="103">
        <f>AH18+AG19/Portfolio_by_bond[[#Totals],[Total Amount]]</f>
        <v>0.35020680013967481</v>
      </c>
      <c r="AI19" s="104">
        <f>Portfolio_by_bond[[#This Row],[Total Amount]]-_xlfn.XLOOKUP(Portfolio_by_bond[[#This Row],[Bond_Code]],'Ref'!F:F,'Ref'!G:G,0,0)</f>
        <v>800</v>
      </c>
      <c r="AJ19" s="105">
        <f t="shared" si="3"/>
        <v>0.39380198111164255</v>
      </c>
      <c r="AK19" s="62" t="str">
        <f t="shared" si="0"/>
        <v>1-3M</v>
      </c>
      <c r="AL19" s="54"/>
    </row>
    <row r="20" spans="1:41" x14ac:dyDescent="0.35">
      <c r="A20" s="76" t="s">
        <v>506</v>
      </c>
      <c r="B20" s="77">
        <f t="shared" si="4"/>
        <v>3000</v>
      </c>
      <c r="C20" s="77">
        <f t="shared" si="5"/>
        <v>1000</v>
      </c>
      <c r="K20" s="56" t="s">
        <v>261</v>
      </c>
      <c r="L20" s="79">
        <v>600</v>
      </c>
      <c r="M20" s="125" t="s">
        <v>18</v>
      </c>
      <c r="N20" s="58">
        <v>45792</v>
      </c>
      <c r="O20" s="44" t="s">
        <v>62</v>
      </c>
      <c r="P20" s="44" t="s">
        <v>38</v>
      </c>
      <c r="R20" s="59">
        <f>R19+Portfolio_by_issuer[[#This Row],[Total Amount]]/Portfolio_by_issuer[[#Totals],[Total Amount]]</f>
        <v>0.95237835418133965</v>
      </c>
      <c r="S20" s="60" t="str">
        <f>_xlfn.XLOOKUP(Portfolio_by_issuer[[#This Row],[Issuer]],Rating!T:T,Rating!U:U,,0)</f>
        <v>BB</v>
      </c>
      <c r="T20" s="61">
        <f>T19+Portfolio_by_issuer[[#This Row],[Total Amount]]/Portfolio_by_issuer[[#Totals],[Total Amount]]</f>
        <v>0.95237835418133965</v>
      </c>
      <c r="U20" s="54"/>
      <c r="W20" s="118" t="s">
        <v>272</v>
      </c>
      <c r="X20" s="10" t="s">
        <v>54</v>
      </c>
      <c r="Y20" s="10" t="s">
        <v>537</v>
      </c>
      <c r="Z20" s="44" t="s">
        <v>502</v>
      </c>
      <c r="AA20" s="44" t="s">
        <v>502</v>
      </c>
      <c r="AB20" s="102" t="s">
        <v>52</v>
      </c>
      <c r="AC20" s="122">
        <v>46199</v>
      </c>
      <c r="AD20" s="124"/>
      <c r="AE20" s="124" t="s">
        <v>27</v>
      </c>
      <c r="AF20" s="44"/>
      <c r="AG20" s="120">
        <v>1000</v>
      </c>
      <c r="AH20" s="103">
        <f>AH19+AG20/Portfolio_by_bond[[#Totals],[Total Amount]]</f>
        <v>0.37743352813684167</v>
      </c>
      <c r="AI20" s="104">
        <f>Portfolio_by_bond[[#This Row],[Total Amount]]-_xlfn.XLOOKUP(Portfolio_by_bond[[#This Row],[Bond_Code]],'Ref'!F:F,'Ref'!G:G,0,0)</f>
        <v>1000</v>
      </c>
      <c r="AJ20" s="105">
        <f t="shared" si="3"/>
        <v>0.42845968390325651</v>
      </c>
      <c r="AK20" s="62" t="str">
        <f t="shared" si="0"/>
        <v>&lt;1M</v>
      </c>
      <c r="AL20" s="54"/>
    </row>
    <row r="21" spans="1:41" x14ac:dyDescent="0.35">
      <c r="A21" s="76" t="s">
        <v>508</v>
      </c>
      <c r="B21" s="77">
        <f t="shared" si="4"/>
        <v>569.90402104658006</v>
      </c>
      <c r="C21" s="77">
        <f t="shared" si="5"/>
        <v>569.90402104658006</v>
      </c>
      <c r="K21" s="56" t="s">
        <v>262</v>
      </c>
      <c r="L21" s="79">
        <v>250</v>
      </c>
      <c r="M21" s="125" t="s">
        <v>18</v>
      </c>
      <c r="N21" s="58">
        <v>46209</v>
      </c>
      <c r="O21" s="44" t="s">
        <v>62</v>
      </c>
      <c r="P21" s="44"/>
      <c r="R21" s="59">
        <f>R20+Portfolio_by_issuer[[#This Row],[Total Amount]]/Portfolio_by_issuer[[#Totals],[Total Amount]]</f>
        <v>0.95918494697458478</v>
      </c>
      <c r="S21" s="60" t="str">
        <f>_xlfn.XLOOKUP(Portfolio_by_issuer[[#This Row],[Issuer]],Rating!T:T,Rating!U:U,,0)</f>
        <v>BB</v>
      </c>
      <c r="T21" s="61">
        <f>T20+Portfolio_by_issuer[[#This Row],[Total Amount]]/Portfolio_by_issuer[[#Totals],[Total Amount]]</f>
        <v>0.95918494697458478</v>
      </c>
      <c r="U21" s="54"/>
      <c r="W21" s="118" t="s">
        <v>270</v>
      </c>
      <c r="X21" s="10" t="s">
        <v>50</v>
      </c>
      <c r="Y21" s="10" t="s">
        <v>542</v>
      </c>
      <c r="Z21" s="44" t="s">
        <v>505</v>
      </c>
      <c r="AA21" s="44"/>
      <c r="AB21" s="102" t="s">
        <v>52</v>
      </c>
      <c r="AC21" s="122">
        <v>46164</v>
      </c>
      <c r="AD21" s="124"/>
      <c r="AE21" s="124" t="s">
        <v>38</v>
      </c>
      <c r="AF21" s="44"/>
      <c r="AG21" s="120">
        <v>300</v>
      </c>
      <c r="AH21" s="103">
        <f>AH20+AG21/Portfolio_by_bond[[#Totals],[Total Amount]]</f>
        <v>0.38560154653599171</v>
      </c>
      <c r="AI21" s="104">
        <f>Portfolio_by_bond[[#This Row],[Total Amount]]-_xlfn.XLOOKUP(Portfolio_by_bond[[#This Row],[Bond_Code]],'Ref'!F:F,'Ref'!G:G,0,0)</f>
        <v>300</v>
      </c>
      <c r="AJ21" s="105">
        <f t="shared" si="3"/>
        <v>0.43885699474074069</v>
      </c>
      <c r="AK21" s="62" t="str">
        <f t="shared" si="0"/>
        <v>6M-1Y</v>
      </c>
      <c r="AL21" s="54"/>
    </row>
    <row r="22" spans="1:41" x14ac:dyDescent="0.35">
      <c r="A22" s="76" t="s">
        <v>509</v>
      </c>
      <c r="B22" s="77">
        <f t="shared" si="4"/>
        <v>3897.6106</v>
      </c>
      <c r="C22" s="77">
        <f t="shared" si="5"/>
        <v>1000</v>
      </c>
      <c r="E22" s="10"/>
      <c r="F22" s="108"/>
      <c r="K22" s="56" t="s">
        <v>258</v>
      </c>
      <c r="L22" s="79">
        <v>1000</v>
      </c>
      <c r="M22" s="125" t="s">
        <v>40</v>
      </c>
      <c r="N22" s="58">
        <v>46218</v>
      </c>
      <c r="O22" s="44"/>
      <c r="P22" s="44"/>
      <c r="R22" s="59">
        <f>R21+Portfolio_by_issuer[[#This Row],[Total Amount]]/Portfolio_by_issuer[[#Totals],[Total Amount]]</f>
        <v>0.98641131814756544</v>
      </c>
      <c r="S22" s="60" t="str">
        <f>_xlfn.XLOOKUP(Portfolio_by_issuer[[#This Row],[Issuer]],Rating!T:T,Rating!U:U,,0)</f>
        <v>B</v>
      </c>
      <c r="T22" s="61">
        <f>T21+Portfolio_by_issuer[[#This Row],[Total Amount]]/Portfolio_by_issuer[[#Totals],[Total Amount]]</f>
        <v>0.98641131814756544</v>
      </c>
      <c r="U22" s="54"/>
      <c r="W22" s="118" t="s">
        <v>270</v>
      </c>
      <c r="X22" s="10" t="s">
        <v>50</v>
      </c>
      <c r="Y22" s="10" t="s">
        <v>543</v>
      </c>
      <c r="Z22" s="44" t="s">
        <v>505</v>
      </c>
      <c r="AA22" s="44"/>
      <c r="AB22" s="102" t="s">
        <v>52</v>
      </c>
      <c r="AC22" s="122">
        <v>46164</v>
      </c>
      <c r="AD22" s="124"/>
      <c r="AE22" s="124" t="s">
        <v>38</v>
      </c>
      <c r="AF22" s="44"/>
      <c r="AG22" s="120">
        <v>100</v>
      </c>
      <c r="AH22" s="103">
        <f>AH21+AG22/Portfolio_by_bond[[#Totals],[Total Amount]]</f>
        <v>0.38832421933570838</v>
      </c>
      <c r="AI22" s="104">
        <f>Portfolio_by_bond[[#This Row],[Total Amount]]-_xlfn.XLOOKUP(Portfolio_by_bond[[#This Row],[Bond_Code]],'Ref'!F:F,'Ref'!G:G,0,0)</f>
        <v>100</v>
      </c>
      <c r="AJ22" s="105">
        <f t="shared" si="3"/>
        <v>0.44232276501990209</v>
      </c>
      <c r="AK22" s="62" t="str">
        <f t="shared" si="0"/>
        <v>6M-1Y</v>
      </c>
      <c r="AL22" s="54"/>
    </row>
    <row r="23" spans="1:41" x14ac:dyDescent="0.35">
      <c r="A23" s="76" t="s">
        <v>510</v>
      </c>
      <c r="B23" s="77">
        <f t="shared" si="4"/>
        <v>0</v>
      </c>
      <c r="C23" s="77">
        <f t="shared" si="5"/>
        <v>0</v>
      </c>
      <c r="E23" s="10"/>
      <c r="F23" s="108"/>
      <c r="K23" s="56" t="s">
        <v>402</v>
      </c>
      <c r="L23" s="79">
        <v>499.1</v>
      </c>
      <c r="M23" s="125" t="s">
        <v>31</v>
      </c>
      <c r="N23" s="58"/>
      <c r="O23" s="44"/>
      <c r="P23" s="44"/>
      <c r="R23" s="59">
        <f>R22+Portfolio_by_issuer[[#This Row],[Total Amount]]/Portfolio_by_issuer[[#Totals],[Total Amount]]</f>
        <v>1</v>
      </c>
      <c r="S23" s="60" t="str">
        <f>_xlfn.XLOOKUP(Portfolio_by_issuer[[#This Row],[Issuer]],Rating!T:T,Rating!U:U,,0)</f>
        <v>D</v>
      </c>
      <c r="T23" s="61">
        <f>T22+Portfolio_by_issuer[[#This Row],[Total Amount]]/Portfolio_by_issuer[[#Totals],[Total Amount]]</f>
        <v>1</v>
      </c>
      <c r="U23" s="54"/>
      <c r="W23" s="118" t="s">
        <v>270</v>
      </c>
      <c r="X23" s="10" t="s">
        <v>50</v>
      </c>
      <c r="Y23" s="10" t="s">
        <v>566</v>
      </c>
      <c r="Z23" s="44" t="s">
        <v>505</v>
      </c>
      <c r="AA23" s="44"/>
      <c r="AB23" s="102" t="s">
        <v>52</v>
      </c>
      <c r="AC23" s="122">
        <v>46164</v>
      </c>
      <c r="AD23" s="124"/>
      <c r="AE23" s="124" t="s">
        <v>38</v>
      </c>
      <c r="AF23" s="44"/>
      <c r="AG23" s="120">
        <v>390</v>
      </c>
      <c r="AH23" s="103">
        <f>AH22+AG23/Portfolio_by_bond[[#Totals],[Total Amount]]</f>
        <v>0.39894264325460344</v>
      </c>
      <c r="AI23" s="104">
        <f>Portfolio_by_bond[[#This Row],[Total Amount]]-_xlfn.XLOOKUP(Portfolio_by_bond[[#This Row],[Bond_Code]],'Ref'!F:F,'Ref'!G:G,0,0)</f>
        <v>390</v>
      </c>
      <c r="AJ23" s="105">
        <f t="shared" si="3"/>
        <v>0.45583926910863154</v>
      </c>
      <c r="AK23" s="62" t="str">
        <f t="shared" si="0"/>
        <v>6M-1Y</v>
      </c>
      <c r="AL23" s="54"/>
    </row>
    <row r="24" spans="1:41" x14ac:dyDescent="0.35">
      <c r="A24" s="89" t="s">
        <v>439</v>
      </c>
      <c r="B24" s="90">
        <f>SUM(B15:B23)</f>
        <v>36728.614621046581</v>
      </c>
      <c r="C24" s="90">
        <f>SUM(C15:C23)</f>
        <v>36728.614621046581</v>
      </c>
      <c r="E24" s="10"/>
      <c r="F24" s="108"/>
      <c r="K24" s="80" t="s">
        <v>439</v>
      </c>
      <c r="L24" s="81">
        <f>SUBTOTAL(109,Portfolio_by_issuer[Total Amount])</f>
        <v>36729.095980017875</v>
      </c>
      <c r="M24" s="82"/>
      <c r="N24" s="83"/>
      <c r="O24" s="82"/>
      <c r="P24" s="82"/>
      <c r="Q24" s="82"/>
      <c r="R24" s="84"/>
      <c r="S24" s="85"/>
      <c r="T24" s="85"/>
      <c r="U24" s="54"/>
      <c r="W24" s="118" t="s">
        <v>270</v>
      </c>
      <c r="X24" s="10" t="s">
        <v>50</v>
      </c>
      <c r="Y24" s="10" t="s">
        <v>565</v>
      </c>
      <c r="Z24" s="44" t="s">
        <v>504</v>
      </c>
      <c r="AA24" s="44"/>
      <c r="AB24" s="102" t="s">
        <v>52</v>
      </c>
      <c r="AC24" s="122">
        <v>46164</v>
      </c>
      <c r="AD24" s="124"/>
      <c r="AE24" s="124" t="s">
        <v>38</v>
      </c>
      <c r="AF24" s="44"/>
      <c r="AG24" s="120">
        <v>57</v>
      </c>
      <c r="AH24" s="103">
        <f>AH23+AG24/Portfolio_by_bond[[#Totals],[Total Amount]]</f>
        <v>0.40049456675044193</v>
      </c>
      <c r="AI24" s="104">
        <f>Portfolio_by_bond[[#This Row],[Total Amount]]-_xlfn.XLOOKUP(Portfolio_by_bond[[#This Row],[Bond_Code]],'Ref'!F:F,'Ref'!G:G,0,0)</f>
        <v>57</v>
      </c>
      <c r="AJ24" s="105">
        <f t="shared" si="3"/>
        <v>0.45781475816775352</v>
      </c>
      <c r="AK24" s="62" t="str">
        <f t="shared" si="0"/>
        <v>3-6M</v>
      </c>
      <c r="AL24" s="54"/>
    </row>
    <row r="25" spans="1:41" x14ac:dyDescent="0.35">
      <c r="E25" s="10"/>
      <c r="F25" s="108"/>
      <c r="R25" s="91"/>
      <c r="S25" s="91"/>
      <c r="T25" s="91"/>
      <c r="U25" s="54"/>
      <c r="W25" s="118" t="s">
        <v>273</v>
      </c>
      <c r="X25" s="10" t="s">
        <v>55</v>
      </c>
      <c r="Y25" s="10" t="s">
        <v>569</v>
      </c>
      <c r="Z25" s="44" t="s">
        <v>505</v>
      </c>
      <c r="AA25" s="44"/>
      <c r="AB25" s="102" t="s">
        <v>52</v>
      </c>
      <c r="AC25" s="122">
        <v>46142</v>
      </c>
      <c r="AD25" s="124"/>
      <c r="AE25" s="124" t="s">
        <v>27</v>
      </c>
      <c r="AF25" s="44"/>
      <c r="AG25" s="120">
        <v>400</v>
      </c>
      <c r="AH25" s="103">
        <f>AH24+AG25/Portfolio_by_bond[[#Totals],[Total Amount]]</f>
        <v>0.41138525794930864</v>
      </c>
      <c r="AI25" s="104">
        <f>Portfolio_by_bond[[#This Row],[Total Amount]]-_xlfn.XLOOKUP(Portfolio_by_bond[[#This Row],[Bond_Code]],'Ref'!F:F,'Ref'!G:G,0,0)</f>
        <v>400</v>
      </c>
      <c r="AJ25" s="105">
        <f t="shared" si="3"/>
        <v>0.4716778392843991</v>
      </c>
      <c r="AK25" s="62" t="str">
        <f t="shared" si="0"/>
        <v>6M-1Y</v>
      </c>
      <c r="AL25" s="54"/>
    </row>
    <row r="26" spans="1:41" x14ac:dyDescent="0.35">
      <c r="E26" s="10"/>
      <c r="F26" s="108"/>
      <c r="U26" s="54"/>
      <c r="W26" s="118" t="s">
        <v>260</v>
      </c>
      <c r="X26" s="10" t="s">
        <v>37</v>
      </c>
      <c r="Y26" s="10" t="s">
        <v>567</v>
      </c>
      <c r="Z26" s="44" t="s">
        <v>504</v>
      </c>
      <c r="AA26" s="44"/>
      <c r="AB26" s="102" t="s">
        <v>33</v>
      </c>
      <c r="AC26" s="122">
        <v>46141</v>
      </c>
      <c r="AD26" s="124" t="s">
        <v>62</v>
      </c>
      <c r="AE26" s="124" t="s">
        <v>38</v>
      </c>
      <c r="AF26" s="44"/>
      <c r="AG26" s="120">
        <v>1000</v>
      </c>
      <c r="AH26" s="103">
        <f>AH25+AG26/Portfolio_by_bond[[#Totals],[Total Amount]]</f>
        <v>0.43861198594647549</v>
      </c>
      <c r="AI26" s="104">
        <f>Portfolio_by_bond[[#This Row],[Total Amount]]-_xlfn.XLOOKUP(Portfolio_by_bond[[#This Row],[Bond_Code]],'Ref'!F:F,'Ref'!G:G,0,0)</f>
        <v>1000</v>
      </c>
      <c r="AJ26" s="105">
        <f t="shared" si="3"/>
        <v>0.50633554207601306</v>
      </c>
      <c r="AK26" s="62" t="str">
        <f t="shared" si="0"/>
        <v>3-6M</v>
      </c>
      <c r="AL26" s="54"/>
    </row>
    <row r="27" spans="1:41" x14ac:dyDescent="0.35">
      <c r="E27" s="10"/>
      <c r="F27" s="108"/>
      <c r="U27" s="54"/>
      <c r="W27" s="118" t="s">
        <v>260</v>
      </c>
      <c r="X27" s="10" t="s">
        <v>37</v>
      </c>
      <c r="Y27" s="10" t="s">
        <v>568</v>
      </c>
      <c r="Z27" s="44" t="s">
        <v>505</v>
      </c>
      <c r="AA27" s="44"/>
      <c r="AB27" s="102" t="s">
        <v>33</v>
      </c>
      <c r="AC27" s="122">
        <v>46141</v>
      </c>
      <c r="AD27" s="124" t="s">
        <v>62</v>
      </c>
      <c r="AE27" s="124" t="s">
        <v>38</v>
      </c>
      <c r="AF27" s="44"/>
      <c r="AG27" s="120">
        <v>2000</v>
      </c>
      <c r="AH27" s="103">
        <f>AH26+AG27/Portfolio_by_bond[[#Totals],[Total Amount]]</f>
        <v>0.49306544194080915</v>
      </c>
      <c r="AI27" s="104">
        <f>Portfolio_by_bond[[#This Row],[Total Amount]]-_xlfn.XLOOKUP(Portfolio_by_bond[[#This Row],[Bond_Code]],'Ref'!F:F,'Ref'!G:G,0,0)</f>
        <v>2000</v>
      </c>
      <c r="AJ27" s="105">
        <f t="shared" si="3"/>
        <v>0.57565094765924107</v>
      </c>
      <c r="AK27" s="62" t="str">
        <f t="shared" si="0"/>
        <v>6M-1Y</v>
      </c>
      <c r="AL27" s="54"/>
    </row>
    <row r="28" spans="1:41" x14ac:dyDescent="0.35">
      <c r="E28" s="10"/>
      <c r="F28" s="108"/>
      <c r="U28" s="54"/>
      <c r="W28" s="118" t="s">
        <v>252</v>
      </c>
      <c r="X28" s="10" t="s">
        <v>23</v>
      </c>
      <c r="Y28" s="10" t="s">
        <v>630</v>
      </c>
      <c r="Z28" s="44" t="s">
        <v>509</v>
      </c>
      <c r="AA28" s="44"/>
      <c r="AB28" s="102" t="s">
        <v>33</v>
      </c>
      <c r="AC28" s="122">
        <v>46211</v>
      </c>
      <c r="AD28" s="124" t="s">
        <v>65</v>
      </c>
      <c r="AE28" s="124" t="s">
        <v>25</v>
      </c>
      <c r="AF28" s="44"/>
      <c r="AG28" s="120">
        <v>1000</v>
      </c>
      <c r="AH28" s="103">
        <f>AH27+AG28/Portfolio_by_bond[[#Totals],[Total Amount]]</f>
        <v>0.520292169937976</v>
      </c>
      <c r="AI28" s="104">
        <f>Portfolio_by_bond[[#This Row],[Total Amount]]-_xlfn.XLOOKUP(Portfolio_by_bond[[#This Row],[Bond_Code]],'Ref'!F:F,'Ref'!G:G,0,0)</f>
        <v>1000</v>
      </c>
      <c r="AJ28" s="105">
        <f t="shared" si="3"/>
        <v>0.61030865045085503</v>
      </c>
      <c r="AK28" s="62" t="str">
        <f t="shared" si="0"/>
        <v>5-7Y</v>
      </c>
      <c r="AL28" s="54"/>
    </row>
    <row r="29" spans="1:41" x14ac:dyDescent="0.35">
      <c r="E29" s="10"/>
      <c r="F29" s="108"/>
      <c r="U29" s="54"/>
      <c r="W29" s="118" t="s">
        <v>252</v>
      </c>
      <c r="X29" s="10" t="s">
        <v>23</v>
      </c>
      <c r="Y29" s="10" t="s">
        <v>549</v>
      </c>
      <c r="Z29" s="44" t="s">
        <v>509</v>
      </c>
      <c r="AA29" s="44" t="s">
        <v>505</v>
      </c>
      <c r="AB29" s="102" t="s">
        <v>33</v>
      </c>
      <c r="AC29" s="122">
        <v>46211</v>
      </c>
      <c r="AD29" s="124" t="s">
        <v>65</v>
      </c>
      <c r="AE29" s="124" t="s">
        <v>25</v>
      </c>
      <c r="AF29" s="44"/>
      <c r="AG29" s="120">
        <v>500</v>
      </c>
      <c r="AH29" s="103">
        <f>AH28+AG29/Portfolio_by_bond[[#Totals],[Total Amount]]</f>
        <v>0.53390553393655937</v>
      </c>
      <c r="AI29" s="104">
        <f>Portfolio_by_bond[[#This Row],[Total Amount]]-_xlfn.XLOOKUP(Portfolio_by_bond[[#This Row],[Bond_Code]],'Ref'!F:F,'Ref'!G:G,0,0)</f>
        <v>500</v>
      </c>
      <c r="AJ29" s="105">
        <f t="shared" si="3"/>
        <v>0.627637501846662</v>
      </c>
      <c r="AK29" s="62" t="str">
        <f t="shared" si="0"/>
        <v>6M-1Y</v>
      </c>
      <c r="AL29" s="54"/>
    </row>
    <row r="30" spans="1:41" x14ac:dyDescent="0.35">
      <c r="E30" s="10"/>
      <c r="F30" s="108"/>
      <c r="U30" s="54"/>
      <c r="W30" s="118" t="s">
        <v>264</v>
      </c>
      <c r="X30" s="10" t="s">
        <v>44</v>
      </c>
      <c r="Y30" s="10" t="s">
        <v>548</v>
      </c>
      <c r="Z30" s="44" t="s">
        <v>505</v>
      </c>
      <c r="AA30" s="44" t="s">
        <v>505</v>
      </c>
      <c r="AB30" s="102" t="s">
        <v>24</v>
      </c>
      <c r="AC30" s="122">
        <v>46146</v>
      </c>
      <c r="AD30" s="124" t="s">
        <v>62</v>
      </c>
      <c r="AE30" s="124"/>
      <c r="AF30" s="44"/>
      <c r="AG30" s="120">
        <v>1000</v>
      </c>
      <c r="AH30" s="103">
        <f>AH29+AG30/Portfolio_by_bond[[#Totals],[Total Amount]]</f>
        <v>0.56113226193372623</v>
      </c>
      <c r="AI30" s="104">
        <f>Portfolio_by_bond[[#This Row],[Total Amount]]-_xlfn.XLOOKUP(Portfolio_by_bond[[#This Row],[Bond_Code]],'Ref'!F:F,'Ref'!G:G,0,0)</f>
        <v>0</v>
      </c>
      <c r="AJ30" s="105">
        <f t="shared" si="3"/>
        <v>0.627637501846662</v>
      </c>
      <c r="AK30" s="62" t="str">
        <f t="shared" si="0"/>
        <v>6M-1Y</v>
      </c>
      <c r="AL30" s="54"/>
    </row>
    <row r="31" spans="1:41" x14ac:dyDescent="0.35">
      <c r="E31" s="10"/>
      <c r="F31" s="108"/>
      <c r="U31" s="54"/>
      <c r="W31" s="118" t="s">
        <v>264</v>
      </c>
      <c r="X31" s="10" t="s">
        <v>44</v>
      </c>
      <c r="Y31" s="10" t="s">
        <v>547</v>
      </c>
      <c r="Z31" s="44" t="s">
        <v>505</v>
      </c>
      <c r="AA31" s="44" t="s">
        <v>505</v>
      </c>
      <c r="AB31" s="102" t="s">
        <v>24</v>
      </c>
      <c r="AC31" s="122">
        <v>46146</v>
      </c>
      <c r="AD31" s="124" t="s">
        <v>62</v>
      </c>
      <c r="AE31" s="124"/>
      <c r="AF31" s="44"/>
      <c r="AG31" s="120">
        <v>2000</v>
      </c>
      <c r="AH31" s="103">
        <f>AH30+AG31/Portfolio_by_bond[[#Totals],[Total Amount]]</f>
        <v>0.61558571792805994</v>
      </c>
      <c r="AI31" s="104">
        <f>Portfolio_by_bond[[#This Row],[Total Amount]]-_xlfn.XLOOKUP(Portfolio_by_bond[[#This Row],[Bond_Code]],'Ref'!F:F,'Ref'!G:G,0,0)</f>
        <v>0</v>
      </c>
      <c r="AJ31" s="105">
        <f t="shared" si="3"/>
        <v>0.627637501846662</v>
      </c>
      <c r="AK31" s="62" t="str">
        <f t="shared" si="0"/>
        <v>6M-1Y</v>
      </c>
      <c r="AL31" s="54"/>
    </row>
    <row r="32" spans="1:41" x14ac:dyDescent="0.35">
      <c r="E32" s="10"/>
      <c r="F32" s="108"/>
      <c r="U32" s="54"/>
      <c r="W32" s="118" t="s">
        <v>253</v>
      </c>
      <c r="X32" s="10" t="s">
        <v>26</v>
      </c>
      <c r="Y32" s="10" t="s">
        <v>497</v>
      </c>
      <c r="Z32" s="44" t="s">
        <v>503</v>
      </c>
      <c r="AA32" s="44"/>
      <c r="AB32" s="102" t="s">
        <v>24</v>
      </c>
      <c r="AC32" s="122">
        <v>46206</v>
      </c>
      <c r="AD32" s="124"/>
      <c r="AE32" s="124" t="s">
        <v>27</v>
      </c>
      <c r="AF32" s="44"/>
      <c r="AG32" s="120">
        <v>2000</v>
      </c>
      <c r="AH32" s="103">
        <f>AH31+AG32/Portfolio_by_bond[[#Totals],[Total Amount]]</f>
        <v>0.67003917392239365</v>
      </c>
      <c r="AI32" s="104">
        <f>Portfolio_by_bond[[#This Row],[Total Amount]]-_xlfn.XLOOKUP(Portfolio_by_bond[[#This Row],[Bond_Code]],'Ref'!F:F,'Ref'!G:G,0,0)</f>
        <v>0</v>
      </c>
      <c r="AJ32" s="105">
        <f t="shared" si="3"/>
        <v>0.627637501846662</v>
      </c>
      <c r="AK32" s="62" t="str">
        <f t="shared" si="0"/>
        <v>1-3M</v>
      </c>
      <c r="AL32" s="54"/>
    </row>
    <row r="33" spans="5:38" x14ac:dyDescent="0.35">
      <c r="E33" s="10"/>
      <c r="F33" s="108"/>
      <c r="U33" s="54"/>
      <c r="W33" s="118" t="s">
        <v>253</v>
      </c>
      <c r="X33" s="10" t="s">
        <v>26</v>
      </c>
      <c r="Y33" s="10" t="s">
        <v>550</v>
      </c>
      <c r="Z33" s="44" t="s">
        <v>503</v>
      </c>
      <c r="AA33" s="44"/>
      <c r="AB33" s="102" t="s">
        <v>24</v>
      </c>
      <c r="AC33" s="122">
        <v>46206</v>
      </c>
      <c r="AD33" s="124"/>
      <c r="AE33" s="124" t="s">
        <v>27</v>
      </c>
      <c r="AF33" s="44"/>
      <c r="AG33" s="120">
        <v>500</v>
      </c>
      <c r="AH33" s="103">
        <f>AH32+AG33/Portfolio_by_bond[[#Totals],[Total Amount]]</f>
        <v>0.68365253792097702</v>
      </c>
      <c r="AI33" s="104">
        <f>Portfolio_by_bond[[#This Row],[Total Amount]]-_xlfn.XLOOKUP(Portfolio_by_bond[[#This Row],[Bond_Code]],'Ref'!F:F,'Ref'!G:G,0,0)</f>
        <v>500</v>
      </c>
      <c r="AJ33" s="105">
        <f t="shared" si="3"/>
        <v>0.64496635324246898</v>
      </c>
      <c r="AK33" s="62" t="str">
        <f t="shared" si="0"/>
        <v>1-3M</v>
      </c>
      <c r="AL33" s="54"/>
    </row>
    <row r="34" spans="5:38" x14ac:dyDescent="0.35">
      <c r="E34" s="10"/>
      <c r="F34" s="108"/>
      <c r="U34" s="54"/>
      <c r="W34" s="118" t="s">
        <v>279</v>
      </c>
      <c r="X34" s="10" t="s">
        <v>61</v>
      </c>
      <c r="Y34" s="10" t="s">
        <v>570</v>
      </c>
      <c r="Z34" s="44" t="s">
        <v>503</v>
      </c>
      <c r="AA34" s="44"/>
      <c r="AB34" s="102" t="s">
        <v>18</v>
      </c>
      <c r="AC34" s="122">
        <v>46190</v>
      </c>
      <c r="AD34" s="124"/>
      <c r="AE34" s="124"/>
      <c r="AF34" s="44" t="s">
        <v>62</v>
      </c>
      <c r="AG34" s="120">
        <v>500</v>
      </c>
      <c r="AH34" s="103">
        <f>AH33+AG34/Portfolio_by_bond[[#Totals],[Total Amount]]</f>
        <v>0.69726590191956039</v>
      </c>
      <c r="AI34" s="104">
        <f>Portfolio_by_bond[[#This Row],[Total Amount]]-_xlfn.XLOOKUP(Portfolio_by_bond[[#This Row],[Bond_Code]],'Ref'!F:F,'Ref'!G:G,0,0)</f>
        <v>500</v>
      </c>
      <c r="AJ34" s="105">
        <f t="shared" si="3"/>
        <v>0.66229520463827596</v>
      </c>
      <c r="AK34" s="62" t="str">
        <f t="shared" ref="AK34:AK45" si="6">IF(AA34="",Z34,AA34)</f>
        <v>1-3M</v>
      </c>
      <c r="AL34" s="54"/>
    </row>
    <row r="35" spans="5:38" x14ac:dyDescent="0.35">
      <c r="E35" s="10"/>
      <c r="F35" s="108"/>
      <c r="U35" s="54"/>
      <c r="W35" s="118" t="s">
        <v>279</v>
      </c>
      <c r="X35" s="10" t="s">
        <v>61</v>
      </c>
      <c r="Y35" s="10" t="s">
        <v>546</v>
      </c>
      <c r="Z35" s="44" t="s">
        <v>502</v>
      </c>
      <c r="AA35" s="44"/>
      <c r="AB35" s="102" t="s">
        <v>18</v>
      </c>
      <c r="AC35" s="122">
        <v>46190</v>
      </c>
      <c r="AD35" s="124"/>
      <c r="AE35" s="124"/>
      <c r="AF35" s="44" t="s">
        <v>62</v>
      </c>
      <c r="AG35" s="120">
        <v>1000</v>
      </c>
      <c r="AH35" s="103">
        <f>AH34+AG35/Portfolio_by_bond[[#Totals],[Total Amount]]</f>
        <v>0.72449262991672725</v>
      </c>
      <c r="AI35" s="104">
        <f>Portfolio_by_bond[[#This Row],[Total Amount]]-_xlfn.XLOOKUP(Portfolio_by_bond[[#This Row],[Bond_Code]],'Ref'!F:F,'Ref'!G:G,0,0)</f>
        <v>1000</v>
      </c>
      <c r="AJ35" s="105">
        <f t="shared" si="3"/>
        <v>0.69695290742988991</v>
      </c>
      <c r="AK35" s="62" t="str">
        <f t="shared" si="6"/>
        <v>&lt;1M</v>
      </c>
      <c r="AL35" s="54"/>
    </row>
    <row r="36" spans="5:38" x14ac:dyDescent="0.35">
      <c r="E36" s="10"/>
      <c r="F36" s="108"/>
      <c r="U36" s="54"/>
      <c r="W36" s="118" t="s">
        <v>388</v>
      </c>
      <c r="X36" s="10" t="s">
        <v>194</v>
      </c>
      <c r="Y36" s="10" t="s">
        <v>551</v>
      </c>
      <c r="Z36" s="44" t="s">
        <v>505</v>
      </c>
      <c r="AA36" s="44"/>
      <c r="AB36" s="102" t="s">
        <v>18</v>
      </c>
      <c r="AC36" s="122">
        <v>45747</v>
      </c>
      <c r="AD36" s="124" t="s">
        <v>62</v>
      </c>
      <c r="AE36" s="124"/>
      <c r="AF36" s="44"/>
      <c r="AG36" s="120">
        <v>400</v>
      </c>
      <c r="AH36" s="103">
        <f>AH35+AG36/Portfolio_by_bond[[#Totals],[Total Amount]]</f>
        <v>0.73538332111559401</v>
      </c>
      <c r="AI36" s="104">
        <f>Portfolio_by_bond[[#This Row],[Total Amount]]-_xlfn.XLOOKUP(Portfolio_by_bond[[#This Row],[Bond_Code]],'Ref'!F:F,'Ref'!G:G,0,0)</f>
        <v>400</v>
      </c>
      <c r="AJ36" s="105">
        <f t="shared" si="3"/>
        <v>0.71081598854653549</v>
      </c>
      <c r="AK36" s="62" t="str">
        <f t="shared" si="6"/>
        <v>6M-1Y</v>
      </c>
      <c r="AL36" s="54"/>
    </row>
    <row r="37" spans="5:38" x14ac:dyDescent="0.35">
      <c r="E37" s="10"/>
      <c r="F37" s="108"/>
      <c r="U37" s="54"/>
      <c r="W37" s="118" t="s">
        <v>388</v>
      </c>
      <c r="X37" s="10" t="s">
        <v>194</v>
      </c>
      <c r="Y37" s="10" t="s">
        <v>552</v>
      </c>
      <c r="Z37" s="44" t="s">
        <v>504</v>
      </c>
      <c r="AA37" s="44"/>
      <c r="AB37" s="102" t="s">
        <v>18</v>
      </c>
      <c r="AC37" s="122">
        <v>45747</v>
      </c>
      <c r="AD37" s="124" t="s">
        <v>62</v>
      </c>
      <c r="AE37" s="124"/>
      <c r="AF37" s="44"/>
      <c r="AG37" s="120">
        <v>400</v>
      </c>
      <c r="AH37" s="103">
        <f>AH36+AG37/Portfolio_by_bond[[#Totals],[Total Amount]]</f>
        <v>0.74627401231446078</v>
      </c>
      <c r="AI37" s="104">
        <f>Portfolio_by_bond[[#This Row],[Total Amount]]-_xlfn.XLOOKUP(Portfolio_by_bond[[#This Row],[Bond_Code]],'Ref'!F:F,'Ref'!G:G,0,0)</f>
        <v>400</v>
      </c>
      <c r="AJ37" s="105">
        <f t="shared" si="3"/>
        <v>0.72467906966318107</v>
      </c>
      <c r="AK37" s="62" t="str">
        <f t="shared" si="6"/>
        <v>3-6M</v>
      </c>
      <c r="AL37" s="54"/>
    </row>
    <row r="38" spans="5:38" x14ac:dyDescent="0.35">
      <c r="E38" s="10"/>
      <c r="F38" s="108"/>
      <c r="U38" s="54"/>
      <c r="W38" s="118" t="s">
        <v>388</v>
      </c>
      <c r="X38" s="10" t="s">
        <v>194</v>
      </c>
      <c r="Y38" s="10" t="s">
        <v>631</v>
      </c>
      <c r="Z38" s="44" t="s">
        <v>505</v>
      </c>
      <c r="AA38" s="44"/>
      <c r="AB38" s="102" t="s">
        <v>18</v>
      </c>
      <c r="AC38" s="122">
        <v>45747</v>
      </c>
      <c r="AD38" s="124" t="s">
        <v>62</v>
      </c>
      <c r="AE38" s="124"/>
      <c r="AF38" s="44"/>
      <c r="AG38" s="120">
        <v>200</v>
      </c>
      <c r="AH38" s="103">
        <f>AH37+AG38/Portfolio_by_bond[[#Totals],[Total Amount]]</f>
        <v>0.7517193579138941</v>
      </c>
      <c r="AI38" s="104">
        <f>Portfolio_by_bond[[#This Row],[Total Amount]]-_xlfn.XLOOKUP(Portfolio_by_bond[[#This Row],[Bond_Code]],'Ref'!F:F,'Ref'!G:G,0,0)</f>
        <v>200</v>
      </c>
      <c r="AJ38" s="105">
        <f t="shared" si="3"/>
        <v>0.73161061022150387</v>
      </c>
      <c r="AK38" s="62" t="str">
        <f t="shared" si="6"/>
        <v>6M-1Y</v>
      </c>
      <c r="AL38" s="54"/>
    </row>
    <row r="39" spans="5:38" x14ac:dyDescent="0.35">
      <c r="E39" s="10"/>
      <c r="F39" s="108"/>
      <c r="U39" s="54"/>
      <c r="W39" s="118" t="s">
        <v>261</v>
      </c>
      <c r="X39" s="10" t="s">
        <v>39</v>
      </c>
      <c r="Y39" s="10" t="s">
        <v>632</v>
      </c>
      <c r="Z39" s="44" t="s">
        <v>505</v>
      </c>
      <c r="AA39" s="44"/>
      <c r="AB39" s="102" t="s">
        <v>18</v>
      </c>
      <c r="AC39" s="122">
        <v>45792</v>
      </c>
      <c r="AD39" s="124" t="s">
        <v>62</v>
      </c>
      <c r="AE39" s="124" t="s">
        <v>38</v>
      </c>
      <c r="AF39" s="44"/>
      <c r="AG39" s="120">
        <v>600</v>
      </c>
      <c r="AH39" s="103">
        <f>AH38+AG39/Portfolio_by_bond[[#Totals],[Total Amount]]</f>
        <v>0.76805539471219419</v>
      </c>
      <c r="AI39" s="104">
        <f>Portfolio_by_bond[[#This Row],[Total Amount]]-_xlfn.XLOOKUP(Portfolio_by_bond[[#This Row],[Bond_Code]],'Ref'!F:F,'Ref'!G:G,0,0)</f>
        <v>600</v>
      </c>
      <c r="AJ39" s="105">
        <f t="shared" si="3"/>
        <v>0.75240523189647224</v>
      </c>
      <c r="AK39" s="62" t="str">
        <f t="shared" si="6"/>
        <v>6M-1Y</v>
      </c>
      <c r="AL39" s="54"/>
    </row>
    <row r="40" spans="5:38" x14ac:dyDescent="0.35">
      <c r="E40" s="10"/>
      <c r="F40" s="108"/>
      <c r="U40" s="54"/>
      <c r="W40" s="118" t="s">
        <v>262</v>
      </c>
      <c r="X40" s="10" t="s">
        <v>41</v>
      </c>
      <c r="Y40" s="10" t="s">
        <v>556</v>
      </c>
      <c r="Z40" s="44" t="s">
        <v>503</v>
      </c>
      <c r="AA40" s="44"/>
      <c r="AB40" s="102" t="s">
        <v>18</v>
      </c>
      <c r="AC40" s="122">
        <v>46209</v>
      </c>
      <c r="AD40" s="124" t="s">
        <v>62</v>
      </c>
      <c r="AE40" s="124"/>
      <c r="AF40" s="44"/>
      <c r="AG40" s="120">
        <v>250</v>
      </c>
      <c r="AH40" s="103">
        <f>AH39+AG40/Portfolio_by_bond[[#Totals],[Total Amount]]</f>
        <v>0.77486207671148588</v>
      </c>
      <c r="AI40" s="104">
        <f>Portfolio_by_bond[[#This Row],[Total Amount]]-_xlfn.XLOOKUP(Portfolio_by_bond[[#This Row],[Bond_Code]],'Ref'!F:F,'Ref'!G:G,0,0)</f>
        <v>250</v>
      </c>
      <c r="AJ40" s="105">
        <f t="shared" si="3"/>
        <v>0.76106965759437573</v>
      </c>
      <c r="AK40" s="62" t="str">
        <f t="shared" si="6"/>
        <v>1-3M</v>
      </c>
      <c r="AL40" s="54"/>
    </row>
    <row r="41" spans="5:38" x14ac:dyDescent="0.35">
      <c r="E41" s="10"/>
      <c r="F41" s="108"/>
      <c r="U41" s="54"/>
      <c r="W41" s="118" t="s">
        <v>271</v>
      </c>
      <c r="X41" s="10" t="s">
        <v>53</v>
      </c>
      <c r="Y41" s="10" t="s">
        <v>571</v>
      </c>
      <c r="Z41" s="44" t="s">
        <v>505</v>
      </c>
      <c r="AA41" s="44"/>
      <c r="AB41" s="102" t="s">
        <v>18</v>
      </c>
      <c r="AC41" s="122">
        <v>46128</v>
      </c>
      <c r="AD41" s="124"/>
      <c r="AE41" s="124"/>
      <c r="AF41" s="44"/>
      <c r="AG41" s="120">
        <v>200</v>
      </c>
      <c r="AH41" s="103">
        <f>AH40+AG41/Portfolio_by_bond[[#Totals],[Total Amount]]</f>
        <v>0.78030742231091921</v>
      </c>
      <c r="AI41" s="104">
        <f>Portfolio_by_bond[[#This Row],[Total Amount]]-_xlfn.XLOOKUP(Portfolio_by_bond[[#This Row],[Bond_Code]],'Ref'!F:F,'Ref'!G:G,0,0)</f>
        <v>200</v>
      </c>
      <c r="AJ41" s="105">
        <f t="shared" si="3"/>
        <v>0.76800119815269852</v>
      </c>
      <c r="AK41" s="62" t="str">
        <f t="shared" si="6"/>
        <v>6M-1Y</v>
      </c>
      <c r="AL41" s="54"/>
    </row>
    <row r="42" spans="5:38" x14ac:dyDescent="0.35">
      <c r="E42" s="10"/>
      <c r="F42" s="108"/>
      <c r="U42" s="54"/>
      <c r="W42" s="118" t="s">
        <v>271</v>
      </c>
      <c r="X42" s="10" t="s">
        <v>53</v>
      </c>
      <c r="Y42" s="10" t="s">
        <v>633</v>
      </c>
      <c r="Z42" s="44" t="s">
        <v>505</v>
      </c>
      <c r="AA42" s="44"/>
      <c r="AB42" s="102" t="s">
        <v>18</v>
      </c>
      <c r="AC42" s="122">
        <v>46128</v>
      </c>
      <c r="AD42" s="124"/>
      <c r="AE42" s="124"/>
      <c r="AF42" s="44"/>
      <c r="AG42" s="120">
        <v>900</v>
      </c>
      <c r="AH42" s="103">
        <f>AH41+AG42/Portfolio_by_bond[[#Totals],[Total Amount]]</f>
        <v>0.80481147750836934</v>
      </c>
      <c r="AI42" s="104">
        <f>Portfolio_by_bond[[#This Row],[Total Amount]]-_xlfn.XLOOKUP(Portfolio_by_bond[[#This Row],[Bond_Code]],'Ref'!F:F,'Ref'!G:G,0,0)</f>
        <v>900</v>
      </c>
      <c r="AJ42" s="105">
        <f t="shared" si="3"/>
        <v>0.79919313066515107</v>
      </c>
      <c r="AK42" s="62" t="str">
        <f t="shared" si="6"/>
        <v>6M-1Y</v>
      </c>
      <c r="AL42" s="54"/>
    </row>
    <row r="43" spans="5:38" x14ac:dyDescent="0.35">
      <c r="E43" s="10"/>
      <c r="F43" s="108"/>
      <c r="U43" s="54"/>
      <c r="W43" s="118" t="s">
        <v>271</v>
      </c>
      <c r="X43" s="10" t="s">
        <v>53</v>
      </c>
      <c r="Y43" s="10" t="s">
        <v>634</v>
      </c>
      <c r="Z43" s="44" t="s">
        <v>505</v>
      </c>
      <c r="AA43" s="44"/>
      <c r="AB43" s="102" t="s">
        <v>18</v>
      </c>
      <c r="AC43" s="122">
        <v>46128</v>
      </c>
      <c r="AD43" s="124"/>
      <c r="AE43" s="124"/>
      <c r="AF43" s="44"/>
      <c r="AG43" s="120">
        <v>400</v>
      </c>
      <c r="AH43" s="103">
        <f>AH42+AG43/Portfolio_by_bond[[#Totals],[Total Amount]]</f>
        <v>0.81570216870723611</v>
      </c>
      <c r="AI43" s="104">
        <f>Portfolio_by_bond[[#This Row],[Total Amount]]-_xlfn.XLOOKUP(Portfolio_by_bond[[#This Row],[Bond_Code]],'Ref'!F:F,'Ref'!G:G,0,0)</f>
        <v>400</v>
      </c>
      <c r="AJ43" s="105">
        <f t="shared" si="3"/>
        <v>0.81305621178179666</v>
      </c>
      <c r="AK43" s="62" t="str">
        <f t="shared" si="6"/>
        <v>6M-1Y</v>
      </c>
      <c r="AL43" s="54"/>
    </row>
    <row r="44" spans="5:38" x14ac:dyDescent="0.35">
      <c r="E44" s="10"/>
      <c r="F44" s="108"/>
      <c r="U44" s="54"/>
      <c r="W44" s="118" t="s">
        <v>271</v>
      </c>
      <c r="X44" s="10" t="s">
        <v>53</v>
      </c>
      <c r="Y44" s="10" t="s">
        <v>553</v>
      </c>
      <c r="Z44" s="44" t="s">
        <v>503</v>
      </c>
      <c r="AA44" s="44"/>
      <c r="AB44" s="102" t="s">
        <v>18</v>
      </c>
      <c r="AC44" s="122">
        <v>46128</v>
      </c>
      <c r="AD44" s="124"/>
      <c r="AE44" s="124"/>
      <c r="AF44" s="44"/>
      <c r="AG44" s="120">
        <v>200</v>
      </c>
      <c r="AH44" s="103">
        <f>AH43+AG44/Portfolio_by_bond[[#Totals],[Total Amount]]</f>
        <v>0.82114751430666943</v>
      </c>
      <c r="AI44" s="104">
        <f>Portfolio_by_bond[[#This Row],[Total Amount]]-_xlfn.XLOOKUP(Portfolio_by_bond[[#This Row],[Bond_Code]],'Ref'!F:F,'Ref'!G:G,0,0)</f>
        <v>200</v>
      </c>
      <c r="AJ44" s="105">
        <f t="shared" si="3"/>
        <v>0.81998775234011945</v>
      </c>
      <c r="AK44" s="62" t="str">
        <f t="shared" si="6"/>
        <v>1-3M</v>
      </c>
      <c r="AL44" s="54"/>
    </row>
    <row r="45" spans="5:38" x14ac:dyDescent="0.35">
      <c r="E45" s="10"/>
      <c r="F45" s="108"/>
      <c r="U45" s="54"/>
      <c r="W45" s="118" t="s">
        <v>271</v>
      </c>
      <c r="X45" s="10" t="s">
        <v>53</v>
      </c>
      <c r="Y45" s="10" t="s">
        <v>555</v>
      </c>
      <c r="Z45" s="44" t="s">
        <v>503</v>
      </c>
      <c r="AA45" s="44"/>
      <c r="AB45" s="102" t="s">
        <v>18</v>
      </c>
      <c r="AC45" s="122">
        <v>46128</v>
      </c>
      <c r="AD45" s="124"/>
      <c r="AE45" s="124"/>
      <c r="AF45" s="44"/>
      <c r="AG45" s="120">
        <v>500</v>
      </c>
      <c r="AH45" s="106">
        <f>AH44+AG45/Portfolio_by_bond[[#Totals],[Total Amount]]</f>
        <v>0.83476087830525281</v>
      </c>
      <c r="AI45" s="104">
        <f>Portfolio_by_bond[[#This Row],[Total Amount]]-_xlfn.XLOOKUP(Portfolio_by_bond[[#This Row],[Bond_Code]],'Ref'!F:F,'Ref'!G:G,0,0)</f>
        <v>500</v>
      </c>
      <c r="AJ45" s="78">
        <f t="shared" si="3"/>
        <v>0.83731660373592642</v>
      </c>
      <c r="AK45" s="62" t="str">
        <f t="shared" si="6"/>
        <v>1-3M</v>
      </c>
      <c r="AL45" s="54"/>
    </row>
    <row r="46" spans="5:38" x14ac:dyDescent="0.35">
      <c r="E46" s="10"/>
      <c r="F46" s="108"/>
      <c r="U46" s="54"/>
      <c r="W46" s="118" t="s">
        <v>271</v>
      </c>
      <c r="X46" s="10" t="s">
        <v>53</v>
      </c>
      <c r="Y46" s="10" t="s">
        <v>554</v>
      </c>
      <c r="Z46" s="44" t="s">
        <v>502</v>
      </c>
      <c r="AA46" s="44"/>
      <c r="AB46" s="102" t="s">
        <v>18</v>
      </c>
      <c r="AC46" s="122">
        <v>46128</v>
      </c>
      <c r="AD46" s="124"/>
      <c r="AE46" s="124"/>
      <c r="AF46" s="44"/>
      <c r="AG46" s="120">
        <v>300</v>
      </c>
      <c r="AH46" s="106">
        <f>AH45+AG46/Portfolio_by_bond[[#Totals],[Total Amount]]</f>
        <v>0.84292889670440285</v>
      </c>
      <c r="AI46" s="104">
        <f>Portfolio_by_bond[[#This Row],[Total Amount]]-_xlfn.XLOOKUP(Portfolio_by_bond[[#This Row],[Bond_Code]],'Ref'!F:F,'Ref'!G:G,0,0)</f>
        <v>300</v>
      </c>
      <c r="AJ46" s="78">
        <f t="shared" si="3"/>
        <v>0.84771391457341061</v>
      </c>
      <c r="AK46" s="62" t="str">
        <f>IF(AA46="",Z46,AA46)</f>
        <v>&lt;1M</v>
      </c>
      <c r="AL46" s="54"/>
    </row>
    <row r="47" spans="5:38" x14ac:dyDescent="0.35">
      <c r="E47" s="10"/>
      <c r="F47" s="108"/>
      <c r="U47" s="54"/>
      <c r="W47" s="118" t="s">
        <v>579</v>
      </c>
      <c r="X47" s="10" t="s">
        <v>573</v>
      </c>
      <c r="Y47" s="10" t="s">
        <v>580</v>
      </c>
      <c r="Z47" s="44" t="s">
        <v>508</v>
      </c>
      <c r="AA47" s="44" t="s">
        <v>508</v>
      </c>
      <c r="AB47" s="119" t="s">
        <v>40</v>
      </c>
      <c r="AC47" s="123"/>
      <c r="AD47" s="124"/>
      <c r="AE47" s="124"/>
      <c r="AF47" s="44"/>
      <c r="AG47" s="121">
        <v>189.30842489657999</v>
      </c>
      <c r="AH47" s="106">
        <f>AH46+AG47/Portfolio_by_bond[[#Totals],[Total Amount]]</f>
        <v>0.84808314569663412</v>
      </c>
      <c r="AI47" s="104">
        <f>Portfolio_by_bond[[#This Row],[Total Amount]]-_xlfn.XLOOKUP(Portfolio_by_bond[[#This Row],[Bond_Code]],'Ref'!F:F,'Ref'!G:G,0,0)</f>
        <v>189.30842489657999</v>
      </c>
      <c r="AJ47" s="78">
        <f t="shared" si="3"/>
        <v>0.85427490969942488</v>
      </c>
      <c r="AK47" s="62" t="str">
        <f t="shared" ref="AK47:AK55" si="7">IF(AA47="",Z47,AA47)</f>
        <v>3-5Y</v>
      </c>
      <c r="AL47" s="54"/>
    </row>
    <row r="48" spans="5:38" x14ac:dyDescent="0.35">
      <c r="E48" s="10"/>
      <c r="F48" s="108"/>
      <c r="U48" s="54"/>
      <c r="W48" s="118" t="s">
        <v>579</v>
      </c>
      <c r="X48" s="10" t="s">
        <v>573</v>
      </c>
      <c r="Y48" s="10" t="s">
        <v>581</v>
      </c>
      <c r="Z48" s="44" t="s">
        <v>508</v>
      </c>
      <c r="AA48" s="44" t="s">
        <v>508</v>
      </c>
      <c r="AB48" s="119" t="s">
        <v>40</v>
      </c>
      <c r="AC48" s="123"/>
      <c r="AD48" s="124"/>
      <c r="AE48" s="124"/>
      <c r="AF48" s="44"/>
      <c r="AG48" s="121">
        <v>380.59559615000001</v>
      </c>
      <c r="AH48" s="106">
        <f>AH47+AG55/Portfolio_by_bond[[#Totals],[Total Amount]]</f>
        <v>0.87530987369380098</v>
      </c>
      <c r="AI48" s="104">
        <f>Portfolio_by_bond[[#This Row],[Total Amount]]-_xlfn.XLOOKUP(Portfolio_by_bond[[#This Row],[Bond_Code]],'Ref'!F:F,'Ref'!G:G,0,0)</f>
        <v>380.59559615000001</v>
      </c>
      <c r="AJ48" s="78">
        <f t="shared" si="3"/>
        <v>0.86746547875458868</v>
      </c>
      <c r="AK48" s="62" t="str">
        <f t="shared" si="7"/>
        <v>3-5Y</v>
      </c>
      <c r="AL48" s="54"/>
    </row>
    <row r="49" spans="5:38" x14ac:dyDescent="0.35">
      <c r="E49" s="10"/>
      <c r="F49" s="108"/>
      <c r="U49" s="54"/>
      <c r="W49" s="118" t="s">
        <v>402</v>
      </c>
      <c r="X49" s="10" t="s">
        <v>208</v>
      </c>
      <c r="Y49" s="10" t="s">
        <v>635</v>
      </c>
      <c r="Z49" s="44" t="s">
        <v>505</v>
      </c>
      <c r="AA49" s="44"/>
      <c r="AB49" s="119" t="s">
        <v>31</v>
      </c>
      <c r="AC49" s="123"/>
      <c r="AD49" s="124"/>
      <c r="AE49" s="124"/>
      <c r="AF49" s="44"/>
      <c r="AG49" s="121">
        <v>39.1</v>
      </c>
      <c r="AH49" s="106">
        <f>AH48+AG56/Portfolio_by_bond[[#Totals],[Total Amount]]</f>
        <v>1.875309873693801</v>
      </c>
      <c r="AI49" s="104">
        <f>Portfolio_by_bond[[#This Row],[Total Amount]]-_xlfn.XLOOKUP(Portfolio_by_bond[[#This Row],[Bond_Code]],'Ref'!F:F,'Ref'!G:G,0,0)</f>
        <v>39.1</v>
      </c>
      <c r="AJ49" s="78">
        <f t="shared" ref="AJ49:AJ55" si="8">AJ48+AI49/(SUM(AI:AI)/2)</f>
        <v>0.86882059493374075</v>
      </c>
      <c r="AK49" s="62" t="str">
        <f t="shared" si="7"/>
        <v>6M-1Y</v>
      </c>
      <c r="AL49" s="54"/>
    </row>
    <row r="50" spans="5:38" x14ac:dyDescent="0.35">
      <c r="E50" s="10"/>
      <c r="F50" s="108"/>
      <c r="U50" s="54"/>
      <c r="W50" s="118" t="s">
        <v>402</v>
      </c>
      <c r="X50" s="10" t="s">
        <v>208</v>
      </c>
      <c r="Y50" s="10" t="s">
        <v>636</v>
      </c>
      <c r="Z50" s="44" t="s">
        <v>505</v>
      </c>
      <c r="AA50" s="44"/>
      <c r="AB50" s="119" t="s">
        <v>31</v>
      </c>
      <c r="AC50" s="123"/>
      <c r="AD50" s="124"/>
      <c r="AE50" s="124"/>
      <c r="AF50" s="44"/>
      <c r="AG50" s="121">
        <v>460</v>
      </c>
      <c r="AH50" s="106">
        <f>AH49+AG57/Portfolio_by_bond[[#Totals],[Total Amount]]</f>
        <v>1.875309873693801</v>
      </c>
      <c r="AI50" s="104">
        <f>Portfolio_by_bond[[#This Row],[Total Amount]]-_xlfn.XLOOKUP(Portfolio_by_bond[[#This Row],[Bond_Code]],'Ref'!F:F,'Ref'!G:G,0,0)</f>
        <v>460</v>
      </c>
      <c r="AJ50" s="78">
        <f t="shared" si="8"/>
        <v>0.88476313821788322</v>
      </c>
      <c r="AK50" s="62" t="str">
        <f t="shared" si="7"/>
        <v>6M-1Y</v>
      </c>
      <c r="AL50" s="54"/>
    </row>
    <row r="51" spans="5:38" x14ac:dyDescent="0.35">
      <c r="E51" s="10"/>
      <c r="F51" s="108"/>
      <c r="U51" s="54"/>
      <c r="W51" s="118" t="s">
        <v>258</v>
      </c>
      <c r="X51" s="10" t="s">
        <v>35</v>
      </c>
      <c r="Y51" s="10" t="s">
        <v>572</v>
      </c>
      <c r="Z51" s="44" t="s">
        <v>509</v>
      </c>
      <c r="AA51" s="44" t="s">
        <v>507</v>
      </c>
      <c r="AB51" s="119" t="s">
        <v>40</v>
      </c>
      <c r="AC51" s="123">
        <v>46218</v>
      </c>
      <c r="AD51" s="124"/>
      <c r="AE51" s="124"/>
      <c r="AF51" s="44"/>
      <c r="AG51" s="121">
        <v>1000</v>
      </c>
      <c r="AH51" s="106">
        <f>AH50+AG58/Portfolio_by_bond[[#Totals],[Total Amount]]</f>
        <v>1.875309873693801</v>
      </c>
      <c r="AI51" s="104">
        <f>Portfolio_by_bond[[#This Row],[Total Amount]]-_xlfn.XLOOKUP(Portfolio_by_bond[[#This Row],[Bond_Code]],'Ref'!F:F,'Ref'!G:G,0,0)</f>
        <v>1000</v>
      </c>
      <c r="AJ51" s="78">
        <f t="shared" si="8"/>
        <v>0.91942084100949717</v>
      </c>
      <c r="AK51" s="62" t="str">
        <f t="shared" si="7"/>
        <v>1-2Y</v>
      </c>
      <c r="AL51" s="54"/>
    </row>
    <row r="52" spans="5:38" x14ac:dyDescent="0.35">
      <c r="E52" s="10"/>
      <c r="F52" s="108"/>
      <c r="U52" s="54"/>
      <c r="W52" s="118" t="s">
        <v>280</v>
      </c>
      <c r="X52" s="10" t="s">
        <v>63</v>
      </c>
      <c r="Y52" s="10" t="s">
        <v>637</v>
      </c>
      <c r="Z52" s="44" t="s">
        <v>505</v>
      </c>
      <c r="AA52" s="44"/>
      <c r="AB52" s="119" t="s">
        <v>33</v>
      </c>
      <c r="AC52" s="123"/>
      <c r="AD52" s="124"/>
      <c r="AE52" s="124"/>
      <c r="AF52" s="44"/>
      <c r="AG52" s="121">
        <v>700</v>
      </c>
      <c r="AH52" s="106">
        <f>AH51+AG59/Portfolio_by_bond[[#Totals],[Total Amount]]</f>
        <v>1.875309873693801</v>
      </c>
      <c r="AI52" s="104">
        <f>Portfolio_by_bond[[#This Row],[Total Amount]]-_xlfn.XLOOKUP(Portfolio_by_bond[[#This Row],[Bond_Code]],'Ref'!F:F,'Ref'!G:G,0,0)</f>
        <v>700</v>
      </c>
      <c r="AJ52" s="78">
        <f t="shared" si="8"/>
        <v>0.94368123296362694</v>
      </c>
      <c r="AK52" s="62" t="str">
        <f t="shared" si="7"/>
        <v>6M-1Y</v>
      </c>
      <c r="AL52" s="54"/>
    </row>
    <row r="53" spans="5:38" x14ac:dyDescent="0.35">
      <c r="E53" s="10"/>
      <c r="F53" s="108"/>
      <c r="U53" s="54"/>
      <c r="W53" s="118" t="s">
        <v>280</v>
      </c>
      <c r="X53" s="10" t="s">
        <v>63</v>
      </c>
      <c r="Y53" s="10" t="s">
        <v>539</v>
      </c>
      <c r="Z53" s="44" t="s">
        <v>503</v>
      </c>
      <c r="AA53" s="44"/>
      <c r="AB53" s="119" t="s">
        <v>33</v>
      </c>
      <c r="AC53" s="123"/>
      <c r="AD53" s="124"/>
      <c r="AE53" s="124"/>
      <c r="AF53" s="44"/>
      <c r="AG53" s="121">
        <v>1000</v>
      </c>
      <c r="AH53" s="106">
        <f>AH52+AG60/Portfolio_by_bond[[#Totals],[Total Amount]]</f>
        <v>1.875309873693801</v>
      </c>
      <c r="AI53" s="104">
        <f>Portfolio_by_bond[[#This Row],[Total Amount]]-_xlfn.XLOOKUP(Portfolio_by_bond[[#This Row],[Bond_Code]],'Ref'!F:F,'Ref'!G:G,0,0)</f>
        <v>1000</v>
      </c>
      <c r="AJ53" s="78">
        <f t="shared" si="8"/>
        <v>0.97833893575524089</v>
      </c>
      <c r="AK53" s="62" t="str">
        <f t="shared" si="7"/>
        <v>1-3M</v>
      </c>
      <c r="AL53" s="54"/>
    </row>
    <row r="54" spans="5:38" x14ac:dyDescent="0.35">
      <c r="E54" s="10"/>
      <c r="F54" s="108"/>
      <c r="U54" s="54"/>
      <c r="W54" s="118" t="s">
        <v>280</v>
      </c>
      <c r="X54" s="10" t="s">
        <v>63</v>
      </c>
      <c r="Y54" s="10" t="s">
        <v>540</v>
      </c>
      <c r="Z54" s="44" t="s">
        <v>502</v>
      </c>
      <c r="AA54" s="44"/>
      <c r="AB54" s="119" t="s">
        <v>33</v>
      </c>
      <c r="AC54" s="123"/>
      <c r="AD54" s="124"/>
      <c r="AE54" s="124"/>
      <c r="AF54" s="44"/>
      <c r="AG54" s="121">
        <v>1000</v>
      </c>
      <c r="AH54" s="106">
        <f>AH53+AG61/Portfolio_by_bond[[#Totals],[Total Amount]]</f>
        <v>1.875309873693801</v>
      </c>
      <c r="AI54" s="104">
        <f>Portfolio_by_bond[[#This Row],[Total Amount]]-_xlfn.XLOOKUP(Portfolio_by_bond[[#This Row],[Bond_Code]],'Ref'!F:F,'Ref'!G:G,0,0)</f>
        <v>1000</v>
      </c>
      <c r="AJ54" s="78">
        <f t="shared" si="8"/>
        <v>1.012996638546855</v>
      </c>
      <c r="AK54" s="62" t="str">
        <f t="shared" si="7"/>
        <v>&lt;1M</v>
      </c>
      <c r="AL54" s="54"/>
    </row>
    <row r="55" spans="5:38" x14ac:dyDescent="0.35">
      <c r="E55" s="10"/>
      <c r="F55" s="108"/>
      <c r="U55" s="54"/>
      <c r="W55" s="118" t="s">
        <v>280</v>
      </c>
      <c r="X55" s="10" t="s">
        <v>63</v>
      </c>
      <c r="Y55" s="10" t="s">
        <v>638</v>
      </c>
      <c r="Z55" s="44" t="s">
        <v>509</v>
      </c>
      <c r="AA55" s="44" t="s">
        <v>505</v>
      </c>
      <c r="AB55" s="119" t="s">
        <v>33</v>
      </c>
      <c r="AC55" s="123"/>
      <c r="AD55" s="124"/>
      <c r="AE55" s="124"/>
      <c r="AF55" s="44"/>
      <c r="AG55" s="121">
        <v>1000</v>
      </c>
      <c r="AH55" s="106">
        <f>AH54+AG62/Portfolio_by_bond[[#Totals],[Total Amount]]</f>
        <v>1.875309873693801</v>
      </c>
      <c r="AI55" s="104">
        <f>Portfolio_by_bond[[#This Row],[Total Amount]]-_xlfn.XLOOKUP(Portfolio_by_bond[[#This Row],[Bond_Code]],'Ref'!F:F,'Ref'!G:G,0,0)</f>
        <v>1000</v>
      </c>
      <c r="AJ55" s="78">
        <f t="shared" si="8"/>
        <v>1.0476543413384689</v>
      </c>
      <c r="AK55" s="62" t="str">
        <f t="shared" si="7"/>
        <v>6M-1Y</v>
      </c>
      <c r="AL55" s="54"/>
    </row>
    <row r="56" spans="5:38" x14ac:dyDescent="0.35">
      <c r="E56" s="10"/>
      <c r="F56" s="108"/>
      <c r="U56" s="54"/>
      <c r="W56" s="92" t="s">
        <v>439</v>
      </c>
      <c r="X56" s="99"/>
      <c r="Y56" s="99"/>
      <c r="Z56" s="85"/>
      <c r="AA56" s="85"/>
      <c r="AB56" s="93"/>
      <c r="AC56" s="93"/>
      <c r="AD56" s="85"/>
      <c r="AE56" s="94"/>
      <c r="AF56" s="85"/>
      <c r="AG56" s="93">
        <f>SUBTOTAL(109,Portfolio_by_bond[Total Amount])</f>
        <v>36728.614621046581</v>
      </c>
      <c r="AH56" s="85"/>
      <c r="AI56" s="95">
        <f>SUM(AI9:AI55)</f>
        <v>27478.614621046578</v>
      </c>
      <c r="AJ56" s="95"/>
      <c r="AK56" s="96"/>
      <c r="AL56" s="54"/>
    </row>
    <row r="57" spans="5:38" x14ac:dyDescent="0.35">
      <c r="E57" s="10"/>
      <c r="F57" s="108"/>
      <c r="U57" s="54"/>
      <c r="Y57" s="54"/>
      <c r="AG57" s="86"/>
      <c r="AL57" s="54"/>
    </row>
    <row r="58" spans="5:38" x14ac:dyDescent="0.35">
      <c r="E58" s="10"/>
      <c r="F58" s="108"/>
      <c r="U58" s="54"/>
      <c r="Y58" s="86"/>
      <c r="AG58" s="86"/>
      <c r="AL58" s="62"/>
    </row>
    <row r="59" spans="5:38" x14ac:dyDescent="0.35">
      <c r="E59" s="10"/>
      <c r="F59" s="108"/>
      <c r="U59" s="54"/>
      <c r="AL59" s="54"/>
    </row>
    <row r="60" spans="5:38" x14ac:dyDescent="0.35">
      <c r="E60" s="10"/>
      <c r="F60" s="108"/>
      <c r="U60" s="54"/>
    </row>
    <row r="61" spans="5:38" x14ac:dyDescent="0.35">
      <c r="E61" s="10"/>
      <c r="F61" s="108"/>
      <c r="U61" s="54"/>
    </row>
    <row r="62" spans="5:38" x14ac:dyDescent="0.3">
      <c r="U62" s="54"/>
    </row>
    <row r="63" spans="5:38" x14ac:dyDescent="0.3">
      <c r="U63" s="54"/>
    </row>
    <row r="64" spans="5:38" x14ac:dyDescent="0.3">
      <c r="U64" s="54"/>
    </row>
    <row r="65" spans="14:21" x14ac:dyDescent="0.3">
      <c r="U65" s="54"/>
    </row>
    <row r="66" spans="14:21" x14ac:dyDescent="0.3">
      <c r="U66" s="54"/>
    </row>
    <row r="67" spans="14:21" x14ac:dyDescent="0.3">
      <c r="N67" s="44"/>
      <c r="U67" s="54"/>
    </row>
  </sheetData>
  <mergeCells count="8">
    <mergeCell ref="G1:H1"/>
    <mergeCell ref="A13:A14"/>
    <mergeCell ref="B13:B14"/>
    <mergeCell ref="C13:C14"/>
    <mergeCell ref="A1:A2"/>
    <mergeCell ref="B1:B2"/>
    <mergeCell ref="C1:C2"/>
    <mergeCell ref="D1:F1"/>
  </mergeCells>
  <phoneticPr fontId="6" type="noConversion"/>
  <conditionalFormatting sqref="K2:T2 K20:Q20 K3:R18 S3:T23">
    <cfRule type="expression" dxfId="138" priority="61">
      <formula>$M2&lt;&gt;$M3</formula>
    </cfRule>
    <cfRule type="expression" dxfId="137" priority="62">
      <formula>$M2&lt;&gt;#REF!</formula>
    </cfRule>
  </conditionalFormatting>
  <conditionalFormatting sqref="AK57:AK93">
    <cfRule type="expression" dxfId="136" priority="65">
      <formula>$AD63&lt;&gt;$AD64</formula>
    </cfRule>
    <cfRule type="expression" dxfId="135" priority="66">
      <formula>$AD63&lt;&gt;#REF!</formula>
    </cfRule>
  </conditionalFormatting>
  <conditionalFormatting sqref="W48:AG48 W55:AG55">
    <cfRule type="expression" dxfId="134" priority="71">
      <formula>$AD48&lt;&gt;$AD50</formula>
    </cfRule>
    <cfRule type="expression" dxfId="133" priority="72">
      <formula>$AD48&lt;&gt;#REF!</formula>
    </cfRule>
  </conditionalFormatting>
  <conditionalFormatting sqref="W56:AG56">
    <cfRule type="expression" dxfId="132" priority="57">
      <formula>$AD56&lt;&gt;$AD57</formula>
    </cfRule>
    <cfRule type="expression" dxfId="131" priority="58">
      <formula>$AD56&lt;&gt;#REF!</formula>
    </cfRule>
  </conditionalFormatting>
  <conditionalFormatting sqref="W2:AJ44 W46:AG46 W48:AG48 W55:AG56">
    <cfRule type="expression" dxfId="130" priority="63">
      <formula>$AB2&lt;&gt;$AB3</formula>
    </cfRule>
    <cfRule type="expression" dxfId="129" priority="64">
      <formula>$AB2&lt;&gt;#REF!</formula>
    </cfRule>
  </conditionalFormatting>
  <conditionalFormatting sqref="R20:R23">
    <cfRule type="expression" dxfId="128" priority="77">
      <formula>$M23&lt;&gt;$M24</formula>
    </cfRule>
    <cfRule type="expression" dxfId="127" priority="78">
      <formula>$M23&lt;&gt;#REF!</formula>
    </cfRule>
  </conditionalFormatting>
  <conditionalFormatting sqref="K19:R19 K21:Q22">
    <cfRule type="expression" dxfId="126" priority="79">
      <formula>$M19&lt;&gt;$M23</formula>
    </cfRule>
    <cfRule type="expression" dxfId="125" priority="80">
      <formula>$M19&lt;&gt;#REF!</formula>
    </cfRule>
  </conditionalFormatting>
  <conditionalFormatting sqref="W45:AJ45 AH46:AJ47">
    <cfRule type="expression" dxfId="124" priority="95">
      <formula>$AB45&lt;&gt;#REF!</formula>
    </cfRule>
    <cfRule type="expression" dxfId="123" priority="96">
      <formula>$AB45&lt;&gt;#REF!</formula>
    </cfRule>
  </conditionalFormatting>
  <conditionalFormatting sqref="AH56:AJ91">
    <cfRule type="expression" dxfId="122" priority="101">
      <formula>$AD64&lt;&gt;$AD65</formula>
    </cfRule>
    <cfRule type="expression" dxfId="121" priority="102">
      <formula>$AD64&lt;&gt;#REF!</formula>
    </cfRule>
  </conditionalFormatting>
  <conditionalFormatting sqref="W47:AG47 W49:AG54">
    <cfRule type="expression" dxfId="120" priority="123">
      <formula>$AB56&lt;&gt;#REF!</formula>
    </cfRule>
    <cfRule type="expression" dxfId="119" priority="124">
      <formula>$AB56&lt;&gt;#REF!</formula>
    </cfRule>
  </conditionalFormatting>
  <conditionalFormatting sqref="AH48:AJ55">
    <cfRule type="expression" dxfId="118" priority="131">
      <formula>$AB55&lt;&gt;#REF!</formula>
    </cfRule>
    <cfRule type="expression" dxfId="117" priority="132">
      <formula>$AB55&lt;&gt;#REF!</formula>
    </cfRule>
  </conditionalFormatting>
  <conditionalFormatting sqref="K23:Q23">
    <cfRule type="expression" dxfId="116" priority="161">
      <formula>$M23&lt;&gt;$M45</formula>
    </cfRule>
    <cfRule type="expression" dxfId="115" priority="162">
      <formula>$M23&lt;&gt;#REF!</formula>
    </cfRule>
  </conditionalFormatting>
  <conditionalFormatting sqref="W46:AG46">
    <cfRule type="expression" dxfId="114" priority="181">
      <formula>$AD46&lt;&gt;$AD55</formula>
    </cfRule>
    <cfRule type="expression" dxfId="113" priority="182">
      <formula>$AD46&lt;&gt;#REF!</formula>
    </cfRule>
  </conditionalFormatting>
  <conditionalFormatting sqref="AK56">
    <cfRule type="expression" dxfId="112" priority="1">
      <formula>$AD62&lt;&gt;$AD63</formula>
    </cfRule>
    <cfRule type="expression" dxfId="111" priority="2">
      <formula>$AD62&lt;&gt;#REF!</formula>
    </cfRule>
  </conditionalFormatting>
  <conditionalFormatting sqref="AH56:AJ56">
    <cfRule type="expression" dxfId="110" priority="3">
      <formula>$AB63&lt;&gt;$AB64</formula>
    </cfRule>
    <cfRule type="expression" dxfId="109" priority="4">
      <formula>$AB63&lt;&gt;#REF!</formula>
    </cfRule>
  </conditionalFormatting>
  <pageMargins left="0.7" right="0.7" top="0.75" bottom="0.75" header="0.3" footer="0.3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8F1A-D295-452F-9F78-53AB11FACA7D}">
  <sheetPr codeName="Sheet2"/>
  <dimension ref="A1:X204"/>
  <sheetViews>
    <sheetView topLeftCell="E1" zoomScale="70" zoomScaleNormal="70" workbookViewId="0">
      <pane ySplit="1" topLeftCell="A32" activePane="bottomLeft" state="frozen"/>
      <selection pane="bottomLeft" activeCell="S1" sqref="S1"/>
    </sheetView>
  </sheetViews>
  <sheetFormatPr defaultRowHeight="14.4" x14ac:dyDescent="0.3"/>
  <cols>
    <col min="1" max="1" width="60.8984375" bestFit="1" customWidth="1"/>
    <col min="2" max="2" width="18.3984375" bestFit="1" customWidth="1"/>
    <col min="3" max="3" width="10.19921875" bestFit="1" customWidth="1"/>
    <col min="4" max="4" width="9.69921875" bestFit="1" customWidth="1"/>
    <col min="5" max="5" width="15" bestFit="1" customWidth="1"/>
    <col min="6" max="6" width="13.19921875" bestFit="1" customWidth="1"/>
    <col min="7" max="7" width="18.5" bestFit="1" customWidth="1"/>
    <col min="8" max="8" width="14.5" bestFit="1" customWidth="1"/>
    <col min="9" max="9" width="19.796875" bestFit="1" customWidth="1"/>
    <col min="10" max="10" width="10.3984375" bestFit="1" customWidth="1"/>
    <col min="11" max="11" width="15.69921875" bestFit="1" customWidth="1"/>
    <col min="12" max="12" width="13" style="30" bestFit="1" customWidth="1"/>
    <col min="13" max="13" width="12.3984375" style="30" bestFit="1" customWidth="1"/>
    <col min="14" max="14" width="10.19921875" style="30" bestFit="1" customWidth="1"/>
    <col min="15" max="15" width="10.09765625" bestFit="1" customWidth="1"/>
    <col min="16" max="16" width="5" bestFit="1" customWidth="1"/>
    <col min="17" max="17" width="1.8984375" bestFit="1" customWidth="1"/>
    <col min="18" max="18" width="4.8984375" bestFit="1" customWidth="1"/>
    <col min="19" max="19" width="60.8984375" style="27" bestFit="1" customWidth="1"/>
    <col min="20" max="20" width="18.09765625" style="29" bestFit="1" customWidth="1"/>
    <col min="21" max="21" width="5.796875" style="30" bestFit="1" customWidth="1"/>
    <col min="22" max="22" width="10.09765625" style="30" bestFit="1" customWidth="1"/>
    <col min="23" max="23" width="3.796875" style="30" bestFit="1" customWidth="1"/>
    <col min="24" max="24" width="3.796875" style="29" bestFit="1" customWidth="1"/>
    <col min="25" max="25" width="3.796875" bestFit="1" customWidth="1"/>
    <col min="26" max="26" width="16.69921875" bestFit="1" customWidth="1"/>
    <col min="27" max="27" width="10.59765625" bestFit="1" customWidth="1"/>
    <col min="28" max="28" width="9" bestFit="1" customWidth="1"/>
    <col min="29" max="29" width="7.296875" bestFit="1" customWidth="1"/>
    <col min="30" max="30" width="50.59765625" customWidth="1"/>
    <col min="31" max="31" width="12.59765625" customWidth="1"/>
    <col min="32" max="32" width="10.59765625" bestFit="1" customWidth="1"/>
    <col min="33" max="33" width="14.8984375" bestFit="1" customWidth="1"/>
  </cols>
  <sheetData>
    <row r="1" spans="1:24" x14ac:dyDescent="0.3">
      <c r="A1" t="s">
        <v>5</v>
      </c>
      <c r="B1" t="s">
        <v>248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s="112" t="s">
        <v>576</v>
      </c>
      <c r="M1" s="112" t="s">
        <v>577</v>
      </c>
      <c r="N1" s="112" t="s">
        <v>578</v>
      </c>
      <c r="O1" s="30"/>
      <c r="P1" s="28" t="s">
        <v>464</v>
      </c>
      <c r="Q1" t="s">
        <v>15</v>
      </c>
      <c r="R1" t="s">
        <v>438</v>
      </c>
      <c r="S1" t="s">
        <v>460</v>
      </c>
      <c r="T1" t="s">
        <v>457</v>
      </c>
      <c r="U1" t="s">
        <v>458</v>
      </c>
      <c r="V1" t="s">
        <v>459</v>
      </c>
      <c r="W1"/>
      <c r="X1"/>
    </row>
    <row r="2" spans="1:24" x14ac:dyDescent="0.3">
      <c r="A2" t="s">
        <v>204</v>
      </c>
      <c r="B2" t="s">
        <v>398</v>
      </c>
      <c r="C2" t="s">
        <v>134</v>
      </c>
      <c r="D2" t="s">
        <v>20</v>
      </c>
      <c r="E2" s="27"/>
      <c r="F2" t="s">
        <v>20</v>
      </c>
      <c r="G2" s="27"/>
      <c r="H2" t="s">
        <v>142</v>
      </c>
      <c r="I2" s="27"/>
      <c r="L2" s="30" t="str">
        <f>IF(OR(CtpyRating[[#This Row],[FI_RATING]]="",_xlfn.XLOOKUP(CtpyRating[[#This Row],[CPTY_NAME]],S:S,U:U,"",0)=CtpyRating[[#This Row],[FI_RATING]],CtpyRating[[#This Row],[New Rating]]="Yes"),"No","Yes")</f>
        <v>No</v>
      </c>
      <c r="M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" s="30" t="str">
        <f>IF(AND(CtpyRating[[#This Row],[FI_RATING]]&lt;&gt;"",_xlfn.XLOOKUP(CtpyRating[[#This Row],[CPTY_NAME]],S:S,U:U,"",0)=""),"Yes","No")</f>
        <v>No</v>
      </c>
      <c r="O2" s="30"/>
      <c r="Q2">
        <v>8</v>
      </c>
      <c r="R2">
        <v>2026</v>
      </c>
      <c r="S2" t="s">
        <v>16</v>
      </c>
      <c r="T2" t="s">
        <v>250</v>
      </c>
      <c r="U2" t="s">
        <v>18</v>
      </c>
      <c r="V2" s="34">
        <v>45820</v>
      </c>
      <c r="W2"/>
      <c r="X2"/>
    </row>
    <row r="3" spans="1:24" x14ac:dyDescent="0.3">
      <c r="A3" t="s">
        <v>165</v>
      </c>
      <c r="B3" t="s">
        <v>339</v>
      </c>
      <c r="C3" t="s">
        <v>134</v>
      </c>
      <c r="E3" s="27"/>
      <c r="F3" t="s">
        <v>33</v>
      </c>
      <c r="G3" s="27">
        <v>45807</v>
      </c>
      <c r="H3" t="s">
        <v>142</v>
      </c>
      <c r="I3" s="27">
        <v>45889</v>
      </c>
      <c r="L3" s="30" t="str">
        <f>IF(OR(CtpyRating[[#This Row],[FI_RATING]]="",_xlfn.XLOOKUP(CtpyRating[[#This Row],[CPTY_NAME]],S:S,U:U,"",0)=CtpyRating[[#This Row],[FI_RATING]],CtpyRating[[#This Row],[New Rating]]="Yes"),"No","Yes")</f>
        <v>No</v>
      </c>
      <c r="M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" s="30" t="str">
        <f>IF(AND(CtpyRating[[#This Row],[FI_RATING]]&lt;&gt;"",_xlfn.XLOOKUP(CtpyRating[[#This Row],[CPTY_NAME]],S:S,U:U,"",0)=""),"Yes","No")</f>
        <v>No</v>
      </c>
      <c r="O3" s="30"/>
      <c r="Q3">
        <v>8</v>
      </c>
      <c r="R3">
        <v>2026</v>
      </c>
      <c r="S3" t="s">
        <v>19</v>
      </c>
      <c r="T3" t="s">
        <v>251</v>
      </c>
      <c r="U3" t="s">
        <v>20</v>
      </c>
      <c r="V3" s="34">
        <v>46203</v>
      </c>
      <c r="W3"/>
      <c r="X3"/>
    </row>
    <row r="4" spans="1:24" x14ac:dyDescent="0.3">
      <c r="A4" t="s">
        <v>160</v>
      </c>
      <c r="B4" t="s">
        <v>361</v>
      </c>
      <c r="C4" t="s">
        <v>134</v>
      </c>
      <c r="E4" s="27"/>
      <c r="F4" t="s">
        <v>126</v>
      </c>
      <c r="G4" s="27">
        <v>45793</v>
      </c>
      <c r="H4" t="s">
        <v>146</v>
      </c>
      <c r="I4" s="27">
        <v>45978</v>
      </c>
      <c r="L4" s="30" t="str">
        <f>IF(OR(CtpyRating[[#This Row],[FI_RATING]]="",_xlfn.XLOOKUP(CtpyRating[[#This Row],[CPTY_NAME]],S:S,U:U,"",0)=CtpyRating[[#This Row],[FI_RATING]],CtpyRating[[#This Row],[New Rating]]="Yes"),"No","Yes")</f>
        <v>No</v>
      </c>
      <c r="M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" s="30" t="str">
        <f>IF(AND(CtpyRating[[#This Row],[FI_RATING]]&lt;&gt;"",_xlfn.XLOOKUP(CtpyRating[[#This Row],[CPTY_NAME]],S:S,U:U,"",0)=""),"Yes","No")</f>
        <v>No</v>
      </c>
      <c r="O4" s="30"/>
      <c r="Q4">
        <v>8</v>
      </c>
      <c r="R4">
        <v>2026</v>
      </c>
      <c r="S4" t="s">
        <v>23</v>
      </c>
      <c r="T4" t="s">
        <v>252</v>
      </c>
      <c r="U4" t="s">
        <v>33</v>
      </c>
      <c r="V4" s="34">
        <v>46211</v>
      </c>
      <c r="W4"/>
      <c r="X4"/>
    </row>
    <row r="5" spans="1:24" x14ac:dyDescent="0.3">
      <c r="A5" t="s">
        <v>161</v>
      </c>
      <c r="B5" t="s">
        <v>341</v>
      </c>
      <c r="C5" t="s">
        <v>134</v>
      </c>
      <c r="E5" s="27"/>
      <c r="G5" s="27"/>
      <c r="H5" t="s">
        <v>135</v>
      </c>
      <c r="I5" s="27">
        <v>45979</v>
      </c>
      <c r="L5" s="30" t="str">
        <f>IF(OR(CtpyRating[[#This Row],[FI_RATING]]="",_xlfn.XLOOKUP(CtpyRating[[#This Row],[CPTY_NAME]],S:S,U:U,"",0)=CtpyRating[[#This Row],[FI_RATING]],CtpyRating[[#This Row],[New Rating]]="Yes"),"No","Yes")</f>
        <v>No</v>
      </c>
      <c r="M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" s="30" t="str">
        <f>IF(AND(CtpyRating[[#This Row],[FI_RATING]]&lt;&gt;"",_xlfn.XLOOKUP(CtpyRating[[#This Row],[CPTY_NAME]],S:S,U:U,"",0)=""),"Yes","No")</f>
        <v>No</v>
      </c>
      <c r="O5" s="30"/>
      <c r="Q5">
        <v>8</v>
      </c>
      <c r="R5">
        <v>2026</v>
      </c>
      <c r="S5" t="s">
        <v>26</v>
      </c>
      <c r="T5" t="s">
        <v>253</v>
      </c>
      <c r="U5" t="s">
        <v>24</v>
      </c>
      <c r="V5" s="34">
        <v>46206</v>
      </c>
      <c r="W5"/>
      <c r="X5"/>
    </row>
    <row r="6" spans="1:24" x14ac:dyDescent="0.3">
      <c r="A6" t="s">
        <v>471</v>
      </c>
      <c r="C6" t="s">
        <v>483</v>
      </c>
      <c r="D6" t="s">
        <v>20</v>
      </c>
      <c r="E6" s="27"/>
      <c r="G6" s="27"/>
      <c r="I6" s="27"/>
      <c r="L6" s="30" t="str">
        <f>IF(OR(CtpyRating[[#This Row],[FI_RATING]]="",_xlfn.XLOOKUP(CtpyRating[[#This Row],[CPTY_NAME]],S:S,U:U,"",0)=CtpyRating[[#This Row],[FI_RATING]],CtpyRating[[#This Row],[New Rating]]="Yes"),"No","Yes")</f>
        <v>No</v>
      </c>
      <c r="M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" s="30" t="str">
        <f>IF(AND(CtpyRating[[#This Row],[FI_RATING]]&lt;&gt;"",_xlfn.XLOOKUP(CtpyRating[[#This Row],[CPTY_NAME]],S:S,U:U,"",0)=""),"Yes","No")</f>
        <v>No</v>
      </c>
      <c r="O6" s="30"/>
      <c r="Q6">
        <v>8</v>
      </c>
      <c r="R6">
        <v>2026</v>
      </c>
      <c r="S6" t="s">
        <v>28</v>
      </c>
      <c r="T6" t="s">
        <v>254</v>
      </c>
      <c r="U6" t="s">
        <v>29</v>
      </c>
      <c r="V6" s="34">
        <v>44781</v>
      </c>
      <c r="W6"/>
      <c r="X6"/>
    </row>
    <row r="7" spans="1:24" x14ac:dyDescent="0.3">
      <c r="A7" t="s">
        <v>247</v>
      </c>
      <c r="B7" t="s">
        <v>436</v>
      </c>
      <c r="C7" t="s">
        <v>71</v>
      </c>
      <c r="D7" t="s">
        <v>33</v>
      </c>
      <c r="E7" s="27">
        <v>45853</v>
      </c>
      <c r="G7" s="27"/>
      <c r="I7" s="27"/>
      <c r="L7" s="30" t="str">
        <f>IF(OR(CtpyRating[[#This Row],[FI_RATING]]="",_xlfn.XLOOKUP(CtpyRating[[#This Row],[CPTY_NAME]],S:S,U:U,"",0)=CtpyRating[[#This Row],[FI_RATING]],CtpyRating[[#This Row],[New Rating]]="Yes"),"No","Yes")</f>
        <v>No</v>
      </c>
      <c r="M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" s="30" t="str">
        <f>IF(AND(CtpyRating[[#This Row],[FI_RATING]]&lt;&gt;"",_xlfn.XLOOKUP(CtpyRating[[#This Row],[CPTY_NAME]],S:S,U:U,"",0)=""),"Yes","No")</f>
        <v>No</v>
      </c>
      <c r="O7" s="30"/>
      <c r="Q7">
        <v>8</v>
      </c>
      <c r="R7">
        <v>2026</v>
      </c>
      <c r="S7" t="s">
        <v>30</v>
      </c>
      <c r="T7" t="s">
        <v>255</v>
      </c>
      <c r="U7" t="s">
        <v>31</v>
      </c>
      <c r="V7" s="34">
        <v>45730</v>
      </c>
      <c r="W7"/>
      <c r="X7"/>
    </row>
    <row r="8" spans="1:24" x14ac:dyDescent="0.3">
      <c r="A8" t="s">
        <v>78</v>
      </c>
      <c r="B8" t="s">
        <v>292</v>
      </c>
      <c r="C8" t="s">
        <v>71</v>
      </c>
      <c r="D8" t="s">
        <v>20</v>
      </c>
      <c r="E8" s="27">
        <v>45981</v>
      </c>
      <c r="G8" s="27"/>
      <c r="I8" s="27"/>
      <c r="L8" s="30" t="str">
        <f>IF(OR(CtpyRating[[#This Row],[FI_RATING]]="",_xlfn.XLOOKUP(CtpyRating[[#This Row],[CPTY_NAME]],S:S,U:U,"",0)=CtpyRating[[#This Row],[FI_RATING]],CtpyRating[[#This Row],[New Rating]]="Yes"),"No","Yes")</f>
        <v>No</v>
      </c>
      <c r="M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" s="30" t="str">
        <f>IF(AND(CtpyRating[[#This Row],[FI_RATING]]&lt;&gt;"",_xlfn.XLOOKUP(CtpyRating[[#This Row],[CPTY_NAME]],S:S,U:U,"",0)=""),"Yes","No")</f>
        <v>No</v>
      </c>
      <c r="O8" s="30"/>
      <c r="Q8">
        <v>8</v>
      </c>
      <c r="R8">
        <v>2026</v>
      </c>
      <c r="S8" t="s">
        <v>32</v>
      </c>
      <c r="T8" t="s">
        <v>256</v>
      </c>
      <c r="U8" t="s">
        <v>33</v>
      </c>
      <c r="V8" s="34">
        <v>45919</v>
      </c>
      <c r="W8"/>
      <c r="X8"/>
    </row>
    <row r="9" spans="1:24" x14ac:dyDescent="0.3">
      <c r="A9" t="s">
        <v>229</v>
      </c>
      <c r="B9" t="s">
        <v>421</v>
      </c>
      <c r="C9" t="s">
        <v>134</v>
      </c>
      <c r="E9" s="27"/>
      <c r="F9" t="s">
        <v>24</v>
      </c>
      <c r="G9" s="27">
        <v>45929</v>
      </c>
      <c r="H9" t="s">
        <v>175</v>
      </c>
      <c r="I9" s="27">
        <v>45995</v>
      </c>
      <c r="L9" s="30" t="str">
        <f>IF(OR(CtpyRating[[#This Row],[FI_RATING]]="",_xlfn.XLOOKUP(CtpyRating[[#This Row],[CPTY_NAME]],S:S,U:U,"",0)=CtpyRating[[#This Row],[FI_RATING]],CtpyRating[[#This Row],[New Rating]]="Yes"),"No","Yes")</f>
        <v>No</v>
      </c>
      <c r="M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" s="30" t="str">
        <f>IF(AND(CtpyRating[[#This Row],[FI_RATING]]&lt;&gt;"",_xlfn.XLOOKUP(CtpyRating[[#This Row],[CPTY_NAME]],S:S,U:U,"",0)=""),"Yes","No")</f>
        <v>No</v>
      </c>
      <c r="O9" s="30"/>
      <c r="Q9">
        <v>8</v>
      </c>
      <c r="R9">
        <v>2026</v>
      </c>
      <c r="S9" t="s">
        <v>34</v>
      </c>
      <c r="T9" t="s">
        <v>257</v>
      </c>
      <c r="U9" t="s">
        <v>24</v>
      </c>
      <c r="V9" s="34">
        <v>45929</v>
      </c>
      <c r="W9"/>
      <c r="X9"/>
    </row>
    <row r="10" spans="1:24" x14ac:dyDescent="0.3">
      <c r="A10" t="s">
        <v>197</v>
      </c>
      <c r="B10" t="s">
        <v>391</v>
      </c>
      <c r="C10" t="s">
        <v>134</v>
      </c>
      <c r="E10" s="27"/>
      <c r="F10" t="s">
        <v>139</v>
      </c>
      <c r="G10" s="27">
        <v>46183</v>
      </c>
      <c r="H10" t="s">
        <v>140</v>
      </c>
      <c r="I10" s="27">
        <v>46133</v>
      </c>
      <c r="L10" s="30" t="str">
        <f>IF(OR(CtpyRating[[#This Row],[FI_RATING]]="",_xlfn.XLOOKUP(CtpyRating[[#This Row],[CPTY_NAME]],S:S,U:U,"",0)=CtpyRating[[#This Row],[FI_RATING]],CtpyRating[[#This Row],[New Rating]]="Yes"),"No","Yes")</f>
        <v>No</v>
      </c>
      <c r="M1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" s="30" t="str">
        <f>IF(AND(CtpyRating[[#This Row],[FI_RATING]]&lt;&gt;"",_xlfn.XLOOKUP(CtpyRating[[#This Row],[CPTY_NAME]],S:S,U:U,"",0)=""),"Yes","No")</f>
        <v>No</v>
      </c>
      <c r="O10" s="30"/>
      <c r="Q10">
        <v>8</v>
      </c>
      <c r="R10">
        <v>2026</v>
      </c>
      <c r="S10" t="s">
        <v>35</v>
      </c>
      <c r="T10" t="s">
        <v>258</v>
      </c>
      <c r="U10" t="s">
        <v>40</v>
      </c>
      <c r="V10" s="34">
        <v>46218</v>
      </c>
      <c r="W10"/>
      <c r="X10"/>
    </row>
    <row r="11" spans="1:24" x14ac:dyDescent="0.3">
      <c r="A11" t="s">
        <v>133</v>
      </c>
      <c r="B11" t="s">
        <v>343</v>
      </c>
      <c r="C11" t="s">
        <v>134</v>
      </c>
      <c r="E11" s="27"/>
      <c r="F11" t="s">
        <v>52</v>
      </c>
      <c r="G11" s="27">
        <v>45730</v>
      </c>
      <c r="H11" t="s">
        <v>135</v>
      </c>
      <c r="I11" s="27">
        <v>45978</v>
      </c>
      <c r="L11" s="30" t="str">
        <f>IF(OR(CtpyRating[[#This Row],[FI_RATING]]="",_xlfn.XLOOKUP(CtpyRating[[#This Row],[CPTY_NAME]],S:S,U:U,"",0)=CtpyRating[[#This Row],[FI_RATING]],CtpyRating[[#This Row],[New Rating]]="Yes"),"No","Yes")</f>
        <v>No</v>
      </c>
      <c r="M1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" s="30" t="str">
        <f>IF(AND(CtpyRating[[#This Row],[FI_RATING]]&lt;&gt;"",_xlfn.XLOOKUP(CtpyRating[[#This Row],[CPTY_NAME]],S:S,U:U,"",0)=""),"Yes","No")</f>
        <v>No</v>
      </c>
      <c r="O11" s="30"/>
      <c r="Q11">
        <v>8</v>
      </c>
      <c r="R11">
        <v>2026</v>
      </c>
      <c r="S11" t="s">
        <v>36</v>
      </c>
      <c r="T11" t="s">
        <v>259</v>
      </c>
      <c r="U11" t="s">
        <v>33</v>
      </c>
      <c r="V11" s="34"/>
      <c r="W11"/>
      <c r="X11"/>
    </row>
    <row r="12" spans="1:24" x14ac:dyDescent="0.3">
      <c r="A12" t="s">
        <v>76</v>
      </c>
      <c r="B12" t="s">
        <v>290</v>
      </c>
      <c r="C12" t="s">
        <v>71</v>
      </c>
      <c r="D12" t="s">
        <v>29</v>
      </c>
      <c r="E12" s="27"/>
      <c r="G12" s="27"/>
      <c r="I12" s="27"/>
      <c r="L12" s="30" t="str">
        <f>IF(OR(CtpyRating[[#This Row],[FI_RATING]]="",_xlfn.XLOOKUP(CtpyRating[[#This Row],[CPTY_NAME]],S:S,U:U,"",0)=CtpyRating[[#This Row],[FI_RATING]],CtpyRating[[#This Row],[New Rating]]="Yes"),"No","Yes")</f>
        <v>No</v>
      </c>
      <c r="M1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" s="30" t="str">
        <f>IF(AND(CtpyRating[[#This Row],[FI_RATING]]&lt;&gt;"",_xlfn.XLOOKUP(CtpyRating[[#This Row],[CPTY_NAME]],S:S,U:U,"",0)=""),"Yes","No")</f>
        <v>No</v>
      </c>
      <c r="O12" s="30"/>
      <c r="Q12">
        <v>8</v>
      </c>
      <c r="R12">
        <v>2026</v>
      </c>
      <c r="S12" t="s">
        <v>37</v>
      </c>
      <c r="T12" t="s">
        <v>260</v>
      </c>
      <c r="U12" t="s">
        <v>33</v>
      </c>
      <c r="V12" s="34">
        <v>46141</v>
      </c>
      <c r="W12"/>
      <c r="X12"/>
    </row>
    <row r="13" spans="1:24" x14ac:dyDescent="0.3">
      <c r="A13" t="s">
        <v>181</v>
      </c>
      <c r="B13" t="s">
        <v>375</v>
      </c>
      <c r="C13" t="s">
        <v>71</v>
      </c>
      <c r="D13" t="s">
        <v>29</v>
      </c>
      <c r="E13" s="27"/>
      <c r="G13" s="27"/>
      <c r="I13" s="27"/>
      <c r="L13" s="30" t="str">
        <f>IF(OR(CtpyRating[[#This Row],[FI_RATING]]="",_xlfn.XLOOKUP(CtpyRating[[#This Row],[CPTY_NAME]],S:S,U:U,"",0)=CtpyRating[[#This Row],[FI_RATING]],CtpyRating[[#This Row],[New Rating]]="Yes"),"No","Yes")</f>
        <v>No</v>
      </c>
      <c r="M1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" s="30" t="str">
        <f>IF(AND(CtpyRating[[#This Row],[FI_RATING]]&lt;&gt;"",_xlfn.XLOOKUP(CtpyRating[[#This Row],[CPTY_NAME]],S:S,U:U,"",0)=""),"Yes","No")</f>
        <v>No</v>
      </c>
      <c r="O13" s="30"/>
      <c r="Q13">
        <v>8</v>
      </c>
      <c r="R13">
        <v>2026</v>
      </c>
      <c r="S13" t="s">
        <v>39</v>
      </c>
      <c r="T13" t="s">
        <v>261</v>
      </c>
      <c r="U13" t="s">
        <v>18</v>
      </c>
      <c r="V13" s="34">
        <v>45792</v>
      </c>
      <c r="W13"/>
      <c r="X13"/>
    </row>
    <row r="14" spans="1:24" x14ac:dyDescent="0.3">
      <c r="A14" t="s">
        <v>70</v>
      </c>
      <c r="B14" t="s">
        <v>286</v>
      </c>
      <c r="C14" t="s">
        <v>71</v>
      </c>
      <c r="D14" t="s">
        <v>20</v>
      </c>
      <c r="E14" s="27">
        <v>45917</v>
      </c>
      <c r="G14" s="27"/>
      <c r="I14" s="27"/>
      <c r="L14" s="30" t="str">
        <f>IF(OR(CtpyRating[[#This Row],[FI_RATING]]="",_xlfn.XLOOKUP(CtpyRating[[#This Row],[CPTY_NAME]],S:S,U:U,"",0)=CtpyRating[[#This Row],[FI_RATING]],CtpyRating[[#This Row],[New Rating]]="Yes"),"No","Yes")</f>
        <v>No</v>
      </c>
      <c r="M1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" s="30" t="str">
        <f>IF(AND(CtpyRating[[#This Row],[FI_RATING]]&lt;&gt;"",_xlfn.XLOOKUP(CtpyRating[[#This Row],[CPTY_NAME]],S:S,U:U,"",0)=""),"Yes","No")</f>
        <v>No</v>
      </c>
      <c r="O14" s="30"/>
      <c r="Q14">
        <v>8</v>
      </c>
      <c r="R14">
        <v>2026</v>
      </c>
      <c r="S14" t="s">
        <v>41</v>
      </c>
      <c r="T14" t="s">
        <v>262</v>
      </c>
      <c r="U14" t="s">
        <v>18</v>
      </c>
      <c r="V14" s="34">
        <v>46209</v>
      </c>
      <c r="W14"/>
      <c r="X14"/>
    </row>
    <row r="15" spans="1:24" x14ac:dyDescent="0.3">
      <c r="A15" t="s">
        <v>93</v>
      </c>
      <c r="B15" t="s">
        <v>307</v>
      </c>
      <c r="C15" t="s">
        <v>71</v>
      </c>
      <c r="D15" t="s">
        <v>73</v>
      </c>
      <c r="E15" s="27"/>
      <c r="G15" s="27"/>
      <c r="I15" s="27"/>
      <c r="L15" s="30" t="str">
        <f>IF(OR(CtpyRating[[#This Row],[FI_RATING]]="",_xlfn.XLOOKUP(CtpyRating[[#This Row],[CPTY_NAME]],S:S,U:U,"",0)=CtpyRating[[#This Row],[FI_RATING]],CtpyRating[[#This Row],[New Rating]]="Yes"),"No","Yes")</f>
        <v>No</v>
      </c>
      <c r="M1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" s="30" t="str">
        <f>IF(AND(CtpyRating[[#This Row],[FI_RATING]]&lt;&gt;"",_xlfn.XLOOKUP(CtpyRating[[#This Row],[CPTY_NAME]],S:S,U:U,"",0)=""),"Yes","No")</f>
        <v>No</v>
      </c>
      <c r="O15" s="30"/>
      <c r="Q15">
        <v>8</v>
      </c>
      <c r="R15">
        <v>2026</v>
      </c>
      <c r="S15" t="s">
        <v>43</v>
      </c>
      <c r="T15" t="s">
        <v>263</v>
      </c>
      <c r="U15" t="s">
        <v>171</v>
      </c>
      <c r="V15" s="34">
        <v>46157</v>
      </c>
      <c r="W15"/>
      <c r="X15"/>
    </row>
    <row r="16" spans="1:24" x14ac:dyDescent="0.3">
      <c r="A16" t="s">
        <v>80</v>
      </c>
      <c r="B16" t="s">
        <v>294</v>
      </c>
      <c r="C16" t="s">
        <v>71</v>
      </c>
      <c r="D16" t="s">
        <v>31</v>
      </c>
      <c r="E16" s="27"/>
      <c r="G16" s="27"/>
      <c r="I16" s="27"/>
      <c r="L16" s="30" t="str">
        <f>IF(OR(CtpyRating[[#This Row],[FI_RATING]]="",_xlfn.XLOOKUP(CtpyRating[[#This Row],[CPTY_NAME]],S:S,U:U,"",0)=CtpyRating[[#This Row],[FI_RATING]],CtpyRating[[#This Row],[New Rating]]="Yes"),"No","Yes")</f>
        <v>No</v>
      </c>
      <c r="M1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" s="30" t="str">
        <f>IF(AND(CtpyRating[[#This Row],[FI_RATING]]&lt;&gt;"",_xlfn.XLOOKUP(CtpyRating[[#This Row],[CPTY_NAME]],S:S,U:U,"",0)=""),"Yes","No")</f>
        <v>No</v>
      </c>
      <c r="O16" s="30"/>
      <c r="Q16">
        <v>8</v>
      </c>
      <c r="R16">
        <v>2026</v>
      </c>
      <c r="S16" t="s">
        <v>44</v>
      </c>
      <c r="T16" t="s">
        <v>264</v>
      </c>
      <c r="U16" t="s">
        <v>24</v>
      </c>
      <c r="V16" s="34">
        <v>46146</v>
      </c>
      <c r="W16"/>
      <c r="X16"/>
    </row>
    <row r="17" spans="1:24" x14ac:dyDescent="0.3">
      <c r="A17" t="s">
        <v>180</v>
      </c>
      <c r="B17" t="s">
        <v>296</v>
      </c>
      <c r="C17" t="s">
        <v>71</v>
      </c>
      <c r="D17" t="s">
        <v>20</v>
      </c>
      <c r="E17" s="27">
        <v>45961</v>
      </c>
      <c r="G17" s="27"/>
      <c r="I17" s="27"/>
      <c r="L17" s="30" t="str">
        <f>IF(OR(CtpyRating[[#This Row],[FI_RATING]]="",_xlfn.XLOOKUP(CtpyRating[[#This Row],[CPTY_NAME]],S:S,U:U,"",0)=CtpyRating[[#This Row],[FI_RATING]],CtpyRating[[#This Row],[New Rating]]="Yes"),"No","Yes")</f>
        <v>No</v>
      </c>
      <c r="M1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" s="30" t="str">
        <f>IF(AND(CtpyRating[[#This Row],[FI_RATING]]&lt;&gt;"",_xlfn.XLOOKUP(CtpyRating[[#This Row],[CPTY_NAME]],S:S,U:U,"",0)=""),"Yes","No")</f>
        <v>No</v>
      </c>
      <c r="O17" s="30"/>
      <c r="Q17">
        <v>8</v>
      </c>
      <c r="R17">
        <v>2026</v>
      </c>
      <c r="S17" t="s">
        <v>45</v>
      </c>
      <c r="T17" t="s">
        <v>265</v>
      </c>
      <c r="U17" t="s">
        <v>29</v>
      </c>
      <c r="V17" s="34">
        <v>46189</v>
      </c>
      <c r="W17"/>
      <c r="X17"/>
    </row>
    <row r="18" spans="1:24" x14ac:dyDescent="0.3">
      <c r="A18" t="s">
        <v>72</v>
      </c>
      <c r="B18" t="s">
        <v>287</v>
      </c>
      <c r="C18" t="s">
        <v>71</v>
      </c>
      <c r="D18" t="s">
        <v>73</v>
      </c>
      <c r="E18" s="27"/>
      <c r="G18" s="27"/>
      <c r="I18" s="27"/>
      <c r="L18" s="30" t="str">
        <f>IF(OR(CtpyRating[[#This Row],[FI_RATING]]="",_xlfn.XLOOKUP(CtpyRating[[#This Row],[CPTY_NAME]],S:S,U:U,"",0)=CtpyRating[[#This Row],[FI_RATING]],CtpyRating[[#This Row],[New Rating]]="Yes"),"No","Yes")</f>
        <v>No</v>
      </c>
      <c r="M1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" s="30" t="str">
        <f>IF(AND(CtpyRating[[#This Row],[FI_RATING]]&lt;&gt;"",_xlfn.XLOOKUP(CtpyRating[[#This Row],[CPTY_NAME]],S:S,U:U,"",0)=""),"Yes","No")</f>
        <v>No</v>
      </c>
      <c r="O18" s="30"/>
      <c r="Q18">
        <v>8</v>
      </c>
      <c r="R18">
        <v>2026</v>
      </c>
      <c r="S18" t="s">
        <v>46</v>
      </c>
      <c r="T18" t="s">
        <v>266</v>
      </c>
      <c r="U18" t="s">
        <v>18</v>
      </c>
      <c r="V18" s="34">
        <v>44326</v>
      </c>
      <c r="W18"/>
      <c r="X18"/>
    </row>
    <row r="19" spans="1:24" x14ac:dyDescent="0.3">
      <c r="A19" t="s">
        <v>81</v>
      </c>
      <c r="B19" t="s">
        <v>295</v>
      </c>
      <c r="C19" t="s">
        <v>71</v>
      </c>
      <c r="D19" t="s">
        <v>31</v>
      </c>
      <c r="E19" s="27"/>
      <c r="G19" s="27"/>
      <c r="I19" s="27"/>
      <c r="L19" s="30" t="str">
        <f>IF(OR(CtpyRating[[#This Row],[FI_RATING]]="",_xlfn.XLOOKUP(CtpyRating[[#This Row],[CPTY_NAME]],S:S,U:U,"",0)=CtpyRating[[#This Row],[FI_RATING]],CtpyRating[[#This Row],[New Rating]]="Yes"),"No","Yes")</f>
        <v>No</v>
      </c>
      <c r="M1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" s="30" t="str">
        <f>IF(AND(CtpyRating[[#This Row],[FI_RATING]]&lt;&gt;"",_xlfn.XLOOKUP(CtpyRating[[#This Row],[CPTY_NAME]],S:S,U:U,"",0)=""),"Yes","No")</f>
        <v>No</v>
      </c>
      <c r="O19" s="30"/>
      <c r="Q19">
        <v>8</v>
      </c>
      <c r="R19">
        <v>2026</v>
      </c>
      <c r="S19" t="s">
        <v>47</v>
      </c>
      <c r="T19" t="s">
        <v>267</v>
      </c>
      <c r="U19" t="s">
        <v>18</v>
      </c>
      <c r="V19" s="34">
        <v>45782</v>
      </c>
      <c r="W19"/>
      <c r="X19"/>
    </row>
    <row r="20" spans="1:24" x14ac:dyDescent="0.3">
      <c r="A20" t="s">
        <v>79</v>
      </c>
      <c r="B20" t="s">
        <v>293</v>
      </c>
      <c r="C20" t="s">
        <v>71</v>
      </c>
      <c r="D20" t="s">
        <v>73</v>
      </c>
      <c r="E20" s="27"/>
      <c r="G20" s="27"/>
      <c r="I20" s="27"/>
      <c r="L20" s="30" t="str">
        <f>IF(OR(CtpyRating[[#This Row],[FI_RATING]]="",_xlfn.XLOOKUP(CtpyRating[[#This Row],[CPTY_NAME]],S:S,U:U,"",0)=CtpyRating[[#This Row],[FI_RATING]],CtpyRating[[#This Row],[New Rating]]="Yes"),"No","Yes")</f>
        <v>No</v>
      </c>
      <c r="M2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0" s="30" t="str">
        <f>IF(AND(CtpyRating[[#This Row],[FI_RATING]]&lt;&gt;"",_xlfn.XLOOKUP(CtpyRating[[#This Row],[CPTY_NAME]],S:S,U:U,"",0)=""),"Yes","No")</f>
        <v>No</v>
      </c>
      <c r="O20" s="30"/>
      <c r="Q20">
        <v>8</v>
      </c>
      <c r="R20">
        <v>2026</v>
      </c>
      <c r="S20" t="s">
        <v>48</v>
      </c>
      <c r="T20" t="s">
        <v>268</v>
      </c>
      <c r="U20" t="s">
        <v>18</v>
      </c>
      <c r="V20" s="34">
        <v>46169</v>
      </c>
      <c r="W20"/>
      <c r="X20"/>
    </row>
    <row r="21" spans="1:24" x14ac:dyDescent="0.3">
      <c r="A21" t="s">
        <v>164</v>
      </c>
      <c r="C21" t="s">
        <v>134</v>
      </c>
      <c r="E21" s="27"/>
      <c r="G21" s="27"/>
      <c r="H21" t="s">
        <v>142</v>
      </c>
      <c r="I21" s="27">
        <v>45827</v>
      </c>
      <c r="L21" s="30" t="str">
        <f>IF(OR(CtpyRating[[#This Row],[FI_RATING]]="",_xlfn.XLOOKUP(CtpyRating[[#This Row],[CPTY_NAME]],S:S,U:U,"",0)=CtpyRating[[#This Row],[FI_RATING]],CtpyRating[[#This Row],[New Rating]]="Yes"),"No","Yes")</f>
        <v>No</v>
      </c>
      <c r="M2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1" s="30" t="str">
        <f>IF(AND(CtpyRating[[#This Row],[FI_RATING]]&lt;&gt;"",_xlfn.XLOOKUP(CtpyRating[[#This Row],[CPTY_NAME]],S:S,U:U,"",0)=""),"Yes","No")</f>
        <v>No</v>
      </c>
      <c r="O21" s="30"/>
      <c r="Q21">
        <v>8</v>
      </c>
      <c r="R21">
        <v>2026</v>
      </c>
      <c r="S21" t="s">
        <v>49</v>
      </c>
      <c r="T21" t="s">
        <v>269</v>
      </c>
      <c r="U21" t="s">
        <v>40</v>
      </c>
      <c r="V21" s="34">
        <v>46183</v>
      </c>
      <c r="W21"/>
      <c r="X21"/>
    </row>
    <row r="22" spans="1:24" x14ac:dyDescent="0.3">
      <c r="A22" t="s">
        <v>159</v>
      </c>
      <c r="B22" t="s">
        <v>360</v>
      </c>
      <c r="C22" t="s">
        <v>134</v>
      </c>
      <c r="E22" s="27"/>
      <c r="F22" t="s">
        <v>33</v>
      </c>
      <c r="G22" s="27">
        <v>45945</v>
      </c>
      <c r="H22" t="s">
        <v>142</v>
      </c>
      <c r="I22" s="27">
        <v>45979</v>
      </c>
      <c r="L22" s="30" t="str">
        <f>IF(OR(CtpyRating[[#This Row],[FI_RATING]]="",_xlfn.XLOOKUP(CtpyRating[[#This Row],[CPTY_NAME]],S:S,U:U,"",0)=CtpyRating[[#This Row],[FI_RATING]],CtpyRating[[#This Row],[New Rating]]="Yes"),"No","Yes")</f>
        <v>No</v>
      </c>
      <c r="M2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2" s="30" t="str">
        <f>IF(AND(CtpyRating[[#This Row],[FI_RATING]]&lt;&gt;"",_xlfn.XLOOKUP(CtpyRating[[#This Row],[CPTY_NAME]],S:S,U:U,"",0)=""),"Yes","No")</f>
        <v>No</v>
      </c>
      <c r="O22" s="30"/>
      <c r="Q22">
        <v>8</v>
      </c>
      <c r="R22">
        <v>2026</v>
      </c>
      <c r="S22" t="s">
        <v>50</v>
      </c>
      <c r="T22" t="s">
        <v>270</v>
      </c>
      <c r="U22" t="s">
        <v>52</v>
      </c>
      <c r="V22" s="34">
        <v>46164</v>
      </c>
      <c r="W22"/>
      <c r="X22"/>
    </row>
    <row r="23" spans="1:24" x14ac:dyDescent="0.3">
      <c r="A23" t="s">
        <v>158</v>
      </c>
      <c r="B23" t="s">
        <v>359</v>
      </c>
      <c r="C23" t="s">
        <v>134</v>
      </c>
      <c r="E23" s="27"/>
      <c r="G23" s="27"/>
      <c r="H23" t="s">
        <v>135</v>
      </c>
      <c r="I23" s="27">
        <v>45985</v>
      </c>
      <c r="L23" s="30" t="str">
        <f>IF(OR(CtpyRating[[#This Row],[FI_RATING]]="",_xlfn.XLOOKUP(CtpyRating[[#This Row],[CPTY_NAME]],S:S,U:U,"",0)=CtpyRating[[#This Row],[FI_RATING]],CtpyRating[[#This Row],[New Rating]]="Yes"),"No","Yes")</f>
        <v>No</v>
      </c>
      <c r="M2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3" s="30" t="str">
        <f>IF(AND(CtpyRating[[#This Row],[FI_RATING]]&lt;&gt;"",_xlfn.XLOOKUP(CtpyRating[[#This Row],[CPTY_NAME]],S:S,U:U,"",0)=""),"Yes","No")</f>
        <v>No</v>
      </c>
      <c r="O23" s="30"/>
      <c r="Q23">
        <v>8</v>
      </c>
      <c r="R23">
        <v>2026</v>
      </c>
      <c r="S23" t="s">
        <v>53</v>
      </c>
      <c r="T23" t="s">
        <v>271</v>
      </c>
      <c r="U23" t="s">
        <v>18</v>
      </c>
      <c r="V23" s="34">
        <v>46128</v>
      </c>
      <c r="W23"/>
      <c r="X23"/>
    </row>
    <row r="24" spans="1:24" x14ac:dyDescent="0.3">
      <c r="A24" t="s">
        <v>201</v>
      </c>
      <c r="B24" t="s">
        <v>395</v>
      </c>
      <c r="C24" t="s">
        <v>134</v>
      </c>
      <c r="E24" s="27"/>
      <c r="G24" s="27"/>
      <c r="I24" s="27"/>
      <c r="J24" t="s">
        <v>149</v>
      </c>
      <c r="K24">
        <v>45820</v>
      </c>
      <c r="L24" s="30" t="str">
        <f>IF(OR(CtpyRating[[#This Row],[FI_RATING]]="",_xlfn.XLOOKUP(CtpyRating[[#This Row],[CPTY_NAME]],S:S,U:U,"",0)=CtpyRating[[#This Row],[FI_RATING]],CtpyRating[[#This Row],[New Rating]]="Yes"),"No","Yes")</f>
        <v>No</v>
      </c>
      <c r="M2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4" s="30" t="str">
        <f>IF(AND(CtpyRating[[#This Row],[FI_RATING]]&lt;&gt;"",_xlfn.XLOOKUP(CtpyRating[[#This Row],[CPTY_NAME]],S:S,U:U,"",0)=""),"Yes","No")</f>
        <v>No</v>
      </c>
      <c r="O24" s="30"/>
      <c r="Q24">
        <v>8</v>
      </c>
      <c r="R24">
        <v>2026</v>
      </c>
      <c r="S24" t="s">
        <v>54</v>
      </c>
      <c r="T24" t="s">
        <v>272</v>
      </c>
      <c r="U24" t="s">
        <v>52</v>
      </c>
      <c r="V24" s="34">
        <v>46199</v>
      </c>
      <c r="W24"/>
      <c r="X24"/>
    </row>
    <row r="25" spans="1:24" x14ac:dyDescent="0.3">
      <c r="A25" t="s">
        <v>178</v>
      </c>
      <c r="B25" t="s">
        <v>373</v>
      </c>
      <c r="C25" t="s">
        <v>134</v>
      </c>
      <c r="D25" t="s">
        <v>24</v>
      </c>
      <c r="E25" s="27"/>
      <c r="G25" s="27"/>
      <c r="H25" t="s">
        <v>163</v>
      </c>
      <c r="I25" s="27"/>
      <c r="J25" t="s">
        <v>149</v>
      </c>
      <c r="L25" s="30" t="str">
        <f>IF(OR(CtpyRating[[#This Row],[FI_RATING]]="",_xlfn.XLOOKUP(CtpyRating[[#This Row],[CPTY_NAME]],S:S,U:U,"",0)=CtpyRating[[#This Row],[FI_RATING]],CtpyRating[[#This Row],[New Rating]]="Yes"),"No","Yes")</f>
        <v>No</v>
      </c>
      <c r="M2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5" s="30" t="str">
        <f>IF(AND(CtpyRating[[#This Row],[FI_RATING]]&lt;&gt;"",_xlfn.XLOOKUP(CtpyRating[[#This Row],[CPTY_NAME]],S:S,U:U,"",0)=""),"Yes","No")</f>
        <v>No</v>
      </c>
      <c r="O25" s="30"/>
      <c r="Q25">
        <v>8</v>
      </c>
      <c r="R25">
        <v>2026</v>
      </c>
      <c r="S25" t="s">
        <v>55</v>
      </c>
      <c r="T25" t="s">
        <v>273</v>
      </c>
      <c r="U25" t="s">
        <v>52</v>
      </c>
      <c r="V25" s="34">
        <v>46142</v>
      </c>
      <c r="W25"/>
      <c r="X25"/>
    </row>
    <row r="26" spans="1:24" x14ac:dyDescent="0.3">
      <c r="A26" t="s">
        <v>574</v>
      </c>
      <c r="B26" t="s">
        <v>579</v>
      </c>
      <c r="C26" t="s">
        <v>575</v>
      </c>
      <c r="D26" t="s">
        <v>24</v>
      </c>
      <c r="E26" s="27"/>
      <c r="F26" t="s">
        <v>40</v>
      </c>
      <c r="G26" s="27">
        <v>46132</v>
      </c>
      <c r="H26" t="s">
        <v>42</v>
      </c>
      <c r="I26" s="27">
        <v>45849</v>
      </c>
      <c r="J26" t="s">
        <v>62</v>
      </c>
      <c r="K26">
        <v>45744</v>
      </c>
      <c r="L26" s="30" t="s">
        <v>641</v>
      </c>
      <c r="M2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6" s="30" t="s">
        <v>641</v>
      </c>
      <c r="O26" s="30"/>
      <c r="Q26">
        <v>8</v>
      </c>
      <c r="R26">
        <v>2026</v>
      </c>
      <c r="S26" t="s">
        <v>56</v>
      </c>
      <c r="T26" t="s">
        <v>274</v>
      </c>
      <c r="U26" t="s">
        <v>20</v>
      </c>
      <c r="V26" s="34">
        <v>46196</v>
      </c>
      <c r="W26"/>
      <c r="X26"/>
    </row>
    <row r="27" spans="1:24" x14ac:dyDescent="0.3">
      <c r="A27" t="s">
        <v>190</v>
      </c>
      <c r="B27" t="s">
        <v>384</v>
      </c>
      <c r="C27" t="s">
        <v>134</v>
      </c>
      <c r="D27" t="s">
        <v>31</v>
      </c>
      <c r="E27" s="27">
        <v>45875</v>
      </c>
      <c r="G27" s="27"/>
      <c r="I27" s="27"/>
      <c r="L27" s="30" t="str">
        <f>IF(OR(CtpyRating[[#This Row],[FI_RATING]]="",_xlfn.XLOOKUP(CtpyRating[[#This Row],[CPTY_NAME]],S:S,U:U,"",0)=CtpyRating[[#This Row],[FI_RATING]],CtpyRating[[#This Row],[New Rating]]="Yes"),"No","Yes")</f>
        <v>No</v>
      </c>
      <c r="M2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7" s="30" t="str">
        <f>IF(AND(CtpyRating[[#This Row],[FI_RATING]]&lt;&gt;"",_xlfn.XLOOKUP(CtpyRating[[#This Row],[CPTY_NAME]],S:S,U:U,"",0)=""),"Yes","No")</f>
        <v>No</v>
      </c>
      <c r="O27" s="30"/>
      <c r="Q27">
        <v>8</v>
      </c>
      <c r="R27">
        <v>2026</v>
      </c>
      <c r="S27" t="s">
        <v>57</v>
      </c>
      <c r="T27" t="s">
        <v>275</v>
      </c>
      <c r="U27" t="s">
        <v>20</v>
      </c>
      <c r="V27" s="34"/>
      <c r="W27"/>
      <c r="X27"/>
    </row>
    <row r="28" spans="1:24" x14ac:dyDescent="0.3">
      <c r="A28" t="s">
        <v>203</v>
      </c>
      <c r="B28" t="s">
        <v>397</v>
      </c>
      <c r="C28" t="s">
        <v>134</v>
      </c>
      <c r="E28" s="27"/>
      <c r="F28" t="s">
        <v>33</v>
      </c>
      <c r="G28" s="27">
        <v>45952</v>
      </c>
      <c r="H28" t="s">
        <v>140</v>
      </c>
      <c r="I28" s="27">
        <v>45953</v>
      </c>
      <c r="L28" s="30" t="str">
        <f>IF(OR(CtpyRating[[#This Row],[FI_RATING]]="",_xlfn.XLOOKUP(CtpyRating[[#This Row],[CPTY_NAME]],S:S,U:U,"",0)=CtpyRating[[#This Row],[FI_RATING]],CtpyRating[[#This Row],[New Rating]]="Yes"),"No","Yes")</f>
        <v>No</v>
      </c>
      <c r="M2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8" s="30" t="str">
        <f>IF(AND(CtpyRating[[#This Row],[FI_RATING]]&lt;&gt;"",_xlfn.XLOOKUP(CtpyRating[[#This Row],[CPTY_NAME]],S:S,U:U,"",0)=""),"Yes","No")</f>
        <v>No</v>
      </c>
      <c r="O28" s="30"/>
      <c r="Q28">
        <v>8</v>
      </c>
      <c r="R28">
        <v>2026</v>
      </c>
      <c r="S28" t="s">
        <v>58</v>
      </c>
      <c r="T28" t="s">
        <v>276</v>
      </c>
      <c r="U28" t="s">
        <v>20</v>
      </c>
      <c r="V28" s="34">
        <v>45859</v>
      </c>
      <c r="W28"/>
      <c r="X28"/>
    </row>
    <row r="29" spans="1:24" x14ac:dyDescent="0.3">
      <c r="A29" t="s">
        <v>129</v>
      </c>
      <c r="B29" t="s">
        <v>339</v>
      </c>
      <c r="C29" t="s">
        <v>17</v>
      </c>
      <c r="D29" t="s">
        <v>52</v>
      </c>
      <c r="E29" s="27">
        <v>46197</v>
      </c>
      <c r="G29" s="27"/>
      <c r="I29" s="27"/>
      <c r="L29" s="30" t="str">
        <f>IF(OR(CtpyRating[[#This Row],[FI_RATING]]="",_xlfn.XLOOKUP(CtpyRating[[#This Row],[CPTY_NAME]],S:S,U:U,"",0)=CtpyRating[[#This Row],[FI_RATING]],CtpyRating[[#This Row],[New Rating]]="Yes"),"No","Yes")</f>
        <v>No</v>
      </c>
      <c r="M2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9" s="30" t="str">
        <f>IF(AND(CtpyRating[[#This Row],[FI_RATING]]&lt;&gt;"",_xlfn.XLOOKUP(CtpyRating[[#This Row],[CPTY_NAME]],S:S,U:U,"",0)=""),"Yes","No")</f>
        <v>No</v>
      </c>
      <c r="O29" s="30"/>
      <c r="Q29">
        <v>8</v>
      </c>
      <c r="R29">
        <v>2026</v>
      </c>
      <c r="S29" t="s">
        <v>59</v>
      </c>
      <c r="T29" t="s">
        <v>277</v>
      </c>
      <c r="U29" t="s">
        <v>20</v>
      </c>
      <c r="V29" s="34">
        <v>46136</v>
      </c>
      <c r="W29"/>
      <c r="X29"/>
    </row>
    <row r="30" spans="1:24" x14ac:dyDescent="0.3">
      <c r="A30" t="s">
        <v>244</v>
      </c>
      <c r="C30" t="s">
        <v>17</v>
      </c>
      <c r="D30" t="s">
        <v>31</v>
      </c>
      <c r="E30" s="27"/>
      <c r="G30" s="27"/>
      <c r="I30" s="27"/>
      <c r="L30" s="30" t="str">
        <f>IF(OR(CtpyRating[[#This Row],[FI_RATING]]="",_xlfn.XLOOKUP(CtpyRating[[#This Row],[CPTY_NAME]],S:S,U:U,"",0)=CtpyRating[[#This Row],[FI_RATING]],CtpyRating[[#This Row],[New Rating]]="Yes"),"No","Yes")</f>
        <v>No</v>
      </c>
      <c r="M3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0" s="30" t="str">
        <f>IF(AND(CtpyRating[[#This Row],[FI_RATING]]&lt;&gt;"",_xlfn.XLOOKUP(CtpyRating[[#This Row],[CPTY_NAME]],S:S,U:U,"",0)=""),"Yes","No")</f>
        <v>No</v>
      </c>
      <c r="O30" s="30"/>
      <c r="Q30">
        <v>8</v>
      </c>
      <c r="R30">
        <v>2026</v>
      </c>
      <c r="S30" t="s">
        <v>60</v>
      </c>
      <c r="T30" t="s">
        <v>278</v>
      </c>
      <c r="U30" t="s">
        <v>20</v>
      </c>
      <c r="V30" s="34">
        <v>46211</v>
      </c>
      <c r="W30"/>
      <c r="X30"/>
    </row>
    <row r="31" spans="1:24" x14ac:dyDescent="0.3">
      <c r="A31" t="s">
        <v>131</v>
      </c>
      <c r="B31" t="s">
        <v>341</v>
      </c>
      <c r="C31" t="s">
        <v>17</v>
      </c>
      <c r="D31" t="s">
        <v>24</v>
      </c>
      <c r="E31" s="27">
        <v>45912</v>
      </c>
      <c r="G31" s="27"/>
      <c r="I31" s="27"/>
      <c r="L31" s="30" t="str">
        <f>IF(OR(CtpyRating[[#This Row],[FI_RATING]]="",_xlfn.XLOOKUP(CtpyRating[[#This Row],[CPTY_NAME]],S:S,U:U,"",0)=CtpyRating[[#This Row],[FI_RATING]],CtpyRating[[#This Row],[New Rating]]="Yes"),"No","Yes")</f>
        <v>No</v>
      </c>
      <c r="M3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1" s="30" t="str">
        <f>IF(AND(CtpyRating[[#This Row],[FI_RATING]]&lt;&gt;"",_xlfn.XLOOKUP(CtpyRating[[#This Row],[CPTY_NAME]],S:S,U:U,"",0)=""),"Yes","No")</f>
        <v>No</v>
      </c>
      <c r="O31" s="30"/>
      <c r="Q31">
        <v>8</v>
      </c>
      <c r="R31">
        <v>2026</v>
      </c>
      <c r="S31" t="s">
        <v>61</v>
      </c>
      <c r="T31" t="s">
        <v>279</v>
      </c>
      <c r="U31" t="s">
        <v>18</v>
      </c>
      <c r="V31" s="34">
        <v>46190</v>
      </c>
      <c r="W31"/>
      <c r="X31"/>
    </row>
    <row r="32" spans="1:24" x14ac:dyDescent="0.3">
      <c r="A32" t="s">
        <v>127</v>
      </c>
      <c r="B32" t="s">
        <v>337</v>
      </c>
      <c r="C32" t="s">
        <v>17</v>
      </c>
      <c r="D32" t="s">
        <v>33</v>
      </c>
      <c r="E32" s="27">
        <v>46197</v>
      </c>
      <c r="F32" t="s">
        <v>21</v>
      </c>
      <c r="G32" s="27">
        <v>45974</v>
      </c>
      <c r="I32" s="27"/>
      <c r="L32" s="30" t="str">
        <f>IF(OR(CtpyRating[[#This Row],[FI_RATING]]="",_xlfn.XLOOKUP(CtpyRating[[#This Row],[CPTY_NAME]],S:S,U:U,"",0)=CtpyRating[[#This Row],[FI_RATING]],CtpyRating[[#This Row],[New Rating]]="Yes"),"No","Yes")</f>
        <v>No</v>
      </c>
      <c r="M3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2" s="30" t="str">
        <f>IF(AND(CtpyRating[[#This Row],[FI_RATING]]&lt;&gt;"",_xlfn.XLOOKUP(CtpyRating[[#This Row],[CPTY_NAME]],S:S,U:U,"",0)=""),"Yes","No")</f>
        <v>No</v>
      </c>
      <c r="O32" s="30"/>
      <c r="Q32">
        <v>8</v>
      </c>
      <c r="R32">
        <v>2026</v>
      </c>
      <c r="S32" t="s">
        <v>560</v>
      </c>
      <c r="T32" t="s">
        <v>280</v>
      </c>
      <c r="U32" t="s">
        <v>33</v>
      </c>
      <c r="V32" s="34"/>
      <c r="W32"/>
      <c r="X32"/>
    </row>
    <row r="33" spans="1:24" x14ac:dyDescent="0.3">
      <c r="A33" t="s">
        <v>472</v>
      </c>
      <c r="C33" t="s">
        <v>17</v>
      </c>
      <c r="D33" t="s">
        <v>31</v>
      </c>
      <c r="E33" s="27"/>
      <c r="G33" s="27"/>
      <c r="I33" s="27"/>
      <c r="L33" s="30" t="str">
        <f>IF(OR(CtpyRating[[#This Row],[FI_RATING]]="",_xlfn.XLOOKUP(CtpyRating[[#This Row],[CPTY_NAME]],S:S,U:U,"",0)=CtpyRating[[#This Row],[FI_RATING]],CtpyRating[[#This Row],[New Rating]]="Yes"),"No","Yes")</f>
        <v>No</v>
      </c>
      <c r="M3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3" s="30" t="str">
        <f>IF(AND(CtpyRating[[#This Row],[FI_RATING]]&lt;&gt;"",_xlfn.XLOOKUP(CtpyRating[[#This Row],[CPTY_NAME]],S:S,U:U,"",0)=""),"Yes","No")</f>
        <v>No</v>
      </c>
      <c r="O33" s="30"/>
      <c r="Q33">
        <v>8</v>
      </c>
      <c r="R33">
        <v>2026</v>
      </c>
      <c r="S33" t="s">
        <v>64</v>
      </c>
      <c r="T33" t="s">
        <v>281</v>
      </c>
      <c r="U33" t="s">
        <v>52</v>
      </c>
      <c r="V33" s="34">
        <v>46203</v>
      </c>
      <c r="W33"/>
      <c r="X33"/>
    </row>
    <row r="34" spans="1:24" x14ac:dyDescent="0.3">
      <c r="A34" t="s">
        <v>130</v>
      </c>
      <c r="B34" t="s">
        <v>340</v>
      </c>
      <c r="C34" t="s">
        <v>17</v>
      </c>
      <c r="D34" t="s">
        <v>52</v>
      </c>
      <c r="E34" s="27">
        <v>46119</v>
      </c>
      <c r="G34" s="27"/>
      <c r="I34" s="27"/>
      <c r="L34" s="30" t="str">
        <f>IF(OR(CtpyRating[[#This Row],[FI_RATING]]="",_xlfn.XLOOKUP(CtpyRating[[#This Row],[CPTY_NAME]],S:S,U:U,"",0)=CtpyRating[[#This Row],[FI_RATING]],CtpyRating[[#This Row],[New Rating]]="Yes"),"No","Yes")</f>
        <v>No</v>
      </c>
      <c r="M3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4" s="30" t="str">
        <f>IF(AND(CtpyRating[[#This Row],[FI_RATING]]&lt;&gt;"",_xlfn.XLOOKUP(CtpyRating[[#This Row],[CPTY_NAME]],S:S,U:U,"",0)=""),"Yes","No")</f>
        <v>No</v>
      </c>
      <c r="O34" s="30"/>
      <c r="Q34">
        <v>8</v>
      </c>
      <c r="R34">
        <v>2026</v>
      </c>
      <c r="S34" t="s">
        <v>66</v>
      </c>
      <c r="T34" t="s">
        <v>282</v>
      </c>
      <c r="U34" t="s">
        <v>24</v>
      </c>
      <c r="V34" s="34"/>
      <c r="W34"/>
      <c r="X34"/>
    </row>
    <row r="35" spans="1:24" x14ac:dyDescent="0.3">
      <c r="A35" t="s">
        <v>47</v>
      </c>
      <c r="B35" t="s">
        <v>267</v>
      </c>
      <c r="C35" t="s">
        <v>17</v>
      </c>
      <c r="D35" t="s">
        <v>18</v>
      </c>
      <c r="E35" s="27">
        <v>46237</v>
      </c>
      <c r="G35" s="27"/>
      <c r="I35" s="27"/>
      <c r="L35" s="30" t="str">
        <f>IF(OR(CtpyRating[[#This Row],[FI_RATING]]="",_xlfn.XLOOKUP(CtpyRating[[#This Row],[CPTY_NAME]],S:S,U:U,"",0)=CtpyRating[[#This Row],[FI_RATING]],CtpyRating[[#This Row],[New Rating]]="Yes"),"No","Yes")</f>
        <v>No</v>
      </c>
      <c r="M35" s="30" t="str">
        <f>IF(OR(CtpyRating[[#This Row],[FI_RATING_DATE]]="",CtpyRating[[#This Row],[FI_RATING_DATE]]=_xlfn.XLOOKUP(CtpyRating[[#This Row],[CPTY_NAME]],S:S,V:V,"",0),CtpyRating[[#This Row],[New Rating]]="Yes"),"No","Yes")</f>
        <v>Yes</v>
      </c>
      <c r="N35" s="30" t="str">
        <f>IF(AND(CtpyRating[[#This Row],[FI_RATING]]&lt;&gt;"",_xlfn.XLOOKUP(CtpyRating[[#This Row],[CPTY_NAME]],S:S,U:U,"",0)=""),"Yes","No")</f>
        <v>No</v>
      </c>
      <c r="O35" s="30"/>
      <c r="Q35">
        <v>8</v>
      </c>
      <c r="R35">
        <v>2026</v>
      </c>
      <c r="S35" t="s">
        <v>67</v>
      </c>
      <c r="T35" t="s">
        <v>283</v>
      </c>
      <c r="U35" t="s">
        <v>52</v>
      </c>
      <c r="V35" s="34">
        <v>46022</v>
      </c>
      <c r="W35"/>
      <c r="X35"/>
    </row>
    <row r="36" spans="1:24" x14ac:dyDescent="0.3">
      <c r="A36" t="s">
        <v>125</v>
      </c>
      <c r="B36" t="s">
        <v>336</v>
      </c>
      <c r="C36" t="s">
        <v>17</v>
      </c>
      <c r="D36" t="s">
        <v>126</v>
      </c>
      <c r="E36" s="27"/>
      <c r="G36" s="27"/>
      <c r="I36" s="27"/>
      <c r="L36" s="30" t="str">
        <f>IF(OR(CtpyRating[[#This Row],[FI_RATING]]="",_xlfn.XLOOKUP(CtpyRating[[#This Row],[CPTY_NAME]],S:S,U:U,"",0)=CtpyRating[[#This Row],[FI_RATING]],CtpyRating[[#This Row],[New Rating]]="Yes"),"No","Yes")</f>
        <v>No</v>
      </c>
      <c r="M3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6" s="30" t="str">
        <f>IF(AND(CtpyRating[[#This Row],[FI_RATING]]&lt;&gt;"",_xlfn.XLOOKUP(CtpyRating[[#This Row],[CPTY_NAME]],S:S,U:U,"",0)=""),"Yes","No")</f>
        <v>No</v>
      </c>
      <c r="O36" s="30"/>
      <c r="Q36">
        <v>8</v>
      </c>
      <c r="R36">
        <v>2026</v>
      </c>
      <c r="S36" t="s">
        <v>68</v>
      </c>
      <c r="T36" t="s">
        <v>284</v>
      </c>
      <c r="U36" t="s">
        <v>24</v>
      </c>
      <c r="V36" s="34">
        <v>46172</v>
      </c>
      <c r="W36"/>
      <c r="X36"/>
    </row>
    <row r="37" spans="1:24" x14ac:dyDescent="0.3">
      <c r="A37" t="s">
        <v>132</v>
      </c>
      <c r="B37" t="s">
        <v>342</v>
      </c>
      <c r="C37" t="s">
        <v>17</v>
      </c>
      <c r="D37" t="s">
        <v>20</v>
      </c>
      <c r="E37" s="27">
        <v>46227</v>
      </c>
      <c r="G37" s="27"/>
      <c r="I37" s="27"/>
      <c r="L37" s="30" t="str">
        <f>IF(OR(CtpyRating[[#This Row],[FI_RATING]]="",_xlfn.XLOOKUP(CtpyRating[[#This Row],[CPTY_NAME]],S:S,U:U,"",0)=CtpyRating[[#This Row],[FI_RATING]],CtpyRating[[#This Row],[New Rating]]="Yes"),"No","Yes")</f>
        <v>No</v>
      </c>
      <c r="M3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7" s="30" t="str">
        <f>IF(AND(CtpyRating[[#This Row],[FI_RATING]]&lt;&gt;"",_xlfn.XLOOKUP(CtpyRating[[#This Row],[CPTY_NAME]],S:S,U:U,"",0)=""),"Yes","No")</f>
        <v>No</v>
      </c>
      <c r="O37" s="30"/>
      <c r="Q37">
        <v>8</v>
      </c>
      <c r="R37">
        <v>2026</v>
      </c>
      <c r="S37" t="s">
        <v>69</v>
      </c>
      <c r="T37" t="s">
        <v>285</v>
      </c>
      <c r="U37" t="s">
        <v>33</v>
      </c>
      <c r="V37" s="34">
        <v>46140</v>
      </c>
      <c r="W37"/>
      <c r="X37"/>
    </row>
    <row r="38" spans="1:24" x14ac:dyDescent="0.3">
      <c r="A38" t="s">
        <v>48</v>
      </c>
      <c r="B38" t="s">
        <v>268</v>
      </c>
      <c r="C38" t="s">
        <v>17</v>
      </c>
      <c r="D38" t="s">
        <v>18</v>
      </c>
      <c r="E38" s="27">
        <v>46169</v>
      </c>
      <c r="G38" s="27"/>
      <c r="I38" s="27"/>
      <c r="L38" s="30" t="str">
        <f>IF(OR(CtpyRating[[#This Row],[FI_RATING]]="",_xlfn.XLOOKUP(CtpyRating[[#This Row],[CPTY_NAME]],S:S,U:U,"",0)=CtpyRating[[#This Row],[FI_RATING]],CtpyRating[[#This Row],[New Rating]]="Yes"),"No","Yes")</f>
        <v>No</v>
      </c>
      <c r="M3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8" s="30" t="str">
        <f>IF(AND(CtpyRating[[#This Row],[FI_RATING]]&lt;&gt;"",_xlfn.XLOOKUP(CtpyRating[[#This Row],[CPTY_NAME]],S:S,U:U,"",0)=""),"Yes","No")</f>
        <v>No</v>
      </c>
      <c r="O38" s="30"/>
      <c r="Q38">
        <v>8</v>
      </c>
      <c r="R38">
        <v>2026</v>
      </c>
      <c r="S38" t="s">
        <v>70</v>
      </c>
      <c r="T38" t="s">
        <v>286</v>
      </c>
      <c r="U38" t="s">
        <v>20</v>
      </c>
      <c r="V38" s="34">
        <v>45917</v>
      </c>
      <c r="W38"/>
      <c r="X38"/>
    </row>
    <row r="39" spans="1:24" x14ac:dyDescent="0.3">
      <c r="A39" t="s">
        <v>128</v>
      </c>
      <c r="B39" t="s">
        <v>338</v>
      </c>
      <c r="C39" t="s">
        <v>17</v>
      </c>
      <c r="D39" t="s">
        <v>33</v>
      </c>
      <c r="E39" s="27">
        <v>46196</v>
      </c>
      <c r="F39" t="s">
        <v>21</v>
      </c>
      <c r="G39" s="27">
        <v>45974</v>
      </c>
      <c r="I39" s="27"/>
      <c r="L39" s="30" t="str">
        <f>IF(OR(CtpyRating[[#This Row],[FI_RATING]]="",_xlfn.XLOOKUP(CtpyRating[[#This Row],[CPTY_NAME]],S:S,U:U,"",0)=CtpyRating[[#This Row],[FI_RATING]],CtpyRating[[#This Row],[New Rating]]="Yes"),"No","Yes")</f>
        <v>No</v>
      </c>
      <c r="M3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39" s="30" t="str">
        <f>IF(AND(CtpyRating[[#This Row],[FI_RATING]]&lt;&gt;"",_xlfn.XLOOKUP(CtpyRating[[#This Row],[CPTY_NAME]],S:S,U:U,"",0)=""),"Yes","No")</f>
        <v>No</v>
      </c>
      <c r="O39" s="30"/>
      <c r="Q39">
        <v>8</v>
      </c>
      <c r="R39">
        <v>2026</v>
      </c>
      <c r="S39" t="s">
        <v>72</v>
      </c>
      <c r="T39" t="s">
        <v>287</v>
      </c>
      <c r="U39" t="s">
        <v>73</v>
      </c>
      <c r="V39" s="34"/>
      <c r="W39"/>
      <c r="X39"/>
    </row>
    <row r="40" spans="1:24" x14ac:dyDescent="0.3">
      <c r="A40" t="s">
        <v>49</v>
      </c>
      <c r="B40" t="s">
        <v>269</v>
      </c>
      <c r="C40" t="s">
        <v>17</v>
      </c>
      <c r="D40" t="s">
        <v>40</v>
      </c>
      <c r="E40" s="27">
        <v>46183</v>
      </c>
      <c r="G40" s="27"/>
      <c r="I40" s="27"/>
      <c r="L40" s="30" t="str">
        <f>IF(OR(CtpyRating[[#This Row],[FI_RATING]]="",_xlfn.XLOOKUP(CtpyRating[[#This Row],[CPTY_NAME]],S:S,U:U,"",0)=CtpyRating[[#This Row],[FI_RATING]],CtpyRating[[#This Row],[New Rating]]="Yes"),"No","Yes")</f>
        <v>No</v>
      </c>
      <c r="M4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0" s="30" t="str">
        <f>IF(AND(CtpyRating[[#This Row],[FI_RATING]]&lt;&gt;"",_xlfn.XLOOKUP(CtpyRating[[#This Row],[CPTY_NAME]],S:S,U:U,"",0)=""),"Yes","No")</f>
        <v>No</v>
      </c>
      <c r="O40" s="30"/>
      <c r="Q40">
        <v>8</v>
      </c>
      <c r="R40">
        <v>2026</v>
      </c>
      <c r="S40" t="s">
        <v>74</v>
      </c>
      <c r="T40" t="s">
        <v>288</v>
      </c>
      <c r="U40" t="s">
        <v>24</v>
      </c>
      <c r="V40" s="34">
        <v>45936</v>
      </c>
      <c r="W40"/>
      <c r="X40"/>
    </row>
    <row r="41" spans="1:24" x14ac:dyDescent="0.3">
      <c r="A41" t="s">
        <v>172</v>
      </c>
      <c r="B41" t="s">
        <v>370</v>
      </c>
      <c r="C41" t="s">
        <v>134</v>
      </c>
      <c r="D41" t="s">
        <v>31</v>
      </c>
      <c r="E41" s="27"/>
      <c r="G41" s="27"/>
      <c r="I41" s="27"/>
      <c r="L41" s="30" t="str">
        <f>IF(OR(CtpyRating[[#This Row],[FI_RATING]]="",_xlfn.XLOOKUP(CtpyRating[[#This Row],[CPTY_NAME]],S:S,U:U,"",0)=CtpyRating[[#This Row],[FI_RATING]],CtpyRating[[#This Row],[New Rating]]="Yes"),"No","Yes")</f>
        <v>No</v>
      </c>
      <c r="M4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1" s="30" t="str">
        <f>IF(AND(CtpyRating[[#This Row],[FI_RATING]]&lt;&gt;"",_xlfn.XLOOKUP(CtpyRating[[#This Row],[CPTY_NAME]],S:S,U:U,"",0)=""),"Yes","No")</f>
        <v>No</v>
      </c>
      <c r="O41" s="30"/>
      <c r="Q41">
        <v>8</v>
      </c>
      <c r="R41">
        <v>2026</v>
      </c>
      <c r="S41" t="s">
        <v>242</v>
      </c>
      <c r="T41"/>
      <c r="U41" t="s">
        <v>24</v>
      </c>
      <c r="V41" s="34"/>
      <c r="W41"/>
      <c r="X41"/>
    </row>
    <row r="42" spans="1:24" x14ac:dyDescent="0.3">
      <c r="A42" t="s">
        <v>61</v>
      </c>
      <c r="B42" t="s">
        <v>279</v>
      </c>
      <c r="C42" t="s">
        <v>17</v>
      </c>
      <c r="D42" t="s">
        <v>18</v>
      </c>
      <c r="E42" s="27">
        <v>46190</v>
      </c>
      <c r="G42" s="27"/>
      <c r="I42" s="27"/>
      <c r="J42" t="s">
        <v>62</v>
      </c>
      <c r="K42">
        <v>46128</v>
      </c>
      <c r="L42" s="30" t="str">
        <f>IF(OR(CtpyRating[[#This Row],[FI_RATING]]="",_xlfn.XLOOKUP(CtpyRating[[#This Row],[CPTY_NAME]],S:S,U:U,"",0)=CtpyRating[[#This Row],[FI_RATING]],CtpyRating[[#This Row],[New Rating]]="Yes"),"No","Yes")</f>
        <v>No</v>
      </c>
      <c r="M4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2" s="30" t="str">
        <f>IF(AND(CtpyRating[[#This Row],[FI_RATING]]&lt;&gt;"",_xlfn.XLOOKUP(CtpyRating[[#This Row],[CPTY_NAME]],S:S,U:U,"",0)=""),"Yes","No")</f>
        <v>No</v>
      </c>
      <c r="O42" s="30"/>
      <c r="Q42">
        <v>8</v>
      </c>
      <c r="R42">
        <v>2026</v>
      </c>
      <c r="S42" t="s">
        <v>76</v>
      </c>
      <c r="T42" t="s">
        <v>290</v>
      </c>
      <c r="U42" t="s">
        <v>29</v>
      </c>
      <c r="V42" s="34"/>
      <c r="W42"/>
      <c r="X42"/>
    </row>
    <row r="43" spans="1:24" x14ac:dyDescent="0.3">
      <c r="A43" t="s">
        <v>53</v>
      </c>
      <c r="B43" t="s">
        <v>271</v>
      </c>
      <c r="C43" t="s">
        <v>17</v>
      </c>
      <c r="D43" t="s">
        <v>18</v>
      </c>
      <c r="E43" s="27">
        <v>46128</v>
      </c>
      <c r="G43" s="27"/>
      <c r="I43" s="27"/>
      <c r="L43" s="30" t="str">
        <f>IF(OR(CtpyRating[[#This Row],[FI_RATING]]="",_xlfn.XLOOKUP(CtpyRating[[#This Row],[CPTY_NAME]],S:S,U:U,"",0)=CtpyRating[[#This Row],[FI_RATING]],CtpyRating[[#This Row],[New Rating]]="Yes"),"No","Yes")</f>
        <v>No</v>
      </c>
      <c r="M4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3" s="30" t="str">
        <f>IF(AND(CtpyRating[[#This Row],[FI_RATING]]&lt;&gt;"",_xlfn.XLOOKUP(CtpyRating[[#This Row],[CPTY_NAME]],S:S,U:U,"",0)=""),"Yes","No")</f>
        <v>No</v>
      </c>
      <c r="O43" s="30"/>
      <c r="Q43">
        <v>8</v>
      </c>
      <c r="R43">
        <v>2026</v>
      </c>
      <c r="S43" t="s">
        <v>77</v>
      </c>
      <c r="T43" t="s">
        <v>291</v>
      </c>
      <c r="U43" t="s">
        <v>31</v>
      </c>
      <c r="V43" s="34"/>
      <c r="W43"/>
      <c r="X43"/>
    </row>
    <row r="44" spans="1:24" x14ac:dyDescent="0.3">
      <c r="A44" t="s">
        <v>55</v>
      </c>
      <c r="B44" t="s">
        <v>273</v>
      </c>
      <c r="C44" t="s">
        <v>17</v>
      </c>
      <c r="D44" t="s">
        <v>52</v>
      </c>
      <c r="E44" s="27">
        <v>46142</v>
      </c>
      <c r="G44" s="27"/>
      <c r="H44" t="s">
        <v>27</v>
      </c>
      <c r="I44" s="27">
        <v>45768</v>
      </c>
      <c r="L44" s="30" t="str">
        <f>IF(OR(CtpyRating[[#This Row],[FI_RATING]]="",_xlfn.XLOOKUP(CtpyRating[[#This Row],[CPTY_NAME]],S:S,U:U,"",0)=CtpyRating[[#This Row],[FI_RATING]],CtpyRating[[#This Row],[New Rating]]="Yes"),"No","Yes")</f>
        <v>No</v>
      </c>
      <c r="M4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4" s="30" t="str">
        <f>IF(AND(CtpyRating[[#This Row],[FI_RATING]]&lt;&gt;"",_xlfn.XLOOKUP(CtpyRating[[#This Row],[CPTY_NAME]],S:S,U:U,"",0)=""),"Yes","No")</f>
        <v>No</v>
      </c>
      <c r="O44" s="30"/>
      <c r="Q44">
        <v>8</v>
      </c>
      <c r="R44">
        <v>2026</v>
      </c>
      <c r="S44" t="s">
        <v>78</v>
      </c>
      <c r="T44" t="s">
        <v>292</v>
      </c>
      <c r="U44" t="s">
        <v>20</v>
      </c>
      <c r="V44" s="34">
        <v>45981</v>
      </c>
      <c r="W44"/>
      <c r="X44"/>
    </row>
    <row r="45" spans="1:24" x14ac:dyDescent="0.3">
      <c r="A45" t="s">
        <v>39</v>
      </c>
      <c r="B45" t="s">
        <v>261</v>
      </c>
      <c r="C45" t="s">
        <v>17</v>
      </c>
      <c r="D45" t="s">
        <v>18</v>
      </c>
      <c r="E45" s="27">
        <v>45792</v>
      </c>
      <c r="F45" t="s">
        <v>62</v>
      </c>
      <c r="G45" s="27">
        <v>45896</v>
      </c>
      <c r="H45" t="s">
        <v>38</v>
      </c>
      <c r="I45" s="27">
        <v>45329</v>
      </c>
      <c r="L45" s="30" t="str">
        <f>IF(OR(CtpyRating[[#This Row],[FI_RATING]]="",_xlfn.XLOOKUP(CtpyRating[[#This Row],[CPTY_NAME]],S:S,U:U,"",0)=CtpyRating[[#This Row],[FI_RATING]],CtpyRating[[#This Row],[New Rating]]="Yes"),"No","Yes")</f>
        <v>No</v>
      </c>
      <c r="M4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5" s="30" t="str">
        <f>IF(AND(CtpyRating[[#This Row],[FI_RATING]]&lt;&gt;"",_xlfn.XLOOKUP(CtpyRating[[#This Row],[CPTY_NAME]],S:S,U:U,"",0)=""),"Yes","No")</f>
        <v>No</v>
      </c>
      <c r="O45" s="30"/>
      <c r="Q45">
        <v>8</v>
      </c>
      <c r="R45">
        <v>2026</v>
      </c>
      <c r="S45" t="s">
        <v>79</v>
      </c>
      <c r="T45" t="s">
        <v>293</v>
      </c>
      <c r="U45" t="s">
        <v>73</v>
      </c>
      <c r="V45" s="34"/>
      <c r="W45"/>
      <c r="X45"/>
    </row>
    <row r="46" spans="1:24" x14ac:dyDescent="0.3">
      <c r="A46" t="s">
        <v>36</v>
      </c>
      <c r="B46" t="s">
        <v>259</v>
      </c>
      <c r="C46" t="s">
        <v>17</v>
      </c>
      <c r="D46" t="s">
        <v>33</v>
      </c>
      <c r="E46" s="27"/>
      <c r="G46" s="27"/>
      <c r="H46" t="s">
        <v>25</v>
      </c>
      <c r="I46" s="27">
        <v>45923</v>
      </c>
      <c r="L46" s="30" t="str">
        <f>IF(OR(CtpyRating[[#This Row],[FI_RATING]]="",_xlfn.XLOOKUP(CtpyRating[[#This Row],[CPTY_NAME]],S:S,U:U,"",0)=CtpyRating[[#This Row],[FI_RATING]],CtpyRating[[#This Row],[New Rating]]="Yes"),"No","Yes")</f>
        <v>No</v>
      </c>
      <c r="M4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6" s="30" t="str">
        <f>IF(AND(CtpyRating[[#This Row],[FI_RATING]]&lt;&gt;"",_xlfn.XLOOKUP(CtpyRating[[#This Row],[CPTY_NAME]],S:S,U:U,"",0)=""),"Yes","No")</f>
        <v>No</v>
      </c>
      <c r="O46" s="30"/>
      <c r="Q46">
        <v>8</v>
      </c>
      <c r="R46">
        <v>2026</v>
      </c>
      <c r="S46" t="s">
        <v>80</v>
      </c>
      <c r="T46" t="s">
        <v>294</v>
      </c>
      <c r="U46" t="s">
        <v>31</v>
      </c>
      <c r="V46" s="34"/>
      <c r="W46"/>
      <c r="X46"/>
    </row>
    <row r="47" spans="1:24" x14ac:dyDescent="0.3">
      <c r="A47" t="s">
        <v>187</v>
      </c>
      <c r="B47" t="s">
        <v>381</v>
      </c>
      <c r="C47" t="s">
        <v>17</v>
      </c>
      <c r="D47" t="s">
        <v>40</v>
      </c>
      <c r="E47" s="27">
        <v>45835</v>
      </c>
      <c r="G47" s="27"/>
      <c r="I47" s="27"/>
      <c r="L47" s="30" t="str">
        <f>IF(OR(CtpyRating[[#This Row],[FI_RATING]]="",_xlfn.XLOOKUP(CtpyRating[[#This Row],[CPTY_NAME]],S:S,U:U,"",0)=CtpyRating[[#This Row],[FI_RATING]],CtpyRating[[#This Row],[New Rating]]="Yes"),"No","Yes")</f>
        <v>No</v>
      </c>
      <c r="M4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7" s="30" t="str">
        <f>IF(AND(CtpyRating[[#This Row],[FI_RATING]]&lt;&gt;"",_xlfn.XLOOKUP(CtpyRating[[#This Row],[CPTY_NAME]],S:S,U:U,"",0)=""),"Yes","No")</f>
        <v>No</v>
      </c>
      <c r="O47" s="30"/>
      <c r="Q47">
        <v>8</v>
      </c>
      <c r="R47">
        <v>2026</v>
      </c>
      <c r="S47" t="s">
        <v>81</v>
      </c>
      <c r="T47" t="s">
        <v>295</v>
      </c>
      <c r="U47" t="s">
        <v>31</v>
      </c>
      <c r="V47" s="34"/>
      <c r="W47"/>
      <c r="X47"/>
    </row>
    <row r="48" spans="1:24" x14ac:dyDescent="0.3">
      <c r="A48" t="s">
        <v>560</v>
      </c>
      <c r="B48" t="s">
        <v>280</v>
      </c>
      <c r="C48" t="s">
        <v>17</v>
      </c>
      <c r="D48" t="s">
        <v>33</v>
      </c>
      <c r="E48" s="27">
        <v>46253</v>
      </c>
      <c r="F48" t="s">
        <v>65</v>
      </c>
      <c r="G48" s="27">
        <v>46140</v>
      </c>
      <c r="H48" t="s">
        <v>25</v>
      </c>
      <c r="I48" s="27">
        <v>45979</v>
      </c>
      <c r="L48" s="30" t="str">
        <f>IF(OR(CtpyRating[[#This Row],[FI_RATING]]="",_xlfn.XLOOKUP(CtpyRating[[#This Row],[CPTY_NAME]],S:S,U:U,"",0)=CtpyRating[[#This Row],[FI_RATING]],CtpyRating[[#This Row],[New Rating]]="Yes"),"No","Yes")</f>
        <v>No</v>
      </c>
      <c r="M48" s="30" t="str">
        <f>IF(OR(CtpyRating[[#This Row],[FI_RATING_DATE]]="",CtpyRating[[#This Row],[FI_RATING_DATE]]=_xlfn.XLOOKUP(CtpyRating[[#This Row],[CPTY_NAME]],S:S,V:V,"",0),CtpyRating[[#This Row],[New Rating]]="Yes"),"No","Yes")</f>
        <v>Yes</v>
      </c>
      <c r="N48" s="30" t="str">
        <f>IF(AND(CtpyRating[[#This Row],[FI_RATING]]&lt;&gt;"",_xlfn.XLOOKUP(CtpyRating[[#This Row],[CPTY_NAME]],S:S,U:U,"",0)=""),"Yes","No")</f>
        <v>No</v>
      </c>
      <c r="O48" s="30"/>
      <c r="Q48">
        <v>8</v>
      </c>
      <c r="R48">
        <v>2026</v>
      </c>
      <c r="S48" t="s">
        <v>82</v>
      </c>
      <c r="T48" t="s">
        <v>296</v>
      </c>
      <c r="U48" t="s">
        <v>31</v>
      </c>
      <c r="V48" s="34"/>
      <c r="W48"/>
      <c r="X48"/>
    </row>
    <row r="49" spans="1:24" x14ac:dyDescent="0.3">
      <c r="A49" t="s">
        <v>23</v>
      </c>
      <c r="B49" t="s">
        <v>252</v>
      </c>
      <c r="C49" t="s">
        <v>17</v>
      </c>
      <c r="D49" t="s">
        <v>33</v>
      </c>
      <c r="E49" s="27">
        <v>46211</v>
      </c>
      <c r="F49" t="s">
        <v>65</v>
      </c>
      <c r="G49" s="27">
        <v>45967</v>
      </c>
      <c r="H49" t="s">
        <v>25</v>
      </c>
      <c r="I49" s="27">
        <v>46133</v>
      </c>
      <c r="L49" s="30" t="str">
        <f>IF(OR(CtpyRating[[#This Row],[FI_RATING]]="",_xlfn.XLOOKUP(CtpyRating[[#This Row],[CPTY_NAME]],S:S,U:U,"",0)=CtpyRating[[#This Row],[FI_RATING]],CtpyRating[[#This Row],[New Rating]]="Yes"),"No","Yes")</f>
        <v>No</v>
      </c>
      <c r="M4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49" s="30" t="str">
        <f>IF(AND(CtpyRating[[#This Row],[FI_RATING]]&lt;&gt;"",_xlfn.XLOOKUP(CtpyRating[[#This Row],[CPTY_NAME]],S:S,U:U,"",0)=""),"Yes","No")</f>
        <v>No</v>
      </c>
      <c r="O49" s="30"/>
      <c r="Q49">
        <v>8</v>
      </c>
      <c r="R49">
        <v>2026</v>
      </c>
      <c r="S49" t="s">
        <v>83</v>
      </c>
      <c r="T49" t="s">
        <v>297</v>
      </c>
      <c r="U49" t="s">
        <v>31</v>
      </c>
      <c r="V49" s="34"/>
      <c r="W49"/>
      <c r="X49"/>
    </row>
    <row r="50" spans="1:24" x14ac:dyDescent="0.3">
      <c r="A50" t="s">
        <v>43</v>
      </c>
      <c r="B50" t="s">
        <v>263</v>
      </c>
      <c r="C50" t="s">
        <v>17</v>
      </c>
      <c r="D50" t="s">
        <v>171</v>
      </c>
      <c r="E50" s="27">
        <v>46157</v>
      </c>
      <c r="G50" s="27"/>
      <c r="I50" s="27"/>
      <c r="L50" s="30" t="str">
        <f>IF(OR(CtpyRating[[#This Row],[FI_RATING]]="",_xlfn.XLOOKUP(CtpyRating[[#This Row],[CPTY_NAME]],S:S,U:U,"",0)=CtpyRating[[#This Row],[FI_RATING]],CtpyRating[[#This Row],[New Rating]]="Yes"),"No","Yes")</f>
        <v>No</v>
      </c>
      <c r="M5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0" s="30" t="str">
        <f>IF(AND(CtpyRating[[#This Row],[FI_RATING]]&lt;&gt;"",_xlfn.XLOOKUP(CtpyRating[[#This Row],[CPTY_NAME]],S:S,U:U,"",0)=""),"Yes","No")</f>
        <v>No</v>
      </c>
      <c r="O50" s="30"/>
      <c r="Q50">
        <v>8</v>
      </c>
      <c r="R50">
        <v>2026</v>
      </c>
      <c r="S50" t="s">
        <v>84</v>
      </c>
      <c r="T50" t="s">
        <v>298</v>
      </c>
      <c r="U50" t="s">
        <v>31</v>
      </c>
      <c r="V50" s="34"/>
      <c r="W50"/>
      <c r="X50"/>
    </row>
    <row r="51" spans="1:24" x14ac:dyDescent="0.3">
      <c r="A51" t="s">
        <v>28</v>
      </c>
      <c r="B51" t="s">
        <v>254</v>
      </c>
      <c r="C51" t="s">
        <v>17</v>
      </c>
      <c r="D51" t="s">
        <v>29</v>
      </c>
      <c r="E51" s="27">
        <v>44781</v>
      </c>
      <c r="G51" s="27"/>
      <c r="I51" s="27"/>
      <c r="L51" s="30" t="str">
        <f>IF(OR(CtpyRating[[#This Row],[FI_RATING]]="",_xlfn.XLOOKUP(CtpyRating[[#This Row],[CPTY_NAME]],S:S,U:U,"",0)=CtpyRating[[#This Row],[FI_RATING]],CtpyRating[[#This Row],[New Rating]]="Yes"),"No","Yes")</f>
        <v>No</v>
      </c>
      <c r="M5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1" s="30" t="str">
        <f>IF(AND(CtpyRating[[#This Row],[FI_RATING]]&lt;&gt;"",_xlfn.XLOOKUP(CtpyRating[[#This Row],[CPTY_NAME]],S:S,U:U,"",0)=""),"Yes","No")</f>
        <v>No</v>
      </c>
      <c r="O51" s="30"/>
      <c r="Q51">
        <v>8</v>
      </c>
      <c r="R51">
        <v>2026</v>
      </c>
      <c r="S51" t="s">
        <v>85</v>
      </c>
      <c r="T51" t="s">
        <v>299</v>
      </c>
      <c r="U51" t="s">
        <v>31</v>
      </c>
      <c r="V51" s="34"/>
      <c r="W51"/>
      <c r="X51"/>
    </row>
    <row r="52" spans="1:24" x14ac:dyDescent="0.3">
      <c r="A52" t="s">
        <v>66</v>
      </c>
      <c r="B52" t="s">
        <v>282</v>
      </c>
      <c r="C52" t="s">
        <v>17</v>
      </c>
      <c r="D52" t="s">
        <v>24</v>
      </c>
      <c r="E52" s="27"/>
      <c r="G52" s="27"/>
      <c r="H52" t="s">
        <v>27</v>
      </c>
      <c r="I52" s="27"/>
      <c r="L52" s="30" t="str">
        <f>IF(OR(CtpyRating[[#This Row],[FI_RATING]]="",_xlfn.XLOOKUP(CtpyRating[[#This Row],[CPTY_NAME]],S:S,U:U,"",0)=CtpyRating[[#This Row],[FI_RATING]],CtpyRating[[#This Row],[New Rating]]="Yes"),"No","Yes")</f>
        <v>No</v>
      </c>
      <c r="M5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2" s="30" t="str">
        <f>IF(AND(CtpyRating[[#This Row],[FI_RATING]]&lt;&gt;"",_xlfn.XLOOKUP(CtpyRating[[#This Row],[CPTY_NAME]],S:S,U:U,"",0)=""),"Yes","No")</f>
        <v>No</v>
      </c>
      <c r="O52" s="30"/>
      <c r="Q52">
        <v>8</v>
      </c>
      <c r="R52">
        <v>2026</v>
      </c>
      <c r="S52" t="s">
        <v>86</v>
      </c>
      <c r="T52" t="s">
        <v>300</v>
      </c>
      <c r="U52" t="s">
        <v>31</v>
      </c>
      <c r="V52" s="34"/>
      <c r="W52"/>
      <c r="X52"/>
    </row>
    <row r="53" spans="1:24" x14ac:dyDescent="0.3">
      <c r="A53" t="s">
        <v>30</v>
      </c>
      <c r="B53" t="s">
        <v>255</v>
      </c>
      <c r="C53" t="s">
        <v>17</v>
      </c>
      <c r="D53" t="s">
        <v>31</v>
      </c>
      <c r="E53" s="27">
        <v>45730</v>
      </c>
      <c r="G53" s="27"/>
      <c r="I53" s="27"/>
      <c r="L53" s="30" t="str">
        <f>IF(OR(CtpyRating[[#This Row],[FI_RATING]]="",_xlfn.XLOOKUP(CtpyRating[[#This Row],[CPTY_NAME]],S:S,U:U,"",0)=CtpyRating[[#This Row],[FI_RATING]],CtpyRating[[#This Row],[New Rating]]="Yes"),"No","Yes")</f>
        <v>No</v>
      </c>
      <c r="M5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3" s="30" t="str">
        <f>IF(AND(CtpyRating[[#This Row],[FI_RATING]]&lt;&gt;"",_xlfn.XLOOKUP(CtpyRating[[#This Row],[CPTY_NAME]],S:S,U:U,"",0)=""),"Yes","No")</f>
        <v>No</v>
      </c>
      <c r="O53" s="30"/>
      <c r="Q53">
        <v>8</v>
      </c>
      <c r="R53">
        <v>2026</v>
      </c>
      <c r="S53" t="s">
        <v>87</v>
      </c>
      <c r="T53" t="s">
        <v>301</v>
      </c>
      <c r="U53" t="s">
        <v>20</v>
      </c>
      <c r="V53" s="34"/>
      <c r="W53"/>
      <c r="X53"/>
    </row>
    <row r="54" spans="1:24" x14ac:dyDescent="0.3">
      <c r="A54" t="s">
        <v>59</v>
      </c>
      <c r="B54" t="s">
        <v>277</v>
      </c>
      <c r="C54" t="s">
        <v>17</v>
      </c>
      <c r="D54" t="s">
        <v>20</v>
      </c>
      <c r="E54" s="27">
        <v>46136</v>
      </c>
      <c r="F54" t="s">
        <v>18</v>
      </c>
      <c r="G54" s="27">
        <v>45967</v>
      </c>
      <c r="H54" t="s">
        <v>22</v>
      </c>
      <c r="I54" s="27">
        <v>46147</v>
      </c>
      <c r="L54" s="30" t="str">
        <f>IF(OR(CtpyRating[[#This Row],[FI_RATING]]="",_xlfn.XLOOKUP(CtpyRating[[#This Row],[CPTY_NAME]],S:S,U:U,"",0)=CtpyRating[[#This Row],[FI_RATING]],CtpyRating[[#This Row],[New Rating]]="Yes"),"No","Yes")</f>
        <v>No</v>
      </c>
      <c r="M5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4" s="30" t="str">
        <f>IF(AND(CtpyRating[[#This Row],[FI_RATING]]&lt;&gt;"",_xlfn.XLOOKUP(CtpyRating[[#This Row],[CPTY_NAME]],S:S,U:U,"",0)=""),"Yes","No")</f>
        <v>No</v>
      </c>
      <c r="O54" s="30"/>
      <c r="Q54">
        <v>8</v>
      </c>
      <c r="R54">
        <v>2026</v>
      </c>
      <c r="S54" t="s">
        <v>88</v>
      </c>
      <c r="T54" t="s">
        <v>302</v>
      </c>
      <c r="U54" t="s">
        <v>31</v>
      </c>
      <c r="V54" s="34"/>
      <c r="W54"/>
      <c r="X54"/>
    </row>
    <row r="55" spans="1:24" x14ac:dyDescent="0.3">
      <c r="A55" t="s">
        <v>26</v>
      </c>
      <c r="B55" t="s">
        <v>253</v>
      </c>
      <c r="C55" t="s">
        <v>17</v>
      </c>
      <c r="D55" t="s">
        <v>24</v>
      </c>
      <c r="E55" s="27">
        <v>46206</v>
      </c>
      <c r="G55" s="27"/>
      <c r="H55" t="s">
        <v>27</v>
      </c>
      <c r="I55" s="27">
        <v>45540</v>
      </c>
      <c r="L55" s="30" t="str">
        <f>IF(OR(CtpyRating[[#This Row],[FI_RATING]]="",_xlfn.XLOOKUP(CtpyRating[[#This Row],[CPTY_NAME]],S:S,U:U,"",0)=CtpyRating[[#This Row],[FI_RATING]],CtpyRating[[#This Row],[New Rating]]="Yes"),"No","Yes")</f>
        <v>No</v>
      </c>
      <c r="M5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5" s="30" t="str">
        <f>IF(AND(CtpyRating[[#This Row],[FI_RATING]]&lt;&gt;"",_xlfn.XLOOKUP(CtpyRating[[#This Row],[CPTY_NAME]],S:S,U:U,"",0)=""),"Yes","No")</f>
        <v>No</v>
      </c>
      <c r="O55" s="30"/>
      <c r="Q55">
        <v>8</v>
      </c>
      <c r="R55">
        <v>2026</v>
      </c>
      <c r="S55" t="s">
        <v>89</v>
      </c>
      <c r="T55" t="s">
        <v>303</v>
      </c>
      <c r="U55" t="s">
        <v>31</v>
      </c>
      <c r="V55" s="34"/>
      <c r="W55"/>
      <c r="X55"/>
    </row>
    <row r="56" spans="1:24" x14ac:dyDescent="0.3">
      <c r="A56" t="s">
        <v>67</v>
      </c>
      <c r="B56" t="s">
        <v>283</v>
      </c>
      <c r="C56" t="s">
        <v>17</v>
      </c>
      <c r="D56" t="s">
        <v>52</v>
      </c>
      <c r="E56" s="27">
        <v>46022</v>
      </c>
      <c r="G56" s="27"/>
      <c r="H56" t="s">
        <v>25</v>
      </c>
      <c r="I56" s="27">
        <v>46133</v>
      </c>
      <c r="L56" s="30" t="str">
        <f>IF(OR(CtpyRating[[#This Row],[FI_RATING]]="",_xlfn.XLOOKUP(CtpyRating[[#This Row],[CPTY_NAME]],S:S,U:U,"",0)=CtpyRating[[#This Row],[FI_RATING]],CtpyRating[[#This Row],[New Rating]]="Yes"),"No","Yes")</f>
        <v>No</v>
      </c>
      <c r="M5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6" s="30" t="str">
        <f>IF(AND(CtpyRating[[#This Row],[FI_RATING]]&lt;&gt;"",_xlfn.XLOOKUP(CtpyRating[[#This Row],[CPTY_NAME]],S:S,U:U,"",0)=""),"Yes","No")</f>
        <v>No</v>
      </c>
      <c r="O56" s="30"/>
      <c r="Q56">
        <v>8</v>
      </c>
      <c r="R56">
        <v>2026</v>
      </c>
      <c r="S56" t="s">
        <v>90</v>
      </c>
      <c r="T56" t="s">
        <v>304</v>
      </c>
      <c r="U56" t="s">
        <v>31</v>
      </c>
      <c r="V56" s="34"/>
      <c r="W56"/>
      <c r="X56"/>
    </row>
    <row r="57" spans="1:24" x14ac:dyDescent="0.3">
      <c r="A57" t="s">
        <v>56</v>
      </c>
      <c r="B57" t="s">
        <v>274</v>
      </c>
      <c r="C57" t="s">
        <v>17</v>
      </c>
      <c r="D57" t="s">
        <v>20</v>
      </c>
      <c r="E57" s="27">
        <v>46196</v>
      </c>
      <c r="F57" t="s">
        <v>21</v>
      </c>
      <c r="G57" s="27">
        <v>45964</v>
      </c>
      <c r="H57" t="s">
        <v>22</v>
      </c>
      <c r="I57" s="27">
        <v>46147</v>
      </c>
      <c r="J57" t="s">
        <v>21</v>
      </c>
      <c r="K57">
        <v>45894</v>
      </c>
      <c r="L57" s="30" t="str">
        <f>IF(OR(CtpyRating[[#This Row],[FI_RATING]]="",_xlfn.XLOOKUP(CtpyRating[[#This Row],[CPTY_NAME]],S:S,U:U,"",0)=CtpyRating[[#This Row],[FI_RATING]],CtpyRating[[#This Row],[New Rating]]="Yes"),"No","Yes")</f>
        <v>No</v>
      </c>
      <c r="M5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7" s="30" t="str">
        <f>IF(AND(CtpyRating[[#This Row],[FI_RATING]]&lt;&gt;"",_xlfn.XLOOKUP(CtpyRating[[#This Row],[CPTY_NAME]],S:S,U:U,"",0)=""),"Yes","No")</f>
        <v>No</v>
      </c>
      <c r="O57" s="30"/>
      <c r="Q57">
        <v>8</v>
      </c>
      <c r="R57">
        <v>2026</v>
      </c>
      <c r="S57" t="s">
        <v>91</v>
      </c>
      <c r="T57" t="s">
        <v>305</v>
      </c>
      <c r="U57" t="s">
        <v>31</v>
      </c>
      <c r="V57" s="34"/>
      <c r="W57"/>
      <c r="X57"/>
    </row>
    <row r="58" spans="1:24" x14ac:dyDescent="0.3">
      <c r="A58" t="s">
        <v>37</v>
      </c>
      <c r="B58" t="s">
        <v>260</v>
      </c>
      <c r="C58" t="s">
        <v>17</v>
      </c>
      <c r="D58" t="s">
        <v>33</v>
      </c>
      <c r="E58" s="27">
        <v>46141</v>
      </c>
      <c r="F58" t="s">
        <v>62</v>
      </c>
      <c r="G58" s="27">
        <v>46078</v>
      </c>
      <c r="H58" t="s">
        <v>38</v>
      </c>
      <c r="I58" s="27">
        <v>46065</v>
      </c>
      <c r="L58" s="30" t="str">
        <f>IF(OR(CtpyRating[[#This Row],[FI_RATING]]="",_xlfn.XLOOKUP(CtpyRating[[#This Row],[CPTY_NAME]],S:S,U:U,"",0)=CtpyRating[[#This Row],[FI_RATING]],CtpyRating[[#This Row],[New Rating]]="Yes"),"No","Yes")</f>
        <v>No</v>
      </c>
      <c r="M5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8" s="30" t="str">
        <f>IF(AND(CtpyRating[[#This Row],[FI_RATING]]&lt;&gt;"",_xlfn.XLOOKUP(CtpyRating[[#This Row],[CPTY_NAME]],S:S,U:U,"",0)=""),"Yes","No")</f>
        <v>No</v>
      </c>
      <c r="O58" s="30"/>
      <c r="Q58">
        <v>8</v>
      </c>
      <c r="R58">
        <v>2026</v>
      </c>
      <c r="S58" t="s">
        <v>92</v>
      </c>
      <c r="T58" t="s">
        <v>306</v>
      </c>
      <c r="U58" t="s">
        <v>31</v>
      </c>
      <c r="V58" s="34"/>
      <c r="W58"/>
      <c r="X58"/>
    </row>
    <row r="59" spans="1:24" x14ac:dyDescent="0.3">
      <c r="A59" t="s">
        <v>54</v>
      </c>
      <c r="B59" t="s">
        <v>272</v>
      </c>
      <c r="C59" t="s">
        <v>17</v>
      </c>
      <c r="D59" t="s">
        <v>52</v>
      </c>
      <c r="E59" s="27">
        <v>46199</v>
      </c>
      <c r="G59" s="27"/>
      <c r="H59" t="s">
        <v>27</v>
      </c>
      <c r="I59" s="27">
        <v>45979</v>
      </c>
      <c r="L59" s="30" t="str">
        <f>IF(OR(CtpyRating[[#This Row],[FI_RATING]]="",_xlfn.XLOOKUP(CtpyRating[[#This Row],[CPTY_NAME]],S:S,U:U,"",0)=CtpyRating[[#This Row],[FI_RATING]],CtpyRating[[#This Row],[New Rating]]="Yes"),"No","Yes")</f>
        <v>No</v>
      </c>
      <c r="M5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59" s="30" t="str">
        <f>IF(AND(CtpyRating[[#This Row],[FI_RATING]]&lt;&gt;"",_xlfn.XLOOKUP(CtpyRating[[#This Row],[CPTY_NAME]],S:S,U:U,"",0)=""),"Yes","No")</f>
        <v>No</v>
      </c>
      <c r="O59" s="30"/>
      <c r="Q59">
        <v>8</v>
      </c>
      <c r="R59">
        <v>2026</v>
      </c>
      <c r="S59" t="s">
        <v>93</v>
      </c>
      <c r="T59" t="s">
        <v>307</v>
      </c>
      <c r="U59" t="s">
        <v>73</v>
      </c>
      <c r="V59" s="34"/>
      <c r="W59"/>
      <c r="X59"/>
    </row>
    <row r="60" spans="1:24" x14ac:dyDescent="0.3">
      <c r="A60" t="s">
        <v>60</v>
      </c>
      <c r="B60" t="s">
        <v>278</v>
      </c>
      <c r="C60" t="s">
        <v>17</v>
      </c>
      <c r="D60" t="s">
        <v>20</v>
      </c>
      <c r="E60" s="27">
        <v>46211</v>
      </c>
      <c r="G60" s="27"/>
      <c r="I60" s="27"/>
      <c r="L60" s="30" t="str">
        <f>IF(OR(CtpyRating[[#This Row],[FI_RATING]]="",_xlfn.XLOOKUP(CtpyRating[[#This Row],[CPTY_NAME]],S:S,U:U,"",0)=CtpyRating[[#This Row],[FI_RATING]],CtpyRating[[#This Row],[New Rating]]="Yes"),"No","Yes")</f>
        <v>No</v>
      </c>
      <c r="M6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0" s="30" t="str">
        <f>IF(AND(CtpyRating[[#This Row],[FI_RATING]]&lt;&gt;"",_xlfn.XLOOKUP(CtpyRating[[#This Row],[CPTY_NAME]],S:S,U:U,"",0)=""),"Yes","No")</f>
        <v>No</v>
      </c>
      <c r="O60" s="30"/>
      <c r="Q60">
        <v>8</v>
      </c>
      <c r="R60">
        <v>2026</v>
      </c>
      <c r="S60" t="s">
        <v>94</v>
      </c>
      <c r="T60" t="s">
        <v>308</v>
      </c>
      <c r="U60" t="s">
        <v>31</v>
      </c>
      <c r="V60" s="34"/>
      <c r="W60"/>
      <c r="X60"/>
    </row>
    <row r="61" spans="1:24" x14ac:dyDescent="0.3">
      <c r="A61" t="s">
        <v>34</v>
      </c>
      <c r="B61" t="s">
        <v>257</v>
      </c>
      <c r="C61" t="s">
        <v>17</v>
      </c>
      <c r="D61" t="s">
        <v>24</v>
      </c>
      <c r="E61" s="27">
        <v>45929</v>
      </c>
      <c r="G61" s="27"/>
      <c r="I61" s="27"/>
      <c r="L61" s="30" t="str">
        <f>IF(OR(CtpyRating[[#This Row],[FI_RATING]]="",_xlfn.XLOOKUP(CtpyRating[[#This Row],[CPTY_NAME]],S:S,U:U,"",0)=CtpyRating[[#This Row],[FI_RATING]],CtpyRating[[#This Row],[New Rating]]="Yes"),"No","Yes")</f>
        <v>No</v>
      </c>
      <c r="M6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1" s="30" t="str">
        <f>IF(AND(CtpyRating[[#This Row],[FI_RATING]]&lt;&gt;"",_xlfn.XLOOKUP(CtpyRating[[#This Row],[CPTY_NAME]],S:S,U:U,"",0)=""),"Yes","No")</f>
        <v>No</v>
      </c>
      <c r="O61" s="30"/>
      <c r="Q61">
        <v>8</v>
      </c>
      <c r="R61">
        <v>2026</v>
      </c>
      <c r="S61" t="s">
        <v>95</v>
      </c>
      <c r="T61" t="s">
        <v>309</v>
      </c>
      <c r="U61" t="s">
        <v>31</v>
      </c>
      <c r="V61" s="34"/>
      <c r="W61"/>
      <c r="X61"/>
    </row>
    <row r="62" spans="1:24" x14ac:dyDescent="0.3">
      <c r="A62" t="s">
        <v>32</v>
      </c>
      <c r="B62" t="s">
        <v>256</v>
      </c>
      <c r="C62" t="s">
        <v>17</v>
      </c>
      <c r="D62" t="s">
        <v>33</v>
      </c>
      <c r="E62" s="27">
        <v>45919</v>
      </c>
      <c r="G62" s="27"/>
      <c r="H62" t="s">
        <v>27</v>
      </c>
      <c r="I62" s="27">
        <v>45932</v>
      </c>
      <c r="L62" s="30" t="str">
        <f>IF(OR(CtpyRating[[#This Row],[FI_RATING]]="",_xlfn.XLOOKUP(CtpyRating[[#This Row],[CPTY_NAME]],S:S,U:U,"",0)=CtpyRating[[#This Row],[FI_RATING]],CtpyRating[[#This Row],[New Rating]]="Yes"),"No","Yes")</f>
        <v>No</v>
      </c>
      <c r="M6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2" s="30" t="str">
        <f>IF(AND(CtpyRating[[#This Row],[FI_RATING]]&lt;&gt;"",_xlfn.XLOOKUP(CtpyRating[[#This Row],[CPTY_NAME]],S:S,U:U,"",0)=""),"Yes","No")</f>
        <v>No</v>
      </c>
      <c r="O62" s="30"/>
      <c r="Q62">
        <v>8</v>
      </c>
      <c r="R62">
        <v>2026</v>
      </c>
      <c r="S62" t="s">
        <v>96</v>
      </c>
      <c r="T62" t="s">
        <v>310</v>
      </c>
      <c r="U62" t="s">
        <v>31</v>
      </c>
      <c r="V62" s="34"/>
      <c r="W62"/>
      <c r="X62"/>
    </row>
    <row r="63" spans="1:24" x14ac:dyDescent="0.3">
      <c r="A63" t="s">
        <v>57</v>
      </c>
      <c r="B63" t="s">
        <v>275</v>
      </c>
      <c r="C63" t="s">
        <v>17</v>
      </c>
      <c r="D63" t="s">
        <v>20</v>
      </c>
      <c r="E63" s="27"/>
      <c r="G63" s="27"/>
      <c r="H63" t="s">
        <v>22</v>
      </c>
      <c r="I63" s="27">
        <v>46147</v>
      </c>
      <c r="L63" s="30" t="str">
        <f>IF(OR(CtpyRating[[#This Row],[FI_RATING]]="",_xlfn.XLOOKUP(CtpyRating[[#This Row],[CPTY_NAME]],S:S,U:U,"",0)=CtpyRating[[#This Row],[FI_RATING]],CtpyRating[[#This Row],[New Rating]]="Yes"),"No","Yes")</f>
        <v>No</v>
      </c>
      <c r="M6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3" s="30" t="str">
        <f>IF(AND(CtpyRating[[#This Row],[FI_RATING]]&lt;&gt;"",_xlfn.XLOOKUP(CtpyRating[[#This Row],[CPTY_NAME]],S:S,U:U,"",0)=""),"Yes","No")</f>
        <v>No</v>
      </c>
      <c r="O63" s="30"/>
      <c r="Q63">
        <v>8</v>
      </c>
      <c r="R63">
        <v>2026</v>
      </c>
      <c r="S63" t="s">
        <v>97</v>
      </c>
      <c r="T63" t="s">
        <v>311</v>
      </c>
      <c r="U63" t="s">
        <v>20</v>
      </c>
      <c r="V63" s="34"/>
      <c r="W63"/>
      <c r="X63"/>
    </row>
    <row r="64" spans="1:24" x14ac:dyDescent="0.3">
      <c r="A64" t="s">
        <v>35</v>
      </c>
      <c r="B64" t="s">
        <v>258</v>
      </c>
      <c r="C64" t="s">
        <v>17</v>
      </c>
      <c r="D64" t="s">
        <v>40</v>
      </c>
      <c r="E64" s="27">
        <v>46218</v>
      </c>
      <c r="G64" s="27"/>
      <c r="I64" s="27"/>
      <c r="L64" s="30" t="str">
        <f>IF(OR(CtpyRating[[#This Row],[FI_RATING]]="",_xlfn.XLOOKUP(CtpyRating[[#This Row],[CPTY_NAME]],S:S,U:U,"",0)=CtpyRating[[#This Row],[FI_RATING]],CtpyRating[[#This Row],[New Rating]]="Yes"),"No","Yes")</f>
        <v>No</v>
      </c>
      <c r="M6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4" s="30" t="str">
        <f>IF(AND(CtpyRating[[#This Row],[FI_RATING]]&lt;&gt;"",_xlfn.XLOOKUP(CtpyRating[[#This Row],[CPTY_NAME]],S:S,U:U,"",0)=""),"Yes","No")</f>
        <v>No</v>
      </c>
      <c r="O64" s="30"/>
      <c r="Q64">
        <v>8</v>
      </c>
      <c r="R64">
        <v>2026</v>
      </c>
      <c r="S64" t="s">
        <v>99</v>
      </c>
      <c r="T64" t="s">
        <v>312</v>
      </c>
      <c r="U64" t="s">
        <v>33</v>
      </c>
      <c r="V64" s="34">
        <v>45930</v>
      </c>
      <c r="W64"/>
      <c r="X64"/>
    </row>
    <row r="65" spans="1:24" x14ac:dyDescent="0.3">
      <c r="A65" t="s">
        <v>58</v>
      </c>
      <c r="B65" t="s">
        <v>276</v>
      </c>
      <c r="C65" t="s">
        <v>17</v>
      </c>
      <c r="D65" t="s">
        <v>20</v>
      </c>
      <c r="E65" s="27">
        <v>45859</v>
      </c>
      <c r="F65" t="s">
        <v>21</v>
      </c>
      <c r="G65" s="27">
        <v>45964</v>
      </c>
      <c r="H65" t="s">
        <v>22</v>
      </c>
      <c r="I65" s="27">
        <v>46044</v>
      </c>
      <c r="L65" s="30" t="str">
        <f>IF(OR(CtpyRating[[#This Row],[FI_RATING]]="",_xlfn.XLOOKUP(CtpyRating[[#This Row],[CPTY_NAME]],S:S,U:U,"",0)=CtpyRating[[#This Row],[FI_RATING]],CtpyRating[[#This Row],[New Rating]]="Yes"),"No","Yes")</f>
        <v>No</v>
      </c>
      <c r="M6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5" s="30" t="str">
        <f>IF(AND(CtpyRating[[#This Row],[FI_RATING]]&lt;&gt;"",_xlfn.XLOOKUP(CtpyRating[[#This Row],[CPTY_NAME]],S:S,U:U,"",0)=""),"Yes","No")</f>
        <v>No</v>
      </c>
      <c r="O65" s="30"/>
      <c r="Q65">
        <v>8</v>
      </c>
      <c r="R65">
        <v>2026</v>
      </c>
      <c r="S65" t="s">
        <v>101</v>
      </c>
      <c r="T65" t="s">
        <v>313</v>
      </c>
      <c r="U65" t="s">
        <v>20</v>
      </c>
      <c r="V65" s="34">
        <v>46174</v>
      </c>
      <c r="W65"/>
      <c r="X65"/>
    </row>
    <row r="66" spans="1:24" x14ac:dyDescent="0.3">
      <c r="A66" t="s">
        <v>45</v>
      </c>
      <c r="B66" t="s">
        <v>265</v>
      </c>
      <c r="C66" t="s">
        <v>17</v>
      </c>
      <c r="D66" t="s">
        <v>29</v>
      </c>
      <c r="E66" s="27">
        <v>46189</v>
      </c>
      <c r="G66" s="27"/>
      <c r="I66" s="27"/>
      <c r="L66" s="30" t="str">
        <f>IF(OR(CtpyRating[[#This Row],[FI_RATING]]="",_xlfn.XLOOKUP(CtpyRating[[#This Row],[CPTY_NAME]],S:S,U:U,"",0)=CtpyRating[[#This Row],[FI_RATING]],CtpyRating[[#This Row],[New Rating]]="Yes"),"No","Yes")</f>
        <v>No</v>
      </c>
      <c r="M6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6" s="30" t="str">
        <f>IF(AND(CtpyRating[[#This Row],[FI_RATING]]&lt;&gt;"",_xlfn.XLOOKUP(CtpyRating[[#This Row],[CPTY_NAME]],S:S,U:U,"",0)=""),"Yes","No")</f>
        <v>No</v>
      </c>
      <c r="O66" s="30"/>
      <c r="Q66">
        <v>8</v>
      </c>
      <c r="R66">
        <v>2026</v>
      </c>
      <c r="S66" t="s">
        <v>102</v>
      </c>
      <c r="T66" t="s">
        <v>314</v>
      </c>
      <c r="U66"/>
      <c r="V66" s="34"/>
      <c r="W66"/>
      <c r="X66"/>
    </row>
    <row r="67" spans="1:24" x14ac:dyDescent="0.3">
      <c r="A67" t="s">
        <v>41</v>
      </c>
      <c r="B67" t="s">
        <v>262</v>
      </c>
      <c r="C67" t="s">
        <v>17</v>
      </c>
      <c r="D67" t="s">
        <v>18</v>
      </c>
      <c r="E67" s="27">
        <v>46209</v>
      </c>
      <c r="F67" t="s">
        <v>62</v>
      </c>
      <c r="G67" s="27">
        <v>46198</v>
      </c>
      <c r="I67" s="27"/>
      <c r="L67" s="30" t="str">
        <f>IF(OR(CtpyRating[[#This Row],[FI_RATING]]="",_xlfn.XLOOKUP(CtpyRating[[#This Row],[CPTY_NAME]],S:S,U:U,"",0)=CtpyRating[[#This Row],[FI_RATING]],CtpyRating[[#This Row],[New Rating]]="Yes"),"No","Yes")</f>
        <v>No</v>
      </c>
      <c r="M6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7" s="30" t="str">
        <f>IF(AND(CtpyRating[[#This Row],[FI_RATING]]&lt;&gt;"",_xlfn.XLOOKUP(CtpyRating[[#This Row],[CPTY_NAME]],S:S,U:U,"",0)=""),"Yes","No")</f>
        <v>No</v>
      </c>
      <c r="O67" s="30"/>
      <c r="Q67">
        <v>8</v>
      </c>
      <c r="R67">
        <v>2026</v>
      </c>
      <c r="S67" t="s">
        <v>103</v>
      </c>
      <c r="T67" t="s">
        <v>315</v>
      </c>
      <c r="U67" t="s">
        <v>20</v>
      </c>
      <c r="V67" s="34">
        <v>46192</v>
      </c>
      <c r="W67"/>
      <c r="X67"/>
    </row>
    <row r="68" spans="1:24" x14ac:dyDescent="0.3">
      <c r="A68" t="s">
        <v>44</v>
      </c>
      <c r="B68" t="s">
        <v>264</v>
      </c>
      <c r="C68" t="s">
        <v>17</v>
      </c>
      <c r="D68" t="s">
        <v>24</v>
      </c>
      <c r="E68" s="27">
        <v>46146</v>
      </c>
      <c r="F68" t="s">
        <v>62</v>
      </c>
      <c r="G68" s="27">
        <v>45954</v>
      </c>
      <c r="I68" s="27"/>
      <c r="L68" s="30" t="str">
        <f>IF(OR(CtpyRating[[#This Row],[FI_RATING]]="",_xlfn.XLOOKUP(CtpyRating[[#This Row],[CPTY_NAME]],S:S,U:U,"",0)=CtpyRating[[#This Row],[FI_RATING]],CtpyRating[[#This Row],[New Rating]]="Yes"),"No","Yes")</f>
        <v>No</v>
      </c>
      <c r="M6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8" s="30" t="str">
        <f>IF(AND(CtpyRating[[#This Row],[FI_RATING]]&lt;&gt;"",_xlfn.XLOOKUP(CtpyRating[[#This Row],[CPTY_NAME]],S:S,U:U,"",0)=""),"Yes","No")</f>
        <v>No</v>
      </c>
      <c r="O68" s="30"/>
      <c r="Q68">
        <v>8</v>
      </c>
      <c r="R68">
        <v>2026</v>
      </c>
      <c r="S68" t="s">
        <v>104</v>
      </c>
      <c r="T68" t="s">
        <v>316</v>
      </c>
      <c r="U68" t="s">
        <v>20</v>
      </c>
      <c r="V68" s="34">
        <v>46150</v>
      </c>
      <c r="W68"/>
      <c r="X68"/>
    </row>
    <row r="69" spans="1:24" x14ac:dyDescent="0.3">
      <c r="A69" t="s">
        <v>68</v>
      </c>
      <c r="B69" t="s">
        <v>284</v>
      </c>
      <c r="C69" t="s">
        <v>17</v>
      </c>
      <c r="D69" t="s">
        <v>24</v>
      </c>
      <c r="E69" s="27">
        <v>46172</v>
      </c>
      <c r="G69" s="27"/>
      <c r="H69" t="s">
        <v>38</v>
      </c>
      <c r="I69" s="27">
        <v>46066</v>
      </c>
      <c r="L69" s="30" t="str">
        <f>IF(OR(CtpyRating[[#This Row],[FI_RATING]]="",_xlfn.XLOOKUP(CtpyRating[[#This Row],[CPTY_NAME]],S:S,U:U,"",0)=CtpyRating[[#This Row],[FI_RATING]],CtpyRating[[#This Row],[New Rating]]="Yes"),"No","Yes")</f>
        <v>No</v>
      </c>
      <c r="M6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69" s="30" t="str">
        <f>IF(AND(CtpyRating[[#This Row],[FI_RATING]]&lt;&gt;"",_xlfn.XLOOKUP(CtpyRating[[#This Row],[CPTY_NAME]],S:S,U:U,"",0)=""),"Yes","No")</f>
        <v>No</v>
      </c>
      <c r="O69" s="30"/>
      <c r="Q69">
        <v>8</v>
      </c>
      <c r="R69">
        <v>2026</v>
      </c>
      <c r="S69" t="s">
        <v>105</v>
      </c>
      <c r="T69" t="s">
        <v>317</v>
      </c>
      <c r="U69" t="s">
        <v>33</v>
      </c>
      <c r="V69" s="34">
        <v>45922</v>
      </c>
      <c r="W69"/>
      <c r="X69"/>
    </row>
    <row r="70" spans="1:24" x14ac:dyDescent="0.3">
      <c r="A70" t="s">
        <v>64</v>
      </c>
      <c r="B70" t="s">
        <v>281</v>
      </c>
      <c r="C70" t="s">
        <v>17</v>
      </c>
      <c r="D70" t="s">
        <v>52</v>
      </c>
      <c r="E70" s="27">
        <v>46203</v>
      </c>
      <c r="F70" t="s">
        <v>65</v>
      </c>
      <c r="G70" s="27">
        <v>45967</v>
      </c>
      <c r="H70" t="s">
        <v>27</v>
      </c>
      <c r="I70" s="27">
        <v>46147</v>
      </c>
      <c r="L70" s="30" t="str">
        <f>IF(OR(CtpyRating[[#This Row],[FI_RATING]]="",_xlfn.XLOOKUP(CtpyRating[[#This Row],[CPTY_NAME]],S:S,U:U,"",0)=CtpyRating[[#This Row],[FI_RATING]],CtpyRating[[#This Row],[New Rating]]="Yes"),"No","Yes")</f>
        <v>No</v>
      </c>
      <c r="M7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0" s="30" t="str">
        <f>IF(AND(CtpyRating[[#This Row],[FI_RATING]]&lt;&gt;"",_xlfn.XLOOKUP(CtpyRating[[#This Row],[CPTY_NAME]],S:S,U:U,"",0)=""),"Yes","No")</f>
        <v>No</v>
      </c>
      <c r="O70" s="30"/>
      <c r="Q70">
        <v>8</v>
      </c>
      <c r="R70">
        <v>2026</v>
      </c>
      <c r="S70" t="s">
        <v>106</v>
      </c>
      <c r="T70" t="s">
        <v>318</v>
      </c>
      <c r="U70" t="s">
        <v>20</v>
      </c>
      <c r="V70" s="34">
        <v>45460</v>
      </c>
      <c r="W70"/>
      <c r="X70"/>
    </row>
    <row r="71" spans="1:24" x14ac:dyDescent="0.3">
      <c r="A71" t="s">
        <v>209</v>
      </c>
      <c r="B71" t="s">
        <v>403</v>
      </c>
      <c r="C71" t="s">
        <v>17</v>
      </c>
      <c r="E71" s="27"/>
      <c r="G71" s="27"/>
      <c r="I71" s="27"/>
      <c r="L71" s="30" t="str">
        <f>IF(OR(CtpyRating[[#This Row],[FI_RATING]]="",_xlfn.XLOOKUP(CtpyRating[[#This Row],[CPTY_NAME]],S:S,U:U,"",0)=CtpyRating[[#This Row],[FI_RATING]],CtpyRating[[#This Row],[New Rating]]="Yes"),"No","Yes")</f>
        <v>No</v>
      </c>
      <c r="M7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1" s="30" t="str">
        <f>IF(AND(CtpyRating[[#This Row],[FI_RATING]]&lt;&gt;"",_xlfn.XLOOKUP(CtpyRating[[#This Row],[CPTY_NAME]],S:S,U:U,"",0)=""),"Yes","No")</f>
        <v>No</v>
      </c>
      <c r="O71" s="30"/>
      <c r="Q71">
        <v>8</v>
      </c>
      <c r="R71">
        <v>2026</v>
      </c>
      <c r="S71" t="s">
        <v>107</v>
      </c>
      <c r="T71" t="s">
        <v>319</v>
      </c>
      <c r="U71" t="s">
        <v>33</v>
      </c>
      <c r="V71" s="34"/>
      <c r="W71"/>
      <c r="X71"/>
    </row>
    <row r="72" spans="1:24" x14ac:dyDescent="0.3">
      <c r="A72" t="s">
        <v>16</v>
      </c>
      <c r="B72" t="s">
        <v>250</v>
      </c>
      <c r="C72" t="s">
        <v>17</v>
      </c>
      <c r="D72" t="s">
        <v>18</v>
      </c>
      <c r="E72" s="27">
        <v>45820</v>
      </c>
      <c r="G72" s="27"/>
      <c r="I72" s="27"/>
      <c r="L72" s="30" t="str">
        <f>IF(OR(CtpyRating[[#This Row],[FI_RATING]]="",_xlfn.XLOOKUP(CtpyRating[[#This Row],[CPTY_NAME]],S:S,U:U,"",0)=CtpyRating[[#This Row],[FI_RATING]],CtpyRating[[#This Row],[New Rating]]="Yes"),"No","Yes")</f>
        <v>No</v>
      </c>
      <c r="M7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2" s="30" t="str">
        <f>IF(AND(CtpyRating[[#This Row],[FI_RATING]]&lt;&gt;"",_xlfn.XLOOKUP(CtpyRating[[#This Row],[CPTY_NAME]],S:S,U:U,"",0)=""),"Yes","No")</f>
        <v>No</v>
      </c>
      <c r="O72" s="30"/>
      <c r="Q72">
        <v>8</v>
      </c>
      <c r="R72">
        <v>2026</v>
      </c>
      <c r="S72" t="s">
        <v>108</v>
      </c>
      <c r="T72" t="s">
        <v>320</v>
      </c>
      <c r="U72" t="s">
        <v>20</v>
      </c>
      <c r="V72" s="34">
        <v>45940</v>
      </c>
      <c r="W72"/>
      <c r="X72"/>
    </row>
    <row r="73" spans="1:24" x14ac:dyDescent="0.3">
      <c r="A73" t="s">
        <v>19</v>
      </c>
      <c r="B73" t="s">
        <v>251</v>
      </c>
      <c r="C73" t="s">
        <v>17</v>
      </c>
      <c r="D73" t="s">
        <v>20</v>
      </c>
      <c r="E73" s="27">
        <v>46203</v>
      </c>
      <c r="G73" s="27"/>
      <c r="H73" t="s">
        <v>22</v>
      </c>
      <c r="I73" s="27">
        <v>46147</v>
      </c>
      <c r="L73" s="30" t="str">
        <f>IF(OR(CtpyRating[[#This Row],[FI_RATING]]="",_xlfn.XLOOKUP(CtpyRating[[#This Row],[CPTY_NAME]],S:S,U:U,"",0)=CtpyRating[[#This Row],[FI_RATING]],CtpyRating[[#This Row],[New Rating]]="Yes"),"No","Yes")</f>
        <v>No</v>
      </c>
      <c r="M7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3" s="30" t="str">
        <f>IF(AND(CtpyRating[[#This Row],[FI_RATING]]&lt;&gt;"",_xlfn.XLOOKUP(CtpyRating[[#This Row],[CPTY_NAME]],S:S,U:U,"",0)=""),"Yes","No")</f>
        <v>No</v>
      </c>
      <c r="O73" s="30"/>
      <c r="Q73">
        <v>8</v>
      </c>
      <c r="R73">
        <v>2026</v>
      </c>
      <c r="S73" t="s">
        <v>109</v>
      </c>
      <c r="T73" t="s">
        <v>321</v>
      </c>
      <c r="U73" t="s">
        <v>20</v>
      </c>
      <c r="V73" s="34"/>
      <c r="W73"/>
      <c r="X73"/>
    </row>
    <row r="74" spans="1:24" x14ac:dyDescent="0.3">
      <c r="A74" t="s">
        <v>173</v>
      </c>
      <c r="B74" t="s">
        <v>371</v>
      </c>
      <c r="C74" t="s">
        <v>134</v>
      </c>
      <c r="D74" t="s">
        <v>24</v>
      </c>
      <c r="E74" s="27">
        <v>45217</v>
      </c>
      <c r="G74" s="27"/>
      <c r="I74" s="27"/>
      <c r="L74" s="30" t="str">
        <f>IF(OR(CtpyRating[[#This Row],[FI_RATING]]="",_xlfn.XLOOKUP(CtpyRating[[#This Row],[CPTY_NAME]],S:S,U:U,"",0)=CtpyRating[[#This Row],[FI_RATING]],CtpyRating[[#This Row],[New Rating]]="Yes"),"No","Yes")</f>
        <v>No</v>
      </c>
      <c r="M7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4" s="30" t="str">
        <f>IF(AND(CtpyRating[[#This Row],[FI_RATING]]&lt;&gt;"",_xlfn.XLOOKUP(CtpyRating[[#This Row],[CPTY_NAME]],S:S,U:U,"",0)=""),"Yes","No")</f>
        <v>No</v>
      </c>
      <c r="O74" s="30"/>
      <c r="Q74">
        <v>8</v>
      </c>
      <c r="R74">
        <v>2026</v>
      </c>
      <c r="S74" t="s">
        <v>110</v>
      </c>
      <c r="T74" t="s">
        <v>322</v>
      </c>
      <c r="U74"/>
      <c r="V74" s="34"/>
      <c r="W74"/>
      <c r="X74"/>
    </row>
    <row r="75" spans="1:24" x14ac:dyDescent="0.3">
      <c r="A75" t="s">
        <v>46</v>
      </c>
      <c r="B75" t="s">
        <v>266</v>
      </c>
      <c r="C75" t="s">
        <v>17</v>
      </c>
      <c r="D75" t="s">
        <v>18</v>
      </c>
      <c r="E75" s="27">
        <v>44326</v>
      </c>
      <c r="G75" s="27"/>
      <c r="I75" s="27"/>
      <c r="L75" s="30" t="str">
        <f>IF(OR(CtpyRating[[#This Row],[FI_RATING]]="",_xlfn.XLOOKUP(CtpyRating[[#This Row],[CPTY_NAME]],S:S,U:U,"",0)=CtpyRating[[#This Row],[FI_RATING]],CtpyRating[[#This Row],[New Rating]]="Yes"),"No","Yes")</f>
        <v>No</v>
      </c>
      <c r="M7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5" s="30" t="str">
        <f>IF(AND(CtpyRating[[#This Row],[FI_RATING]]&lt;&gt;"",_xlfn.XLOOKUP(CtpyRating[[#This Row],[CPTY_NAME]],S:S,U:U,"",0)=""),"Yes","No")</f>
        <v>No</v>
      </c>
      <c r="O75" s="30"/>
      <c r="Q75">
        <v>8</v>
      </c>
      <c r="R75">
        <v>2026</v>
      </c>
      <c r="S75" t="s">
        <v>111</v>
      </c>
      <c r="T75" t="s">
        <v>323</v>
      </c>
      <c r="U75"/>
      <c r="V75" s="34"/>
      <c r="W75"/>
      <c r="X75"/>
    </row>
    <row r="76" spans="1:24" x14ac:dyDescent="0.3">
      <c r="A76" t="s">
        <v>170</v>
      </c>
      <c r="B76" t="s">
        <v>369</v>
      </c>
      <c r="C76" t="s">
        <v>134</v>
      </c>
      <c r="D76" t="s">
        <v>171</v>
      </c>
      <c r="E76" s="27">
        <v>46227</v>
      </c>
      <c r="G76" s="27"/>
      <c r="I76" s="27"/>
      <c r="L76" s="30" t="str">
        <f>IF(OR(CtpyRating[[#This Row],[FI_RATING]]="",_xlfn.XLOOKUP(CtpyRating[[#This Row],[CPTY_NAME]],S:S,U:U,"",0)=CtpyRating[[#This Row],[FI_RATING]],CtpyRating[[#This Row],[New Rating]]="Yes"),"No","Yes")</f>
        <v>No</v>
      </c>
      <c r="M7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6" s="30" t="str">
        <f>IF(AND(CtpyRating[[#This Row],[FI_RATING]]&lt;&gt;"",_xlfn.XLOOKUP(CtpyRating[[#This Row],[CPTY_NAME]],S:S,U:U,"",0)=""),"Yes","No")</f>
        <v>No</v>
      </c>
      <c r="O76" s="30"/>
      <c r="Q76">
        <v>8</v>
      </c>
      <c r="R76">
        <v>2026</v>
      </c>
      <c r="S76" t="s">
        <v>112</v>
      </c>
      <c r="T76" t="s">
        <v>324</v>
      </c>
      <c r="U76" t="s">
        <v>52</v>
      </c>
      <c r="V76" s="34"/>
      <c r="W76"/>
      <c r="X76"/>
    </row>
    <row r="77" spans="1:24" x14ac:dyDescent="0.3">
      <c r="A77" t="s">
        <v>227</v>
      </c>
      <c r="B77" t="s">
        <v>419</v>
      </c>
      <c r="C77" t="s">
        <v>134</v>
      </c>
      <c r="E77" s="27"/>
      <c r="G77" s="27"/>
      <c r="H77" t="s">
        <v>142</v>
      </c>
      <c r="I77" s="27">
        <v>46199</v>
      </c>
      <c r="J77" t="s">
        <v>33</v>
      </c>
      <c r="K77">
        <v>44687</v>
      </c>
      <c r="L77" s="30" t="str">
        <f>IF(OR(CtpyRating[[#This Row],[FI_RATING]]="",_xlfn.XLOOKUP(CtpyRating[[#This Row],[CPTY_NAME]],S:S,U:U,"",0)=CtpyRating[[#This Row],[FI_RATING]],CtpyRating[[#This Row],[New Rating]]="Yes"),"No","Yes")</f>
        <v>No</v>
      </c>
      <c r="M7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7" s="30" t="str">
        <f>IF(AND(CtpyRating[[#This Row],[FI_RATING]]&lt;&gt;"",_xlfn.XLOOKUP(CtpyRating[[#This Row],[CPTY_NAME]],S:S,U:U,"",0)=""),"Yes","No")</f>
        <v>No</v>
      </c>
      <c r="O77" s="30"/>
      <c r="Q77">
        <v>8</v>
      </c>
      <c r="R77">
        <v>2026</v>
      </c>
      <c r="S77" t="s">
        <v>113</v>
      </c>
      <c r="T77" t="s">
        <v>325</v>
      </c>
      <c r="U77" t="s">
        <v>20</v>
      </c>
      <c r="V77" s="34"/>
      <c r="W77"/>
      <c r="X77"/>
    </row>
    <row r="78" spans="1:24" x14ac:dyDescent="0.3">
      <c r="A78" t="s">
        <v>238</v>
      </c>
      <c r="B78" t="s">
        <v>430</v>
      </c>
      <c r="C78" t="s">
        <v>134</v>
      </c>
      <c r="E78" s="27"/>
      <c r="F78" t="s">
        <v>33</v>
      </c>
      <c r="G78" s="27">
        <v>45945</v>
      </c>
      <c r="H78" t="s">
        <v>142</v>
      </c>
      <c r="I78" s="27">
        <v>45979</v>
      </c>
      <c r="L78" s="30" t="str">
        <f>IF(OR(CtpyRating[[#This Row],[FI_RATING]]="",_xlfn.XLOOKUP(CtpyRating[[#This Row],[CPTY_NAME]],S:S,U:U,"",0)=CtpyRating[[#This Row],[FI_RATING]],CtpyRating[[#This Row],[New Rating]]="Yes"),"No","Yes")</f>
        <v>No</v>
      </c>
      <c r="M7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8" s="30" t="str">
        <f>IF(AND(CtpyRating[[#This Row],[FI_RATING]]&lt;&gt;"",_xlfn.XLOOKUP(CtpyRating[[#This Row],[CPTY_NAME]],S:S,U:U,"",0)=""),"Yes","No")</f>
        <v>No</v>
      </c>
      <c r="O78" s="30"/>
      <c r="Q78">
        <v>8</v>
      </c>
      <c r="R78">
        <v>2026</v>
      </c>
      <c r="S78" t="s">
        <v>114</v>
      </c>
      <c r="T78" t="s">
        <v>326</v>
      </c>
      <c r="U78" t="s">
        <v>115</v>
      </c>
      <c r="V78" s="34"/>
      <c r="W78"/>
      <c r="X78"/>
    </row>
    <row r="79" spans="1:24" x14ac:dyDescent="0.3">
      <c r="A79" t="s">
        <v>179</v>
      </c>
      <c r="B79" t="s">
        <v>374</v>
      </c>
      <c r="C79" t="s">
        <v>134</v>
      </c>
      <c r="D79" t="s">
        <v>31</v>
      </c>
      <c r="E79" s="27"/>
      <c r="G79" s="27"/>
      <c r="I79" s="27"/>
      <c r="L79" s="30" t="str">
        <f>IF(OR(CtpyRating[[#This Row],[FI_RATING]]="",_xlfn.XLOOKUP(CtpyRating[[#This Row],[CPTY_NAME]],S:S,U:U,"",0)=CtpyRating[[#This Row],[FI_RATING]],CtpyRating[[#This Row],[New Rating]]="Yes"),"No","Yes")</f>
        <v>No</v>
      </c>
      <c r="M7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79" s="30" t="str">
        <f>IF(AND(CtpyRating[[#This Row],[FI_RATING]]&lt;&gt;"",_xlfn.XLOOKUP(CtpyRating[[#This Row],[CPTY_NAME]],S:S,U:U,"",0)=""),"Yes","No")</f>
        <v>No</v>
      </c>
      <c r="O79" s="30"/>
      <c r="Q79">
        <v>8</v>
      </c>
      <c r="R79">
        <v>2026</v>
      </c>
      <c r="S79" t="s">
        <v>116</v>
      </c>
      <c r="T79" t="s">
        <v>327</v>
      </c>
      <c r="U79" t="s">
        <v>20</v>
      </c>
      <c r="V79" s="34">
        <v>45903</v>
      </c>
      <c r="W79"/>
      <c r="X79"/>
    </row>
    <row r="80" spans="1:24" x14ac:dyDescent="0.3">
      <c r="A80" t="s">
        <v>155</v>
      </c>
      <c r="B80" t="s">
        <v>356</v>
      </c>
      <c r="C80" t="s">
        <v>134</v>
      </c>
      <c r="E80" s="27"/>
      <c r="G80" s="27"/>
      <c r="H80" t="s">
        <v>142</v>
      </c>
      <c r="I80" s="27">
        <v>45979</v>
      </c>
      <c r="L80" s="30" t="str">
        <f>IF(OR(CtpyRating[[#This Row],[FI_RATING]]="",_xlfn.XLOOKUP(CtpyRating[[#This Row],[CPTY_NAME]],S:S,U:U,"",0)=CtpyRating[[#This Row],[FI_RATING]],CtpyRating[[#This Row],[New Rating]]="Yes"),"No","Yes")</f>
        <v>No</v>
      </c>
      <c r="M8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0" s="30" t="str">
        <f>IF(AND(CtpyRating[[#This Row],[FI_RATING]]&lt;&gt;"",_xlfn.XLOOKUP(CtpyRating[[#This Row],[CPTY_NAME]],S:S,U:U,"",0)=""),"Yes","No")</f>
        <v>No</v>
      </c>
      <c r="O80" s="30"/>
      <c r="Q80">
        <v>8</v>
      </c>
      <c r="R80">
        <v>2026</v>
      </c>
      <c r="S80" t="s">
        <v>117</v>
      </c>
      <c r="T80" t="s">
        <v>328</v>
      </c>
      <c r="U80" t="s">
        <v>31</v>
      </c>
      <c r="V80" s="34"/>
      <c r="W80"/>
      <c r="X80"/>
    </row>
    <row r="81" spans="1:24" x14ac:dyDescent="0.3">
      <c r="A81" t="s">
        <v>210</v>
      </c>
      <c r="B81" t="s">
        <v>404</v>
      </c>
      <c r="C81" t="s">
        <v>134</v>
      </c>
      <c r="E81" s="27"/>
      <c r="F81" t="s">
        <v>33</v>
      </c>
      <c r="G81" s="27">
        <v>46163</v>
      </c>
      <c r="H81" t="s">
        <v>163</v>
      </c>
      <c r="I81" s="27">
        <v>46196</v>
      </c>
      <c r="J81" t="s">
        <v>33</v>
      </c>
      <c r="K81">
        <v>45043</v>
      </c>
      <c r="L81" s="30" t="str">
        <f>IF(OR(CtpyRating[[#This Row],[FI_RATING]]="",_xlfn.XLOOKUP(CtpyRating[[#This Row],[CPTY_NAME]],S:S,U:U,"",0)=CtpyRating[[#This Row],[FI_RATING]],CtpyRating[[#This Row],[New Rating]]="Yes"),"No","Yes")</f>
        <v>No</v>
      </c>
      <c r="M8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1" s="30" t="str">
        <f>IF(AND(CtpyRating[[#This Row],[FI_RATING]]&lt;&gt;"",_xlfn.XLOOKUP(CtpyRating[[#This Row],[CPTY_NAME]],S:S,U:U,"",0)=""),"Yes","No")</f>
        <v>No</v>
      </c>
      <c r="O81" s="30"/>
      <c r="Q81">
        <v>8</v>
      </c>
      <c r="R81">
        <v>2026</v>
      </c>
      <c r="S81" t="s">
        <v>118</v>
      </c>
      <c r="T81" t="s">
        <v>329</v>
      </c>
      <c r="U81" t="s">
        <v>31</v>
      </c>
      <c r="V81" s="34"/>
      <c r="W81"/>
      <c r="X81"/>
    </row>
    <row r="82" spans="1:24" x14ac:dyDescent="0.3">
      <c r="A82" t="s">
        <v>202</v>
      </c>
      <c r="B82" t="s">
        <v>396</v>
      </c>
      <c r="C82" t="s">
        <v>134</v>
      </c>
      <c r="E82" s="27"/>
      <c r="G82" s="27"/>
      <c r="I82" s="27"/>
      <c r="L82" s="30" t="str">
        <f>IF(OR(CtpyRating[[#This Row],[FI_RATING]]="",_xlfn.XLOOKUP(CtpyRating[[#This Row],[CPTY_NAME]],S:S,U:U,"",0)=CtpyRating[[#This Row],[FI_RATING]],CtpyRating[[#This Row],[New Rating]]="Yes"),"No","Yes")</f>
        <v>No</v>
      </c>
      <c r="M8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2" s="30" t="str">
        <f>IF(AND(CtpyRating[[#This Row],[FI_RATING]]&lt;&gt;"",_xlfn.XLOOKUP(CtpyRating[[#This Row],[CPTY_NAME]],S:S,U:U,"",0)=""),"Yes","No")</f>
        <v>No</v>
      </c>
      <c r="O82" s="30"/>
      <c r="Q82">
        <v>8</v>
      </c>
      <c r="R82">
        <v>2026</v>
      </c>
      <c r="S82" t="s">
        <v>119</v>
      </c>
      <c r="T82" t="s">
        <v>330</v>
      </c>
      <c r="U82" t="s">
        <v>52</v>
      </c>
      <c r="V82" s="34"/>
      <c r="W82"/>
      <c r="X82"/>
    </row>
    <row r="83" spans="1:24" x14ac:dyDescent="0.3">
      <c r="A83" t="s">
        <v>162</v>
      </c>
      <c r="B83" t="s">
        <v>362</v>
      </c>
      <c r="C83" t="s">
        <v>134</v>
      </c>
      <c r="E83" s="27"/>
      <c r="G83" s="27"/>
      <c r="H83" t="s">
        <v>163</v>
      </c>
      <c r="I83" s="27">
        <v>45854</v>
      </c>
      <c r="L83" s="30" t="str">
        <f>IF(OR(CtpyRating[[#This Row],[FI_RATING]]="",_xlfn.XLOOKUP(CtpyRating[[#This Row],[CPTY_NAME]],S:S,U:U,"",0)=CtpyRating[[#This Row],[FI_RATING]],CtpyRating[[#This Row],[New Rating]]="Yes"),"No","Yes")</f>
        <v>No</v>
      </c>
      <c r="M8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3" s="30" t="str">
        <f>IF(AND(CtpyRating[[#This Row],[FI_RATING]]&lt;&gt;"",_xlfn.XLOOKUP(CtpyRating[[#This Row],[CPTY_NAME]],S:S,U:U,"",0)=""),"Yes","No")</f>
        <v>No</v>
      </c>
      <c r="O83" s="30"/>
      <c r="Q83">
        <v>8</v>
      </c>
      <c r="R83">
        <v>2026</v>
      </c>
      <c r="S83" t="s">
        <v>120</v>
      </c>
      <c r="T83" t="s">
        <v>331</v>
      </c>
      <c r="U83" t="s">
        <v>31</v>
      </c>
      <c r="V83" s="34"/>
      <c r="W83"/>
      <c r="X83"/>
    </row>
    <row r="84" spans="1:24" x14ac:dyDescent="0.3">
      <c r="A84" t="s">
        <v>154</v>
      </c>
      <c r="B84" t="s">
        <v>355</v>
      </c>
      <c r="C84" t="s">
        <v>134</v>
      </c>
      <c r="E84" s="27"/>
      <c r="F84" t="s">
        <v>33</v>
      </c>
      <c r="G84" s="27">
        <v>46010</v>
      </c>
      <c r="H84" t="s">
        <v>140</v>
      </c>
      <c r="I84" s="27">
        <v>45779</v>
      </c>
      <c r="L84" s="30" t="str">
        <f>IF(OR(CtpyRating[[#This Row],[FI_RATING]]="",_xlfn.XLOOKUP(CtpyRating[[#This Row],[CPTY_NAME]],S:S,U:U,"",0)=CtpyRating[[#This Row],[FI_RATING]],CtpyRating[[#This Row],[New Rating]]="Yes"),"No","Yes")</f>
        <v>No</v>
      </c>
      <c r="M8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4" s="30" t="str">
        <f>IF(AND(CtpyRating[[#This Row],[FI_RATING]]&lt;&gt;"",_xlfn.XLOOKUP(CtpyRating[[#This Row],[CPTY_NAME]],S:S,U:U,"",0)=""),"Yes","No")</f>
        <v>No</v>
      </c>
      <c r="O84" s="30"/>
      <c r="Q84">
        <v>8</v>
      </c>
      <c r="R84">
        <v>2026</v>
      </c>
      <c r="S84" t="s">
        <v>121</v>
      </c>
      <c r="T84" t="s">
        <v>332</v>
      </c>
      <c r="U84" t="s">
        <v>65</v>
      </c>
      <c r="V84" s="34"/>
      <c r="W84"/>
      <c r="X84"/>
    </row>
    <row r="85" spans="1:24" x14ac:dyDescent="0.3">
      <c r="A85" t="s">
        <v>573</v>
      </c>
      <c r="C85" t="s">
        <v>134</v>
      </c>
      <c r="D85" t="s">
        <v>24</v>
      </c>
      <c r="E85" s="27">
        <v>46182</v>
      </c>
      <c r="G85" s="27"/>
      <c r="I85" s="27"/>
      <c r="L85" s="30" t="str">
        <f>IF(OR(CtpyRating[[#This Row],[FI_RATING]]="",_xlfn.XLOOKUP(CtpyRating[[#This Row],[CPTY_NAME]],S:S,U:U,"",0)=CtpyRating[[#This Row],[FI_RATING]],CtpyRating[[#This Row],[New Rating]]="Yes"),"No","Yes")</f>
        <v>No</v>
      </c>
      <c r="M8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5" s="30" t="str">
        <f>IF(AND(CtpyRating[[#This Row],[FI_RATING]]&lt;&gt;"",_xlfn.XLOOKUP(CtpyRating[[#This Row],[CPTY_NAME]],S:S,U:U,"",0)=""),"Yes","No")</f>
        <v>No</v>
      </c>
      <c r="O85" s="30"/>
      <c r="Q85">
        <v>8</v>
      </c>
      <c r="R85">
        <v>2026</v>
      </c>
      <c r="S85" t="s">
        <v>122</v>
      </c>
      <c r="T85" t="s">
        <v>333</v>
      </c>
      <c r="U85" t="s">
        <v>33</v>
      </c>
      <c r="V85" s="34">
        <v>44503</v>
      </c>
      <c r="W85"/>
      <c r="X85"/>
    </row>
    <row r="86" spans="1:24" x14ac:dyDescent="0.3">
      <c r="A86" t="s">
        <v>166</v>
      </c>
      <c r="B86" t="s">
        <v>365</v>
      </c>
      <c r="C86" t="s">
        <v>134</v>
      </c>
      <c r="E86" s="27"/>
      <c r="G86" s="27"/>
      <c r="H86" t="s">
        <v>140</v>
      </c>
      <c r="I86" s="27">
        <v>45855</v>
      </c>
      <c r="L86" s="30" t="str">
        <f>IF(OR(CtpyRating[[#This Row],[FI_RATING]]="",_xlfn.XLOOKUP(CtpyRating[[#This Row],[CPTY_NAME]],S:S,U:U,"",0)=CtpyRating[[#This Row],[FI_RATING]],CtpyRating[[#This Row],[New Rating]]="Yes"),"No","Yes")</f>
        <v>No</v>
      </c>
      <c r="M8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6" s="30" t="str">
        <f>IF(AND(CtpyRating[[#This Row],[FI_RATING]]&lt;&gt;"",_xlfn.XLOOKUP(CtpyRating[[#This Row],[CPTY_NAME]],S:S,U:U,"",0)=""),"Yes","No")</f>
        <v>No</v>
      </c>
      <c r="O86" s="30"/>
      <c r="Q86">
        <v>8</v>
      </c>
      <c r="R86">
        <v>2026</v>
      </c>
      <c r="S86" t="s">
        <v>123</v>
      </c>
      <c r="T86" t="s">
        <v>334</v>
      </c>
      <c r="U86" t="s">
        <v>52</v>
      </c>
      <c r="V86" s="34"/>
      <c r="W86"/>
      <c r="X86"/>
    </row>
    <row r="87" spans="1:24" x14ac:dyDescent="0.3">
      <c r="A87" t="s">
        <v>198</v>
      </c>
      <c r="B87" t="s">
        <v>392</v>
      </c>
      <c r="C87" t="s">
        <v>134</v>
      </c>
      <c r="E87" s="27"/>
      <c r="F87" t="s">
        <v>139</v>
      </c>
      <c r="G87" s="27">
        <v>45981</v>
      </c>
      <c r="H87" t="s">
        <v>140</v>
      </c>
      <c r="I87" s="27">
        <v>45979</v>
      </c>
      <c r="L87" s="30" t="str">
        <f>IF(OR(CtpyRating[[#This Row],[FI_RATING]]="",_xlfn.XLOOKUP(CtpyRating[[#This Row],[CPTY_NAME]],S:S,U:U,"",0)=CtpyRating[[#This Row],[FI_RATING]],CtpyRating[[#This Row],[New Rating]]="Yes"),"No","Yes")</f>
        <v>No</v>
      </c>
      <c r="M8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7" s="30" t="str">
        <f>IF(AND(CtpyRating[[#This Row],[FI_RATING]]&lt;&gt;"",_xlfn.XLOOKUP(CtpyRating[[#This Row],[CPTY_NAME]],S:S,U:U,"",0)=""),"Yes","No")</f>
        <v>No</v>
      </c>
      <c r="O87" s="30"/>
      <c r="Q87">
        <v>8</v>
      </c>
      <c r="R87">
        <v>2026</v>
      </c>
      <c r="S87" t="s">
        <v>124</v>
      </c>
      <c r="T87" t="s">
        <v>335</v>
      </c>
      <c r="U87" t="s">
        <v>31</v>
      </c>
      <c r="V87" s="34"/>
      <c r="W87"/>
      <c r="X87"/>
    </row>
    <row r="88" spans="1:24" x14ac:dyDescent="0.3">
      <c r="A88" t="s">
        <v>219</v>
      </c>
      <c r="B88" t="s">
        <v>413</v>
      </c>
      <c r="C88" t="s">
        <v>134</v>
      </c>
      <c r="E88" s="27"/>
      <c r="F88" t="s">
        <v>24</v>
      </c>
      <c r="G88" s="27">
        <v>46181</v>
      </c>
      <c r="H88" t="s">
        <v>175</v>
      </c>
      <c r="I88" s="27">
        <v>46181</v>
      </c>
      <c r="J88" t="s">
        <v>24</v>
      </c>
      <c r="K88">
        <v>44641</v>
      </c>
      <c r="L88" s="30" t="str">
        <f>IF(OR(CtpyRating[[#This Row],[FI_RATING]]="",_xlfn.XLOOKUP(CtpyRating[[#This Row],[CPTY_NAME]],S:S,U:U,"",0)=CtpyRating[[#This Row],[FI_RATING]],CtpyRating[[#This Row],[New Rating]]="Yes"),"No","Yes")</f>
        <v>No</v>
      </c>
      <c r="M8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8" s="30" t="str">
        <f>IF(AND(CtpyRating[[#This Row],[FI_RATING]]&lt;&gt;"",_xlfn.XLOOKUP(CtpyRating[[#This Row],[CPTY_NAME]],S:S,U:U,"",0)=""),"Yes","No")</f>
        <v>No</v>
      </c>
      <c r="O88" s="30"/>
      <c r="Q88">
        <v>8</v>
      </c>
      <c r="R88">
        <v>2026</v>
      </c>
      <c r="S88" t="s">
        <v>125</v>
      </c>
      <c r="T88" t="s">
        <v>336</v>
      </c>
      <c r="U88" t="s">
        <v>126</v>
      </c>
      <c r="V88" s="34"/>
      <c r="W88"/>
      <c r="X88"/>
    </row>
    <row r="89" spans="1:24" x14ac:dyDescent="0.3">
      <c r="A89" t="s">
        <v>153</v>
      </c>
      <c r="B89" t="s">
        <v>354</v>
      </c>
      <c r="C89" t="s">
        <v>134</v>
      </c>
      <c r="E89" s="27"/>
      <c r="F89" t="s">
        <v>52</v>
      </c>
      <c r="G89" s="27">
        <v>45811</v>
      </c>
      <c r="H89" t="s">
        <v>135</v>
      </c>
      <c r="I89" s="27">
        <v>45978</v>
      </c>
      <c r="J89" t="s">
        <v>126</v>
      </c>
      <c r="K89">
        <v>45611</v>
      </c>
      <c r="L89" s="30" t="str">
        <f>IF(OR(CtpyRating[[#This Row],[FI_RATING]]="",_xlfn.XLOOKUP(CtpyRating[[#This Row],[CPTY_NAME]],S:S,U:U,"",0)=CtpyRating[[#This Row],[FI_RATING]],CtpyRating[[#This Row],[New Rating]]="Yes"),"No","Yes")</f>
        <v>No</v>
      </c>
      <c r="M8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89" s="30" t="str">
        <f>IF(AND(CtpyRating[[#This Row],[FI_RATING]]&lt;&gt;"",_xlfn.XLOOKUP(CtpyRating[[#This Row],[CPTY_NAME]],S:S,U:U,"",0)=""),"Yes","No")</f>
        <v>No</v>
      </c>
      <c r="O89" s="30"/>
      <c r="Q89">
        <v>8</v>
      </c>
      <c r="R89">
        <v>2026</v>
      </c>
      <c r="S89" t="s">
        <v>127</v>
      </c>
      <c r="T89" t="s">
        <v>337</v>
      </c>
      <c r="U89" t="s">
        <v>33</v>
      </c>
      <c r="V89" s="34">
        <v>46197</v>
      </c>
      <c r="W89"/>
      <c r="X89"/>
    </row>
    <row r="90" spans="1:24" x14ac:dyDescent="0.3">
      <c r="A90" t="s">
        <v>221</v>
      </c>
      <c r="B90" t="s">
        <v>415</v>
      </c>
      <c r="C90" t="s">
        <v>134</v>
      </c>
      <c r="E90" s="27"/>
      <c r="F90" t="s">
        <v>149</v>
      </c>
      <c r="G90" s="27"/>
      <c r="H90" t="s">
        <v>163</v>
      </c>
      <c r="I90" s="27"/>
      <c r="J90" t="s">
        <v>149</v>
      </c>
      <c r="L90" s="30" t="str">
        <f>IF(OR(CtpyRating[[#This Row],[FI_RATING]]="",_xlfn.XLOOKUP(CtpyRating[[#This Row],[CPTY_NAME]],S:S,U:U,"",0)=CtpyRating[[#This Row],[FI_RATING]],CtpyRating[[#This Row],[New Rating]]="Yes"),"No","Yes")</f>
        <v>No</v>
      </c>
      <c r="M9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0" s="30" t="str">
        <f>IF(AND(CtpyRating[[#This Row],[FI_RATING]]&lt;&gt;"",_xlfn.XLOOKUP(CtpyRating[[#This Row],[CPTY_NAME]],S:S,U:U,"",0)=""),"Yes","No")</f>
        <v>No</v>
      </c>
      <c r="O90" s="30"/>
      <c r="Q90">
        <v>8</v>
      </c>
      <c r="R90">
        <v>2026</v>
      </c>
      <c r="S90" t="s">
        <v>128</v>
      </c>
      <c r="T90" t="s">
        <v>338</v>
      </c>
      <c r="U90" t="s">
        <v>33</v>
      </c>
      <c r="V90" s="34">
        <v>46196</v>
      </c>
      <c r="W90"/>
      <c r="X90"/>
    </row>
    <row r="91" spans="1:24" x14ac:dyDescent="0.3">
      <c r="A91" t="s">
        <v>152</v>
      </c>
      <c r="B91" t="s">
        <v>353</v>
      </c>
      <c r="C91" t="s">
        <v>134</v>
      </c>
      <c r="E91" s="27"/>
      <c r="F91" t="s">
        <v>126</v>
      </c>
      <c r="G91" s="27">
        <v>45952</v>
      </c>
      <c r="H91" t="s">
        <v>146</v>
      </c>
      <c r="I91" s="27">
        <v>45992</v>
      </c>
      <c r="L91" s="30" t="str">
        <f>IF(OR(CtpyRating[[#This Row],[FI_RATING]]="",_xlfn.XLOOKUP(CtpyRating[[#This Row],[CPTY_NAME]],S:S,U:U,"",0)=CtpyRating[[#This Row],[FI_RATING]],CtpyRating[[#This Row],[New Rating]]="Yes"),"No","Yes")</f>
        <v>No</v>
      </c>
      <c r="M9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1" s="30" t="str">
        <f>IF(AND(CtpyRating[[#This Row],[FI_RATING]]&lt;&gt;"",_xlfn.XLOOKUP(CtpyRating[[#This Row],[CPTY_NAME]],S:S,U:U,"",0)=""),"Yes","No")</f>
        <v>No</v>
      </c>
      <c r="O91" s="30"/>
      <c r="Q91">
        <v>8</v>
      </c>
      <c r="R91">
        <v>2026</v>
      </c>
      <c r="S91" t="s">
        <v>129</v>
      </c>
      <c r="T91" t="s">
        <v>339</v>
      </c>
      <c r="U91" t="s">
        <v>52</v>
      </c>
      <c r="V91" s="34">
        <v>46197</v>
      </c>
      <c r="W91"/>
      <c r="X91"/>
    </row>
    <row r="92" spans="1:24" x14ac:dyDescent="0.3">
      <c r="A92" t="s">
        <v>151</v>
      </c>
      <c r="B92" t="s">
        <v>352</v>
      </c>
      <c r="C92" t="s">
        <v>134</v>
      </c>
      <c r="E92" s="27"/>
      <c r="F92" t="s">
        <v>33</v>
      </c>
      <c r="G92" s="27">
        <v>46045</v>
      </c>
      <c r="H92" t="s">
        <v>142</v>
      </c>
      <c r="I92" s="27">
        <v>46140</v>
      </c>
      <c r="L92" s="30" t="str">
        <f>IF(OR(CtpyRating[[#This Row],[FI_RATING]]="",_xlfn.XLOOKUP(CtpyRating[[#This Row],[CPTY_NAME]],S:S,U:U,"",0)=CtpyRating[[#This Row],[FI_RATING]],CtpyRating[[#This Row],[New Rating]]="Yes"),"No","Yes")</f>
        <v>No</v>
      </c>
      <c r="M9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2" s="30" t="str">
        <f>IF(AND(CtpyRating[[#This Row],[FI_RATING]]&lt;&gt;"",_xlfn.XLOOKUP(CtpyRating[[#This Row],[CPTY_NAME]],S:S,U:U,"",0)=""),"Yes","No")</f>
        <v>No</v>
      </c>
      <c r="O92" s="30"/>
      <c r="Q92">
        <v>8</v>
      </c>
      <c r="R92">
        <v>2026</v>
      </c>
      <c r="S92" t="s">
        <v>130</v>
      </c>
      <c r="T92" t="s">
        <v>340</v>
      </c>
      <c r="U92" t="s">
        <v>52</v>
      </c>
      <c r="V92" s="34">
        <v>46119</v>
      </c>
      <c r="W92"/>
      <c r="X92"/>
    </row>
    <row r="93" spans="1:24" x14ac:dyDescent="0.3">
      <c r="A93" t="s">
        <v>167</v>
      </c>
      <c r="B93" t="s">
        <v>366</v>
      </c>
      <c r="C93" t="s">
        <v>134</v>
      </c>
      <c r="E93" s="27"/>
      <c r="G93" s="27"/>
      <c r="H93" t="s">
        <v>137</v>
      </c>
      <c r="I93" s="27">
        <v>45960</v>
      </c>
      <c r="L93" s="30" t="str">
        <f>IF(OR(CtpyRating[[#This Row],[FI_RATING]]="",_xlfn.XLOOKUP(CtpyRating[[#This Row],[CPTY_NAME]],S:S,U:U,"",0)=CtpyRating[[#This Row],[FI_RATING]],CtpyRating[[#This Row],[New Rating]]="Yes"),"No","Yes")</f>
        <v>No</v>
      </c>
      <c r="M9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3" s="30" t="str">
        <f>IF(AND(CtpyRating[[#This Row],[FI_RATING]]&lt;&gt;"",_xlfn.XLOOKUP(CtpyRating[[#This Row],[CPTY_NAME]],S:S,U:U,"",0)=""),"Yes","No")</f>
        <v>No</v>
      </c>
      <c r="O93" s="30"/>
      <c r="Q93">
        <v>8</v>
      </c>
      <c r="R93">
        <v>2026</v>
      </c>
      <c r="S93" t="s">
        <v>131</v>
      </c>
      <c r="T93" t="s">
        <v>341</v>
      </c>
      <c r="U93" t="s">
        <v>24</v>
      </c>
      <c r="V93" s="34">
        <v>45912</v>
      </c>
      <c r="W93"/>
      <c r="X93"/>
    </row>
    <row r="94" spans="1:24" x14ac:dyDescent="0.3">
      <c r="A94" t="s">
        <v>150</v>
      </c>
      <c r="B94" t="s">
        <v>336</v>
      </c>
      <c r="C94" t="s">
        <v>134</v>
      </c>
      <c r="E94" s="27"/>
      <c r="F94" t="s">
        <v>126</v>
      </c>
      <c r="G94" s="27">
        <v>45888</v>
      </c>
      <c r="H94" t="s">
        <v>142</v>
      </c>
      <c r="I94" s="27">
        <v>45979</v>
      </c>
      <c r="L94" s="30" t="str">
        <f>IF(OR(CtpyRating[[#This Row],[FI_RATING]]="",_xlfn.XLOOKUP(CtpyRating[[#This Row],[CPTY_NAME]],S:S,U:U,"",0)=CtpyRating[[#This Row],[FI_RATING]],CtpyRating[[#This Row],[New Rating]]="Yes"),"No","Yes")</f>
        <v>No</v>
      </c>
      <c r="M9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4" s="30" t="str">
        <f>IF(AND(CtpyRating[[#This Row],[FI_RATING]]&lt;&gt;"",_xlfn.XLOOKUP(CtpyRating[[#This Row],[CPTY_NAME]],S:S,U:U,"",0)=""),"Yes","No")</f>
        <v>No</v>
      </c>
      <c r="O94" s="30"/>
      <c r="Q94">
        <v>8</v>
      </c>
      <c r="R94">
        <v>2026</v>
      </c>
      <c r="S94" t="s">
        <v>132</v>
      </c>
      <c r="T94" t="s">
        <v>342</v>
      </c>
      <c r="U94" t="s">
        <v>20</v>
      </c>
      <c r="V94" s="34">
        <v>46227</v>
      </c>
      <c r="W94"/>
      <c r="X94"/>
    </row>
    <row r="95" spans="1:24" x14ac:dyDescent="0.3">
      <c r="A95" t="s">
        <v>177</v>
      </c>
      <c r="B95" t="s">
        <v>342</v>
      </c>
      <c r="C95" t="s">
        <v>134</v>
      </c>
      <c r="E95" s="27"/>
      <c r="F95" t="s">
        <v>176</v>
      </c>
      <c r="G95" s="27">
        <v>45855</v>
      </c>
      <c r="H95" t="s">
        <v>163</v>
      </c>
      <c r="I95" s="27">
        <v>45608</v>
      </c>
      <c r="L95" s="30" t="str">
        <f>IF(OR(CtpyRating[[#This Row],[FI_RATING]]="",_xlfn.XLOOKUP(CtpyRating[[#This Row],[CPTY_NAME]],S:S,U:U,"",0)=CtpyRating[[#This Row],[FI_RATING]],CtpyRating[[#This Row],[New Rating]]="Yes"),"No","Yes")</f>
        <v>No</v>
      </c>
      <c r="M9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5" s="30" t="str">
        <f>IF(AND(CtpyRating[[#This Row],[FI_RATING]]&lt;&gt;"",_xlfn.XLOOKUP(CtpyRating[[#This Row],[CPTY_NAME]],S:S,U:U,"",0)=""),"Yes","No")</f>
        <v>No</v>
      </c>
      <c r="O95" s="30"/>
      <c r="Q95">
        <v>8</v>
      </c>
      <c r="R95">
        <v>2026</v>
      </c>
      <c r="S95" t="s">
        <v>133</v>
      </c>
      <c r="T95" t="s">
        <v>343</v>
      </c>
      <c r="U95"/>
      <c r="V95" s="34"/>
      <c r="W95"/>
      <c r="X95"/>
    </row>
    <row r="96" spans="1:24" x14ac:dyDescent="0.3">
      <c r="A96" t="s">
        <v>220</v>
      </c>
      <c r="B96" t="s">
        <v>414</v>
      </c>
      <c r="C96" t="s">
        <v>134</v>
      </c>
      <c r="D96" t="s">
        <v>52</v>
      </c>
      <c r="E96" s="27">
        <v>45965</v>
      </c>
      <c r="G96" s="27"/>
      <c r="I96" s="27"/>
      <c r="L96" s="30" t="str">
        <f>IF(OR(CtpyRating[[#This Row],[FI_RATING]]="",_xlfn.XLOOKUP(CtpyRating[[#This Row],[CPTY_NAME]],S:S,U:U,"",0)=CtpyRating[[#This Row],[FI_RATING]],CtpyRating[[#This Row],[New Rating]]="Yes"),"No","Yes")</f>
        <v>No</v>
      </c>
      <c r="M9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6" s="30" t="str">
        <f>IF(AND(CtpyRating[[#This Row],[FI_RATING]]&lt;&gt;"",_xlfn.XLOOKUP(CtpyRating[[#This Row],[CPTY_NAME]],S:S,U:U,"",0)=""),"Yes","No")</f>
        <v>No</v>
      </c>
      <c r="O96" s="30"/>
      <c r="Q96">
        <v>8</v>
      </c>
      <c r="R96">
        <v>2026</v>
      </c>
      <c r="S96" t="s">
        <v>136</v>
      </c>
      <c r="T96" t="s">
        <v>344</v>
      </c>
      <c r="U96"/>
      <c r="V96" s="34"/>
      <c r="W96"/>
      <c r="X96"/>
    </row>
    <row r="97" spans="1:24" x14ac:dyDescent="0.3">
      <c r="A97" t="s">
        <v>169</v>
      </c>
      <c r="B97" t="s">
        <v>368</v>
      </c>
      <c r="C97" t="s">
        <v>134</v>
      </c>
      <c r="E97" s="27"/>
      <c r="G97" s="27"/>
      <c r="H97" t="s">
        <v>142</v>
      </c>
      <c r="I97" s="27">
        <v>46094</v>
      </c>
      <c r="J97" t="s">
        <v>33</v>
      </c>
      <c r="K97">
        <v>44687</v>
      </c>
      <c r="L97" s="30" t="str">
        <f>IF(OR(CtpyRating[[#This Row],[FI_RATING]]="",_xlfn.XLOOKUP(CtpyRating[[#This Row],[CPTY_NAME]],S:S,U:U,"",0)=CtpyRating[[#This Row],[FI_RATING]],CtpyRating[[#This Row],[New Rating]]="Yes"),"No","Yes")</f>
        <v>No</v>
      </c>
      <c r="M9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7" s="30" t="str">
        <f>IF(AND(CtpyRating[[#This Row],[FI_RATING]]&lt;&gt;"",_xlfn.XLOOKUP(CtpyRating[[#This Row],[CPTY_NAME]],S:S,U:U,"",0)=""),"Yes","No")</f>
        <v>No</v>
      </c>
      <c r="O97" s="30"/>
      <c r="Q97">
        <v>8</v>
      </c>
      <c r="R97">
        <v>2026</v>
      </c>
      <c r="S97" t="s">
        <v>138</v>
      </c>
      <c r="T97" t="s">
        <v>345</v>
      </c>
      <c r="U97"/>
      <c r="V97" s="34"/>
      <c r="W97"/>
      <c r="X97"/>
    </row>
    <row r="98" spans="1:24" x14ac:dyDescent="0.3">
      <c r="A98" t="s">
        <v>136</v>
      </c>
      <c r="B98" t="s">
        <v>344</v>
      </c>
      <c r="C98" t="s">
        <v>134</v>
      </c>
      <c r="E98" s="27"/>
      <c r="G98" s="27"/>
      <c r="H98" t="s">
        <v>142</v>
      </c>
      <c r="I98" s="27">
        <v>45972</v>
      </c>
      <c r="J98" t="s">
        <v>33</v>
      </c>
      <c r="K98">
        <v>44687</v>
      </c>
      <c r="L98" s="30" t="str">
        <f>IF(OR(CtpyRating[[#This Row],[FI_RATING]]="",_xlfn.XLOOKUP(CtpyRating[[#This Row],[CPTY_NAME]],S:S,U:U,"",0)=CtpyRating[[#This Row],[FI_RATING]],CtpyRating[[#This Row],[New Rating]]="Yes"),"No","Yes")</f>
        <v>No</v>
      </c>
      <c r="M9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8" s="30" t="str">
        <f>IF(AND(CtpyRating[[#This Row],[FI_RATING]]&lt;&gt;"",_xlfn.XLOOKUP(CtpyRating[[#This Row],[CPTY_NAME]],S:S,U:U,"",0)=""),"Yes","No")</f>
        <v>No</v>
      </c>
      <c r="O98" s="30"/>
      <c r="Q98">
        <v>8</v>
      </c>
      <c r="R98">
        <v>2026</v>
      </c>
      <c r="S98" t="s">
        <v>141</v>
      </c>
      <c r="T98" t="s">
        <v>346</v>
      </c>
      <c r="U98"/>
      <c r="V98" s="34"/>
      <c r="W98"/>
      <c r="X98"/>
    </row>
    <row r="99" spans="1:24" x14ac:dyDescent="0.3">
      <c r="A99" t="s">
        <v>147</v>
      </c>
      <c r="B99" t="s">
        <v>350</v>
      </c>
      <c r="C99" t="s">
        <v>134</v>
      </c>
      <c r="E99" s="27"/>
      <c r="F99" t="s">
        <v>126</v>
      </c>
      <c r="G99" s="27">
        <v>45791</v>
      </c>
      <c r="H99" t="s">
        <v>135</v>
      </c>
      <c r="I99" s="27">
        <v>45979</v>
      </c>
      <c r="L99" s="30" t="str">
        <f>IF(OR(CtpyRating[[#This Row],[FI_RATING]]="",_xlfn.XLOOKUP(CtpyRating[[#This Row],[CPTY_NAME]],S:S,U:U,"",0)=CtpyRating[[#This Row],[FI_RATING]],CtpyRating[[#This Row],[New Rating]]="Yes"),"No","Yes")</f>
        <v>No</v>
      </c>
      <c r="M9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99" s="30" t="str">
        <f>IF(AND(CtpyRating[[#This Row],[FI_RATING]]&lt;&gt;"",_xlfn.XLOOKUP(CtpyRating[[#This Row],[CPTY_NAME]],S:S,U:U,"",0)=""),"Yes","No")</f>
        <v>No</v>
      </c>
      <c r="O99" s="30"/>
      <c r="Q99">
        <v>8</v>
      </c>
      <c r="R99">
        <v>2026</v>
      </c>
      <c r="S99" t="s">
        <v>143</v>
      </c>
      <c r="T99" t="s">
        <v>347</v>
      </c>
      <c r="U99"/>
      <c r="V99" s="34"/>
      <c r="W99"/>
      <c r="X99"/>
    </row>
    <row r="100" spans="1:24" x14ac:dyDescent="0.3">
      <c r="A100" t="s">
        <v>148</v>
      </c>
      <c r="B100" t="s">
        <v>351</v>
      </c>
      <c r="C100" t="s">
        <v>134</v>
      </c>
      <c r="E100" s="27"/>
      <c r="G100" s="27"/>
      <c r="H100" t="s">
        <v>142</v>
      </c>
      <c r="I100" s="27">
        <v>46072</v>
      </c>
      <c r="L100" s="30" t="str">
        <f>IF(OR(CtpyRating[[#This Row],[FI_RATING]]="",_xlfn.XLOOKUP(CtpyRating[[#This Row],[CPTY_NAME]],S:S,U:U,"",0)=CtpyRating[[#This Row],[FI_RATING]],CtpyRating[[#This Row],[New Rating]]="Yes"),"No","Yes")</f>
        <v>No</v>
      </c>
      <c r="M10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0" s="30" t="str">
        <f>IF(AND(CtpyRating[[#This Row],[FI_RATING]]&lt;&gt;"",_xlfn.XLOOKUP(CtpyRating[[#This Row],[CPTY_NAME]],S:S,U:U,"",0)=""),"Yes","No")</f>
        <v>No</v>
      </c>
      <c r="O100" s="30"/>
      <c r="Q100">
        <v>8</v>
      </c>
      <c r="R100">
        <v>2026</v>
      </c>
      <c r="S100" t="s">
        <v>144</v>
      </c>
      <c r="T100" t="s">
        <v>348</v>
      </c>
      <c r="U100"/>
      <c r="V100" s="34"/>
      <c r="W100"/>
      <c r="X100"/>
    </row>
    <row r="101" spans="1:24" x14ac:dyDescent="0.3">
      <c r="A101" t="s">
        <v>214</v>
      </c>
      <c r="B101" t="s">
        <v>408</v>
      </c>
      <c r="C101" t="s">
        <v>100</v>
      </c>
      <c r="D101" t="s">
        <v>24</v>
      </c>
      <c r="E101" s="27"/>
      <c r="G101" s="27"/>
      <c r="I101" s="27"/>
      <c r="L101" s="30" t="str">
        <f>IF(OR(CtpyRating[[#This Row],[FI_RATING]]="",_xlfn.XLOOKUP(CtpyRating[[#This Row],[CPTY_NAME]],S:S,U:U,"",0)=CtpyRating[[#This Row],[FI_RATING]],CtpyRating[[#This Row],[New Rating]]="Yes"),"No","Yes")</f>
        <v>No</v>
      </c>
      <c r="M10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1" s="30" t="str">
        <f>IF(AND(CtpyRating[[#This Row],[FI_RATING]]&lt;&gt;"",_xlfn.XLOOKUP(CtpyRating[[#This Row],[CPTY_NAME]],S:S,U:U,"",0)=""),"Yes","No")</f>
        <v>No</v>
      </c>
      <c r="O101" s="30"/>
      <c r="Q101">
        <v>8</v>
      </c>
      <c r="R101">
        <v>2026</v>
      </c>
      <c r="S101" t="s">
        <v>145</v>
      </c>
      <c r="T101" t="s">
        <v>349</v>
      </c>
      <c r="U101"/>
      <c r="V101" s="34"/>
      <c r="W101"/>
      <c r="X101"/>
    </row>
    <row r="102" spans="1:24" x14ac:dyDescent="0.3">
      <c r="A102" t="s">
        <v>141</v>
      </c>
      <c r="B102" t="s">
        <v>346</v>
      </c>
      <c r="C102" t="s">
        <v>134</v>
      </c>
      <c r="E102" s="27"/>
      <c r="F102" t="s">
        <v>33</v>
      </c>
      <c r="G102" s="27">
        <v>45909</v>
      </c>
      <c r="H102" t="s">
        <v>142</v>
      </c>
      <c r="I102" s="27">
        <v>45960</v>
      </c>
      <c r="L102" s="30" t="str">
        <f>IF(OR(CtpyRating[[#This Row],[FI_RATING]]="",_xlfn.XLOOKUP(CtpyRating[[#This Row],[CPTY_NAME]],S:S,U:U,"",0)=CtpyRating[[#This Row],[FI_RATING]],CtpyRating[[#This Row],[New Rating]]="Yes"),"No","Yes")</f>
        <v>No</v>
      </c>
      <c r="M10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2" s="30" t="str">
        <f>IF(AND(CtpyRating[[#This Row],[FI_RATING]]&lt;&gt;"",_xlfn.XLOOKUP(CtpyRating[[#This Row],[CPTY_NAME]],S:S,U:U,"",0)=""),"Yes","No")</f>
        <v>No</v>
      </c>
      <c r="O102" s="30"/>
      <c r="Q102">
        <v>8</v>
      </c>
      <c r="R102">
        <v>2026</v>
      </c>
      <c r="S102" t="s">
        <v>147</v>
      </c>
      <c r="T102" t="s">
        <v>350</v>
      </c>
      <c r="U102"/>
      <c r="V102" s="34"/>
      <c r="W102"/>
      <c r="X102"/>
    </row>
    <row r="103" spans="1:24" x14ac:dyDescent="0.3">
      <c r="A103" t="s">
        <v>119</v>
      </c>
      <c r="B103" t="s">
        <v>330</v>
      </c>
      <c r="C103" t="s">
        <v>98</v>
      </c>
      <c r="D103" t="s">
        <v>52</v>
      </c>
      <c r="E103" s="27"/>
      <c r="G103" s="27"/>
      <c r="I103" s="27"/>
      <c r="L103" s="30" t="str">
        <f>IF(OR(CtpyRating[[#This Row],[FI_RATING]]="",_xlfn.XLOOKUP(CtpyRating[[#This Row],[CPTY_NAME]],S:S,U:U,"",0)=CtpyRating[[#This Row],[FI_RATING]],CtpyRating[[#This Row],[New Rating]]="Yes"),"No","Yes")</f>
        <v>No</v>
      </c>
      <c r="M10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3" s="30" t="str">
        <f>IF(AND(CtpyRating[[#This Row],[FI_RATING]]&lt;&gt;"",_xlfn.XLOOKUP(CtpyRating[[#This Row],[CPTY_NAME]],S:S,U:U,"",0)=""),"Yes","No")</f>
        <v>No</v>
      </c>
      <c r="O103" s="30"/>
      <c r="Q103">
        <v>8</v>
      </c>
      <c r="R103">
        <v>2026</v>
      </c>
      <c r="S103" t="s">
        <v>148</v>
      </c>
      <c r="T103" t="s">
        <v>351</v>
      </c>
      <c r="U103"/>
      <c r="V103" s="34"/>
      <c r="W103"/>
      <c r="X103"/>
    </row>
    <row r="104" spans="1:24" x14ac:dyDescent="0.3">
      <c r="A104" t="s">
        <v>113</v>
      </c>
      <c r="B104" t="s">
        <v>325</v>
      </c>
      <c r="C104" t="s">
        <v>98</v>
      </c>
      <c r="D104" t="s">
        <v>20</v>
      </c>
      <c r="E104" s="27"/>
      <c r="G104" s="27"/>
      <c r="I104" s="27"/>
      <c r="L104" s="30" t="str">
        <f>IF(OR(CtpyRating[[#This Row],[FI_RATING]]="",_xlfn.XLOOKUP(CtpyRating[[#This Row],[CPTY_NAME]],S:S,U:U,"",0)=CtpyRating[[#This Row],[FI_RATING]],CtpyRating[[#This Row],[New Rating]]="Yes"),"No","Yes")</f>
        <v>No</v>
      </c>
      <c r="M10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4" s="30" t="str">
        <f>IF(AND(CtpyRating[[#This Row],[FI_RATING]]&lt;&gt;"",_xlfn.XLOOKUP(CtpyRating[[#This Row],[CPTY_NAME]],S:S,U:U,"",0)=""),"Yes","No")</f>
        <v>No</v>
      </c>
      <c r="O104" s="30"/>
      <c r="Q104">
        <v>8</v>
      </c>
      <c r="R104">
        <v>2026</v>
      </c>
      <c r="S104" t="s">
        <v>150</v>
      </c>
      <c r="T104" t="s">
        <v>336</v>
      </c>
      <c r="U104"/>
      <c r="V104" s="34"/>
      <c r="W104"/>
      <c r="X104"/>
    </row>
    <row r="105" spans="1:24" x14ac:dyDescent="0.3">
      <c r="A105" t="s">
        <v>97</v>
      </c>
      <c r="B105" t="s">
        <v>311</v>
      </c>
      <c r="C105" t="s">
        <v>98</v>
      </c>
      <c r="D105" t="s">
        <v>20</v>
      </c>
      <c r="E105" s="27"/>
      <c r="G105" s="27"/>
      <c r="I105" s="27"/>
      <c r="L105" s="30" t="str">
        <f>IF(OR(CtpyRating[[#This Row],[FI_RATING]]="",_xlfn.XLOOKUP(CtpyRating[[#This Row],[CPTY_NAME]],S:S,U:U,"",0)=CtpyRating[[#This Row],[FI_RATING]],CtpyRating[[#This Row],[New Rating]]="Yes"),"No","Yes")</f>
        <v>No</v>
      </c>
      <c r="M10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5" s="30" t="str">
        <f>IF(AND(CtpyRating[[#This Row],[FI_RATING]]&lt;&gt;"",_xlfn.XLOOKUP(CtpyRating[[#This Row],[CPTY_NAME]],S:S,U:U,"",0)=""),"Yes","No")</f>
        <v>No</v>
      </c>
      <c r="O105" s="30"/>
      <c r="Q105">
        <v>8</v>
      </c>
      <c r="R105">
        <v>2026</v>
      </c>
      <c r="S105" t="s">
        <v>151</v>
      </c>
      <c r="T105" t="s">
        <v>352</v>
      </c>
      <c r="U105"/>
      <c r="V105" s="34"/>
      <c r="W105"/>
      <c r="X105"/>
    </row>
    <row r="106" spans="1:24" x14ac:dyDescent="0.3">
      <c r="A106" t="s">
        <v>112</v>
      </c>
      <c r="B106" t="s">
        <v>324</v>
      </c>
      <c r="C106" t="s">
        <v>98</v>
      </c>
      <c r="D106" t="s">
        <v>52</v>
      </c>
      <c r="E106" s="27"/>
      <c r="G106" s="27"/>
      <c r="I106" s="27"/>
      <c r="L106" s="30" t="str">
        <f>IF(OR(CtpyRating[[#This Row],[FI_RATING]]="",_xlfn.XLOOKUP(CtpyRating[[#This Row],[CPTY_NAME]],S:S,U:U,"",0)=CtpyRating[[#This Row],[FI_RATING]],CtpyRating[[#This Row],[New Rating]]="Yes"),"No","Yes")</f>
        <v>No</v>
      </c>
      <c r="M10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6" s="30" t="str">
        <f>IF(AND(CtpyRating[[#This Row],[FI_RATING]]&lt;&gt;"",_xlfn.XLOOKUP(CtpyRating[[#This Row],[CPTY_NAME]],S:S,U:U,"",0)=""),"Yes","No")</f>
        <v>No</v>
      </c>
      <c r="O106" s="30"/>
      <c r="Q106">
        <v>8</v>
      </c>
      <c r="R106">
        <v>2026</v>
      </c>
      <c r="S106" t="s">
        <v>152</v>
      </c>
      <c r="T106" t="s">
        <v>353</v>
      </c>
      <c r="U106"/>
      <c r="V106" s="34"/>
      <c r="W106"/>
      <c r="X106"/>
    </row>
    <row r="107" spans="1:24" x14ac:dyDescent="0.3">
      <c r="A107" t="s">
        <v>116</v>
      </c>
      <c r="B107" t="s">
        <v>327</v>
      </c>
      <c r="C107" t="s">
        <v>98</v>
      </c>
      <c r="D107" t="s">
        <v>20</v>
      </c>
      <c r="E107" s="27">
        <v>45903</v>
      </c>
      <c r="G107" s="27"/>
      <c r="I107" s="27"/>
      <c r="L107" s="30" t="str">
        <f>IF(OR(CtpyRating[[#This Row],[FI_RATING]]="",_xlfn.XLOOKUP(CtpyRating[[#This Row],[CPTY_NAME]],S:S,U:U,"",0)=CtpyRating[[#This Row],[FI_RATING]],CtpyRating[[#This Row],[New Rating]]="Yes"),"No","Yes")</f>
        <v>No</v>
      </c>
      <c r="M10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7" s="30" t="str">
        <f>IF(AND(CtpyRating[[#This Row],[FI_RATING]]&lt;&gt;"",_xlfn.XLOOKUP(CtpyRating[[#This Row],[CPTY_NAME]],S:S,U:U,"",0)=""),"Yes","No")</f>
        <v>No</v>
      </c>
      <c r="O107" s="30"/>
      <c r="Q107">
        <v>8</v>
      </c>
      <c r="R107">
        <v>2026</v>
      </c>
      <c r="S107" t="s">
        <v>153</v>
      </c>
      <c r="T107" t="s">
        <v>354</v>
      </c>
      <c r="U107"/>
      <c r="V107" s="34"/>
      <c r="W107"/>
      <c r="X107"/>
    </row>
    <row r="108" spans="1:24" x14ac:dyDescent="0.3">
      <c r="A108" t="s">
        <v>121</v>
      </c>
      <c r="B108" t="s">
        <v>332</v>
      </c>
      <c r="C108" t="s">
        <v>98</v>
      </c>
      <c r="D108" t="s">
        <v>65</v>
      </c>
      <c r="E108" s="27"/>
      <c r="G108" s="27"/>
      <c r="I108" s="27"/>
      <c r="L108" s="30" t="str">
        <f>IF(OR(CtpyRating[[#This Row],[FI_RATING]]="",_xlfn.XLOOKUP(CtpyRating[[#This Row],[CPTY_NAME]],S:S,U:U,"",0)=CtpyRating[[#This Row],[FI_RATING]],CtpyRating[[#This Row],[New Rating]]="Yes"),"No","Yes")</f>
        <v>No</v>
      </c>
      <c r="M10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8" s="30" t="str">
        <f>IF(AND(CtpyRating[[#This Row],[FI_RATING]]&lt;&gt;"",_xlfn.XLOOKUP(CtpyRating[[#This Row],[CPTY_NAME]],S:S,U:U,"",0)=""),"Yes","No")</f>
        <v>No</v>
      </c>
      <c r="O108" s="30"/>
      <c r="Q108">
        <v>8</v>
      </c>
      <c r="R108">
        <v>2026</v>
      </c>
      <c r="S108" t="s">
        <v>154</v>
      </c>
      <c r="T108" t="s">
        <v>355</v>
      </c>
      <c r="U108"/>
      <c r="V108" s="34"/>
      <c r="W108"/>
      <c r="X108"/>
    </row>
    <row r="109" spans="1:24" x14ac:dyDescent="0.3">
      <c r="A109" t="s">
        <v>493</v>
      </c>
      <c r="C109" t="s">
        <v>51</v>
      </c>
      <c r="D109" t="s">
        <v>33</v>
      </c>
      <c r="E109" s="27">
        <v>46045</v>
      </c>
      <c r="G109" s="27"/>
      <c r="I109" s="27"/>
      <c r="L109" s="30" t="str">
        <f>IF(OR(CtpyRating[[#This Row],[FI_RATING]]="",_xlfn.XLOOKUP(CtpyRating[[#This Row],[CPTY_NAME]],S:S,U:U,"",0)=CtpyRating[[#This Row],[FI_RATING]],CtpyRating[[#This Row],[New Rating]]="Yes"),"No","Yes")</f>
        <v>No</v>
      </c>
      <c r="M10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09" s="30" t="str">
        <f>IF(AND(CtpyRating[[#This Row],[FI_RATING]]&lt;&gt;"",_xlfn.XLOOKUP(CtpyRating[[#This Row],[CPTY_NAME]],S:S,U:U,"",0)=""),"Yes","No")</f>
        <v>No</v>
      </c>
      <c r="O109" s="30"/>
      <c r="Q109">
        <v>8</v>
      </c>
      <c r="R109">
        <v>2026</v>
      </c>
      <c r="S109" t="s">
        <v>155</v>
      </c>
      <c r="T109" t="s">
        <v>356</v>
      </c>
      <c r="U109"/>
      <c r="V109" s="34"/>
      <c r="W109"/>
      <c r="X109"/>
    </row>
    <row r="110" spans="1:24" x14ac:dyDescent="0.3">
      <c r="A110" t="s">
        <v>89</v>
      </c>
      <c r="B110" t="s">
        <v>303</v>
      </c>
      <c r="C110" t="s">
        <v>71</v>
      </c>
      <c r="D110" t="s">
        <v>31</v>
      </c>
      <c r="E110" s="27"/>
      <c r="G110" s="27"/>
      <c r="I110" s="27"/>
      <c r="L110" s="30" t="str">
        <f>IF(OR(CtpyRating[[#This Row],[FI_RATING]]="",_xlfn.XLOOKUP(CtpyRating[[#This Row],[CPTY_NAME]],S:S,U:U,"",0)=CtpyRating[[#This Row],[FI_RATING]],CtpyRating[[#This Row],[New Rating]]="Yes"),"No","Yes")</f>
        <v>No</v>
      </c>
      <c r="M11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0" s="30" t="str">
        <f>IF(AND(CtpyRating[[#This Row],[FI_RATING]]&lt;&gt;"",_xlfn.XLOOKUP(CtpyRating[[#This Row],[CPTY_NAME]],S:S,U:U,"",0)=""),"Yes","No")</f>
        <v>No</v>
      </c>
      <c r="O110" s="30"/>
      <c r="Q110">
        <v>8</v>
      </c>
      <c r="R110">
        <v>2026</v>
      </c>
      <c r="S110" t="s">
        <v>156</v>
      </c>
      <c r="T110" t="s">
        <v>357</v>
      </c>
      <c r="U110"/>
      <c r="V110" s="34"/>
      <c r="W110"/>
      <c r="X110"/>
    </row>
    <row r="111" spans="1:24" x14ac:dyDescent="0.3">
      <c r="A111" t="s">
        <v>225</v>
      </c>
      <c r="B111" t="s">
        <v>417</v>
      </c>
      <c r="C111" t="s">
        <v>100</v>
      </c>
      <c r="D111" t="s">
        <v>33</v>
      </c>
      <c r="E111" s="27">
        <v>46190</v>
      </c>
      <c r="G111" s="27"/>
      <c r="I111" s="27"/>
      <c r="L111" s="30" t="str">
        <f>IF(OR(CtpyRating[[#This Row],[FI_RATING]]="",_xlfn.XLOOKUP(CtpyRating[[#This Row],[CPTY_NAME]],S:S,U:U,"",0)=CtpyRating[[#This Row],[FI_RATING]],CtpyRating[[#This Row],[New Rating]]="Yes"),"No","Yes")</f>
        <v>No</v>
      </c>
      <c r="M11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1" s="30" t="str">
        <f>IF(AND(CtpyRating[[#This Row],[FI_RATING]]&lt;&gt;"",_xlfn.XLOOKUP(CtpyRating[[#This Row],[CPTY_NAME]],S:S,U:U,"",0)=""),"Yes","No")</f>
        <v>No</v>
      </c>
      <c r="O111" s="30"/>
      <c r="Q111">
        <v>8</v>
      </c>
      <c r="R111">
        <v>2026</v>
      </c>
      <c r="S111" t="s">
        <v>157</v>
      </c>
      <c r="T111" t="s">
        <v>358</v>
      </c>
      <c r="U111" t="s">
        <v>126</v>
      </c>
      <c r="V111" s="34"/>
      <c r="W111"/>
      <c r="X111"/>
    </row>
    <row r="112" spans="1:24" x14ac:dyDescent="0.3">
      <c r="A112" t="s">
        <v>230</v>
      </c>
      <c r="B112" t="s">
        <v>422</v>
      </c>
      <c r="C112" t="s">
        <v>100</v>
      </c>
      <c r="D112" t="s">
        <v>40</v>
      </c>
      <c r="E112" s="27">
        <v>45859</v>
      </c>
      <c r="G112" s="27"/>
      <c r="I112" s="27"/>
      <c r="L112" s="30" t="str">
        <f>IF(OR(CtpyRating[[#This Row],[FI_RATING]]="",_xlfn.XLOOKUP(CtpyRating[[#This Row],[CPTY_NAME]],S:S,U:U,"",0)=CtpyRating[[#This Row],[FI_RATING]],CtpyRating[[#This Row],[New Rating]]="Yes"),"No","Yes")</f>
        <v>No</v>
      </c>
      <c r="M11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2" s="30" t="str">
        <f>IF(AND(CtpyRating[[#This Row],[FI_RATING]]&lt;&gt;"",_xlfn.XLOOKUP(CtpyRating[[#This Row],[CPTY_NAME]],S:S,U:U,"",0)=""),"Yes","No")</f>
        <v>No</v>
      </c>
      <c r="O112" s="30"/>
      <c r="Q112">
        <v>8</v>
      </c>
      <c r="R112">
        <v>2026</v>
      </c>
      <c r="S112" t="s">
        <v>158</v>
      </c>
      <c r="T112" t="s">
        <v>359</v>
      </c>
      <c r="U112"/>
      <c r="V112" s="34"/>
      <c r="W112"/>
      <c r="X112"/>
    </row>
    <row r="113" spans="1:24" x14ac:dyDescent="0.3">
      <c r="A113" t="s">
        <v>103</v>
      </c>
      <c r="B113" t="s">
        <v>315</v>
      </c>
      <c r="C113" t="s">
        <v>100</v>
      </c>
      <c r="D113" t="s">
        <v>20</v>
      </c>
      <c r="E113" s="27">
        <v>46192</v>
      </c>
      <c r="G113" s="27"/>
      <c r="I113" s="27"/>
      <c r="L113" s="30" t="str">
        <f>IF(OR(CtpyRating[[#This Row],[FI_RATING]]="",_xlfn.XLOOKUP(CtpyRating[[#This Row],[CPTY_NAME]],S:S,U:U,"",0)=CtpyRating[[#This Row],[FI_RATING]],CtpyRating[[#This Row],[New Rating]]="Yes"),"No","Yes")</f>
        <v>No</v>
      </c>
      <c r="M11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3" s="30" t="str">
        <f>IF(AND(CtpyRating[[#This Row],[FI_RATING]]&lt;&gt;"",_xlfn.XLOOKUP(CtpyRating[[#This Row],[CPTY_NAME]],S:S,U:U,"",0)=""),"Yes","No")</f>
        <v>No</v>
      </c>
      <c r="O113" s="30"/>
      <c r="Q113">
        <v>8</v>
      </c>
      <c r="R113">
        <v>2026</v>
      </c>
      <c r="S113" t="s">
        <v>159</v>
      </c>
      <c r="T113" t="s">
        <v>360</v>
      </c>
      <c r="U113"/>
      <c r="V113" s="34"/>
      <c r="W113"/>
      <c r="X113"/>
    </row>
    <row r="114" spans="1:24" x14ac:dyDescent="0.3">
      <c r="A114" t="s">
        <v>215</v>
      </c>
      <c r="B114" t="s">
        <v>409</v>
      </c>
      <c r="C114" t="s">
        <v>100</v>
      </c>
      <c r="D114" t="s">
        <v>73</v>
      </c>
      <c r="E114" s="27"/>
      <c r="G114" s="27"/>
      <c r="I114" s="27"/>
      <c r="L114" s="30" t="str">
        <f>IF(OR(CtpyRating[[#This Row],[FI_RATING]]="",_xlfn.XLOOKUP(CtpyRating[[#This Row],[CPTY_NAME]],S:S,U:U,"",0)=CtpyRating[[#This Row],[FI_RATING]],CtpyRating[[#This Row],[New Rating]]="Yes"),"No","Yes")</f>
        <v>No</v>
      </c>
      <c r="M11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4" s="30" t="str">
        <f>IF(AND(CtpyRating[[#This Row],[FI_RATING]]&lt;&gt;"",_xlfn.XLOOKUP(CtpyRating[[#This Row],[CPTY_NAME]],S:S,U:U,"",0)=""),"Yes","No")</f>
        <v>No</v>
      </c>
      <c r="O114" s="30"/>
      <c r="Q114">
        <v>8</v>
      </c>
      <c r="R114">
        <v>2026</v>
      </c>
      <c r="S114" t="s">
        <v>160</v>
      </c>
      <c r="T114" t="s">
        <v>361</v>
      </c>
      <c r="U114"/>
      <c r="V114" s="34"/>
      <c r="W114"/>
      <c r="X114"/>
    </row>
    <row r="115" spans="1:24" x14ac:dyDescent="0.3">
      <c r="A115" t="s">
        <v>232</v>
      </c>
      <c r="B115" t="s">
        <v>424</v>
      </c>
      <c r="C115" t="s">
        <v>100</v>
      </c>
      <c r="D115" t="s">
        <v>33</v>
      </c>
      <c r="E115" s="27">
        <v>45940</v>
      </c>
      <c r="G115" s="27"/>
      <c r="I115" s="27"/>
      <c r="L115" s="30" t="str">
        <f>IF(OR(CtpyRating[[#This Row],[FI_RATING]]="",_xlfn.XLOOKUP(CtpyRating[[#This Row],[CPTY_NAME]],S:S,U:U,"",0)=CtpyRating[[#This Row],[FI_RATING]],CtpyRating[[#This Row],[New Rating]]="Yes"),"No","Yes")</f>
        <v>No</v>
      </c>
      <c r="M11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5" s="30" t="str">
        <f>IF(AND(CtpyRating[[#This Row],[FI_RATING]]&lt;&gt;"",_xlfn.XLOOKUP(CtpyRating[[#This Row],[CPTY_NAME]],S:S,U:U,"",0)=""),"Yes","No")</f>
        <v>No</v>
      </c>
      <c r="O115" s="30"/>
      <c r="Q115">
        <v>8</v>
      </c>
      <c r="R115">
        <v>2026</v>
      </c>
      <c r="S115" t="s">
        <v>161</v>
      </c>
      <c r="T115" t="s">
        <v>341</v>
      </c>
      <c r="U115"/>
      <c r="V115" s="34"/>
      <c r="W115"/>
      <c r="X115"/>
    </row>
    <row r="116" spans="1:24" x14ac:dyDescent="0.3">
      <c r="A116" t="s">
        <v>108</v>
      </c>
      <c r="B116" t="s">
        <v>320</v>
      </c>
      <c r="C116" t="s">
        <v>100</v>
      </c>
      <c r="D116" t="s">
        <v>20</v>
      </c>
      <c r="E116" s="27">
        <v>45940</v>
      </c>
      <c r="G116" s="27"/>
      <c r="I116" s="27"/>
      <c r="L116" s="30" t="str">
        <f>IF(OR(CtpyRating[[#This Row],[FI_RATING]]="",_xlfn.XLOOKUP(CtpyRating[[#This Row],[CPTY_NAME]],S:S,U:U,"",0)=CtpyRating[[#This Row],[FI_RATING]],CtpyRating[[#This Row],[New Rating]]="Yes"),"No","Yes")</f>
        <v>No</v>
      </c>
      <c r="M11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6" s="30" t="str">
        <f>IF(AND(CtpyRating[[#This Row],[FI_RATING]]&lt;&gt;"",_xlfn.XLOOKUP(CtpyRating[[#This Row],[CPTY_NAME]],S:S,U:U,"",0)=""),"Yes","No")</f>
        <v>No</v>
      </c>
      <c r="O116" s="30"/>
      <c r="Q116">
        <v>8</v>
      </c>
      <c r="R116">
        <v>2026</v>
      </c>
      <c r="S116" t="s">
        <v>162</v>
      </c>
      <c r="T116" t="s">
        <v>362</v>
      </c>
      <c r="U116"/>
      <c r="V116" s="34"/>
      <c r="W116"/>
      <c r="X116"/>
    </row>
    <row r="117" spans="1:24" x14ac:dyDescent="0.3">
      <c r="A117" t="s">
        <v>91</v>
      </c>
      <c r="B117" t="s">
        <v>305</v>
      </c>
      <c r="C117" t="s">
        <v>71</v>
      </c>
      <c r="D117" t="s">
        <v>31</v>
      </c>
      <c r="E117" s="27"/>
      <c r="G117" s="27"/>
      <c r="I117" s="27"/>
      <c r="L117" s="30" t="str">
        <f>IF(OR(CtpyRating[[#This Row],[FI_RATING]]="",_xlfn.XLOOKUP(CtpyRating[[#This Row],[CPTY_NAME]],S:S,U:U,"",0)=CtpyRating[[#This Row],[FI_RATING]],CtpyRating[[#This Row],[New Rating]]="Yes"),"No","Yes")</f>
        <v>No</v>
      </c>
      <c r="M11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7" s="30" t="str">
        <f>IF(AND(CtpyRating[[#This Row],[FI_RATING]]&lt;&gt;"",_xlfn.XLOOKUP(CtpyRating[[#This Row],[CPTY_NAME]],S:S,U:U,"",0)=""),"Yes","No")</f>
        <v>No</v>
      </c>
      <c r="O117" s="30"/>
      <c r="Q117">
        <v>8</v>
      </c>
      <c r="R117">
        <v>2026</v>
      </c>
      <c r="S117" t="s">
        <v>164</v>
      </c>
      <c r="T117"/>
      <c r="U117"/>
      <c r="V117" s="34"/>
      <c r="W117"/>
      <c r="X117"/>
    </row>
    <row r="118" spans="1:24" x14ac:dyDescent="0.3">
      <c r="A118" t="s">
        <v>92</v>
      </c>
      <c r="B118" t="s">
        <v>306</v>
      </c>
      <c r="C118" t="s">
        <v>71</v>
      </c>
      <c r="D118" t="s">
        <v>31</v>
      </c>
      <c r="E118" s="27"/>
      <c r="G118" s="27"/>
      <c r="I118" s="27"/>
      <c r="L118" s="30" t="str">
        <f>IF(OR(CtpyRating[[#This Row],[FI_RATING]]="",_xlfn.XLOOKUP(CtpyRating[[#This Row],[CPTY_NAME]],S:S,U:U,"",0)=CtpyRating[[#This Row],[FI_RATING]],CtpyRating[[#This Row],[New Rating]]="Yes"),"No","Yes")</f>
        <v>No</v>
      </c>
      <c r="M11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8" s="30" t="str">
        <f>IF(AND(CtpyRating[[#This Row],[FI_RATING]]&lt;&gt;"",_xlfn.XLOOKUP(CtpyRating[[#This Row],[CPTY_NAME]],S:S,U:U,"",0)=""),"Yes","No")</f>
        <v>No</v>
      </c>
      <c r="O118" s="30"/>
      <c r="Q118">
        <v>8</v>
      </c>
      <c r="R118">
        <v>2026</v>
      </c>
      <c r="S118" t="s">
        <v>165</v>
      </c>
      <c r="T118" t="s">
        <v>339</v>
      </c>
      <c r="U118"/>
      <c r="V118" s="34"/>
      <c r="W118"/>
      <c r="X118"/>
    </row>
    <row r="119" spans="1:24" x14ac:dyDescent="0.3">
      <c r="A119" t="s">
        <v>90</v>
      </c>
      <c r="B119" t="s">
        <v>304</v>
      </c>
      <c r="C119" t="s">
        <v>71</v>
      </c>
      <c r="D119" t="s">
        <v>31</v>
      </c>
      <c r="E119" s="27"/>
      <c r="G119" s="27"/>
      <c r="I119" s="27"/>
      <c r="L119" s="30" t="str">
        <f>IF(OR(CtpyRating[[#This Row],[FI_RATING]]="",_xlfn.XLOOKUP(CtpyRating[[#This Row],[CPTY_NAME]],S:S,U:U,"",0)=CtpyRating[[#This Row],[FI_RATING]],CtpyRating[[#This Row],[New Rating]]="Yes"),"No","Yes")</f>
        <v>No</v>
      </c>
      <c r="M11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19" s="30" t="str">
        <f>IF(AND(CtpyRating[[#This Row],[FI_RATING]]&lt;&gt;"",_xlfn.XLOOKUP(CtpyRating[[#This Row],[CPTY_NAME]],S:S,U:U,"",0)=""),"Yes","No")</f>
        <v>No</v>
      </c>
      <c r="O119" s="30"/>
      <c r="Q119">
        <v>8</v>
      </c>
      <c r="R119">
        <v>2026</v>
      </c>
      <c r="S119" t="s">
        <v>166</v>
      </c>
      <c r="T119" t="s">
        <v>365</v>
      </c>
      <c r="U119"/>
      <c r="V119" s="34"/>
      <c r="W119"/>
      <c r="X119"/>
    </row>
    <row r="120" spans="1:24" x14ac:dyDescent="0.3">
      <c r="A120" t="s">
        <v>96</v>
      </c>
      <c r="B120" t="s">
        <v>310</v>
      </c>
      <c r="C120" t="s">
        <v>71</v>
      </c>
      <c r="D120" t="s">
        <v>31</v>
      </c>
      <c r="E120" s="27"/>
      <c r="G120" s="27"/>
      <c r="I120" s="27"/>
      <c r="L120" s="30" t="str">
        <f>IF(OR(CtpyRating[[#This Row],[FI_RATING]]="",_xlfn.XLOOKUP(CtpyRating[[#This Row],[CPTY_NAME]],S:S,U:U,"",0)=CtpyRating[[#This Row],[FI_RATING]],CtpyRating[[#This Row],[New Rating]]="Yes"),"No","Yes")</f>
        <v>No</v>
      </c>
      <c r="M12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0" s="30" t="str">
        <f>IF(AND(CtpyRating[[#This Row],[FI_RATING]]&lt;&gt;"",_xlfn.XLOOKUP(CtpyRating[[#This Row],[CPTY_NAME]],S:S,U:U,"",0)=""),"Yes","No")</f>
        <v>No</v>
      </c>
      <c r="O120" s="30"/>
      <c r="Q120">
        <v>8</v>
      </c>
      <c r="R120">
        <v>2026</v>
      </c>
      <c r="S120" t="s">
        <v>167</v>
      </c>
      <c r="T120" t="s">
        <v>366</v>
      </c>
      <c r="U120"/>
      <c r="V120" s="34"/>
      <c r="W120"/>
      <c r="X120"/>
    </row>
    <row r="121" spans="1:24" x14ac:dyDescent="0.3">
      <c r="A121" t="s">
        <v>87</v>
      </c>
      <c r="B121" t="s">
        <v>301</v>
      </c>
      <c r="C121" t="s">
        <v>71</v>
      </c>
      <c r="D121" t="s">
        <v>20</v>
      </c>
      <c r="E121" s="27"/>
      <c r="G121" s="27"/>
      <c r="I121" s="27"/>
      <c r="L121" s="30" t="str">
        <f>IF(OR(CtpyRating[[#This Row],[FI_RATING]]="",_xlfn.XLOOKUP(CtpyRating[[#This Row],[CPTY_NAME]],S:S,U:U,"",0)=CtpyRating[[#This Row],[FI_RATING]],CtpyRating[[#This Row],[New Rating]]="Yes"),"No","Yes")</f>
        <v>No</v>
      </c>
      <c r="M12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1" s="30" t="str">
        <f>IF(AND(CtpyRating[[#This Row],[FI_RATING]]&lt;&gt;"",_xlfn.XLOOKUP(CtpyRating[[#This Row],[CPTY_NAME]],S:S,U:U,"",0)=""),"Yes","No")</f>
        <v>No</v>
      </c>
      <c r="O121" s="30"/>
      <c r="Q121">
        <v>8</v>
      </c>
      <c r="R121">
        <v>2026</v>
      </c>
      <c r="S121" t="s">
        <v>168</v>
      </c>
      <c r="T121" t="s">
        <v>367</v>
      </c>
      <c r="U121" t="s">
        <v>52</v>
      </c>
      <c r="V121" s="34"/>
      <c r="W121"/>
      <c r="X121"/>
    </row>
    <row r="122" spans="1:24" x14ac:dyDescent="0.3">
      <c r="A122" t="s">
        <v>86</v>
      </c>
      <c r="B122" t="s">
        <v>300</v>
      </c>
      <c r="C122" t="s">
        <v>71</v>
      </c>
      <c r="D122" t="s">
        <v>31</v>
      </c>
      <c r="E122" s="27"/>
      <c r="G122" s="27"/>
      <c r="I122" s="27"/>
      <c r="L122" s="30" t="str">
        <f>IF(OR(CtpyRating[[#This Row],[FI_RATING]]="",_xlfn.XLOOKUP(CtpyRating[[#This Row],[CPTY_NAME]],S:S,U:U,"",0)=CtpyRating[[#This Row],[FI_RATING]],CtpyRating[[#This Row],[New Rating]]="Yes"),"No","Yes")</f>
        <v>No</v>
      </c>
      <c r="M12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2" s="30" t="str">
        <f>IF(AND(CtpyRating[[#This Row],[FI_RATING]]&lt;&gt;"",_xlfn.XLOOKUP(CtpyRating[[#This Row],[CPTY_NAME]],S:S,U:U,"",0)=""),"Yes","No")</f>
        <v>No</v>
      </c>
      <c r="O122" s="30"/>
      <c r="Q122">
        <v>8</v>
      </c>
      <c r="R122">
        <v>2026</v>
      </c>
      <c r="S122" t="s">
        <v>169</v>
      </c>
      <c r="T122" t="s">
        <v>368</v>
      </c>
      <c r="U122"/>
      <c r="V122" s="34"/>
      <c r="W122"/>
      <c r="X122"/>
    </row>
    <row r="123" spans="1:24" x14ac:dyDescent="0.3">
      <c r="A123" t="s">
        <v>85</v>
      </c>
      <c r="B123" t="s">
        <v>299</v>
      </c>
      <c r="C123" t="s">
        <v>71</v>
      </c>
      <c r="D123" t="s">
        <v>31</v>
      </c>
      <c r="E123" s="27"/>
      <c r="G123" s="27"/>
      <c r="I123" s="27"/>
      <c r="L123" s="30" t="str">
        <f>IF(OR(CtpyRating[[#This Row],[FI_RATING]]="",_xlfn.XLOOKUP(CtpyRating[[#This Row],[CPTY_NAME]],S:S,U:U,"",0)=CtpyRating[[#This Row],[FI_RATING]],CtpyRating[[#This Row],[New Rating]]="Yes"),"No","Yes")</f>
        <v>No</v>
      </c>
      <c r="M12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3" s="30" t="str">
        <f>IF(AND(CtpyRating[[#This Row],[FI_RATING]]&lt;&gt;"",_xlfn.XLOOKUP(CtpyRating[[#This Row],[CPTY_NAME]],S:S,U:U,"",0)=""),"Yes","No")</f>
        <v>No</v>
      </c>
      <c r="O123" s="30"/>
      <c r="Q123">
        <v>8</v>
      </c>
      <c r="R123">
        <v>2026</v>
      </c>
      <c r="S123" t="s">
        <v>170</v>
      </c>
      <c r="T123" t="s">
        <v>369</v>
      </c>
      <c r="U123" t="s">
        <v>171</v>
      </c>
      <c r="V123" s="34">
        <v>46227</v>
      </c>
      <c r="W123"/>
      <c r="X123"/>
    </row>
    <row r="124" spans="1:24" x14ac:dyDescent="0.3">
      <c r="A124" t="s">
        <v>84</v>
      </c>
      <c r="B124" t="s">
        <v>298</v>
      </c>
      <c r="C124" t="s">
        <v>71</v>
      </c>
      <c r="D124" t="s">
        <v>31</v>
      </c>
      <c r="E124" s="27"/>
      <c r="G124" s="27"/>
      <c r="I124" s="27"/>
      <c r="L124" s="30" t="str">
        <f>IF(OR(CtpyRating[[#This Row],[FI_RATING]]="",_xlfn.XLOOKUP(CtpyRating[[#This Row],[CPTY_NAME]],S:S,U:U,"",0)=CtpyRating[[#This Row],[FI_RATING]],CtpyRating[[#This Row],[New Rating]]="Yes"),"No","Yes")</f>
        <v>No</v>
      </c>
      <c r="M12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4" s="30" t="str">
        <f>IF(AND(CtpyRating[[#This Row],[FI_RATING]]&lt;&gt;"",_xlfn.XLOOKUP(CtpyRating[[#This Row],[CPTY_NAME]],S:S,U:U,"",0)=""),"Yes","No")</f>
        <v>No</v>
      </c>
      <c r="O124" s="30"/>
      <c r="Q124">
        <v>8</v>
      </c>
      <c r="R124">
        <v>2026</v>
      </c>
      <c r="S124" t="s">
        <v>172</v>
      </c>
      <c r="T124" t="s">
        <v>370</v>
      </c>
      <c r="U124" t="s">
        <v>31</v>
      </c>
      <c r="V124" s="34"/>
      <c r="W124"/>
      <c r="X124"/>
    </row>
    <row r="125" spans="1:24" x14ac:dyDescent="0.3">
      <c r="A125" t="s">
        <v>83</v>
      </c>
      <c r="B125" t="s">
        <v>297</v>
      </c>
      <c r="C125" t="s">
        <v>71</v>
      </c>
      <c r="D125" t="s">
        <v>31</v>
      </c>
      <c r="E125" s="27"/>
      <c r="G125" s="27"/>
      <c r="I125" s="27"/>
      <c r="L125" s="30" t="str">
        <f>IF(OR(CtpyRating[[#This Row],[FI_RATING]]="",_xlfn.XLOOKUP(CtpyRating[[#This Row],[CPTY_NAME]],S:S,U:U,"",0)=CtpyRating[[#This Row],[FI_RATING]],CtpyRating[[#This Row],[New Rating]]="Yes"),"No","Yes")</f>
        <v>No</v>
      </c>
      <c r="M12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5" s="30" t="str">
        <f>IF(AND(CtpyRating[[#This Row],[FI_RATING]]&lt;&gt;"",_xlfn.XLOOKUP(CtpyRating[[#This Row],[CPTY_NAME]],S:S,U:U,"",0)=""),"Yes","No")</f>
        <v>No</v>
      </c>
      <c r="O125" s="30"/>
      <c r="Q125">
        <v>8</v>
      </c>
      <c r="R125">
        <v>2026</v>
      </c>
      <c r="S125" t="s">
        <v>173</v>
      </c>
      <c r="T125" t="s">
        <v>371</v>
      </c>
      <c r="U125" t="s">
        <v>24</v>
      </c>
      <c r="V125" s="34">
        <v>45217</v>
      </c>
      <c r="W125"/>
      <c r="X125"/>
    </row>
    <row r="126" spans="1:24" x14ac:dyDescent="0.3">
      <c r="A126" t="s">
        <v>88</v>
      </c>
      <c r="B126" t="s">
        <v>302</v>
      </c>
      <c r="C126" t="s">
        <v>71</v>
      </c>
      <c r="D126" t="s">
        <v>31</v>
      </c>
      <c r="E126" s="27"/>
      <c r="G126" s="27"/>
      <c r="I126" s="27"/>
      <c r="L126" s="30" t="str">
        <f>IF(OR(CtpyRating[[#This Row],[FI_RATING]]="",_xlfn.XLOOKUP(CtpyRating[[#This Row],[CPTY_NAME]],S:S,U:U,"",0)=CtpyRating[[#This Row],[FI_RATING]],CtpyRating[[#This Row],[New Rating]]="Yes"),"No","Yes")</f>
        <v>No</v>
      </c>
      <c r="M12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6" s="30" t="str">
        <f>IF(AND(CtpyRating[[#This Row],[FI_RATING]]&lt;&gt;"",_xlfn.XLOOKUP(CtpyRating[[#This Row],[CPTY_NAME]],S:S,U:U,"",0)=""),"Yes","No")</f>
        <v>No</v>
      </c>
      <c r="O126" s="30"/>
      <c r="Q126">
        <v>8</v>
      </c>
      <c r="R126">
        <v>2026</v>
      </c>
      <c r="S126" t="s">
        <v>174</v>
      </c>
      <c r="T126" t="s">
        <v>372</v>
      </c>
      <c r="U126"/>
      <c r="V126" s="34"/>
      <c r="W126"/>
      <c r="X126"/>
    </row>
    <row r="127" spans="1:24" x14ac:dyDescent="0.3">
      <c r="A127" t="s">
        <v>77</v>
      </c>
      <c r="B127" t="s">
        <v>291</v>
      </c>
      <c r="C127" t="s">
        <v>71</v>
      </c>
      <c r="D127" t="s">
        <v>31</v>
      </c>
      <c r="E127" s="27"/>
      <c r="G127" s="27"/>
      <c r="I127" s="27"/>
      <c r="L127" s="30" t="str">
        <f>IF(OR(CtpyRating[[#This Row],[FI_RATING]]="",_xlfn.XLOOKUP(CtpyRating[[#This Row],[CPTY_NAME]],S:S,U:U,"",0)=CtpyRating[[#This Row],[FI_RATING]],CtpyRating[[#This Row],[New Rating]]="Yes"),"No","Yes")</f>
        <v>No</v>
      </c>
      <c r="M12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7" s="30" t="str">
        <f>IF(AND(CtpyRating[[#This Row],[FI_RATING]]&lt;&gt;"",_xlfn.XLOOKUP(CtpyRating[[#This Row],[CPTY_NAME]],S:S,U:U,"",0)=""),"Yes","No")</f>
        <v>No</v>
      </c>
      <c r="O127" s="30"/>
      <c r="Q127">
        <v>8</v>
      </c>
      <c r="R127">
        <v>2026</v>
      </c>
      <c r="S127" t="s">
        <v>177</v>
      </c>
      <c r="T127" t="s">
        <v>342</v>
      </c>
      <c r="U127"/>
      <c r="V127" s="34"/>
      <c r="W127"/>
      <c r="X127"/>
    </row>
    <row r="128" spans="1:24" x14ac:dyDescent="0.3">
      <c r="A128" t="s">
        <v>183</v>
      </c>
      <c r="B128" t="s">
        <v>377</v>
      </c>
      <c r="C128" t="s">
        <v>51</v>
      </c>
      <c r="D128" t="s">
        <v>40</v>
      </c>
      <c r="E128" s="27">
        <v>45783</v>
      </c>
      <c r="G128" s="27"/>
      <c r="H128" t="s">
        <v>25</v>
      </c>
      <c r="I128" s="27">
        <v>45768</v>
      </c>
      <c r="L128" s="30" t="str">
        <f>IF(OR(CtpyRating[[#This Row],[FI_RATING]]="",_xlfn.XLOOKUP(CtpyRating[[#This Row],[CPTY_NAME]],S:S,U:U,"",0)=CtpyRating[[#This Row],[FI_RATING]],CtpyRating[[#This Row],[New Rating]]="Yes"),"No","Yes")</f>
        <v>No</v>
      </c>
      <c r="M12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8" s="30" t="str">
        <f>IF(AND(CtpyRating[[#This Row],[FI_RATING]]&lt;&gt;"",_xlfn.XLOOKUP(CtpyRating[[#This Row],[CPTY_NAME]],S:S,U:U,"",0)=""),"Yes","No")</f>
        <v>No</v>
      </c>
      <c r="O128" s="30"/>
      <c r="Q128">
        <v>8</v>
      </c>
      <c r="R128">
        <v>2026</v>
      </c>
      <c r="S128" t="s">
        <v>178</v>
      </c>
      <c r="T128" t="s">
        <v>373</v>
      </c>
      <c r="U128" t="s">
        <v>24</v>
      </c>
      <c r="V128" s="34"/>
      <c r="W128"/>
      <c r="X128"/>
    </row>
    <row r="129" spans="1:24" x14ac:dyDescent="0.3">
      <c r="A129" t="s">
        <v>228</v>
      </c>
      <c r="B129" t="s">
        <v>420</v>
      </c>
      <c r="C129" t="s">
        <v>51</v>
      </c>
      <c r="D129" t="s">
        <v>40</v>
      </c>
      <c r="E129" s="27">
        <v>45896</v>
      </c>
      <c r="G129" s="27"/>
      <c r="I129" s="27"/>
      <c r="L129" s="30" t="str">
        <f>IF(OR(CtpyRating[[#This Row],[FI_RATING]]="",_xlfn.XLOOKUP(CtpyRating[[#This Row],[CPTY_NAME]],S:S,U:U,"",0)=CtpyRating[[#This Row],[FI_RATING]],CtpyRating[[#This Row],[New Rating]]="Yes"),"No","Yes")</f>
        <v>No</v>
      </c>
      <c r="M12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29" s="30" t="str">
        <f>IF(AND(CtpyRating[[#This Row],[FI_RATING]]&lt;&gt;"",_xlfn.XLOOKUP(CtpyRating[[#This Row],[CPTY_NAME]],S:S,U:U,"",0)=""),"Yes","No")</f>
        <v>No</v>
      </c>
      <c r="O129" s="30"/>
      <c r="Q129">
        <v>8</v>
      </c>
      <c r="R129">
        <v>2026</v>
      </c>
      <c r="S129" t="s">
        <v>179</v>
      </c>
      <c r="T129" t="s">
        <v>374</v>
      </c>
      <c r="U129" t="s">
        <v>31</v>
      </c>
      <c r="V129" s="34"/>
      <c r="W129"/>
      <c r="X129"/>
    </row>
    <row r="130" spans="1:24" x14ac:dyDescent="0.3">
      <c r="A130" t="s">
        <v>200</v>
      </c>
      <c r="B130" t="s">
        <v>394</v>
      </c>
      <c r="C130" t="s">
        <v>51</v>
      </c>
      <c r="D130" t="s">
        <v>33</v>
      </c>
      <c r="E130" s="27"/>
      <c r="G130" s="27"/>
      <c r="I130" s="27"/>
      <c r="L130" s="30" t="str">
        <f>IF(OR(CtpyRating[[#This Row],[FI_RATING]]="",_xlfn.XLOOKUP(CtpyRating[[#This Row],[CPTY_NAME]],S:S,U:U,"",0)=CtpyRating[[#This Row],[FI_RATING]],CtpyRating[[#This Row],[New Rating]]="Yes"),"No","Yes")</f>
        <v>No</v>
      </c>
      <c r="M13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0" s="30" t="str">
        <f>IF(AND(CtpyRating[[#This Row],[FI_RATING]]&lt;&gt;"",_xlfn.XLOOKUP(CtpyRating[[#This Row],[CPTY_NAME]],S:S,U:U,"",0)=""),"Yes","No")</f>
        <v>No</v>
      </c>
      <c r="O130" s="30"/>
      <c r="Q130">
        <v>8</v>
      </c>
      <c r="R130">
        <v>2026</v>
      </c>
      <c r="S130" t="s">
        <v>180</v>
      </c>
      <c r="T130" t="s">
        <v>296</v>
      </c>
      <c r="U130" t="s">
        <v>20</v>
      </c>
      <c r="V130" s="34">
        <v>45961</v>
      </c>
      <c r="W130"/>
      <c r="X130"/>
    </row>
    <row r="131" spans="1:24" x14ac:dyDescent="0.3">
      <c r="A131" t="s">
        <v>206</v>
      </c>
      <c r="B131" t="s">
        <v>400</v>
      </c>
      <c r="C131" t="s">
        <v>51</v>
      </c>
      <c r="D131" t="s">
        <v>40</v>
      </c>
      <c r="E131" s="27">
        <v>44791</v>
      </c>
      <c r="G131" s="27"/>
      <c r="I131" s="27"/>
      <c r="L131" s="30" t="str">
        <f>IF(OR(CtpyRating[[#This Row],[FI_RATING]]="",_xlfn.XLOOKUP(CtpyRating[[#This Row],[CPTY_NAME]],S:S,U:U,"",0)=CtpyRating[[#This Row],[FI_RATING]],CtpyRating[[#This Row],[New Rating]]="Yes"),"No","Yes")</f>
        <v>No</v>
      </c>
      <c r="M13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1" s="30" t="str">
        <f>IF(AND(CtpyRating[[#This Row],[FI_RATING]]&lt;&gt;"",_xlfn.XLOOKUP(CtpyRating[[#This Row],[CPTY_NAME]],S:S,U:U,"",0)=""),"Yes","No")</f>
        <v>No</v>
      </c>
      <c r="O131" s="30"/>
      <c r="Q131">
        <v>8</v>
      </c>
      <c r="R131">
        <v>2026</v>
      </c>
      <c r="S131" t="s">
        <v>181</v>
      </c>
      <c r="T131" t="s">
        <v>375</v>
      </c>
      <c r="U131" t="s">
        <v>29</v>
      </c>
      <c r="V131" s="34"/>
      <c r="W131"/>
      <c r="X131"/>
    </row>
    <row r="132" spans="1:24" x14ac:dyDescent="0.3">
      <c r="A132" t="s">
        <v>205</v>
      </c>
      <c r="B132" t="s">
        <v>399</v>
      </c>
      <c r="C132" t="s">
        <v>51</v>
      </c>
      <c r="D132" t="s">
        <v>24</v>
      </c>
      <c r="E132" s="27">
        <v>45854</v>
      </c>
      <c r="G132" s="27"/>
      <c r="I132" s="27"/>
      <c r="L132" s="30" t="str">
        <f>IF(OR(CtpyRating[[#This Row],[FI_RATING]]="",_xlfn.XLOOKUP(CtpyRating[[#This Row],[CPTY_NAME]],S:S,U:U,"",0)=CtpyRating[[#This Row],[FI_RATING]],CtpyRating[[#This Row],[New Rating]]="Yes"),"No","Yes")</f>
        <v>No</v>
      </c>
      <c r="M13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2" s="30" t="str">
        <f>IF(AND(CtpyRating[[#This Row],[FI_RATING]]&lt;&gt;"",_xlfn.XLOOKUP(CtpyRating[[#This Row],[CPTY_NAME]],S:S,U:U,"",0)=""),"Yes","No")</f>
        <v>No</v>
      </c>
      <c r="O132" s="30"/>
      <c r="Q132">
        <v>8</v>
      </c>
      <c r="R132">
        <v>2026</v>
      </c>
      <c r="S132" t="s">
        <v>472</v>
      </c>
      <c r="T132"/>
      <c r="U132" t="s">
        <v>31</v>
      </c>
      <c r="V132" s="34"/>
      <c r="W132"/>
      <c r="X132"/>
    </row>
    <row r="133" spans="1:24" x14ac:dyDescent="0.3">
      <c r="A133" t="s">
        <v>184</v>
      </c>
      <c r="B133" t="s">
        <v>378</v>
      </c>
      <c r="C133" t="s">
        <v>51</v>
      </c>
      <c r="D133" t="s">
        <v>20</v>
      </c>
      <c r="E133" s="27">
        <v>46128</v>
      </c>
      <c r="G133" s="27"/>
      <c r="I133" s="27"/>
      <c r="L133" s="30" t="str">
        <f>IF(OR(CtpyRating[[#This Row],[FI_RATING]]="",_xlfn.XLOOKUP(CtpyRating[[#This Row],[CPTY_NAME]],S:S,U:U,"",0)=CtpyRating[[#This Row],[FI_RATING]],CtpyRating[[#This Row],[New Rating]]="Yes"),"No","Yes")</f>
        <v>No</v>
      </c>
      <c r="M13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3" s="30" t="str">
        <f>IF(AND(CtpyRating[[#This Row],[FI_RATING]]&lt;&gt;"",_xlfn.XLOOKUP(CtpyRating[[#This Row],[CPTY_NAME]],S:S,U:U,"",0)=""),"Yes","No")</f>
        <v>No</v>
      </c>
      <c r="O133" s="30"/>
      <c r="Q133">
        <v>8</v>
      </c>
      <c r="R133">
        <v>2026</v>
      </c>
      <c r="S133" t="s">
        <v>183</v>
      </c>
      <c r="T133" t="s">
        <v>377</v>
      </c>
      <c r="U133" t="s">
        <v>40</v>
      </c>
      <c r="V133" s="34">
        <v>45783</v>
      </c>
      <c r="W133"/>
      <c r="X133"/>
    </row>
    <row r="134" spans="1:24" x14ac:dyDescent="0.3">
      <c r="A134" t="s">
        <v>194</v>
      </c>
      <c r="B134" t="s">
        <v>388</v>
      </c>
      <c r="C134" t="s">
        <v>51</v>
      </c>
      <c r="D134" t="s">
        <v>18</v>
      </c>
      <c r="E134" s="27">
        <v>45747</v>
      </c>
      <c r="F134" t="s">
        <v>62</v>
      </c>
      <c r="G134" s="27">
        <v>45614</v>
      </c>
      <c r="I134" s="27"/>
      <c r="L134" s="30" t="str">
        <f>IF(OR(CtpyRating[[#This Row],[FI_RATING]]="",_xlfn.XLOOKUP(CtpyRating[[#This Row],[CPTY_NAME]],S:S,U:U,"",0)=CtpyRating[[#This Row],[FI_RATING]],CtpyRating[[#This Row],[New Rating]]="Yes"),"No","Yes")</f>
        <v>No</v>
      </c>
      <c r="M13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4" s="30" t="str">
        <f>IF(AND(CtpyRating[[#This Row],[FI_RATING]]&lt;&gt;"",_xlfn.XLOOKUP(CtpyRating[[#This Row],[CPTY_NAME]],S:S,U:U,"",0)=""),"Yes","No")</f>
        <v>No</v>
      </c>
      <c r="O134" s="30"/>
      <c r="Q134">
        <v>8</v>
      </c>
      <c r="R134">
        <v>2026</v>
      </c>
      <c r="S134" t="s">
        <v>184</v>
      </c>
      <c r="T134" t="s">
        <v>378</v>
      </c>
      <c r="U134" t="s">
        <v>20</v>
      </c>
      <c r="V134" s="34">
        <v>46128</v>
      </c>
      <c r="W134"/>
      <c r="X134"/>
    </row>
    <row r="135" spans="1:24" x14ac:dyDescent="0.3">
      <c r="A135" t="s">
        <v>185</v>
      </c>
      <c r="B135" t="s">
        <v>379</v>
      </c>
      <c r="C135" t="s">
        <v>51</v>
      </c>
      <c r="D135" t="s">
        <v>24</v>
      </c>
      <c r="E135" s="27">
        <v>45562</v>
      </c>
      <c r="G135" s="27"/>
      <c r="I135" s="27"/>
      <c r="L135" s="30" t="str">
        <f>IF(OR(CtpyRating[[#This Row],[FI_RATING]]="",_xlfn.XLOOKUP(CtpyRating[[#This Row],[CPTY_NAME]],S:S,U:U,"",0)=CtpyRating[[#This Row],[FI_RATING]],CtpyRating[[#This Row],[New Rating]]="Yes"),"No","Yes")</f>
        <v>No</v>
      </c>
      <c r="M13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5" s="30" t="str">
        <f>IF(AND(CtpyRating[[#This Row],[FI_RATING]]&lt;&gt;"",_xlfn.XLOOKUP(CtpyRating[[#This Row],[CPTY_NAME]],S:S,U:U,"",0)=""),"Yes","No")</f>
        <v>No</v>
      </c>
      <c r="O135" s="30"/>
      <c r="Q135">
        <v>8</v>
      </c>
      <c r="R135">
        <v>2026</v>
      </c>
      <c r="S135" t="s">
        <v>185</v>
      </c>
      <c r="T135" t="s">
        <v>379</v>
      </c>
      <c r="U135" t="s">
        <v>24</v>
      </c>
      <c r="V135" s="34">
        <v>45562</v>
      </c>
      <c r="W135"/>
      <c r="X135"/>
    </row>
    <row r="136" spans="1:24" x14ac:dyDescent="0.3">
      <c r="A136" t="s">
        <v>69</v>
      </c>
      <c r="B136" t="s">
        <v>285</v>
      </c>
      <c r="C136" t="s">
        <v>51</v>
      </c>
      <c r="D136" t="s">
        <v>33</v>
      </c>
      <c r="E136" s="27">
        <v>46140</v>
      </c>
      <c r="G136" s="27"/>
      <c r="I136" s="27"/>
      <c r="L136" s="30" t="str">
        <f>IF(OR(CtpyRating[[#This Row],[FI_RATING]]="",_xlfn.XLOOKUP(CtpyRating[[#This Row],[CPTY_NAME]],S:S,U:U,"",0)=CtpyRating[[#This Row],[FI_RATING]],CtpyRating[[#This Row],[New Rating]]="Yes"),"No","Yes")</f>
        <v>No</v>
      </c>
      <c r="M13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6" s="30" t="str">
        <f>IF(AND(CtpyRating[[#This Row],[FI_RATING]]&lt;&gt;"",_xlfn.XLOOKUP(CtpyRating[[#This Row],[CPTY_NAME]],S:S,U:U,"",0)=""),"Yes","No")</f>
        <v>No</v>
      </c>
      <c r="O136" s="30"/>
      <c r="Q136">
        <v>8</v>
      </c>
      <c r="R136">
        <v>2026</v>
      </c>
      <c r="S136" t="s">
        <v>186</v>
      </c>
      <c r="T136" t="s">
        <v>380</v>
      </c>
      <c r="U136" t="s">
        <v>20</v>
      </c>
      <c r="V136" s="34">
        <v>46132</v>
      </c>
      <c r="W136"/>
      <c r="X136"/>
    </row>
    <row r="137" spans="1:24" x14ac:dyDescent="0.3">
      <c r="A137" t="s">
        <v>50</v>
      </c>
      <c r="B137" t="s">
        <v>270</v>
      </c>
      <c r="C137" t="s">
        <v>51</v>
      </c>
      <c r="D137" t="s">
        <v>52</v>
      </c>
      <c r="E137" s="27">
        <v>46164</v>
      </c>
      <c r="G137" s="27"/>
      <c r="H137" t="s">
        <v>38</v>
      </c>
      <c r="I137" s="27">
        <v>46162</v>
      </c>
      <c r="L137" s="30" t="str">
        <f>IF(OR(CtpyRating[[#This Row],[FI_RATING]]="",_xlfn.XLOOKUP(CtpyRating[[#This Row],[CPTY_NAME]],S:S,U:U,"",0)=CtpyRating[[#This Row],[FI_RATING]],CtpyRating[[#This Row],[New Rating]]="Yes"),"No","Yes")</f>
        <v>No</v>
      </c>
      <c r="M13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7" s="30" t="str">
        <f>IF(AND(CtpyRating[[#This Row],[FI_RATING]]&lt;&gt;"",_xlfn.XLOOKUP(CtpyRating[[#This Row],[CPTY_NAME]],S:S,U:U,"",0)=""),"Yes","No")</f>
        <v>No</v>
      </c>
      <c r="O137" s="30"/>
      <c r="Q137">
        <v>8</v>
      </c>
      <c r="R137">
        <v>2026</v>
      </c>
      <c r="S137" t="s">
        <v>187</v>
      </c>
      <c r="T137" t="s">
        <v>381</v>
      </c>
      <c r="U137" t="s">
        <v>40</v>
      </c>
      <c r="V137" s="34">
        <v>45835</v>
      </c>
      <c r="W137"/>
      <c r="X137"/>
    </row>
    <row r="138" spans="1:24" x14ac:dyDescent="0.3">
      <c r="A138" t="s">
        <v>122</v>
      </c>
      <c r="B138" t="s">
        <v>333</v>
      </c>
      <c r="C138" t="s">
        <v>98</v>
      </c>
      <c r="D138" t="s">
        <v>33</v>
      </c>
      <c r="E138" s="27">
        <v>44503</v>
      </c>
      <c r="G138" s="27"/>
      <c r="I138" s="27"/>
      <c r="L138" s="30" t="str">
        <f>IF(OR(CtpyRating[[#This Row],[FI_RATING]]="",_xlfn.XLOOKUP(CtpyRating[[#This Row],[CPTY_NAME]],S:S,U:U,"",0)=CtpyRating[[#This Row],[FI_RATING]],CtpyRating[[#This Row],[New Rating]]="Yes"),"No","Yes")</f>
        <v>No</v>
      </c>
      <c r="M13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8" s="30" t="str">
        <f>IF(AND(CtpyRating[[#This Row],[FI_RATING]]&lt;&gt;"",_xlfn.XLOOKUP(CtpyRating[[#This Row],[CPTY_NAME]],S:S,U:U,"",0)=""),"Yes","No")</f>
        <v>No</v>
      </c>
      <c r="O138" s="30"/>
      <c r="Q138">
        <v>8</v>
      </c>
      <c r="R138">
        <v>2026</v>
      </c>
      <c r="S138" t="s">
        <v>188</v>
      </c>
      <c r="T138" t="s">
        <v>382</v>
      </c>
      <c r="U138" t="s">
        <v>20</v>
      </c>
      <c r="V138" s="34">
        <v>45877</v>
      </c>
      <c r="W138"/>
      <c r="X138"/>
    </row>
    <row r="139" spans="1:24" x14ac:dyDescent="0.3">
      <c r="A139" t="s">
        <v>120</v>
      </c>
      <c r="B139" t="s">
        <v>331</v>
      </c>
      <c r="C139" t="s">
        <v>98</v>
      </c>
      <c r="D139" t="s">
        <v>31</v>
      </c>
      <c r="E139" s="27"/>
      <c r="G139" s="27"/>
      <c r="I139" s="27"/>
      <c r="L139" s="30" t="str">
        <f>IF(OR(CtpyRating[[#This Row],[FI_RATING]]="",_xlfn.XLOOKUP(CtpyRating[[#This Row],[CPTY_NAME]],S:S,U:U,"",0)=CtpyRating[[#This Row],[FI_RATING]],CtpyRating[[#This Row],[New Rating]]="Yes"),"No","Yes")</f>
        <v>No</v>
      </c>
      <c r="M13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39" s="30" t="str">
        <f>IF(AND(CtpyRating[[#This Row],[FI_RATING]]&lt;&gt;"",_xlfn.XLOOKUP(CtpyRating[[#This Row],[CPTY_NAME]],S:S,U:U,"",0)=""),"Yes","No")</f>
        <v>No</v>
      </c>
      <c r="O139" s="30"/>
      <c r="Q139">
        <v>8</v>
      </c>
      <c r="R139">
        <v>2026</v>
      </c>
      <c r="S139" t="s">
        <v>189</v>
      </c>
      <c r="T139" t="s">
        <v>383</v>
      </c>
      <c r="U139" t="s">
        <v>20</v>
      </c>
      <c r="V139" s="34">
        <v>46190</v>
      </c>
      <c r="W139"/>
      <c r="X139"/>
    </row>
    <row r="140" spans="1:24" x14ac:dyDescent="0.3">
      <c r="A140" t="s">
        <v>242</v>
      </c>
      <c r="C140" t="s">
        <v>71</v>
      </c>
      <c r="D140" t="s">
        <v>24</v>
      </c>
      <c r="E140" s="27"/>
      <c r="G140" s="27"/>
      <c r="I140" s="27"/>
      <c r="L140" s="30" t="str">
        <f>IF(OR(CtpyRating[[#This Row],[FI_RATING]]="",_xlfn.XLOOKUP(CtpyRating[[#This Row],[CPTY_NAME]],S:S,U:U,"",0)=CtpyRating[[#This Row],[FI_RATING]],CtpyRating[[#This Row],[New Rating]]="Yes"),"No","Yes")</f>
        <v>No</v>
      </c>
      <c r="M14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0" s="30" t="str">
        <f>IF(AND(CtpyRating[[#This Row],[FI_RATING]]&lt;&gt;"",_xlfn.XLOOKUP(CtpyRating[[#This Row],[CPTY_NAME]],S:S,U:U,"",0)=""),"Yes","No")</f>
        <v>No</v>
      </c>
      <c r="O140" s="30"/>
      <c r="Q140">
        <v>8</v>
      </c>
      <c r="R140">
        <v>2026</v>
      </c>
      <c r="S140" t="s">
        <v>190</v>
      </c>
      <c r="T140" t="s">
        <v>384</v>
      </c>
      <c r="U140" t="s">
        <v>31</v>
      </c>
      <c r="V140" s="34">
        <v>45875</v>
      </c>
      <c r="W140"/>
      <c r="X140"/>
    </row>
    <row r="141" spans="1:24" x14ac:dyDescent="0.3">
      <c r="A141" t="s">
        <v>124</v>
      </c>
      <c r="B141" t="s">
        <v>335</v>
      </c>
      <c r="C141" t="s">
        <v>98</v>
      </c>
      <c r="D141" t="s">
        <v>31</v>
      </c>
      <c r="E141" s="27"/>
      <c r="G141" s="27"/>
      <c r="I141" s="27"/>
      <c r="L141" s="30" t="str">
        <f>IF(OR(CtpyRating[[#This Row],[FI_RATING]]="",_xlfn.XLOOKUP(CtpyRating[[#This Row],[CPTY_NAME]],S:S,U:U,"",0)=CtpyRating[[#This Row],[FI_RATING]],CtpyRating[[#This Row],[New Rating]]="Yes"),"No","Yes")</f>
        <v>No</v>
      </c>
      <c r="M14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1" s="30" t="str">
        <f>IF(AND(CtpyRating[[#This Row],[FI_RATING]]&lt;&gt;"",_xlfn.XLOOKUP(CtpyRating[[#This Row],[CPTY_NAME]],S:S,U:U,"",0)=""),"Yes","No")</f>
        <v>No</v>
      </c>
      <c r="O141" s="30"/>
      <c r="Q141">
        <v>8</v>
      </c>
      <c r="R141">
        <v>2026</v>
      </c>
      <c r="S141" t="s">
        <v>191</v>
      </c>
      <c r="T141" t="s">
        <v>385</v>
      </c>
      <c r="U141"/>
      <c r="V141" s="34"/>
      <c r="W141"/>
      <c r="X141"/>
    </row>
    <row r="142" spans="1:24" x14ac:dyDescent="0.3">
      <c r="A142" t="s">
        <v>118</v>
      </c>
      <c r="B142" t="s">
        <v>329</v>
      </c>
      <c r="C142" t="s">
        <v>98</v>
      </c>
      <c r="D142" t="s">
        <v>31</v>
      </c>
      <c r="E142" s="27"/>
      <c r="G142" s="27"/>
      <c r="I142" s="27"/>
      <c r="L142" s="30" t="str">
        <f>IF(OR(CtpyRating[[#This Row],[FI_RATING]]="",_xlfn.XLOOKUP(CtpyRating[[#This Row],[CPTY_NAME]],S:S,U:U,"",0)=CtpyRating[[#This Row],[FI_RATING]],CtpyRating[[#This Row],[New Rating]]="Yes"),"No","Yes")</f>
        <v>No</v>
      </c>
      <c r="M14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2" s="30" t="str">
        <f>IF(AND(CtpyRating[[#This Row],[FI_RATING]]&lt;&gt;"",_xlfn.XLOOKUP(CtpyRating[[#This Row],[CPTY_NAME]],S:S,U:U,"",0)=""),"Yes","No")</f>
        <v>No</v>
      </c>
      <c r="O142" s="30"/>
      <c r="Q142">
        <v>8</v>
      </c>
      <c r="R142">
        <v>2026</v>
      </c>
      <c r="S142" t="s">
        <v>192</v>
      </c>
      <c r="T142" t="s">
        <v>386</v>
      </c>
      <c r="U142"/>
      <c r="V142" s="34"/>
      <c r="W142"/>
      <c r="X142"/>
    </row>
    <row r="143" spans="1:24" x14ac:dyDescent="0.3">
      <c r="A143" t="s">
        <v>217</v>
      </c>
      <c r="B143" t="s">
        <v>411</v>
      </c>
      <c r="C143" t="s">
        <v>98</v>
      </c>
      <c r="D143" t="s">
        <v>20</v>
      </c>
      <c r="E143" s="27"/>
      <c r="G143" s="27"/>
      <c r="I143" s="27"/>
      <c r="L143" s="30" t="str">
        <f>IF(OR(CtpyRating[[#This Row],[FI_RATING]]="",_xlfn.XLOOKUP(CtpyRating[[#This Row],[CPTY_NAME]],S:S,U:U,"",0)=CtpyRating[[#This Row],[FI_RATING]],CtpyRating[[#This Row],[New Rating]]="Yes"),"No","Yes")</f>
        <v>No</v>
      </c>
      <c r="M14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3" s="30" t="str">
        <f>IF(AND(CtpyRating[[#This Row],[FI_RATING]]&lt;&gt;"",_xlfn.XLOOKUP(CtpyRating[[#This Row],[CPTY_NAME]],S:S,U:U,"",0)=""),"Yes","No")</f>
        <v>No</v>
      </c>
      <c r="O143" s="30"/>
      <c r="Q143">
        <v>8</v>
      </c>
      <c r="R143">
        <v>2026</v>
      </c>
      <c r="S143" t="s">
        <v>193</v>
      </c>
      <c r="T143" t="s">
        <v>387</v>
      </c>
      <c r="U143"/>
      <c r="V143" s="34"/>
      <c r="W143"/>
      <c r="X143"/>
    </row>
    <row r="144" spans="1:24" x14ac:dyDescent="0.3">
      <c r="A144" t="s">
        <v>114</v>
      </c>
      <c r="B144" t="s">
        <v>326</v>
      </c>
      <c r="C144" t="s">
        <v>98</v>
      </c>
      <c r="D144" t="s">
        <v>115</v>
      </c>
      <c r="E144" s="27"/>
      <c r="G144" s="27"/>
      <c r="I144" s="27"/>
      <c r="L144" s="30" t="str">
        <f>IF(OR(CtpyRating[[#This Row],[FI_RATING]]="",_xlfn.XLOOKUP(CtpyRating[[#This Row],[CPTY_NAME]],S:S,U:U,"",0)=CtpyRating[[#This Row],[FI_RATING]],CtpyRating[[#This Row],[New Rating]]="Yes"),"No","Yes")</f>
        <v>No</v>
      </c>
      <c r="M14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4" s="30" t="str">
        <f>IF(AND(CtpyRating[[#This Row],[FI_RATING]]&lt;&gt;"",_xlfn.XLOOKUP(CtpyRating[[#This Row],[CPTY_NAME]],S:S,U:U,"",0)=""),"Yes","No")</f>
        <v>No</v>
      </c>
      <c r="O144" s="30"/>
      <c r="Q144">
        <v>8</v>
      </c>
      <c r="R144">
        <v>2026</v>
      </c>
      <c r="S144" t="s">
        <v>194</v>
      </c>
      <c r="T144" t="s">
        <v>388</v>
      </c>
      <c r="U144" t="s">
        <v>18</v>
      </c>
      <c r="V144" s="34">
        <v>45747</v>
      </c>
      <c r="W144"/>
      <c r="X144"/>
    </row>
    <row r="145" spans="1:24" x14ac:dyDescent="0.3">
      <c r="A145" t="s">
        <v>123</v>
      </c>
      <c r="B145" t="s">
        <v>334</v>
      </c>
      <c r="C145" t="s">
        <v>98</v>
      </c>
      <c r="D145" t="s">
        <v>52</v>
      </c>
      <c r="E145" s="27"/>
      <c r="G145" s="27"/>
      <c r="I145" s="27"/>
      <c r="L145" s="30" t="str">
        <f>IF(OR(CtpyRating[[#This Row],[FI_RATING]]="",_xlfn.XLOOKUP(CtpyRating[[#This Row],[CPTY_NAME]],S:S,U:U,"",0)=CtpyRating[[#This Row],[FI_RATING]],CtpyRating[[#This Row],[New Rating]]="Yes"),"No","Yes")</f>
        <v>No</v>
      </c>
      <c r="M14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5" s="30" t="str">
        <f>IF(AND(CtpyRating[[#This Row],[FI_RATING]]&lt;&gt;"",_xlfn.XLOOKUP(CtpyRating[[#This Row],[CPTY_NAME]],S:S,U:U,"",0)=""),"Yes","No")</f>
        <v>No</v>
      </c>
      <c r="O145" s="30"/>
      <c r="Q145">
        <v>8</v>
      </c>
      <c r="R145">
        <v>2026</v>
      </c>
      <c r="S145" t="s">
        <v>195</v>
      </c>
      <c r="T145" t="s">
        <v>389</v>
      </c>
      <c r="U145"/>
      <c r="V145" s="34"/>
      <c r="W145"/>
      <c r="X145"/>
    </row>
    <row r="146" spans="1:24" x14ac:dyDescent="0.3">
      <c r="A146" t="s">
        <v>117</v>
      </c>
      <c r="B146" t="s">
        <v>328</v>
      </c>
      <c r="C146" t="s">
        <v>98</v>
      </c>
      <c r="D146" t="s">
        <v>31</v>
      </c>
      <c r="E146" s="27"/>
      <c r="G146" s="27"/>
      <c r="I146" s="27"/>
      <c r="L146" s="30" t="str">
        <f>IF(OR(CtpyRating[[#This Row],[FI_RATING]]="",_xlfn.XLOOKUP(CtpyRating[[#This Row],[CPTY_NAME]],S:S,U:U,"",0)=CtpyRating[[#This Row],[FI_RATING]],CtpyRating[[#This Row],[New Rating]]="Yes"),"No","Yes")</f>
        <v>No</v>
      </c>
      <c r="M14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6" s="30" t="str">
        <f>IF(AND(CtpyRating[[#This Row],[FI_RATING]]&lt;&gt;"",_xlfn.XLOOKUP(CtpyRating[[#This Row],[CPTY_NAME]],S:S,U:U,"",0)=""),"Yes","No")</f>
        <v>No</v>
      </c>
      <c r="O146" s="30"/>
      <c r="Q146">
        <v>8</v>
      </c>
      <c r="R146">
        <v>2026</v>
      </c>
      <c r="S146" t="s">
        <v>196</v>
      </c>
      <c r="T146" t="s">
        <v>390</v>
      </c>
      <c r="U146"/>
      <c r="V146" s="34"/>
      <c r="W146"/>
      <c r="X146"/>
    </row>
    <row r="147" spans="1:24" x14ac:dyDescent="0.3">
      <c r="A147" t="s">
        <v>82</v>
      </c>
      <c r="B147" t="s">
        <v>296</v>
      </c>
      <c r="C147" t="s">
        <v>71</v>
      </c>
      <c r="D147" t="s">
        <v>31</v>
      </c>
      <c r="E147" s="27"/>
      <c r="G147" s="27"/>
      <c r="I147" s="27"/>
      <c r="L147" s="30" t="str">
        <f>IF(OR(CtpyRating[[#This Row],[FI_RATING]]="",_xlfn.XLOOKUP(CtpyRating[[#This Row],[CPTY_NAME]],S:S,U:U,"",0)=CtpyRating[[#This Row],[FI_RATING]],CtpyRating[[#This Row],[New Rating]]="Yes"),"No","Yes")</f>
        <v>No</v>
      </c>
      <c r="M14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7" s="30" t="str">
        <f>IF(AND(CtpyRating[[#This Row],[FI_RATING]]&lt;&gt;"",_xlfn.XLOOKUP(CtpyRating[[#This Row],[CPTY_NAME]],S:S,U:U,"",0)=""),"Yes","No")</f>
        <v>No</v>
      </c>
      <c r="O147" s="30"/>
      <c r="Q147">
        <v>8</v>
      </c>
      <c r="R147">
        <v>2026</v>
      </c>
      <c r="S147" t="s">
        <v>197</v>
      </c>
      <c r="T147" t="s">
        <v>391</v>
      </c>
      <c r="U147"/>
      <c r="V147" s="34"/>
      <c r="W147"/>
      <c r="X147"/>
    </row>
    <row r="148" spans="1:24" x14ac:dyDescent="0.3">
      <c r="A148" t="s">
        <v>188</v>
      </c>
      <c r="B148" t="s">
        <v>382</v>
      </c>
      <c r="C148" t="s">
        <v>100</v>
      </c>
      <c r="D148" t="s">
        <v>20</v>
      </c>
      <c r="E148" s="27">
        <v>45877</v>
      </c>
      <c r="G148" s="27"/>
      <c r="I148" s="27"/>
      <c r="L148" s="30" t="str">
        <f>IF(OR(CtpyRating[[#This Row],[FI_RATING]]="",_xlfn.XLOOKUP(CtpyRating[[#This Row],[CPTY_NAME]],S:S,U:U,"",0)=CtpyRating[[#This Row],[FI_RATING]],CtpyRating[[#This Row],[New Rating]]="Yes"),"No","Yes")</f>
        <v>No</v>
      </c>
      <c r="M14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48" s="30" t="str">
        <f>IF(AND(CtpyRating[[#This Row],[FI_RATING]]&lt;&gt;"",_xlfn.XLOOKUP(CtpyRating[[#This Row],[CPTY_NAME]],S:S,U:U,"",0)=""),"Yes","No")</f>
        <v>No</v>
      </c>
      <c r="O148" s="30"/>
      <c r="Q148">
        <v>8</v>
      </c>
      <c r="R148">
        <v>2026</v>
      </c>
      <c r="S148" t="s">
        <v>198</v>
      </c>
      <c r="T148" t="s">
        <v>392</v>
      </c>
      <c r="U148"/>
      <c r="V148" s="34"/>
      <c r="W148"/>
      <c r="X148"/>
    </row>
    <row r="149" spans="1:24" x14ac:dyDescent="0.3">
      <c r="A149" t="s">
        <v>106</v>
      </c>
      <c r="B149" t="s">
        <v>318</v>
      </c>
      <c r="C149" t="s">
        <v>100</v>
      </c>
      <c r="D149" t="s">
        <v>20</v>
      </c>
      <c r="E149" s="27">
        <v>46216</v>
      </c>
      <c r="G149" s="27"/>
      <c r="I149" s="27"/>
      <c r="L149" s="30" t="str">
        <f>IF(OR(CtpyRating[[#This Row],[FI_RATING]]="",_xlfn.XLOOKUP(CtpyRating[[#This Row],[CPTY_NAME]],S:S,U:U,"",0)=CtpyRating[[#This Row],[FI_RATING]],CtpyRating[[#This Row],[New Rating]]="Yes"),"No","Yes")</f>
        <v>No</v>
      </c>
      <c r="M149" s="30" t="str">
        <f>IF(OR(CtpyRating[[#This Row],[FI_RATING_DATE]]="",CtpyRating[[#This Row],[FI_RATING_DATE]]=_xlfn.XLOOKUP(CtpyRating[[#This Row],[CPTY_NAME]],S:S,V:V,"",0),CtpyRating[[#This Row],[New Rating]]="Yes"),"No","Yes")</f>
        <v>Yes</v>
      </c>
      <c r="N149" s="30" t="str">
        <f>IF(AND(CtpyRating[[#This Row],[FI_RATING]]&lt;&gt;"",_xlfn.XLOOKUP(CtpyRating[[#This Row],[CPTY_NAME]],S:S,U:U,"",0)=""),"Yes","No")</f>
        <v>No</v>
      </c>
      <c r="O149" s="30"/>
      <c r="Q149">
        <v>8</v>
      </c>
      <c r="R149">
        <v>2026</v>
      </c>
      <c r="S149" t="s">
        <v>199</v>
      </c>
      <c r="T149" t="s">
        <v>393</v>
      </c>
      <c r="U149"/>
      <c r="V149" s="34"/>
      <c r="W149"/>
      <c r="X149"/>
    </row>
    <row r="150" spans="1:24" x14ac:dyDescent="0.3">
      <c r="A150" t="s">
        <v>109</v>
      </c>
      <c r="B150" t="s">
        <v>321</v>
      </c>
      <c r="C150" t="s">
        <v>100</v>
      </c>
      <c r="D150" t="s">
        <v>20</v>
      </c>
      <c r="E150" s="27"/>
      <c r="G150" s="27"/>
      <c r="I150" s="27"/>
      <c r="L150" s="30" t="str">
        <f>IF(OR(CtpyRating[[#This Row],[FI_RATING]]="",_xlfn.XLOOKUP(CtpyRating[[#This Row],[CPTY_NAME]],S:S,U:U,"",0)=CtpyRating[[#This Row],[FI_RATING]],CtpyRating[[#This Row],[New Rating]]="Yes"),"No","Yes")</f>
        <v>No</v>
      </c>
      <c r="M15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0" s="30" t="str">
        <f>IF(AND(CtpyRating[[#This Row],[FI_RATING]]&lt;&gt;"",_xlfn.XLOOKUP(CtpyRating[[#This Row],[CPTY_NAME]],S:S,U:U,"",0)=""),"Yes","No")</f>
        <v>No</v>
      </c>
      <c r="O150" s="30"/>
      <c r="Q150">
        <v>8</v>
      </c>
      <c r="R150">
        <v>2026</v>
      </c>
      <c r="S150" t="s">
        <v>200</v>
      </c>
      <c r="T150" t="s">
        <v>394</v>
      </c>
      <c r="U150" t="s">
        <v>33</v>
      </c>
      <c r="V150" s="34"/>
      <c r="W150"/>
      <c r="X150"/>
    </row>
    <row r="151" spans="1:24" x14ac:dyDescent="0.3">
      <c r="A151" t="s">
        <v>186</v>
      </c>
      <c r="B151" t="s">
        <v>380</v>
      </c>
      <c r="C151" t="s">
        <v>100</v>
      </c>
      <c r="D151" t="s">
        <v>20</v>
      </c>
      <c r="E151" s="27">
        <v>46132</v>
      </c>
      <c r="G151" s="27"/>
      <c r="I151" s="27"/>
      <c r="L151" s="30" t="str">
        <f>IF(OR(CtpyRating[[#This Row],[FI_RATING]]="",_xlfn.XLOOKUP(CtpyRating[[#This Row],[CPTY_NAME]],S:S,U:U,"",0)=CtpyRating[[#This Row],[FI_RATING]],CtpyRating[[#This Row],[New Rating]]="Yes"),"No","Yes")</f>
        <v>No</v>
      </c>
      <c r="M15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1" s="30" t="str">
        <f>IF(AND(CtpyRating[[#This Row],[FI_RATING]]&lt;&gt;"",_xlfn.XLOOKUP(CtpyRating[[#This Row],[CPTY_NAME]],S:S,U:U,"",0)=""),"Yes","No")</f>
        <v>No</v>
      </c>
      <c r="O151" s="30"/>
      <c r="Q151">
        <v>8</v>
      </c>
      <c r="R151">
        <v>2026</v>
      </c>
      <c r="S151" t="s">
        <v>201</v>
      </c>
      <c r="T151" t="s">
        <v>395</v>
      </c>
      <c r="U151"/>
      <c r="V151" s="34"/>
      <c r="W151"/>
      <c r="X151"/>
    </row>
    <row r="152" spans="1:24" x14ac:dyDescent="0.3">
      <c r="A152" t="s">
        <v>101</v>
      </c>
      <c r="B152" t="s">
        <v>313</v>
      </c>
      <c r="C152" t="s">
        <v>100</v>
      </c>
      <c r="D152" t="s">
        <v>20</v>
      </c>
      <c r="E152" s="27">
        <v>46174</v>
      </c>
      <c r="G152" s="27"/>
      <c r="I152" s="27"/>
      <c r="L152" s="30" t="str">
        <f>IF(OR(CtpyRating[[#This Row],[FI_RATING]]="",_xlfn.XLOOKUP(CtpyRating[[#This Row],[CPTY_NAME]],S:S,U:U,"",0)=CtpyRating[[#This Row],[FI_RATING]],CtpyRating[[#This Row],[New Rating]]="Yes"),"No","Yes")</f>
        <v>No</v>
      </c>
      <c r="M15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2" s="30" t="str">
        <f>IF(AND(CtpyRating[[#This Row],[FI_RATING]]&lt;&gt;"",_xlfn.XLOOKUP(CtpyRating[[#This Row],[CPTY_NAME]],S:S,U:U,"",0)=""),"Yes","No")</f>
        <v>No</v>
      </c>
      <c r="O152" s="30"/>
      <c r="Q152">
        <v>8</v>
      </c>
      <c r="R152">
        <v>2026</v>
      </c>
      <c r="S152" t="s">
        <v>202</v>
      </c>
      <c r="T152" t="s">
        <v>396</v>
      </c>
      <c r="U152"/>
      <c r="V152" s="34"/>
      <c r="W152"/>
      <c r="X152"/>
    </row>
    <row r="153" spans="1:24" x14ac:dyDescent="0.3">
      <c r="A153" t="s">
        <v>213</v>
      </c>
      <c r="B153" t="s">
        <v>407</v>
      </c>
      <c r="C153" t="s">
        <v>100</v>
      </c>
      <c r="D153" t="s">
        <v>24</v>
      </c>
      <c r="E153" s="27">
        <v>46231</v>
      </c>
      <c r="G153" s="27"/>
      <c r="I153" s="27"/>
      <c r="L153" s="30" t="str">
        <f>IF(OR(CtpyRating[[#This Row],[FI_RATING]]="",_xlfn.XLOOKUP(CtpyRating[[#This Row],[CPTY_NAME]],S:S,U:U,"",0)=CtpyRating[[#This Row],[FI_RATING]],CtpyRating[[#This Row],[New Rating]]="Yes"),"No","Yes")</f>
        <v>No</v>
      </c>
      <c r="M153" s="30" t="str">
        <f>IF(OR(CtpyRating[[#This Row],[FI_RATING_DATE]]="",CtpyRating[[#This Row],[FI_RATING_DATE]]=_xlfn.XLOOKUP(CtpyRating[[#This Row],[CPTY_NAME]],S:S,V:V,"",0),CtpyRating[[#This Row],[New Rating]]="Yes"),"No","Yes")</f>
        <v>Yes</v>
      </c>
      <c r="N153" s="30" t="str">
        <f>IF(AND(CtpyRating[[#This Row],[FI_RATING]]&lt;&gt;"",_xlfn.XLOOKUP(CtpyRating[[#This Row],[CPTY_NAME]],S:S,U:U,"",0)=""),"Yes","No")</f>
        <v>No</v>
      </c>
      <c r="O153" s="30"/>
      <c r="Q153">
        <v>8</v>
      </c>
      <c r="R153">
        <v>2026</v>
      </c>
      <c r="S153" t="s">
        <v>203</v>
      </c>
      <c r="T153" t="s">
        <v>397</v>
      </c>
      <c r="U153"/>
      <c r="V153" s="34"/>
      <c r="W153"/>
      <c r="X153"/>
    </row>
    <row r="154" spans="1:24" x14ac:dyDescent="0.3">
      <c r="A154" t="s">
        <v>111</v>
      </c>
      <c r="B154" t="s">
        <v>323</v>
      </c>
      <c r="C154" t="s">
        <v>100</v>
      </c>
      <c r="E154" s="27"/>
      <c r="G154" s="27"/>
      <c r="I154" s="27"/>
      <c r="L154" s="30" t="str">
        <f>IF(OR(CtpyRating[[#This Row],[FI_RATING]]="",_xlfn.XLOOKUP(CtpyRating[[#This Row],[CPTY_NAME]],S:S,U:U,"",0)=CtpyRating[[#This Row],[FI_RATING]],CtpyRating[[#This Row],[New Rating]]="Yes"),"No","Yes")</f>
        <v>No</v>
      </c>
      <c r="M15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4" s="30" t="str">
        <f>IF(AND(CtpyRating[[#This Row],[FI_RATING]]&lt;&gt;"",_xlfn.XLOOKUP(CtpyRating[[#This Row],[CPTY_NAME]],S:S,U:U,"",0)=""),"Yes","No")</f>
        <v>No</v>
      </c>
      <c r="O154" s="30"/>
      <c r="Q154">
        <v>8</v>
      </c>
      <c r="R154">
        <v>2026</v>
      </c>
      <c r="S154" t="s">
        <v>204</v>
      </c>
      <c r="T154" t="s">
        <v>398</v>
      </c>
      <c r="U154" t="s">
        <v>20</v>
      </c>
      <c r="V154" s="34"/>
      <c r="W154"/>
      <c r="X154"/>
    </row>
    <row r="155" spans="1:24" x14ac:dyDescent="0.3">
      <c r="A155" t="s">
        <v>110</v>
      </c>
      <c r="B155" t="s">
        <v>322</v>
      </c>
      <c r="C155" t="s">
        <v>100</v>
      </c>
      <c r="E155" s="27"/>
      <c r="G155" s="27"/>
      <c r="I155" s="27"/>
      <c r="L155" s="30" t="str">
        <f>IF(OR(CtpyRating[[#This Row],[FI_RATING]]="",_xlfn.XLOOKUP(CtpyRating[[#This Row],[CPTY_NAME]],S:S,U:U,"",0)=CtpyRating[[#This Row],[FI_RATING]],CtpyRating[[#This Row],[New Rating]]="Yes"),"No","Yes")</f>
        <v>No</v>
      </c>
      <c r="M15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5" s="30" t="str">
        <f>IF(AND(CtpyRating[[#This Row],[FI_RATING]]&lt;&gt;"",_xlfn.XLOOKUP(CtpyRating[[#This Row],[CPTY_NAME]],S:S,U:U,"",0)=""),"Yes","No")</f>
        <v>No</v>
      </c>
      <c r="O155" s="30"/>
      <c r="Q155">
        <v>8</v>
      </c>
      <c r="R155">
        <v>2026</v>
      </c>
      <c r="S155" t="s">
        <v>205</v>
      </c>
      <c r="T155" t="s">
        <v>399</v>
      </c>
      <c r="U155" t="s">
        <v>24</v>
      </c>
      <c r="V155" s="34">
        <v>45854</v>
      </c>
      <c r="W155"/>
      <c r="X155"/>
    </row>
    <row r="156" spans="1:24" x14ac:dyDescent="0.3">
      <c r="A156" t="s">
        <v>105</v>
      </c>
      <c r="B156" t="s">
        <v>317</v>
      </c>
      <c r="C156" t="s">
        <v>100</v>
      </c>
      <c r="D156" t="s">
        <v>33</v>
      </c>
      <c r="E156" s="27">
        <v>45922</v>
      </c>
      <c r="G156" s="27"/>
      <c r="I156" s="27"/>
      <c r="L156" s="30" t="str">
        <f>IF(OR(CtpyRating[[#This Row],[FI_RATING]]="",_xlfn.XLOOKUP(CtpyRating[[#This Row],[CPTY_NAME]],S:S,U:U,"",0)=CtpyRating[[#This Row],[FI_RATING]],CtpyRating[[#This Row],[New Rating]]="Yes"),"No","Yes")</f>
        <v>No</v>
      </c>
      <c r="M15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6" s="30" t="str">
        <f>IF(AND(CtpyRating[[#This Row],[FI_RATING]]&lt;&gt;"",_xlfn.XLOOKUP(CtpyRating[[#This Row],[CPTY_NAME]],S:S,U:U,"",0)=""),"Yes","No")</f>
        <v>No</v>
      </c>
      <c r="O156" s="30"/>
      <c r="Q156">
        <v>8</v>
      </c>
      <c r="R156">
        <v>2026</v>
      </c>
      <c r="S156" t="s">
        <v>206</v>
      </c>
      <c r="T156" t="s">
        <v>400</v>
      </c>
      <c r="U156" t="s">
        <v>40</v>
      </c>
      <c r="V156" s="34">
        <v>44791</v>
      </c>
      <c r="W156"/>
      <c r="X156"/>
    </row>
    <row r="157" spans="1:24" x14ac:dyDescent="0.3">
      <c r="A157" t="s">
        <v>211</v>
      </c>
      <c r="B157" t="s">
        <v>405</v>
      </c>
      <c r="C157" t="s">
        <v>100</v>
      </c>
      <c r="D157" t="s">
        <v>20</v>
      </c>
      <c r="E157" s="27">
        <v>46133</v>
      </c>
      <c r="G157" s="27"/>
      <c r="I157" s="27"/>
      <c r="L157" s="30" t="str">
        <f>IF(OR(CtpyRating[[#This Row],[FI_RATING]]="",_xlfn.XLOOKUP(CtpyRating[[#This Row],[CPTY_NAME]],S:S,U:U,"",0)=CtpyRating[[#This Row],[FI_RATING]],CtpyRating[[#This Row],[New Rating]]="Yes"),"No","Yes")</f>
        <v>No</v>
      </c>
      <c r="M15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7" s="30" t="str">
        <f>IF(AND(CtpyRating[[#This Row],[FI_RATING]]&lt;&gt;"",_xlfn.XLOOKUP(CtpyRating[[#This Row],[CPTY_NAME]],S:S,U:U,"",0)=""),"Yes","No")</f>
        <v>No</v>
      </c>
      <c r="O157" s="30"/>
      <c r="Q157">
        <v>8</v>
      </c>
      <c r="R157">
        <v>2026</v>
      </c>
      <c r="S157" t="s">
        <v>207</v>
      </c>
      <c r="T157" t="s">
        <v>401</v>
      </c>
      <c r="U157" t="s">
        <v>31</v>
      </c>
      <c r="V157" s="34"/>
      <c r="W157"/>
      <c r="X157"/>
    </row>
    <row r="158" spans="1:24" x14ac:dyDescent="0.3">
      <c r="A158" t="s">
        <v>107</v>
      </c>
      <c r="B158" t="s">
        <v>319</v>
      </c>
      <c r="C158" t="s">
        <v>100</v>
      </c>
      <c r="D158" t="s">
        <v>33</v>
      </c>
      <c r="E158" s="27"/>
      <c r="G158" s="27"/>
      <c r="I158" s="27"/>
      <c r="L158" s="30" t="str">
        <f>IF(OR(CtpyRating[[#This Row],[FI_RATING]]="",_xlfn.XLOOKUP(CtpyRating[[#This Row],[CPTY_NAME]],S:S,U:U,"",0)=CtpyRating[[#This Row],[FI_RATING]],CtpyRating[[#This Row],[New Rating]]="Yes"),"No","Yes")</f>
        <v>No</v>
      </c>
      <c r="M15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8" s="30" t="str">
        <f>IF(AND(CtpyRating[[#This Row],[FI_RATING]]&lt;&gt;"",_xlfn.XLOOKUP(CtpyRating[[#This Row],[CPTY_NAME]],S:S,U:U,"",0)=""),"Yes","No")</f>
        <v>No</v>
      </c>
      <c r="O158" s="30"/>
      <c r="Q158">
        <v>8</v>
      </c>
      <c r="R158">
        <v>2026</v>
      </c>
      <c r="S158" t="s">
        <v>244</v>
      </c>
      <c r="T158" t="s">
        <v>402</v>
      </c>
      <c r="U158" t="s">
        <v>31</v>
      </c>
      <c r="V158" s="34"/>
      <c r="W158"/>
      <c r="X158"/>
    </row>
    <row r="159" spans="1:24" x14ac:dyDescent="0.3">
      <c r="A159" t="s">
        <v>231</v>
      </c>
      <c r="B159" t="s">
        <v>423</v>
      </c>
      <c r="C159" t="s">
        <v>100</v>
      </c>
      <c r="D159" t="s">
        <v>20</v>
      </c>
      <c r="E159" s="27">
        <v>46170</v>
      </c>
      <c r="G159" s="27"/>
      <c r="I159" s="27"/>
      <c r="L159" s="30" t="str">
        <f>IF(OR(CtpyRating[[#This Row],[FI_RATING]]="",_xlfn.XLOOKUP(CtpyRating[[#This Row],[CPTY_NAME]],S:S,U:U,"",0)=CtpyRating[[#This Row],[FI_RATING]],CtpyRating[[#This Row],[New Rating]]="Yes"),"No","Yes")</f>
        <v>No</v>
      </c>
      <c r="M15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59" s="30" t="str">
        <f>IF(AND(CtpyRating[[#This Row],[FI_RATING]]&lt;&gt;"",_xlfn.XLOOKUP(CtpyRating[[#This Row],[CPTY_NAME]],S:S,U:U,"",0)=""),"Yes","No")</f>
        <v>No</v>
      </c>
      <c r="O159" s="30"/>
      <c r="Q159">
        <v>8</v>
      </c>
      <c r="R159">
        <v>2026</v>
      </c>
      <c r="S159" t="s">
        <v>209</v>
      </c>
      <c r="T159" t="s">
        <v>403</v>
      </c>
      <c r="U159"/>
      <c r="V159" s="34"/>
      <c r="W159"/>
      <c r="X159"/>
    </row>
    <row r="160" spans="1:24" x14ac:dyDescent="0.3">
      <c r="A160" t="s">
        <v>218</v>
      </c>
      <c r="B160" t="s">
        <v>412</v>
      </c>
      <c r="C160" t="s">
        <v>100</v>
      </c>
      <c r="D160" t="s">
        <v>171</v>
      </c>
      <c r="E160" s="27">
        <v>44357</v>
      </c>
      <c r="G160" s="27"/>
      <c r="I160" s="27"/>
      <c r="L160" s="30" t="str">
        <f>IF(OR(CtpyRating[[#This Row],[FI_RATING]]="",_xlfn.XLOOKUP(CtpyRating[[#This Row],[CPTY_NAME]],S:S,U:U,"",0)=CtpyRating[[#This Row],[FI_RATING]],CtpyRating[[#This Row],[New Rating]]="Yes"),"No","Yes")</f>
        <v>No</v>
      </c>
      <c r="M16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0" s="30" t="str">
        <f>IF(AND(CtpyRating[[#This Row],[FI_RATING]]&lt;&gt;"",_xlfn.XLOOKUP(CtpyRating[[#This Row],[CPTY_NAME]],S:S,U:U,"",0)=""),"Yes","No")</f>
        <v>No</v>
      </c>
      <c r="O160" s="30"/>
      <c r="Q160">
        <v>8</v>
      </c>
      <c r="R160">
        <v>2026</v>
      </c>
      <c r="S160" t="s">
        <v>210</v>
      </c>
      <c r="T160" t="s">
        <v>404</v>
      </c>
      <c r="U160"/>
      <c r="V160" s="34"/>
      <c r="W160"/>
      <c r="X160"/>
    </row>
    <row r="161" spans="1:24" x14ac:dyDescent="0.3">
      <c r="A161" t="s">
        <v>189</v>
      </c>
      <c r="B161" t="s">
        <v>383</v>
      </c>
      <c r="C161" t="s">
        <v>100</v>
      </c>
      <c r="D161" t="s">
        <v>20</v>
      </c>
      <c r="E161" s="27">
        <v>46190</v>
      </c>
      <c r="G161" s="27"/>
      <c r="I161" s="27"/>
      <c r="L161" s="30" t="str">
        <f>IF(OR(CtpyRating[[#This Row],[FI_RATING]]="",_xlfn.XLOOKUP(CtpyRating[[#This Row],[CPTY_NAME]],S:S,U:U,"",0)=CtpyRating[[#This Row],[FI_RATING]],CtpyRating[[#This Row],[New Rating]]="Yes"),"No","Yes")</f>
        <v>No</v>
      </c>
      <c r="M16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1" s="30" t="str">
        <f>IF(AND(CtpyRating[[#This Row],[FI_RATING]]&lt;&gt;"",_xlfn.XLOOKUP(CtpyRating[[#This Row],[CPTY_NAME]],S:S,U:U,"",0)=""),"Yes","No")</f>
        <v>No</v>
      </c>
      <c r="O161" s="30"/>
      <c r="Q161">
        <v>8</v>
      </c>
      <c r="R161">
        <v>2026</v>
      </c>
      <c r="S161" t="s">
        <v>211</v>
      </c>
      <c r="T161" t="s">
        <v>405</v>
      </c>
      <c r="U161" t="s">
        <v>20</v>
      </c>
      <c r="V161" s="34">
        <v>46133</v>
      </c>
      <c r="W161"/>
      <c r="X161"/>
    </row>
    <row r="162" spans="1:24" x14ac:dyDescent="0.3">
      <c r="A162" t="s">
        <v>104</v>
      </c>
      <c r="B162" t="s">
        <v>316</v>
      </c>
      <c r="C162" t="s">
        <v>100</v>
      </c>
      <c r="D162" t="s">
        <v>20</v>
      </c>
      <c r="E162" s="27">
        <v>46150</v>
      </c>
      <c r="G162" s="27"/>
      <c r="I162" s="27"/>
      <c r="L162" s="30" t="str">
        <f>IF(OR(CtpyRating[[#This Row],[FI_RATING]]="",_xlfn.XLOOKUP(CtpyRating[[#This Row],[CPTY_NAME]],S:S,U:U,"",0)=CtpyRating[[#This Row],[FI_RATING]],CtpyRating[[#This Row],[New Rating]]="Yes"),"No","Yes")</f>
        <v>No</v>
      </c>
      <c r="M16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2" s="30" t="str">
        <f>IF(AND(CtpyRating[[#This Row],[FI_RATING]]&lt;&gt;"",_xlfn.XLOOKUP(CtpyRating[[#This Row],[CPTY_NAME]],S:S,U:U,"",0)=""),"Yes","No")</f>
        <v>No</v>
      </c>
      <c r="O162" s="30"/>
      <c r="Q162">
        <v>8</v>
      </c>
      <c r="R162">
        <v>2026</v>
      </c>
      <c r="S162" t="s">
        <v>212</v>
      </c>
      <c r="T162" t="s">
        <v>406</v>
      </c>
      <c r="U162" t="s">
        <v>20</v>
      </c>
      <c r="V162" s="34">
        <v>46115</v>
      </c>
      <c r="W162"/>
      <c r="X162"/>
    </row>
    <row r="163" spans="1:24" x14ac:dyDescent="0.3">
      <c r="A163" t="s">
        <v>99</v>
      </c>
      <c r="B163" t="s">
        <v>312</v>
      </c>
      <c r="C163" t="s">
        <v>100</v>
      </c>
      <c r="D163" t="s">
        <v>33</v>
      </c>
      <c r="E163" s="27">
        <v>45930</v>
      </c>
      <c r="G163" s="27"/>
      <c r="I163" s="27"/>
      <c r="L163" s="30" t="str">
        <f>IF(OR(CtpyRating[[#This Row],[FI_RATING]]="",_xlfn.XLOOKUP(CtpyRating[[#This Row],[CPTY_NAME]],S:S,U:U,"",0)=CtpyRating[[#This Row],[FI_RATING]],CtpyRating[[#This Row],[New Rating]]="Yes"),"No","Yes")</f>
        <v>No</v>
      </c>
      <c r="M16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3" s="30" t="str">
        <f>IF(AND(CtpyRating[[#This Row],[FI_RATING]]&lt;&gt;"",_xlfn.XLOOKUP(CtpyRating[[#This Row],[CPTY_NAME]],S:S,U:U,"",0)=""),"Yes","No")</f>
        <v>No</v>
      </c>
      <c r="O163" s="30"/>
      <c r="Q163">
        <v>8</v>
      </c>
      <c r="R163">
        <v>2026</v>
      </c>
      <c r="S163" t="s">
        <v>213</v>
      </c>
      <c r="T163" t="s">
        <v>407</v>
      </c>
      <c r="U163" t="s">
        <v>24</v>
      </c>
      <c r="V163" s="34">
        <v>45866</v>
      </c>
      <c r="W163"/>
      <c r="X163"/>
    </row>
    <row r="164" spans="1:24" x14ac:dyDescent="0.3">
      <c r="A164" t="s">
        <v>226</v>
      </c>
      <c r="B164" t="s">
        <v>418</v>
      </c>
      <c r="C164" t="s">
        <v>100</v>
      </c>
      <c r="D164" t="s">
        <v>18</v>
      </c>
      <c r="E164" s="27">
        <v>45853</v>
      </c>
      <c r="G164" s="27"/>
      <c r="I164" s="27"/>
      <c r="L164" s="30" t="str">
        <f>IF(OR(CtpyRating[[#This Row],[FI_RATING]]="",_xlfn.XLOOKUP(CtpyRating[[#This Row],[CPTY_NAME]],S:S,U:U,"",0)=CtpyRating[[#This Row],[FI_RATING]],CtpyRating[[#This Row],[New Rating]]="Yes"),"No","Yes")</f>
        <v>No</v>
      </c>
      <c r="M16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4" s="30" t="str">
        <f>IF(AND(CtpyRating[[#This Row],[FI_RATING]]&lt;&gt;"",_xlfn.XLOOKUP(CtpyRating[[#This Row],[CPTY_NAME]],S:S,U:U,"",0)=""),"Yes","No")</f>
        <v>No</v>
      </c>
      <c r="O164" s="30"/>
      <c r="Q164">
        <v>8</v>
      </c>
      <c r="R164">
        <v>2026</v>
      </c>
      <c r="S164" t="s">
        <v>214</v>
      </c>
      <c r="T164" t="s">
        <v>408</v>
      </c>
      <c r="U164" t="s">
        <v>24</v>
      </c>
      <c r="V164" s="34"/>
      <c r="W164"/>
      <c r="X164"/>
    </row>
    <row r="165" spans="1:24" x14ac:dyDescent="0.3">
      <c r="A165" t="s">
        <v>102</v>
      </c>
      <c r="B165" t="s">
        <v>314</v>
      </c>
      <c r="C165" t="s">
        <v>100</v>
      </c>
      <c r="E165" s="27"/>
      <c r="G165" s="27"/>
      <c r="I165" s="27"/>
      <c r="L165" s="30" t="str">
        <f>IF(OR(CtpyRating[[#This Row],[FI_RATING]]="",_xlfn.XLOOKUP(CtpyRating[[#This Row],[CPTY_NAME]],S:S,U:U,"",0)=CtpyRating[[#This Row],[FI_RATING]],CtpyRating[[#This Row],[New Rating]]="Yes"),"No","Yes")</f>
        <v>No</v>
      </c>
      <c r="M16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5" s="30" t="str">
        <f>IF(AND(CtpyRating[[#This Row],[FI_RATING]]&lt;&gt;"",_xlfn.XLOOKUP(CtpyRating[[#This Row],[CPTY_NAME]],S:S,U:U,"",0)=""),"Yes","No")</f>
        <v>No</v>
      </c>
      <c r="O165" s="30"/>
      <c r="Q165">
        <v>8</v>
      </c>
      <c r="R165">
        <v>2026</v>
      </c>
      <c r="S165" t="s">
        <v>215</v>
      </c>
      <c r="T165" t="s">
        <v>409</v>
      </c>
      <c r="U165" t="s">
        <v>73</v>
      </c>
      <c r="V165" s="34"/>
      <c r="W165"/>
      <c r="X165"/>
    </row>
    <row r="166" spans="1:24" x14ac:dyDescent="0.3">
      <c r="A166" t="s">
        <v>490</v>
      </c>
      <c r="B166" t="s">
        <v>491</v>
      </c>
      <c r="C166" t="s">
        <v>100</v>
      </c>
      <c r="D166" t="s">
        <v>20</v>
      </c>
      <c r="E166" s="27">
        <v>46185</v>
      </c>
      <c r="G166" s="27"/>
      <c r="I166" s="27"/>
      <c r="L166" s="30" t="str">
        <f>IF(OR(CtpyRating[[#This Row],[FI_RATING]]="",_xlfn.XLOOKUP(CtpyRating[[#This Row],[CPTY_NAME]],S:S,U:U,"",0)=CtpyRating[[#This Row],[FI_RATING]],CtpyRating[[#This Row],[New Rating]]="Yes"),"No","Yes")</f>
        <v>No</v>
      </c>
      <c r="M16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6" s="30" t="str">
        <f>IF(AND(CtpyRating[[#This Row],[FI_RATING]]&lt;&gt;"",_xlfn.XLOOKUP(CtpyRating[[#This Row],[CPTY_NAME]],S:S,U:U,"",0)=""),"Yes","No")</f>
        <v>No</v>
      </c>
      <c r="O166" s="30"/>
      <c r="Q166">
        <v>8</v>
      </c>
      <c r="R166">
        <v>2026</v>
      </c>
      <c r="S166" t="s">
        <v>216</v>
      </c>
      <c r="T166" t="s">
        <v>410</v>
      </c>
      <c r="U166" t="s">
        <v>31</v>
      </c>
      <c r="V166" s="34"/>
      <c r="W166"/>
      <c r="X166"/>
    </row>
    <row r="167" spans="1:24" x14ac:dyDescent="0.3">
      <c r="A167" t="s">
        <v>237</v>
      </c>
      <c r="B167" t="s">
        <v>429</v>
      </c>
      <c r="C167" t="s">
        <v>100</v>
      </c>
      <c r="D167" t="s">
        <v>20</v>
      </c>
      <c r="E167" s="27"/>
      <c r="G167" s="27"/>
      <c r="I167" s="27"/>
      <c r="L167" s="30" t="str">
        <f>IF(OR(CtpyRating[[#This Row],[FI_RATING]]="",_xlfn.XLOOKUP(CtpyRating[[#This Row],[CPTY_NAME]],S:S,U:U,"",0)=CtpyRating[[#This Row],[FI_RATING]],CtpyRating[[#This Row],[New Rating]]="Yes"),"No","Yes")</f>
        <v>No</v>
      </c>
      <c r="M16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7" s="30" t="str">
        <f>IF(AND(CtpyRating[[#This Row],[FI_RATING]]&lt;&gt;"",_xlfn.XLOOKUP(CtpyRating[[#This Row],[CPTY_NAME]],S:S,U:U,"",0)=""),"Yes","No")</f>
        <v>No</v>
      </c>
      <c r="O167" s="30"/>
      <c r="Q167">
        <v>8</v>
      </c>
      <c r="R167">
        <v>2026</v>
      </c>
      <c r="S167" t="s">
        <v>217</v>
      </c>
      <c r="T167" t="s">
        <v>411</v>
      </c>
      <c r="U167" t="s">
        <v>20</v>
      </c>
      <c r="V167" s="34"/>
      <c r="W167"/>
      <c r="X167"/>
    </row>
    <row r="168" spans="1:24" x14ac:dyDescent="0.3">
      <c r="A168" t="s">
        <v>488</v>
      </c>
      <c r="C168" t="s">
        <v>100</v>
      </c>
      <c r="D168" t="s">
        <v>494</v>
      </c>
      <c r="E168" s="27"/>
      <c r="G168" s="27"/>
      <c r="I168" s="27"/>
      <c r="L168" s="30" t="str">
        <f>IF(OR(CtpyRating[[#This Row],[FI_RATING]]="",_xlfn.XLOOKUP(CtpyRating[[#This Row],[CPTY_NAME]],S:S,U:U,"",0)=CtpyRating[[#This Row],[FI_RATING]],CtpyRating[[#This Row],[New Rating]]="Yes"),"No","Yes")</f>
        <v>No</v>
      </c>
      <c r="M16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8" s="30" t="str">
        <f>IF(AND(CtpyRating[[#This Row],[FI_RATING]]&lt;&gt;"",_xlfn.XLOOKUP(CtpyRating[[#This Row],[CPTY_NAME]],S:S,U:U,"",0)=""),"Yes","No")</f>
        <v>No</v>
      </c>
      <c r="O168" s="30"/>
      <c r="Q168">
        <v>8</v>
      </c>
      <c r="R168">
        <v>2026</v>
      </c>
      <c r="S168" t="s">
        <v>218</v>
      </c>
      <c r="T168" t="s">
        <v>412</v>
      </c>
      <c r="U168" t="s">
        <v>171</v>
      </c>
      <c r="V168" s="34">
        <v>44357</v>
      </c>
      <c r="W168"/>
      <c r="X168"/>
    </row>
    <row r="169" spans="1:24" x14ac:dyDescent="0.3">
      <c r="A169" t="s">
        <v>239</v>
      </c>
      <c r="B169" t="s">
        <v>431</v>
      </c>
      <c r="C169" t="s">
        <v>100</v>
      </c>
      <c r="D169" t="s">
        <v>171</v>
      </c>
      <c r="E169" s="27">
        <v>45740</v>
      </c>
      <c r="G169" s="27"/>
      <c r="I169" s="27"/>
      <c r="L169" s="30" t="str">
        <f>IF(OR(CtpyRating[[#This Row],[FI_RATING]]="",_xlfn.XLOOKUP(CtpyRating[[#This Row],[CPTY_NAME]],S:S,U:U,"",0)=CtpyRating[[#This Row],[FI_RATING]],CtpyRating[[#This Row],[New Rating]]="Yes"),"No","Yes")</f>
        <v>No</v>
      </c>
      <c r="M16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69" s="30" t="str">
        <f>IF(AND(CtpyRating[[#This Row],[FI_RATING]]&lt;&gt;"",_xlfn.XLOOKUP(CtpyRating[[#This Row],[CPTY_NAME]],S:S,U:U,"",0)=""),"Yes","No")</f>
        <v>No</v>
      </c>
      <c r="O169" s="30"/>
      <c r="Q169">
        <v>8</v>
      </c>
      <c r="R169">
        <v>2026</v>
      </c>
      <c r="S169" t="s">
        <v>219</v>
      </c>
      <c r="T169" t="s">
        <v>413</v>
      </c>
      <c r="U169"/>
      <c r="V169" s="34"/>
      <c r="W169"/>
      <c r="X169"/>
    </row>
    <row r="170" spans="1:24" x14ac:dyDescent="0.3">
      <c r="A170" t="s">
        <v>234</v>
      </c>
      <c r="B170" t="s">
        <v>426</v>
      </c>
      <c r="C170" t="s">
        <v>100</v>
      </c>
      <c r="D170" t="s">
        <v>40</v>
      </c>
      <c r="E170" s="27"/>
      <c r="G170" s="27"/>
      <c r="I170" s="27"/>
      <c r="L170" s="30" t="str">
        <f>IF(OR(CtpyRating[[#This Row],[FI_RATING]]="",_xlfn.XLOOKUP(CtpyRating[[#This Row],[CPTY_NAME]],S:S,U:U,"",0)=CtpyRating[[#This Row],[FI_RATING]],CtpyRating[[#This Row],[New Rating]]="Yes"),"No","Yes")</f>
        <v>No</v>
      </c>
      <c r="M17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0" s="30" t="str">
        <f>IF(AND(CtpyRating[[#This Row],[FI_RATING]]&lt;&gt;"",_xlfn.XLOOKUP(CtpyRating[[#This Row],[CPTY_NAME]],S:S,U:U,"",0)=""),"Yes","No")</f>
        <v>No</v>
      </c>
      <c r="O170" s="30"/>
      <c r="Q170">
        <v>8</v>
      </c>
      <c r="R170">
        <v>2026</v>
      </c>
      <c r="S170" t="s">
        <v>220</v>
      </c>
      <c r="T170" t="s">
        <v>414</v>
      </c>
      <c r="U170" t="s">
        <v>52</v>
      </c>
      <c r="V170" s="34">
        <v>45965</v>
      </c>
      <c r="W170"/>
      <c r="X170"/>
    </row>
    <row r="171" spans="1:24" x14ac:dyDescent="0.3">
      <c r="A171" t="s">
        <v>246</v>
      </c>
      <c r="B171" t="s">
        <v>435</v>
      </c>
      <c r="C171" t="s">
        <v>100</v>
      </c>
      <c r="D171" t="s">
        <v>24</v>
      </c>
      <c r="E171" s="27">
        <v>46134</v>
      </c>
      <c r="G171" s="27"/>
      <c r="I171" s="27"/>
      <c r="L171" s="30" t="str">
        <f>IF(OR(CtpyRating[[#This Row],[FI_RATING]]="",_xlfn.XLOOKUP(CtpyRating[[#This Row],[CPTY_NAME]],S:S,U:U,"",0)=CtpyRating[[#This Row],[FI_RATING]],CtpyRating[[#This Row],[New Rating]]="Yes"),"No","Yes")</f>
        <v>No</v>
      </c>
      <c r="M17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1" s="30" t="str">
        <f>IF(AND(CtpyRating[[#This Row],[FI_RATING]]&lt;&gt;"",_xlfn.XLOOKUP(CtpyRating[[#This Row],[CPTY_NAME]],S:S,U:U,"",0)=""),"Yes","No")</f>
        <v>No</v>
      </c>
      <c r="O171" s="30"/>
      <c r="Q171">
        <v>8</v>
      </c>
      <c r="R171">
        <v>2026</v>
      </c>
      <c r="S171" t="s">
        <v>221</v>
      </c>
      <c r="T171" t="s">
        <v>415</v>
      </c>
      <c r="U171"/>
      <c r="V171" s="34"/>
      <c r="W171"/>
      <c r="X171"/>
    </row>
    <row r="172" spans="1:24" x14ac:dyDescent="0.3">
      <c r="A172" t="s">
        <v>245</v>
      </c>
      <c r="B172" t="s">
        <v>434</v>
      </c>
      <c r="C172" t="s">
        <v>100</v>
      </c>
      <c r="D172" t="s">
        <v>20</v>
      </c>
      <c r="E172" s="27">
        <v>45803</v>
      </c>
      <c r="G172" s="27"/>
      <c r="I172" s="27"/>
      <c r="L172" s="30" t="str">
        <f>IF(OR(CtpyRating[[#This Row],[FI_RATING]]="",_xlfn.XLOOKUP(CtpyRating[[#This Row],[CPTY_NAME]],S:S,U:U,"",0)=CtpyRating[[#This Row],[FI_RATING]],CtpyRating[[#This Row],[New Rating]]="Yes"),"No","Yes")</f>
        <v>No</v>
      </c>
      <c r="M17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2" s="30" t="str">
        <f>IF(AND(CtpyRating[[#This Row],[FI_RATING]]&lt;&gt;"",_xlfn.XLOOKUP(CtpyRating[[#This Row],[CPTY_NAME]],S:S,U:U,"",0)=""),"Yes","No")</f>
        <v>No</v>
      </c>
      <c r="O172" s="30"/>
      <c r="Q172">
        <v>8</v>
      </c>
      <c r="R172">
        <v>2026</v>
      </c>
      <c r="S172" t="s">
        <v>222</v>
      </c>
      <c r="T172" t="s">
        <v>416</v>
      </c>
      <c r="U172"/>
      <c r="V172" s="34"/>
      <c r="W172"/>
      <c r="X172"/>
    </row>
    <row r="173" spans="1:24" x14ac:dyDescent="0.3">
      <c r="A173" t="s">
        <v>489</v>
      </c>
      <c r="C173" t="s">
        <v>100</v>
      </c>
      <c r="D173" t="s">
        <v>31</v>
      </c>
      <c r="E173" s="27">
        <v>45992</v>
      </c>
      <c r="G173" s="27"/>
      <c r="I173" s="27"/>
      <c r="L173" s="30" t="str">
        <f>IF(OR(CtpyRating[[#This Row],[FI_RATING]]="",_xlfn.XLOOKUP(CtpyRating[[#This Row],[CPTY_NAME]],S:S,U:U,"",0)=CtpyRating[[#This Row],[FI_RATING]],CtpyRating[[#This Row],[New Rating]]="Yes"),"No","Yes")</f>
        <v>No</v>
      </c>
      <c r="M17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3" s="30" t="str">
        <f>IF(AND(CtpyRating[[#This Row],[FI_RATING]]&lt;&gt;"",_xlfn.XLOOKUP(CtpyRating[[#This Row],[CPTY_NAME]],S:S,U:U,"",0)=""),"Yes","No")</f>
        <v>No</v>
      </c>
      <c r="O173" s="30"/>
      <c r="Q173">
        <v>8</v>
      </c>
      <c r="R173">
        <v>2026</v>
      </c>
      <c r="S173" t="s">
        <v>225</v>
      </c>
      <c r="T173" t="s">
        <v>417</v>
      </c>
      <c r="U173" t="s">
        <v>33</v>
      </c>
      <c r="V173" s="34">
        <v>46190</v>
      </c>
      <c r="W173"/>
      <c r="X173"/>
    </row>
    <row r="174" spans="1:24" x14ac:dyDescent="0.3">
      <c r="A174" t="s">
        <v>236</v>
      </c>
      <c r="B174" t="s">
        <v>428</v>
      </c>
      <c r="C174" t="s">
        <v>100</v>
      </c>
      <c r="D174" t="s">
        <v>24</v>
      </c>
      <c r="E174" s="27">
        <v>45338</v>
      </c>
      <c r="G174" s="27"/>
      <c r="I174" s="27"/>
      <c r="L174" s="30" t="str">
        <f>IF(OR(CtpyRating[[#This Row],[FI_RATING]]="",_xlfn.XLOOKUP(CtpyRating[[#This Row],[CPTY_NAME]],S:S,U:U,"",0)=CtpyRating[[#This Row],[FI_RATING]],CtpyRating[[#This Row],[New Rating]]="Yes"),"No","Yes")</f>
        <v>No</v>
      </c>
      <c r="M17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4" s="30" t="str">
        <f>IF(AND(CtpyRating[[#This Row],[FI_RATING]]&lt;&gt;"",_xlfn.XLOOKUP(CtpyRating[[#This Row],[CPTY_NAME]],S:S,U:U,"",0)=""),"Yes","No")</f>
        <v>No</v>
      </c>
      <c r="O174" s="30"/>
      <c r="Q174">
        <v>8</v>
      </c>
      <c r="R174">
        <v>2026</v>
      </c>
      <c r="S174" t="s">
        <v>226</v>
      </c>
      <c r="T174" t="s">
        <v>418</v>
      </c>
      <c r="U174" t="s">
        <v>18</v>
      </c>
      <c r="V174" s="34">
        <v>45853</v>
      </c>
      <c r="W174"/>
      <c r="X174"/>
    </row>
    <row r="175" spans="1:24" x14ac:dyDescent="0.3">
      <c r="A175" t="s">
        <v>235</v>
      </c>
      <c r="B175" t="s">
        <v>427</v>
      </c>
      <c r="C175" t="s">
        <v>100</v>
      </c>
      <c r="D175" t="s">
        <v>52</v>
      </c>
      <c r="E175" s="27">
        <v>46098</v>
      </c>
      <c r="G175" s="27"/>
      <c r="I175" s="27"/>
      <c r="L175" s="30" t="str">
        <f>IF(OR(CtpyRating[[#This Row],[FI_RATING]]="",_xlfn.XLOOKUP(CtpyRating[[#This Row],[CPTY_NAME]],S:S,U:U,"",0)=CtpyRating[[#This Row],[FI_RATING]],CtpyRating[[#This Row],[New Rating]]="Yes"),"No","Yes")</f>
        <v>No</v>
      </c>
      <c r="M17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5" s="30" t="str">
        <f>IF(AND(CtpyRating[[#This Row],[FI_RATING]]&lt;&gt;"",_xlfn.XLOOKUP(CtpyRating[[#This Row],[CPTY_NAME]],S:S,U:U,"",0)=""),"Yes","No")</f>
        <v>No</v>
      </c>
      <c r="O175" s="30"/>
      <c r="Q175">
        <v>8</v>
      </c>
      <c r="R175">
        <v>2026</v>
      </c>
      <c r="S175" t="s">
        <v>227</v>
      </c>
      <c r="T175" t="s">
        <v>419</v>
      </c>
      <c r="U175"/>
      <c r="V175" s="34"/>
      <c r="W175"/>
      <c r="X175"/>
    </row>
    <row r="176" spans="1:24" x14ac:dyDescent="0.3">
      <c r="A176" t="s">
        <v>233</v>
      </c>
      <c r="B176" t="s">
        <v>425</v>
      </c>
      <c r="C176" t="s">
        <v>100</v>
      </c>
      <c r="D176" t="s">
        <v>171</v>
      </c>
      <c r="E176" s="27">
        <v>45272</v>
      </c>
      <c r="G176" s="27"/>
      <c r="I176" s="27"/>
      <c r="L176" s="30" t="str">
        <f>IF(OR(CtpyRating[[#This Row],[FI_RATING]]="",_xlfn.XLOOKUP(CtpyRating[[#This Row],[CPTY_NAME]],S:S,U:U,"",0)=CtpyRating[[#This Row],[FI_RATING]],CtpyRating[[#This Row],[New Rating]]="Yes"),"No","Yes")</f>
        <v>No</v>
      </c>
      <c r="M17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6" s="30" t="str">
        <f>IF(AND(CtpyRating[[#This Row],[FI_RATING]]&lt;&gt;"",_xlfn.XLOOKUP(CtpyRating[[#This Row],[CPTY_NAME]],S:S,U:U,"",0)=""),"Yes","No")</f>
        <v>No</v>
      </c>
      <c r="O176" s="30"/>
      <c r="Q176">
        <v>8</v>
      </c>
      <c r="R176">
        <v>2026</v>
      </c>
      <c r="S176" t="s">
        <v>228</v>
      </c>
      <c r="T176" t="s">
        <v>420</v>
      </c>
      <c r="U176" t="s">
        <v>40</v>
      </c>
      <c r="V176" s="34">
        <v>45896</v>
      </c>
      <c r="W176"/>
      <c r="X176"/>
    </row>
    <row r="177" spans="1:24" x14ac:dyDescent="0.3">
      <c r="A177" t="s">
        <v>207</v>
      </c>
      <c r="B177" t="s">
        <v>401</v>
      </c>
      <c r="C177" t="s">
        <v>71</v>
      </c>
      <c r="D177" t="s">
        <v>31</v>
      </c>
      <c r="E177" s="27"/>
      <c r="G177" s="27"/>
      <c r="I177" s="27"/>
      <c r="L177" s="30" t="str">
        <f>IF(OR(CtpyRating[[#This Row],[FI_RATING]]="",_xlfn.XLOOKUP(CtpyRating[[#This Row],[CPTY_NAME]],S:S,U:U,"",0)=CtpyRating[[#This Row],[FI_RATING]],CtpyRating[[#This Row],[New Rating]]="Yes"),"No","Yes")</f>
        <v>No</v>
      </c>
      <c r="M17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7" s="30" t="str">
        <f>IF(AND(CtpyRating[[#This Row],[FI_RATING]]&lt;&gt;"",_xlfn.XLOOKUP(CtpyRating[[#This Row],[CPTY_NAME]],S:S,U:U,"",0)=""),"Yes","No")</f>
        <v>No</v>
      </c>
      <c r="O177" s="30"/>
      <c r="Q177">
        <v>8</v>
      </c>
      <c r="R177">
        <v>2026</v>
      </c>
      <c r="S177" t="s">
        <v>229</v>
      </c>
      <c r="T177" t="s">
        <v>421</v>
      </c>
      <c r="U177"/>
      <c r="V177" s="34"/>
      <c r="W177"/>
      <c r="X177"/>
    </row>
    <row r="178" spans="1:24" x14ac:dyDescent="0.3">
      <c r="A178" t="s">
        <v>94</v>
      </c>
      <c r="B178" t="s">
        <v>308</v>
      </c>
      <c r="C178" t="s">
        <v>71</v>
      </c>
      <c r="D178" t="s">
        <v>31</v>
      </c>
      <c r="E178" s="27"/>
      <c r="G178" s="27"/>
      <c r="I178" s="27"/>
      <c r="L178" s="30" t="str">
        <f>IF(OR(CtpyRating[[#This Row],[FI_RATING]]="",_xlfn.XLOOKUP(CtpyRating[[#This Row],[CPTY_NAME]],S:S,U:U,"",0)=CtpyRating[[#This Row],[FI_RATING]],CtpyRating[[#This Row],[New Rating]]="Yes"),"No","Yes")</f>
        <v>No</v>
      </c>
      <c r="M17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8" s="30" t="str">
        <f>IF(AND(CtpyRating[[#This Row],[FI_RATING]]&lt;&gt;"",_xlfn.XLOOKUP(CtpyRating[[#This Row],[CPTY_NAME]],S:S,U:U,"",0)=""),"Yes","No")</f>
        <v>No</v>
      </c>
      <c r="O178" s="30"/>
      <c r="Q178">
        <v>8</v>
      </c>
      <c r="R178">
        <v>2026</v>
      </c>
      <c r="S178" t="s">
        <v>230</v>
      </c>
      <c r="T178" t="s">
        <v>422</v>
      </c>
      <c r="U178" t="s">
        <v>40</v>
      </c>
      <c r="V178" s="34">
        <v>45859</v>
      </c>
      <c r="W178"/>
      <c r="X178"/>
    </row>
    <row r="179" spans="1:24" x14ac:dyDescent="0.3">
      <c r="A179" t="s">
        <v>95</v>
      </c>
      <c r="B179" t="s">
        <v>309</v>
      </c>
      <c r="C179" t="s">
        <v>71</v>
      </c>
      <c r="D179" t="s">
        <v>31</v>
      </c>
      <c r="E179" s="27"/>
      <c r="G179" s="27"/>
      <c r="I179" s="27"/>
      <c r="L179" s="30" t="str">
        <f>IF(OR(CtpyRating[[#This Row],[FI_RATING]]="",_xlfn.XLOOKUP(CtpyRating[[#This Row],[CPTY_NAME]],S:S,U:U,"",0)=CtpyRating[[#This Row],[FI_RATING]],CtpyRating[[#This Row],[New Rating]]="Yes"),"No","Yes")</f>
        <v>No</v>
      </c>
      <c r="M17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79" s="30" t="str">
        <f>IF(AND(CtpyRating[[#This Row],[FI_RATING]]&lt;&gt;"",_xlfn.XLOOKUP(CtpyRating[[#This Row],[CPTY_NAME]],S:S,U:U,"",0)=""),"Yes","No")</f>
        <v>No</v>
      </c>
      <c r="O179" s="30"/>
      <c r="Q179">
        <v>8</v>
      </c>
      <c r="R179">
        <v>2026</v>
      </c>
      <c r="S179" t="s">
        <v>231</v>
      </c>
      <c r="T179" t="s">
        <v>423</v>
      </c>
      <c r="U179" t="s">
        <v>20</v>
      </c>
      <c r="V179" s="34">
        <v>46170</v>
      </c>
      <c r="W179"/>
      <c r="X179"/>
    </row>
    <row r="180" spans="1:24" x14ac:dyDescent="0.3">
      <c r="A180" t="s">
        <v>212</v>
      </c>
      <c r="B180" t="s">
        <v>406</v>
      </c>
      <c r="C180" t="s">
        <v>100</v>
      </c>
      <c r="D180" t="s">
        <v>20</v>
      </c>
      <c r="E180" s="27">
        <v>46115</v>
      </c>
      <c r="G180" s="27"/>
      <c r="I180" s="27"/>
      <c r="L180" s="30" t="str">
        <f>IF(OR(CtpyRating[[#This Row],[FI_RATING]]="",_xlfn.XLOOKUP(CtpyRating[[#This Row],[CPTY_NAME]],S:S,U:U,"",0)=CtpyRating[[#This Row],[FI_RATING]],CtpyRating[[#This Row],[New Rating]]="Yes"),"No","Yes")</f>
        <v>No</v>
      </c>
      <c r="M18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0" s="30" t="str">
        <f>IF(AND(CtpyRating[[#This Row],[FI_RATING]]&lt;&gt;"",_xlfn.XLOOKUP(CtpyRating[[#This Row],[CPTY_NAME]],S:S,U:U,"",0)=""),"Yes","No")</f>
        <v>No</v>
      </c>
      <c r="O180" s="30"/>
      <c r="Q180">
        <v>8</v>
      </c>
      <c r="R180">
        <v>2026</v>
      </c>
      <c r="S180" t="s">
        <v>232</v>
      </c>
      <c r="T180" t="s">
        <v>424</v>
      </c>
      <c r="U180" t="s">
        <v>33</v>
      </c>
      <c r="V180" s="34">
        <v>45940</v>
      </c>
      <c r="W180"/>
      <c r="X180"/>
    </row>
    <row r="181" spans="1:24" x14ac:dyDescent="0.3">
      <c r="A181" t="s">
        <v>243</v>
      </c>
      <c r="B181" t="s">
        <v>492</v>
      </c>
      <c r="C181" t="s">
        <v>51</v>
      </c>
      <c r="D181" t="s">
        <v>33</v>
      </c>
      <c r="E181" s="27">
        <v>46162</v>
      </c>
      <c r="G181" s="27"/>
      <c r="I181" s="27"/>
      <c r="L181" s="30" t="str">
        <f>IF(OR(CtpyRating[[#This Row],[FI_RATING]]="",_xlfn.XLOOKUP(CtpyRating[[#This Row],[CPTY_NAME]],S:S,U:U,"",0)=CtpyRating[[#This Row],[FI_RATING]],CtpyRating[[#This Row],[New Rating]]="Yes"),"No","Yes")</f>
        <v>No</v>
      </c>
      <c r="M18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1" s="30" t="str">
        <f>IF(AND(CtpyRating[[#This Row],[FI_RATING]]&lt;&gt;"",_xlfn.XLOOKUP(CtpyRating[[#This Row],[CPTY_NAME]],S:S,U:U,"",0)=""),"Yes","No")</f>
        <v>No</v>
      </c>
      <c r="O181" s="30"/>
      <c r="Q181">
        <v>8</v>
      </c>
      <c r="R181">
        <v>2026</v>
      </c>
      <c r="S181" t="s">
        <v>233</v>
      </c>
      <c r="T181" t="s">
        <v>425</v>
      </c>
      <c r="U181" t="s">
        <v>171</v>
      </c>
      <c r="V181" s="34">
        <v>45272</v>
      </c>
      <c r="W181"/>
      <c r="X181"/>
    </row>
    <row r="182" spans="1:24" x14ac:dyDescent="0.3">
      <c r="A182" t="s">
        <v>241</v>
      </c>
      <c r="B182" t="s">
        <v>433</v>
      </c>
      <c r="C182" t="s">
        <v>51</v>
      </c>
      <c r="D182" t="s">
        <v>33</v>
      </c>
      <c r="E182" s="27">
        <v>45744</v>
      </c>
      <c r="G182" s="27"/>
      <c r="I182" s="27"/>
      <c r="L182" s="30" t="str">
        <f>IF(OR(CtpyRating[[#This Row],[FI_RATING]]="",_xlfn.XLOOKUP(CtpyRating[[#This Row],[CPTY_NAME]],S:S,U:U,"",0)=CtpyRating[[#This Row],[FI_RATING]],CtpyRating[[#This Row],[New Rating]]="Yes"),"No","Yes")</f>
        <v>No</v>
      </c>
      <c r="M18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2" s="30" t="str">
        <f>IF(AND(CtpyRating[[#This Row],[FI_RATING]]&lt;&gt;"",_xlfn.XLOOKUP(CtpyRating[[#This Row],[CPTY_NAME]],S:S,U:U,"",0)=""),"Yes","No")</f>
        <v>No</v>
      </c>
      <c r="O182" s="30"/>
      <c r="Q182">
        <v>8</v>
      </c>
      <c r="R182">
        <v>2026</v>
      </c>
      <c r="S182" t="s">
        <v>234</v>
      </c>
      <c r="T182" t="s">
        <v>426</v>
      </c>
      <c r="U182" t="s">
        <v>40</v>
      </c>
      <c r="V182" s="34"/>
      <c r="W182"/>
      <c r="X182"/>
    </row>
    <row r="183" spans="1:24" x14ac:dyDescent="0.3">
      <c r="A183" t="s">
        <v>74</v>
      </c>
      <c r="B183" t="s">
        <v>288</v>
      </c>
      <c r="C183" t="s">
        <v>71</v>
      </c>
      <c r="D183" t="s">
        <v>24</v>
      </c>
      <c r="E183" s="27">
        <v>45936</v>
      </c>
      <c r="G183" s="27"/>
      <c r="I183" s="27"/>
      <c r="L183" s="30" t="str">
        <f>IF(OR(CtpyRating[[#This Row],[FI_RATING]]="",_xlfn.XLOOKUP(CtpyRating[[#This Row],[CPTY_NAME]],S:S,U:U,"",0)=CtpyRating[[#This Row],[FI_RATING]],CtpyRating[[#This Row],[New Rating]]="Yes"),"No","Yes")</f>
        <v>No</v>
      </c>
      <c r="M18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3" s="30" t="str">
        <f>IF(AND(CtpyRating[[#This Row],[FI_RATING]]&lt;&gt;"",_xlfn.XLOOKUP(CtpyRating[[#This Row],[CPTY_NAME]],S:S,U:U,"",0)=""),"Yes","No")</f>
        <v>No</v>
      </c>
      <c r="O183" s="30"/>
      <c r="Q183">
        <v>8</v>
      </c>
      <c r="R183">
        <v>2026</v>
      </c>
      <c r="S183" t="s">
        <v>235</v>
      </c>
      <c r="T183" t="s">
        <v>427</v>
      </c>
      <c r="U183" t="s">
        <v>52</v>
      </c>
      <c r="V183" s="34">
        <v>46098</v>
      </c>
      <c r="W183"/>
      <c r="X183"/>
    </row>
    <row r="184" spans="1:24" x14ac:dyDescent="0.3">
      <c r="A184" t="s">
        <v>145</v>
      </c>
      <c r="B184" t="s">
        <v>349</v>
      </c>
      <c r="C184" t="s">
        <v>134</v>
      </c>
      <c r="E184" s="27"/>
      <c r="F184" t="s">
        <v>126</v>
      </c>
      <c r="G184" s="27">
        <v>45742</v>
      </c>
      <c r="H184" t="s">
        <v>146</v>
      </c>
      <c r="I184" s="27">
        <v>45979</v>
      </c>
      <c r="L184" s="30" t="str">
        <f>IF(OR(CtpyRating[[#This Row],[FI_RATING]]="",_xlfn.XLOOKUP(CtpyRating[[#This Row],[CPTY_NAME]],S:S,U:U,"",0)=CtpyRating[[#This Row],[FI_RATING]],CtpyRating[[#This Row],[New Rating]]="Yes"),"No","Yes")</f>
        <v>No</v>
      </c>
      <c r="M18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4" s="30" t="str">
        <f>IF(AND(CtpyRating[[#This Row],[FI_RATING]]&lt;&gt;"",_xlfn.XLOOKUP(CtpyRating[[#This Row],[CPTY_NAME]],S:S,U:U,"",0)=""),"Yes","No")</f>
        <v>No</v>
      </c>
      <c r="O184" s="30"/>
      <c r="Q184">
        <v>8</v>
      </c>
      <c r="R184">
        <v>2026</v>
      </c>
      <c r="S184" t="s">
        <v>236</v>
      </c>
      <c r="T184" t="s">
        <v>428</v>
      </c>
      <c r="U184" t="s">
        <v>24</v>
      </c>
      <c r="V184" s="34">
        <v>45338</v>
      </c>
      <c r="W184"/>
      <c r="X184"/>
    </row>
    <row r="185" spans="1:24" x14ac:dyDescent="0.3">
      <c r="A185" t="s">
        <v>168</v>
      </c>
      <c r="B185" t="s">
        <v>367</v>
      </c>
      <c r="C185" t="s">
        <v>134</v>
      </c>
      <c r="D185" t="s">
        <v>52</v>
      </c>
      <c r="E185" s="27"/>
      <c r="G185" s="27"/>
      <c r="H185" t="s">
        <v>140</v>
      </c>
      <c r="I185" s="27"/>
      <c r="L185" s="30" t="str">
        <f>IF(OR(CtpyRating[[#This Row],[FI_RATING]]="",_xlfn.XLOOKUP(CtpyRating[[#This Row],[CPTY_NAME]],S:S,U:U,"",0)=CtpyRating[[#This Row],[FI_RATING]],CtpyRating[[#This Row],[New Rating]]="Yes"),"No","Yes")</f>
        <v>No</v>
      </c>
      <c r="M18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5" s="30" t="str">
        <f>IF(AND(CtpyRating[[#This Row],[FI_RATING]]&lt;&gt;"",_xlfn.XLOOKUP(CtpyRating[[#This Row],[CPTY_NAME]],S:S,U:U,"",0)=""),"Yes","No")</f>
        <v>No</v>
      </c>
      <c r="O185" s="30"/>
      <c r="Q185">
        <v>8</v>
      </c>
      <c r="R185">
        <v>2026</v>
      </c>
      <c r="S185" t="s">
        <v>237</v>
      </c>
      <c r="T185" t="s">
        <v>429</v>
      </c>
      <c r="U185" t="s">
        <v>20</v>
      </c>
      <c r="V185" s="34"/>
      <c r="W185"/>
      <c r="X185"/>
    </row>
    <row r="186" spans="1:24" x14ac:dyDescent="0.3">
      <c r="A186" t="s">
        <v>144</v>
      </c>
      <c r="B186" t="s">
        <v>348</v>
      </c>
      <c r="C186" t="s">
        <v>134</v>
      </c>
      <c r="E186" s="27"/>
      <c r="F186" t="s">
        <v>139</v>
      </c>
      <c r="G186" s="27">
        <v>45884</v>
      </c>
      <c r="H186" t="s">
        <v>140</v>
      </c>
      <c r="I186" s="27">
        <v>45978</v>
      </c>
      <c r="L186" s="30" t="str">
        <f>IF(OR(CtpyRating[[#This Row],[FI_RATING]]="",_xlfn.XLOOKUP(CtpyRating[[#This Row],[CPTY_NAME]],S:S,U:U,"",0)=CtpyRating[[#This Row],[FI_RATING]],CtpyRating[[#This Row],[New Rating]]="Yes"),"No","Yes")</f>
        <v>No</v>
      </c>
      <c r="M18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6" s="30" t="str">
        <f>IF(AND(CtpyRating[[#This Row],[FI_RATING]]&lt;&gt;"",_xlfn.XLOOKUP(CtpyRating[[#This Row],[CPTY_NAME]],S:S,U:U,"",0)=""),"Yes","No")</f>
        <v>No</v>
      </c>
      <c r="O186" s="30"/>
      <c r="Q186">
        <v>8</v>
      </c>
      <c r="R186">
        <v>2026</v>
      </c>
      <c r="S186" t="s">
        <v>238</v>
      </c>
      <c r="T186" t="s">
        <v>430</v>
      </c>
      <c r="U186"/>
      <c r="V186" s="34"/>
      <c r="W186"/>
      <c r="X186"/>
    </row>
    <row r="187" spans="1:24" x14ac:dyDescent="0.3">
      <c r="A187" t="s">
        <v>195</v>
      </c>
      <c r="B187" t="s">
        <v>389</v>
      </c>
      <c r="C187" t="s">
        <v>134</v>
      </c>
      <c r="E187" s="27"/>
      <c r="G187" s="27"/>
      <c r="H187" t="s">
        <v>163</v>
      </c>
      <c r="I187" s="27">
        <v>45420</v>
      </c>
      <c r="L187" s="30" t="str">
        <f>IF(OR(CtpyRating[[#This Row],[FI_RATING]]="",_xlfn.XLOOKUP(CtpyRating[[#This Row],[CPTY_NAME]],S:S,U:U,"",0)=CtpyRating[[#This Row],[FI_RATING]],CtpyRating[[#This Row],[New Rating]]="Yes"),"No","Yes")</f>
        <v>No</v>
      </c>
      <c r="M18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7" s="30" t="str">
        <f>IF(AND(CtpyRating[[#This Row],[FI_RATING]]&lt;&gt;"",_xlfn.XLOOKUP(CtpyRating[[#This Row],[CPTY_NAME]],S:S,U:U,"",0)=""),"Yes","No")</f>
        <v>No</v>
      </c>
      <c r="O187" s="30"/>
      <c r="Q187">
        <v>8</v>
      </c>
      <c r="R187">
        <v>2026</v>
      </c>
      <c r="S187" t="s">
        <v>239</v>
      </c>
      <c r="T187" t="s">
        <v>431</v>
      </c>
      <c r="U187" t="s">
        <v>171</v>
      </c>
      <c r="V187" s="34">
        <v>45740</v>
      </c>
      <c r="W187"/>
      <c r="X187"/>
    </row>
    <row r="188" spans="1:24" x14ac:dyDescent="0.3">
      <c r="A188" t="s">
        <v>143</v>
      </c>
      <c r="B188" t="s">
        <v>347</v>
      </c>
      <c r="C188" t="s">
        <v>134</v>
      </c>
      <c r="E188" s="27"/>
      <c r="F188" t="s">
        <v>33</v>
      </c>
      <c r="G188" s="27">
        <v>45793</v>
      </c>
      <c r="H188" t="s">
        <v>142</v>
      </c>
      <c r="I188" s="27">
        <v>45979</v>
      </c>
      <c r="L188" s="30" t="str">
        <f>IF(OR(CtpyRating[[#This Row],[FI_RATING]]="",_xlfn.XLOOKUP(CtpyRating[[#This Row],[CPTY_NAME]],S:S,U:U,"",0)=CtpyRating[[#This Row],[FI_RATING]],CtpyRating[[#This Row],[New Rating]]="Yes"),"No","Yes")</f>
        <v>No</v>
      </c>
      <c r="M18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8" s="30" t="str">
        <f>IF(AND(CtpyRating[[#This Row],[FI_RATING]]&lt;&gt;"",_xlfn.XLOOKUP(CtpyRating[[#This Row],[CPTY_NAME]],S:S,U:U,"",0)=""),"Yes","No")</f>
        <v>No</v>
      </c>
      <c r="O188" s="30"/>
      <c r="Q188">
        <v>8</v>
      </c>
      <c r="R188">
        <v>2026</v>
      </c>
      <c r="S188" t="s">
        <v>240</v>
      </c>
      <c r="T188" t="s">
        <v>432</v>
      </c>
      <c r="U188"/>
      <c r="V188" s="34"/>
      <c r="W188"/>
      <c r="X188"/>
    </row>
    <row r="189" spans="1:24" x14ac:dyDescent="0.3">
      <c r="A189" t="s">
        <v>193</v>
      </c>
      <c r="B189" t="s">
        <v>387</v>
      </c>
      <c r="C189" t="s">
        <v>134</v>
      </c>
      <c r="E189" s="27"/>
      <c r="G189" s="27"/>
      <c r="H189" t="s">
        <v>137</v>
      </c>
      <c r="I189" s="27">
        <v>45831</v>
      </c>
      <c r="L189" s="30" t="str">
        <f>IF(OR(CtpyRating[[#This Row],[FI_RATING]]="",_xlfn.XLOOKUP(CtpyRating[[#This Row],[CPTY_NAME]],S:S,U:U,"",0)=CtpyRating[[#This Row],[FI_RATING]],CtpyRating[[#This Row],[New Rating]]="Yes"),"No","Yes")</f>
        <v>No</v>
      </c>
      <c r="M18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89" s="30" t="str">
        <f>IF(AND(CtpyRating[[#This Row],[FI_RATING]]&lt;&gt;"",_xlfn.XLOOKUP(CtpyRating[[#This Row],[CPTY_NAME]],S:S,U:U,"",0)=""),"Yes","No")</f>
        <v>No</v>
      </c>
      <c r="O189" s="30"/>
      <c r="Q189">
        <v>8</v>
      </c>
      <c r="R189">
        <v>2026</v>
      </c>
      <c r="S189" t="s">
        <v>241</v>
      </c>
      <c r="T189" t="s">
        <v>433</v>
      </c>
      <c r="U189" t="s">
        <v>33</v>
      </c>
      <c r="V189" s="34">
        <v>45744</v>
      </c>
      <c r="W189"/>
      <c r="X189"/>
    </row>
    <row r="190" spans="1:24" x14ac:dyDescent="0.3">
      <c r="A190" t="s">
        <v>138</v>
      </c>
      <c r="B190" t="s">
        <v>345</v>
      </c>
      <c r="C190" t="s">
        <v>134</v>
      </c>
      <c r="E190" s="27"/>
      <c r="F190" t="s">
        <v>139</v>
      </c>
      <c r="G190" s="27">
        <v>45812</v>
      </c>
      <c r="H190" t="s">
        <v>142</v>
      </c>
      <c r="I190" s="27">
        <v>45979</v>
      </c>
      <c r="L190" s="30" t="str">
        <f>IF(OR(CtpyRating[[#This Row],[FI_RATING]]="",_xlfn.XLOOKUP(CtpyRating[[#This Row],[CPTY_NAME]],S:S,U:U,"",0)=CtpyRating[[#This Row],[FI_RATING]],CtpyRating[[#This Row],[New Rating]]="Yes"),"No","Yes")</f>
        <v>No</v>
      </c>
      <c r="M19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0" s="30" t="str">
        <f>IF(AND(CtpyRating[[#This Row],[FI_RATING]]&lt;&gt;"",_xlfn.XLOOKUP(CtpyRating[[#This Row],[CPTY_NAME]],S:S,U:U,"",0)=""),"Yes","No")</f>
        <v>No</v>
      </c>
      <c r="O190" s="30"/>
      <c r="Q190">
        <v>8</v>
      </c>
      <c r="R190">
        <v>2026</v>
      </c>
      <c r="S190" t="s">
        <v>243</v>
      </c>
      <c r="T190" t="s">
        <v>492</v>
      </c>
      <c r="U190" t="s">
        <v>33</v>
      </c>
      <c r="V190" s="34">
        <v>46162</v>
      </c>
      <c r="W190"/>
      <c r="X190"/>
    </row>
    <row r="191" spans="1:24" x14ac:dyDescent="0.3">
      <c r="A191" t="s">
        <v>199</v>
      </c>
      <c r="B191" t="s">
        <v>393</v>
      </c>
      <c r="C191" t="s">
        <v>134</v>
      </c>
      <c r="E191" s="27"/>
      <c r="F191" t="s">
        <v>176</v>
      </c>
      <c r="G191" s="27">
        <v>46153</v>
      </c>
      <c r="I191" s="27"/>
      <c r="L191" s="30" t="str">
        <f>IF(OR(CtpyRating[[#This Row],[FI_RATING]]="",_xlfn.XLOOKUP(CtpyRating[[#This Row],[CPTY_NAME]],S:S,U:U,"",0)=CtpyRating[[#This Row],[FI_RATING]],CtpyRating[[#This Row],[New Rating]]="Yes"),"No","Yes")</f>
        <v>No</v>
      </c>
      <c r="M19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1" s="30" t="str">
        <f>IF(AND(CtpyRating[[#This Row],[FI_RATING]]&lt;&gt;"",_xlfn.XLOOKUP(CtpyRating[[#This Row],[CPTY_NAME]],S:S,U:U,"",0)=""),"Yes","No")</f>
        <v>No</v>
      </c>
      <c r="O191" s="30"/>
      <c r="Q191">
        <v>8</v>
      </c>
      <c r="R191">
        <v>2026</v>
      </c>
      <c r="S191" t="s">
        <v>245</v>
      </c>
      <c r="T191" t="s">
        <v>434</v>
      </c>
      <c r="U191" t="s">
        <v>20</v>
      </c>
      <c r="V191" s="34">
        <v>45803</v>
      </c>
      <c r="W191"/>
      <c r="X191"/>
    </row>
    <row r="192" spans="1:24" x14ac:dyDescent="0.3">
      <c r="A192" t="s">
        <v>216</v>
      </c>
      <c r="B192" t="s">
        <v>410</v>
      </c>
      <c r="C192" t="s">
        <v>134</v>
      </c>
      <c r="D192" t="s">
        <v>31</v>
      </c>
      <c r="E192" s="27"/>
      <c r="G192" s="27"/>
      <c r="I192" s="27"/>
      <c r="L192" s="30" t="str">
        <f>IF(OR(CtpyRating[[#This Row],[FI_RATING]]="",_xlfn.XLOOKUP(CtpyRating[[#This Row],[CPTY_NAME]],S:S,U:U,"",0)=CtpyRating[[#This Row],[FI_RATING]],CtpyRating[[#This Row],[New Rating]]="Yes"),"No","Yes")</f>
        <v>No</v>
      </c>
      <c r="M19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2" s="30" t="str">
        <f>IF(AND(CtpyRating[[#This Row],[FI_RATING]]&lt;&gt;"",_xlfn.XLOOKUP(CtpyRating[[#This Row],[CPTY_NAME]],S:S,U:U,"",0)=""),"Yes","No")</f>
        <v>No</v>
      </c>
      <c r="O192" s="30"/>
      <c r="Q192">
        <v>8</v>
      </c>
      <c r="R192">
        <v>2026</v>
      </c>
      <c r="S192" t="s">
        <v>246</v>
      </c>
      <c r="T192" t="s">
        <v>435</v>
      </c>
      <c r="U192" t="s">
        <v>24</v>
      </c>
      <c r="V192" s="34">
        <v>46134</v>
      </c>
      <c r="W192"/>
      <c r="X192"/>
    </row>
    <row r="193" spans="1:24" x14ac:dyDescent="0.3">
      <c r="A193" t="s">
        <v>157</v>
      </c>
      <c r="B193" t="s">
        <v>358</v>
      </c>
      <c r="C193" t="s">
        <v>134</v>
      </c>
      <c r="D193" t="s">
        <v>126</v>
      </c>
      <c r="E193" s="27"/>
      <c r="F193" t="s">
        <v>126</v>
      </c>
      <c r="G193" s="27"/>
      <c r="H193" t="s">
        <v>146</v>
      </c>
      <c r="I193" s="27"/>
      <c r="J193" t="s">
        <v>139</v>
      </c>
      <c r="L193" s="30" t="str">
        <f>IF(OR(CtpyRating[[#This Row],[FI_RATING]]="",_xlfn.XLOOKUP(CtpyRating[[#This Row],[CPTY_NAME]],S:S,U:U,"",0)=CtpyRating[[#This Row],[FI_RATING]],CtpyRating[[#This Row],[New Rating]]="Yes"),"No","Yes")</f>
        <v>No</v>
      </c>
      <c r="M19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3" s="30" t="str">
        <f>IF(AND(CtpyRating[[#This Row],[FI_RATING]]&lt;&gt;"",_xlfn.XLOOKUP(CtpyRating[[#This Row],[CPTY_NAME]],S:S,U:U,"",0)=""),"Yes","No")</f>
        <v>No</v>
      </c>
      <c r="O193" s="30"/>
      <c r="Q193">
        <v>8</v>
      </c>
      <c r="R193">
        <v>2026</v>
      </c>
      <c r="S193" t="s">
        <v>247</v>
      </c>
      <c r="T193" t="s">
        <v>436</v>
      </c>
      <c r="U193" t="s">
        <v>33</v>
      </c>
      <c r="V193" s="34">
        <v>45853</v>
      </c>
      <c r="W193"/>
      <c r="X193"/>
    </row>
    <row r="194" spans="1:24" x14ac:dyDescent="0.3">
      <c r="A194" t="s">
        <v>240</v>
      </c>
      <c r="B194" t="s">
        <v>432</v>
      </c>
      <c r="C194" t="s">
        <v>134</v>
      </c>
      <c r="E194" s="27"/>
      <c r="F194" t="s">
        <v>139</v>
      </c>
      <c r="G194" s="27">
        <v>45954</v>
      </c>
      <c r="H194" t="s">
        <v>140</v>
      </c>
      <c r="I194" s="27">
        <v>46037</v>
      </c>
      <c r="L194" s="30" t="str">
        <f>IF(OR(CtpyRating[[#This Row],[FI_RATING]]="",_xlfn.XLOOKUP(CtpyRating[[#This Row],[CPTY_NAME]],S:S,U:U,"",0)=CtpyRating[[#This Row],[FI_RATING]],CtpyRating[[#This Row],[New Rating]]="Yes"),"No","Yes")</f>
        <v>No</v>
      </c>
      <c r="M19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4" s="30" t="str">
        <f>IF(AND(CtpyRating[[#This Row],[FI_RATING]]&lt;&gt;"",_xlfn.XLOOKUP(CtpyRating[[#This Row],[CPTY_NAME]],S:S,U:U,"",0)=""),"Yes","No")</f>
        <v>No</v>
      </c>
      <c r="O194" s="30"/>
      <c r="Q194">
        <v>8</v>
      </c>
      <c r="R194">
        <v>2026</v>
      </c>
      <c r="S194" t="s">
        <v>471</v>
      </c>
      <c r="T194"/>
      <c r="U194" t="s">
        <v>20</v>
      </c>
      <c r="V194" s="34"/>
      <c r="W194"/>
      <c r="X194"/>
    </row>
    <row r="195" spans="1:24" x14ac:dyDescent="0.3">
      <c r="A195" t="s">
        <v>192</v>
      </c>
      <c r="B195" t="s">
        <v>386</v>
      </c>
      <c r="C195" t="s">
        <v>134</v>
      </c>
      <c r="E195" s="27"/>
      <c r="F195" t="s">
        <v>33</v>
      </c>
      <c r="G195" s="27">
        <v>45793</v>
      </c>
      <c r="H195" t="s">
        <v>142</v>
      </c>
      <c r="I195" s="27">
        <v>45979</v>
      </c>
      <c r="L195" s="30" t="str">
        <f>IF(OR(CtpyRating[[#This Row],[FI_RATING]]="",_xlfn.XLOOKUP(CtpyRating[[#This Row],[CPTY_NAME]],S:S,U:U,"",0)=CtpyRating[[#This Row],[FI_RATING]],CtpyRating[[#This Row],[New Rating]]="Yes"),"No","Yes")</f>
        <v>No</v>
      </c>
      <c r="M195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5" s="30" t="str">
        <f>IF(AND(CtpyRating[[#This Row],[FI_RATING]]&lt;&gt;"",_xlfn.XLOOKUP(CtpyRating[[#This Row],[CPTY_NAME]],S:S,U:U,"",0)=""),"Yes","No")</f>
        <v>No</v>
      </c>
      <c r="Q195">
        <v>8</v>
      </c>
      <c r="R195">
        <v>2026</v>
      </c>
      <c r="S195" t="s">
        <v>488</v>
      </c>
      <c r="T195"/>
      <c r="U195" t="s">
        <v>494</v>
      </c>
      <c r="V195" s="34"/>
      <c r="W195"/>
      <c r="X195"/>
    </row>
    <row r="196" spans="1:24" x14ac:dyDescent="0.3">
      <c r="A196" t="s">
        <v>191</v>
      </c>
      <c r="B196" t="s">
        <v>385</v>
      </c>
      <c r="C196" t="s">
        <v>134</v>
      </c>
      <c r="E196" s="27"/>
      <c r="F196" t="s">
        <v>52</v>
      </c>
      <c r="G196" s="27">
        <v>45811</v>
      </c>
      <c r="H196" t="s">
        <v>146</v>
      </c>
      <c r="I196" s="27">
        <v>45978</v>
      </c>
      <c r="L196" s="30" t="str">
        <f>IF(OR(CtpyRating[[#This Row],[FI_RATING]]="",_xlfn.XLOOKUP(CtpyRating[[#This Row],[CPTY_NAME]],S:S,U:U,"",0)=CtpyRating[[#This Row],[FI_RATING]],CtpyRating[[#This Row],[New Rating]]="Yes"),"No","Yes")</f>
        <v>No</v>
      </c>
      <c r="M196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6" s="30" t="str">
        <f>IF(AND(CtpyRating[[#This Row],[FI_RATING]]&lt;&gt;"",_xlfn.XLOOKUP(CtpyRating[[#This Row],[CPTY_NAME]],S:S,U:U,"",0)=""),"Yes","No")</f>
        <v>No</v>
      </c>
      <c r="Q196">
        <v>8</v>
      </c>
      <c r="R196">
        <v>2026</v>
      </c>
      <c r="S196" t="s">
        <v>489</v>
      </c>
      <c r="T196"/>
      <c r="U196" t="s">
        <v>31</v>
      </c>
      <c r="V196" s="34">
        <v>45992</v>
      </c>
      <c r="W196"/>
      <c r="X196"/>
    </row>
    <row r="197" spans="1:24" x14ac:dyDescent="0.3">
      <c r="A197" t="s">
        <v>174</v>
      </c>
      <c r="B197" t="s">
        <v>372</v>
      </c>
      <c r="C197" t="s">
        <v>134</v>
      </c>
      <c r="E197" s="27"/>
      <c r="G197" s="27"/>
      <c r="H197" t="s">
        <v>175</v>
      </c>
      <c r="I197" s="27"/>
      <c r="L197" s="30" t="str">
        <f>IF(OR(CtpyRating[[#This Row],[FI_RATING]]="",_xlfn.XLOOKUP(CtpyRating[[#This Row],[CPTY_NAME]],S:S,U:U,"",0)=CtpyRating[[#This Row],[FI_RATING]],CtpyRating[[#This Row],[New Rating]]="Yes"),"No","Yes")</f>
        <v>No</v>
      </c>
      <c r="M197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7" s="30" t="str">
        <f>IF(AND(CtpyRating[[#This Row],[FI_RATING]]&lt;&gt;"",_xlfn.XLOOKUP(CtpyRating[[#This Row],[CPTY_NAME]],S:S,U:U,"",0)=""),"Yes","No")</f>
        <v>No</v>
      </c>
      <c r="Q197">
        <v>8</v>
      </c>
      <c r="R197">
        <v>2026</v>
      </c>
      <c r="S197" t="s">
        <v>490</v>
      </c>
      <c r="T197" t="s">
        <v>491</v>
      </c>
      <c r="U197" t="s">
        <v>20</v>
      </c>
      <c r="V197" s="34">
        <v>46185</v>
      </c>
      <c r="W197"/>
      <c r="X197"/>
    </row>
    <row r="198" spans="1:24" x14ac:dyDescent="0.3">
      <c r="A198" t="s">
        <v>222</v>
      </c>
      <c r="B198" t="s">
        <v>416</v>
      </c>
      <c r="C198" t="s">
        <v>134</v>
      </c>
      <c r="E198" s="27"/>
      <c r="F198" t="s">
        <v>223</v>
      </c>
      <c r="G198" s="27"/>
      <c r="H198" t="s">
        <v>224</v>
      </c>
      <c r="I198" s="27"/>
      <c r="L198" s="30" t="str">
        <f>IF(OR(CtpyRating[[#This Row],[FI_RATING]]="",_xlfn.XLOOKUP(CtpyRating[[#This Row],[CPTY_NAME]],S:S,U:U,"",0)=CtpyRating[[#This Row],[FI_RATING]],CtpyRating[[#This Row],[New Rating]]="Yes"),"No","Yes")</f>
        <v>No</v>
      </c>
      <c r="M198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8" s="30" t="str">
        <f>IF(AND(CtpyRating[[#This Row],[FI_RATING]]&lt;&gt;"",_xlfn.XLOOKUP(CtpyRating[[#This Row],[CPTY_NAME]],S:S,U:U,"",0)=""),"Yes","No")</f>
        <v>No</v>
      </c>
      <c r="Q198">
        <v>8</v>
      </c>
      <c r="R198">
        <v>2026</v>
      </c>
      <c r="S198" t="s">
        <v>493</v>
      </c>
      <c r="T198"/>
      <c r="U198" t="s">
        <v>33</v>
      </c>
      <c r="V198" s="34">
        <v>46045</v>
      </c>
      <c r="W198"/>
      <c r="X198"/>
    </row>
    <row r="199" spans="1:24" x14ac:dyDescent="0.3">
      <c r="A199" t="s">
        <v>156</v>
      </c>
      <c r="B199" t="s">
        <v>357</v>
      </c>
      <c r="C199" t="s">
        <v>134</v>
      </c>
      <c r="E199" s="27"/>
      <c r="F199" t="s">
        <v>126</v>
      </c>
      <c r="G199" s="27">
        <v>45742</v>
      </c>
      <c r="H199" t="s">
        <v>146</v>
      </c>
      <c r="I199" s="27">
        <v>45981</v>
      </c>
      <c r="L199" s="30" t="str">
        <f>IF(OR(CtpyRating[[#This Row],[FI_RATING]]="",_xlfn.XLOOKUP(CtpyRating[[#This Row],[CPTY_NAME]],S:S,U:U,"",0)=CtpyRating[[#This Row],[FI_RATING]],CtpyRating[[#This Row],[New Rating]]="Yes"),"No","Yes")</f>
        <v>No</v>
      </c>
      <c r="M199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199" s="30" t="str">
        <f>IF(AND(CtpyRating[[#This Row],[FI_RATING]]&lt;&gt;"",_xlfn.XLOOKUP(CtpyRating[[#This Row],[CPTY_NAME]],S:S,U:U,"",0)=""),"Yes","No")</f>
        <v>No</v>
      </c>
      <c r="Q199">
        <v>8</v>
      </c>
      <c r="R199">
        <v>2026</v>
      </c>
      <c r="S199" t="s">
        <v>573</v>
      </c>
      <c r="T199"/>
      <c r="U199" t="s">
        <v>24</v>
      </c>
      <c r="V199" s="34">
        <v>46182</v>
      </c>
    </row>
    <row r="200" spans="1:24" x14ac:dyDescent="0.3">
      <c r="A200" t="s">
        <v>196</v>
      </c>
      <c r="B200" t="s">
        <v>390</v>
      </c>
      <c r="C200" t="s">
        <v>134</v>
      </c>
      <c r="E200" s="27"/>
      <c r="G200" s="27"/>
      <c r="H200" t="s">
        <v>142</v>
      </c>
      <c r="I200" s="27"/>
      <c r="L200" s="30" t="str">
        <f>IF(OR(CtpyRating[[#This Row],[FI_RATING]]="",_xlfn.XLOOKUP(CtpyRating[[#This Row],[CPTY_NAME]],S:S,U:U,"",0)=CtpyRating[[#This Row],[FI_RATING]],CtpyRating[[#This Row],[New Rating]]="Yes"),"No","Yes")</f>
        <v>No</v>
      </c>
      <c r="M200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00" s="30" t="str">
        <f>IF(AND(CtpyRating[[#This Row],[FI_RATING]]&lt;&gt;"",_xlfn.XLOOKUP(CtpyRating[[#This Row],[CPTY_NAME]],S:S,U:U,"",0)=""),"Yes","No")</f>
        <v>No</v>
      </c>
      <c r="Q200">
        <v>8</v>
      </c>
      <c r="R200">
        <v>2026</v>
      </c>
      <c r="S200" t="s">
        <v>574</v>
      </c>
      <c r="T200" t="s">
        <v>579</v>
      </c>
      <c r="U200" t="s">
        <v>24</v>
      </c>
      <c r="V200" s="34"/>
    </row>
    <row r="201" spans="1:24" x14ac:dyDescent="0.3">
      <c r="A201" t="s">
        <v>640</v>
      </c>
      <c r="B201" t="s">
        <v>402</v>
      </c>
      <c r="C201" t="s">
        <v>17</v>
      </c>
      <c r="D201" t="s">
        <v>31</v>
      </c>
      <c r="E201" s="27"/>
      <c r="G201" s="27"/>
      <c r="I201" s="27"/>
      <c r="L201" s="30" t="s">
        <v>641</v>
      </c>
      <c r="M201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01" s="30" t="s">
        <v>641</v>
      </c>
    </row>
    <row r="202" spans="1:24" x14ac:dyDescent="0.3">
      <c r="E202" s="27"/>
      <c r="G202" s="27"/>
      <c r="I202" s="27"/>
      <c r="L202" s="30" t="str">
        <f>IF(OR(CtpyRating[[#This Row],[FI_RATING]]="",_xlfn.XLOOKUP(CtpyRating[[#This Row],[CPTY_NAME]],S:S,U:U,"",0)=CtpyRating[[#This Row],[FI_RATING]],CtpyRating[[#This Row],[New Rating]]="Yes"),"No","Yes")</f>
        <v>No</v>
      </c>
      <c r="M202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02" s="30" t="str">
        <f>IF(AND(CtpyRating[[#This Row],[FI_RATING]]&lt;&gt;"",_xlfn.XLOOKUP(CtpyRating[[#This Row],[CPTY_NAME]],S:S,U:U,"",0)=""),"Yes","No")</f>
        <v>No</v>
      </c>
    </row>
    <row r="203" spans="1:24" x14ac:dyDescent="0.3">
      <c r="E203" s="27"/>
      <c r="G203" s="27"/>
      <c r="I203" s="27"/>
      <c r="L203" s="30" t="str">
        <f>IF(OR(CtpyRating[[#This Row],[FI_RATING]]="",_xlfn.XLOOKUP(CtpyRating[[#This Row],[CPTY_NAME]],S:S,U:U,"",0)=CtpyRating[[#This Row],[FI_RATING]],CtpyRating[[#This Row],[New Rating]]="Yes"),"No","Yes")</f>
        <v>No</v>
      </c>
      <c r="M203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03" s="30" t="str">
        <f>IF(AND(CtpyRating[[#This Row],[FI_RATING]]&lt;&gt;"",_xlfn.XLOOKUP(CtpyRating[[#This Row],[CPTY_NAME]],S:S,U:U,"",0)=""),"Yes","No")</f>
        <v>No</v>
      </c>
    </row>
    <row r="204" spans="1:24" x14ac:dyDescent="0.3">
      <c r="E204" s="27"/>
      <c r="G204" s="27"/>
      <c r="I204" s="27"/>
      <c r="L204" s="30" t="str">
        <f>IF(OR(CtpyRating[[#This Row],[FI_RATING]]="",_xlfn.XLOOKUP(CtpyRating[[#This Row],[CPTY_NAME]],S:S,U:U,"",0)=CtpyRating[[#This Row],[FI_RATING]],CtpyRating[[#This Row],[New Rating]]="Yes"),"No","Yes")</f>
        <v>No</v>
      </c>
      <c r="M204" s="30" t="str">
        <f>IF(OR(CtpyRating[[#This Row],[FI_RATING_DATE]]="",CtpyRating[[#This Row],[FI_RATING_DATE]]=_xlfn.XLOOKUP(CtpyRating[[#This Row],[CPTY_NAME]],S:S,V:V,"",0),CtpyRating[[#This Row],[New Rating]]="Yes"),"No","Yes")</f>
        <v>No</v>
      </c>
      <c r="N204" s="30" t="str">
        <f>IF(AND(CtpyRating[[#This Row],[FI_RATING]]&lt;&gt;"",_xlfn.XLOOKUP(CtpyRating[[#This Row],[CPTY_NAME]],S:S,U:U,"",0)=""),"Yes","No")</f>
        <v>No</v>
      </c>
    </row>
  </sheetData>
  <phoneticPr fontId="6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3D9B-506A-4E78-90F6-54ABA775276D}">
  <sheetPr codeName="Sheet4"/>
  <dimension ref="A1:B194"/>
  <sheetViews>
    <sheetView workbookViewId="0">
      <pane ySplit="1" topLeftCell="A29" activePane="bottomLeft" state="frozen"/>
      <selection pane="bottomLeft" activeCell="B1" sqref="B1"/>
    </sheetView>
  </sheetViews>
  <sheetFormatPr defaultRowHeight="14.4" x14ac:dyDescent="0.3"/>
  <cols>
    <col min="1" max="1" width="22" customWidth="1"/>
    <col min="2" max="2" width="64" bestFit="1" customWidth="1"/>
  </cols>
  <sheetData>
    <row r="1" spans="1:2" x14ac:dyDescent="0.3">
      <c r="A1" s="8" t="s">
        <v>248</v>
      </c>
      <c r="B1" s="8" t="s">
        <v>249</v>
      </c>
    </row>
    <row r="2" spans="1:2" x14ac:dyDescent="0.3">
      <c r="A2" t="s">
        <v>250</v>
      </c>
      <c r="B2" t="s">
        <v>16</v>
      </c>
    </row>
    <row r="3" spans="1:2" x14ac:dyDescent="0.3">
      <c r="A3" t="s">
        <v>251</v>
      </c>
      <c r="B3" t="s">
        <v>19</v>
      </c>
    </row>
    <row r="4" spans="1:2" x14ac:dyDescent="0.3">
      <c r="A4" t="s">
        <v>252</v>
      </c>
      <c r="B4" t="s">
        <v>23</v>
      </c>
    </row>
    <row r="5" spans="1:2" x14ac:dyDescent="0.3">
      <c r="A5" t="s">
        <v>253</v>
      </c>
      <c r="B5" t="s">
        <v>26</v>
      </c>
    </row>
    <row r="6" spans="1:2" x14ac:dyDescent="0.3">
      <c r="A6" t="s">
        <v>254</v>
      </c>
      <c r="B6" t="s">
        <v>28</v>
      </c>
    </row>
    <row r="7" spans="1:2" x14ac:dyDescent="0.3">
      <c r="A7" t="s">
        <v>255</v>
      </c>
      <c r="B7" t="s">
        <v>30</v>
      </c>
    </row>
    <row r="8" spans="1:2" x14ac:dyDescent="0.3">
      <c r="A8" t="s">
        <v>256</v>
      </c>
      <c r="B8" t="s">
        <v>32</v>
      </c>
    </row>
    <row r="9" spans="1:2" x14ac:dyDescent="0.3">
      <c r="A9" t="s">
        <v>257</v>
      </c>
      <c r="B9" t="s">
        <v>34</v>
      </c>
    </row>
    <row r="10" spans="1:2" x14ac:dyDescent="0.3">
      <c r="A10" t="s">
        <v>258</v>
      </c>
      <c r="B10" t="s">
        <v>35</v>
      </c>
    </row>
    <row r="11" spans="1:2" x14ac:dyDescent="0.3">
      <c r="A11" t="s">
        <v>259</v>
      </c>
      <c r="B11" t="s">
        <v>36</v>
      </c>
    </row>
    <row r="12" spans="1:2" x14ac:dyDescent="0.3">
      <c r="A12" t="s">
        <v>260</v>
      </c>
      <c r="B12" t="s">
        <v>37</v>
      </c>
    </row>
    <row r="13" spans="1:2" x14ac:dyDescent="0.3">
      <c r="A13" t="s">
        <v>261</v>
      </c>
      <c r="B13" t="s">
        <v>39</v>
      </c>
    </row>
    <row r="14" spans="1:2" x14ac:dyDescent="0.3">
      <c r="A14" t="s">
        <v>262</v>
      </c>
      <c r="B14" t="s">
        <v>41</v>
      </c>
    </row>
    <row r="15" spans="1:2" x14ac:dyDescent="0.3">
      <c r="A15" t="s">
        <v>263</v>
      </c>
      <c r="B15" t="s">
        <v>43</v>
      </c>
    </row>
    <row r="16" spans="1:2" x14ac:dyDescent="0.3">
      <c r="A16" t="s">
        <v>264</v>
      </c>
      <c r="B16" t="s">
        <v>44</v>
      </c>
    </row>
    <row r="17" spans="1:2" x14ac:dyDescent="0.3">
      <c r="A17" t="s">
        <v>265</v>
      </c>
      <c r="B17" t="s">
        <v>45</v>
      </c>
    </row>
    <row r="18" spans="1:2" x14ac:dyDescent="0.3">
      <c r="A18" t="s">
        <v>266</v>
      </c>
      <c r="B18" t="s">
        <v>46</v>
      </c>
    </row>
    <row r="19" spans="1:2" x14ac:dyDescent="0.3">
      <c r="A19" t="s">
        <v>267</v>
      </c>
      <c r="B19" t="s">
        <v>47</v>
      </c>
    </row>
    <row r="20" spans="1:2" x14ac:dyDescent="0.3">
      <c r="A20" t="s">
        <v>268</v>
      </c>
      <c r="B20" t="s">
        <v>48</v>
      </c>
    </row>
    <row r="21" spans="1:2" x14ac:dyDescent="0.3">
      <c r="A21" t="s">
        <v>269</v>
      </c>
      <c r="B21" t="s">
        <v>49</v>
      </c>
    </row>
    <row r="22" spans="1:2" x14ac:dyDescent="0.3">
      <c r="A22" t="s">
        <v>270</v>
      </c>
      <c r="B22" t="s">
        <v>50</v>
      </c>
    </row>
    <row r="23" spans="1:2" x14ac:dyDescent="0.3">
      <c r="A23" t="s">
        <v>271</v>
      </c>
      <c r="B23" t="s">
        <v>53</v>
      </c>
    </row>
    <row r="24" spans="1:2" x14ac:dyDescent="0.3">
      <c r="A24" t="s">
        <v>272</v>
      </c>
      <c r="B24" t="s">
        <v>54</v>
      </c>
    </row>
    <row r="25" spans="1:2" x14ac:dyDescent="0.3">
      <c r="A25" t="s">
        <v>273</v>
      </c>
      <c r="B25" t="s">
        <v>55</v>
      </c>
    </row>
    <row r="26" spans="1:2" x14ac:dyDescent="0.3">
      <c r="A26" t="s">
        <v>274</v>
      </c>
      <c r="B26" t="s">
        <v>56</v>
      </c>
    </row>
    <row r="27" spans="1:2" x14ac:dyDescent="0.3">
      <c r="A27" t="s">
        <v>275</v>
      </c>
      <c r="B27" t="s">
        <v>57</v>
      </c>
    </row>
    <row r="28" spans="1:2" x14ac:dyDescent="0.3">
      <c r="A28" t="s">
        <v>276</v>
      </c>
      <c r="B28" t="s">
        <v>58</v>
      </c>
    </row>
    <row r="29" spans="1:2" x14ac:dyDescent="0.3">
      <c r="A29" t="s">
        <v>277</v>
      </c>
      <c r="B29" t="s">
        <v>59</v>
      </c>
    </row>
    <row r="30" spans="1:2" x14ac:dyDescent="0.3">
      <c r="A30" t="s">
        <v>278</v>
      </c>
      <c r="B30" t="s">
        <v>60</v>
      </c>
    </row>
    <row r="31" spans="1:2" x14ac:dyDescent="0.3">
      <c r="A31" t="s">
        <v>279</v>
      </c>
      <c r="B31" t="s">
        <v>61</v>
      </c>
    </row>
    <row r="32" spans="1:2" x14ac:dyDescent="0.3">
      <c r="A32" t="s">
        <v>280</v>
      </c>
      <c r="B32" t="s">
        <v>63</v>
      </c>
    </row>
    <row r="33" spans="1:2" x14ac:dyDescent="0.3">
      <c r="A33" t="s">
        <v>281</v>
      </c>
      <c r="B33" t="s">
        <v>64</v>
      </c>
    </row>
    <row r="34" spans="1:2" x14ac:dyDescent="0.3">
      <c r="A34" t="s">
        <v>282</v>
      </c>
      <c r="B34" t="s">
        <v>66</v>
      </c>
    </row>
    <row r="35" spans="1:2" x14ac:dyDescent="0.3">
      <c r="A35" t="s">
        <v>283</v>
      </c>
      <c r="B35" t="s">
        <v>67</v>
      </c>
    </row>
    <row r="36" spans="1:2" x14ac:dyDescent="0.3">
      <c r="A36" t="s">
        <v>284</v>
      </c>
      <c r="B36" t="s">
        <v>68</v>
      </c>
    </row>
    <row r="37" spans="1:2" x14ac:dyDescent="0.3">
      <c r="A37" t="s">
        <v>285</v>
      </c>
      <c r="B37" t="s">
        <v>69</v>
      </c>
    </row>
    <row r="38" spans="1:2" x14ac:dyDescent="0.3">
      <c r="A38" t="s">
        <v>286</v>
      </c>
      <c r="B38" t="s">
        <v>70</v>
      </c>
    </row>
    <row r="39" spans="1:2" x14ac:dyDescent="0.3">
      <c r="A39" t="s">
        <v>287</v>
      </c>
      <c r="B39" t="s">
        <v>72</v>
      </c>
    </row>
    <row r="40" spans="1:2" x14ac:dyDescent="0.3">
      <c r="A40" t="s">
        <v>288</v>
      </c>
      <c r="B40" t="s">
        <v>74</v>
      </c>
    </row>
    <row r="41" spans="1:2" x14ac:dyDescent="0.3">
      <c r="A41" t="s">
        <v>289</v>
      </c>
      <c r="B41" t="s">
        <v>75</v>
      </c>
    </row>
    <row r="42" spans="1:2" x14ac:dyDescent="0.3">
      <c r="A42" t="s">
        <v>290</v>
      </c>
      <c r="B42" t="s">
        <v>76</v>
      </c>
    </row>
    <row r="43" spans="1:2" x14ac:dyDescent="0.3">
      <c r="A43" t="s">
        <v>291</v>
      </c>
      <c r="B43" t="s">
        <v>77</v>
      </c>
    </row>
    <row r="44" spans="1:2" x14ac:dyDescent="0.3">
      <c r="A44" t="s">
        <v>292</v>
      </c>
      <c r="B44" t="s">
        <v>78</v>
      </c>
    </row>
    <row r="45" spans="1:2" x14ac:dyDescent="0.3">
      <c r="A45" t="s">
        <v>293</v>
      </c>
      <c r="B45" t="s">
        <v>79</v>
      </c>
    </row>
    <row r="46" spans="1:2" x14ac:dyDescent="0.3">
      <c r="A46" t="s">
        <v>294</v>
      </c>
      <c r="B46" t="s">
        <v>80</v>
      </c>
    </row>
    <row r="47" spans="1:2" x14ac:dyDescent="0.3">
      <c r="A47" t="s">
        <v>295</v>
      </c>
      <c r="B47" t="s">
        <v>81</v>
      </c>
    </row>
    <row r="48" spans="1:2" x14ac:dyDescent="0.3">
      <c r="A48" t="s">
        <v>296</v>
      </c>
      <c r="B48" t="s">
        <v>82</v>
      </c>
    </row>
    <row r="49" spans="1:2" x14ac:dyDescent="0.3">
      <c r="A49" t="s">
        <v>297</v>
      </c>
      <c r="B49" t="s">
        <v>83</v>
      </c>
    </row>
    <row r="50" spans="1:2" x14ac:dyDescent="0.3">
      <c r="A50" t="s">
        <v>298</v>
      </c>
      <c r="B50" t="s">
        <v>84</v>
      </c>
    </row>
    <row r="51" spans="1:2" x14ac:dyDescent="0.3">
      <c r="A51" t="s">
        <v>299</v>
      </c>
      <c r="B51" t="s">
        <v>85</v>
      </c>
    </row>
    <row r="52" spans="1:2" x14ac:dyDescent="0.3">
      <c r="A52" t="s">
        <v>300</v>
      </c>
      <c r="B52" t="s">
        <v>86</v>
      </c>
    </row>
    <row r="53" spans="1:2" x14ac:dyDescent="0.3">
      <c r="A53" t="s">
        <v>301</v>
      </c>
      <c r="B53" t="s">
        <v>87</v>
      </c>
    </row>
    <row r="54" spans="1:2" x14ac:dyDescent="0.3">
      <c r="A54" t="s">
        <v>302</v>
      </c>
      <c r="B54" t="s">
        <v>88</v>
      </c>
    </row>
    <row r="55" spans="1:2" x14ac:dyDescent="0.3">
      <c r="A55" t="s">
        <v>303</v>
      </c>
      <c r="B55" t="s">
        <v>89</v>
      </c>
    </row>
    <row r="56" spans="1:2" x14ac:dyDescent="0.3">
      <c r="A56" t="s">
        <v>304</v>
      </c>
      <c r="B56" t="s">
        <v>90</v>
      </c>
    </row>
    <row r="57" spans="1:2" x14ac:dyDescent="0.3">
      <c r="A57" t="s">
        <v>305</v>
      </c>
      <c r="B57" t="s">
        <v>91</v>
      </c>
    </row>
    <row r="58" spans="1:2" x14ac:dyDescent="0.3">
      <c r="A58" t="s">
        <v>306</v>
      </c>
      <c r="B58" t="s">
        <v>92</v>
      </c>
    </row>
    <row r="59" spans="1:2" x14ac:dyDescent="0.3">
      <c r="A59" t="s">
        <v>307</v>
      </c>
      <c r="B59" t="s">
        <v>93</v>
      </c>
    </row>
    <row r="60" spans="1:2" x14ac:dyDescent="0.3">
      <c r="A60" t="s">
        <v>308</v>
      </c>
      <c r="B60" t="s">
        <v>94</v>
      </c>
    </row>
    <row r="61" spans="1:2" x14ac:dyDescent="0.3">
      <c r="A61" t="s">
        <v>309</v>
      </c>
      <c r="B61" t="s">
        <v>95</v>
      </c>
    </row>
    <row r="62" spans="1:2" x14ac:dyDescent="0.3">
      <c r="A62" t="s">
        <v>310</v>
      </c>
      <c r="B62" t="s">
        <v>96</v>
      </c>
    </row>
    <row r="63" spans="1:2" x14ac:dyDescent="0.3">
      <c r="A63" t="s">
        <v>311</v>
      </c>
      <c r="B63" t="s">
        <v>97</v>
      </c>
    </row>
    <row r="64" spans="1:2" x14ac:dyDescent="0.3">
      <c r="A64" t="s">
        <v>312</v>
      </c>
      <c r="B64" t="s">
        <v>99</v>
      </c>
    </row>
    <row r="65" spans="1:2" x14ac:dyDescent="0.3">
      <c r="A65" t="s">
        <v>313</v>
      </c>
      <c r="B65" t="s">
        <v>101</v>
      </c>
    </row>
    <row r="66" spans="1:2" x14ac:dyDescent="0.3">
      <c r="A66" t="s">
        <v>314</v>
      </c>
      <c r="B66" t="s">
        <v>102</v>
      </c>
    </row>
    <row r="67" spans="1:2" x14ac:dyDescent="0.3">
      <c r="A67" t="s">
        <v>315</v>
      </c>
      <c r="B67" t="s">
        <v>103</v>
      </c>
    </row>
    <row r="68" spans="1:2" x14ac:dyDescent="0.3">
      <c r="A68" t="s">
        <v>316</v>
      </c>
      <c r="B68" t="s">
        <v>104</v>
      </c>
    </row>
    <row r="69" spans="1:2" x14ac:dyDescent="0.3">
      <c r="A69" t="s">
        <v>317</v>
      </c>
      <c r="B69" t="s">
        <v>105</v>
      </c>
    </row>
    <row r="70" spans="1:2" x14ac:dyDescent="0.3">
      <c r="A70" t="s">
        <v>318</v>
      </c>
      <c r="B70" t="s">
        <v>106</v>
      </c>
    </row>
    <row r="71" spans="1:2" x14ac:dyDescent="0.3">
      <c r="A71" t="s">
        <v>319</v>
      </c>
      <c r="B71" t="s">
        <v>107</v>
      </c>
    </row>
    <row r="72" spans="1:2" x14ac:dyDescent="0.3">
      <c r="A72" t="s">
        <v>320</v>
      </c>
      <c r="B72" t="s">
        <v>108</v>
      </c>
    </row>
    <row r="73" spans="1:2" x14ac:dyDescent="0.3">
      <c r="A73" t="s">
        <v>321</v>
      </c>
      <c r="B73" t="s">
        <v>109</v>
      </c>
    </row>
    <row r="74" spans="1:2" x14ac:dyDescent="0.3">
      <c r="A74" t="s">
        <v>322</v>
      </c>
      <c r="B74" t="s">
        <v>110</v>
      </c>
    </row>
    <row r="75" spans="1:2" x14ac:dyDescent="0.3">
      <c r="A75" t="s">
        <v>323</v>
      </c>
      <c r="B75" t="s">
        <v>111</v>
      </c>
    </row>
    <row r="76" spans="1:2" x14ac:dyDescent="0.3">
      <c r="A76" t="s">
        <v>324</v>
      </c>
      <c r="B76" t="s">
        <v>112</v>
      </c>
    </row>
    <row r="77" spans="1:2" x14ac:dyDescent="0.3">
      <c r="A77" t="s">
        <v>325</v>
      </c>
      <c r="B77" t="s">
        <v>113</v>
      </c>
    </row>
    <row r="78" spans="1:2" x14ac:dyDescent="0.3">
      <c r="A78" t="s">
        <v>326</v>
      </c>
      <c r="B78" t="s">
        <v>114</v>
      </c>
    </row>
    <row r="79" spans="1:2" x14ac:dyDescent="0.3">
      <c r="A79" t="s">
        <v>327</v>
      </c>
      <c r="B79" t="s">
        <v>116</v>
      </c>
    </row>
    <row r="80" spans="1:2" x14ac:dyDescent="0.3">
      <c r="A80" t="s">
        <v>328</v>
      </c>
      <c r="B80" t="s">
        <v>117</v>
      </c>
    </row>
    <row r="81" spans="1:2" x14ac:dyDescent="0.3">
      <c r="A81" t="s">
        <v>329</v>
      </c>
      <c r="B81" t="s">
        <v>118</v>
      </c>
    </row>
    <row r="82" spans="1:2" x14ac:dyDescent="0.3">
      <c r="A82" t="s">
        <v>330</v>
      </c>
      <c r="B82" t="s">
        <v>119</v>
      </c>
    </row>
    <row r="83" spans="1:2" x14ac:dyDescent="0.3">
      <c r="A83" t="s">
        <v>331</v>
      </c>
      <c r="B83" t="s">
        <v>120</v>
      </c>
    </row>
    <row r="84" spans="1:2" x14ac:dyDescent="0.3">
      <c r="A84" t="s">
        <v>332</v>
      </c>
      <c r="B84" t="s">
        <v>121</v>
      </c>
    </row>
    <row r="85" spans="1:2" x14ac:dyDescent="0.3">
      <c r="A85" t="s">
        <v>333</v>
      </c>
      <c r="B85" t="s">
        <v>122</v>
      </c>
    </row>
    <row r="86" spans="1:2" x14ac:dyDescent="0.3">
      <c r="A86" t="s">
        <v>334</v>
      </c>
      <c r="B86" t="s">
        <v>123</v>
      </c>
    </row>
    <row r="87" spans="1:2" x14ac:dyDescent="0.3">
      <c r="A87" t="s">
        <v>335</v>
      </c>
      <c r="B87" t="s">
        <v>124</v>
      </c>
    </row>
    <row r="88" spans="1:2" x14ac:dyDescent="0.3">
      <c r="A88" t="s">
        <v>336</v>
      </c>
      <c r="B88" t="s">
        <v>125</v>
      </c>
    </row>
    <row r="89" spans="1:2" x14ac:dyDescent="0.3">
      <c r="A89" t="s">
        <v>337</v>
      </c>
      <c r="B89" t="s">
        <v>127</v>
      </c>
    </row>
    <row r="90" spans="1:2" x14ac:dyDescent="0.3">
      <c r="A90" t="s">
        <v>338</v>
      </c>
      <c r="B90" t="s">
        <v>128</v>
      </c>
    </row>
    <row r="91" spans="1:2" x14ac:dyDescent="0.3">
      <c r="A91" t="s">
        <v>339</v>
      </c>
      <c r="B91" t="s">
        <v>129</v>
      </c>
    </row>
    <row r="92" spans="1:2" x14ac:dyDescent="0.3">
      <c r="A92" t="s">
        <v>340</v>
      </c>
      <c r="B92" t="s">
        <v>130</v>
      </c>
    </row>
    <row r="93" spans="1:2" x14ac:dyDescent="0.3">
      <c r="A93" t="s">
        <v>341</v>
      </c>
      <c r="B93" t="s">
        <v>131</v>
      </c>
    </row>
    <row r="94" spans="1:2" x14ac:dyDescent="0.3">
      <c r="A94" t="s">
        <v>342</v>
      </c>
      <c r="B94" t="s">
        <v>132</v>
      </c>
    </row>
    <row r="95" spans="1:2" x14ac:dyDescent="0.3">
      <c r="A95" t="s">
        <v>343</v>
      </c>
      <c r="B95" t="s">
        <v>133</v>
      </c>
    </row>
    <row r="96" spans="1:2" x14ac:dyDescent="0.3">
      <c r="A96" t="s">
        <v>344</v>
      </c>
      <c r="B96" t="s">
        <v>136</v>
      </c>
    </row>
    <row r="97" spans="1:2" x14ac:dyDescent="0.3">
      <c r="A97" t="s">
        <v>345</v>
      </c>
      <c r="B97" t="s">
        <v>138</v>
      </c>
    </row>
    <row r="98" spans="1:2" x14ac:dyDescent="0.3">
      <c r="A98" t="s">
        <v>346</v>
      </c>
      <c r="B98" t="s">
        <v>141</v>
      </c>
    </row>
    <row r="99" spans="1:2" x14ac:dyDescent="0.3">
      <c r="A99" t="s">
        <v>347</v>
      </c>
      <c r="B99" t="s">
        <v>143</v>
      </c>
    </row>
    <row r="100" spans="1:2" x14ac:dyDescent="0.3">
      <c r="A100" t="s">
        <v>348</v>
      </c>
      <c r="B100" t="s">
        <v>144</v>
      </c>
    </row>
    <row r="101" spans="1:2" x14ac:dyDescent="0.3">
      <c r="A101" t="s">
        <v>349</v>
      </c>
      <c r="B101" t="s">
        <v>145</v>
      </c>
    </row>
    <row r="102" spans="1:2" x14ac:dyDescent="0.3">
      <c r="A102" t="s">
        <v>350</v>
      </c>
      <c r="B102" t="s">
        <v>147</v>
      </c>
    </row>
    <row r="103" spans="1:2" x14ac:dyDescent="0.3">
      <c r="A103" t="s">
        <v>351</v>
      </c>
      <c r="B103" t="s">
        <v>148</v>
      </c>
    </row>
    <row r="104" spans="1:2" x14ac:dyDescent="0.3">
      <c r="A104" t="s">
        <v>336</v>
      </c>
      <c r="B104" t="s">
        <v>150</v>
      </c>
    </row>
    <row r="105" spans="1:2" x14ac:dyDescent="0.3">
      <c r="A105" t="s">
        <v>352</v>
      </c>
      <c r="B105" t="s">
        <v>151</v>
      </c>
    </row>
    <row r="106" spans="1:2" x14ac:dyDescent="0.3">
      <c r="A106" t="s">
        <v>353</v>
      </c>
      <c r="B106" t="s">
        <v>152</v>
      </c>
    </row>
    <row r="107" spans="1:2" x14ac:dyDescent="0.3">
      <c r="A107" t="s">
        <v>354</v>
      </c>
      <c r="B107" t="s">
        <v>153</v>
      </c>
    </row>
    <row r="108" spans="1:2" x14ac:dyDescent="0.3">
      <c r="A108" t="s">
        <v>355</v>
      </c>
      <c r="B108" t="s">
        <v>154</v>
      </c>
    </row>
    <row r="109" spans="1:2" x14ac:dyDescent="0.3">
      <c r="A109" t="s">
        <v>356</v>
      </c>
      <c r="B109" t="s">
        <v>155</v>
      </c>
    </row>
    <row r="110" spans="1:2" x14ac:dyDescent="0.3">
      <c r="A110" t="s">
        <v>357</v>
      </c>
      <c r="B110" t="s">
        <v>156</v>
      </c>
    </row>
    <row r="111" spans="1:2" x14ac:dyDescent="0.3">
      <c r="A111" t="s">
        <v>358</v>
      </c>
      <c r="B111" t="s">
        <v>157</v>
      </c>
    </row>
    <row r="112" spans="1:2" x14ac:dyDescent="0.3">
      <c r="A112" t="s">
        <v>359</v>
      </c>
      <c r="B112" t="s">
        <v>158</v>
      </c>
    </row>
    <row r="113" spans="1:2" x14ac:dyDescent="0.3">
      <c r="A113" t="s">
        <v>360</v>
      </c>
      <c r="B113" t="s">
        <v>159</v>
      </c>
    </row>
    <row r="114" spans="1:2" x14ac:dyDescent="0.3">
      <c r="A114" t="s">
        <v>361</v>
      </c>
      <c r="B114" t="s">
        <v>160</v>
      </c>
    </row>
    <row r="115" spans="1:2" x14ac:dyDescent="0.3">
      <c r="A115" t="s">
        <v>341</v>
      </c>
      <c r="B115" t="s">
        <v>161</v>
      </c>
    </row>
    <row r="116" spans="1:2" x14ac:dyDescent="0.3">
      <c r="A116" t="s">
        <v>362</v>
      </c>
      <c r="B116" t="s">
        <v>162</v>
      </c>
    </row>
    <row r="117" spans="1:2" x14ac:dyDescent="0.3">
      <c r="A117" t="s">
        <v>363</v>
      </c>
      <c r="B117" t="s">
        <v>364</v>
      </c>
    </row>
    <row r="118" spans="1:2" x14ac:dyDescent="0.3">
      <c r="A118" t="s">
        <v>339</v>
      </c>
      <c r="B118" t="s">
        <v>165</v>
      </c>
    </row>
    <row r="119" spans="1:2" x14ac:dyDescent="0.3">
      <c r="A119" t="s">
        <v>365</v>
      </c>
      <c r="B119" t="s">
        <v>166</v>
      </c>
    </row>
    <row r="120" spans="1:2" x14ac:dyDescent="0.3">
      <c r="A120" t="s">
        <v>366</v>
      </c>
      <c r="B120" t="s">
        <v>167</v>
      </c>
    </row>
    <row r="121" spans="1:2" x14ac:dyDescent="0.3">
      <c r="A121" t="s">
        <v>367</v>
      </c>
      <c r="B121" t="s">
        <v>168</v>
      </c>
    </row>
    <row r="122" spans="1:2" x14ac:dyDescent="0.3">
      <c r="A122" t="s">
        <v>368</v>
      </c>
      <c r="B122" t="s">
        <v>169</v>
      </c>
    </row>
    <row r="123" spans="1:2" x14ac:dyDescent="0.3">
      <c r="A123" t="s">
        <v>369</v>
      </c>
      <c r="B123" t="s">
        <v>170</v>
      </c>
    </row>
    <row r="124" spans="1:2" x14ac:dyDescent="0.3">
      <c r="A124" t="s">
        <v>370</v>
      </c>
      <c r="B124" t="s">
        <v>172</v>
      </c>
    </row>
    <row r="125" spans="1:2" x14ac:dyDescent="0.3">
      <c r="A125" t="s">
        <v>371</v>
      </c>
      <c r="B125" t="s">
        <v>173</v>
      </c>
    </row>
    <row r="126" spans="1:2" x14ac:dyDescent="0.3">
      <c r="A126" t="s">
        <v>372</v>
      </c>
      <c r="B126" t="s">
        <v>174</v>
      </c>
    </row>
    <row r="127" spans="1:2" x14ac:dyDescent="0.3">
      <c r="A127" t="s">
        <v>342</v>
      </c>
      <c r="B127" t="s">
        <v>177</v>
      </c>
    </row>
    <row r="128" spans="1:2" x14ac:dyDescent="0.3">
      <c r="A128" t="s">
        <v>373</v>
      </c>
      <c r="B128" t="s">
        <v>178</v>
      </c>
    </row>
    <row r="129" spans="1:2" x14ac:dyDescent="0.3">
      <c r="A129" t="s">
        <v>374</v>
      </c>
      <c r="B129" t="s">
        <v>179</v>
      </c>
    </row>
    <row r="130" spans="1:2" x14ac:dyDescent="0.3">
      <c r="A130" t="s">
        <v>296</v>
      </c>
      <c r="B130" t="s">
        <v>180</v>
      </c>
    </row>
    <row r="131" spans="1:2" x14ac:dyDescent="0.3">
      <c r="A131" t="s">
        <v>375</v>
      </c>
      <c r="B131" t="s">
        <v>181</v>
      </c>
    </row>
    <row r="132" spans="1:2" x14ac:dyDescent="0.3">
      <c r="A132" t="s">
        <v>376</v>
      </c>
      <c r="B132" t="s">
        <v>182</v>
      </c>
    </row>
    <row r="133" spans="1:2" x14ac:dyDescent="0.3">
      <c r="A133" t="s">
        <v>377</v>
      </c>
      <c r="B133" t="s">
        <v>183</v>
      </c>
    </row>
    <row r="134" spans="1:2" x14ac:dyDescent="0.3">
      <c r="A134" t="s">
        <v>378</v>
      </c>
      <c r="B134" t="s">
        <v>184</v>
      </c>
    </row>
    <row r="135" spans="1:2" x14ac:dyDescent="0.3">
      <c r="A135" t="s">
        <v>379</v>
      </c>
      <c r="B135" t="s">
        <v>185</v>
      </c>
    </row>
    <row r="136" spans="1:2" x14ac:dyDescent="0.3">
      <c r="A136" t="s">
        <v>380</v>
      </c>
      <c r="B136" t="s">
        <v>186</v>
      </c>
    </row>
    <row r="137" spans="1:2" x14ac:dyDescent="0.3">
      <c r="A137" t="s">
        <v>381</v>
      </c>
      <c r="B137" t="s">
        <v>187</v>
      </c>
    </row>
    <row r="138" spans="1:2" x14ac:dyDescent="0.3">
      <c r="A138" t="s">
        <v>382</v>
      </c>
      <c r="B138" t="s">
        <v>188</v>
      </c>
    </row>
    <row r="139" spans="1:2" x14ac:dyDescent="0.3">
      <c r="A139" t="s">
        <v>383</v>
      </c>
      <c r="B139" t="s">
        <v>189</v>
      </c>
    </row>
    <row r="140" spans="1:2" x14ac:dyDescent="0.3">
      <c r="A140" t="s">
        <v>384</v>
      </c>
      <c r="B140" t="s">
        <v>190</v>
      </c>
    </row>
    <row r="141" spans="1:2" x14ac:dyDescent="0.3">
      <c r="A141" t="s">
        <v>385</v>
      </c>
      <c r="B141" t="s">
        <v>191</v>
      </c>
    </row>
    <row r="142" spans="1:2" x14ac:dyDescent="0.3">
      <c r="A142" t="s">
        <v>386</v>
      </c>
      <c r="B142" t="s">
        <v>192</v>
      </c>
    </row>
    <row r="143" spans="1:2" x14ac:dyDescent="0.3">
      <c r="A143" t="s">
        <v>387</v>
      </c>
      <c r="B143" t="s">
        <v>193</v>
      </c>
    </row>
    <row r="144" spans="1:2" x14ac:dyDescent="0.3">
      <c r="A144" t="s">
        <v>388</v>
      </c>
      <c r="B144" t="s">
        <v>194</v>
      </c>
    </row>
    <row r="145" spans="1:2" x14ac:dyDescent="0.3">
      <c r="A145" t="s">
        <v>389</v>
      </c>
      <c r="B145" t="s">
        <v>195</v>
      </c>
    </row>
    <row r="146" spans="1:2" x14ac:dyDescent="0.3">
      <c r="A146" t="s">
        <v>390</v>
      </c>
      <c r="B146" t="s">
        <v>196</v>
      </c>
    </row>
    <row r="147" spans="1:2" x14ac:dyDescent="0.3">
      <c r="A147" t="s">
        <v>391</v>
      </c>
      <c r="B147" t="s">
        <v>197</v>
      </c>
    </row>
    <row r="148" spans="1:2" x14ac:dyDescent="0.3">
      <c r="A148" t="s">
        <v>392</v>
      </c>
      <c r="B148" t="s">
        <v>198</v>
      </c>
    </row>
    <row r="149" spans="1:2" x14ac:dyDescent="0.3">
      <c r="A149" t="s">
        <v>393</v>
      </c>
      <c r="B149" t="s">
        <v>199</v>
      </c>
    </row>
    <row r="150" spans="1:2" x14ac:dyDescent="0.3">
      <c r="A150" t="s">
        <v>394</v>
      </c>
      <c r="B150" t="s">
        <v>200</v>
      </c>
    </row>
    <row r="151" spans="1:2" x14ac:dyDescent="0.3">
      <c r="A151" t="s">
        <v>395</v>
      </c>
      <c r="B151" t="s">
        <v>201</v>
      </c>
    </row>
    <row r="152" spans="1:2" x14ac:dyDescent="0.3">
      <c r="A152" t="s">
        <v>396</v>
      </c>
      <c r="B152" t="s">
        <v>202</v>
      </c>
    </row>
    <row r="153" spans="1:2" x14ac:dyDescent="0.3">
      <c r="A153" t="s">
        <v>397</v>
      </c>
      <c r="B153" t="s">
        <v>203</v>
      </c>
    </row>
    <row r="154" spans="1:2" x14ac:dyDescent="0.3">
      <c r="A154" t="s">
        <v>398</v>
      </c>
      <c r="B154" t="s">
        <v>204</v>
      </c>
    </row>
    <row r="155" spans="1:2" x14ac:dyDescent="0.3">
      <c r="A155" t="s">
        <v>399</v>
      </c>
      <c r="B155" t="s">
        <v>205</v>
      </c>
    </row>
    <row r="156" spans="1:2" x14ac:dyDescent="0.3">
      <c r="A156" t="s">
        <v>400</v>
      </c>
      <c r="B156" t="s">
        <v>206</v>
      </c>
    </row>
    <row r="157" spans="1:2" x14ac:dyDescent="0.3">
      <c r="A157" t="s">
        <v>401</v>
      </c>
      <c r="B157" t="s">
        <v>207</v>
      </c>
    </row>
    <row r="158" spans="1:2" x14ac:dyDescent="0.3">
      <c r="A158" t="s">
        <v>402</v>
      </c>
      <c r="B158" t="s">
        <v>208</v>
      </c>
    </row>
    <row r="159" spans="1:2" x14ac:dyDescent="0.3">
      <c r="A159" t="s">
        <v>403</v>
      </c>
      <c r="B159" t="s">
        <v>209</v>
      </c>
    </row>
    <row r="160" spans="1:2" x14ac:dyDescent="0.3">
      <c r="A160" t="s">
        <v>404</v>
      </c>
      <c r="B160" t="s">
        <v>210</v>
      </c>
    </row>
    <row r="161" spans="1:2" x14ac:dyDescent="0.3">
      <c r="A161" t="s">
        <v>405</v>
      </c>
      <c r="B161" t="s">
        <v>211</v>
      </c>
    </row>
    <row r="162" spans="1:2" x14ac:dyDescent="0.3">
      <c r="A162" t="s">
        <v>406</v>
      </c>
      <c r="B162" t="s">
        <v>212</v>
      </c>
    </row>
    <row r="163" spans="1:2" x14ac:dyDescent="0.3">
      <c r="A163" t="s">
        <v>407</v>
      </c>
      <c r="B163" t="s">
        <v>213</v>
      </c>
    </row>
    <row r="164" spans="1:2" x14ac:dyDescent="0.3">
      <c r="A164" t="s">
        <v>408</v>
      </c>
      <c r="B164" t="s">
        <v>214</v>
      </c>
    </row>
    <row r="165" spans="1:2" x14ac:dyDescent="0.3">
      <c r="A165" t="s">
        <v>409</v>
      </c>
      <c r="B165" t="s">
        <v>215</v>
      </c>
    </row>
    <row r="166" spans="1:2" x14ac:dyDescent="0.3">
      <c r="A166" t="s">
        <v>410</v>
      </c>
      <c r="B166" t="s">
        <v>216</v>
      </c>
    </row>
    <row r="167" spans="1:2" x14ac:dyDescent="0.3">
      <c r="A167" t="s">
        <v>411</v>
      </c>
      <c r="B167" t="s">
        <v>217</v>
      </c>
    </row>
    <row r="168" spans="1:2" x14ac:dyDescent="0.3">
      <c r="A168" t="s">
        <v>412</v>
      </c>
      <c r="B168" t="s">
        <v>218</v>
      </c>
    </row>
    <row r="169" spans="1:2" x14ac:dyDescent="0.3">
      <c r="A169" t="s">
        <v>413</v>
      </c>
      <c r="B169" t="s">
        <v>219</v>
      </c>
    </row>
    <row r="170" spans="1:2" x14ac:dyDescent="0.3">
      <c r="A170" t="s">
        <v>414</v>
      </c>
      <c r="B170" t="s">
        <v>220</v>
      </c>
    </row>
    <row r="171" spans="1:2" x14ac:dyDescent="0.3">
      <c r="A171" t="s">
        <v>415</v>
      </c>
      <c r="B171" t="s">
        <v>221</v>
      </c>
    </row>
    <row r="172" spans="1:2" x14ac:dyDescent="0.3">
      <c r="A172" t="s">
        <v>416</v>
      </c>
      <c r="B172" t="s">
        <v>222</v>
      </c>
    </row>
    <row r="173" spans="1:2" x14ac:dyDescent="0.3">
      <c r="A173" t="s">
        <v>417</v>
      </c>
      <c r="B173" t="s">
        <v>225</v>
      </c>
    </row>
    <row r="174" spans="1:2" x14ac:dyDescent="0.3">
      <c r="A174" t="s">
        <v>418</v>
      </c>
      <c r="B174" t="s">
        <v>226</v>
      </c>
    </row>
    <row r="175" spans="1:2" x14ac:dyDescent="0.3">
      <c r="A175" t="s">
        <v>419</v>
      </c>
      <c r="B175" t="s">
        <v>227</v>
      </c>
    </row>
    <row r="176" spans="1:2" x14ac:dyDescent="0.3">
      <c r="A176" t="s">
        <v>420</v>
      </c>
      <c r="B176" t="s">
        <v>228</v>
      </c>
    </row>
    <row r="177" spans="1:2" x14ac:dyDescent="0.3">
      <c r="A177" t="s">
        <v>421</v>
      </c>
      <c r="B177" t="s">
        <v>229</v>
      </c>
    </row>
    <row r="178" spans="1:2" x14ac:dyDescent="0.3">
      <c r="A178" t="s">
        <v>422</v>
      </c>
      <c r="B178" t="s">
        <v>230</v>
      </c>
    </row>
    <row r="179" spans="1:2" x14ac:dyDescent="0.3">
      <c r="A179" t="s">
        <v>423</v>
      </c>
      <c r="B179" t="s">
        <v>231</v>
      </c>
    </row>
    <row r="180" spans="1:2" x14ac:dyDescent="0.3">
      <c r="A180" t="s">
        <v>424</v>
      </c>
      <c r="B180" t="s">
        <v>232</v>
      </c>
    </row>
    <row r="181" spans="1:2" x14ac:dyDescent="0.3">
      <c r="A181" t="s">
        <v>425</v>
      </c>
      <c r="B181" t="s">
        <v>233</v>
      </c>
    </row>
    <row r="182" spans="1:2" x14ac:dyDescent="0.3">
      <c r="A182" t="s">
        <v>426</v>
      </c>
      <c r="B182" t="s">
        <v>234</v>
      </c>
    </row>
    <row r="183" spans="1:2" x14ac:dyDescent="0.3">
      <c r="A183" t="s">
        <v>427</v>
      </c>
      <c r="B183" t="s">
        <v>235</v>
      </c>
    </row>
    <row r="184" spans="1:2" x14ac:dyDescent="0.3">
      <c r="A184" t="s">
        <v>428</v>
      </c>
      <c r="B184" t="s">
        <v>236</v>
      </c>
    </row>
    <row r="185" spans="1:2" x14ac:dyDescent="0.3">
      <c r="A185" t="s">
        <v>429</v>
      </c>
      <c r="B185" t="s">
        <v>237</v>
      </c>
    </row>
    <row r="186" spans="1:2" x14ac:dyDescent="0.3">
      <c r="A186" t="s">
        <v>430</v>
      </c>
      <c r="B186" t="s">
        <v>238</v>
      </c>
    </row>
    <row r="187" spans="1:2" x14ac:dyDescent="0.3">
      <c r="A187" t="s">
        <v>431</v>
      </c>
      <c r="B187" t="s">
        <v>239</v>
      </c>
    </row>
    <row r="188" spans="1:2" x14ac:dyDescent="0.3">
      <c r="A188" t="s">
        <v>432</v>
      </c>
      <c r="B188" t="s">
        <v>240</v>
      </c>
    </row>
    <row r="189" spans="1:2" x14ac:dyDescent="0.3">
      <c r="A189" t="s">
        <v>433</v>
      </c>
      <c r="B189" t="s">
        <v>241</v>
      </c>
    </row>
    <row r="190" spans="1:2" x14ac:dyDescent="0.3">
      <c r="A190" t="s">
        <v>492</v>
      </c>
      <c r="B190" t="s">
        <v>243</v>
      </c>
    </row>
    <row r="191" spans="1:2" x14ac:dyDescent="0.3">
      <c r="A191" t="s">
        <v>434</v>
      </c>
      <c r="B191" t="s">
        <v>245</v>
      </c>
    </row>
    <row r="192" spans="1:2" x14ac:dyDescent="0.3">
      <c r="A192" t="s">
        <v>435</v>
      </c>
      <c r="B192" t="s">
        <v>246</v>
      </c>
    </row>
    <row r="193" spans="1:2" x14ac:dyDescent="0.3">
      <c r="A193" t="s">
        <v>436</v>
      </c>
      <c r="B193" t="s">
        <v>247</v>
      </c>
    </row>
    <row r="194" spans="1:2" x14ac:dyDescent="0.3">
      <c r="A194" t="s">
        <v>491</v>
      </c>
      <c r="B194" t="s">
        <v>490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03B6-5220-4B6F-BA4D-A9C92568E5F1}">
  <sheetPr codeName="Sheet5"/>
  <dimension ref="A1:AV60"/>
  <sheetViews>
    <sheetView zoomScale="70" zoomScaleNormal="70" workbookViewId="0">
      <selection activeCell="AM28" sqref="AM28"/>
    </sheetView>
  </sheetViews>
  <sheetFormatPr defaultRowHeight="14.4" x14ac:dyDescent="0.3"/>
  <cols>
    <col min="1" max="1" width="12" bestFit="1" customWidth="1"/>
    <col min="2" max="2" width="10.296875" bestFit="1" customWidth="1"/>
    <col min="3" max="3" width="9.8984375" bestFit="1" customWidth="1"/>
    <col min="5" max="5" width="14.59765625" bestFit="1" customWidth="1"/>
    <col min="6" max="6" width="19.69921875" customWidth="1"/>
    <col min="7" max="7" width="20.09765625" bestFit="1" customWidth="1"/>
    <col min="8" max="8" width="8.8984375" bestFit="1" customWidth="1"/>
    <col min="9" max="9" width="16.8984375" bestFit="1" customWidth="1"/>
    <col min="10" max="10" width="15.796875" bestFit="1" customWidth="1"/>
    <col min="11" max="11" width="20" bestFit="1" customWidth="1"/>
    <col min="12" max="12" width="13.19921875" bestFit="1" customWidth="1"/>
    <col min="13" max="13" width="11.5" bestFit="1" customWidth="1"/>
    <col min="14" max="14" width="10.09765625" bestFit="1" customWidth="1"/>
    <col min="15" max="15" width="8.796875" bestFit="1" customWidth="1"/>
    <col min="16" max="16" width="7" bestFit="1" customWidth="1"/>
    <col min="17" max="17" width="10.69921875" bestFit="1" customWidth="1"/>
    <col min="18" max="18" width="9.19921875" bestFit="1" customWidth="1"/>
    <col min="19" max="19" width="11" bestFit="1" customWidth="1"/>
    <col min="20" max="20" width="8.69921875" bestFit="1" customWidth="1"/>
    <col min="21" max="21" width="14.09765625" bestFit="1" customWidth="1"/>
    <col min="22" max="22" width="8.5" bestFit="1" customWidth="1"/>
    <col min="23" max="23" width="7.3984375" bestFit="1" customWidth="1"/>
    <col min="24" max="24" width="10.3984375" bestFit="1" customWidth="1"/>
    <col min="25" max="25" width="14.09765625" bestFit="1" customWidth="1"/>
    <col min="26" max="26" width="12.5" bestFit="1" customWidth="1"/>
    <col min="27" max="27" width="8.59765625" bestFit="1" customWidth="1"/>
    <col min="28" max="28" width="12" bestFit="1" customWidth="1"/>
    <col min="29" max="29" width="11" bestFit="1" customWidth="1"/>
    <col min="30" max="31" width="12" bestFit="1" customWidth="1"/>
    <col min="32" max="32" width="12.5" bestFit="1" customWidth="1"/>
    <col min="33" max="33" width="8.19921875" bestFit="1" customWidth="1"/>
    <col min="34" max="34" width="13.69921875" bestFit="1" customWidth="1"/>
    <col min="35" max="35" width="16.19921875" bestFit="1" customWidth="1"/>
    <col min="36" max="36" width="14" bestFit="1" customWidth="1"/>
    <col min="37" max="37" width="12" bestFit="1" customWidth="1"/>
    <col min="38" max="39" width="11" bestFit="1" customWidth="1"/>
    <col min="40" max="40" width="8.09765625" bestFit="1" customWidth="1"/>
    <col min="44" max="44" width="10.3984375" customWidth="1"/>
  </cols>
  <sheetData>
    <row r="1" spans="1:48" x14ac:dyDescent="0.3">
      <c r="A1" s="37" t="s">
        <v>499</v>
      </c>
      <c r="B1" s="37" t="s">
        <v>500</v>
      </c>
      <c r="C1" s="38" t="s">
        <v>501</v>
      </c>
      <c r="E1" t="s">
        <v>527</v>
      </c>
      <c r="F1" t="s">
        <v>496</v>
      </c>
      <c r="G1" t="s">
        <v>528</v>
      </c>
      <c r="I1" s="35"/>
      <c r="J1" t="s">
        <v>583</v>
      </c>
      <c r="K1" t="s">
        <v>584</v>
      </c>
      <c r="L1" t="s">
        <v>585</v>
      </c>
      <c r="M1" t="s">
        <v>586</v>
      </c>
      <c r="N1" t="s">
        <v>587</v>
      </c>
      <c r="O1" t="s">
        <v>588</v>
      </c>
      <c r="P1" t="s">
        <v>589</v>
      </c>
      <c r="Q1" t="s">
        <v>590</v>
      </c>
      <c r="R1" t="s">
        <v>591</v>
      </c>
      <c r="S1" t="s">
        <v>592</v>
      </c>
      <c r="T1" t="s">
        <v>593</v>
      </c>
      <c r="U1" t="s">
        <v>594</v>
      </c>
      <c r="V1" t="s">
        <v>595</v>
      </c>
      <c r="W1" t="s">
        <v>596</v>
      </c>
      <c r="X1" t="s">
        <v>597</v>
      </c>
      <c r="Y1" t="s">
        <v>598</v>
      </c>
      <c r="Z1" t="s">
        <v>599</v>
      </c>
      <c r="AA1" t="s">
        <v>600</v>
      </c>
      <c r="AB1" t="s">
        <v>601</v>
      </c>
      <c r="AC1" t="s">
        <v>602</v>
      </c>
      <c r="AD1" t="s">
        <v>603</v>
      </c>
      <c r="AE1" t="s">
        <v>604</v>
      </c>
      <c r="AF1" t="s">
        <v>605</v>
      </c>
      <c r="AG1" t="s">
        <v>606</v>
      </c>
      <c r="AH1" t="s">
        <v>607</v>
      </c>
      <c r="AI1" t="s">
        <v>608</v>
      </c>
      <c r="AJ1" t="s">
        <v>609</v>
      </c>
      <c r="AK1" t="s">
        <v>610</v>
      </c>
      <c r="AL1" t="s">
        <v>611</v>
      </c>
      <c r="AM1" t="s">
        <v>612</v>
      </c>
      <c r="AN1" t="s">
        <v>613</v>
      </c>
      <c r="AP1" t="s">
        <v>620</v>
      </c>
      <c r="AQ1" t="s">
        <v>621</v>
      </c>
      <c r="AR1" t="s">
        <v>622</v>
      </c>
      <c r="AS1" t="s">
        <v>623</v>
      </c>
      <c r="AU1" t="s">
        <v>474</v>
      </c>
      <c r="AV1" t="s">
        <v>442</v>
      </c>
    </row>
    <row r="2" spans="1:48" x14ac:dyDescent="0.3">
      <c r="A2" s="39" t="s">
        <v>502</v>
      </c>
      <c r="B2" s="39">
        <v>0</v>
      </c>
      <c r="C2">
        <v>30</v>
      </c>
      <c r="F2" s="110" t="s">
        <v>497</v>
      </c>
      <c r="G2" s="111">
        <f>2000000000000/10^9</f>
        <v>2000</v>
      </c>
      <c r="J2" t="s">
        <v>614</v>
      </c>
      <c r="K2" t="s">
        <v>615</v>
      </c>
      <c r="L2" t="s">
        <v>580</v>
      </c>
      <c r="M2" t="s">
        <v>616</v>
      </c>
      <c r="N2" t="s">
        <v>617</v>
      </c>
      <c r="O2" t="s">
        <v>618</v>
      </c>
      <c r="P2">
        <v>71.272000000000006</v>
      </c>
      <c r="Q2">
        <v>71</v>
      </c>
      <c r="R2">
        <v>6372854</v>
      </c>
      <c r="S2">
        <v>637285400</v>
      </c>
      <c r="T2">
        <v>68.569999999999993</v>
      </c>
      <c r="U2">
        <v>454206050.29000002</v>
      </c>
      <c r="V2">
        <v>6</v>
      </c>
      <c r="W2">
        <v>1</v>
      </c>
      <c r="X2">
        <v>0</v>
      </c>
      <c r="Y2">
        <v>0</v>
      </c>
      <c r="Z2">
        <v>-6838768.2011615708</v>
      </c>
      <c r="AA2">
        <v>14.42</v>
      </c>
      <c r="AB2">
        <v>3.8342754240399</v>
      </c>
      <c r="AC2">
        <v>4.11072668</v>
      </c>
      <c r="AD2">
        <v>18.169380398255001</v>
      </c>
      <c r="AE2">
        <v>83.508129749899993</v>
      </c>
      <c r="AF2">
        <v>-176.226796175</v>
      </c>
      <c r="AG2">
        <v>173.93600000000001</v>
      </c>
      <c r="AH2">
        <v>0</v>
      </c>
      <c r="AI2">
        <v>17219451.50800008</v>
      </c>
      <c r="AJ2">
        <v>17219451.508000098</v>
      </c>
      <c r="AK2">
        <v>17219451.508000098</v>
      </c>
      <c r="AL2">
        <v>5137461240.2049999</v>
      </c>
      <c r="AM2">
        <v>5137461240.2051411</v>
      </c>
      <c r="AN2">
        <v>15.2</v>
      </c>
      <c r="AP2" t="s">
        <v>624</v>
      </c>
      <c r="AQ2">
        <v>300.1927</v>
      </c>
      <c r="AR2" s="27">
        <v>46237</v>
      </c>
      <c r="AU2" t="s">
        <v>579</v>
      </c>
      <c r="AV2" t="s">
        <v>40</v>
      </c>
    </row>
    <row r="3" spans="1:48" x14ac:dyDescent="0.3">
      <c r="A3" s="39" t="s">
        <v>503</v>
      </c>
      <c r="B3" s="39">
        <v>31</v>
      </c>
      <c r="C3">
        <v>90</v>
      </c>
      <c r="F3" s="110" t="s">
        <v>547</v>
      </c>
      <c r="G3" s="111">
        <v>2000</v>
      </c>
      <c r="J3" t="s">
        <v>614</v>
      </c>
      <c r="K3" t="s">
        <v>615</v>
      </c>
      <c r="L3" t="s">
        <v>581</v>
      </c>
      <c r="M3" t="s">
        <v>616</v>
      </c>
      <c r="N3" t="s">
        <v>619</v>
      </c>
      <c r="O3" t="s">
        <v>618</v>
      </c>
      <c r="P3">
        <v>71.069000000000003</v>
      </c>
      <c r="Q3">
        <v>71</v>
      </c>
      <c r="R3">
        <v>12745000</v>
      </c>
      <c r="S3">
        <v>1274500000</v>
      </c>
      <c r="T3">
        <v>68.569999999999993</v>
      </c>
      <c r="U3">
        <v>905774405</v>
      </c>
      <c r="V3">
        <v>6</v>
      </c>
      <c r="W3">
        <v>1</v>
      </c>
      <c r="X3">
        <v>0</v>
      </c>
      <c r="Y3">
        <v>0</v>
      </c>
      <c r="Z3">
        <v>-10145244.969736766</v>
      </c>
      <c r="AA3">
        <v>14.44</v>
      </c>
      <c r="AB3">
        <v>3.8687805552303001</v>
      </c>
      <c r="AC3">
        <v>4.1481065099999999</v>
      </c>
      <c r="AD3">
        <v>18.452464841434502</v>
      </c>
      <c r="AE3">
        <v>168.59477643650001</v>
      </c>
      <c r="AF3">
        <v>-353.47916844500003</v>
      </c>
      <c r="AG3">
        <v>346.21</v>
      </c>
      <c r="AH3">
        <v>0</v>
      </c>
      <c r="AI3">
        <v>31849755.000000119</v>
      </c>
      <c r="AJ3">
        <v>31849755.000000101</v>
      </c>
      <c r="AK3">
        <v>31849755.000000101</v>
      </c>
      <c r="AL3">
        <v>9502444473.7110004</v>
      </c>
      <c r="AM3">
        <v>9502444473.7110348</v>
      </c>
      <c r="AN3">
        <v>15.2</v>
      </c>
    </row>
    <row r="4" spans="1:48" x14ac:dyDescent="0.3">
      <c r="A4" s="39" t="s">
        <v>504</v>
      </c>
      <c r="B4" s="39">
        <v>91</v>
      </c>
      <c r="C4">
        <v>180</v>
      </c>
      <c r="F4" s="110" t="s">
        <v>548</v>
      </c>
      <c r="G4" s="111">
        <v>1000</v>
      </c>
    </row>
    <row r="5" spans="1:48" x14ac:dyDescent="0.3">
      <c r="A5" s="39" t="s">
        <v>505</v>
      </c>
      <c r="B5" s="39">
        <v>181</v>
      </c>
      <c r="C5">
        <v>365</v>
      </c>
      <c r="F5" s="110" t="s">
        <v>545</v>
      </c>
      <c r="G5" s="111">
        <v>1500</v>
      </c>
    </row>
    <row r="6" spans="1:48" x14ac:dyDescent="0.3">
      <c r="A6" s="39" t="s">
        <v>507</v>
      </c>
      <c r="B6" s="39">
        <v>366</v>
      </c>
      <c r="C6">
        <v>730</v>
      </c>
    </row>
    <row r="7" spans="1:48" x14ac:dyDescent="0.3">
      <c r="A7" s="39" t="s">
        <v>506</v>
      </c>
      <c r="B7" s="39">
        <v>731</v>
      </c>
      <c r="C7">
        <v>1095</v>
      </c>
    </row>
    <row r="8" spans="1:48" x14ac:dyDescent="0.3">
      <c r="A8" s="39" t="s">
        <v>508</v>
      </c>
      <c r="B8" s="39">
        <v>1096</v>
      </c>
      <c r="C8">
        <v>1825</v>
      </c>
    </row>
    <row r="9" spans="1:48" x14ac:dyDescent="0.3">
      <c r="A9" s="39" t="s">
        <v>509</v>
      </c>
      <c r="B9" s="39">
        <v>1826</v>
      </c>
      <c r="C9">
        <v>2555</v>
      </c>
    </row>
    <row r="10" spans="1:48" x14ac:dyDescent="0.3">
      <c r="A10" s="39" t="s">
        <v>510</v>
      </c>
      <c r="B10" s="39">
        <v>2556</v>
      </c>
      <c r="C10">
        <v>100000</v>
      </c>
    </row>
    <row r="11" spans="1:48" x14ac:dyDescent="0.3">
      <c r="A11" s="39"/>
      <c r="B11" s="39"/>
    </row>
    <row r="12" spans="1:48" x14ac:dyDescent="0.3">
      <c r="A12" s="39"/>
      <c r="B12" s="39"/>
    </row>
    <row r="13" spans="1:48" x14ac:dyDescent="0.3">
      <c r="A13" s="39"/>
      <c r="B13" s="39"/>
    </row>
    <row r="20" spans="8:9" x14ac:dyDescent="0.3">
      <c r="H20" s="27"/>
      <c r="I20" s="35"/>
    </row>
    <row r="21" spans="8:9" x14ac:dyDescent="0.3">
      <c r="H21" s="27"/>
      <c r="I21" s="35"/>
    </row>
    <row r="22" spans="8:9" x14ac:dyDescent="0.3">
      <c r="H22" s="27"/>
      <c r="I22" s="35"/>
    </row>
    <row r="23" spans="8:9" x14ac:dyDescent="0.3">
      <c r="H23" s="27"/>
      <c r="I23" s="35"/>
    </row>
    <row r="24" spans="8:9" x14ac:dyDescent="0.3">
      <c r="H24" s="27"/>
      <c r="I24" s="35"/>
    </row>
    <row r="25" spans="8:9" x14ac:dyDescent="0.3">
      <c r="H25" s="27"/>
    </row>
    <row r="26" spans="8:9" x14ac:dyDescent="0.3">
      <c r="H26" s="27"/>
    </row>
    <row r="27" spans="8:9" x14ac:dyDescent="0.3">
      <c r="H27" s="27"/>
    </row>
    <row r="28" spans="8:9" x14ac:dyDescent="0.3">
      <c r="H28" s="27"/>
    </row>
    <row r="29" spans="8:9" x14ac:dyDescent="0.3">
      <c r="H29" s="27"/>
    </row>
    <row r="30" spans="8:9" x14ac:dyDescent="0.3">
      <c r="H30" s="27"/>
    </row>
    <row r="31" spans="8:9" x14ac:dyDescent="0.3">
      <c r="H31" s="27"/>
    </row>
    <row r="32" spans="8:9" x14ac:dyDescent="0.3">
      <c r="H32" s="27"/>
    </row>
    <row r="33" spans="8:8" x14ac:dyDescent="0.3">
      <c r="H33" s="27"/>
    </row>
    <row r="34" spans="8:8" x14ac:dyDescent="0.3">
      <c r="H34" s="27"/>
    </row>
    <row r="35" spans="8:8" x14ac:dyDescent="0.3">
      <c r="H35" s="27"/>
    </row>
    <row r="36" spans="8:8" x14ac:dyDescent="0.3">
      <c r="H36" s="27"/>
    </row>
    <row r="37" spans="8:8" x14ac:dyDescent="0.3">
      <c r="H37" s="27"/>
    </row>
    <row r="38" spans="8:8" x14ac:dyDescent="0.3">
      <c r="H38" s="27"/>
    </row>
    <row r="39" spans="8:8" x14ac:dyDescent="0.3">
      <c r="H39" s="27"/>
    </row>
    <row r="40" spans="8:8" x14ac:dyDescent="0.3">
      <c r="H40" s="27"/>
    </row>
    <row r="41" spans="8:8" x14ac:dyDescent="0.3">
      <c r="H41" s="27"/>
    </row>
    <row r="42" spans="8:8" x14ac:dyDescent="0.3">
      <c r="H42" s="27"/>
    </row>
    <row r="43" spans="8:8" x14ac:dyDescent="0.3">
      <c r="H43" s="27"/>
    </row>
    <row r="44" spans="8:8" x14ac:dyDescent="0.3">
      <c r="H44" s="27"/>
    </row>
    <row r="45" spans="8:8" x14ac:dyDescent="0.3">
      <c r="H45" s="27"/>
    </row>
    <row r="46" spans="8:8" x14ac:dyDescent="0.3">
      <c r="H46" s="27"/>
    </row>
    <row r="47" spans="8:8" x14ac:dyDescent="0.3">
      <c r="H47" s="27"/>
    </row>
    <row r="48" spans="8:8" x14ac:dyDescent="0.3">
      <c r="H48" s="27"/>
    </row>
    <row r="49" spans="8:8" x14ac:dyDescent="0.3">
      <c r="H49" s="27"/>
    </row>
    <row r="50" spans="8:8" x14ac:dyDescent="0.3">
      <c r="H50" s="27"/>
    </row>
    <row r="51" spans="8:8" x14ac:dyDescent="0.3">
      <c r="H51" s="27"/>
    </row>
    <row r="52" spans="8:8" x14ac:dyDescent="0.3">
      <c r="H52" s="27"/>
    </row>
    <row r="53" spans="8:8" x14ac:dyDescent="0.3">
      <c r="H53" s="27"/>
    </row>
    <row r="54" spans="8:8" x14ac:dyDescent="0.3">
      <c r="H54" s="27"/>
    </row>
    <row r="55" spans="8:8" x14ac:dyDescent="0.3">
      <c r="H55" s="27"/>
    </row>
    <row r="56" spans="8:8" x14ac:dyDescent="0.3">
      <c r="H56" s="27"/>
    </row>
    <row r="57" spans="8:8" x14ac:dyDescent="0.3">
      <c r="H57" s="27"/>
    </row>
    <row r="58" spans="8:8" x14ac:dyDescent="0.3">
      <c r="H58" s="27"/>
    </row>
    <row r="59" spans="8:8" x14ac:dyDescent="0.3">
      <c r="H59" s="27"/>
    </row>
    <row r="60" spans="8:8" x14ac:dyDescent="0.3">
      <c r="H60" s="27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C0CA9-2781-41FD-BF46-74508E9DBF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Log</vt:lpstr>
      <vt:lpstr>Report</vt:lpstr>
      <vt:lpstr>Portfolio</vt:lpstr>
      <vt:lpstr>Rating</vt:lpstr>
      <vt:lpstr>Cpty</vt:lpstr>
      <vt:lpstr>Ref</vt:lpstr>
      <vt:lpstr>Ạ2</vt:lpstr>
      <vt:lpstr>RPT</vt:lpstr>
      <vt:lpstr>Yesterday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Tran Thi Phuong (QLRR-TTTK)</dc:creator>
  <cp:lastModifiedBy>Lam Pham Duc (QLRR - QLRRTTTK RRTT&amp;LSSNH)</cp:lastModifiedBy>
  <dcterms:created xsi:type="dcterms:W3CDTF">2025-10-03T10:32:34Z</dcterms:created>
  <dcterms:modified xsi:type="dcterms:W3CDTF">2026-09-07T07:37:37Z</dcterms:modified>
</cp:coreProperties>
</file>